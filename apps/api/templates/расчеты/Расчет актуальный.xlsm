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00000000-0000-0000-0000-000000000000}"/>
  <workbookPr filterPrivacy="1" codeName="ЭтаКнига" defaultThemeVersion="124226"/>
  <bookViews>
    <workbookView xWindow="12165" yWindow="375" windowWidth="10875" windowHeight="8895" activeTab="2"/>
  </bookViews>
  <sheets>
    <sheet name="Акт" sheetId="10" r:id="rId1"/>
    <sheet name="Исх.данные" sheetId="8" r:id="rId2"/>
    <sheet name="Таблицы" sheetId="7" r:id="rId3"/>
    <sheet name="Химия_12 проб" sheetId="6" r:id="rId4"/>
    <sheet name="Агрохим исх.данные" sheetId="11" r:id="rId5"/>
    <sheet name="ЕРН_значения" sheetId="1" r:id="rId6"/>
    <sheet name="ЕРН_МЭД_ППР_итог" sheetId="12" r:id="rId7"/>
    <sheet name="Лист2" sheetId="9" r:id="rId8"/>
  </sheets>
  <externalReferences>
    <externalReference r:id="rId9"/>
  </externalReferences>
  <definedNames>
    <definedName name="_xlnm._FilterDatabase" localSheetId="6" hidden="1">ЕРН_МЭД_ППР_итог!$A$8:$J$79</definedName>
    <definedName name="_xlnm._FilterDatabase" localSheetId="2" hidden="1">Таблицы!$BX$17:$CJ$17</definedName>
    <definedName name="кадмий">Лист2!$K$8:$L$11</definedName>
    <definedName name="кобальт">Лист2!$K$20:$L$23</definedName>
    <definedName name="марганец">Лист2!$K$14:$L$17</definedName>
  </definedNames>
  <calcPr calcId="145621"/>
</workbook>
</file>

<file path=xl/calcChain.xml><?xml version="1.0" encoding="utf-8"?>
<calcChain xmlns="http://schemas.openxmlformats.org/spreadsheetml/2006/main">
  <c r="H10" i="10" l="1"/>
  <c r="I10" i="10"/>
  <c r="H11" i="10"/>
  <c r="I11" i="10"/>
  <c r="H12" i="10"/>
  <c r="I12" i="10"/>
  <c r="H13" i="10"/>
  <c r="I13" i="10"/>
  <c r="H14" i="10"/>
  <c r="I14" i="10"/>
  <c r="H15" i="10"/>
  <c r="I15" i="10"/>
  <c r="AM46" i="7" l="1"/>
  <c r="AM45" i="7"/>
  <c r="AM44" i="7"/>
  <c r="AM43" i="7"/>
  <c r="AM42" i="7"/>
  <c r="AM47" i="7"/>
  <c r="AM48" i="7"/>
  <c r="AB53" i="7"/>
  <c r="AB52" i="7"/>
  <c r="AB51" i="7"/>
  <c r="AB50" i="7"/>
  <c r="AB49" i="7"/>
  <c r="AB48" i="7"/>
  <c r="AB47" i="7"/>
  <c r="AB46" i="7"/>
  <c r="AB45" i="7"/>
  <c r="AB44" i="7"/>
  <c r="AB43" i="7"/>
  <c r="AB42" i="7"/>
  <c r="AB41" i="7"/>
  <c r="AB40" i="7"/>
  <c r="AB39" i="7"/>
  <c r="AB38" i="7"/>
  <c r="T42" i="7"/>
  <c r="T43" i="7"/>
  <c r="T44" i="7"/>
  <c r="T45" i="7"/>
  <c r="T46" i="7"/>
  <c r="T47" i="7"/>
  <c r="S42" i="7"/>
  <c r="S43" i="7"/>
  <c r="S44" i="7"/>
  <c r="S45" i="7"/>
  <c r="S46" i="7"/>
  <c r="S47" i="7"/>
  <c r="N42" i="7"/>
  <c r="N43" i="7"/>
  <c r="N44" i="7"/>
  <c r="N45" i="7"/>
  <c r="N46" i="7"/>
  <c r="N47" i="7"/>
  <c r="D31" i="7"/>
  <c r="D32" i="7"/>
  <c r="D33" i="7"/>
  <c r="S33" i="7" s="1"/>
  <c r="D34" i="7"/>
  <c r="S34" i="7" s="1"/>
  <c r="D35" i="7"/>
  <c r="S35" i="7" s="1"/>
  <c r="D36" i="7"/>
  <c r="S36" i="7" s="1"/>
  <c r="D37" i="7"/>
  <c r="S37" i="7" s="1"/>
  <c r="D38" i="7"/>
  <c r="S38" i="7" s="1"/>
  <c r="D39" i="7"/>
  <c r="S39" i="7" s="1"/>
  <c r="D40" i="7"/>
  <c r="S40" i="7" s="1"/>
  <c r="D41" i="7"/>
  <c r="S41" i="7" s="1"/>
  <c r="D42" i="7"/>
  <c r="D43" i="7"/>
  <c r="D44" i="7"/>
  <c r="D45" i="7"/>
  <c r="D46" i="7"/>
  <c r="D47" i="7"/>
  <c r="E33" i="7"/>
  <c r="T33" i="7" s="1"/>
  <c r="E34" i="7"/>
  <c r="T34" i="7" s="1"/>
  <c r="E35" i="7"/>
  <c r="T35" i="7" s="1"/>
  <c r="E36" i="7"/>
  <c r="T36" i="7" s="1"/>
  <c r="E37" i="7"/>
  <c r="T37" i="7" s="1"/>
  <c r="E38" i="7"/>
  <c r="T38" i="7" s="1"/>
  <c r="E39" i="7"/>
  <c r="T39" i="7" s="1"/>
  <c r="E40" i="7"/>
  <c r="T40" i="7" s="1"/>
  <c r="E41" i="7"/>
  <c r="T41" i="7" s="1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X7" i="12" l="1"/>
  <c r="AM41" i="7"/>
  <c r="AM40" i="7"/>
  <c r="AM39" i="7"/>
  <c r="AM38" i="7"/>
  <c r="AM37" i="7"/>
  <c r="AM36" i="7"/>
  <c r="AM35" i="7"/>
  <c r="AM34" i="7"/>
  <c r="AM33" i="7"/>
  <c r="AM32" i="7"/>
  <c r="AM31" i="7"/>
  <c r="AM30" i="7"/>
  <c r="AM29" i="7"/>
  <c r="AM28" i="7"/>
  <c r="AM27" i="7"/>
  <c r="AM26" i="7"/>
  <c r="AM25" i="7"/>
  <c r="AM24" i="7"/>
  <c r="AM23" i="7"/>
  <c r="AM22" i="7"/>
  <c r="AM21" i="7"/>
  <c r="AM20" i="7"/>
  <c r="AM19" i="7"/>
  <c r="AM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18" i="7"/>
  <c r="AB37" i="7"/>
  <c r="AB36" i="7"/>
  <c r="AB35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B18" i="7"/>
  <c r="AA18" i="7"/>
  <c r="U23" i="7" l="1"/>
  <c r="D19" i="7"/>
  <c r="D20" i="7"/>
  <c r="D21" i="7"/>
  <c r="D22" i="7"/>
  <c r="D23" i="7"/>
  <c r="D24" i="7"/>
  <c r="D25" i="7"/>
  <c r="D26" i="7"/>
  <c r="D27" i="7"/>
  <c r="D28" i="7"/>
  <c r="D29" i="7"/>
  <c r="D30" i="7"/>
  <c r="D18" i="7"/>
  <c r="F11" i="12" l="1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G32" i="12"/>
  <c r="G33" i="12"/>
  <c r="G34" i="12"/>
  <c r="G35" i="12"/>
  <c r="G36" i="12"/>
  <c r="I35" i="12"/>
  <c r="I36" i="12"/>
  <c r="I37" i="12"/>
  <c r="G9" i="12"/>
  <c r="F9" i="12"/>
  <c r="O117" i="7" l="1"/>
  <c r="F117" i="7"/>
  <c r="O116" i="7"/>
  <c r="F116" i="7"/>
  <c r="O115" i="7"/>
  <c r="F115" i="7"/>
  <c r="O114" i="7"/>
  <c r="F114" i="7"/>
  <c r="O113" i="7"/>
  <c r="F113" i="7"/>
  <c r="O112" i="7"/>
  <c r="F112" i="7"/>
  <c r="O111" i="7"/>
  <c r="F111" i="7"/>
  <c r="O110" i="7"/>
  <c r="F110" i="7"/>
  <c r="O109" i="7"/>
  <c r="F109" i="7"/>
  <c r="O108" i="7"/>
  <c r="F108" i="7"/>
  <c r="O107" i="7"/>
  <c r="F107" i="7"/>
  <c r="O106" i="7"/>
  <c r="F106" i="7"/>
  <c r="O105" i="7"/>
  <c r="F105" i="7"/>
  <c r="O104" i="7"/>
  <c r="F104" i="7"/>
  <c r="O103" i="7"/>
  <c r="F103" i="7"/>
  <c r="O102" i="7"/>
  <c r="F102" i="7"/>
  <c r="O101" i="7"/>
  <c r="F101" i="7"/>
  <c r="O100" i="7"/>
  <c r="F100" i="7"/>
  <c r="O99" i="7"/>
  <c r="F99" i="7"/>
  <c r="O98" i="7"/>
  <c r="F98" i="7"/>
  <c r="O97" i="7"/>
  <c r="F97" i="7"/>
  <c r="O96" i="7"/>
  <c r="F96" i="7"/>
  <c r="O95" i="7"/>
  <c r="F95" i="7"/>
  <c r="O94" i="7"/>
  <c r="F94" i="7"/>
  <c r="O93" i="7"/>
  <c r="F93" i="7"/>
  <c r="O92" i="7"/>
  <c r="F92" i="7"/>
  <c r="O91" i="7"/>
  <c r="F91" i="7"/>
  <c r="O90" i="7"/>
  <c r="F90" i="7"/>
  <c r="O89" i="7"/>
  <c r="F89" i="7"/>
  <c r="O88" i="7"/>
  <c r="F88" i="7"/>
  <c r="O87" i="7"/>
  <c r="F87" i="7"/>
  <c r="O86" i="7"/>
  <c r="F86" i="7"/>
  <c r="O85" i="7"/>
  <c r="F85" i="7"/>
  <c r="O84" i="7"/>
  <c r="F84" i="7"/>
  <c r="O83" i="7"/>
  <c r="F83" i="7"/>
  <c r="O82" i="7"/>
  <c r="F82" i="7"/>
  <c r="O81" i="7"/>
  <c r="F81" i="7"/>
  <c r="O80" i="7"/>
  <c r="F80" i="7"/>
  <c r="O79" i="7"/>
  <c r="F79" i="7"/>
  <c r="O78" i="7"/>
  <c r="F78" i="7"/>
  <c r="O77" i="7"/>
  <c r="F77" i="7"/>
  <c r="O76" i="7"/>
  <c r="F76" i="7"/>
  <c r="O75" i="7"/>
  <c r="F75" i="7"/>
  <c r="O74" i="7"/>
  <c r="F74" i="7"/>
  <c r="O73" i="7"/>
  <c r="F73" i="7"/>
  <c r="O72" i="7"/>
  <c r="F72" i="7"/>
  <c r="O71" i="7"/>
  <c r="F71" i="7"/>
  <c r="O70" i="7"/>
  <c r="F70" i="7"/>
  <c r="O69" i="7"/>
  <c r="F69" i="7"/>
  <c r="O68" i="7"/>
  <c r="F68" i="7"/>
  <c r="O67" i="7"/>
  <c r="F67" i="7"/>
  <c r="O66" i="7"/>
  <c r="F66" i="7"/>
  <c r="O65" i="7"/>
  <c r="F65" i="7"/>
  <c r="O64" i="7"/>
  <c r="F64" i="7"/>
  <c r="O63" i="7"/>
  <c r="F63" i="7"/>
  <c r="O62" i="7"/>
  <c r="F62" i="7"/>
  <c r="O61" i="7"/>
  <c r="F61" i="7"/>
  <c r="O60" i="7"/>
  <c r="F60" i="7"/>
  <c r="O59" i="7"/>
  <c r="F59" i="7"/>
  <c r="O58" i="7"/>
  <c r="F58" i="7"/>
  <c r="O57" i="7"/>
  <c r="F57" i="7"/>
  <c r="O56" i="7"/>
  <c r="F56" i="7"/>
  <c r="O55" i="7"/>
  <c r="F55" i="7"/>
  <c r="O54" i="7"/>
  <c r="F54" i="7"/>
  <c r="O53" i="7"/>
  <c r="F53" i="7"/>
  <c r="O52" i="7"/>
  <c r="F52" i="7"/>
  <c r="O51" i="7"/>
  <c r="F51" i="7"/>
  <c r="O50" i="7"/>
  <c r="F50" i="7"/>
  <c r="O49" i="7"/>
  <c r="F49" i="7"/>
  <c r="O48" i="7"/>
  <c r="F48" i="7"/>
  <c r="O47" i="7"/>
  <c r="F47" i="7"/>
  <c r="O46" i="7"/>
  <c r="F46" i="7"/>
  <c r="O45" i="7"/>
  <c r="F45" i="7"/>
  <c r="O44" i="7"/>
  <c r="F44" i="7"/>
  <c r="O43" i="7"/>
  <c r="F43" i="7"/>
  <c r="O42" i="7"/>
  <c r="F42" i="7"/>
  <c r="O41" i="7"/>
  <c r="F41" i="7"/>
  <c r="O40" i="7"/>
  <c r="F40" i="7"/>
  <c r="O39" i="7"/>
  <c r="F39" i="7"/>
  <c r="O38" i="7"/>
  <c r="F38" i="7"/>
  <c r="O37" i="7"/>
  <c r="F37" i="7"/>
  <c r="O36" i="7"/>
  <c r="F36" i="7"/>
  <c r="O35" i="7"/>
  <c r="F35" i="7"/>
  <c r="O34" i="7"/>
  <c r="F34" i="7"/>
  <c r="O33" i="7"/>
  <c r="F33" i="7"/>
  <c r="O32" i="7"/>
  <c r="F32" i="7"/>
  <c r="O31" i="7"/>
  <c r="F31" i="7"/>
  <c r="O30" i="7"/>
  <c r="F30" i="7"/>
  <c r="O29" i="7"/>
  <c r="F29" i="7"/>
  <c r="O28" i="7"/>
  <c r="F28" i="7"/>
  <c r="O27" i="7"/>
  <c r="F27" i="7"/>
  <c r="O26" i="7"/>
  <c r="F26" i="7"/>
  <c r="O25" i="7"/>
  <c r="F25" i="7"/>
  <c r="O24" i="7"/>
  <c r="F24" i="7"/>
  <c r="O23" i="7"/>
  <c r="F23" i="7"/>
  <c r="O22" i="7"/>
  <c r="F22" i="7"/>
  <c r="O21" i="7"/>
  <c r="F21" i="7"/>
  <c r="O20" i="7"/>
  <c r="O19" i="7"/>
  <c r="O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19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0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19" i="7"/>
  <c r="G21" i="7"/>
  <c r="G19" i="7"/>
  <c r="F20" i="7"/>
  <c r="J20" i="7"/>
  <c r="F19" i="7"/>
  <c r="M18" i="7"/>
  <c r="L18" i="7"/>
  <c r="K18" i="7"/>
  <c r="J18" i="7" l="1"/>
  <c r="I18" i="7"/>
  <c r="G18" i="7"/>
  <c r="F18" i="7"/>
  <c r="H18" i="7"/>
  <c r="H20" i="7"/>
  <c r="P5" i="12" l="1"/>
  <c r="P6" i="12"/>
  <c r="P7" i="12"/>
  <c r="P8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4" i="12"/>
  <c r="AB57" i="7" l="1"/>
  <c r="AA57" i="7"/>
  <c r="AM57" i="7"/>
  <c r="AL57" i="7"/>
  <c r="AB56" i="7"/>
  <c r="AA56" i="7"/>
  <c r="AM56" i="7"/>
  <c r="AL56" i="7"/>
  <c r="AB55" i="7"/>
  <c r="AA55" i="7"/>
  <c r="AM55" i="7"/>
  <c r="AL55" i="7"/>
  <c r="AM54" i="7"/>
  <c r="AL54" i="7"/>
  <c r="AB54" i="7"/>
  <c r="AA54" i="7"/>
  <c r="AL48" i="7"/>
  <c r="AA48" i="7"/>
  <c r="AM49" i="7"/>
  <c r="AL49" i="7"/>
  <c r="AA49" i="7"/>
  <c r="AM50" i="7"/>
  <c r="AL50" i="7"/>
  <c r="AA50" i="7"/>
  <c r="AM51" i="7"/>
  <c r="AL51" i="7"/>
  <c r="AA51" i="7"/>
  <c r="AM52" i="7"/>
  <c r="AL52" i="7"/>
  <c r="AA52" i="7"/>
  <c r="AL53" i="7"/>
  <c r="AM53" i="7"/>
  <c r="AA53" i="7"/>
  <c r="D83" i="7" l="1"/>
  <c r="AE83" i="7" s="1"/>
  <c r="D82" i="7"/>
  <c r="D81" i="7"/>
  <c r="BU81" i="7" s="1"/>
  <c r="D80" i="7"/>
  <c r="D79" i="7"/>
  <c r="S79" i="7" s="1"/>
  <c r="D78" i="7"/>
  <c r="D77" i="7"/>
  <c r="D76" i="7"/>
  <c r="D75" i="7"/>
  <c r="AE75" i="7" s="1"/>
  <c r="D74" i="7"/>
  <c r="AE74" i="7" s="1"/>
  <c r="D73" i="7"/>
  <c r="S73" i="7" s="1"/>
  <c r="D72" i="7"/>
  <c r="AE72" i="7" s="1"/>
  <c r="D71" i="7"/>
  <c r="D70" i="7"/>
  <c r="AQ70" i="7" s="1"/>
  <c r="D69" i="7"/>
  <c r="D68" i="7"/>
  <c r="D67" i="7"/>
  <c r="BV67" i="7" s="1"/>
  <c r="D66" i="7"/>
  <c r="D65" i="7"/>
  <c r="D64" i="7"/>
  <c r="AE64" i="7" s="1"/>
  <c r="D63" i="7"/>
  <c r="D62" i="7"/>
  <c r="BS62" i="7" s="1"/>
  <c r="AZ62" i="7" s="1"/>
  <c r="BA62" i="7" s="1"/>
  <c r="D61" i="7"/>
  <c r="D60" i="7"/>
  <c r="AE60" i="7" s="1"/>
  <c r="D59" i="7"/>
  <c r="S59" i="7" s="1"/>
  <c r="D58" i="7"/>
  <c r="BS58" i="7" s="1"/>
  <c r="AZ58" i="7" s="1"/>
  <c r="BA58" i="7" s="1"/>
  <c r="D57" i="7"/>
  <c r="BV57" i="7"/>
  <c r="D56" i="7"/>
  <c r="D55" i="7"/>
  <c r="BS55" i="7" s="1"/>
  <c r="AZ55" i="7" s="1"/>
  <c r="BA55" i="7" s="1"/>
  <c r="D54" i="7"/>
  <c r="AE54" i="7"/>
  <c r="D53" i="7"/>
  <c r="S53" i="7" s="1"/>
  <c r="D52" i="7"/>
  <c r="BV52" i="7" s="1"/>
  <c r="D51" i="7"/>
  <c r="S51" i="7" s="1"/>
  <c r="D50" i="7"/>
  <c r="AE50" i="7" s="1"/>
  <c r="D49" i="7"/>
  <c r="BV49" i="7" s="1"/>
  <c r="D48" i="7"/>
  <c r="S48" i="7" s="1"/>
  <c r="AA116" i="7"/>
  <c r="U116" i="7" s="1"/>
  <c r="AB116" i="7"/>
  <c r="AL116" i="7"/>
  <c r="AM116" i="7"/>
  <c r="AW116" i="7"/>
  <c r="BC116" i="7"/>
  <c r="BD116" i="7"/>
  <c r="BE116" i="7"/>
  <c r="BF116" i="7"/>
  <c r="BG116" i="7"/>
  <c r="BH116" i="7"/>
  <c r="BI116" i="7"/>
  <c r="V117" i="7"/>
  <c r="W117" i="7" s="1"/>
  <c r="AA117" i="7"/>
  <c r="AB117" i="7"/>
  <c r="AL117" i="7"/>
  <c r="AH117" i="7" s="1"/>
  <c r="AI117" i="7" s="1"/>
  <c r="AM117" i="7"/>
  <c r="AW117" i="7"/>
  <c r="BC117" i="7"/>
  <c r="BD117" i="7"/>
  <c r="BE117" i="7"/>
  <c r="BF117" i="7"/>
  <c r="BG117" i="7"/>
  <c r="BH117" i="7"/>
  <c r="BI117" i="7"/>
  <c r="U48" i="7"/>
  <c r="AG48" i="7"/>
  <c r="AQ48" i="7"/>
  <c r="AW48" i="7"/>
  <c r="BC48" i="7"/>
  <c r="BD48" i="7"/>
  <c r="BE48" i="7"/>
  <c r="BF48" i="7"/>
  <c r="BG48" i="7"/>
  <c r="BH48" i="7"/>
  <c r="BI48" i="7"/>
  <c r="BU48" i="7"/>
  <c r="BT48" i="7" s="1"/>
  <c r="S49" i="7"/>
  <c r="V49" i="7"/>
  <c r="W49" i="7" s="1"/>
  <c r="AE49" i="7"/>
  <c r="AH49" i="7"/>
  <c r="AI49" i="7" s="1"/>
  <c r="AQ49" i="7"/>
  <c r="AW49" i="7"/>
  <c r="BC49" i="7"/>
  <c r="BD49" i="7"/>
  <c r="BE49" i="7"/>
  <c r="BF49" i="7"/>
  <c r="BG49" i="7"/>
  <c r="BH49" i="7"/>
  <c r="BI49" i="7"/>
  <c r="BS49" i="7"/>
  <c r="AZ49" i="7" s="1"/>
  <c r="BA49" i="7" s="1"/>
  <c r="BU49" i="7"/>
  <c r="BT49" i="7" s="1"/>
  <c r="U50" i="7"/>
  <c r="V50" i="7"/>
  <c r="W50" i="7" s="1"/>
  <c r="AG50" i="7"/>
  <c r="AH50" i="7"/>
  <c r="AI50" i="7" s="1"/>
  <c r="AW50" i="7"/>
  <c r="BC50" i="7"/>
  <c r="BD50" i="7"/>
  <c r="BE50" i="7"/>
  <c r="BF50" i="7"/>
  <c r="BG50" i="7"/>
  <c r="BH50" i="7"/>
  <c r="BI50" i="7"/>
  <c r="BV50" i="7"/>
  <c r="U51" i="7"/>
  <c r="V51" i="7"/>
  <c r="AG51" i="7"/>
  <c r="AH51" i="7"/>
  <c r="AI51" i="7" s="1"/>
  <c r="AW51" i="7"/>
  <c r="BC51" i="7"/>
  <c r="BD51" i="7"/>
  <c r="BE51" i="7"/>
  <c r="BF51" i="7"/>
  <c r="BG51" i="7"/>
  <c r="BH51" i="7"/>
  <c r="BI51" i="7"/>
  <c r="BS51" i="7"/>
  <c r="AZ51" i="7" s="1"/>
  <c r="BA51" i="7" s="1"/>
  <c r="U52" i="7"/>
  <c r="AG52" i="7"/>
  <c r="AW52" i="7"/>
  <c r="BC52" i="7"/>
  <c r="BD52" i="7"/>
  <c r="BE52" i="7"/>
  <c r="BF52" i="7"/>
  <c r="BG52" i="7"/>
  <c r="BH52" i="7"/>
  <c r="BI52" i="7"/>
  <c r="BS52" i="7"/>
  <c r="AZ52" i="7" s="1"/>
  <c r="BA52" i="7" s="1"/>
  <c r="BU52" i="7"/>
  <c r="BT52" i="7" s="1"/>
  <c r="V53" i="7"/>
  <c r="W53" i="7" s="1"/>
  <c r="AH53" i="7"/>
  <c r="AI53" i="7" s="1"/>
  <c r="AW53" i="7"/>
  <c r="BC53" i="7"/>
  <c r="BD53" i="7"/>
  <c r="BE53" i="7"/>
  <c r="BF53" i="7"/>
  <c r="BG53" i="7"/>
  <c r="BH53" i="7"/>
  <c r="BI53" i="7"/>
  <c r="BS53" i="7"/>
  <c r="AZ53" i="7" s="1"/>
  <c r="BA53" i="7" s="1"/>
  <c r="U54" i="7"/>
  <c r="V54" i="7"/>
  <c r="AG54" i="7"/>
  <c r="AH54" i="7"/>
  <c r="AI54" i="7" s="1"/>
  <c r="AW54" i="7"/>
  <c r="BC54" i="7"/>
  <c r="BD54" i="7"/>
  <c r="BE54" i="7"/>
  <c r="BF54" i="7"/>
  <c r="BG54" i="7"/>
  <c r="BH54" i="7"/>
  <c r="BI54" i="7"/>
  <c r="BV54" i="7"/>
  <c r="U55" i="7"/>
  <c r="V55" i="7"/>
  <c r="W55" i="7" s="1"/>
  <c r="AE55" i="7"/>
  <c r="AG55" i="7"/>
  <c r="AH55" i="7"/>
  <c r="AI55" i="7" s="1"/>
  <c r="AW55" i="7"/>
  <c r="BC55" i="7"/>
  <c r="BD55" i="7"/>
  <c r="BE55" i="7"/>
  <c r="BF55" i="7"/>
  <c r="BG55" i="7"/>
  <c r="BH55" i="7"/>
  <c r="BI55" i="7"/>
  <c r="S56" i="7"/>
  <c r="U56" i="7"/>
  <c r="AE56" i="7"/>
  <c r="AG56" i="7"/>
  <c r="AQ56" i="7"/>
  <c r="AW56" i="7"/>
  <c r="BC56" i="7"/>
  <c r="BD56" i="7"/>
  <c r="BE56" i="7"/>
  <c r="BF56" i="7"/>
  <c r="BG56" i="7"/>
  <c r="BH56" i="7"/>
  <c r="BI56" i="7"/>
  <c r="BS56" i="7"/>
  <c r="AZ56" i="7" s="1"/>
  <c r="BA56" i="7" s="1"/>
  <c r="BU56" i="7"/>
  <c r="BT56" i="7" s="1"/>
  <c r="BV56" i="7"/>
  <c r="S57" i="7"/>
  <c r="V57" i="7"/>
  <c r="AE57" i="7"/>
  <c r="AH57" i="7"/>
  <c r="AI57" i="7" s="1"/>
  <c r="AQ57" i="7"/>
  <c r="AW57" i="7"/>
  <c r="BC57" i="7"/>
  <c r="BD57" i="7"/>
  <c r="BE57" i="7"/>
  <c r="BF57" i="7"/>
  <c r="BG57" i="7"/>
  <c r="BH57" i="7"/>
  <c r="BI57" i="7"/>
  <c r="BU57" i="7"/>
  <c r="BT57" i="7" s="1"/>
  <c r="AA58" i="7"/>
  <c r="V58" i="7" s="1"/>
  <c r="W58" i="7" s="1"/>
  <c r="AB58" i="7"/>
  <c r="AE58" i="7"/>
  <c r="AL58" i="7"/>
  <c r="AM58" i="7"/>
  <c r="AW58" i="7"/>
  <c r="BC58" i="7"/>
  <c r="BD58" i="7"/>
  <c r="BE58" i="7"/>
  <c r="BF58" i="7"/>
  <c r="BG58" i="7"/>
  <c r="BH58" i="7"/>
  <c r="BI58" i="7"/>
  <c r="BU58" i="7"/>
  <c r="BV58" i="7"/>
  <c r="AA59" i="7"/>
  <c r="V59" i="7" s="1"/>
  <c r="W59" i="7" s="1"/>
  <c r="AB59" i="7"/>
  <c r="U59" i="7" s="1"/>
  <c r="AE59" i="7"/>
  <c r="AH59" i="7"/>
  <c r="AI59" i="7" s="1"/>
  <c r="AL59" i="7"/>
  <c r="AG59" i="7" s="1"/>
  <c r="AM59" i="7"/>
  <c r="AW59" i="7"/>
  <c r="BC59" i="7"/>
  <c r="BD59" i="7"/>
  <c r="BE59" i="7"/>
  <c r="BF59" i="7"/>
  <c r="BG59" i="7"/>
  <c r="BH59" i="7"/>
  <c r="BI59" i="7"/>
  <c r="BS59" i="7"/>
  <c r="AZ59" i="7" s="1"/>
  <c r="BA59" i="7" s="1"/>
  <c r="S60" i="7"/>
  <c r="AA60" i="7"/>
  <c r="V60" i="7" s="1"/>
  <c r="W60" i="7" s="1"/>
  <c r="AB60" i="7"/>
  <c r="AL60" i="7"/>
  <c r="AH60" i="7" s="1"/>
  <c r="AI60" i="7" s="1"/>
  <c r="AM60" i="7"/>
  <c r="AG60" i="7" s="1"/>
  <c r="AW60" i="7"/>
  <c r="BC60" i="7"/>
  <c r="BD60" i="7"/>
  <c r="BE60" i="7"/>
  <c r="BF60" i="7"/>
  <c r="BG60" i="7"/>
  <c r="BH60" i="7"/>
  <c r="BI60" i="7"/>
  <c r="BU60" i="7"/>
  <c r="BV60" i="7"/>
  <c r="S61" i="7"/>
  <c r="AA61" i="7"/>
  <c r="V61" i="7" s="1"/>
  <c r="W61" i="7" s="1"/>
  <c r="AB61" i="7"/>
  <c r="AE61" i="7"/>
  <c r="AL61" i="7"/>
  <c r="AH61" i="7" s="1"/>
  <c r="AI61" i="7" s="1"/>
  <c r="AM61" i="7"/>
  <c r="AQ61" i="7"/>
  <c r="AW61" i="7"/>
  <c r="BC61" i="7"/>
  <c r="BD61" i="7"/>
  <c r="BE61" i="7"/>
  <c r="BF61" i="7"/>
  <c r="BG61" i="7"/>
  <c r="BH61" i="7"/>
  <c r="BI61" i="7"/>
  <c r="BS61" i="7"/>
  <c r="AZ61" i="7" s="1"/>
  <c r="BA61" i="7" s="1"/>
  <c r="BU61" i="7"/>
  <c r="BV61" i="7"/>
  <c r="S62" i="7"/>
  <c r="U62" i="7"/>
  <c r="V62" i="7"/>
  <c r="W62" i="7" s="1"/>
  <c r="AA62" i="7"/>
  <c r="AB62" i="7"/>
  <c r="AE62" i="7"/>
  <c r="AL62" i="7"/>
  <c r="AG62" i="7" s="1"/>
  <c r="AM62" i="7"/>
  <c r="AQ62" i="7"/>
  <c r="AW62" i="7"/>
  <c r="BC62" i="7"/>
  <c r="BD62" i="7"/>
  <c r="BE62" i="7"/>
  <c r="BF62" i="7"/>
  <c r="BG62" i="7"/>
  <c r="BH62" i="7"/>
  <c r="BI62" i="7"/>
  <c r="BU62" i="7"/>
  <c r="BV62" i="7"/>
  <c r="S63" i="7"/>
  <c r="AA63" i="7"/>
  <c r="V63" i="7" s="1"/>
  <c r="W63" i="7" s="1"/>
  <c r="AB63" i="7"/>
  <c r="AE63" i="7"/>
  <c r="AL63" i="7"/>
  <c r="AH63" i="7" s="1"/>
  <c r="AI63" i="7" s="1"/>
  <c r="AM63" i="7"/>
  <c r="AG63" i="7" s="1"/>
  <c r="AQ63" i="7"/>
  <c r="AW63" i="7"/>
  <c r="BC63" i="7"/>
  <c r="BD63" i="7"/>
  <c r="BE63" i="7"/>
  <c r="BF63" i="7"/>
  <c r="BG63" i="7"/>
  <c r="BH63" i="7"/>
  <c r="BI63" i="7"/>
  <c r="BS63" i="7"/>
  <c r="AZ63" i="7" s="1"/>
  <c r="BA63" i="7" s="1"/>
  <c r="BU63" i="7"/>
  <c r="BV63" i="7"/>
  <c r="S64" i="7"/>
  <c r="AA64" i="7"/>
  <c r="V64" i="7" s="1"/>
  <c r="W64" i="7" s="1"/>
  <c r="AB64" i="7"/>
  <c r="AL64" i="7"/>
  <c r="AH64" i="7" s="1"/>
  <c r="AI64" i="7" s="1"/>
  <c r="AM64" i="7"/>
  <c r="AW64" i="7"/>
  <c r="BC64" i="7"/>
  <c r="BD64" i="7"/>
  <c r="BE64" i="7"/>
  <c r="BF64" i="7"/>
  <c r="BG64" i="7"/>
  <c r="BH64" i="7"/>
  <c r="BI64" i="7"/>
  <c r="BU64" i="7"/>
  <c r="BV64" i="7"/>
  <c r="S65" i="7"/>
  <c r="AA65" i="7"/>
  <c r="V65" i="7" s="1"/>
  <c r="W65" i="7" s="1"/>
  <c r="AB65" i="7"/>
  <c r="AE65" i="7"/>
  <c r="AL65" i="7"/>
  <c r="AH65" i="7" s="1"/>
  <c r="AI65" i="7" s="1"/>
  <c r="AM65" i="7"/>
  <c r="AQ65" i="7"/>
  <c r="AW65" i="7"/>
  <c r="BC65" i="7"/>
  <c r="BD65" i="7"/>
  <c r="BE65" i="7"/>
  <c r="BF65" i="7"/>
  <c r="BG65" i="7"/>
  <c r="BH65" i="7"/>
  <c r="BI65" i="7"/>
  <c r="BS65" i="7"/>
  <c r="AZ65" i="7" s="1"/>
  <c r="BA65" i="7" s="1"/>
  <c r="BU65" i="7"/>
  <c r="BV65" i="7"/>
  <c r="S66" i="7"/>
  <c r="V66" i="7"/>
  <c r="W66" i="7" s="1"/>
  <c r="AA66" i="7"/>
  <c r="AB66" i="7"/>
  <c r="AE66" i="7"/>
  <c r="AL66" i="7"/>
  <c r="AM66" i="7"/>
  <c r="AQ66" i="7"/>
  <c r="AW66" i="7"/>
  <c r="BC66" i="7"/>
  <c r="BD66" i="7"/>
  <c r="BE66" i="7"/>
  <c r="BF66" i="7"/>
  <c r="BG66" i="7"/>
  <c r="BH66" i="7"/>
  <c r="BI66" i="7"/>
  <c r="BS66" i="7"/>
  <c r="AZ66" i="7" s="1"/>
  <c r="BA66" i="7" s="1"/>
  <c r="BU66" i="7"/>
  <c r="BV66" i="7"/>
  <c r="S67" i="7"/>
  <c r="V67" i="7"/>
  <c r="W67" i="7" s="1"/>
  <c r="AA67" i="7"/>
  <c r="U67" i="7" s="1"/>
  <c r="AB67" i="7"/>
  <c r="AL67" i="7"/>
  <c r="AH67" i="7" s="1"/>
  <c r="AI67" i="7" s="1"/>
  <c r="AM67" i="7"/>
  <c r="AG67" i="7" s="1"/>
  <c r="AQ67" i="7"/>
  <c r="AW67" i="7"/>
  <c r="BC67" i="7"/>
  <c r="BD67" i="7"/>
  <c r="BE67" i="7"/>
  <c r="BF67" i="7"/>
  <c r="BG67" i="7"/>
  <c r="BH67" i="7"/>
  <c r="BI67" i="7"/>
  <c r="BU67" i="7"/>
  <c r="S68" i="7"/>
  <c r="AA68" i="7"/>
  <c r="V68" i="7" s="1"/>
  <c r="W68" i="7" s="1"/>
  <c r="AB68" i="7"/>
  <c r="AE68" i="7"/>
  <c r="AL68" i="7"/>
  <c r="AH68" i="7" s="1"/>
  <c r="AI68" i="7" s="1"/>
  <c r="AM68" i="7"/>
  <c r="AQ68" i="7"/>
  <c r="AW68" i="7"/>
  <c r="BC68" i="7"/>
  <c r="BD68" i="7"/>
  <c r="BE68" i="7"/>
  <c r="BF68" i="7"/>
  <c r="BG68" i="7"/>
  <c r="BH68" i="7"/>
  <c r="BI68" i="7"/>
  <c r="BS68" i="7"/>
  <c r="AZ68" i="7" s="1"/>
  <c r="BA68" i="7" s="1"/>
  <c r="BU68" i="7"/>
  <c r="BV68" i="7"/>
  <c r="S69" i="7"/>
  <c r="AA69" i="7"/>
  <c r="V69" i="7" s="1"/>
  <c r="W69" i="7" s="1"/>
  <c r="AB69" i="7"/>
  <c r="AE69" i="7"/>
  <c r="AL69" i="7"/>
  <c r="AH69" i="7" s="1"/>
  <c r="AI69" i="7" s="1"/>
  <c r="AM69" i="7"/>
  <c r="AQ69" i="7"/>
  <c r="AW69" i="7"/>
  <c r="BC69" i="7"/>
  <c r="BD69" i="7"/>
  <c r="BE69" i="7"/>
  <c r="BF69" i="7"/>
  <c r="BG69" i="7"/>
  <c r="BH69" i="7"/>
  <c r="BI69" i="7"/>
  <c r="BS69" i="7"/>
  <c r="AZ69" i="7" s="1"/>
  <c r="BA69" i="7" s="1"/>
  <c r="BU69" i="7"/>
  <c r="BV69" i="7"/>
  <c r="S70" i="7"/>
  <c r="AA70" i="7"/>
  <c r="V70" i="7" s="1"/>
  <c r="W70" i="7" s="1"/>
  <c r="AB70" i="7"/>
  <c r="U70" i="7" s="1"/>
  <c r="AL70" i="7"/>
  <c r="AG70" i="7" s="1"/>
  <c r="AM70" i="7"/>
  <c r="AW70" i="7"/>
  <c r="BC70" i="7"/>
  <c r="BD70" i="7"/>
  <c r="BE70" i="7"/>
  <c r="BF70" i="7"/>
  <c r="BG70" i="7"/>
  <c r="BH70" i="7"/>
  <c r="BI70" i="7"/>
  <c r="BS70" i="7"/>
  <c r="AZ70" i="7" s="1"/>
  <c r="BA70" i="7" s="1"/>
  <c r="S71" i="7"/>
  <c r="U71" i="7"/>
  <c r="V71" i="7"/>
  <c r="W71" i="7" s="1"/>
  <c r="AA71" i="7"/>
  <c r="AB71" i="7"/>
  <c r="AE71" i="7"/>
  <c r="AL71" i="7"/>
  <c r="AG71" i="7" s="1"/>
  <c r="AM71" i="7"/>
  <c r="AQ71" i="7"/>
  <c r="AW71" i="7"/>
  <c r="BC71" i="7"/>
  <c r="BD71" i="7"/>
  <c r="BE71" i="7"/>
  <c r="BF71" i="7"/>
  <c r="BG71" i="7"/>
  <c r="BH71" i="7"/>
  <c r="BI71" i="7"/>
  <c r="BS71" i="7"/>
  <c r="AZ71" i="7" s="1"/>
  <c r="BA71" i="7" s="1"/>
  <c r="BU71" i="7"/>
  <c r="BV71" i="7"/>
  <c r="S72" i="7"/>
  <c r="AA72" i="7"/>
  <c r="V72" i="7" s="1"/>
  <c r="W72" i="7" s="1"/>
  <c r="AB72" i="7"/>
  <c r="AL72" i="7"/>
  <c r="AH72" i="7" s="1"/>
  <c r="AI72" i="7" s="1"/>
  <c r="AM72" i="7"/>
  <c r="AG72" i="7" s="1"/>
  <c r="AW72" i="7"/>
  <c r="BC72" i="7"/>
  <c r="BD72" i="7"/>
  <c r="BE72" i="7"/>
  <c r="BF72" i="7"/>
  <c r="BG72" i="7"/>
  <c r="BH72" i="7"/>
  <c r="BI72" i="7"/>
  <c r="BV72" i="7"/>
  <c r="AA73" i="7"/>
  <c r="V73" i="7" s="1"/>
  <c r="W73" i="7" s="1"/>
  <c r="AB73" i="7"/>
  <c r="AL73" i="7"/>
  <c r="AH73" i="7" s="1"/>
  <c r="AI73" i="7" s="1"/>
  <c r="AM73" i="7"/>
  <c r="AW73" i="7"/>
  <c r="BC73" i="7"/>
  <c r="BD73" i="7"/>
  <c r="BE73" i="7"/>
  <c r="BF73" i="7"/>
  <c r="BG73" i="7"/>
  <c r="BH73" i="7"/>
  <c r="BI73" i="7"/>
  <c r="BS73" i="7"/>
  <c r="AZ73" i="7" s="1"/>
  <c r="BA73" i="7" s="1"/>
  <c r="BV73" i="7"/>
  <c r="V74" i="7"/>
  <c r="W74" i="7" s="1"/>
  <c r="AA74" i="7"/>
  <c r="U74" i="7" s="1"/>
  <c r="AB74" i="7"/>
  <c r="AH74" i="7"/>
  <c r="AI74" i="7" s="1"/>
  <c r="AL74" i="7"/>
  <c r="AM74" i="7"/>
  <c r="AG74" i="7" s="1"/>
  <c r="AQ74" i="7"/>
  <c r="AW74" i="7"/>
  <c r="BC74" i="7"/>
  <c r="BD74" i="7"/>
  <c r="BE74" i="7"/>
  <c r="BF74" i="7"/>
  <c r="BG74" i="7"/>
  <c r="BH74" i="7"/>
  <c r="BI74" i="7"/>
  <c r="BS74" i="7"/>
  <c r="AZ74" i="7" s="1"/>
  <c r="BA74" i="7" s="1"/>
  <c r="BU74" i="7"/>
  <c r="V75" i="7"/>
  <c r="W75" i="7" s="1"/>
  <c r="AA75" i="7"/>
  <c r="AB75" i="7"/>
  <c r="U75" i="7" s="1"/>
  <c r="AL75" i="7"/>
  <c r="AH75" i="7" s="1"/>
  <c r="AI75" i="7" s="1"/>
  <c r="AM75" i="7"/>
  <c r="AG75" i="7" s="1"/>
  <c r="AW75" i="7"/>
  <c r="BC75" i="7"/>
  <c r="BD75" i="7"/>
  <c r="BE75" i="7"/>
  <c r="BF75" i="7"/>
  <c r="BG75" i="7"/>
  <c r="BH75" i="7"/>
  <c r="BI75" i="7"/>
  <c r="BS75" i="7"/>
  <c r="AZ75" i="7" s="1"/>
  <c r="BA75" i="7" s="1"/>
  <c r="S76" i="7"/>
  <c r="AA76" i="7"/>
  <c r="V76" i="7" s="1"/>
  <c r="W76" i="7" s="1"/>
  <c r="AB76" i="7"/>
  <c r="AE76" i="7"/>
  <c r="AL76" i="7"/>
  <c r="AH76" i="7" s="1"/>
  <c r="AI76" i="7" s="1"/>
  <c r="AM76" i="7"/>
  <c r="AQ76" i="7"/>
  <c r="AW76" i="7"/>
  <c r="BC76" i="7"/>
  <c r="BD76" i="7"/>
  <c r="BE76" i="7"/>
  <c r="BF76" i="7"/>
  <c r="BG76" i="7"/>
  <c r="BH76" i="7"/>
  <c r="BI76" i="7"/>
  <c r="BS76" i="7"/>
  <c r="AZ76" i="7" s="1"/>
  <c r="BA76" i="7" s="1"/>
  <c r="BU76" i="7"/>
  <c r="BV76" i="7"/>
  <c r="S77" i="7"/>
  <c r="AA77" i="7"/>
  <c r="AB77" i="7"/>
  <c r="AE77" i="7"/>
  <c r="AL77" i="7"/>
  <c r="AM77" i="7"/>
  <c r="AQ77" i="7"/>
  <c r="AW77" i="7"/>
  <c r="BC77" i="7"/>
  <c r="BD77" i="7"/>
  <c r="BE77" i="7"/>
  <c r="BF77" i="7"/>
  <c r="BG77" i="7"/>
  <c r="BH77" i="7"/>
  <c r="BI77" i="7"/>
  <c r="BS77" i="7"/>
  <c r="AZ77" i="7" s="1"/>
  <c r="BA77" i="7" s="1"/>
  <c r="BU77" i="7"/>
  <c r="BV77" i="7"/>
  <c r="S78" i="7"/>
  <c r="U78" i="7"/>
  <c r="V78" i="7"/>
  <c r="W78" i="7"/>
  <c r="AA78" i="7"/>
  <c r="AB78" i="7"/>
  <c r="AE78" i="7"/>
  <c r="AL78" i="7"/>
  <c r="AM78" i="7"/>
  <c r="AQ78" i="7"/>
  <c r="AW78" i="7"/>
  <c r="BC78" i="7"/>
  <c r="BD78" i="7"/>
  <c r="BE78" i="7"/>
  <c r="BF78" i="7"/>
  <c r="BG78" i="7"/>
  <c r="BH78" i="7"/>
  <c r="BI78" i="7"/>
  <c r="BS78" i="7"/>
  <c r="AZ78" i="7" s="1"/>
  <c r="BA78" i="7" s="1"/>
  <c r="BU78" i="7"/>
  <c r="BV78" i="7"/>
  <c r="V79" i="7"/>
  <c r="W79" i="7" s="1"/>
  <c r="AA79" i="7"/>
  <c r="AB79" i="7"/>
  <c r="AE79" i="7"/>
  <c r="AG79" i="7"/>
  <c r="AH79" i="7"/>
  <c r="AI79" i="7" s="1"/>
  <c r="AL79" i="7"/>
  <c r="AM79" i="7"/>
  <c r="AW79" i="7"/>
  <c r="BC79" i="7"/>
  <c r="BD79" i="7"/>
  <c r="BE79" i="7"/>
  <c r="BF79" i="7"/>
  <c r="BG79" i="7"/>
  <c r="BH79" i="7"/>
  <c r="BI79" i="7"/>
  <c r="BS79" i="7"/>
  <c r="AZ79" i="7" s="1"/>
  <c r="BA79" i="7" s="1"/>
  <c r="BV79" i="7"/>
  <c r="S80" i="7"/>
  <c r="AA80" i="7"/>
  <c r="V80" i="7" s="1"/>
  <c r="W80" i="7" s="1"/>
  <c r="AB80" i="7"/>
  <c r="AE80" i="7"/>
  <c r="AL80" i="7"/>
  <c r="AH80" i="7" s="1"/>
  <c r="AI80" i="7" s="1"/>
  <c r="AM80" i="7"/>
  <c r="AQ80" i="7"/>
  <c r="AW80" i="7"/>
  <c r="BC80" i="7"/>
  <c r="BD80" i="7"/>
  <c r="BE80" i="7"/>
  <c r="BF80" i="7"/>
  <c r="BG80" i="7"/>
  <c r="BH80" i="7"/>
  <c r="BI80" i="7"/>
  <c r="BS80" i="7"/>
  <c r="AZ80" i="7" s="1"/>
  <c r="BA80" i="7" s="1"/>
  <c r="BU80" i="7"/>
  <c r="BV80" i="7"/>
  <c r="V81" i="7"/>
  <c r="W81" i="7" s="1"/>
  <c r="AA81" i="7"/>
  <c r="AB81" i="7"/>
  <c r="AE81" i="7"/>
  <c r="AL81" i="7"/>
  <c r="AM81" i="7"/>
  <c r="AQ81" i="7"/>
  <c r="AW81" i="7"/>
  <c r="BC81" i="7"/>
  <c r="BD81" i="7"/>
  <c r="BE81" i="7"/>
  <c r="BF81" i="7"/>
  <c r="BG81" i="7"/>
  <c r="BH81" i="7"/>
  <c r="BI81" i="7"/>
  <c r="BS81" i="7"/>
  <c r="AZ81" i="7" s="1"/>
  <c r="BA81" i="7" s="1"/>
  <c r="S82" i="7"/>
  <c r="V82" i="7"/>
  <c r="W82" i="7" s="1"/>
  <c r="AA82" i="7"/>
  <c r="U82" i="7" s="1"/>
  <c r="AB82" i="7"/>
  <c r="AE82" i="7"/>
  <c r="AG82" i="7"/>
  <c r="AL82" i="7"/>
  <c r="AH82" i="7" s="1"/>
  <c r="AI82" i="7" s="1"/>
  <c r="AM82" i="7"/>
  <c r="AQ82" i="7"/>
  <c r="AW82" i="7"/>
  <c r="BC82" i="7"/>
  <c r="BD82" i="7"/>
  <c r="BE82" i="7"/>
  <c r="BF82" i="7"/>
  <c r="BG82" i="7"/>
  <c r="BH82" i="7"/>
  <c r="BI82" i="7"/>
  <c r="BS82" i="7"/>
  <c r="AZ82" i="7" s="1"/>
  <c r="BA82" i="7" s="1"/>
  <c r="BU82" i="7"/>
  <c r="BV82" i="7"/>
  <c r="S83" i="7"/>
  <c r="AA83" i="7"/>
  <c r="V83" i="7" s="1"/>
  <c r="W83" i="7" s="1"/>
  <c r="AB83" i="7"/>
  <c r="AH83" i="7"/>
  <c r="AI83" i="7" s="1"/>
  <c r="AL83" i="7"/>
  <c r="AM83" i="7"/>
  <c r="AG83" i="7" s="1"/>
  <c r="AQ83" i="7"/>
  <c r="AW83" i="7"/>
  <c r="BC83" i="7"/>
  <c r="BD83" i="7"/>
  <c r="BE83" i="7"/>
  <c r="BF83" i="7"/>
  <c r="BG83" i="7"/>
  <c r="BH83" i="7"/>
  <c r="BI83" i="7"/>
  <c r="BU83" i="7"/>
  <c r="BV83" i="7"/>
  <c r="S84" i="7"/>
  <c r="W84" i="7"/>
  <c r="AA84" i="7"/>
  <c r="V84" i="7" s="1"/>
  <c r="AB84" i="7"/>
  <c r="U84" i="7" s="1"/>
  <c r="AE84" i="7"/>
  <c r="AL84" i="7"/>
  <c r="AH84" i="7" s="1"/>
  <c r="AI84" i="7" s="1"/>
  <c r="AM84" i="7"/>
  <c r="AQ84" i="7"/>
  <c r="AW84" i="7"/>
  <c r="BC84" i="7"/>
  <c r="BD84" i="7"/>
  <c r="BE84" i="7"/>
  <c r="BF84" i="7"/>
  <c r="BG84" i="7"/>
  <c r="BH84" i="7"/>
  <c r="BI84" i="7"/>
  <c r="BS84" i="7"/>
  <c r="AZ84" i="7" s="1"/>
  <c r="BA84" i="7" s="1"/>
  <c r="BU84" i="7"/>
  <c r="BV84" i="7"/>
  <c r="S85" i="7"/>
  <c r="AA85" i="7"/>
  <c r="AB85" i="7"/>
  <c r="AE85" i="7"/>
  <c r="AL85" i="7"/>
  <c r="AM85" i="7"/>
  <c r="AQ85" i="7"/>
  <c r="AW85" i="7"/>
  <c r="BC85" i="7"/>
  <c r="BD85" i="7"/>
  <c r="BE85" i="7"/>
  <c r="BF85" i="7"/>
  <c r="BG85" i="7"/>
  <c r="BH85" i="7"/>
  <c r="BI85" i="7"/>
  <c r="BS85" i="7"/>
  <c r="AZ85" i="7" s="1"/>
  <c r="BA85" i="7" s="1"/>
  <c r="BU85" i="7"/>
  <c r="BV85" i="7"/>
  <c r="S86" i="7"/>
  <c r="AA86" i="7"/>
  <c r="V86" i="7" s="1"/>
  <c r="W86" i="7" s="1"/>
  <c r="AB86" i="7"/>
  <c r="AE86" i="7"/>
  <c r="AL86" i="7"/>
  <c r="AH86" i="7" s="1"/>
  <c r="AI86" i="7" s="1"/>
  <c r="AM86" i="7"/>
  <c r="AQ86" i="7"/>
  <c r="AW86" i="7"/>
  <c r="BC86" i="7"/>
  <c r="BD86" i="7"/>
  <c r="BE86" i="7"/>
  <c r="BF86" i="7"/>
  <c r="BG86" i="7"/>
  <c r="BH86" i="7"/>
  <c r="BI86" i="7"/>
  <c r="BS86" i="7"/>
  <c r="AZ86" i="7" s="1"/>
  <c r="BA86" i="7" s="1"/>
  <c r="BU86" i="7"/>
  <c r="BV86" i="7"/>
  <c r="S87" i="7"/>
  <c r="AA87" i="7"/>
  <c r="AB87" i="7"/>
  <c r="AE87" i="7"/>
  <c r="AL87" i="7"/>
  <c r="AH87" i="7" s="1"/>
  <c r="AI87" i="7" s="1"/>
  <c r="AM87" i="7"/>
  <c r="AG87" i="7" s="1"/>
  <c r="AQ87" i="7"/>
  <c r="AW87" i="7"/>
  <c r="BC87" i="7"/>
  <c r="BD87" i="7"/>
  <c r="BE87" i="7"/>
  <c r="BF87" i="7"/>
  <c r="BG87" i="7"/>
  <c r="BH87" i="7"/>
  <c r="BI87" i="7"/>
  <c r="BS87" i="7"/>
  <c r="AZ87" i="7" s="1"/>
  <c r="BA87" i="7" s="1"/>
  <c r="BU87" i="7"/>
  <c r="BV87" i="7"/>
  <c r="S88" i="7"/>
  <c r="AA88" i="7"/>
  <c r="AB88" i="7"/>
  <c r="AE88" i="7"/>
  <c r="AH88" i="7"/>
  <c r="AI88" i="7" s="1"/>
  <c r="AL88" i="7"/>
  <c r="AM88" i="7"/>
  <c r="AG88" i="7" s="1"/>
  <c r="AQ88" i="7"/>
  <c r="AW88" i="7"/>
  <c r="BC88" i="7"/>
  <c r="BD88" i="7"/>
  <c r="BE88" i="7"/>
  <c r="BF88" i="7"/>
  <c r="BG88" i="7"/>
  <c r="BH88" i="7"/>
  <c r="BI88" i="7"/>
  <c r="BS88" i="7"/>
  <c r="AZ88" i="7" s="1"/>
  <c r="BA88" i="7" s="1"/>
  <c r="BU88" i="7"/>
  <c r="BV88" i="7"/>
  <c r="S89" i="7"/>
  <c r="AA89" i="7"/>
  <c r="V89" i="7" s="1"/>
  <c r="W89" i="7" s="1"/>
  <c r="AB89" i="7"/>
  <c r="U89" i="7" s="1"/>
  <c r="AE89" i="7"/>
  <c r="AL89" i="7"/>
  <c r="AH89" i="7" s="1"/>
  <c r="AI89" i="7" s="1"/>
  <c r="AM89" i="7"/>
  <c r="AQ89" i="7"/>
  <c r="AW89" i="7"/>
  <c r="BC89" i="7"/>
  <c r="BD89" i="7"/>
  <c r="BE89" i="7"/>
  <c r="BF89" i="7"/>
  <c r="BG89" i="7"/>
  <c r="BH89" i="7"/>
  <c r="BI89" i="7"/>
  <c r="BS89" i="7"/>
  <c r="AZ89" i="7" s="1"/>
  <c r="BA89" i="7" s="1"/>
  <c r="BU89" i="7"/>
  <c r="BV89" i="7"/>
  <c r="S90" i="7"/>
  <c r="AA90" i="7"/>
  <c r="V90" i="7" s="1"/>
  <c r="W90" i="7" s="1"/>
  <c r="AB90" i="7"/>
  <c r="AE90" i="7"/>
  <c r="AL90" i="7"/>
  <c r="AH90" i="7" s="1"/>
  <c r="AI90" i="7" s="1"/>
  <c r="AM90" i="7"/>
  <c r="AQ90" i="7"/>
  <c r="AW90" i="7"/>
  <c r="BC90" i="7"/>
  <c r="BD90" i="7"/>
  <c r="BE90" i="7"/>
  <c r="BF90" i="7"/>
  <c r="BG90" i="7"/>
  <c r="BH90" i="7"/>
  <c r="BI90" i="7"/>
  <c r="BS90" i="7"/>
  <c r="AZ90" i="7" s="1"/>
  <c r="BA90" i="7" s="1"/>
  <c r="BU90" i="7"/>
  <c r="BT90" i="7" s="1"/>
  <c r="BV90" i="7"/>
  <c r="S91" i="7"/>
  <c r="V91" i="7"/>
  <c r="W91" i="7"/>
  <c r="AA91" i="7"/>
  <c r="AB91" i="7"/>
  <c r="U91" i="7" s="1"/>
  <c r="AE91" i="7"/>
  <c r="AH91" i="7"/>
  <c r="AI91" i="7" s="1"/>
  <c r="AL91" i="7"/>
  <c r="AM91" i="7"/>
  <c r="AG91" i="7" s="1"/>
  <c r="AQ91" i="7"/>
  <c r="AW91" i="7"/>
  <c r="BC91" i="7"/>
  <c r="BD91" i="7"/>
  <c r="BE91" i="7"/>
  <c r="BF91" i="7"/>
  <c r="BG91" i="7"/>
  <c r="BH91" i="7"/>
  <c r="BI91" i="7"/>
  <c r="BS91" i="7"/>
  <c r="AZ91" i="7" s="1"/>
  <c r="BA91" i="7" s="1"/>
  <c r="BU91" i="7"/>
  <c r="BV91" i="7"/>
  <c r="S92" i="7"/>
  <c r="AA92" i="7"/>
  <c r="AB92" i="7"/>
  <c r="AE92" i="7"/>
  <c r="AL92" i="7"/>
  <c r="AH92" i="7" s="1"/>
  <c r="AI92" i="7" s="1"/>
  <c r="AM92" i="7"/>
  <c r="AQ92" i="7"/>
  <c r="AW92" i="7"/>
  <c r="BC92" i="7"/>
  <c r="BD92" i="7"/>
  <c r="BE92" i="7"/>
  <c r="BF92" i="7"/>
  <c r="BG92" i="7"/>
  <c r="BH92" i="7"/>
  <c r="BI92" i="7"/>
  <c r="BS92" i="7"/>
  <c r="AZ92" i="7" s="1"/>
  <c r="BA92" i="7" s="1"/>
  <c r="BU92" i="7"/>
  <c r="BV92" i="7"/>
  <c r="S93" i="7"/>
  <c r="AA93" i="7"/>
  <c r="V93" i="7" s="1"/>
  <c r="W93" i="7" s="1"/>
  <c r="AB93" i="7"/>
  <c r="AE93" i="7"/>
  <c r="AL93" i="7"/>
  <c r="AH93" i="7" s="1"/>
  <c r="AI93" i="7" s="1"/>
  <c r="AM93" i="7"/>
  <c r="AG93" i="7" s="1"/>
  <c r="AQ93" i="7"/>
  <c r="AW93" i="7"/>
  <c r="BC93" i="7"/>
  <c r="BD93" i="7"/>
  <c r="BE93" i="7"/>
  <c r="BF93" i="7"/>
  <c r="BG93" i="7"/>
  <c r="BH93" i="7"/>
  <c r="BI93" i="7"/>
  <c r="BS93" i="7"/>
  <c r="AZ93" i="7" s="1"/>
  <c r="BA93" i="7" s="1"/>
  <c r="BU93" i="7"/>
  <c r="BV93" i="7"/>
  <c r="S94" i="7"/>
  <c r="AA94" i="7"/>
  <c r="V94" i="7" s="1"/>
  <c r="W94" i="7" s="1"/>
  <c r="AB94" i="7"/>
  <c r="AE94" i="7"/>
  <c r="AL94" i="7"/>
  <c r="AH94" i="7" s="1"/>
  <c r="AI94" i="7" s="1"/>
  <c r="AM94" i="7"/>
  <c r="AQ94" i="7"/>
  <c r="AW94" i="7"/>
  <c r="BC94" i="7"/>
  <c r="BD94" i="7"/>
  <c r="BE94" i="7"/>
  <c r="BF94" i="7"/>
  <c r="BG94" i="7"/>
  <c r="BH94" i="7"/>
  <c r="BI94" i="7"/>
  <c r="BS94" i="7"/>
  <c r="AZ94" i="7" s="1"/>
  <c r="BA94" i="7" s="1"/>
  <c r="BU94" i="7"/>
  <c r="BT94" i="7" s="1"/>
  <c r="BV94" i="7"/>
  <c r="S95" i="7"/>
  <c r="AA95" i="7"/>
  <c r="AB95" i="7"/>
  <c r="AE95" i="7"/>
  <c r="AG95" i="7"/>
  <c r="AL95" i="7"/>
  <c r="AH95" i="7" s="1"/>
  <c r="AI95" i="7" s="1"/>
  <c r="AM95" i="7"/>
  <c r="AQ95" i="7"/>
  <c r="AW95" i="7"/>
  <c r="BC95" i="7"/>
  <c r="BD95" i="7"/>
  <c r="BE95" i="7"/>
  <c r="BF95" i="7"/>
  <c r="BG95" i="7"/>
  <c r="BH95" i="7"/>
  <c r="BI95" i="7"/>
  <c r="BS95" i="7"/>
  <c r="AZ95" i="7" s="1"/>
  <c r="BA95" i="7" s="1"/>
  <c r="BU95" i="7"/>
  <c r="BT95" i="7" s="1"/>
  <c r="BV95" i="7"/>
  <c r="S96" i="7"/>
  <c r="AA96" i="7"/>
  <c r="AB96" i="7"/>
  <c r="AE96" i="7"/>
  <c r="AH96" i="7"/>
  <c r="AI96" i="7" s="1"/>
  <c r="AL96" i="7"/>
  <c r="AG96" i="7" s="1"/>
  <c r="AM96" i="7"/>
  <c r="AQ96" i="7"/>
  <c r="AW96" i="7"/>
  <c r="BC96" i="7"/>
  <c r="BD96" i="7"/>
  <c r="BE96" i="7"/>
  <c r="BF96" i="7"/>
  <c r="BG96" i="7"/>
  <c r="BH96" i="7"/>
  <c r="BI96" i="7"/>
  <c r="BS96" i="7"/>
  <c r="AZ96" i="7" s="1"/>
  <c r="BA96" i="7" s="1"/>
  <c r="BU96" i="7"/>
  <c r="BT96" i="7" s="1"/>
  <c r="BV96" i="7"/>
  <c r="S97" i="7"/>
  <c r="AA97" i="7"/>
  <c r="V97" i="7" s="1"/>
  <c r="W97" i="7" s="1"/>
  <c r="AB97" i="7"/>
  <c r="U97" i="7" s="1"/>
  <c r="AE97" i="7"/>
  <c r="AL97" i="7"/>
  <c r="AH97" i="7" s="1"/>
  <c r="AI97" i="7" s="1"/>
  <c r="AM97" i="7"/>
  <c r="AQ97" i="7"/>
  <c r="AW97" i="7"/>
  <c r="BC97" i="7"/>
  <c r="BD97" i="7"/>
  <c r="BE97" i="7"/>
  <c r="BF97" i="7"/>
  <c r="BG97" i="7"/>
  <c r="BH97" i="7"/>
  <c r="BI97" i="7"/>
  <c r="BS97" i="7"/>
  <c r="AZ97" i="7" s="1"/>
  <c r="BA97" i="7" s="1"/>
  <c r="BU97" i="7"/>
  <c r="BT97" i="7" s="1"/>
  <c r="BV97" i="7"/>
  <c r="S98" i="7"/>
  <c r="AA98" i="7"/>
  <c r="V98" i="7" s="1"/>
  <c r="W98" i="7" s="1"/>
  <c r="AB98" i="7"/>
  <c r="AE98" i="7"/>
  <c r="AL98" i="7"/>
  <c r="AH98" i="7" s="1"/>
  <c r="AI98" i="7" s="1"/>
  <c r="AM98" i="7"/>
  <c r="AQ98" i="7"/>
  <c r="AW98" i="7"/>
  <c r="BC98" i="7"/>
  <c r="BD98" i="7"/>
  <c r="BE98" i="7"/>
  <c r="BF98" i="7"/>
  <c r="BG98" i="7"/>
  <c r="BH98" i="7"/>
  <c r="BI98" i="7"/>
  <c r="BS98" i="7"/>
  <c r="AZ98" i="7" s="1"/>
  <c r="BA98" i="7" s="1"/>
  <c r="BU98" i="7"/>
  <c r="BT98" i="7" s="1"/>
  <c r="BV98" i="7"/>
  <c r="S99" i="7"/>
  <c r="AA99" i="7"/>
  <c r="U99" i="7" s="1"/>
  <c r="AB99" i="7"/>
  <c r="AE99" i="7"/>
  <c r="AH99" i="7"/>
  <c r="AI99" i="7" s="1"/>
  <c r="AL99" i="7"/>
  <c r="AM99" i="7"/>
  <c r="AG99" i="7" s="1"/>
  <c r="AQ99" i="7"/>
  <c r="AW99" i="7"/>
  <c r="BC99" i="7"/>
  <c r="BD99" i="7"/>
  <c r="BE99" i="7"/>
  <c r="BF99" i="7"/>
  <c r="BG99" i="7"/>
  <c r="BH99" i="7"/>
  <c r="BI99" i="7"/>
  <c r="BS99" i="7"/>
  <c r="AZ99" i="7" s="1"/>
  <c r="BA99" i="7" s="1"/>
  <c r="BU99" i="7"/>
  <c r="BT99" i="7" s="1"/>
  <c r="BV99" i="7"/>
  <c r="S100" i="7"/>
  <c r="AA100" i="7"/>
  <c r="U100" i="7" s="1"/>
  <c r="AB100" i="7"/>
  <c r="AE100" i="7"/>
  <c r="AL100" i="7"/>
  <c r="AH100" i="7" s="1"/>
  <c r="AI100" i="7" s="1"/>
  <c r="AM100" i="7"/>
  <c r="AQ100" i="7"/>
  <c r="AW100" i="7"/>
  <c r="BC100" i="7"/>
  <c r="BD100" i="7"/>
  <c r="BE100" i="7"/>
  <c r="BF100" i="7"/>
  <c r="BG100" i="7"/>
  <c r="BH100" i="7"/>
  <c r="BI100" i="7"/>
  <c r="BS100" i="7"/>
  <c r="AZ100" i="7" s="1"/>
  <c r="BA100" i="7" s="1"/>
  <c r="BU100" i="7"/>
  <c r="BT100" i="7" s="1"/>
  <c r="BV100" i="7"/>
  <c r="S101" i="7"/>
  <c r="AA101" i="7"/>
  <c r="V101" i="7" s="1"/>
  <c r="W101" i="7" s="1"/>
  <c r="AB101" i="7"/>
  <c r="AE101" i="7"/>
  <c r="AL101" i="7"/>
  <c r="AH101" i="7" s="1"/>
  <c r="AI101" i="7" s="1"/>
  <c r="AM101" i="7"/>
  <c r="AG101" i="7" s="1"/>
  <c r="AQ101" i="7"/>
  <c r="AW101" i="7"/>
  <c r="BC101" i="7"/>
  <c r="BD101" i="7"/>
  <c r="BE101" i="7"/>
  <c r="BF101" i="7"/>
  <c r="BG101" i="7"/>
  <c r="BH101" i="7"/>
  <c r="BI101" i="7"/>
  <c r="BS101" i="7"/>
  <c r="AZ101" i="7" s="1"/>
  <c r="BA101" i="7" s="1"/>
  <c r="BU101" i="7"/>
  <c r="BT101" i="7" s="1"/>
  <c r="BV101" i="7"/>
  <c r="S102" i="7"/>
  <c r="AA102" i="7"/>
  <c r="V102" i="7" s="1"/>
  <c r="W102" i="7" s="1"/>
  <c r="AB102" i="7"/>
  <c r="AE102" i="7"/>
  <c r="AL102" i="7"/>
  <c r="AH102" i="7" s="1"/>
  <c r="AI102" i="7" s="1"/>
  <c r="AM102" i="7"/>
  <c r="AQ102" i="7"/>
  <c r="AW102" i="7"/>
  <c r="BC102" i="7"/>
  <c r="BD102" i="7"/>
  <c r="BE102" i="7"/>
  <c r="BF102" i="7"/>
  <c r="BG102" i="7"/>
  <c r="BH102" i="7"/>
  <c r="BI102" i="7"/>
  <c r="BS102" i="7"/>
  <c r="AZ102" i="7" s="1"/>
  <c r="BA102" i="7" s="1"/>
  <c r="BU102" i="7"/>
  <c r="BT102" i="7" s="1"/>
  <c r="BV102" i="7"/>
  <c r="S103" i="7"/>
  <c r="AA103" i="7"/>
  <c r="AB103" i="7"/>
  <c r="AE103" i="7"/>
  <c r="AG103" i="7"/>
  <c r="AH103" i="7"/>
  <c r="AI103" i="7"/>
  <c r="AL103" i="7"/>
  <c r="AM103" i="7"/>
  <c r="AQ103" i="7"/>
  <c r="AW103" i="7"/>
  <c r="BC103" i="7"/>
  <c r="BD103" i="7"/>
  <c r="BE103" i="7"/>
  <c r="BF103" i="7"/>
  <c r="BG103" i="7"/>
  <c r="BH103" i="7"/>
  <c r="BI103" i="7"/>
  <c r="BS103" i="7"/>
  <c r="AZ103" i="7" s="1"/>
  <c r="BA103" i="7" s="1"/>
  <c r="BU103" i="7"/>
  <c r="BT103" i="7" s="1"/>
  <c r="BV103" i="7"/>
  <c r="S104" i="7"/>
  <c r="AA104" i="7"/>
  <c r="AB104" i="7"/>
  <c r="AE104" i="7"/>
  <c r="AH104" i="7"/>
  <c r="AI104" i="7" s="1"/>
  <c r="AL104" i="7"/>
  <c r="AM104" i="7"/>
  <c r="AQ104" i="7"/>
  <c r="AW104" i="7"/>
  <c r="BC104" i="7"/>
  <c r="BD104" i="7"/>
  <c r="BE104" i="7"/>
  <c r="BF104" i="7"/>
  <c r="BG104" i="7"/>
  <c r="BH104" i="7"/>
  <c r="BI104" i="7"/>
  <c r="BS104" i="7"/>
  <c r="AZ104" i="7" s="1"/>
  <c r="BA104" i="7" s="1"/>
  <c r="BU104" i="7"/>
  <c r="BT104" i="7" s="1"/>
  <c r="BV104" i="7"/>
  <c r="S105" i="7"/>
  <c r="U105" i="7"/>
  <c r="AA105" i="7"/>
  <c r="V105" i="7" s="1"/>
  <c r="W105" i="7" s="1"/>
  <c r="AB105" i="7"/>
  <c r="AE105" i="7"/>
  <c r="AL105" i="7"/>
  <c r="AH105" i="7" s="1"/>
  <c r="AI105" i="7" s="1"/>
  <c r="AM105" i="7"/>
  <c r="AQ105" i="7"/>
  <c r="AW105" i="7"/>
  <c r="BC105" i="7"/>
  <c r="BD105" i="7"/>
  <c r="BE105" i="7"/>
  <c r="BF105" i="7"/>
  <c r="BG105" i="7"/>
  <c r="BH105" i="7"/>
  <c r="BI105" i="7"/>
  <c r="BS105" i="7"/>
  <c r="AZ105" i="7" s="1"/>
  <c r="BA105" i="7" s="1"/>
  <c r="BU105" i="7"/>
  <c r="BT105" i="7" s="1"/>
  <c r="BV105" i="7"/>
  <c r="S106" i="7"/>
  <c r="AA106" i="7"/>
  <c r="V106" i="7" s="1"/>
  <c r="W106" i="7" s="1"/>
  <c r="AB106" i="7"/>
  <c r="AE106" i="7"/>
  <c r="AL106" i="7"/>
  <c r="AH106" i="7" s="1"/>
  <c r="AI106" i="7" s="1"/>
  <c r="AM106" i="7"/>
  <c r="AQ106" i="7"/>
  <c r="AW106" i="7"/>
  <c r="BC106" i="7"/>
  <c r="BD106" i="7"/>
  <c r="BE106" i="7"/>
  <c r="BF106" i="7"/>
  <c r="BG106" i="7"/>
  <c r="BH106" i="7"/>
  <c r="BI106" i="7"/>
  <c r="BS106" i="7"/>
  <c r="AZ106" i="7" s="1"/>
  <c r="BA106" i="7" s="1"/>
  <c r="BU106" i="7"/>
  <c r="BT106" i="7" s="1"/>
  <c r="BV106" i="7"/>
  <c r="S107" i="7"/>
  <c r="AA107" i="7"/>
  <c r="U107" i="7" s="1"/>
  <c r="AB107" i="7"/>
  <c r="AE107" i="7"/>
  <c r="AH107" i="7"/>
  <c r="AI107" i="7" s="1"/>
  <c r="AL107" i="7"/>
  <c r="AM107" i="7"/>
  <c r="AG107" i="7" s="1"/>
  <c r="AQ107" i="7"/>
  <c r="AW107" i="7"/>
  <c r="BC107" i="7"/>
  <c r="BD107" i="7"/>
  <c r="BE107" i="7"/>
  <c r="BF107" i="7"/>
  <c r="BG107" i="7"/>
  <c r="BH107" i="7"/>
  <c r="BI107" i="7"/>
  <c r="BS107" i="7"/>
  <c r="AZ107" i="7" s="1"/>
  <c r="BA107" i="7" s="1"/>
  <c r="BU107" i="7"/>
  <c r="BV107" i="7"/>
  <c r="V108" i="7"/>
  <c r="W108" i="7" s="1"/>
  <c r="AA108" i="7"/>
  <c r="AB108" i="7"/>
  <c r="U108" i="7" s="1"/>
  <c r="AH108" i="7"/>
  <c r="AI108" i="7" s="1"/>
  <c r="AL108" i="7"/>
  <c r="AM108" i="7"/>
  <c r="AG108" i="7" s="1"/>
  <c r="AW108" i="7"/>
  <c r="BC108" i="7"/>
  <c r="BD108" i="7"/>
  <c r="BE108" i="7"/>
  <c r="BF108" i="7"/>
  <c r="BG108" i="7"/>
  <c r="BH108" i="7"/>
  <c r="BI108" i="7"/>
  <c r="AA109" i="7"/>
  <c r="V109" i="7" s="1"/>
  <c r="W109" i="7" s="1"/>
  <c r="AB109" i="7"/>
  <c r="U109" i="7" s="1"/>
  <c r="AG109" i="7"/>
  <c r="AL109" i="7"/>
  <c r="AH109" i="7" s="1"/>
  <c r="AI109" i="7" s="1"/>
  <c r="AM109" i="7"/>
  <c r="AW109" i="7"/>
  <c r="BC109" i="7"/>
  <c r="BD109" i="7"/>
  <c r="BE109" i="7"/>
  <c r="BF109" i="7"/>
  <c r="BG109" i="7"/>
  <c r="BH109" i="7"/>
  <c r="BI109" i="7"/>
  <c r="AA110" i="7"/>
  <c r="V110" i="7" s="1"/>
  <c r="W110" i="7" s="1"/>
  <c r="AB110" i="7"/>
  <c r="AL110" i="7"/>
  <c r="AH110" i="7" s="1"/>
  <c r="AI110" i="7" s="1"/>
  <c r="AM110" i="7"/>
  <c r="AW110" i="7"/>
  <c r="BC110" i="7"/>
  <c r="BD110" i="7"/>
  <c r="BE110" i="7"/>
  <c r="BF110" i="7"/>
  <c r="BG110" i="7"/>
  <c r="BH110" i="7"/>
  <c r="BI110" i="7"/>
  <c r="V111" i="7"/>
  <c r="W111" i="7" s="1"/>
  <c r="AA111" i="7"/>
  <c r="AB111" i="7"/>
  <c r="AH111" i="7"/>
  <c r="AI111" i="7" s="1"/>
  <c r="AL111" i="7"/>
  <c r="AM111" i="7"/>
  <c r="AG111" i="7" s="1"/>
  <c r="AW111" i="7"/>
  <c r="BC111" i="7"/>
  <c r="BD111" i="7"/>
  <c r="BE111" i="7"/>
  <c r="BF111" i="7"/>
  <c r="BG111" i="7"/>
  <c r="BH111" i="7"/>
  <c r="BI111" i="7"/>
  <c r="V112" i="7"/>
  <c r="W112" i="7" s="1"/>
  <c r="AA112" i="7"/>
  <c r="AB112" i="7"/>
  <c r="U112" i="7" s="1"/>
  <c r="AH112" i="7"/>
  <c r="AI112" i="7" s="1"/>
  <c r="AL112" i="7"/>
  <c r="AM112" i="7"/>
  <c r="AG112" i="7" s="1"/>
  <c r="AW112" i="7"/>
  <c r="BC112" i="7"/>
  <c r="BD112" i="7"/>
  <c r="BE112" i="7"/>
  <c r="BF112" i="7"/>
  <c r="BG112" i="7"/>
  <c r="BH112" i="7"/>
  <c r="BI112" i="7"/>
  <c r="AA113" i="7"/>
  <c r="V113" i="7" s="1"/>
  <c r="W113" i="7" s="1"/>
  <c r="AB113" i="7"/>
  <c r="AL113" i="7"/>
  <c r="AH113" i="7" s="1"/>
  <c r="AI113" i="7" s="1"/>
  <c r="AM113" i="7"/>
  <c r="AW113" i="7"/>
  <c r="BC113" i="7"/>
  <c r="BD113" i="7"/>
  <c r="BE113" i="7"/>
  <c r="BF113" i="7"/>
  <c r="BG113" i="7"/>
  <c r="BH113" i="7"/>
  <c r="BI113" i="7"/>
  <c r="AA114" i="7"/>
  <c r="V114" i="7" s="1"/>
  <c r="W114" i="7" s="1"/>
  <c r="AB114" i="7"/>
  <c r="AL114" i="7"/>
  <c r="AH114" i="7" s="1"/>
  <c r="AI114" i="7" s="1"/>
  <c r="AM114" i="7"/>
  <c r="AW114" i="7"/>
  <c r="BC114" i="7"/>
  <c r="BD114" i="7"/>
  <c r="BE114" i="7"/>
  <c r="BF114" i="7"/>
  <c r="BG114" i="7"/>
  <c r="BH114" i="7"/>
  <c r="BI114" i="7"/>
  <c r="V115" i="7"/>
  <c r="W115" i="7"/>
  <c r="AA115" i="7"/>
  <c r="AB115" i="7"/>
  <c r="AH115" i="7"/>
  <c r="AI115" i="7"/>
  <c r="AL115" i="7"/>
  <c r="AM115" i="7"/>
  <c r="AG115" i="7" s="1"/>
  <c r="AW115" i="7"/>
  <c r="BC115" i="7"/>
  <c r="BD115" i="7"/>
  <c r="BE115" i="7"/>
  <c r="BF115" i="7"/>
  <c r="BG115" i="7"/>
  <c r="BH115" i="7"/>
  <c r="BI115" i="7"/>
  <c r="D117" i="7"/>
  <c r="E117" i="7" s="1"/>
  <c r="AF117" i="7" s="1"/>
  <c r="D112" i="7"/>
  <c r="BS112" i="7" s="1"/>
  <c r="AZ112" i="7" s="1"/>
  <c r="BA112" i="7" s="1"/>
  <c r="D113" i="7"/>
  <c r="E113" i="7" s="1"/>
  <c r="T113" i="7" s="1"/>
  <c r="D114" i="7"/>
  <c r="S114" i="7" s="1"/>
  <c r="D115" i="7"/>
  <c r="E115" i="7" s="1"/>
  <c r="AR115" i="7" s="1"/>
  <c r="N115" i="7"/>
  <c r="AU115" i="7" s="1"/>
  <c r="D116" i="7"/>
  <c r="BV116" i="7" s="1"/>
  <c r="D106" i="7"/>
  <c r="D107" i="7"/>
  <c r="E107" i="7"/>
  <c r="T107" i="7" s="1"/>
  <c r="N107" i="7"/>
  <c r="AS107" i="7" s="1"/>
  <c r="D108" i="7"/>
  <c r="S108" i="7" s="1"/>
  <c r="D109" i="7"/>
  <c r="AQ109" i="7" s="1"/>
  <c r="D110" i="7"/>
  <c r="N110" i="7" s="1"/>
  <c r="AV110" i="7" s="1"/>
  <c r="D111" i="7"/>
  <c r="AE111" i="7" s="1"/>
  <c r="E111" i="7"/>
  <c r="AR111" i="7" s="1"/>
  <c r="N78" i="7"/>
  <c r="AU78" i="7" s="1"/>
  <c r="E79" i="7"/>
  <c r="T79" i="7" s="1"/>
  <c r="N80" i="7"/>
  <c r="AU80" i="7" s="1"/>
  <c r="E81" i="7"/>
  <c r="T81" i="7" s="1"/>
  <c r="N82" i="7"/>
  <c r="AV82" i="7" s="1"/>
  <c r="E83" i="7"/>
  <c r="T83" i="7" s="1"/>
  <c r="D84" i="7"/>
  <c r="E84" i="7"/>
  <c r="AR84" i="7" s="1"/>
  <c r="N84" i="7"/>
  <c r="AU84" i="7" s="1"/>
  <c r="D85" i="7"/>
  <c r="E85" i="7" s="1"/>
  <c r="AR85" i="7" s="1"/>
  <c r="D86" i="7"/>
  <c r="E86" i="7"/>
  <c r="AF86" i="7" s="1"/>
  <c r="N86" i="7"/>
  <c r="AS86" i="7" s="1"/>
  <c r="D87" i="7"/>
  <c r="E87" i="7" s="1"/>
  <c r="T87" i="7" s="1"/>
  <c r="D88" i="7"/>
  <c r="E88" i="7"/>
  <c r="T88" i="7" s="1"/>
  <c r="N88" i="7"/>
  <c r="AS88" i="7" s="1"/>
  <c r="D89" i="7"/>
  <c r="E89" i="7" s="1"/>
  <c r="AF89" i="7" s="1"/>
  <c r="D90" i="7"/>
  <c r="E90" i="7"/>
  <c r="T90" i="7" s="1"/>
  <c r="N90" i="7"/>
  <c r="AU90" i="7" s="1"/>
  <c r="D91" i="7"/>
  <c r="E91" i="7" s="1"/>
  <c r="AF91" i="7" s="1"/>
  <c r="D92" i="7"/>
  <c r="N92" i="7"/>
  <c r="AU92" i="7" s="1"/>
  <c r="D93" i="7"/>
  <c r="E93" i="7" s="1"/>
  <c r="AR93" i="7" s="1"/>
  <c r="D94" i="7"/>
  <c r="N94" i="7"/>
  <c r="BM94" i="7" s="1"/>
  <c r="D95" i="7"/>
  <c r="E95" i="7" s="1"/>
  <c r="T95" i="7" s="1"/>
  <c r="D96" i="7"/>
  <c r="N96" i="7"/>
  <c r="BM96" i="7" s="1"/>
  <c r="D97" i="7"/>
  <c r="E97" i="7" s="1"/>
  <c r="AR97" i="7" s="1"/>
  <c r="D98" i="7"/>
  <c r="N98" i="7"/>
  <c r="AS98" i="7" s="1"/>
  <c r="D99" i="7"/>
  <c r="E99" i="7" s="1"/>
  <c r="T99" i="7" s="1"/>
  <c r="D100" i="7"/>
  <c r="N100" i="7"/>
  <c r="AS100" i="7" s="1"/>
  <c r="D101" i="7"/>
  <c r="E101" i="7" s="1"/>
  <c r="AF101" i="7" s="1"/>
  <c r="D102" i="7"/>
  <c r="N102" i="7"/>
  <c r="AU102" i="7" s="1"/>
  <c r="D103" i="7"/>
  <c r="E103" i="7" s="1"/>
  <c r="AF103" i="7" s="1"/>
  <c r="D104" i="7"/>
  <c r="N104" i="7"/>
  <c r="AU104" i="7" s="1"/>
  <c r="D105" i="7"/>
  <c r="E105" i="7" s="1"/>
  <c r="AR105" i="7" s="1"/>
  <c r="T49" i="7"/>
  <c r="N49" i="7"/>
  <c r="AT49" i="7" s="1"/>
  <c r="AF51" i="7"/>
  <c r="T53" i="7"/>
  <c r="N53" i="7"/>
  <c r="AS53" i="7" s="1"/>
  <c r="AF55" i="7"/>
  <c r="N55" i="7"/>
  <c r="AS55" i="7" s="1"/>
  <c r="T57" i="7"/>
  <c r="N57" i="7"/>
  <c r="AU57" i="7" s="1"/>
  <c r="E59" i="7"/>
  <c r="AF59" i="7" s="1"/>
  <c r="N59" i="7"/>
  <c r="AS59" i="7" s="1"/>
  <c r="E61" i="7"/>
  <c r="T61" i="7" s="1"/>
  <c r="N61" i="7"/>
  <c r="AV61" i="7" s="1"/>
  <c r="E63" i="7"/>
  <c r="AF63" i="7" s="1"/>
  <c r="N63" i="7"/>
  <c r="AS63" i="7" s="1"/>
  <c r="E64" i="7"/>
  <c r="AR64" i="7" s="1"/>
  <c r="E65" i="7"/>
  <c r="T65" i="7" s="1"/>
  <c r="N65" i="7"/>
  <c r="AV65" i="7" s="1"/>
  <c r="E66" i="7"/>
  <c r="AR66" i="7" s="1"/>
  <c r="E67" i="7"/>
  <c r="T67" i="7" s="1"/>
  <c r="E68" i="7"/>
  <c r="T68" i="7" s="1"/>
  <c r="E69" i="7"/>
  <c r="T69" i="7" s="1"/>
  <c r="N69" i="7"/>
  <c r="AT69" i="7" s="1"/>
  <c r="E70" i="7"/>
  <c r="AF70" i="7" s="1"/>
  <c r="E71" i="7"/>
  <c r="AF71" i="7" s="1"/>
  <c r="N71" i="7"/>
  <c r="AT71" i="7" s="1"/>
  <c r="E72" i="7"/>
  <c r="T72" i="7" s="1"/>
  <c r="E73" i="7"/>
  <c r="T73" i="7" s="1"/>
  <c r="N73" i="7"/>
  <c r="AT73" i="7" s="1"/>
  <c r="E74" i="7"/>
  <c r="T74" i="7" s="1"/>
  <c r="N76" i="7"/>
  <c r="AU76" i="7" s="1"/>
  <c r="E76" i="7"/>
  <c r="T76" i="7" s="1"/>
  <c r="E77" i="7"/>
  <c r="T77" i="7" s="1"/>
  <c r="N77" i="7"/>
  <c r="AV77" i="7" s="1"/>
  <c r="H31" i="10"/>
  <c r="I31" i="10"/>
  <c r="H32" i="10"/>
  <c r="I32" i="10"/>
  <c r="H33" i="10"/>
  <c r="I33" i="10"/>
  <c r="H34" i="10"/>
  <c r="I34" i="10"/>
  <c r="H35" i="10"/>
  <c r="I35" i="10"/>
  <c r="H36" i="10"/>
  <c r="I36" i="10"/>
  <c r="H37" i="10"/>
  <c r="I37" i="10"/>
  <c r="H38" i="10"/>
  <c r="I38" i="10"/>
  <c r="H39" i="10"/>
  <c r="I39" i="10"/>
  <c r="H40" i="10"/>
  <c r="I40" i="10"/>
  <c r="H41" i="10"/>
  <c r="I41" i="10"/>
  <c r="H42" i="10"/>
  <c r="I42" i="10"/>
  <c r="H43" i="10"/>
  <c r="I43" i="10"/>
  <c r="H44" i="10"/>
  <c r="I44" i="10"/>
  <c r="H45" i="10"/>
  <c r="I45" i="10"/>
  <c r="H46" i="10"/>
  <c r="I46" i="10"/>
  <c r="H47" i="10"/>
  <c r="I47" i="10"/>
  <c r="H48" i="10"/>
  <c r="I48" i="10"/>
  <c r="H49" i="10"/>
  <c r="I49" i="10"/>
  <c r="H50" i="10"/>
  <c r="I50" i="10"/>
  <c r="H51" i="10"/>
  <c r="I51" i="10"/>
  <c r="H52" i="10"/>
  <c r="I52" i="10"/>
  <c r="H53" i="10"/>
  <c r="I53" i="10"/>
  <c r="H54" i="10"/>
  <c r="I54" i="10"/>
  <c r="H55" i="10"/>
  <c r="I55" i="10"/>
  <c r="H56" i="10"/>
  <c r="I56" i="10"/>
  <c r="H57" i="10"/>
  <c r="I57" i="10"/>
  <c r="H58" i="10"/>
  <c r="I58" i="10"/>
  <c r="H59" i="10"/>
  <c r="I59" i="10"/>
  <c r="H60" i="10"/>
  <c r="I60" i="10"/>
  <c r="H61" i="10"/>
  <c r="I61" i="10"/>
  <c r="H62" i="10"/>
  <c r="I62" i="10"/>
  <c r="H63" i="10"/>
  <c r="I63" i="10"/>
  <c r="H64" i="10"/>
  <c r="I64" i="10"/>
  <c r="H65" i="10"/>
  <c r="I65" i="10"/>
  <c r="H66" i="10"/>
  <c r="I66" i="10"/>
  <c r="H67" i="10"/>
  <c r="I67" i="10"/>
  <c r="H68" i="10"/>
  <c r="I68" i="10"/>
  <c r="H69" i="10"/>
  <c r="I69" i="10"/>
  <c r="H70" i="10"/>
  <c r="I70" i="10"/>
  <c r="H71" i="10"/>
  <c r="I71" i="10"/>
  <c r="H72" i="10"/>
  <c r="I72" i="10"/>
  <c r="H73" i="10"/>
  <c r="I73" i="10"/>
  <c r="H74" i="10"/>
  <c r="I74" i="10"/>
  <c r="H75" i="10"/>
  <c r="I75" i="10"/>
  <c r="H76" i="10"/>
  <c r="I76" i="10"/>
  <c r="H77" i="10"/>
  <c r="I77" i="10"/>
  <c r="H78" i="10"/>
  <c r="I78" i="10"/>
  <c r="H79" i="10"/>
  <c r="I79" i="10"/>
  <c r="H80" i="10"/>
  <c r="I80" i="10"/>
  <c r="H81" i="10"/>
  <c r="I81" i="10"/>
  <c r="H82" i="10"/>
  <c r="I82" i="10"/>
  <c r="H83" i="10"/>
  <c r="I83" i="10"/>
  <c r="H84" i="10"/>
  <c r="I84" i="10"/>
  <c r="H85" i="10"/>
  <c r="I85" i="10"/>
  <c r="H86" i="10"/>
  <c r="I86" i="10"/>
  <c r="H87" i="10"/>
  <c r="I87" i="10"/>
  <c r="H88" i="10"/>
  <c r="I88" i="10"/>
  <c r="H89" i="10"/>
  <c r="I89" i="10"/>
  <c r="H90" i="10"/>
  <c r="I90" i="10"/>
  <c r="H91" i="10"/>
  <c r="I91" i="10"/>
  <c r="H92" i="10"/>
  <c r="I92" i="10"/>
  <c r="H93" i="10"/>
  <c r="I93" i="10"/>
  <c r="H94" i="10"/>
  <c r="I94" i="10"/>
  <c r="H95" i="10"/>
  <c r="I95" i="10"/>
  <c r="H96" i="10"/>
  <c r="I96" i="10"/>
  <c r="H97" i="10"/>
  <c r="I97" i="10"/>
  <c r="H98" i="10"/>
  <c r="I98" i="10"/>
  <c r="H99" i="10"/>
  <c r="I99" i="10"/>
  <c r="H100" i="10"/>
  <c r="I100" i="10"/>
  <c r="U111" i="7" l="1"/>
  <c r="AG104" i="7"/>
  <c r="AG81" i="7"/>
  <c r="U103" i="7"/>
  <c r="U92" i="7"/>
  <c r="U87" i="7"/>
  <c r="U79" i="7"/>
  <c r="AG58" i="7"/>
  <c r="U66" i="7"/>
  <c r="U96" i="7"/>
  <c r="U115" i="7"/>
  <c r="U104" i="7"/>
  <c r="AG78" i="7"/>
  <c r="U95" i="7"/>
  <c r="U88" i="7"/>
  <c r="AG66" i="7"/>
  <c r="BT92" i="7"/>
  <c r="BT63" i="7"/>
  <c r="BT77" i="7"/>
  <c r="BT61" i="7"/>
  <c r="BT88" i="7"/>
  <c r="BT69" i="7"/>
  <c r="BT65" i="7"/>
  <c r="BT71" i="7"/>
  <c r="BT107" i="7"/>
  <c r="BT86" i="7"/>
  <c r="BT84" i="7"/>
  <c r="BT82" i="7"/>
  <c r="BT80" i="7"/>
  <c r="BT78" i="7"/>
  <c r="BT76" i="7"/>
  <c r="W51" i="7"/>
  <c r="AG113" i="7"/>
  <c r="V104" i="7"/>
  <c r="W104" i="7" s="1"/>
  <c r="V103" i="7"/>
  <c r="W103" i="7" s="1"/>
  <c r="AG100" i="7"/>
  <c r="V96" i="7"/>
  <c r="W96" i="7" s="1"/>
  <c r="V95" i="7"/>
  <c r="W95" i="7" s="1"/>
  <c r="AG92" i="7"/>
  <c r="V88" i="7"/>
  <c r="W88" i="7" s="1"/>
  <c r="V87" i="7"/>
  <c r="W87" i="7" s="1"/>
  <c r="AH70" i="7"/>
  <c r="AI70" i="7" s="1"/>
  <c r="AG68" i="7"/>
  <c r="AH66" i="7"/>
  <c r="AI66" i="7" s="1"/>
  <c r="U63" i="7"/>
  <c r="AH62" i="7"/>
  <c r="AI62" i="7" s="1"/>
  <c r="U58" i="7"/>
  <c r="U113" i="7"/>
  <c r="AG85" i="7"/>
  <c r="U64" i="7"/>
  <c r="U60" i="7"/>
  <c r="AH58" i="7"/>
  <c r="AI58" i="7" s="1"/>
  <c r="U117" i="7"/>
  <c r="V107" i="7"/>
  <c r="W107" i="7" s="1"/>
  <c r="V100" i="7"/>
  <c r="W100" i="7" s="1"/>
  <c r="V99" i="7"/>
  <c r="W99" i="7" s="1"/>
  <c r="V92" i="7"/>
  <c r="W92" i="7" s="1"/>
  <c r="U83" i="7"/>
  <c r="U81" i="7"/>
  <c r="AH78" i="7"/>
  <c r="AI78" i="7" s="1"/>
  <c r="U72" i="7"/>
  <c r="AH71" i="7"/>
  <c r="AI71" i="7" s="1"/>
  <c r="U68" i="7"/>
  <c r="U85" i="7"/>
  <c r="AG80" i="7"/>
  <c r="AG76" i="7"/>
  <c r="AG105" i="7"/>
  <c r="U101" i="7"/>
  <c r="AG97" i="7"/>
  <c r="U93" i="7"/>
  <c r="AG89" i="7"/>
  <c r="AG64" i="7"/>
  <c r="AG117" i="7"/>
  <c r="AG116" i="7"/>
  <c r="BN107" i="7"/>
  <c r="AX107" i="7"/>
  <c r="AR107" i="7"/>
  <c r="T105" i="7"/>
  <c r="BP104" i="7"/>
  <c r="AT104" i="7"/>
  <c r="T103" i="7"/>
  <c r="BP102" i="7"/>
  <c r="AT102" i="7"/>
  <c r="AR101" i="7"/>
  <c r="BN100" i="7"/>
  <c r="AX100" i="7"/>
  <c r="BN98" i="7"/>
  <c r="AX98" i="7"/>
  <c r="BL96" i="7"/>
  <c r="AV96" i="7"/>
  <c r="AR95" i="7"/>
  <c r="BL94" i="7"/>
  <c r="AV94" i="7"/>
  <c r="T93" i="7"/>
  <c r="BP92" i="7"/>
  <c r="AT92" i="7"/>
  <c r="T91" i="7"/>
  <c r="BP90" i="7"/>
  <c r="AT90" i="7"/>
  <c r="AF90" i="7"/>
  <c r="AR89" i="7"/>
  <c r="BN88" i="7"/>
  <c r="AX88" i="7"/>
  <c r="AR88" i="7"/>
  <c r="AF88" i="7"/>
  <c r="BN86" i="7"/>
  <c r="AX86" i="7"/>
  <c r="AR86" i="7"/>
  <c r="T85" i="7"/>
  <c r="BP84" i="7"/>
  <c r="AT84" i="7"/>
  <c r="AF84" i="7"/>
  <c r="T84" i="7"/>
  <c r="AR83" i="7"/>
  <c r="BM107" i="7"/>
  <c r="AF107" i="7"/>
  <c r="AF105" i="7"/>
  <c r="BO104" i="7"/>
  <c r="AY104" i="7"/>
  <c r="AS104" i="7"/>
  <c r="BO102" i="7"/>
  <c r="AY102" i="7"/>
  <c r="AS102" i="7"/>
  <c r="BM100" i="7"/>
  <c r="BM98" i="7"/>
  <c r="BQ96" i="7"/>
  <c r="BK96" i="7"/>
  <c r="AU96" i="7"/>
  <c r="AF95" i="7"/>
  <c r="BQ94" i="7"/>
  <c r="BK94" i="7"/>
  <c r="AU94" i="7"/>
  <c r="AF93" i="7"/>
  <c r="BO92" i="7"/>
  <c r="AY92" i="7"/>
  <c r="AS92" i="7"/>
  <c r="BO90" i="7"/>
  <c r="AY90" i="7"/>
  <c r="AS90" i="7"/>
  <c r="BM88" i="7"/>
  <c r="BM86" i="7"/>
  <c r="BO84" i="7"/>
  <c r="AY84" i="7"/>
  <c r="AS84" i="7"/>
  <c r="BP82" i="7"/>
  <c r="BP73" i="7"/>
  <c r="AX53" i="7"/>
  <c r="BL107" i="7"/>
  <c r="AV107" i="7"/>
  <c r="BN104" i="7"/>
  <c r="AX104" i="7"/>
  <c r="BN102" i="7"/>
  <c r="AX102" i="7"/>
  <c r="BL100" i="7"/>
  <c r="AV100" i="7"/>
  <c r="AR99" i="7"/>
  <c r="BL98" i="7"/>
  <c r="AV98" i="7"/>
  <c r="T97" i="7"/>
  <c r="BP96" i="7"/>
  <c r="AT96" i="7"/>
  <c r="BP94" i="7"/>
  <c r="AT94" i="7"/>
  <c r="BN92" i="7"/>
  <c r="AX92" i="7"/>
  <c r="BN90" i="7"/>
  <c r="AX90" i="7"/>
  <c r="AR90" i="7"/>
  <c r="BL88" i="7"/>
  <c r="AV88" i="7"/>
  <c r="AR87" i="7"/>
  <c r="BL86" i="7"/>
  <c r="AV86" i="7"/>
  <c r="T86" i="7"/>
  <c r="AF85" i="7"/>
  <c r="BN84" i="7"/>
  <c r="AX84" i="7"/>
  <c r="BL82" i="7"/>
  <c r="BL73" i="7"/>
  <c r="BQ107" i="7"/>
  <c r="BK107" i="7"/>
  <c r="AU107" i="7"/>
  <c r="BM104" i="7"/>
  <c r="BM102" i="7"/>
  <c r="BQ100" i="7"/>
  <c r="BK100" i="7"/>
  <c r="AU100" i="7"/>
  <c r="AF99" i="7"/>
  <c r="BQ98" i="7"/>
  <c r="BK98" i="7"/>
  <c r="AU98" i="7"/>
  <c r="AF97" i="7"/>
  <c r="BO96" i="7"/>
  <c r="AY96" i="7"/>
  <c r="AS96" i="7"/>
  <c r="BO94" i="7"/>
  <c r="AY94" i="7"/>
  <c r="AS94" i="7"/>
  <c r="BM92" i="7"/>
  <c r="BM90" i="7"/>
  <c r="BQ88" i="7"/>
  <c r="BK88" i="7"/>
  <c r="AU88" i="7"/>
  <c r="AF87" i="7"/>
  <c r="BQ86" i="7"/>
  <c r="BK86" i="7"/>
  <c r="AU86" i="7"/>
  <c r="BM84" i="7"/>
  <c r="AT53" i="7"/>
  <c r="BP107" i="7"/>
  <c r="AT107" i="7"/>
  <c r="BL104" i="7"/>
  <c r="AV104" i="7"/>
  <c r="AR103" i="7"/>
  <c r="BL102" i="7"/>
  <c r="AV102" i="7"/>
  <c r="T101" i="7"/>
  <c r="BP100" i="7"/>
  <c r="AT100" i="7"/>
  <c r="BP98" i="7"/>
  <c r="AT98" i="7"/>
  <c r="BN96" i="7"/>
  <c r="AX96" i="7"/>
  <c r="BN94" i="7"/>
  <c r="AX94" i="7"/>
  <c r="BL92" i="7"/>
  <c r="AV92" i="7"/>
  <c r="AR91" i="7"/>
  <c r="BL90" i="7"/>
  <c r="AV90" i="7"/>
  <c r="T89" i="7"/>
  <c r="BP88" i="7"/>
  <c r="AT88" i="7"/>
  <c r="BP86" i="7"/>
  <c r="AT86" i="7"/>
  <c r="BL84" i="7"/>
  <c r="AV84" i="7"/>
  <c r="AF66" i="7"/>
  <c r="BO107" i="7"/>
  <c r="AY107" i="7"/>
  <c r="BQ104" i="7"/>
  <c r="BK104" i="7"/>
  <c r="BQ102" i="7"/>
  <c r="BK102" i="7"/>
  <c r="BO100" i="7"/>
  <c r="AY100" i="7"/>
  <c r="BO98" i="7"/>
  <c r="AY98" i="7"/>
  <c r="BQ92" i="7"/>
  <c r="BK92" i="7"/>
  <c r="BQ90" i="7"/>
  <c r="BK90" i="7"/>
  <c r="BO88" i="7"/>
  <c r="AY88" i="7"/>
  <c r="BO86" i="7"/>
  <c r="AY86" i="7"/>
  <c r="BQ84" i="7"/>
  <c r="BK84" i="7"/>
  <c r="AS82" i="7"/>
  <c r="AV73" i="7"/>
  <c r="BN53" i="7"/>
  <c r="W54" i="7"/>
  <c r="N111" i="7"/>
  <c r="E110" i="7"/>
  <c r="E109" i="7"/>
  <c r="N117" i="7"/>
  <c r="BS115" i="7"/>
  <c r="AZ115" i="7" s="1"/>
  <c r="BA115" i="7" s="1"/>
  <c r="BN115" i="7"/>
  <c r="AX115" i="7"/>
  <c r="AT115" i="7"/>
  <c r="T115" i="7"/>
  <c r="BS114" i="7"/>
  <c r="AZ114" i="7" s="1"/>
  <c r="BA114" i="7" s="1"/>
  <c r="BV113" i="7"/>
  <c r="S113" i="7"/>
  <c r="AE112" i="7"/>
  <c r="BU111" i="7"/>
  <c r="AQ111" i="7"/>
  <c r="BU110" i="7"/>
  <c r="BT110" i="7" s="1"/>
  <c r="BO110" i="7"/>
  <c r="BK110" i="7"/>
  <c r="AY110" i="7"/>
  <c r="AU110" i="7"/>
  <c r="AQ110" i="7"/>
  <c r="AE110" i="7"/>
  <c r="S110" i="7"/>
  <c r="BS109" i="7"/>
  <c r="AZ109" i="7" s="1"/>
  <c r="BA109" i="7" s="1"/>
  <c r="AE109" i="7"/>
  <c r="BS108" i="7"/>
  <c r="AZ108" i="7" s="1"/>
  <c r="BA108" i="7" s="1"/>
  <c r="AE117" i="7"/>
  <c r="BU116" i="7"/>
  <c r="BQ115" i="7"/>
  <c r="BM115" i="7"/>
  <c r="AS115" i="7"/>
  <c r="AF115" i="7"/>
  <c r="S115" i="7"/>
  <c r="BU113" i="7"/>
  <c r="AR113" i="7"/>
  <c r="BV112" i="7"/>
  <c r="BS111" i="7"/>
  <c r="AZ111" i="7" s="1"/>
  <c r="BA111" i="7" s="1"/>
  <c r="T111" i="7"/>
  <c r="BS110" i="7"/>
  <c r="AZ110" i="7" s="1"/>
  <c r="BA110" i="7" s="1"/>
  <c r="BN110" i="7"/>
  <c r="AX110" i="7"/>
  <c r="AT110" i="7"/>
  <c r="BV109" i="7"/>
  <c r="S109" i="7"/>
  <c r="AE108" i="7"/>
  <c r="BV117" i="7"/>
  <c r="AR117" i="7"/>
  <c r="T117" i="7"/>
  <c r="AQ116" i="7"/>
  <c r="AE116" i="7"/>
  <c r="S116" i="7"/>
  <c r="BV115" i="7"/>
  <c r="BP115" i="7"/>
  <c r="BL115" i="7"/>
  <c r="AV115" i="7"/>
  <c r="AE115" i="7"/>
  <c r="BV114" i="7"/>
  <c r="AQ113" i="7"/>
  <c r="AF113" i="7"/>
  <c r="BU112" i="7"/>
  <c r="AQ112" i="7"/>
  <c r="S112" i="7"/>
  <c r="AF111" i="7"/>
  <c r="S111" i="7"/>
  <c r="BQ110" i="7"/>
  <c r="BM110" i="7"/>
  <c r="AS110" i="7"/>
  <c r="BU109" i="7"/>
  <c r="BV108" i="7"/>
  <c r="BU117" i="7"/>
  <c r="AQ117" i="7"/>
  <c r="S117" i="7"/>
  <c r="BS116" i="7"/>
  <c r="AZ116" i="7" s="1"/>
  <c r="BA116" i="7" s="1"/>
  <c r="N109" i="7"/>
  <c r="E108" i="7"/>
  <c r="N113" i="7"/>
  <c r="BU115" i="7"/>
  <c r="BT115" i="7" s="1"/>
  <c r="BO115" i="7"/>
  <c r="BK115" i="7"/>
  <c r="AY115" i="7"/>
  <c r="AQ115" i="7"/>
  <c r="BU114" i="7"/>
  <c r="AQ114" i="7"/>
  <c r="AE114" i="7"/>
  <c r="BS113" i="7"/>
  <c r="AZ113" i="7" s="1"/>
  <c r="BA113" i="7" s="1"/>
  <c r="AE113" i="7"/>
  <c r="BV111" i="7"/>
  <c r="BV110" i="7"/>
  <c r="BP110" i="7"/>
  <c r="BL110" i="7"/>
  <c r="BU108" i="7"/>
  <c r="AQ108" i="7"/>
  <c r="BS117" i="7"/>
  <c r="AZ117" i="7" s="1"/>
  <c r="BA117" i="7" s="1"/>
  <c r="BS83" i="7"/>
  <c r="AZ83" i="7" s="1"/>
  <c r="BA83" i="7" s="1"/>
  <c r="AF83" i="7"/>
  <c r="BN82" i="7"/>
  <c r="AY82" i="7"/>
  <c r="AU82" i="7"/>
  <c r="BQ82" i="7"/>
  <c r="BM82" i="7"/>
  <c r="AX82" i="7"/>
  <c r="AT82" i="7"/>
  <c r="BO82" i="7"/>
  <c r="BK82" i="7"/>
  <c r="BV81" i="7"/>
  <c r="S81" i="7"/>
  <c r="AR81" i="7"/>
  <c r="AF81" i="7"/>
  <c r="BN80" i="7"/>
  <c r="AX80" i="7"/>
  <c r="AT80" i="7"/>
  <c r="BQ80" i="7"/>
  <c r="BM80" i="7"/>
  <c r="AS80" i="7"/>
  <c r="BP80" i="7"/>
  <c r="BL80" i="7"/>
  <c r="AV80" i="7"/>
  <c r="BO80" i="7"/>
  <c r="BK80" i="7"/>
  <c r="AY80" i="7"/>
  <c r="BU79" i="7"/>
  <c r="AQ79" i="7"/>
  <c r="AF79" i="7"/>
  <c r="AR79" i="7"/>
  <c r="BN78" i="7"/>
  <c r="AX78" i="7"/>
  <c r="AT78" i="7"/>
  <c r="BQ78" i="7"/>
  <c r="BM78" i="7"/>
  <c r="AS78" i="7"/>
  <c r="BP78" i="7"/>
  <c r="BL78" i="7"/>
  <c r="AV78" i="7"/>
  <c r="BO78" i="7"/>
  <c r="BK78" i="7"/>
  <c r="AY78" i="7"/>
  <c r="BN77" i="7"/>
  <c r="AY77" i="7"/>
  <c r="AU77" i="7"/>
  <c r="BQ77" i="7"/>
  <c r="BM77" i="7"/>
  <c r="AX77" i="7"/>
  <c r="AT77" i="7"/>
  <c r="BP77" i="7"/>
  <c r="BL77" i="7"/>
  <c r="AS77" i="7"/>
  <c r="BO77" i="7"/>
  <c r="BK77" i="7"/>
  <c r="AR77" i="7"/>
  <c r="AF77" i="7"/>
  <c r="BN76" i="7"/>
  <c r="AX76" i="7"/>
  <c r="AT76" i="7"/>
  <c r="BQ76" i="7"/>
  <c r="BM76" i="7"/>
  <c r="AS76" i="7"/>
  <c r="BP76" i="7"/>
  <c r="BL76" i="7"/>
  <c r="AV76" i="7"/>
  <c r="AR76" i="7"/>
  <c r="BO76" i="7"/>
  <c r="BK76" i="7"/>
  <c r="AY76" i="7"/>
  <c r="AF76" i="7"/>
  <c r="N75" i="7"/>
  <c r="AS75" i="7" s="1"/>
  <c r="AQ75" i="7"/>
  <c r="E75" i="7"/>
  <c r="AF75" i="7" s="1"/>
  <c r="BV75" i="7"/>
  <c r="S75" i="7"/>
  <c r="BU75" i="7"/>
  <c r="AF74" i="7"/>
  <c r="S74" i="7"/>
  <c r="BV74" i="7"/>
  <c r="AR74" i="7"/>
  <c r="BQ73" i="7"/>
  <c r="BM73" i="7"/>
  <c r="AS73" i="7"/>
  <c r="AR73" i="7"/>
  <c r="AF73" i="7"/>
  <c r="BU73" i="7"/>
  <c r="BT73" i="7" s="1"/>
  <c r="BO73" i="7"/>
  <c r="BK73" i="7"/>
  <c r="AY73" i="7"/>
  <c r="AU73" i="7"/>
  <c r="AQ73" i="7"/>
  <c r="AE73" i="7"/>
  <c r="BN73" i="7"/>
  <c r="AX73" i="7"/>
  <c r="BU72" i="7"/>
  <c r="AR72" i="7"/>
  <c r="AQ72" i="7"/>
  <c r="AF72" i="7"/>
  <c r="BS72" i="7"/>
  <c r="AZ72" i="7" s="1"/>
  <c r="BA72" i="7" s="1"/>
  <c r="BQ71" i="7"/>
  <c r="BM71" i="7"/>
  <c r="AS71" i="7"/>
  <c r="BP71" i="7"/>
  <c r="BL71" i="7"/>
  <c r="AV71" i="7"/>
  <c r="AR71" i="7"/>
  <c r="T71" i="7"/>
  <c r="BO71" i="7"/>
  <c r="BK71" i="7"/>
  <c r="AY71" i="7"/>
  <c r="AU71" i="7"/>
  <c r="BN71" i="7"/>
  <c r="AX71" i="7"/>
  <c r="BV70" i="7"/>
  <c r="AR70" i="7"/>
  <c r="AE70" i="7"/>
  <c r="BU70" i="7"/>
  <c r="T70" i="7"/>
  <c r="BQ69" i="7"/>
  <c r="BM69" i="7"/>
  <c r="AS69" i="7"/>
  <c r="BP69" i="7"/>
  <c r="BL69" i="7"/>
  <c r="AV69" i="7"/>
  <c r="AR69" i="7"/>
  <c r="AF69" i="7"/>
  <c r="BO69" i="7"/>
  <c r="BK69" i="7"/>
  <c r="AY69" i="7"/>
  <c r="AU69" i="7"/>
  <c r="BN69" i="7"/>
  <c r="AX69" i="7"/>
  <c r="AR68" i="7"/>
  <c r="AF68" i="7"/>
  <c r="BS67" i="7"/>
  <c r="AZ67" i="7" s="1"/>
  <c r="BA67" i="7" s="1"/>
  <c r="AF67" i="7"/>
  <c r="AE67" i="7"/>
  <c r="N67" i="7"/>
  <c r="BT67" i="7" s="1"/>
  <c r="AR67" i="7"/>
  <c r="T66" i="7"/>
  <c r="BO65" i="7"/>
  <c r="BK65" i="7"/>
  <c r="AY65" i="7"/>
  <c r="AU65" i="7"/>
  <c r="BN65" i="7"/>
  <c r="AX65" i="7"/>
  <c r="AT65" i="7"/>
  <c r="BQ65" i="7"/>
  <c r="BM65" i="7"/>
  <c r="AS65" i="7"/>
  <c r="BP65" i="7"/>
  <c r="BL65" i="7"/>
  <c r="AR65" i="7"/>
  <c r="AF65" i="7"/>
  <c r="AQ64" i="7"/>
  <c r="AF64" i="7"/>
  <c r="BS64" i="7"/>
  <c r="AZ64" i="7" s="1"/>
  <c r="BA64" i="7" s="1"/>
  <c r="T64" i="7"/>
  <c r="BP63" i="7"/>
  <c r="BL63" i="7"/>
  <c r="AV63" i="7"/>
  <c r="AR63" i="7"/>
  <c r="T63" i="7"/>
  <c r="BO63" i="7"/>
  <c r="BK63" i="7"/>
  <c r="AY63" i="7"/>
  <c r="AU63" i="7"/>
  <c r="BN63" i="7"/>
  <c r="AX63" i="7"/>
  <c r="AT63" i="7"/>
  <c r="BQ63" i="7"/>
  <c r="BM63" i="7"/>
  <c r="BO61" i="7"/>
  <c r="BK61" i="7"/>
  <c r="AY61" i="7"/>
  <c r="AU61" i="7"/>
  <c r="BN61" i="7"/>
  <c r="AX61" i="7"/>
  <c r="AT61" i="7"/>
  <c r="BQ61" i="7"/>
  <c r="BM61" i="7"/>
  <c r="AS61" i="7"/>
  <c r="BP61" i="7"/>
  <c r="BL61" i="7"/>
  <c r="AR61" i="7"/>
  <c r="AF61" i="7"/>
  <c r="AQ60" i="7"/>
  <c r="BS60" i="7"/>
  <c r="AZ60" i="7" s="1"/>
  <c r="BA60" i="7" s="1"/>
  <c r="BV59" i="7"/>
  <c r="BP59" i="7"/>
  <c r="BL59" i="7"/>
  <c r="AV59" i="7"/>
  <c r="AR59" i="7"/>
  <c r="T59" i="7"/>
  <c r="BU59" i="7"/>
  <c r="BT59" i="7" s="1"/>
  <c r="BO59" i="7"/>
  <c r="BK59" i="7"/>
  <c r="AY59" i="7"/>
  <c r="AU59" i="7"/>
  <c r="AQ59" i="7"/>
  <c r="BN59" i="7"/>
  <c r="AX59" i="7"/>
  <c r="AT59" i="7"/>
  <c r="BQ59" i="7"/>
  <c r="BM59" i="7"/>
  <c r="AQ58" i="7"/>
  <c r="S58" i="7"/>
  <c r="BS57" i="7"/>
  <c r="AZ57" i="7" s="1"/>
  <c r="BA57" i="7" s="1"/>
  <c r="BN57" i="7"/>
  <c r="AX57" i="7"/>
  <c r="AT57" i="7"/>
  <c r="BQ57" i="7"/>
  <c r="BM57" i="7"/>
  <c r="AS57" i="7"/>
  <c r="BP57" i="7"/>
  <c r="BL57" i="7"/>
  <c r="AV57" i="7"/>
  <c r="AR57" i="7"/>
  <c r="AF57" i="7"/>
  <c r="BO57" i="7"/>
  <c r="BK57" i="7"/>
  <c r="AY57" i="7"/>
  <c r="BV55" i="7"/>
  <c r="BP55" i="7"/>
  <c r="BL55" i="7"/>
  <c r="AV55" i="7"/>
  <c r="AR55" i="7"/>
  <c r="T55" i="7"/>
  <c r="BU55" i="7"/>
  <c r="BT55" i="7" s="1"/>
  <c r="BO55" i="7"/>
  <c r="BK55" i="7"/>
  <c r="AY55" i="7"/>
  <c r="AU55" i="7"/>
  <c r="AQ55" i="7"/>
  <c r="S55" i="7"/>
  <c r="BN55" i="7"/>
  <c r="AX55" i="7"/>
  <c r="AT55" i="7"/>
  <c r="BQ55" i="7"/>
  <c r="BM55" i="7"/>
  <c r="BU54" i="7"/>
  <c r="BT54" i="7" s="1"/>
  <c r="AQ54" i="7"/>
  <c r="S54" i="7"/>
  <c r="BS54" i="7"/>
  <c r="AZ54" i="7" s="1"/>
  <c r="BA54" i="7" s="1"/>
  <c r="BV53" i="7"/>
  <c r="BP53" i="7"/>
  <c r="BL53" i="7"/>
  <c r="AV53" i="7"/>
  <c r="AR53" i="7"/>
  <c r="AF53" i="7"/>
  <c r="BU53" i="7"/>
  <c r="BT53" i="7" s="1"/>
  <c r="BO53" i="7"/>
  <c r="BK53" i="7"/>
  <c r="AY53" i="7"/>
  <c r="AU53" i="7"/>
  <c r="AQ53" i="7"/>
  <c r="AE53" i="7"/>
  <c r="BQ53" i="7"/>
  <c r="BM53" i="7"/>
  <c r="AQ52" i="7"/>
  <c r="AE52" i="7"/>
  <c r="S52" i="7"/>
  <c r="BV51" i="7"/>
  <c r="AE51" i="7"/>
  <c r="N51" i="7"/>
  <c r="BU51" i="7"/>
  <c r="BT51" i="7" s="1"/>
  <c r="AR51" i="7"/>
  <c r="T51" i="7"/>
  <c r="AQ51" i="7"/>
  <c r="BU50" i="7"/>
  <c r="BT50" i="7" s="1"/>
  <c r="AQ50" i="7"/>
  <c r="S50" i="7"/>
  <c r="BS50" i="7"/>
  <c r="AZ50" i="7" s="1"/>
  <c r="BA50" i="7" s="1"/>
  <c r="BQ49" i="7"/>
  <c r="BM49" i="7"/>
  <c r="AS49" i="7"/>
  <c r="BP49" i="7"/>
  <c r="BL49" i="7"/>
  <c r="AV49" i="7"/>
  <c r="AR49" i="7"/>
  <c r="AF49" i="7"/>
  <c r="BO49" i="7"/>
  <c r="BK49" i="7"/>
  <c r="AY49" i="7"/>
  <c r="AU49" i="7"/>
  <c r="BN49" i="7"/>
  <c r="AX49" i="7"/>
  <c r="BS48" i="7"/>
  <c r="AZ48" i="7" s="1"/>
  <c r="BA48" i="7" s="1"/>
  <c r="AE48" i="7"/>
  <c r="BV48" i="7"/>
  <c r="AH116" i="7"/>
  <c r="AI116" i="7" s="1"/>
  <c r="V116" i="7"/>
  <c r="W116" i="7" s="1"/>
  <c r="AG114" i="7"/>
  <c r="U114" i="7"/>
  <c r="AG110" i="7"/>
  <c r="U110" i="7"/>
  <c r="AG106" i="7"/>
  <c r="U106" i="7"/>
  <c r="AG102" i="7"/>
  <c r="U102" i="7"/>
  <c r="AG98" i="7"/>
  <c r="U98" i="7"/>
  <c r="AG94" i="7"/>
  <c r="U94" i="7"/>
  <c r="AG90" i="7"/>
  <c r="U90" i="7"/>
  <c r="AG86" i="7"/>
  <c r="U86" i="7"/>
  <c r="AH85" i="7"/>
  <c r="AI85" i="7" s="1"/>
  <c r="V77" i="7"/>
  <c r="W77" i="7" s="1"/>
  <c r="U77" i="7"/>
  <c r="V85" i="7"/>
  <c r="W85" i="7" s="1"/>
  <c r="AG84" i="7"/>
  <c r="AH81" i="7"/>
  <c r="AI81" i="7" s="1"/>
  <c r="U80" i="7"/>
  <c r="AH77" i="7"/>
  <c r="AI77" i="7" s="1"/>
  <c r="AG77" i="7"/>
  <c r="U76" i="7"/>
  <c r="AG73" i="7"/>
  <c r="U73" i="7"/>
  <c r="AG69" i="7"/>
  <c r="U69" i="7"/>
  <c r="AG65" i="7"/>
  <c r="U65" i="7"/>
  <c r="AG61" i="7"/>
  <c r="U61" i="7"/>
  <c r="AG57" i="7"/>
  <c r="U57" i="7"/>
  <c r="W57" i="7" s="1"/>
  <c r="AH56" i="7"/>
  <c r="AI56" i="7" s="1"/>
  <c r="V56" i="7"/>
  <c r="W56" i="7" s="1"/>
  <c r="AG53" i="7"/>
  <c r="U53" i="7"/>
  <c r="AH52" i="7"/>
  <c r="AI52" i="7" s="1"/>
  <c r="V52" i="7"/>
  <c r="W52" i="7" s="1"/>
  <c r="AG49" i="7"/>
  <c r="U49" i="7"/>
  <c r="AH48" i="7"/>
  <c r="AI48" i="7" s="1"/>
  <c r="V48" i="7"/>
  <c r="W48" i="7" s="1"/>
  <c r="N116" i="7"/>
  <c r="N114" i="7"/>
  <c r="N112" i="7"/>
  <c r="E116" i="7"/>
  <c r="E114" i="7"/>
  <c r="E112" i="7"/>
  <c r="N108" i="7"/>
  <c r="N106" i="7"/>
  <c r="E106" i="7"/>
  <c r="E104" i="7"/>
  <c r="E102" i="7"/>
  <c r="E100" i="7"/>
  <c r="E98" i="7"/>
  <c r="E96" i="7"/>
  <c r="E94" i="7"/>
  <c r="E92" i="7"/>
  <c r="E82" i="7"/>
  <c r="E80" i="7"/>
  <c r="E78" i="7"/>
  <c r="N105" i="7"/>
  <c r="N101" i="7"/>
  <c r="N99" i="7"/>
  <c r="N97" i="7"/>
  <c r="N95" i="7"/>
  <c r="N93" i="7"/>
  <c r="BT93" i="7" s="1"/>
  <c r="N91" i="7"/>
  <c r="BT91" i="7" s="1"/>
  <c r="N89" i="7"/>
  <c r="BT89" i="7" s="1"/>
  <c r="N87" i="7"/>
  <c r="BT87" i="7" s="1"/>
  <c r="N85" i="7"/>
  <c r="BT85" i="7" s="1"/>
  <c r="N83" i="7"/>
  <c r="BT83" i="7" s="1"/>
  <c r="N81" i="7"/>
  <c r="BT81" i="7" s="1"/>
  <c r="N79" i="7"/>
  <c r="N103" i="7"/>
  <c r="N74" i="7"/>
  <c r="BT74" i="7" s="1"/>
  <c r="N72" i="7"/>
  <c r="N70" i="7"/>
  <c r="N68" i="7"/>
  <c r="BT68" i="7" s="1"/>
  <c r="N66" i="7"/>
  <c r="BT66" i="7" s="1"/>
  <c r="N64" i="7"/>
  <c r="BT64" i="7" s="1"/>
  <c r="N62" i="7"/>
  <c r="BT62" i="7" s="1"/>
  <c r="N60" i="7"/>
  <c r="BT60" i="7" s="1"/>
  <c r="N58" i="7"/>
  <c r="BT58" i="7" s="1"/>
  <c r="N56" i="7"/>
  <c r="N54" i="7"/>
  <c r="N52" i="7"/>
  <c r="N50" i="7"/>
  <c r="N48" i="7"/>
  <c r="E62" i="7"/>
  <c r="E60" i="7"/>
  <c r="E58" i="7"/>
  <c r="CA48" i="7"/>
  <c r="CA50" i="7"/>
  <c r="CA49" i="7"/>
  <c r="BT117" i="7" l="1"/>
  <c r="BT79" i="7"/>
  <c r="BN75" i="7"/>
  <c r="BT75" i="7"/>
  <c r="BT114" i="7"/>
  <c r="BT113" i="7"/>
  <c r="BT111" i="7"/>
  <c r="BT112" i="7"/>
  <c r="BT72" i="7"/>
  <c r="BT109" i="7"/>
  <c r="BT108" i="7"/>
  <c r="BT70" i="7"/>
  <c r="AY75" i="7"/>
  <c r="BT116" i="7"/>
  <c r="BK75" i="7"/>
  <c r="AR75" i="7"/>
  <c r="BM75" i="7"/>
  <c r="BQ75" i="7"/>
  <c r="AU75" i="7"/>
  <c r="BM91" i="7"/>
  <c r="AX91" i="7"/>
  <c r="BN91" i="7"/>
  <c r="AS91" i="7"/>
  <c r="AY91" i="7"/>
  <c r="BO91" i="7"/>
  <c r="AT91" i="7"/>
  <c r="BP91" i="7"/>
  <c r="AU91" i="7"/>
  <c r="BK91" i="7"/>
  <c r="BQ91" i="7"/>
  <c r="AV91" i="7"/>
  <c r="BL91" i="7"/>
  <c r="AU105" i="7"/>
  <c r="BK105" i="7"/>
  <c r="BQ105" i="7"/>
  <c r="AV105" i="7"/>
  <c r="BL105" i="7"/>
  <c r="BM105" i="7"/>
  <c r="AX105" i="7"/>
  <c r="BN105" i="7"/>
  <c r="AS105" i="7"/>
  <c r="AY105" i="7"/>
  <c r="BO105" i="7"/>
  <c r="AT105" i="7"/>
  <c r="BP105" i="7"/>
  <c r="T96" i="7"/>
  <c r="AF96" i="7"/>
  <c r="AR96" i="7"/>
  <c r="BM106" i="7"/>
  <c r="AX106" i="7"/>
  <c r="BN106" i="7"/>
  <c r="AS106" i="7"/>
  <c r="AY106" i="7"/>
  <c r="BO106" i="7"/>
  <c r="AT106" i="7"/>
  <c r="BP106" i="7"/>
  <c r="AU106" i="7"/>
  <c r="BK106" i="7"/>
  <c r="BQ106" i="7"/>
  <c r="AV106" i="7"/>
  <c r="BL106" i="7"/>
  <c r="T75" i="7"/>
  <c r="BO75" i="7"/>
  <c r="BL75" i="7"/>
  <c r="AF98" i="7"/>
  <c r="T98" i="7"/>
  <c r="AR98" i="7"/>
  <c r="AS95" i="7"/>
  <c r="AY95" i="7"/>
  <c r="BO95" i="7"/>
  <c r="AT95" i="7"/>
  <c r="BP95" i="7"/>
  <c r="AU95" i="7"/>
  <c r="BK95" i="7"/>
  <c r="BQ95" i="7"/>
  <c r="AV95" i="7"/>
  <c r="BL95" i="7"/>
  <c r="BM95" i="7"/>
  <c r="AX95" i="7"/>
  <c r="BN95" i="7"/>
  <c r="T100" i="7"/>
  <c r="AF100" i="7"/>
  <c r="AR100" i="7"/>
  <c r="BM97" i="7"/>
  <c r="AX97" i="7"/>
  <c r="BN97" i="7"/>
  <c r="AS97" i="7"/>
  <c r="AY97" i="7"/>
  <c r="BO97" i="7"/>
  <c r="AT97" i="7"/>
  <c r="BP97" i="7"/>
  <c r="AU97" i="7"/>
  <c r="BK97" i="7"/>
  <c r="BQ97" i="7"/>
  <c r="AV97" i="7"/>
  <c r="BL97" i="7"/>
  <c r="T102" i="7"/>
  <c r="AR102" i="7"/>
  <c r="AF102" i="7"/>
  <c r="BM85" i="7"/>
  <c r="AX85" i="7"/>
  <c r="BN85" i="7"/>
  <c r="AS85" i="7"/>
  <c r="AY85" i="7"/>
  <c r="BO85" i="7"/>
  <c r="AT85" i="7"/>
  <c r="BP85" i="7"/>
  <c r="AU85" i="7"/>
  <c r="BK85" i="7"/>
  <c r="BQ85" i="7"/>
  <c r="AV85" i="7"/>
  <c r="BL85" i="7"/>
  <c r="AU87" i="7"/>
  <c r="BK87" i="7"/>
  <c r="BQ87" i="7"/>
  <c r="AV87" i="7"/>
  <c r="BL87" i="7"/>
  <c r="BM87" i="7"/>
  <c r="AX87" i="7"/>
  <c r="BN87" i="7"/>
  <c r="AS87" i="7"/>
  <c r="AY87" i="7"/>
  <c r="BO87" i="7"/>
  <c r="AT87" i="7"/>
  <c r="BP87" i="7"/>
  <c r="AU99" i="7"/>
  <c r="BK99" i="7"/>
  <c r="BQ99" i="7"/>
  <c r="AV99" i="7"/>
  <c r="BL99" i="7"/>
  <c r="BM99" i="7"/>
  <c r="AX99" i="7"/>
  <c r="BN99" i="7"/>
  <c r="AS99" i="7"/>
  <c r="AY99" i="7"/>
  <c r="BO99" i="7"/>
  <c r="AT99" i="7"/>
  <c r="BP99" i="7"/>
  <c r="T92" i="7"/>
  <c r="AF92" i="7"/>
  <c r="AR92" i="7"/>
  <c r="T104" i="7"/>
  <c r="AF104" i="7"/>
  <c r="AR104" i="7"/>
  <c r="AT75" i="7"/>
  <c r="BP75" i="7"/>
  <c r="AU93" i="7"/>
  <c r="BK93" i="7"/>
  <c r="BQ93" i="7"/>
  <c r="AV93" i="7"/>
  <c r="BL93" i="7"/>
  <c r="BM93" i="7"/>
  <c r="AX93" i="7"/>
  <c r="BN93" i="7"/>
  <c r="AS93" i="7"/>
  <c r="AY93" i="7"/>
  <c r="BO93" i="7"/>
  <c r="AT93" i="7"/>
  <c r="BP93" i="7"/>
  <c r="BM103" i="7"/>
  <c r="AX103" i="7"/>
  <c r="BN103" i="7"/>
  <c r="AS103" i="7"/>
  <c r="AY103" i="7"/>
  <c r="BO103" i="7"/>
  <c r="AT103" i="7"/>
  <c r="BP103" i="7"/>
  <c r="AU103" i="7"/>
  <c r="BK103" i="7"/>
  <c r="BQ103" i="7"/>
  <c r="AV103" i="7"/>
  <c r="BL103" i="7"/>
  <c r="AS89" i="7"/>
  <c r="AY89" i="7"/>
  <c r="BO89" i="7"/>
  <c r="AT89" i="7"/>
  <c r="BP89" i="7"/>
  <c r="AU89" i="7"/>
  <c r="BK89" i="7"/>
  <c r="BQ89" i="7"/>
  <c r="AV89" i="7"/>
  <c r="BL89" i="7"/>
  <c r="BM89" i="7"/>
  <c r="AX89" i="7"/>
  <c r="BN89" i="7"/>
  <c r="AS101" i="7"/>
  <c r="AY101" i="7"/>
  <c r="BO101" i="7"/>
  <c r="AT101" i="7"/>
  <c r="BP101" i="7"/>
  <c r="AU101" i="7"/>
  <c r="BK101" i="7"/>
  <c r="BQ101" i="7"/>
  <c r="AV101" i="7"/>
  <c r="BL101" i="7"/>
  <c r="BM101" i="7"/>
  <c r="AX101" i="7"/>
  <c r="BN101" i="7"/>
  <c r="AR94" i="7"/>
  <c r="AF94" i="7"/>
  <c r="T94" i="7"/>
  <c r="AR106" i="7"/>
  <c r="AF106" i="7"/>
  <c r="T106" i="7"/>
  <c r="AX75" i="7"/>
  <c r="AV75" i="7"/>
  <c r="T116" i="7"/>
  <c r="AF116" i="7"/>
  <c r="AR116" i="7"/>
  <c r="AS116" i="7"/>
  <c r="BM116" i="7"/>
  <c r="BQ116" i="7"/>
  <c r="AT116" i="7"/>
  <c r="AX116" i="7"/>
  <c r="BN116" i="7"/>
  <c r="AU116" i="7"/>
  <c r="AY116" i="7"/>
  <c r="BK116" i="7"/>
  <c r="BO116" i="7"/>
  <c r="AV116" i="7"/>
  <c r="BL116" i="7"/>
  <c r="BP116" i="7"/>
  <c r="AT113" i="7"/>
  <c r="AX113" i="7"/>
  <c r="BN113" i="7"/>
  <c r="AU113" i="7"/>
  <c r="AY113" i="7"/>
  <c r="BK113" i="7"/>
  <c r="BO113" i="7"/>
  <c r="AV113" i="7"/>
  <c r="BL113" i="7"/>
  <c r="BP113" i="7"/>
  <c r="AS113" i="7"/>
  <c r="BM113" i="7"/>
  <c r="BQ113" i="7"/>
  <c r="AT117" i="7"/>
  <c r="AX117" i="7"/>
  <c r="BN117" i="7"/>
  <c r="AU117" i="7"/>
  <c r="AY117" i="7"/>
  <c r="BK117" i="7"/>
  <c r="BO117" i="7"/>
  <c r="AV117" i="7"/>
  <c r="BL117" i="7"/>
  <c r="BP117" i="7"/>
  <c r="AS117" i="7"/>
  <c r="BM117" i="7"/>
  <c r="BQ117" i="7"/>
  <c r="AF109" i="7"/>
  <c r="AR109" i="7"/>
  <c r="T109" i="7"/>
  <c r="T108" i="7"/>
  <c r="AR108" i="7"/>
  <c r="AF108" i="7"/>
  <c r="AT112" i="7"/>
  <c r="AX112" i="7"/>
  <c r="BN112" i="7"/>
  <c r="AU112" i="7"/>
  <c r="AY112" i="7"/>
  <c r="BK112" i="7"/>
  <c r="BO112" i="7"/>
  <c r="AV112" i="7"/>
  <c r="BL112" i="7"/>
  <c r="BP112" i="7"/>
  <c r="AS112" i="7"/>
  <c r="BM112" i="7"/>
  <c r="BQ112" i="7"/>
  <c r="AU109" i="7"/>
  <c r="AY109" i="7"/>
  <c r="BK109" i="7"/>
  <c r="BO109" i="7"/>
  <c r="AV109" i="7"/>
  <c r="BL109" i="7"/>
  <c r="BP109" i="7"/>
  <c r="AS109" i="7"/>
  <c r="BM109" i="7"/>
  <c r="BQ109" i="7"/>
  <c r="AT109" i="7"/>
  <c r="AX109" i="7"/>
  <c r="BN109" i="7"/>
  <c r="T110" i="7"/>
  <c r="AF110" i="7"/>
  <c r="AR110" i="7"/>
  <c r="AF112" i="7"/>
  <c r="T112" i="7"/>
  <c r="AR112" i="7"/>
  <c r="AU108" i="7"/>
  <c r="AY108" i="7"/>
  <c r="BK108" i="7"/>
  <c r="BO108" i="7"/>
  <c r="AV108" i="7"/>
  <c r="BL108" i="7"/>
  <c r="BP108" i="7"/>
  <c r="AS108" i="7"/>
  <c r="BM108" i="7"/>
  <c r="BQ108" i="7"/>
  <c r="AT108" i="7"/>
  <c r="AX108" i="7"/>
  <c r="BN108" i="7"/>
  <c r="T114" i="7"/>
  <c r="AF114" i="7"/>
  <c r="AR114" i="7"/>
  <c r="AU114" i="7"/>
  <c r="AY114" i="7"/>
  <c r="BK114" i="7"/>
  <c r="BO114" i="7"/>
  <c r="AV114" i="7"/>
  <c r="BL114" i="7"/>
  <c r="BP114" i="7"/>
  <c r="AS114" i="7"/>
  <c r="BM114" i="7"/>
  <c r="BQ114" i="7"/>
  <c r="AT114" i="7"/>
  <c r="AX114" i="7"/>
  <c r="BN114" i="7"/>
  <c r="AV111" i="7"/>
  <c r="BL111" i="7"/>
  <c r="BP111" i="7"/>
  <c r="AS111" i="7"/>
  <c r="BM111" i="7"/>
  <c r="BQ111" i="7"/>
  <c r="AT111" i="7"/>
  <c r="AX111" i="7"/>
  <c r="BN111" i="7"/>
  <c r="AU111" i="7"/>
  <c r="AY111" i="7"/>
  <c r="BK111" i="7"/>
  <c r="BO111" i="7"/>
  <c r="AU83" i="7"/>
  <c r="AY83" i="7"/>
  <c r="BK83" i="7"/>
  <c r="BO83" i="7"/>
  <c r="AV83" i="7"/>
  <c r="BL83" i="7"/>
  <c r="BP83" i="7"/>
  <c r="AS83" i="7"/>
  <c r="BM83" i="7"/>
  <c r="BQ83" i="7"/>
  <c r="AT83" i="7"/>
  <c r="AX83" i="7"/>
  <c r="BN83" i="7"/>
  <c r="AR82" i="7"/>
  <c r="AF82" i="7"/>
  <c r="T82" i="7"/>
  <c r="AT81" i="7"/>
  <c r="AX81" i="7"/>
  <c r="BM81" i="7"/>
  <c r="BQ81" i="7"/>
  <c r="AU81" i="7"/>
  <c r="AY81" i="7"/>
  <c r="BN81" i="7"/>
  <c r="AV81" i="7"/>
  <c r="BK81" i="7"/>
  <c r="BO81" i="7"/>
  <c r="AS81" i="7"/>
  <c r="BL81" i="7"/>
  <c r="BP81" i="7"/>
  <c r="T80" i="7"/>
  <c r="AF80" i="7"/>
  <c r="AR80" i="7"/>
  <c r="AV79" i="7"/>
  <c r="BL79" i="7"/>
  <c r="BP79" i="7"/>
  <c r="AS79" i="7"/>
  <c r="BM79" i="7"/>
  <c r="BQ79" i="7"/>
  <c r="AT79" i="7"/>
  <c r="AX79" i="7"/>
  <c r="BN79" i="7"/>
  <c r="AU79" i="7"/>
  <c r="AY79" i="7"/>
  <c r="BK79" i="7"/>
  <c r="BO79" i="7"/>
  <c r="AR78" i="7"/>
  <c r="AF78" i="7"/>
  <c r="T78" i="7"/>
  <c r="AT74" i="7"/>
  <c r="BN74" i="7"/>
  <c r="AU74" i="7"/>
  <c r="AY74" i="7"/>
  <c r="BK74" i="7"/>
  <c r="BO74" i="7"/>
  <c r="AV74" i="7"/>
  <c r="BL74" i="7"/>
  <c r="BP74" i="7"/>
  <c r="AX74" i="7"/>
  <c r="AS74" i="7"/>
  <c r="BM74" i="7"/>
  <c r="BQ74" i="7"/>
  <c r="AS72" i="7"/>
  <c r="BM72" i="7"/>
  <c r="BQ72" i="7"/>
  <c r="AT72" i="7"/>
  <c r="AX72" i="7"/>
  <c r="BN72" i="7"/>
  <c r="AU72" i="7"/>
  <c r="AY72" i="7"/>
  <c r="BK72" i="7"/>
  <c r="BO72" i="7"/>
  <c r="AV72" i="7"/>
  <c r="BL72" i="7"/>
  <c r="BP72" i="7"/>
  <c r="BM70" i="7"/>
  <c r="BQ70" i="7"/>
  <c r="AT70" i="7"/>
  <c r="AX70" i="7"/>
  <c r="BN70" i="7"/>
  <c r="AU70" i="7"/>
  <c r="AY70" i="7"/>
  <c r="BK70" i="7"/>
  <c r="BO70" i="7"/>
  <c r="AS70" i="7"/>
  <c r="AV70" i="7"/>
  <c r="BL70" i="7"/>
  <c r="BP70" i="7"/>
  <c r="AS68" i="7"/>
  <c r="BM68" i="7"/>
  <c r="BQ68" i="7"/>
  <c r="AT68" i="7"/>
  <c r="AX68" i="7"/>
  <c r="BN68" i="7"/>
  <c r="AU68" i="7"/>
  <c r="AY68" i="7"/>
  <c r="BK68" i="7"/>
  <c r="BO68" i="7"/>
  <c r="AV68" i="7"/>
  <c r="BL68" i="7"/>
  <c r="BP68" i="7"/>
  <c r="AU67" i="7"/>
  <c r="AY67" i="7"/>
  <c r="BK67" i="7"/>
  <c r="BO67" i="7"/>
  <c r="AV67" i="7"/>
  <c r="BL67" i="7"/>
  <c r="BP67" i="7"/>
  <c r="AS67" i="7"/>
  <c r="BM67" i="7"/>
  <c r="BQ67" i="7"/>
  <c r="AT67" i="7"/>
  <c r="AX67" i="7"/>
  <c r="BN67" i="7"/>
  <c r="AU66" i="7"/>
  <c r="AY66" i="7"/>
  <c r="BK66" i="7"/>
  <c r="BO66" i="7"/>
  <c r="AV66" i="7"/>
  <c r="BL66" i="7"/>
  <c r="BP66" i="7"/>
  <c r="AS66" i="7"/>
  <c r="BM66" i="7"/>
  <c r="BQ66" i="7"/>
  <c r="AT66" i="7"/>
  <c r="AX66" i="7"/>
  <c r="BN66" i="7"/>
  <c r="AV64" i="7"/>
  <c r="BL64" i="7"/>
  <c r="BP64" i="7"/>
  <c r="AS64" i="7"/>
  <c r="BM64" i="7"/>
  <c r="BQ64" i="7"/>
  <c r="AT64" i="7"/>
  <c r="AX64" i="7"/>
  <c r="BN64" i="7"/>
  <c r="AU64" i="7"/>
  <c r="AY64" i="7"/>
  <c r="BK64" i="7"/>
  <c r="BO64" i="7"/>
  <c r="AR62" i="7"/>
  <c r="AF62" i="7"/>
  <c r="T62" i="7"/>
  <c r="AU62" i="7"/>
  <c r="AY62" i="7"/>
  <c r="BK62" i="7"/>
  <c r="BO62" i="7"/>
  <c r="AV62" i="7"/>
  <c r="BL62" i="7"/>
  <c r="BP62" i="7"/>
  <c r="AS62" i="7"/>
  <c r="BM62" i="7"/>
  <c r="BQ62" i="7"/>
  <c r="AT62" i="7"/>
  <c r="AX62" i="7"/>
  <c r="BN62" i="7"/>
  <c r="AV60" i="7"/>
  <c r="BL60" i="7"/>
  <c r="BP60" i="7"/>
  <c r="AS60" i="7"/>
  <c r="BM60" i="7"/>
  <c r="BQ60" i="7"/>
  <c r="AT60" i="7"/>
  <c r="AX60" i="7"/>
  <c r="BN60" i="7"/>
  <c r="AU60" i="7"/>
  <c r="AY60" i="7"/>
  <c r="BK60" i="7"/>
  <c r="BO60" i="7"/>
  <c r="AR60" i="7"/>
  <c r="T60" i="7"/>
  <c r="AF60" i="7"/>
  <c r="AF58" i="7"/>
  <c r="T58" i="7"/>
  <c r="AR58" i="7"/>
  <c r="AS58" i="7"/>
  <c r="BM58" i="7"/>
  <c r="BQ58" i="7"/>
  <c r="AT58" i="7"/>
  <c r="AX58" i="7"/>
  <c r="BN58" i="7"/>
  <c r="AU58" i="7"/>
  <c r="AY58" i="7"/>
  <c r="BK58" i="7"/>
  <c r="BO58" i="7"/>
  <c r="AV58" i="7"/>
  <c r="BL58" i="7"/>
  <c r="BP58" i="7"/>
  <c r="T56" i="7"/>
  <c r="AF56" i="7"/>
  <c r="AR56" i="7"/>
  <c r="AU56" i="7"/>
  <c r="AY56" i="7"/>
  <c r="BK56" i="7"/>
  <c r="BO56" i="7"/>
  <c r="AV56" i="7"/>
  <c r="BL56" i="7"/>
  <c r="BP56" i="7"/>
  <c r="AS56" i="7"/>
  <c r="BM56" i="7"/>
  <c r="BQ56" i="7"/>
  <c r="AT56" i="7"/>
  <c r="AX56" i="7"/>
  <c r="BN56" i="7"/>
  <c r="AV54" i="7"/>
  <c r="BL54" i="7"/>
  <c r="BP54" i="7"/>
  <c r="AS54" i="7"/>
  <c r="BM54" i="7"/>
  <c r="BQ54" i="7"/>
  <c r="AT54" i="7"/>
  <c r="AX54" i="7"/>
  <c r="BN54" i="7"/>
  <c r="AU54" i="7"/>
  <c r="AY54" i="7"/>
  <c r="BK54" i="7"/>
  <c r="BO54" i="7"/>
  <c r="T54" i="7"/>
  <c r="AR54" i="7"/>
  <c r="AF54" i="7"/>
  <c r="T52" i="7"/>
  <c r="AF52" i="7"/>
  <c r="AR52" i="7"/>
  <c r="AV52" i="7"/>
  <c r="BL52" i="7"/>
  <c r="BP52" i="7"/>
  <c r="AS52" i="7"/>
  <c r="BM52" i="7"/>
  <c r="BQ52" i="7"/>
  <c r="AT52" i="7"/>
  <c r="AX52" i="7"/>
  <c r="BN52" i="7"/>
  <c r="AU52" i="7"/>
  <c r="AY52" i="7"/>
  <c r="BK52" i="7"/>
  <c r="BO52" i="7"/>
  <c r="AT51" i="7"/>
  <c r="AX51" i="7"/>
  <c r="BN51" i="7"/>
  <c r="AU51" i="7"/>
  <c r="AY51" i="7"/>
  <c r="BK51" i="7"/>
  <c r="BO51" i="7"/>
  <c r="AV51" i="7"/>
  <c r="BL51" i="7"/>
  <c r="BP51" i="7"/>
  <c r="AS51" i="7"/>
  <c r="BM51" i="7"/>
  <c r="BQ51" i="7"/>
  <c r="AR50" i="7"/>
  <c r="AF50" i="7"/>
  <c r="T50" i="7"/>
  <c r="AV50" i="7"/>
  <c r="BL50" i="7"/>
  <c r="BP50" i="7"/>
  <c r="AS50" i="7"/>
  <c r="BM50" i="7"/>
  <c r="BQ50" i="7"/>
  <c r="AT50" i="7"/>
  <c r="AX50" i="7"/>
  <c r="BN50" i="7"/>
  <c r="AU50" i="7"/>
  <c r="AY50" i="7"/>
  <c r="BK50" i="7"/>
  <c r="BO50" i="7"/>
  <c r="AF48" i="7"/>
  <c r="AR48" i="7"/>
  <c r="T48" i="7"/>
  <c r="AU48" i="7"/>
  <c r="AY48" i="7"/>
  <c r="BK48" i="7"/>
  <c r="BO48" i="7"/>
  <c r="AV48" i="7"/>
  <c r="BL48" i="7"/>
  <c r="BP48" i="7"/>
  <c r="AS48" i="7"/>
  <c r="BM48" i="7"/>
  <c r="BQ48" i="7"/>
  <c r="AT48" i="7"/>
  <c r="AX48" i="7"/>
  <c r="BN48" i="7"/>
  <c r="J38" i="12"/>
  <c r="J10" i="12"/>
  <c r="J9" i="12"/>
  <c r="I38" i="12"/>
  <c r="I10" i="12"/>
  <c r="I9" i="12"/>
  <c r="H38" i="12"/>
  <c r="H37" i="12"/>
  <c r="H36" i="12"/>
  <c r="H35" i="12"/>
  <c r="H10" i="12"/>
  <c r="H9" i="12"/>
  <c r="G38" i="12"/>
  <c r="G37" i="12"/>
  <c r="G10" i="12"/>
  <c r="F38" i="12"/>
  <c r="F37" i="12"/>
  <c r="F1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H39" i="12"/>
  <c r="G39" i="12"/>
  <c r="D39" i="12"/>
  <c r="D40" i="12"/>
  <c r="D41" i="12"/>
  <c r="D42" i="12"/>
  <c r="D21" i="12"/>
  <c r="D20" i="12"/>
  <c r="D19" i="12"/>
  <c r="D18" i="12"/>
  <c r="D17" i="12"/>
  <c r="D16" i="12"/>
  <c r="D15" i="12"/>
  <c r="D14" i="12"/>
  <c r="D13" i="12"/>
  <c r="D12" i="12"/>
  <c r="D11" i="12"/>
  <c r="D9" i="12"/>
  <c r="A9" i="12" s="1"/>
  <c r="B9" i="12" s="1"/>
  <c r="E9" i="12" s="1"/>
  <c r="D10" i="12"/>
  <c r="CL17" i="7" l="1"/>
  <c r="CG28" i="7"/>
  <c r="CG18" i="7"/>
  <c r="J79" i="12"/>
  <c r="I79" i="12"/>
  <c r="H79" i="12"/>
  <c r="G79" i="12"/>
  <c r="D79" i="12"/>
  <c r="J78" i="12"/>
  <c r="I78" i="12"/>
  <c r="H78" i="12"/>
  <c r="G78" i="12"/>
  <c r="D78" i="12"/>
  <c r="A78" i="12" s="1"/>
  <c r="B78" i="12" s="1"/>
  <c r="E78" i="12" s="1"/>
  <c r="J77" i="12"/>
  <c r="I77" i="12"/>
  <c r="H77" i="12"/>
  <c r="G77" i="12"/>
  <c r="D77" i="12"/>
  <c r="A77" i="12" s="1"/>
  <c r="B77" i="12" s="1"/>
  <c r="E77" i="12" s="1"/>
  <c r="J76" i="12"/>
  <c r="I76" i="12"/>
  <c r="H76" i="12"/>
  <c r="G76" i="12"/>
  <c r="D76" i="12"/>
  <c r="A76" i="12" s="1"/>
  <c r="B76" i="12" s="1"/>
  <c r="E76" i="12" s="1"/>
  <c r="J75" i="12"/>
  <c r="I75" i="12"/>
  <c r="H75" i="12"/>
  <c r="G75" i="12"/>
  <c r="D75" i="12"/>
  <c r="A75" i="12" s="1"/>
  <c r="B75" i="12" s="1"/>
  <c r="E75" i="12" s="1"/>
  <c r="J74" i="12"/>
  <c r="I74" i="12"/>
  <c r="H74" i="12"/>
  <c r="G74" i="12"/>
  <c r="D74" i="12"/>
  <c r="A74" i="12" s="1"/>
  <c r="B74" i="12" s="1"/>
  <c r="E74" i="12" s="1"/>
  <c r="J73" i="12"/>
  <c r="I73" i="12"/>
  <c r="H73" i="12"/>
  <c r="G73" i="12"/>
  <c r="D73" i="12"/>
  <c r="A73" i="12" s="1"/>
  <c r="B73" i="12" s="1"/>
  <c r="E73" i="12" s="1"/>
  <c r="J72" i="12"/>
  <c r="I72" i="12"/>
  <c r="H72" i="12"/>
  <c r="G72" i="12"/>
  <c r="D72" i="12"/>
  <c r="A72" i="12" s="1"/>
  <c r="B72" i="12" s="1"/>
  <c r="E72" i="12" s="1"/>
  <c r="J71" i="12"/>
  <c r="I71" i="12"/>
  <c r="H71" i="12"/>
  <c r="G71" i="12"/>
  <c r="D71" i="12"/>
  <c r="A71" i="12" s="1"/>
  <c r="B71" i="12" s="1"/>
  <c r="E71" i="12" s="1"/>
  <c r="J70" i="12"/>
  <c r="I70" i="12"/>
  <c r="H70" i="12"/>
  <c r="G70" i="12"/>
  <c r="D70" i="12"/>
  <c r="A70" i="12" s="1"/>
  <c r="B70" i="12" s="1"/>
  <c r="E70" i="12" s="1"/>
  <c r="J69" i="12"/>
  <c r="I69" i="12"/>
  <c r="H69" i="12"/>
  <c r="G69" i="12"/>
  <c r="D69" i="12"/>
  <c r="A69" i="12" s="1"/>
  <c r="B69" i="12" s="1"/>
  <c r="E69" i="12" s="1"/>
  <c r="J68" i="12"/>
  <c r="I68" i="12"/>
  <c r="H68" i="12"/>
  <c r="G68" i="12"/>
  <c r="D68" i="12"/>
  <c r="A68" i="12" s="1"/>
  <c r="B68" i="12" s="1"/>
  <c r="E68" i="12" s="1"/>
  <c r="J67" i="12"/>
  <c r="I67" i="12"/>
  <c r="H67" i="12"/>
  <c r="G67" i="12"/>
  <c r="D67" i="12"/>
  <c r="J66" i="12"/>
  <c r="I66" i="12"/>
  <c r="H66" i="12"/>
  <c r="G66" i="12"/>
  <c r="D66" i="12"/>
  <c r="A66" i="12" s="1"/>
  <c r="B66" i="12" s="1"/>
  <c r="E66" i="12" s="1"/>
  <c r="J65" i="12"/>
  <c r="I65" i="12"/>
  <c r="H65" i="12"/>
  <c r="G65" i="12"/>
  <c r="D65" i="12"/>
  <c r="A65" i="12" s="1"/>
  <c r="B65" i="12" s="1"/>
  <c r="E65" i="12" s="1"/>
  <c r="J64" i="12"/>
  <c r="I64" i="12"/>
  <c r="H64" i="12"/>
  <c r="G64" i="12"/>
  <c r="D64" i="12"/>
  <c r="A64" i="12" s="1"/>
  <c r="B64" i="12" s="1"/>
  <c r="E64" i="12" s="1"/>
  <c r="J63" i="12"/>
  <c r="I63" i="12"/>
  <c r="H63" i="12"/>
  <c r="G63" i="12"/>
  <c r="D63" i="12"/>
  <c r="A63" i="12" s="1"/>
  <c r="B63" i="12" s="1"/>
  <c r="E63" i="12" s="1"/>
  <c r="J62" i="12"/>
  <c r="I62" i="12"/>
  <c r="H62" i="12"/>
  <c r="G62" i="12"/>
  <c r="D62" i="12"/>
  <c r="A62" i="12" s="1"/>
  <c r="B62" i="12" s="1"/>
  <c r="E62" i="12" s="1"/>
  <c r="J61" i="12"/>
  <c r="I61" i="12"/>
  <c r="H61" i="12"/>
  <c r="G61" i="12"/>
  <c r="D61" i="12"/>
  <c r="A61" i="12" s="1"/>
  <c r="B61" i="12" s="1"/>
  <c r="E61" i="12" s="1"/>
  <c r="J60" i="12"/>
  <c r="I60" i="12"/>
  <c r="H60" i="12"/>
  <c r="G60" i="12"/>
  <c r="D60" i="12"/>
  <c r="A60" i="12" s="1"/>
  <c r="B60" i="12" s="1"/>
  <c r="E60" i="12" s="1"/>
  <c r="J59" i="12"/>
  <c r="I59" i="12"/>
  <c r="H59" i="12"/>
  <c r="G59" i="12"/>
  <c r="D59" i="12"/>
  <c r="A59" i="12" s="1"/>
  <c r="B59" i="12" s="1"/>
  <c r="E59" i="12" s="1"/>
  <c r="J58" i="12"/>
  <c r="I58" i="12"/>
  <c r="H58" i="12"/>
  <c r="G58" i="12"/>
  <c r="D58" i="12"/>
  <c r="A58" i="12" s="1"/>
  <c r="B58" i="12" s="1"/>
  <c r="E58" i="12" s="1"/>
  <c r="J57" i="12"/>
  <c r="I57" i="12"/>
  <c r="H57" i="12"/>
  <c r="G57" i="12"/>
  <c r="D57" i="12"/>
  <c r="A57" i="12" s="1"/>
  <c r="B57" i="12" s="1"/>
  <c r="E57" i="12" s="1"/>
  <c r="J56" i="12"/>
  <c r="I56" i="12"/>
  <c r="H56" i="12"/>
  <c r="G56" i="12"/>
  <c r="D56" i="12"/>
  <c r="A56" i="12" s="1"/>
  <c r="B56" i="12" s="1"/>
  <c r="E56" i="12" s="1"/>
  <c r="J55" i="12"/>
  <c r="I55" i="12"/>
  <c r="H55" i="12"/>
  <c r="G55" i="12"/>
  <c r="D55" i="12"/>
  <c r="J54" i="12"/>
  <c r="I54" i="12"/>
  <c r="H54" i="12"/>
  <c r="G54" i="12"/>
  <c r="D54" i="12"/>
  <c r="A54" i="12" s="1"/>
  <c r="B54" i="12" s="1"/>
  <c r="E54" i="12" s="1"/>
  <c r="J53" i="12"/>
  <c r="I53" i="12"/>
  <c r="H53" i="12"/>
  <c r="G53" i="12"/>
  <c r="D53" i="12"/>
  <c r="A53" i="12" s="1"/>
  <c r="B53" i="12" s="1"/>
  <c r="E53" i="12" s="1"/>
  <c r="J52" i="12"/>
  <c r="I52" i="12"/>
  <c r="H52" i="12"/>
  <c r="G52" i="12"/>
  <c r="D52" i="12"/>
  <c r="A52" i="12" s="1"/>
  <c r="B52" i="12" s="1"/>
  <c r="E52" i="12" s="1"/>
  <c r="J51" i="12"/>
  <c r="I51" i="12"/>
  <c r="H51" i="12"/>
  <c r="G51" i="12"/>
  <c r="D51" i="12"/>
  <c r="A51" i="12" s="1"/>
  <c r="B51" i="12" s="1"/>
  <c r="E51" i="12" s="1"/>
  <c r="J50" i="12"/>
  <c r="I50" i="12"/>
  <c r="H50" i="12"/>
  <c r="G50" i="12"/>
  <c r="D50" i="12"/>
  <c r="A50" i="12" s="1"/>
  <c r="B50" i="12" s="1"/>
  <c r="E50" i="12" s="1"/>
  <c r="J49" i="12"/>
  <c r="I49" i="12"/>
  <c r="H49" i="12"/>
  <c r="G49" i="12"/>
  <c r="D49" i="12"/>
  <c r="A49" i="12" s="1"/>
  <c r="B49" i="12" s="1"/>
  <c r="E49" i="12" s="1"/>
  <c r="J48" i="12"/>
  <c r="I48" i="12"/>
  <c r="H48" i="12"/>
  <c r="G48" i="12"/>
  <c r="D48" i="12"/>
  <c r="A48" i="12" s="1"/>
  <c r="B48" i="12" s="1"/>
  <c r="E48" i="12" s="1"/>
  <c r="J47" i="12"/>
  <c r="I47" i="12"/>
  <c r="H47" i="12"/>
  <c r="G47" i="12"/>
  <c r="D47" i="12"/>
  <c r="A47" i="12" s="1"/>
  <c r="B47" i="12" s="1"/>
  <c r="E47" i="12" s="1"/>
  <c r="J46" i="12"/>
  <c r="I46" i="12"/>
  <c r="H46" i="12"/>
  <c r="G46" i="12"/>
  <c r="D46" i="12"/>
  <c r="A46" i="12" s="1"/>
  <c r="B46" i="12" s="1"/>
  <c r="E46" i="12" s="1"/>
  <c r="J45" i="12"/>
  <c r="I45" i="12"/>
  <c r="H45" i="12"/>
  <c r="G45" i="12"/>
  <c r="D45" i="12"/>
  <c r="A45" i="12" s="1"/>
  <c r="B45" i="12" s="1"/>
  <c r="E45" i="12" s="1"/>
  <c r="J44" i="12"/>
  <c r="I44" i="12"/>
  <c r="H44" i="12"/>
  <c r="G44" i="12"/>
  <c r="D44" i="12"/>
  <c r="A44" i="12" s="1"/>
  <c r="B44" i="12" s="1"/>
  <c r="E44" i="12" s="1"/>
  <c r="J43" i="12"/>
  <c r="I43" i="12"/>
  <c r="H43" i="12"/>
  <c r="G43" i="12"/>
  <c r="D43" i="12"/>
  <c r="A43" i="12" s="1"/>
  <c r="B43" i="12" s="1"/>
  <c r="E43" i="12" s="1"/>
  <c r="J42" i="12"/>
  <c r="I42" i="12"/>
  <c r="H42" i="12"/>
  <c r="G42" i="12"/>
  <c r="A42" i="12"/>
  <c r="B42" i="12" s="1"/>
  <c r="E42" i="12" s="1"/>
  <c r="J41" i="12"/>
  <c r="I41" i="12"/>
  <c r="H41" i="12"/>
  <c r="G41" i="12"/>
  <c r="A41" i="12"/>
  <c r="B41" i="12" s="1"/>
  <c r="E41" i="12" s="1"/>
  <c r="J40" i="12"/>
  <c r="I40" i="12"/>
  <c r="H40" i="12"/>
  <c r="G40" i="12"/>
  <c r="A40" i="12"/>
  <c r="B40" i="12" s="1"/>
  <c r="E40" i="12" s="1"/>
  <c r="J39" i="12"/>
  <c r="I39" i="12"/>
  <c r="A39" i="12"/>
  <c r="B39" i="12" s="1"/>
  <c r="E39" i="12" s="1"/>
  <c r="A38" i="12"/>
  <c r="B38" i="12" s="1"/>
  <c r="E38" i="12" s="1"/>
  <c r="A37" i="12"/>
  <c r="B37" i="12" s="1"/>
  <c r="E37" i="12" s="1"/>
  <c r="A36" i="12"/>
  <c r="B36" i="12" s="1"/>
  <c r="E36" i="12" s="1"/>
  <c r="A35" i="12"/>
  <c r="B35" i="12" s="1"/>
  <c r="E35" i="12" s="1"/>
  <c r="A34" i="12"/>
  <c r="B34" i="12" s="1"/>
  <c r="E34" i="12" s="1"/>
  <c r="A33" i="12"/>
  <c r="B33" i="12" s="1"/>
  <c r="E33" i="12" s="1"/>
  <c r="A32" i="12"/>
  <c r="B32" i="12" s="1"/>
  <c r="E32" i="12" s="1"/>
  <c r="A31" i="12"/>
  <c r="B31" i="12" s="1"/>
  <c r="E31" i="12" s="1"/>
  <c r="A30" i="12"/>
  <c r="B30" i="12" s="1"/>
  <c r="E30" i="12" s="1"/>
  <c r="A29" i="12"/>
  <c r="B29" i="12" s="1"/>
  <c r="E29" i="12" s="1"/>
  <c r="A28" i="12"/>
  <c r="B28" i="12" s="1"/>
  <c r="E28" i="12" s="1"/>
  <c r="A27" i="12"/>
  <c r="B27" i="12" s="1"/>
  <c r="E27" i="12" s="1"/>
  <c r="A26" i="12"/>
  <c r="B26" i="12" s="1"/>
  <c r="E26" i="12" s="1"/>
  <c r="A25" i="12"/>
  <c r="B25" i="12" s="1"/>
  <c r="E25" i="12" s="1"/>
  <c r="A24" i="12"/>
  <c r="B24" i="12" s="1"/>
  <c r="E24" i="12" s="1"/>
  <c r="A23" i="12"/>
  <c r="B23" i="12" s="1"/>
  <c r="E23" i="12" s="1"/>
  <c r="A22" i="12"/>
  <c r="B22" i="12" s="1"/>
  <c r="E22" i="12" s="1"/>
  <c r="A21" i="12"/>
  <c r="B21" i="12" s="1"/>
  <c r="E21" i="12" s="1"/>
  <c r="A20" i="12"/>
  <c r="B20" i="12" s="1"/>
  <c r="E20" i="12" s="1"/>
  <c r="A19" i="12"/>
  <c r="B19" i="12" s="1"/>
  <c r="E19" i="12" s="1"/>
  <c r="A18" i="12"/>
  <c r="B18" i="12" s="1"/>
  <c r="E18" i="12" s="1"/>
  <c r="A17" i="12"/>
  <c r="B17" i="12" s="1"/>
  <c r="E17" i="12" s="1"/>
  <c r="A16" i="12"/>
  <c r="B16" i="12" s="1"/>
  <c r="E16" i="12" s="1"/>
  <c r="A15" i="12"/>
  <c r="B15" i="12" s="1"/>
  <c r="E15" i="12" s="1"/>
  <c r="A14" i="12"/>
  <c r="B14" i="12" s="1"/>
  <c r="E14" i="12" s="1"/>
  <c r="A13" i="12"/>
  <c r="B13" i="12" s="1"/>
  <c r="E13" i="12" s="1"/>
  <c r="A12" i="12"/>
  <c r="B12" i="12" s="1"/>
  <c r="E12" i="12" s="1"/>
  <c r="A11" i="12"/>
  <c r="B11" i="12" s="1"/>
  <c r="E11" i="12" s="1"/>
  <c r="AJ10" i="12"/>
  <c r="AK10" i="12" s="1"/>
  <c r="A10" i="12"/>
  <c r="B10" i="12" s="1"/>
  <c r="E10" i="12" s="1"/>
  <c r="AJ9" i="12"/>
  <c r="AK9" i="12" s="1"/>
  <c r="AJ8" i="12"/>
  <c r="X8" i="12"/>
  <c r="AJ7" i="12"/>
  <c r="AJ6" i="12"/>
  <c r="AJ5" i="12"/>
  <c r="X5" i="12"/>
  <c r="AJ4" i="12"/>
  <c r="X4" i="12"/>
  <c r="CX6" i="7" l="1"/>
  <c r="CX10" i="7" s="1"/>
  <c r="CX2" i="7"/>
  <c r="BC18" i="7" l="1"/>
  <c r="BC22" i="7"/>
  <c r="BC26" i="7"/>
  <c r="BC30" i="7"/>
  <c r="BC34" i="7"/>
  <c r="BC38" i="7"/>
  <c r="BC42" i="7"/>
  <c r="BC46" i="7"/>
  <c r="BC21" i="7"/>
  <c r="BC25" i="7"/>
  <c r="BC33" i="7"/>
  <c r="BC45" i="7"/>
  <c r="BC19" i="7"/>
  <c r="BC23" i="7"/>
  <c r="BC27" i="7"/>
  <c r="BC31" i="7"/>
  <c r="BC35" i="7"/>
  <c r="BC39" i="7"/>
  <c r="BC43" i="7"/>
  <c r="BC47" i="7"/>
  <c r="BC29" i="7"/>
  <c r="BC37" i="7"/>
  <c r="BC41" i="7"/>
  <c r="BC20" i="7"/>
  <c r="BC24" i="7"/>
  <c r="BC28" i="7"/>
  <c r="BC32" i="7"/>
  <c r="BC36" i="7"/>
  <c r="BC40" i="7"/>
  <c r="BC44" i="7"/>
  <c r="BG38" i="7" l="1"/>
  <c r="BD20" i="7"/>
  <c r="BD28" i="7"/>
  <c r="BD36" i="7"/>
  <c r="BD44" i="7"/>
  <c r="BF26" i="7"/>
  <c r="BF38" i="7"/>
  <c r="BE24" i="7"/>
  <c r="BE36" i="7"/>
  <c r="BE44" i="7"/>
  <c r="BH22" i="7"/>
  <c r="BH26" i="7"/>
  <c r="BH34" i="7"/>
  <c r="BH42" i="7"/>
  <c r="BH46" i="7"/>
  <c r="BI20" i="7"/>
  <c r="BI24" i="7"/>
  <c r="BI28" i="7"/>
  <c r="BI32" i="7"/>
  <c r="BI36" i="7"/>
  <c r="BI40" i="7"/>
  <c r="BI44" i="7"/>
  <c r="BG39" i="7"/>
  <c r="BG43" i="7"/>
  <c r="BG47" i="7"/>
  <c r="BD21" i="7"/>
  <c r="BD25" i="7"/>
  <c r="BD29" i="7"/>
  <c r="BD33" i="7"/>
  <c r="BD37" i="7"/>
  <c r="BD41" i="7"/>
  <c r="BD45" i="7"/>
  <c r="BF19" i="7"/>
  <c r="BF23" i="7"/>
  <c r="BF27" i="7"/>
  <c r="BF31" i="7"/>
  <c r="BF35" i="7"/>
  <c r="BF39" i="7"/>
  <c r="BF43" i="7"/>
  <c r="BF47" i="7"/>
  <c r="BE21" i="7"/>
  <c r="BE25" i="7"/>
  <c r="BE29" i="7"/>
  <c r="BE33" i="7"/>
  <c r="BE37" i="7"/>
  <c r="BE41" i="7"/>
  <c r="BE45" i="7"/>
  <c r="BH19" i="7"/>
  <c r="BH23" i="7"/>
  <c r="BH27" i="7"/>
  <c r="BH31" i="7"/>
  <c r="BH35" i="7"/>
  <c r="BH39" i="7"/>
  <c r="BH43" i="7"/>
  <c r="BH47" i="7"/>
  <c r="BI21" i="7"/>
  <c r="BI25" i="7"/>
  <c r="BI29" i="7"/>
  <c r="BI33" i="7"/>
  <c r="BI37" i="7"/>
  <c r="BI41" i="7"/>
  <c r="BI45" i="7"/>
  <c r="BG46" i="7"/>
  <c r="BD24" i="7"/>
  <c r="BD32" i="7"/>
  <c r="BD40" i="7"/>
  <c r="BF22" i="7"/>
  <c r="BF34" i="7"/>
  <c r="BF46" i="7"/>
  <c r="BE28" i="7"/>
  <c r="BH18" i="7"/>
  <c r="BH38" i="7"/>
  <c r="BD18" i="7"/>
  <c r="BD22" i="7"/>
  <c r="BD30" i="7"/>
  <c r="BD34" i="7"/>
  <c r="BD38" i="7"/>
  <c r="BD42" i="7"/>
  <c r="BD46" i="7"/>
  <c r="BF20" i="7"/>
  <c r="BF24" i="7"/>
  <c r="BF28" i="7"/>
  <c r="BF32" i="7"/>
  <c r="BF36" i="7"/>
  <c r="BF40" i="7"/>
  <c r="BF44" i="7"/>
  <c r="BE18" i="7"/>
  <c r="BE22" i="7"/>
  <c r="BE26" i="7"/>
  <c r="BE30" i="7"/>
  <c r="BE34" i="7"/>
  <c r="BE38" i="7"/>
  <c r="BE42" i="7"/>
  <c r="BE46" i="7"/>
  <c r="BH20" i="7"/>
  <c r="BH24" i="7"/>
  <c r="BH28" i="7"/>
  <c r="BH32" i="7"/>
  <c r="BH36" i="7"/>
  <c r="BH40" i="7"/>
  <c r="BH44" i="7"/>
  <c r="BI18" i="7"/>
  <c r="BI22" i="7"/>
  <c r="BI26" i="7"/>
  <c r="BI30" i="7"/>
  <c r="BI34" i="7"/>
  <c r="BI38" i="7"/>
  <c r="BI42" i="7"/>
  <c r="BI46" i="7"/>
  <c r="BG42" i="7"/>
  <c r="BF18" i="7"/>
  <c r="BF30" i="7"/>
  <c r="BF42" i="7"/>
  <c r="BE20" i="7"/>
  <c r="BE32" i="7"/>
  <c r="BE40" i="7"/>
  <c r="BH30" i="7"/>
  <c r="BG40" i="7"/>
  <c r="BG44" i="7"/>
  <c r="BD26" i="7"/>
  <c r="BG41" i="7"/>
  <c r="BG45" i="7"/>
  <c r="BD19" i="7"/>
  <c r="BD23" i="7"/>
  <c r="BD27" i="7"/>
  <c r="BD31" i="7"/>
  <c r="BD35" i="7"/>
  <c r="BD39" i="7"/>
  <c r="BD43" i="7"/>
  <c r="BD47" i="7"/>
  <c r="BF21" i="7"/>
  <c r="BF25" i="7"/>
  <c r="BF29" i="7"/>
  <c r="BF33" i="7"/>
  <c r="BF37" i="7"/>
  <c r="BF41" i="7"/>
  <c r="BF45" i="7"/>
  <c r="BE19" i="7"/>
  <c r="BE23" i="7"/>
  <c r="BE27" i="7"/>
  <c r="BE31" i="7"/>
  <c r="BE35" i="7"/>
  <c r="BE39" i="7"/>
  <c r="BE43" i="7"/>
  <c r="BE47" i="7"/>
  <c r="BH21" i="7"/>
  <c r="BH25" i="7"/>
  <c r="BH29" i="7"/>
  <c r="BH33" i="7"/>
  <c r="BH37" i="7"/>
  <c r="BH41" i="7"/>
  <c r="BH45" i="7"/>
  <c r="BI19" i="7"/>
  <c r="BI23" i="7"/>
  <c r="BI27" i="7"/>
  <c r="BI31" i="7"/>
  <c r="BI35" i="7"/>
  <c r="BI39" i="7"/>
  <c r="BI43" i="7"/>
  <c r="BI47" i="7"/>
  <c r="AW38" i="7"/>
  <c r="AW39" i="7"/>
  <c r="AW40" i="7"/>
  <c r="AW41" i="7"/>
  <c r="AW42" i="7"/>
  <c r="AW43" i="7"/>
  <c r="AW44" i="7"/>
  <c r="AW45" i="7"/>
  <c r="AW46" i="7"/>
  <c r="AW47" i="7"/>
  <c r="AL47" i="7"/>
  <c r="AH47" i="7" s="1"/>
  <c r="AI47" i="7" s="1"/>
  <c r="AL46" i="7"/>
  <c r="AL45" i="7"/>
  <c r="AH45" i="7" s="1"/>
  <c r="AI45" i="7" s="1"/>
  <c r="AL44" i="7"/>
  <c r="AL43" i="7"/>
  <c r="AH43" i="7" s="1"/>
  <c r="AI43" i="7" s="1"/>
  <c r="AL42" i="7"/>
  <c r="AL41" i="7"/>
  <c r="AH41" i="7" s="1"/>
  <c r="AI41" i="7" s="1"/>
  <c r="AL40" i="7"/>
  <c r="AH40" i="7" s="1"/>
  <c r="AI40" i="7" s="1"/>
  <c r="AL39" i="7"/>
  <c r="AH39" i="7" s="1"/>
  <c r="AI39" i="7" s="1"/>
  <c r="AA47" i="7"/>
  <c r="AA46" i="7"/>
  <c r="V46" i="7" s="1"/>
  <c r="W46" i="7" s="1"/>
  <c r="AA45" i="7"/>
  <c r="AA44" i="7"/>
  <c r="AA43" i="7"/>
  <c r="AA42" i="7"/>
  <c r="AA41" i="7"/>
  <c r="AA40" i="7"/>
  <c r="V40" i="7" s="1"/>
  <c r="W40" i="7" s="1"/>
  <c r="AA39" i="7"/>
  <c r="V39" i="7" s="1"/>
  <c r="W39" i="7" s="1"/>
  <c r="BY47" i="7"/>
  <c r="CA47" i="7" s="1"/>
  <c r="BY46" i="7"/>
  <c r="CA46" i="7" s="1"/>
  <c r="BY45" i="7"/>
  <c r="CA45" i="7" s="1"/>
  <c r="BY44" i="7"/>
  <c r="CA44" i="7" s="1"/>
  <c r="BY43" i="7"/>
  <c r="CA43" i="7" s="1"/>
  <c r="BY42" i="7"/>
  <c r="CA42" i="7" s="1"/>
  <c r="BY41" i="7"/>
  <c r="CA41" i="7" s="1"/>
  <c r="BY40" i="7"/>
  <c r="CA40" i="7" s="1"/>
  <c r="BY39" i="7"/>
  <c r="CA39" i="7" s="1"/>
  <c r="N37" i="7"/>
  <c r="N38" i="7"/>
  <c r="N39" i="7"/>
  <c r="N40" i="7"/>
  <c r="N41" i="7"/>
  <c r="H25" i="10"/>
  <c r="I25" i="10"/>
  <c r="H26" i="10"/>
  <c r="I26" i="10"/>
  <c r="H27" i="10"/>
  <c r="I27" i="10"/>
  <c r="H28" i="10"/>
  <c r="I28" i="10"/>
  <c r="H29" i="10"/>
  <c r="I29" i="10"/>
  <c r="H30" i="10"/>
  <c r="I30" i="10"/>
  <c r="BV41" i="7" l="1"/>
  <c r="BS41" i="7"/>
  <c r="BU41" i="7"/>
  <c r="BV40" i="7"/>
  <c r="BS40" i="7"/>
  <c r="AZ40" i="7" s="1"/>
  <c r="BA40" i="7" s="1"/>
  <c r="CB40" i="7" s="1"/>
  <c r="BU40" i="7"/>
  <c r="BT40" i="7" s="1"/>
  <c r="BV42" i="7"/>
  <c r="BS42" i="7"/>
  <c r="BU42" i="7"/>
  <c r="BU43" i="7"/>
  <c r="BS43" i="7"/>
  <c r="BV43" i="7"/>
  <c r="BU44" i="7"/>
  <c r="BS44" i="7"/>
  <c r="BV44" i="7"/>
  <c r="BS45" i="7"/>
  <c r="BU45" i="7"/>
  <c r="BV45" i="7"/>
  <c r="BS46" i="7"/>
  <c r="BU46" i="7"/>
  <c r="BV46" i="7"/>
  <c r="BS39" i="7"/>
  <c r="BU39" i="7"/>
  <c r="BV39" i="7"/>
  <c r="BS47" i="7"/>
  <c r="BV47" i="7"/>
  <c r="BU47" i="7"/>
  <c r="AQ41" i="7"/>
  <c r="U40" i="7"/>
  <c r="U42" i="7"/>
  <c r="V42" i="7"/>
  <c r="W42" i="7" s="1"/>
  <c r="CC42" i="7" s="1"/>
  <c r="U44" i="7"/>
  <c r="V44" i="7"/>
  <c r="W44" i="7" s="1"/>
  <c r="CC44" i="7" s="1"/>
  <c r="AG42" i="7"/>
  <c r="AH42" i="7"/>
  <c r="AI42" i="7" s="1"/>
  <c r="CE42" i="7" s="1"/>
  <c r="AG45" i="7"/>
  <c r="V45" i="7"/>
  <c r="W45" i="7" s="1"/>
  <c r="CC45" i="7" s="1"/>
  <c r="V41" i="7"/>
  <c r="W41" i="7" s="1"/>
  <c r="CC41" i="7" s="1"/>
  <c r="U43" i="7"/>
  <c r="V43" i="7"/>
  <c r="W43" i="7" s="1"/>
  <c r="CC43" i="7" s="1"/>
  <c r="AQ47" i="7"/>
  <c r="AH44" i="7"/>
  <c r="AI44" i="7" s="1"/>
  <c r="CE44" i="7" s="1"/>
  <c r="AE42" i="7"/>
  <c r="U47" i="7"/>
  <c r="V47" i="7"/>
  <c r="W47" i="7" s="1"/>
  <c r="CC47" i="7" s="1"/>
  <c r="AE41" i="7"/>
  <c r="AG46" i="7"/>
  <c r="AH46" i="7"/>
  <c r="AI46" i="7" s="1"/>
  <c r="CE46" i="7" s="1"/>
  <c r="CE43" i="7"/>
  <c r="CE45" i="7"/>
  <c r="CE39" i="7"/>
  <c r="CE47" i="7"/>
  <c r="CE40" i="7"/>
  <c r="CE41" i="7"/>
  <c r="CC40" i="7"/>
  <c r="CC39" i="7"/>
  <c r="CC46" i="7"/>
  <c r="AG39" i="7"/>
  <c r="AE45" i="7"/>
  <c r="BZ41" i="7"/>
  <c r="AE43" i="7"/>
  <c r="AQ43" i="7"/>
  <c r="AE40" i="7"/>
  <c r="U39" i="7"/>
  <c r="AR40" i="7"/>
  <c r="CJ42" i="7"/>
  <c r="AG44" i="7"/>
  <c r="AG41" i="7"/>
  <c r="U46" i="7"/>
  <c r="CJ47" i="7"/>
  <c r="AE47" i="7"/>
  <c r="AE46" i="7"/>
  <c r="AQ46" i="7"/>
  <c r="AQ40" i="7"/>
  <c r="CJ39" i="7"/>
  <c r="AE39" i="7"/>
  <c r="AG47" i="7"/>
  <c r="U45" i="7"/>
  <c r="AQ45" i="7"/>
  <c r="CJ45" i="7"/>
  <c r="CJ44" i="7"/>
  <c r="AQ44" i="7"/>
  <c r="AE44" i="7"/>
  <c r="AQ42" i="7"/>
  <c r="AQ39" i="7"/>
  <c r="AG43" i="7"/>
  <c r="U41" i="7"/>
  <c r="AG40" i="7"/>
  <c r="AL38" i="7"/>
  <c r="AL37" i="7"/>
  <c r="AL36" i="7"/>
  <c r="AL35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H19" i="7" s="1"/>
  <c r="AI19" i="7" s="1"/>
  <c r="AL18" i="7"/>
  <c r="AH18" i="7" s="1"/>
  <c r="AI18" i="7" s="1"/>
  <c r="BT46" i="7" l="1"/>
  <c r="BT41" i="7"/>
  <c r="BT43" i="7"/>
  <c r="BT47" i="7"/>
  <c r="BT45" i="7"/>
  <c r="BT44" i="7"/>
  <c r="BT42" i="7"/>
  <c r="BP40" i="7"/>
  <c r="BK40" i="7"/>
  <c r="BO40" i="7"/>
  <c r="BN40" i="7"/>
  <c r="BQ40" i="7"/>
  <c r="BL40" i="7"/>
  <c r="BM40" i="7"/>
  <c r="BQ46" i="7"/>
  <c r="BM46" i="7"/>
  <c r="BL46" i="7"/>
  <c r="BO46" i="7"/>
  <c r="BP46" i="7"/>
  <c r="BK46" i="7"/>
  <c r="BN46" i="7"/>
  <c r="BQ45" i="7"/>
  <c r="BL45" i="7"/>
  <c r="BP45" i="7"/>
  <c r="BO45" i="7"/>
  <c r="BM45" i="7"/>
  <c r="BK45" i="7"/>
  <c r="BN45" i="7"/>
  <c r="BN44" i="7"/>
  <c r="BP44" i="7"/>
  <c r="BK44" i="7"/>
  <c r="BO44" i="7"/>
  <c r="BM44" i="7"/>
  <c r="BQ44" i="7"/>
  <c r="BL44" i="7"/>
  <c r="BM39" i="7"/>
  <c r="BO39" i="7"/>
  <c r="BN39" i="7"/>
  <c r="BQ39" i="7"/>
  <c r="BL39" i="7"/>
  <c r="BK39" i="7"/>
  <c r="BP39" i="7"/>
  <c r="BQ41" i="7"/>
  <c r="BL41" i="7"/>
  <c r="BP41" i="7"/>
  <c r="BN41" i="7"/>
  <c r="BO41" i="7"/>
  <c r="BK41" i="7"/>
  <c r="BM41" i="7"/>
  <c r="BO43" i="7"/>
  <c r="BN43" i="7"/>
  <c r="BM43" i="7"/>
  <c r="BK43" i="7"/>
  <c r="BP43" i="7"/>
  <c r="BQ43" i="7"/>
  <c r="BL43" i="7"/>
  <c r="BQ42" i="7"/>
  <c r="BM42" i="7"/>
  <c r="BL42" i="7"/>
  <c r="BP42" i="7"/>
  <c r="BN42" i="7"/>
  <c r="BK42" i="7"/>
  <c r="BO42" i="7"/>
  <c r="BO47" i="7"/>
  <c r="BN47" i="7"/>
  <c r="BM47" i="7"/>
  <c r="BQ47" i="7"/>
  <c r="BL47" i="7"/>
  <c r="BP47" i="7"/>
  <c r="BK47" i="7"/>
  <c r="AZ46" i="7"/>
  <c r="BA46" i="7" s="1"/>
  <c r="CB46" i="7" s="1"/>
  <c r="CD46" i="7" s="1"/>
  <c r="AZ47" i="7"/>
  <c r="BA47" i="7" s="1"/>
  <c r="CB47" i="7" s="1"/>
  <c r="CD47" i="7" s="1"/>
  <c r="AZ44" i="7"/>
  <c r="BA44" i="7" s="1"/>
  <c r="CB44" i="7" s="1"/>
  <c r="CD44" i="7" s="1"/>
  <c r="AZ43" i="7"/>
  <c r="BA43" i="7" s="1"/>
  <c r="CB43" i="7" s="1"/>
  <c r="CD43" i="7" s="1"/>
  <c r="AZ41" i="7"/>
  <c r="BA41" i="7" s="1"/>
  <c r="CB41" i="7" s="1"/>
  <c r="CD41" i="7" s="1"/>
  <c r="AZ45" i="7"/>
  <c r="BA45" i="7" s="1"/>
  <c r="CB45" i="7" s="1"/>
  <c r="CD45" i="7" s="1"/>
  <c r="AZ42" i="7"/>
  <c r="BA42" i="7" s="1"/>
  <c r="CB42" i="7" s="1"/>
  <c r="CD42" i="7" s="1"/>
  <c r="CJ46" i="7"/>
  <c r="CJ40" i="7"/>
  <c r="CJ43" i="7"/>
  <c r="CJ41" i="7"/>
  <c r="CD40" i="7"/>
  <c r="AG38" i="7"/>
  <c r="AH38" i="7"/>
  <c r="AI38" i="7" s="1"/>
  <c r="AG24" i="7"/>
  <c r="AH24" i="7"/>
  <c r="AI24" i="7" s="1"/>
  <c r="AG26" i="7"/>
  <c r="AH26" i="7"/>
  <c r="AI26" i="7" s="1"/>
  <c r="AG34" i="7"/>
  <c r="AH34" i="7"/>
  <c r="AI34" i="7" s="1"/>
  <c r="AY42" i="7"/>
  <c r="AX42" i="7"/>
  <c r="AU42" i="7"/>
  <c r="AS42" i="7"/>
  <c r="AV42" i="7"/>
  <c r="AT42" i="7"/>
  <c r="AG27" i="7"/>
  <c r="AH27" i="7"/>
  <c r="AI27" i="7" s="1"/>
  <c r="AG35" i="7"/>
  <c r="AH35" i="7"/>
  <c r="AI35" i="7" s="1"/>
  <c r="AS45" i="7"/>
  <c r="AV45" i="7"/>
  <c r="AT45" i="7"/>
  <c r="AX45" i="7"/>
  <c r="AU45" i="7"/>
  <c r="AY45" i="7"/>
  <c r="AG28" i="7"/>
  <c r="AH28" i="7"/>
  <c r="AI28" i="7" s="1"/>
  <c r="AG21" i="7"/>
  <c r="AH21" i="7"/>
  <c r="AI21" i="7" s="1"/>
  <c r="AG29" i="7"/>
  <c r="AH29" i="7"/>
  <c r="AI29" i="7" s="1"/>
  <c r="AG37" i="7"/>
  <c r="AH37" i="7"/>
  <c r="AI37" i="7" s="1"/>
  <c r="AU40" i="7"/>
  <c r="AS40" i="7"/>
  <c r="AV40" i="7"/>
  <c r="AX40" i="7"/>
  <c r="AY40" i="7"/>
  <c r="AT40" i="7"/>
  <c r="AG36" i="7"/>
  <c r="AH36" i="7"/>
  <c r="AI36" i="7" s="1"/>
  <c r="AG30" i="7"/>
  <c r="AH30" i="7"/>
  <c r="AI30" i="7" s="1"/>
  <c r="AG23" i="7"/>
  <c r="AH23" i="7"/>
  <c r="AI23" i="7" s="1"/>
  <c r="AG31" i="7"/>
  <c r="AH31" i="7"/>
  <c r="AI31" i="7" s="1"/>
  <c r="AS46" i="7"/>
  <c r="AV46" i="7"/>
  <c r="AT46" i="7"/>
  <c r="AX46" i="7"/>
  <c r="AY46" i="7"/>
  <c r="AU46" i="7"/>
  <c r="AG32" i="7"/>
  <c r="AH32" i="7"/>
  <c r="AI32" i="7" s="1"/>
  <c r="AT44" i="7"/>
  <c r="AX44" i="7"/>
  <c r="AU44" i="7"/>
  <c r="AY44" i="7"/>
  <c r="AV44" i="7"/>
  <c r="AS44" i="7"/>
  <c r="AY41" i="7"/>
  <c r="AU41" i="7"/>
  <c r="AT41" i="7"/>
  <c r="AS41" i="7"/>
  <c r="AV41" i="7"/>
  <c r="AX41" i="7"/>
  <c r="AG25" i="7"/>
  <c r="AH25" i="7"/>
  <c r="AI25" i="7" s="1"/>
  <c r="AG33" i="7"/>
  <c r="AH33" i="7"/>
  <c r="AI33" i="7" s="1"/>
  <c r="AX43" i="7"/>
  <c r="AY43" i="7"/>
  <c r="AS43" i="7"/>
  <c r="AV43" i="7"/>
  <c r="AU43" i="7"/>
  <c r="AT43" i="7"/>
  <c r="AG20" i="7"/>
  <c r="AH20" i="7"/>
  <c r="AI20" i="7" s="1"/>
  <c r="AG22" i="7"/>
  <c r="AH22" i="7"/>
  <c r="AI22" i="7" s="1"/>
  <c r="AU39" i="7"/>
  <c r="AS39" i="7"/>
  <c r="AV39" i="7"/>
  <c r="AY39" i="7"/>
  <c r="AT39" i="7"/>
  <c r="AX39" i="7"/>
  <c r="AU47" i="7"/>
  <c r="AS47" i="7"/>
  <c r="AV47" i="7"/>
  <c r="AT47" i="7"/>
  <c r="AX47" i="7"/>
  <c r="AY47" i="7"/>
  <c r="AG19" i="7"/>
  <c r="AG18" i="7"/>
  <c r="AF47" i="7"/>
  <c r="BZ47" i="7"/>
  <c r="AR47" i="7"/>
  <c r="AF43" i="7"/>
  <c r="BZ43" i="7"/>
  <c r="AR43" i="7"/>
  <c r="AF40" i="7"/>
  <c r="BZ40" i="7"/>
  <c r="AF41" i="7"/>
  <c r="AR41" i="7"/>
  <c r="AR46" i="7"/>
  <c r="BZ46" i="7"/>
  <c r="AF46" i="7"/>
  <c r="AR45" i="7"/>
  <c r="BZ45" i="7"/>
  <c r="AF45" i="7"/>
  <c r="BZ44" i="7"/>
  <c r="AR44" i="7"/>
  <c r="AF44" i="7"/>
  <c r="AR39" i="7"/>
  <c r="BZ39" i="7"/>
  <c r="AF39" i="7"/>
  <c r="AR42" i="7"/>
  <c r="BZ42" i="7"/>
  <c r="AF42" i="7"/>
  <c r="BY38" i="7"/>
  <c r="CA38" i="7" s="1"/>
  <c r="BY37" i="7"/>
  <c r="CA37" i="7" s="1"/>
  <c r="BY36" i="7"/>
  <c r="CA36" i="7" s="1"/>
  <c r="BY35" i="7"/>
  <c r="CA35" i="7" s="1"/>
  <c r="BY34" i="7"/>
  <c r="CA34" i="7" s="1"/>
  <c r="BY33" i="7"/>
  <c r="CA33" i="7" s="1"/>
  <c r="BY32" i="7"/>
  <c r="CA32" i="7" s="1"/>
  <c r="BY31" i="7"/>
  <c r="CA31" i="7" s="1"/>
  <c r="BY30" i="7"/>
  <c r="CA30" i="7" s="1"/>
  <c r="BY29" i="7"/>
  <c r="CA29" i="7" s="1"/>
  <c r="BY28" i="7"/>
  <c r="CA28" i="7" s="1"/>
  <c r="BY27" i="7"/>
  <c r="CA27" i="7" s="1"/>
  <c r="BY26" i="7"/>
  <c r="CA26" i="7" s="1"/>
  <c r="BY25" i="7"/>
  <c r="CA25" i="7" s="1"/>
  <c r="BY24" i="7"/>
  <c r="CA24" i="7" s="1"/>
  <c r="BY23" i="7"/>
  <c r="CA23" i="7" s="1"/>
  <c r="BY22" i="7"/>
  <c r="CA22" i="7" s="1"/>
  <c r="BY21" i="7"/>
  <c r="CA21" i="7" s="1"/>
  <c r="BY20" i="7"/>
  <c r="CA20" i="7" s="1"/>
  <c r="BY19" i="7"/>
  <c r="CA19" i="7" s="1"/>
  <c r="N36" i="7"/>
  <c r="N35" i="7"/>
  <c r="N34" i="7"/>
  <c r="N33" i="7"/>
  <c r="N32" i="7"/>
  <c r="N31" i="7"/>
  <c r="N30" i="7"/>
  <c r="N29" i="7"/>
  <c r="N28" i="7"/>
  <c r="N27" i="7"/>
  <c r="I9" i="10"/>
  <c r="N26" i="7" s="1"/>
  <c r="H9" i="10"/>
  <c r="I8" i="10"/>
  <c r="N25" i="7" s="1"/>
  <c r="H8" i="10"/>
  <c r="I7" i="10"/>
  <c r="N24" i="7" s="1"/>
  <c r="H7" i="10"/>
  <c r="I6" i="10"/>
  <c r="N23" i="7" s="1"/>
  <c r="H6" i="10"/>
  <c r="I5" i="10"/>
  <c r="N22" i="7" s="1"/>
  <c r="H5" i="10"/>
  <c r="I4" i="10"/>
  <c r="N21" i="7" s="1"/>
  <c r="H4" i="10"/>
  <c r="I3" i="10"/>
  <c r="N20" i="7" s="1"/>
  <c r="H3" i="10"/>
  <c r="I2" i="10"/>
  <c r="N19" i="7" s="1"/>
  <c r="H2" i="10"/>
  <c r="I1" i="10"/>
  <c r="N18" i="7" s="1"/>
  <c r="H1" i="10"/>
  <c r="AA38" i="7"/>
  <c r="V38" i="7" s="1"/>
  <c r="W38" i="7" s="1"/>
  <c r="AA37" i="7"/>
  <c r="V37" i="7" s="1"/>
  <c r="W37" i="7" s="1"/>
  <c r="AA36" i="7"/>
  <c r="V36" i="7" s="1"/>
  <c r="W36" i="7" s="1"/>
  <c r="AA35" i="7"/>
  <c r="V35" i="7" s="1"/>
  <c r="W35" i="7" s="1"/>
  <c r="AA34" i="7"/>
  <c r="V34" i="7" s="1"/>
  <c r="W34" i="7" s="1"/>
  <c r="V33" i="7"/>
  <c r="V32" i="7"/>
  <c r="V31" i="7"/>
  <c r="V30" i="7"/>
  <c r="V29" i="7"/>
  <c r="V28" i="7"/>
  <c r="V27" i="7"/>
  <c r="V26" i="7"/>
  <c r="V25" i="7"/>
  <c r="V24" i="7"/>
  <c r="V23" i="7"/>
  <c r="W23" i="7" s="1"/>
  <c r="V22" i="7"/>
  <c r="V21" i="7"/>
  <c r="V20" i="7"/>
  <c r="V19" i="7"/>
  <c r="V18" i="7"/>
  <c r="E9" i="9"/>
  <c r="F9" i="9" s="1"/>
  <c r="G9" i="9" s="1"/>
  <c r="G10" i="9" s="1"/>
  <c r="G11" i="9" s="1"/>
  <c r="E10" i="9"/>
  <c r="E11" i="9"/>
  <c r="BP18" i="7" l="1"/>
  <c r="C48" i="7"/>
  <c r="C65" i="7"/>
  <c r="C77" i="7"/>
  <c r="C50" i="7"/>
  <c r="C85" i="7"/>
  <c r="C61" i="7"/>
  <c r="C60" i="7"/>
  <c r="C113" i="7"/>
  <c r="C99" i="7"/>
  <c r="C76" i="7"/>
  <c r="C97" i="7"/>
  <c r="C106" i="7"/>
  <c r="C83" i="7"/>
  <c r="C57" i="7"/>
  <c r="C81" i="7"/>
  <c r="C75" i="7"/>
  <c r="C73" i="7"/>
  <c r="C104" i="7"/>
  <c r="C74" i="7"/>
  <c r="C108" i="7"/>
  <c r="C103" i="7"/>
  <c r="C90" i="7"/>
  <c r="C71" i="7"/>
  <c r="C62" i="7"/>
  <c r="C72" i="7"/>
  <c r="C58" i="7"/>
  <c r="C117" i="7"/>
  <c r="C56" i="7"/>
  <c r="C107" i="7"/>
  <c r="C67" i="7"/>
  <c r="C69" i="7"/>
  <c r="C111" i="7"/>
  <c r="C70" i="7"/>
  <c r="C54" i="7"/>
  <c r="C52" i="7"/>
  <c r="C116" i="7"/>
  <c r="C110" i="7"/>
  <c r="C100" i="7"/>
  <c r="C63" i="7"/>
  <c r="C109" i="7"/>
  <c r="C68" i="7"/>
  <c r="C98" i="7"/>
  <c r="C102" i="7"/>
  <c r="C89" i="7"/>
  <c r="C88" i="7"/>
  <c r="C55" i="7"/>
  <c r="C49" i="7"/>
  <c r="C80" i="7"/>
  <c r="C66" i="7"/>
  <c r="C82" i="7"/>
  <c r="C94" i="7"/>
  <c r="C115" i="7"/>
  <c r="C101" i="7"/>
  <c r="C95" i="7"/>
  <c r="C87" i="7"/>
  <c r="C79" i="7"/>
  <c r="C86" i="7"/>
  <c r="C96" i="7"/>
  <c r="C64" i="7"/>
  <c r="C78" i="7"/>
  <c r="C84" i="7"/>
  <c r="C59" i="7"/>
  <c r="C53" i="7"/>
  <c r="C92" i="7"/>
  <c r="C112" i="7"/>
  <c r="C114" i="7"/>
  <c r="C105" i="7"/>
  <c r="C93" i="7"/>
  <c r="C51" i="7"/>
  <c r="C91" i="7"/>
  <c r="AW36" i="7"/>
  <c r="BG36" i="7"/>
  <c r="AW25" i="7"/>
  <c r="BG25" i="7"/>
  <c r="AW37" i="7"/>
  <c r="BG37" i="7"/>
  <c r="AW18" i="7"/>
  <c r="BG18" i="7"/>
  <c r="AW19" i="7"/>
  <c r="BG19" i="7"/>
  <c r="AW23" i="7"/>
  <c r="BG23" i="7"/>
  <c r="AW27" i="7"/>
  <c r="BG27" i="7"/>
  <c r="AW31" i="7"/>
  <c r="BG31" i="7"/>
  <c r="AW35" i="7"/>
  <c r="BG35" i="7"/>
  <c r="AW24" i="7"/>
  <c r="BG24" i="7"/>
  <c r="AW28" i="7"/>
  <c r="BG28" i="7"/>
  <c r="AW29" i="7"/>
  <c r="BG29" i="7"/>
  <c r="AW20" i="7"/>
  <c r="BG20" i="7"/>
  <c r="AW32" i="7"/>
  <c r="BG32" i="7"/>
  <c r="AW21" i="7"/>
  <c r="BG21" i="7"/>
  <c r="AW33" i="7"/>
  <c r="BG33" i="7"/>
  <c r="AW22" i="7"/>
  <c r="BG22" i="7"/>
  <c r="AW26" i="7"/>
  <c r="BG26" i="7"/>
  <c r="AW30" i="7"/>
  <c r="BG30" i="7"/>
  <c r="AW34" i="7"/>
  <c r="BG34" i="7"/>
  <c r="BU20" i="7"/>
  <c r="BS20" i="7"/>
  <c r="BV20" i="7"/>
  <c r="BU28" i="7"/>
  <c r="BV28" i="7"/>
  <c r="BS28" i="7"/>
  <c r="BU36" i="7"/>
  <c r="BV36" i="7"/>
  <c r="BS36" i="7"/>
  <c r="BU19" i="7"/>
  <c r="BV19" i="7"/>
  <c r="BS19" i="7"/>
  <c r="BS21" i="7"/>
  <c r="BU21" i="7"/>
  <c r="BV21" i="7"/>
  <c r="BU29" i="7"/>
  <c r="BS29" i="7"/>
  <c r="BV29" i="7"/>
  <c r="BU37" i="7"/>
  <c r="BV37" i="7"/>
  <c r="BS37" i="7"/>
  <c r="BU35" i="7"/>
  <c r="BV35" i="7"/>
  <c r="BS35" i="7"/>
  <c r="BS22" i="7"/>
  <c r="BU22" i="7"/>
  <c r="BV22" i="7"/>
  <c r="BS30" i="7"/>
  <c r="BU30" i="7"/>
  <c r="BV30" i="7"/>
  <c r="BS38" i="7"/>
  <c r="BU38" i="7"/>
  <c r="BV38" i="7"/>
  <c r="BU27" i="7"/>
  <c r="BV27" i="7"/>
  <c r="BS27" i="7"/>
  <c r="BS24" i="7"/>
  <c r="BU24" i="7"/>
  <c r="BV24" i="7"/>
  <c r="BS32" i="7"/>
  <c r="BV32" i="7"/>
  <c r="BU32" i="7"/>
  <c r="BS23" i="7"/>
  <c r="BU23" i="7"/>
  <c r="BV23" i="7"/>
  <c r="BV25" i="7"/>
  <c r="BS25" i="7"/>
  <c r="BU25" i="7"/>
  <c r="BV33" i="7"/>
  <c r="BU33" i="7"/>
  <c r="BS33" i="7"/>
  <c r="BS31" i="7"/>
  <c r="BU31" i="7"/>
  <c r="BV31" i="7"/>
  <c r="BS18" i="7"/>
  <c r="BV18" i="7"/>
  <c r="BU18" i="7"/>
  <c r="BV26" i="7"/>
  <c r="BU26" i="7"/>
  <c r="BS26" i="7"/>
  <c r="BV34" i="7"/>
  <c r="BS34" i="7"/>
  <c r="BU34" i="7"/>
  <c r="U18" i="7"/>
  <c r="W18" i="7" s="1"/>
  <c r="U30" i="7"/>
  <c r="W30" i="7" s="1"/>
  <c r="U29" i="7"/>
  <c r="W29" i="7" s="1"/>
  <c r="U19" i="7"/>
  <c r="W19" i="7" s="1"/>
  <c r="BT39" i="7"/>
  <c r="AZ39" i="7" s="1"/>
  <c r="BA39" i="7" s="1"/>
  <c r="CB39" i="7" s="1"/>
  <c r="CD39" i="7" s="1"/>
  <c r="U27" i="7"/>
  <c r="W27" i="7" s="1"/>
  <c r="C44" i="7"/>
  <c r="C45" i="7"/>
  <c r="C42" i="7"/>
  <c r="C47" i="7"/>
  <c r="C39" i="7"/>
  <c r="C46" i="7"/>
  <c r="C40" i="7"/>
  <c r="C41" i="7"/>
  <c r="C43" i="7"/>
  <c r="U24" i="7"/>
  <c r="W24" i="7" s="1"/>
  <c r="U36" i="7"/>
  <c r="AU19" i="7"/>
  <c r="U35" i="7"/>
  <c r="U26" i="7"/>
  <c r="W26" i="7" s="1"/>
  <c r="U37" i="7"/>
  <c r="U22" i="7"/>
  <c r="W22" i="7" s="1"/>
  <c r="U34" i="7"/>
  <c r="U31" i="7"/>
  <c r="W31" i="7" s="1"/>
  <c r="U28" i="7"/>
  <c r="W28" i="7" s="1"/>
  <c r="U21" i="7"/>
  <c r="W21" i="7" s="1"/>
  <c r="U33" i="7"/>
  <c r="W33" i="7" s="1"/>
  <c r="U38" i="7"/>
  <c r="U25" i="7"/>
  <c r="W25" i="7" s="1"/>
  <c r="U20" i="7"/>
  <c r="W20" i="7" s="1"/>
  <c r="U32" i="7"/>
  <c r="W32" i="7" s="1"/>
  <c r="F10" i="9"/>
  <c r="F11" i="9" s="1"/>
  <c r="BK18" i="7" l="1"/>
  <c r="BM18" i="7"/>
  <c r="BL18" i="7"/>
  <c r="BQ18" i="7"/>
  <c r="Q112" i="7"/>
  <c r="AO112" i="7"/>
  <c r="AC112" i="7"/>
  <c r="Q64" i="7"/>
  <c r="AC64" i="7"/>
  <c r="AO64" i="7"/>
  <c r="Q101" i="7"/>
  <c r="AC101" i="7"/>
  <c r="AO101" i="7"/>
  <c r="Q49" i="7"/>
  <c r="AO49" i="7"/>
  <c r="AC49" i="7"/>
  <c r="Q68" i="7"/>
  <c r="AO68" i="7"/>
  <c r="AC68" i="7"/>
  <c r="Q52" i="7"/>
  <c r="AC52" i="7"/>
  <c r="AO52" i="7"/>
  <c r="Q107" i="7"/>
  <c r="AC107" i="7"/>
  <c r="AO107" i="7"/>
  <c r="Q71" i="7"/>
  <c r="AC71" i="7"/>
  <c r="AO71" i="7"/>
  <c r="Q73" i="7"/>
  <c r="AC73" i="7"/>
  <c r="AO73" i="7"/>
  <c r="AC97" i="7"/>
  <c r="Q97" i="7"/>
  <c r="AO97" i="7"/>
  <c r="Q85" i="7"/>
  <c r="AC85" i="7"/>
  <c r="AO85" i="7"/>
  <c r="BN18" i="7"/>
  <c r="Q91" i="7"/>
  <c r="AC91" i="7"/>
  <c r="AO91" i="7"/>
  <c r="Q92" i="7"/>
  <c r="AC92" i="7"/>
  <c r="AO92" i="7"/>
  <c r="Q96" i="7"/>
  <c r="AC96" i="7"/>
  <c r="AO96" i="7"/>
  <c r="AO115" i="7"/>
  <c r="Q115" i="7"/>
  <c r="AC115" i="7"/>
  <c r="AC55" i="7"/>
  <c r="Q55" i="7"/>
  <c r="AO55" i="7"/>
  <c r="Q109" i="7"/>
  <c r="AO109" i="7"/>
  <c r="AC109" i="7"/>
  <c r="Q54" i="7"/>
  <c r="AO54" i="7"/>
  <c r="AC54" i="7"/>
  <c r="Q56" i="7"/>
  <c r="AO56" i="7"/>
  <c r="AC56" i="7"/>
  <c r="Q90" i="7"/>
  <c r="AO90" i="7"/>
  <c r="AC90" i="7"/>
  <c r="Q75" i="7"/>
  <c r="AO75" i="7"/>
  <c r="AC75" i="7"/>
  <c r="Q76" i="7"/>
  <c r="AO76" i="7"/>
  <c r="AC76" i="7"/>
  <c r="Q50" i="7"/>
  <c r="AC50" i="7"/>
  <c r="AO50" i="7"/>
  <c r="AO114" i="7"/>
  <c r="Q114" i="7"/>
  <c r="AC114" i="7"/>
  <c r="BO18" i="7"/>
  <c r="Q51" i="7"/>
  <c r="AO51" i="7"/>
  <c r="AC51" i="7"/>
  <c r="AC53" i="7"/>
  <c r="AO53" i="7"/>
  <c r="Q53" i="7"/>
  <c r="AO86" i="7"/>
  <c r="Q86" i="7"/>
  <c r="AC86" i="7"/>
  <c r="Q94" i="7"/>
  <c r="AO94" i="7"/>
  <c r="AC94" i="7"/>
  <c r="AC88" i="7"/>
  <c r="Q88" i="7"/>
  <c r="AO88" i="7"/>
  <c r="Q63" i="7"/>
  <c r="AO63" i="7"/>
  <c r="AC63" i="7"/>
  <c r="Q70" i="7"/>
  <c r="AC70" i="7"/>
  <c r="AO70" i="7"/>
  <c r="Q117" i="7"/>
  <c r="AO117" i="7"/>
  <c r="AC117" i="7"/>
  <c r="Q103" i="7"/>
  <c r="AC103" i="7"/>
  <c r="AO103" i="7"/>
  <c r="Q81" i="7"/>
  <c r="AO81" i="7"/>
  <c r="AC81" i="7"/>
  <c r="AC99" i="7"/>
  <c r="AO99" i="7"/>
  <c r="Q99" i="7"/>
  <c r="Q77" i="7"/>
  <c r="AO77" i="7"/>
  <c r="AC77" i="7"/>
  <c r="Q93" i="7"/>
  <c r="AO93" i="7"/>
  <c r="AC93" i="7"/>
  <c r="Q59" i="7"/>
  <c r="AC59" i="7"/>
  <c r="AO59" i="7"/>
  <c r="AO79" i="7"/>
  <c r="AC79" i="7"/>
  <c r="Q79" i="7"/>
  <c r="Q82" i="7"/>
  <c r="AO82" i="7"/>
  <c r="AC82" i="7"/>
  <c r="Q89" i="7"/>
  <c r="AC89" i="7"/>
  <c r="AO89" i="7"/>
  <c r="Q100" i="7"/>
  <c r="AC100" i="7"/>
  <c r="AO100" i="7"/>
  <c r="Q111" i="7"/>
  <c r="AC111" i="7"/>
  <c r="AO111" i="7"/>
  <c r="Q58" i="7"/>
  <c r="AO58" i="7"/>
  <c r="AC58" i="7"/>
  <c r="Q108" i="7"/>
  <c r="AC108" i="7"/>
  <c r="AO108" i="7"/>
  <c r="Q57" i="7"/>
  <c r="AC57" i="7"/>
  <c r="AO57" i="7"/>
  <c r="Q113" i="7"/>
  <c r="AO113" i="7"/>
  <c r="AC113" i="7"/>
  <c r="Q65" i="7"/>
  <c r="AC65" i="7"/>
  <c r="AO65" i="7"/>
  <c r="AO105" i="7"/>
  <c r="Q105" i="7"/>
  <c r="AC105" i="7"/>
  <c r="Q84" i="7"/>
  <c r="AC84" i="7"/>
  <c r="AO84" i="7"/>
  <c r="AO87" i="7"/>
  <c r="Q87" i="7"/>
  <c r="AC87" i="7"/>
  <c r="Q66" i="7"/>
  <c r="AO66" i="7"/>
  <c r="AC66" i="7"/>
  <c r="Q102" i="7"/>
  <c r="AO102" i="7"/>
  <c r="AC102" i="7"/>
  <c r="Q110" i="7"/>
  <c r="AC110" i="7"/>
  <c r="AO110" i="7"/>
  <c r="Q69" i="7"/>
  <c r="AC69" i="7"/>
  <c r="AO69" i="7"/>
  <c r="Q72" i="7"/>
  <c r="AC72" i="7"/>
  <c r="AO72" i="7"/>
  <c r="Q74" i="7"/>
  <c r="AC74" i="7"/>
  <c r="AO74" i="7"/>
  <c r="Q83" i="7"/>
  <c r="AC83" i="7"/>
  <c r="AO83" i="7"/>
  <c r="Q60" i="7"/>
  <c r="AC60" i="7"/>
  <c r="AO60" i="7"/>
  <c r="Q48" i="7"/>
  <c r="AO48" i="7"/>
  <c r="AC48" i="7"/>
  <c r="Q78" i="7"/>
  <c r="AC78" i="7"/>
  <c r="AO78" i="7"/>
  <c r="Q95" i="7"/>
  <c r="AC95" i="7"/>
  <c r="AO95" i="7"/>
  <c r="Q80" i="7"/>
  <c r="AC80" i="7"/>
  <c r="AO80" i="7"/>
  <c r="Q98" i="7"/>
  <c r="AC98" i="7"/>
  <c r="AO98" i="7"/>
  <c r="Q116" i="7"/>
  <c r="AO116" i="7"/>
  <c r="AC116" i="7"/>
  <c r="Q67" i="7"/>
  <c r="AO67" i="7"/>
  <c r="AC67" i="7"/>
  <c r="Q62" i="7"/>
  <c r="AO62" i="7"/>
  <c r="AC62" i="7"/>
  <c r="Q104" i="7"/>
  <c r="AC104" i="7"/>
  <c r="AO104" i="7"/>
  <c r="Q106" i="7"/>
  <c r="AO106" i="7"/>
  <c r="AC106" i="7"/>
  <c r="Q61" i="7"/>
  <c r="AC61" i="7"/>
  <c r="AO61" i="7"/>
  <c r="BO27" i="7"/>
  <c r="BN27" i="7"/>
  <c r="BM27" i="7"/>
  <c r="BP27" i="7"/>
  <c r="BK27" i="7"/>
  <c r="BQ27" i="7"/>
  <c r="BL27" i="7"/>
  <c r="BO23" i="7"/>
  <c r="BN23" i="7"/>
  <c r="BM23" i="7"/>
  <c r="BQ23" i="7"/>
  <c r="BL23" i="7"/>
  <c r="BP23" i="7"/>
  <c r="BK23" i="7"/>
  <c r="BP32" i="7"/>
  <c r="BK32" i="7"/>
  <c r="BO32" i="7"/>
  <c r="BN32" i="7"/>
  <c r="BQ32" i="7"/>
  <c r="BL32" i="7"/>
  <c r="BM32" i="7"/>
  <c r="BK21" i="7"/>
  <c r="BQ21" i="7"/>
  <c r="BL21" i="7"/>
  <c r="BP21" i="7"/>
  <c r="BO21" i="7"/>
  <c r="BM21" i="7"/>
  <c r="BN21" i="7"/>
  <c r="BQ34" i="7"/>
  <c r="BN34" i="7"/>
  <c r="BM34" i="7"/>
  <c r="BL34" i="7"/>
  <c r="BP34" i="7"/>
  <c r="BK34" i="7"/>
  <c r="BO34" i="7"/>
  <c r="BQ37" i="7"/>
  <c r="BL37" i="7"/>
  <c r="BP37" i="7"/>
  <c r="BO37" i="7"/>
  <c r="BM37" i="7"/>
  <c r="BN37" i="7"/>
  <c r="BK37" i="7"/>
  <c r="BN35" i="7"/>
  <c r="BO35" i="7"/>
  <c r="BM35" i="7"/>
  <c r="BP35" i="7"/>
  <c r="BQ35" i="7"/>
  <c r="BL35" i="7"/>
  <c r="BK35" i="7"/>
  <c r="BM38" i="7"/>
  <c r="BQ38" i="7"/>
  <c r="BL38" i="7"/>
  <c r="BK38" i="7"/>
  <c r="BO38" i="7"/>
  <c r="BP38" i="7"/>
  <c r="BN38" i="7"/>
  <c r="BQ22" i="7"/>
  <c r="BN22" i="7"/>
  <c r="BM22" i="7"/>
  <c r="BL22" i="7"/>
  <c r="BO22" i="7"/>
  <c r="BP22" i="7"/>
  <c r="BK22" i="7"/>
  <c r="BO24" i="7"/>
  <c r="BP24" i="7"/>
  <c r="BK24" i="7"/>
  <c r="BN24" i="7"/>
  <c r="BQ24" i="7"/>
  <c r="BL24" i="7"/>
  <c r="BM24" i="7"/>
  <c r="BQ26" i="7"/>
  <c r="BN26" i="7"/>
  <c r="BM26" i="7"/>
  <c r="BL26" i="7"/>
  <c r="BP26" i="7"/>
  <c r="BK26" i="7"/>
  <c r="BO26" i="7"/>
  <c r="BQ30" i="7"/>
  <c r="BL30" i="7"/>
  <c r="BN30" i="7"/>
  <c r="BM30" i="7"/>
  <c r="BO30" i="7"/>
  <c r="BP30" i="7"/>
  <c r="BK30" i="7"/>
  <c r="BP36" i="7"/>
  <c r="BK36" i="7"/>
  <c r="BO36" i="7"/>
  <c r="BN36" i="7"/>
  <c r="BM36" i="7"/>
  <c r="BL36" i="7"/>
  <c r="BQ36" i="7"/>
  <c r="BQ25" i="7"/>
  <c r="BL25" i="7"/>
  <c r="BP25" i="7"/>
  <c r="BK25" i="7"/>
  <c r="BN25" i="7"/>
  <c r="BO25" i="7"/>
  <c r="BM25" i="7"/>
  <c r="BP20" i="7"/>
  <c r="BK20" i="7"/>
  <c r="BO20" i="7"/>
  <c r="BM20" i="7"/>
  <c r="BN20" i="7"/>
  <c r="BQ20" i="7"/>
  <c r="BL20" i="7"/>
  <c r="BP28" i="7"/>
  <c r="BK28" i="7"/>
  <c r="BO28" i="7"/>
  <c r="BM28" i="7"/>
  <c r="BN28" i="7"/>
  <c r="BL28" i="7"/>
  <c r="BQ28" i="7"/>
  <c r="BO31" i="7"/>
  <c r="BN31" i="7"/>
  <c r="BM31" i="7"/>
  <c r="BQ31" i="7"/>
  <c r="BL31" i="7"/>
  <c r="BK31" i="7"/>
  <c r="BP31" i="7"/>
  <c r="BN19" i="7"/>
  <c r="BO19" i="7"/>
  <c r="BM19" i="7"/>
  <c r="BP19" i="7"/>
  <c r="BK19" i="7"/>
  <c r="BQ19" i="7"/>
  <c r="BL19" i="7"/>
  <c r="BQ29" i="7"/>
  <c r="BL29" i="7"/>
  <c r="BP29" i="7"/>
  <c r="BK29" i="7"/>
  <c r="BO29" i="7"/>
  <c r="BM29" i="7"/>
  <c r="BN29" i="7"/>
  <c r="BP33" i="7"/>
  <c r="BQ33" i="7"/>
  <c r="BL33" i="7"/>
  <c r="BK33" i="7"/>
  <c r="BN33" i="7"/>
  <c r="BO33" i="7"/>
  <c r="BM33" i="7"/>
  <c r="AT20" i="7"/>
  <c r="AX20" i="7"/>
  <c r="AY20" i="7"/>
  <c r="AV20" i="7"/>
  <c r="AU20" i="7"/>
  <c r="AS20" i="7"/>
  <c r="AX19" i="7"/>
  <c r="AY19" i="7"/>
  <c r="AS19" i="7"/>
  <c r="AV19" i="7"/>
  <c r="AT19" i="7"/>
  <c r="AY26" i="7"/>
  <c r="AX26" i="7"/>
  <c r="AT26" i="7"/>
  <c r="AU26" i="7"/>
  <c r="AV26" i="7"/>
  <c r="AS26" i="7"/>
  <c r="AX27" i="7"/>
  <c r="AT27" i="7"/>
  <c r="AY27" i="7"/>
  <c r="AV27" i="7"/>
  <c r="AS27" i="7"/>
  <c r="AU27" i="7"/>
  <c r="AU23" i="7"/>
  <c r="AS23" i="7"/>
  <c r="AV23" i="7"/>
  <c r="AT23" i="7"/>
  <c r="AX23" i="7"/>
  <c r="AY23" i="7"/>
  <c r="AS22" i="7"/>
  <c r="AV22" i="7"/>
  <c r="AT22" i="7"/>
  <c r="AX22" i="7"/>
  <c r="AY22" i="7"/>
  <c r="AU22" i="7"/>
  <c r="AS38" i="7"/>
  <c r="AV38" i="7"/>
  <c r="AT38" i="7"/>
  <c r="AY38" i="7"/>
  <c r="AX38" i="7"/>
  <c r="AU38" i="7"/>
  <c r="AU32" i="7"/>
  <c r="AX32" i="7"/>
  <c r="AS32" i="7"/>
  <c r="AV32" i="7"/>
  <c r="AT32" i="7"/>
  <c r="AY32" i="7"/>
  <c r="AS29" i="7"/>
  <c r="AV29" i="7"/>
  <c r="AT29" i="7"/>
  <c r="AX29" i="7"/>
  <c r="AU29" i="7"/>
  <c r="AY29" i="7"/>
  <c r="AY34" i="7"/>
  <c r="AS34" i="7"/>
  <c r="AV34" i="7"/>
  <c r="AT34" i="7"/>
  <c r="AU34" i="7"/>
  <c r="AX34" i="7"/>
  <c r="AU18" i="7"/>
  <c r="AS18" i="7"/>
  <c r="AV18" i="7"/>
  <c r="AT18" i="7"/>
  <c r="AX18" i="7"/>
  <c r="AY18" i="7"/>
  <c r="AY33" i="7"/>
  <c r="AU33" i="7"/>
  <c r="AT33" i="7"/>
  <c r="AX33" i="7"/>
  <c r="AS33" i="7"/>
  <c r="AV33" i="7"/>
  <c r="AY25" i="7"/>
  <c r="AU25" i="7"/>
  <c r="AT25" i="7"/>
  <c r="AX25" i="7"/>
  <c r="AS25" i="7"/>
  <c r="AV25" i="7"/>
  <c r="AT36" i="7"/>
  <c r="AX36" i="7"/>
  <c r="AS36" i="7"/>
  <c r="AV36" i="7"/>
  <c r="AY36" i="7"/>
  <c r="AU36" i="7"/>
  <c r="AX35" i="7"/>
  <c r="AY35" i="7"/>
  <c r="AT35" i="7"/>
  <c r="AU35" i="7"/>
  <c r="AS35" i="7"/>
  <c r="AV35" i="7"/>
  <c r="AT28" i="7"/>
  <c r="AX28" i="7"/>
  <c r="AY28" i="7"/>
  <c r="AU28" i="7"/>
  <c r="AS28" i="7"/>
  <c r="AV28" i="7"/>
  <c r="AU31" i="7"/>
  <c r="AS31" i="7"/>
  <c r="AV31" i="7"/>
  <c r="AT31" i="7"/>
  <c r="AY31" i="7"/>
  <c r="AX31" i="7"/>
  <c r="AS21" i="7"/>
  <c r="AV21" i="7"/>
  <c r="AT21" i="7"/>
  <c r="AX21" i="7"/>
  <c r="AU21" i="7"/>
  <c r="AY21" i="7"/>
  <c r="AU24" i="7"/>
  <c r="AS24" i="7"/>
  <c r="AV24" i="7"/>
  <c r="AY24" i="7"/>
  <c r="AT24" i="7"/>
  <c r="AX24" i="7"/>
  <c r="AS37" i="7"/>
  <c r="AV37" i="7"/>
  <c r="AT37" i="7"/>
  <c r="AX37" i="7"/>
  <c r="AU37" i="7"/>
  <c r="AY37" i="7"/>
  <c r="AS30" i="7"/>
  <c r="AV30" i="7"/>
  <c r="AT30" i="7"/>
  <c r="AX30" i="7"/>
  <c r="AY30" i="7"/>
  <c r="AU30" i="7"/>
  <c r="BX45" i="7"/>
  <c r="AC45" i="7"/>
  <c r="AO45" i="7"/>
  <c r="Q45" i="7"/>
  <c r="AO47" i="7"/>
  <c r="BX47" i="7"/>
  <c r="AC47" i="7"/>
  <c r="Q47" i="7"/>
  <c r="BX44" i="7"/>
  <c r="Q44" i="7"/>
  <c r="AC44" i="7"/>
  <c r="AO44" i="7"/>
  <c r="Q40" i="7"/>
  <c r="AO40" i="7"/>
  <c r="AC40" i="7"/>
  <c r="BX40" i="7"/>
  <c r="Q41" i="7"/>
  <c r="AC41" i="7"/>
  <c r="AO41" i="7"/>
  <c r="BX41" i="7"/>
  <c r="AC43" i="7"/>
  <c r="BX43" i="7"/>
  <c r="AO43" i="7"/>
  <c r="Q43" i="7"/>
  <c r="AO39" i="7"/>
  <c r="BX39" i="7"/>
  <c r="Q39" i="7"/>
  <c r="AC39" i="7"/>
  <c r="Q46" i="7"/>
  <c r="AC46" i="7"/>
  <c r="AO46" i="7"/>
  <c r="BX46" i="7"/>
  <c r="AO42" i="7"/>
  <c r="BX42" i="7"/>
  <c r="Q42" i="7"/>
  <c r="AC42" i="7"/>
  <c r="S56" i="6"/>
  <c r="S55" i="6"/>
  <c r="S54" i="6"/>
  <c r="S53" i="6"/>
  <c r="S52" i="6"/>
  <c r="S51" i="6"/>
  <c r="S50" i="6"/>
  <c r="S49" i="6"/>
  <c r="S48" i="6"/>
  <c r="S47" i="6"/>
  <c r="S46" i="6"/>
  <c r="S45" i="6"/>
  <c r="D56" i="6"/>
  <c r="D55" i="6"/>
  <c r="D54" i="6"/>
  <c r="D53" i="6"/>
  <c r="D52" i="6"/>
  <c r="D51" i="6"/>
  <c r="D50" i="6"/>
  <c r="D49" i="6"/>
  <c r="D48" i="6"/>
  <c r="D47" i="6"/>
  <c r="D46" i="6"/>
  <c r="D45" i="6"/>
  <c r="W56" i="6"/>
  <c r="W55" i="6"/>
  <c r="W54" i="6"/>
  <c r="W53" i="6"/>
  <c r="W52" i="6"/>
  <c r="W51" i="6"/>
  <c r="W50" i="6"/>
  <c r="W49" i="6"/>
  <c r="W48" i="6"/>
  <c r="W47" i="6"/>
  <c r="W46" i="6"/>
  <c r="W45" i="6"/>
  <c r="H56" i="6"/>
  <c r="H55" i="6"/>
  <c r="H54" i="6"/>
  <c r="H53" i="6"/>
  <c r="H52" i="6"/>
  <c r="H51" i="6"/>
  <c r="H50" i="6"/>
  <c r="H49" i="6"/>
  <c r="H48" i="6"/>
  <c r="H46" i="6"/>
  <c r="H45" i="6"/>
  <c r="H47" i="6"/>
  <c r="AQ29" i="7" l="1"/>
  <c r="CJ29" i="7"/>
  <c r="AE29" i="7"/>
  <c r="BT29" i="7"/>
  <c r="CC29" i="7"/>
  <c r="AZ29" i="7"/>
  <c r="BA29" i="7" s="1"/>
  <c r="CB29" i="7" s="1"/>
  <c r="S29" i="7"/>
  <c r="T29" i="7"/>
  <c r="AF29" i="7"/>
  <c r="BZ29" i="7"/>
  <c r="AR29" i="7"/>
  <c r="CE29" i="7"/>
  <c r="CD29" i="7" l="1"/>
  <c r="CE23" i="7" l="1"/>
  <c r="CE31" i="7"/>
  <c r="CE22" i="7"/>
  <c r="CE38" i="7"/>
  <c r="CE30" i="7"/>
  <c r="CE21" i="7"/>
  <c r="CE37" i="7"/>
  <c r="CE28" i="7"/>
  <c r="CE20" i="7"/>
  <c r="CE32" i="7"/>
  <c r="CE36" i="7"/>
  <c r="CE27" i="7"/>
  <c r="CE35" i="7"/>
  <c r="CE26" i="7"/>
  <c r="CE34" i="7"/>
  <c r="CE25" i="7"/>
  <c r="CE19" i="7"/>
  <c r="CE33" i="7"/>
  <c r="CE24" i="7"/>
  <c r="CE18" i="7"/>
  <c r="C25" i="7" l="1"/>
  <c r="CC21" i="7"/>
  <c r="CC23" i="7"/>
  <c r="CC32" i="7"/>
  <c r="C20" i="7"/>
  <c r="CC24" i="7"/>
  <c r="CC33" i="7"/>
  <c r="CC30" i="7"/>
  <c r="C18" i="7"/>
  <c r="C27" i="7"/>
  <c r="C22" i="7"/>
  <c r="CC26" i="7"/>
  <c r="CC35" i="7"/>
  <c r="CC22" i="7"/>
  <c r="C19" i="7"/>
  <c r="C21" i="7"/>
  <c r="CC25" i="7"/>
  <c r="C23" i="7"/>
  <c r="CC19" i="7"/>
  <c r="CC27" i="7"/>
  <c r="CC36" i="7"/>
  <c r="CC38" i="7"/>
  <c r="C26" i="7"/>
  <c r="CC31" i="7"/>
  <c r="CC34" i="7"/>
  <c r="C24" i="7"/>
  <c r="CC20" i="7"/>
  <c r="CC28" i="7"/>
  <c r="CC37" i="7"/>
  <c r="C33" i="7"/>
  <c r="C34" i="7"/>
  <c r="C35" i="7"/>
  <c r="C31" i="7"/>
  <c r="C30" i="7"/>
  <c r="C32" i="7"/>
  <c r="C36" i="7"/>
  <c r="C38" i="7"/>
  <c r="C29" i="7"/>
  <c r="C37" i="7"/>
  <c r="C28" i="7"/>
  <c r="BZ20" i="7"/>
  <c r="CJ20" i="7"/>
  <c r="AQ20" i="7"/>
  <c r="S20" i="7"/>
  <c r="AE20" i="7"/>
  <c r="BZ21" i="7"/>
  <c r="CJ21" i="7"/>
  <c r="S21" i="7"/>
  <c r="AQ21" i="7"/>
  <c r="AE21" i="7"/>
  <c r="BZ22" i="7"/>
  <c r="CJ22" i="7"/>
  <c r="AQ22" i="7"/>
  <c r="AE22" i="7"/>
  <c r="S22" i="7"/>
  <c r="BZ23" i="7"/>
  <c r="CJ23" i="7"/>
  <c r="AE23" i="7"/>
  <c r="AQ23" i="7"/>
  <c r="S23" i="7"/>
  <c r="BZ24" i="7"/>
  <c r="CJ24" i="7"/>
  <c r="AE24" i="7"/>
  <c r="AQ24" i="7"/>
  <c r="S24" i="7"/>
  <c r="BZ25" i="7"/>
  <c r="CJ25" i="7"/>
  <c r="S25" i="7"/>
  <c r="AE25" i="7"/>
  <c r="AQ25" i="7"/>
  <c r="BZ26" i="7"/>
  <c r="CJ26" i="7"/>
  <c r="S26" i="7"/>
  <c r="AE26" i="7"/>
  <c r="AQ26" i="7"/>
  <c r="BZ27" i="7"/>
  <c r="CJ27" i="7"/>
  <c r="AQ27" i="7"/>
  <c r="AE27" i="7"/>
  <c r="S27" i="7"/>
  <c r="BZ28" i="7"/>
  <c r="CJ28" i="7"/>
  <c r="AQ28" i="7"/>
  <c r="S28" i="7"/>
  <c r="AE28" i="7"/>
  <c r="BZ37" i="7"/>
  <c r="CJ37" i="7"/>
  <c r="AQ37" i="7"/>
  <c r="AE37" i="7"/>
  <c r="BZ36" i="7"/>
  <c r="CJ36" i="7"/>
  <c r="AQ36" i="7"/>
  <c r="AE36" i="7"/>
  <c r="BZ35" i="7"/>
  <c r="CJ35" i="7"/>
  <c r="AQ35" i="7"/>
  <c r="AE35" i="7"/>
  <c r="BZ34" i="7"/>
  <c r="CJ34" i="7"/>
  <c r="AE34" i="7"/>
  <c r="AQ34" i="7"/>
  <c r="BZ33" i="7"/>
  <c r="CJ33" i="7"/>
  <c r="AQ33" i="7"/>
  <c r="AE33" i="7"/>
  <c r="BZ32" i="7"/>
  <c r="CJ32" i="7"/>
  <c r="AQ32" i="7"/>
  <c r="AE32" i="7"/>
  <c r="S32" i="7"/>
  <c r="BZ31" i="7"/>
  <c r="CJ31" i="7"/>
  <c r="AE31" i="7"/>
  <c r="AQ31" i="7"/>
  <c r="S31" i="7"/>
  <c r="BZ19" i="7"/>
  <c r="CJ19" i="7"/>
  <c r="AQ19" i="7"/>
  <c r="AE19" i="7"/>
  <c r="S19" i="7"/>
  <c r="BZ30" i="7"/>
  <c r="CJ30" i="7"/>
  <c r="S30" i="7"/>
  <c r="AQ30" i="7"/>
  <c r="AE30" i="7"/>
  <c r="BZ18" i="7"/>
  <c r="BY18" i="7"/>
  <c r="AE18" i="7"/>
  <c r="S18" i="7"/>
  <c r="AQ18" i="7"/>
  <c r="BZ38" i="7"/>
  <c r="CJ38" i="7"/>
  <c r="AE38" i="7"/>
  <c r="AQ38" i="7"/>
  <c r="BT25" i="7"/>
  <c r="AZ25" i="7"/>
  <c r="BT33" i="7"/>
  <c r="AZ33" i="7" s="1"/>
  <c r="BT26" i="7"/>
  <c r="AZ26" i="7"/>
  <c r="BT34" i="7"/>
  <c r="AZ34" i="7"/>
  <c r="BT28" i="7"/>
  <c r="AZ28" i="7" s="1"/>
  <c r="BT27" i="7"/>
  <c r="AZ27" i="7" s="1"/>
  <c r="BT36" i="7"/>
  <c r="AZ36" i="7" s="1"/>
  <c r="BT35" i="7"/>
  <c r="AZ35" i="7" s="1"/>
  <c r="BT20" i="7"/>
  <c r="AZ20" i="7" s="1"/>
  <c r="BT21" i="7"/>
  <c r="AZ21" i="7" s="1"/>
  <c r="BT37" i="7"/>
  <c r="AZ37" i="7" s="1"/>
  <c r="BT22" i="7"/>
  <c r="AZ22" i="7" s="1"/>
  <c r="BT30" i="7"/>
  <c r="AZ30" i="7" s="1"/>
  <c r="BT38" i="7"/>
  <c r="AZ38" i="7" s="1"/>
  <c r="BT23" i="7"/>
  <c r="AZ23" i="7" s="1"/>
  <c r="BT31" i="7"/>
  <c r="AZ31" i="7" s="1"/>
  <c r="BT24" i="7"/>
  <c r="AZ24" i="7" s="1"/>
  <c r="BT32" i="7"/>
  <c r="AZ32" i="7" s="1"/>
  <c r="CC18" i="7"/>
  <c r="CJ18" i="7" l="1"/>
  <c r="CA18" i="7"/>
  <c r="BT18" i="7"/>
  <c r="AZ18" i="7" s="1"/>
  <c r="BA18" i="7" s="1"/>
  <c r="CB18" i="7" s="1"/>
  <c r="CD18" i="7" s="1"/>
  <c r="BT19" i="7"/>
  <c r="AZ19" i="7" s="1"/>
  <c r="Q21" i="7"/>
  <c r="BX21" i="7"/>
  <c r="AO21" i="7"/>
  <c r="AC21" i="7"/>
  <c r="AF34" i="7"/>
  <c r="AC24" i="7"/>
  <c r="Q24" i="7"/>
  <c r="BX24" i="7"/>
  <c r="AO24" i="7"/>
  <c r="AO26" i="7"/>
  <c r="AC26" i="7"/>
  <c r="Q26" i="7"/>
  <c r="BX26" i="7"/>
  <c r="BX18" i="7"/>
  <c r="AO18" i="7"/>
  <c r="AC18" i="7"/>
  <c r="Q18" i="7"/>
  <c r="AC23" i="7"/>
  <c r="Q23" i="7"/>
  <c r="BX23" i="7"/>
  <c r="AO23" i="7"/>
  <c r="BX19" i="7"/>
  <c r="AO19" i="7"/>
  <c r="AC19" i="7"/>
  <c r="Q19" i="7"/>
  <c r="BX20" i="7"/>
  <c r="AO20" i="7"/>
  <c r="AC20" i="7"/>
  <c r="Q20" i="7"/>
  <c r="AO25" i="7"/>
  <c r="AC25" i="7"/>
  <c r="Q25" i="7"/>
  <c r="BX25" i="7"/>
  <c r="BX22" i="7"/>
  <c r="Q22" i="7"/>
  <c r="AO22" i="7"/>
  <c r="AC22" i="7"/>
  <c r="BX27" i="7"/>
  <c r="AO27" i="7"/>
  <c r="AC27" i="7"/>
  <c r="Q27" i="7"/>
  <c r="BX37" i="7"/>
  <c r="AO37" i="7"/>
  <c r="AC37" i="7"/>
  <c r="Q37" i="7"/>
  <c r="AO38" i="7"/>
  <c r="BX38" i="7"/>
  <c r="AC38" i="7"/>
  <c r="Q38" i="7"/>
  <c r="BX36" i="7"/>
  <c r="AO36" i="7"/>
  <c r="AC36" i="7"/>
  <c r="Q36" i="7"/>
  <c r="BX29" i="7"/>
  <c r="AO29" i="7"/>
  <c r="AC29" i="7"/>
  <c r="Q29" i="7"/>
  <c r="AO34" i="7"/>
  <c r="Q34" i="7"/>
  <c r="AC34" i="7"/>
  <c r="BX34" i="7"/>
  <c r="AO32" i="7"/>
  <c r="Q32" i="7"/>
  <c r="BX32" i="7"/>
  <c r="AC32" i="7"/>
  <c r="BX30" i="7"/>
  <c r="AO30" i="7"/>
  <c r="Q30" i="7"/>
  <c r="AC30" i="7"/>
  <c r="BX33" i="7"/>
  <c r="AO33" i="7"/>
  <c r="AC33" i="7"/>
  <c r="Q33" i="7"/>
  <c r="BX31" i="7"/>
  <c r="AC31" i="7"/>
  <c r="Q31" i="7"/>
  <c r="AO31" i="7"/>
  <c r="BX28" i="7"/>
  <c r="AO28" i="7"/>
  <c r="AC28" i="7"/>
  <c r="Q28" i="7"/>
  <c r="BX35" i="7"/>
  <c r="AO35" i="7"/>
  <c r="AC35" i="7"/>
  <c r="Q35" i="7"/>
  <c r="AF37" i="7"/>
  <c r="AR37" i="7"/>
  <c r="AF32" i="7"/>
  <c r="T18" i="7"/>
  <c r="T19" i="7"/>
  <c r="AR18" i="7"/>
  <c r="AF18" i="7"/>
  <c r="T31" i="7"/>
  <c r="AR31" i="7"/>
  <c r="AR36" i="7"/>
  <c r="AF21" i="7"/>
  <c r="AF26" i="7"/>
  <c r="AF35" i="7"/>
  <c r="AF36" i="7"/>
  <c r="AF31" i="7"/>
  <c r="AF30" i="7"/>
  <c r="AR33" i="7"/>
  <c r="AR30" i="7"/>
  <c r="T20" i="7"/>
  <c r="AR24" i="7"/>
  <c r="AR21" i="7"/>
  <c r="T30" i="7"/>
  <c r="AR26" i="7"/>
  <c r="AR32" i="7"/>
  <c r="T23" i="7"/>
  <c r="T32" i="7"/>
  <c r="AF23" i="7"/>
  <c r="AF24" i="7"/>
  <c r="T27" i="7"/>
  <c r="AR23" i="7"/>
  <c r="T21" i="7"/>
  <c r="T25" i="7"/>
  <c r="T26" i="7"/>
  <c r="AR20" i="7"/>
  <c r="AF20" i="7"/>
  <c r="T22" i="7"/>
  <c r="AF22" i="7"/>
  <c r="AR22" i="7"/>
  <c r="AR28" i="7"/>
  <c r="AF27" i="7"/>
  <c r="AR27" i="7"/>
  <c r="AF25" i="7"/>
  <c r="AR25" i="7"/>
  <c r="T24" i="7"/>
  <c r="T28" i="7"/>
  <c r="AF28" i="7"/>
  <c r="AF38" i="7"/>
  <c r="AR38" i="7"/>
  <c r="AR35" i="7"/>
  <c r="AR34" i="7"/>
  <c r="AF33" i="7"/>
  <c r="AF19" i="7"/>
  <c r="AR19" i="7"/>
  <c r="AA47" i="6"/>
  <c r="AA46" i="6"/>
  <c r="AA45" i="6"/>
  <c r="Z47" i="6"/>
  <c r="Z46" i="6"/>
  <c r="Z45" i="6"/>
  <c r="Y47" i="6"/>
  <c r="Y46" i="6"/>
  <c r="Y45" i="6"/>
  <c r="X47" i="6"/>
  <c r="X46" i="6"/>
  <c r="X45" i="6"/>
  <c r="V47" i="6"/>
  <c r="V46" i="6"/>
  <c r="V45" i="6"/>
  <c r="U47" i="6"/>
  <c r="U46" i="6"/>
  <c r="U45" i="6"/>
  <c r="T47" i="6"/>
  <c r="T46" i="6"/>
  <c r="T45" i="6"/>
  <c r="R47" i="6"/>
  <c r="R46" i="6"/>
  <c r="R45" i="6"/>
  <c r="BA19" i="7" l="1"/>
  <c r="CB19" i="7" s="1"/>
  <c r="CD19" i="7" s="1"/>
  <c r="D3" i="6"/>
  <c r="I3" i="6"/>
  <c r="AQ3" i="6" s="1"/>
  <c r="AJ3" i="6"/>
  <c r="AK3" i="6" s="1"/>
  <c r="BB3" i="6" s="1"/>
  <c r="AL3" i="6"/>
  <c r="AN3" i="6"/>
  <c r="AP3" i="6"/>
  <c r="AR3" i="6"/>
  <c r="BC3" i="6"/>
  <c r="BD3" i="6"/>
  <c r="BE3" i="6" s="1"/>
  <c r="BI3" i="6"/>
  <c r="BJ3" i="6"/>
  <c r="BK3" i="6" s="1"/>
  <c r="D4" i="6"/>
  <c r="I4" i="6"/>
  <c r="AO4" i="6" s="1"/>
  <c r="AJ4" i="6"/>
  <c r="BA4" i="6" s="1"/>
  <c r="Q46" i="6" s="1"/>
  <c r="AC46" i="6" s="1"/>
  <c r="AN4" i="6"/>
  <c r="AR4" i="6"/>
  <c r="BC4" i="6"/>
  <c r="BD4" i="6"/>
  <c r="BE4" i="6" s="1"/>
  <c r="BI4" i="6"/>
  <c r="BJ4" i="6"/>
  <c r="BK4" i="6" s="1"/>
  <c r="D5" i="6"/>
  <c r="I5" i="6"/>
  <c r="AL5" i="6" s="1"/>
  <c r="AJ5" i="6"/>
  <c r="AK5" i="6" s="1"/>
  <c r="AN5" i="6"/>
  <c r="AR5" i="6"/>
  <c r="BA5" i="6"/>
  <c r="Q47" i="6" s="1"/>
  <c r="AC47" i="6" s="1"/>
  <c r="BC5" i="6"/>
  <c r="BD5" i="6"/>
  <c r="BE5" i="6" s="1"/>
  <c r="BG5" i="6"/>
  <c r="BI5" i="6"/>
  <c r="BJ5" i="6"/>
  <c r="BK5" i="6"/>
  <c r="D6" i="6"/>
  <c r="I6" i="6"/>
  <c r="AS6" i="6" s="1"/>
  <c r="AJ6" i="6"/>
  <c r="BA6" i="6" s="1"/>
  <c r="Q48" i="6" s="1"/>
  <c r="AN6" i="6"/>
  <c r="AR6" i="6"/>
  <c r="BC6" i="6"/>
  <c r="BD6" i="6"/>
  <c r="BE6" i="6" s="1"/>
  <c r="BI6" i="6"/>
  <c r="BJ6" i="6"/>
  <c r="BK6" i="6" s="1"/>
  <c r="D7" i="6"/>
  <c r="I7" i="6"/>
  <c r="AQ7" i="6" s="1"/>
  <c r="AJ7" i="6"/>
  <c r="BA7" i="6" s="1"/>
  <c r="Q49" i="6" s="1"/>
  <c r="AB49" i="6" s="1"/>
  <c r="AW7" i="6" s="1"/>
  <c r="AY7" i="6" s="1"/>
  <c r="AK7" i="6"/>
  <c r="BB7" i="6" s="1"/>
  <c r="AL7" i="6"/>
  <c r="AN7" i="6"/>
  <c r="AR7" i="6"/>
  <c r="BC7" i="6"/>
  <c r="BD7" i="6"/>
  <c r="BE7" i="6" s="1"/>
  <c r="BI7" i="6"/>
  <c r="BJ7" i="6"/>
  <c r="BK7" i="6" s="1"/>
  <c r="D8" i="6"/>
  <c r="I8" i="6"/>
  <c r="AP8" i="6" s="1"/>
  <c r="AJ8" i="6"/>
  <c r="B50" i="6" s="1"/>
  <c r="AN8" i="6"/>
  <c r="AR8" i="6"/>
  <c r="AS8" i="6"/>
  <c r="AU8" i="6"/>
  <c r="BC8" i="6"/>
  <c r="BD8" i="6"/>
  <c r="BE8" i="6" s="1"/>
  <c r="BI8" i="6"/>
  <c r="BJ8" i="6"/>
  <c r="BK8" i="6" s="1"/>
  <c r="D9" i="6"/>
  <c r="I9" i="6"/>
  <c r="AO8" i="6" s="1"/>
  <c r="AJ9" i="6"/>
  <c r="BG9" i="6" s="1"/>
  <c r="AK9" i="6"/>
  <c r="BH9" i="6" s="1"/>
  <c r="AN9" i="6"/>
  <c r="AR9" i="6"/>
  <c r="BC9" i="6"/>
  <c r="BD9" i="6"/>
  <c r="BE9" i="6" s="1"/>
  <c r="BI9" i="6"/>
  <c r="BJ9" i="6"/>
  <c r="BK9" i="6" s="1"/>
  <c r="D10" i="6"/>
  <c r="I10" i="6"/>
  <c r="AS10" i="6" s="1"/>
  <c r="AJ10" i="6"/>
  <c r="BA10" i="6" s="1"/>
  <c r="Q52" i="6" s="1"/>
  <c r="AN10" i="6"/>
  <c r="AR10" i="6"/>
  <c r="BC10" i="6"/>
  <c r="BD10" i="6"/>
  <c r="BE10" i="6" s="1"/>
  <c r="BI10" i="6"/>
  <c r="BJ10" i="6"/>
  <c r="BK10" i="6"/>
  <c r="D11" i="6"/>
  <c r="I11" i="6"/>
  <c r="AQ11" i="6" s="1"/>
  <c r="AJ11" i="6"/>
  <c r="BA11" i="6" s="1"/>
  <c r="Q53" i="6" s="1"/>
  <c r="AK11" i="6"/>
  <c r="BB11" i="6" s="1"/>
  <c r="AN11" i="6"/>
  <c r="AR11" i="6"/>
  <c r="BC11" i="6"/>
  <c r="BD11" i="6"/>
  <c r="BE11" i="6"/>
  <c r="BG11" i="6"/>
  <c r="BI11" i="6"/>
  <c r="BJ11" i="6"/>
  <c r="BK11" i="6" s="1"/>
  <c r="D12" i="6"/>
  <c r="I12" i="6"/>
  <c r="P54" i="6" s="1"/>
  <c r="AJ12" i="6"/>
  <c r="BA12" i="6" s="1"/>
  <c r="Q54" i="6" s="1"/>
  <c r="AK12" i="6"/>
  <c r="BH12" i="6" s="1"/>
  <c r="AN12" i="6"/>
  <c r="AR12" i="6"/>
  <c r="BC12" i="6"/>
  <c r="BD12" i="6"/>
  <c r="BE12" i="6" s="1"/>
  <c r="BI12" i="6"/>
  <c r="BJ12" i="6"/>
  <c r="BK12" i="6" s="1"/>
  <c r="D13" i="6"/>
  <c r="I13" i="6"/>
  <c r="AO12" i="6" s="1"/>
  <c r="AJ13" i="6"/>
  <c r="AK13" i="6" s="1"/>
  <c r="AN13" i="6"/>
  <c r="AR13" i="6"/>
  <c r="BA13" i="6"/>
  <c r="Q55" i="6" s="1"/>
  <c r="BC13" i="6"/>
  <c r="BD13" i="6"/>
  <c r="BE13" i="6" s="1"/>
  <c r="BG13" i="6"/>
  <c r="BI13" i="6"/>
  <c r="BJ13" i="6"/>
  <c r="BK13" i="6" s="1"/>
  <c r="D14" i="6"/>
  <c r="I14" i="6"/>
  <c r="AS14" i="6" s="1"/>
  <c r="AJ14" i="6"/>
  <c r="BA14" i="6" s="1"/>
  <c r="Q56" i="6" s="1"/>
  <c r="AN14" i="6"/>
  <c r="AO14" i="6"/>
  <c r="AP14" i="6"/>
  <c r="BC14" i="6"/>
  <c r="BD14" i="6"/>
  <c r="BE14" i="6" s="1"/>
  <c r="BG14" i="6"/>
  <c r="BI14" i="6"/>
  <c r="BJ14" i="6"/>
  <c r="BK14" i="6"/>
  <c r="A45" i="6"/>
  <c r="B45" i="6"/>
  <c r="E45" i="6"/>
  <c r="F45" i="6"/>
  <c r="G45" i="6"/>
  <c r="I45" i="6"/>
  <c r="J45" i="6"/>
  <c r="K45" i="6"/>
  <c r="L45" i="6"/>
  <c r="P45" i="6"/>
  <c r="B46" i="6"/>
  <c r="C46" i="6"/>
  <c r="E46" i="6"/>
  <c r="F46" i="6"/>
  <c r="G46" i="6"/>
  <c r="I46" i="6"/>
  <c r="J46" i="6"/>
  <c r="K46" i="6"/>
  <c r="L46" i="6"/>
  <c r="B47" i="6"/>
  <c r="C47" i="6"/>
  <c r="E47" i="6"/>
  <c r="F47" i="6"/>
  <c r="G47" i="6"/>
  <c r="I47" i="6"/>
  <c r="J47" i="6"/>
  <c r="K47" i="6"/>
  <c r="L47" i="6"/>
  <c r="C48" i="6"/>
  <c r="E48" i="6"/>
  <c r="F48" i="6"/>
  <c r="G48" i="6"/>
  <c r="I48" i="6"/>
  <c r="J48" i="6"/>
  <c r="K48" i="6"/>
  <c r="L48" i="6"/>
  <c r="R48" i="6"/>
  <c r="T48" i="6"/>
  <c r="U48" i="6"/>
  <c r="V48" i="6"/>
  <c r="X48" i="6"/>
  <c r="Y48" i="6"/>
  <c r="Z48" i="6"/>
  <c r="AA48" i="6"/>
  <c r="A49" i="6"/>
  <c r="B49" i="6"/>
  <c r="C49" i="6"/>
  <c r="E49" i="6"/>
  <c r="F49" i="6"/>
  <c r="G49" i="6"/>
  <c r="I49" i="6"/>
  <c r="J49" i="6"/>
  <c r="K49" i="6"/>
  <c r="L49" i="6"/>
  <c r="P49" i="6"/>
  <c r="R49" i="6"/>
  <c r="T49" i="6"/>
  <c r="U49" i="6"/>
  <c r="V49" i="6"/>
  <c r="X49" i="6"/>
  <c r="Y49" i="6"/>
  <c r="Z49" i="6"/>
  <c r="AA49" i="6"/>
  <c r="A50" i="6"/>
  <c r="C50" i="6"/>
  <c r="E50" i="6"/>
  <c r="F50" i="6"/>
  <c r="G50" i="6"/>
  <c r="I50" i="6"/>
  <c r="J50" i="6"/>
  <c r="K50" i="6"/>
  <c r="L50" i="6"/>
  <c r="P50" i="6"/>
  <c r="R50" i="6"/>
  <c r="T50" i="6"/>
  <c r="U50" i="6"/>
  <c r="V50" i="6"/>
  <c r="X50" i="6"/>
  <c r="Y50" i="6"/>
  <c r="Z50" i="6"/>
  <c r="AA50" i="6"/>
  <c r="C51" i="6"/>
  <c r="E51" i="6"/>
  <c r="F51" i="6"/>
  <c r="G51" i="6"/>
  <c r="I51" i="6"/>
  <c r="J51" i="6"/>
  <c r="K51" i="6"/>
  <c r="L51" i="6"/>
  <c r="R51" i="6"/>
  <c r="T51" i="6"/>
  <c r="U51" i="6"/>
  <c r="V51" i="6"/>
  <c r="X51" i="6"/>
  <c r="Y51" i="6"/>
  <c r="Z51" i="6"/>
  <c r="AA51" i="6"/>
  <c r="A52" i="6"/>
  <c r="C52" i="6"/>
  <c r="E52" i="6"/>
  <c r="F52" i="6"/>
  <c r="G52" i="6"/>
  <c r="I52" i="6"/>
  <c r="J52" i="6"/>
  <c r="K52" i="6"/>
  <c r="L52" i="6"/>
  <c r="R52" i="6"/>
  <c r="T52" i="6"/>
  <c r="U52" i="6"/>
  <c r="V52" i="6"/>
  <c r="X52" i="6"/>
  <c r="Y52" i="6"/>
  <c r="Z52" i="6"/>
  <c r="AA52" i="6"/>
  <c r="C53" i="6"/>
  <c r="E53" i="6"/>
  <c r="F53" i="6"/>
  <c r="G53" i="6"/>
  <c r="I53" i="6"/>
  <c r="J53" i="6"/>
  <c r="K53" i="6"/>
  <c r="L53" i="6"/>
  <c r="P53" i="6"/>
  <c r="R53" i="6"/>
  <c r="T53" i="6"/>
  <c r="U53" i="6"/>
  <c r="V53" i="6"/>
  <c r="X53" i="6"/>
  <c r="Y53" i="6"/>
  <c r="Z53" i="6"/>
  <c r="AA53" i="6"/>
  <c r="B54" i="6"/>
  <c r="C54" i="6"/>
  <c r="E54" i="6"/>
  <c r="F54" i="6"/>
  <c r="G54" i="6"/>
  <c r="I54" i="6"/>
  <c r="J54" i="6"/>
  <c r="K54" i="6"/>
  <c r="L54" i="6"/>
  <c r="R54" i="6"/>
  <c r="T54" i="6"/>
  <c r="U54" i="6"/>
  <c r="V54" i="6"/>
  <c r="X54" i="6"/>
  <c r="Y54" i="6"/>
  <c r="Z54" i="6"/>
  <c r="AA54" i="6"/>
  <c r="B55" i="6"/>
  <c r="C55" i="6"/>
  <c r="E55" i="6"/>
  <c r="F55" i="6"/>
  <c r="G55" i="6"/>
  <c r="I55" i="6"/>
  <c r="J55" i="6"/>
  <c r="K55" i="6"/>
  <c r="L55" i="6"/>
  <c r="R55" i="6"/>
  <c r="T55" i="6"/>
  <c r="U55" i="6"/>
  <c r="V55" i="6"/>
  <c r="X55" i="6"/>
  <c r="Y55" i="6"/>
  <c r="Z55" i="6"/>
  <c r="AA55" i="6"/>
  <c r="C56" i="6"/>
  <c r="E56" i="6"/>
  <c r="F56" i="6"/>
  <c r="G56" i="6"/>
  <c r="I56" i="6"/>
  <c r="J56" i="6"/>
  <c r="K56" i="6"/>
  <c r="L56" i="6"/>
  <c r="R56" i="6"/>
  <c r="T56" i="6"/>
  <c r="U56" i="6"/>
  <c r="V56" i="6"/>
  <c r="X56" i="6"/>
  <c r="Y56" i="6"/>
  <c r="Z56" i="6"/>
  <c r="AA56" i="6"/>
  <c r="A57" i="6"/>
  <c r="B57" i="6"/>
  <c r="M57" i="6" s="1"/>
  <c r="P57" i="6"/>
  <c r="AB57" i="6"/>
  <c r="AC57" i="6"/>
  <c r="BH5" i="6" l="1"/>
  <c r="BB5" i="6"/>
  <c r="B52" i="6"/>
  <c r="AK14" i="6"/>
  <c r="AK10" i="6"/>
  <c r="BH10" i="6" s="1"/>
  <c r="AO6" i="6"/>
  <c r="AU4" i="6"/>
  <c r="BG7" i="6"/>
  <c r="B51" i="6"/>
  <c r="M46" i="6"/>
  <c r="AV4" i="6" s="1"/>
  <c r="AX4" i="6" s="1"/>
  <c r="BB9" i="6"/>
  <c r="AK6" i="6"/>
  <c r="BB6" i="6" s="1"/>
  <c r="B53" i="6"/>
  <c r="AC55" i="6"/>
  <c r="AS4" i="6"/>
  <c r="B56" i="6"/>
  <c r="M56" i="6" s="1"/>
  <c r="AV14" i="6" s="1"/>
  <c r="AX14" i="6" s="1"/>
  <c r="A46" i="6"/>
  <c r="AU12" i="6"/>
  <c r="BA9" i="6"/>
  <c r="Q51" i="6" s="1"/>
  <c r="AU3" i="6"/>
  <c r="AS12" i="6"/>
  <c r="AL11" i="6"/>
  <c r="BH13" i="6"/>
  <c r="BB13" i="6"/>
  <c r="BA3" i="6"/>
  <c r="Q45" i="6" s="1"/>
  <c r="AO10" i="6"/>
  <c r="M49" i="6"/>
  <c r="AV7" i="6" s="1"/>
  <c r="AX7" i="6" s="1"/>
  <c r="M45" i="6"/>
  <c r="AV3" i="6" s="1"/>
  <c r="AX3" i="6" s="1"/>
  <c r="AP10" i="6"/>
  <c r="AP6" i="6"/>
  <c r="BG3" i="6"/>
  <c r="M53" i="6"/>
  <c r="AV11" i="6" s="1"/>
  <c r="AX11" i="6" s="1"/>
  <c r="AP11" i="6"/>
  <c r="AP7" i="6"/>
  <c r="BG10" i="6"/>
  <c r="M50" i="6"/>
  <c r="AV8" i="6" s="1"/>
  <c r="AX8" i="6" s="1"/>
  <c r="BG6" i="6"/>
  <c r="M51" i="6"/>
  <c r="AV9" i="6" s="1"/>
  <c r="AX9" i="6" s="1"/>
  <c r="BB10" i="6"/>
  <c r="B48" i="6"/>
  <c r="M48" i="6" s="1"/>
  <c r="AV6" i="6" s="1"/>
  <c r="AX6" i="6" s="1"/>
  <c r="AB51" i="6"/>
  <c r="AW9" i="6" s="1"/>
  <c r="AY9" i="6" s="1"/>
  <c r="AU11" i="6"/>
  <c r="AK8" i="6"/>
  <c r="BH8" i="6" s="1"/>
  <c r="AU7" i="6"/>
  <c r="AK4" i="6"/>
  <c r="BH4" i="6" s="1"/>
  <c r="A54" i="6"/>
  <c r="BA20" i="7"/>
  <c r="CB20" i="7" s="1"/>
  <c r="CD20" i="7" s="1"/>
  <c r="AC49" i="6"/>
  <c r="M52" i="6"/>
  <c r="AV10" i="6" s="1"/>
  <c r="AX10" i="6" s="1"/>
  <c r="AB55" i="6"/>
  <c r="AW13" i="6" s="1"/>
  <c r="AY13" i="6" s="1"/>
  <c r="M54" i="6"/>
  <c r="AV12" i="6" s="1"/>
  <c r="AX12" i="6" s="1"/>
  <c r="M55" i="6"/>
  <c r="AV13" i="6" s="1"/>
  <c r="AX13" i="6" s="1"/>
  <c r="M47" i="6"/>
  <c r="AV5" i="6" s="1"/>
  <c r="AX5" i="6" s="1"/>
  <c r="AC54" i="6"/>
  <c r="AB54" i="6"/>
  <c r="AW12" i="6" s="1"/>
  <c r="AY12" i="6" s="1"/>
  <c r="AC51" i="6"/>
  <c r="AB56" i="6"/>
  <c r="AW14" i="6" s="1"/>
  <c r="AY14" i="6" s="1"/>
  <c r="AC56" i="6"/>
  <c r="AB46" i="6"/>
  <c r="AC48" i="6"/>
  <c r="AB48" i="6"/>
  <c r="AW6" i="6" s="1"/>
  <c r="AY6" i="6" s="1"/>
  <c r="AB53" i="6"/>
  <c r="AW11" i="6" s="1"/>
  <c r="AY11" i="6" s="1"/>
  <c r="AC53" i="6"/>
  <c r="AB52" i="6"/>
  <c r="AW10" i="6" s="1"/>
  <c r="AY10" i="6" s="1"/>
  <c r="AC52" i="6"/>
  <c r="P51" i="6"/>
  <c r="AB47" i="6"/>
  <c r="AW5" i="6" s="1"/>
  <c r="AY5" i="6" s="1"/>
  <c r="AU13" i="6"/>
  <c r="BG12" i="6"/>
  <c r="AU9" i="6"/>
  <c r="BG8" i="6"/>
  <c r="AU5" i="6"/>
  <c r="BG4" i="6"/>
  <c r="AW4" i="6"/>
  <c r="AY4" i="6" s="1"/>
  <c r="P56" i="6"/>
  <c r="A55" i="6"/>
  <c r="P48" i="6"/>
  <c r="A47" i="6"/>
  <c r="AQ14" i="6"/>
  <c r="AS13" i="6"/>
  <c r="AL12" i="6"/>
  <c r="BH11" i="6"/>
  <c r="AO11" i="6"/>
  <c r="AQ10" i="6"/>
  <c r="AS9" i="6"/>
  <c r="AL8" i="6"/>
  <c r="BH7" i="6"/>
  <c r="AO7" i="6"/>
  <c r="AQ6" i="6"/>
  <c r="AS5" i="6"/>
  <c r="AL4" i="6"/>
  <c r="BH3" i="6"/>
  <c r="AO3" i="6"/>
  <c r="AQ9" i="6"/>
  <c r="P55" i="6"/>
  <c r="AP13" i="6"/>
  <c r="BB12" i="6"/>
  <c r="AP5" i="6"/>
  <c r="P52" i="6"/>
  <c r="A51" i="6"/>
  <c r="AL14" i="6"/>
  <c r="AO13" i="6"/>
  <c r="AQ12" i="6"/>
  <c r="AS11" i="6"/>
  <c r="AL10" i="6"/>
  <c r="AO9" i="6"/>
  <c r="BA8" i="6"/>
  <c r="Q50" i="6" s="1"/>
  <c r="AQ8" i="6"/>
  <c r="AS7" i="6"/>
  <c r="AL6" i="6"/>
  <c r="AO5" i="6"/>
  <c r="AQ4" i="6"/>
  <c r="AS3" i="6"/>
  <c r="AQ13" i="6"/>
  <c r="AQ5" i="6"/>
  <c r="P47" i="6"/>
  <c r="AU14" i="6"/>
  <c r="AP12" i="6"/>
  <c r="AU10" i="6"/>
  <c r="AU6" i="6"/>
  <c r="AP4" i="6"/>
  <c r="AP9" i="6"/>
  <c r="BB8" i="6"/>
  <c r="A56" i="6"/>
  <c r="A48" i="6"/>
  <c r="A53" i="6"/>
  <c r="P46" i="6"/>
  <c r="AL13" i="6"/>
  <c r="AL9" i="6"/>
  <c r="BB4" i="6" l="1"/>
  <c r="BH6" i="6"/>
  <c r="BH14" i="6"/>
  <c r="BB14" i="6"/>
  <c r="AR14" i="6"/>
  <c r="AB45" i="6"/>
  <c r="AW3" i="6" s="1"/>
  <c r="AY3" i="6" s="1"/>
  <c r="AC45" i="6"/>
  <c r="BA21" i="7"/>
  <c r="CB21" i="7" s="1"/>
  <c r="CD21" i="7" s="1"/>
  <c r="AB50" i="6"/>
  <c r="AW8" i="6" s="1"/>
  <c r="AY8" i="6" s="1"/>
  <c r="AC50" i="6"/>
  <c r="BA22" i="7" l="1"/>
  <c r="CB22" i="7" s="1"/>
  <c r="CD22" i="7" s="1"/>
  <c r="BA23" i="7" l="1"/>
  <c r="CB23" i="7" s="1"/>
  <c r="CD23" i="7" s="1"/>
  <c r="BA24" i="7" l="1"/>
  <c r="CB24" i="7" s="1"/>
  <c r="CD24" i="7" s="1"/>
  <c r="BA25" i="7" l="1"/>
  <c r="CB25" i="7" s="1"/>
  <c r="CD25" i="7" s="1"/>
  <c r="BA26" i="7" l="1"/>
  <c r="CB26" i="7" s="1"/>
  <c r="CD26" i="7" s="1"/>
  <c r="BA27" i="7" l="1"/>
  <c r="CB27" i="7" s="1"/>
  <c r="CD27" i="7" s="1"/>
  <c r="BA28" i="7" l="1"/>
  <c r="CB28" i="7" s="1"/>
  <c r="CD28" i="7" s="1"/>
  <c r="BA30" i="7" l="1"/>
  <c r="CB30" i="7" s="1"/>
  <c r="CD30" i="7" s="1"/>
  <c r="BA31" i="7" l="1"/>
  <c r="CB31" i="7" s="1"/>
  <c r="CD31" i="7" s="1"/>
  <c r="BA32" i="7" l="1"/>
  <c r="CB32" i="7" s="1"/>
  <c r="CD32" i="7" s="1"/>
  <c r="BA33" i="7" l="1"/>
  <c r="CB33" i="7" s="1"/>
  <c r="CD33" i="7" s="1"/>
  <c r="BA34" i="7" l="1"/>
  <c r="CB34" i="7" s="1"/>
  <c r="CD34" i="7" s="1"/>
  <c r="BA35" i="7" l="1"/>
  <c r="CB35" i="7" s="1"/>
  <c r="CD35" i="7" s="1"/>
  <c r="BA36" i="7" l="1"/>
  <c r="CB36" i="7" s="1"/>
  <c r="CD36" i="7" s="1"/>
  <c r="BA37" i="7" l="1"/>
  <c r="CB37" i="7" s="1"/>
  <c r="CD37" i="7" s="1"/>
  <c r="BA38" i="7" l="1"/>
  <c r="CB38" i="7" s="1"/>
  <c r="CD38" i="7" s="1"/>
</calcChain>
</file>

<file path=xl/comments1.xml><?xml version="1.0" encoding="utf-8"?>
<comments xmlns="http://schemas.openxmlformats.org/spreadsheetml/2006/main">
  <authors>
    <author>Автор</author>
  </authors>
  <commentList>
    <comment ref="CA18" authorId="0">
      <text>
        <r>
          <rPr>
            <b/>
            <sz val="9"/>
            <color indexed="81"/>
            <rFont val="Tahoma"/>
            <family val="2"/>
            <charset val="204"/>
          </rPr>
          <t>Матвеева Т.С.:</t>
        </r>
        <r>
          <rPr>
            <sz val="9"/>
            <color indexed="81"/>
            <rFont val="Tahoma"/>
            <family val="2"/>
            <charset val="204"/>
          </rPr>
          <t xml:space="preserve">
Внизу под таблицей (выделено желтым) содержится пример последних цифр в формуле (для единиц, десяткой и сотен)</t>
        </r>
      </text>
    </comment>
  </commentList>
</comments>
</file>

<file path=xl/sharedStrings.xml><?xml version="1.0" encoding="utf-8"?>
<sst xmlns="http://schemas.openxmlformats.org/spreadsheetml/2006/main" count="8951" uniqueCount="665">
  <si>
    <t>№ п/п</t>
  </si>
  <si>
    <t>Определяемый показатель</t>
  </si>
  <si>
    <t>Результат измерений</t>
  </si>
  <si>
    <t xml:space="preserve">Единица измерений </t>
  </si>
  <si>
    <t>1</t>
  </si>
  <si>
    <t>2</t>
  </si>
  <si>
    <t>3</t>
  </si>
  <si>
    <t>5</t>
  </si>
  <si>
    <t>Удельная активность Cs-137</t>
  </si>
  <si>
    <t>Бк/кг</t>
  </si>
  <si>
    <t>Удельная активность K-40</t>
  </si>
  <si>
    <t>Удельная активность Ra-226</t>
  </si>
  <si>
    <t>4</t>
  </si>
  <si>
    <t>Удельная активностьTh-232</t>
  </si>
  <si>
    <t>Эффективная удельная  активность ЕРН (Aэфф )</t>
  </si>
  <si>
    <t>№ пробы</t>
  </si>
  <si>
    <t>Слой, м</t>
  </si>
  <si>
    <t>Удельная активность естественных</t>
  </si>
  <si>
    <t>Эффективная</t>
  </si>
  <si>
    <t>Удельная активность техногенного радионуклида</t>
  </si>
  <si>
    <t>Ra-226</t>
  </si>
  <si>
    <t>Th-232</t>
  </si>
  <si>
    <t>K-40</t>
  </si>
  <si>
    <t>0,0-0,2</t>
  </si>
  <si>
    <t>0,2-1,0</t>
  </si>
  <si>
    <t>1,0-2,0</t>
  </si>
  <si>
    <t>2,0-3,0</t>
  </si>
  <si>
    <t>9</t>
  </si>
  <si>
    <t>МО_СГ</t>
  </si>
  <si>
    <t>МО_ПС</t>
  </si>
  <si>
    <t>Zn</t>
  </si>
  <si>
    <t>Pb</t>
  </si>
  <si>
    <t>Ni</t>
  </si>
  <si>
    <t>Mn</t>
  </si>
  <si>
    <t>Hg</t>
  </si>
  <si>
    <t>Cu</t>
  </si>
  <si>
    <r>
      <t xml:space="preserve">Cr </t>
    </r>
    <r>
      <rPr>
        <b/>
        <i/>
        <sz val="10"/>
        <rFont val="Times New Roman CYR"/>
        <charset val="204"/>
      </rPr>
      <t>общ</t>
    </r>
  </si>
  <si>
    <t>Co</t>
  </si>
  <si>
    <t>Cd</t>
  </si>
  <si>
    <t>As</t>
  </si>
  <si>
    <t>фон (Сфi)</t>
  </si>
  <si>
    <t>Zc _M_СГ</t>
  </si>
  <si>
    <t>Zc _M_ПС</t>
  </si>
  <si>
    <t>Zc _M</t>
  </si>
  <si>
    <t>Проба</t>
  </si>
  <si>
    <t>Расчет суммарного химического загрязнения (Zc)   для МО</t>
  </si>
  <si>
    <t>Расчет суммарного химического загрязнения (Zc)   для Москвы</t>
  </si>
  <si>
    <r>
      <t xml:space="preserve">Близкие </t>
    </r>
    <r>
      <rPr>
        <vertAlign val="superscript"/>
        <sz val="9"/>
        <color theme="1"/>
        <rFont val="Times New Roman"/>
        <family val="1"/>
        <charset val="204"/>
      </rPr>
      <t xml:space="preserve"> </t>
    </r>
    <r>
      <rPr>
        <sz val="9"/>
        <color theme="1"/>
        <rFont val="Times New Roman"/>
        <family val="1"/>
        <charset val="204"/>
      </rPr>
      <t>к нейтральным,   нейтральные рН</t>
    </r>
    <r>
      <rPr>
        <sz val="9"/>
        <color rgb="FF000000"/>
        <rFont val="Times New Roman"/>
        <family val="1"/>
        <charset val="204"/>
      </rPr>
      <t>&gt;5,5 (СГН)</t>
    </r>
  </si>
  <si>
    <t>-</t>
  </si>
  <si>
    <r>
      <t>ОДК</t>
    </r>
    <r>
      <rPr>
        <vertAlign val="superscript"/>
        <sz val="9"/>
        <color theme="1"/>
        <rFont val="Times New Roman"/>
        <family val="1"/>
        <charset val="204"/>
      </rPr>
      <t xml:space="preserve">(2) </t>
    </r>
    <r>
      <rPr>
        <sz val="9"/>
        <color theme="1"/>
        <rFont val="Times New Roman"/>
        <family val="1"/>
        <charset val="204"/>
      </rPr>
      <t xml:space="preserve">Суглинистые и глинистые почвы.  </t>
    </r>
  </si>
  <si>
    <r>
      <t>Кислые</t>
    </r>
    <r>
      <rPr>
        <vertAlign val="superscript"/>
        <sz val="9"/>
        <color theme="1"/>
        <rFont val="Times New Roman"/>
        <family val="1"/>
        <charset val="204"/>
      </rPr>
      <t xml:space="preserve">  </t>
    </r>
    <r>
      <rPr>
        <sz val="9"/>
        <color theme="1"/>
        <rFont val="Times New Roman"/>
        <family val="1"/>
        <charset val="204"/>
      </rPr>
      <t>рН</t>
    </r>
    <r>
      <rPr>
        <sz val="9"/>
        <color rgb="FF000000"/>
        <rFont val="Times New Roman"/>
        <family val="1"/>
        <charset val="204"/>
      </rPr>
      <t>&lt;5,5</t>
    </r>
    <r>
      <rPr>
        <vertAlign val="superscript"/>
        <sz val="9"/>
        <color theme="1"/>
        <rFont val="Times New Roman"/>
        <family val="1"/>
        <charset val="204"/>
      </rPr>
      <t xml:space="preserve">  </t>
    </r>
    <r>
      <rPr>
        <sz val="9"/>
        <color theme="1"/>
        <rFont val="Times New Roman"/>
        <family val="1"/>
        <charset val="204"/>
      </rPr>
      <t>(СГК)</t>
    </r>
  </si>
  <si>
    <r>
      <t>ОДК</t>
    </r>
    <r>
      <rPr>
        <vertAlign val="superscript"/>
        <sz val="9"/>
        <color theme="1"/>
        <rFont val="Times New Roman"/>
        <family val="1"/>
        <charset val="204"/>
      </rPr>
      <t xml:space="preserve">(2) </t>
    </r>
    <r>
      <rPr>
        <sz val="9"/>
        <color theme="1"/>
        <rFont val="Times New Roman"/>
        <family val="1"/>
        <charset val="204"/>
      </rPr>
      <t>Суглинистые и глинистые почвы.</t>
    </r>
  </si>
  <si>
    <r>
      <t>ОДК</t>
    </r>
    <r>
      <rPr>
        <vertAlign val="superscript"/>
        <sz val="9"/>
        <color theme="1"/>
        <rFont val="Times New Roman"/>
        <family val="1"/>
        <charset val="204"/>
      </rPr>
      <t>(2)</t>
    </r>
    <r>
      <rPr>
        <sz val="9"/>
        <color theme="1"/>
        <rFont val="Times New Roman"/>
        <family val="1"/>
        <charset val="204"/>
      </rPr>
      <t xml:space="preserve"> Песчаные и супесчаные почвы. (ПС)</t>
    </r>
  </si>
  <si>
    <r>
      <t>ПДК</t>
    </r>
    <r>
      <rPr>
        <vertAlign val="superscript"/>
        <sz val="9"/>
        <color rgb="FF000000"/>
        <rFont val="Times New Roman"/>
        <family val="1"/>
        <charset val="204"/>
      </rPr>
      <t>(1)</t>
    </r>
  </si>
  <si>
    <t>нефть</t>
  </si>
  <si>
    <t>Бензапирен</t>
  </si>
  <si>
    <t xml:space="preserve">Cr </t>
  </si>
  <si>
    <t xml:space="preserve">Co </t>
  </si>
  <si>
    <t xml:space="preserve">As </t>
  </si>
  <si>
    <t>± 6</t>
  </si>
  <si>
    <t>± 1,8</t>
  </si>
  <si>
    <t>± 1,2</t>
  </si>
  <si>
    <t>± 1,0</t>
  </si>
  <si>
    <t>± 3</t>
  </si>
  <si>
    <t>+/- 4</t>
  </si>
  <si>
    <t xml:space="preserve">20 </t>
  </si>
  <si>
    <t>Цинк</t>
  </si>
  <si>
    <t>± 5</t>
  </si>
  <si>
    <t>± 0,9</t>
  </si>
  <si>
    <t>± 0,7</t>
  </si>
  <si>
    <t>± 1,6</t>
  </si>
  <si>
    <t>+/- 1,3</t>
  </si>
  <si>
    <t>Хром</t>
  </si>
  <si>
    <t>СК3</t>
  </si>
  <si>
    <t>супесь</t>
  </si>
  <si>
    <t>± 2,4</t>
  </si>
  <si>
    <t>± 1,1</t>
  </si>
  <si>
    <t>± 0,8</t>
  </si>
  <si>
    <t>+/- 3</t>
  </si>
  <si>
    <t xml:space="preserve">13 </t>
  </si>
  <si>
    <t>Свинец</t>
  </si>
  <si>
    <t>СК2</t>
  </si>
  <si>
    <t>± 0,006</t>
  </si>
  <si>
    <t>---</t>
  </si>
  <si>
    <t>менее 0,005</t>
  </si>
  <si>
    <t>+/- 2,0</t>
  </si>
  <si>
    <t>+/- 0,003</t>
  </si>
  <si>
    <t>Ртуть общая</t>
  </si>
  <si>
    <t>СК1</t>
  </si>
  <si>
    <t>± 7</t>
  </si>
  <si>
    <t>± 1,3</t>
  </si>
  <si>
    <t>+/- 0,024</t>
  </si>
  <si>
    <t>+/- 1,5</t>
  </si>
  <si>
    <t>Никель</t>
  </si>
  <si>
    <t>ПП9</t>
  </si>
  <si>
    <t>менее 50,0</t>
  </si>
  <si>
    <t>± 30</t>
  </si>
  <si>
    <t>+/- 1,7</t>
  </si>
  <si>
    <t xml:space="preserve">менее 50,0 </t>
  </si>
  <si>
    <t>Нефтепродукты</t>
  </si>
  <si>
    <t>ПП8</t>
  </si>
  <si>
    <t>менее 0,1</t>
  </si>
  <si>
    <t>± 0,6</t>
  </si>
  <si>
    <t>± 0,3</t>
  </si>
  <si>
    <t>+/- 30</t>
  </si>
  <si>
    <t xml:space="preserve">60 </t>
  </si>
  <si>
    <t xml:space="preserve">менее 0,1 </t>
  </si>
  <si>
    <t>Мышьяк</t>
  </si>
  <si>
    <t>ПП7</t>
  </si>
  <si>
    <t>± 0,5</t>
  </si>
  <si>
    <t>Медь</t>
  </si>
  <si>
    <t>ПП6</t>
  </si>
  <si>
    <t>± 90</t>
  </si>
  <si>
    <t>± 40</t>
  </si>
  <si>
    <t>± 23</t>
  </si>
  <si>
    <t>+/- 0,9</t>
  </si>
  <si>
    <t>+/- 50</t>
  </si>
  <si>
    <t xml:space="preserve">150 </t>
  </si>
  <si>
    <t>Марганец</t>
  </si>
  <si>
    <t>ПП5</t>
  </si>
  <si>
    <t>Очень высокий</t>
  </si>
  <si>
    <t>+/- 0,4</t>
  </si>
  <si>
    <t>+/- 1,0</t>
  </si>
  <si>
    <t>Кобальт</t>
  </si>
  <si>
    <t>ПП4</t>
  </si>
  <si>
    <t>Высокий</t>
  </si>
  <si>
    <t>ЧО</t>
  </si>
  <si>
    <t>± 0,15</t>
  </si>
  <si>
    <t>± 0,14</t>
  </si>
  <si>
    <t>± 0,12</t>
  </si>
  <si>
    <t xml:space="preserve">менее 0,05 </t>
  </si>
  <si>
    <t>+/- 0,19</t>
  </si>
  <si>
    <t>Кадмий</t>
  </si>
  <si>
    <t>ПП3</t>
  </si>
  <si>
    <t>Средний</t>
  </si>
  <si>
    <t>О</t>
  </si>
  <si>
    <t xml:space="preserve">менее 0,005 </t>
  </si>
  <si>
    <t>Бенз(а)пирен</t>
  </si>
  <si>
    <t>ПП2</t>
  </si>
  <si>
    <t>суглинок</t>
  </si>
  <si>
    <t>Низкий</t>
  </si>
  <si>
    <t>УО</t>
  </si>
  <si>
    <t>± 0,1</t>
  </si>
  <si>
    <t>+/- 0,1</t>
  </si>
  <si>
    <t>pH сол. вытяжки</t>
  </si>
  <si>
    <t>ПП1</t>
  </si>
  <si>
    <t>Допустимый</t>
  </si>
  <si>
    <t>Д</t>
  </si>
  <si>
    <t>категория</t>
  </si>
  <si>
    <t>превышения</t>
  </si>
  <si>
    <r>
      <rPr>
        <sz val="12"/>
        <color rgb="FF000000"/>
        <rFont val="Times New Roman"/>
        <family val="1"/>
        <charset val="204"/>
      </rPr>
      <t>Концентрация</t>
    </r>
    <r>
      <rPr>
        <b/>
        <sz val="12"/>
        <color rgb="FF000000"/>
        <rFont val="Times New Roman"/>
        <family val="1"/>
        <charset val="204"/>
      </rPr>
      <t xml:space="preserve"> нефтепродуктов</t>
    </r>
  </si>
  <si>
    <t>слой</t>
  </si>
  <si>
    <t>номер пробы</t>
  </si>
  <si>
    <r>
      <rPr>
        <sz val="12"/>
        <color rgb="FF000000"/>
        <rFont val="Times New Roman"/>
        <family val="1"/>
        <charset val="204"/>
      </rPr>
      <t xml:space="preserve">Концентрация </t>
    </r>
    <r>
      <rPr>
        <b/>
        <sz val="12"/>
        <color rgb="FF000000"/>
        <rFont val="Times New Roman"/>
        <family val="1"/>
        <charset val="204"/>
      </rPr>
      <t xml:space="preserve">бенз(а)пирена </t>
    </r>
  </si>
  <si>
    <r>
      <rPr>
        <b/>
        <sz val="12"/>
        <color rgb="FFFF0000"/>
        <rFont val="Times New Roman"/>
        <family val="1"/>
        <charset val="204"/>
      </rPr>
      <t>МО</t>
    </r>
    <r>
      <rPr>
        <b/>
        <sz val="12"/>
        <color rgb="FF000000"/>
        <rFont val="Times New Roman"/>
        <family val="1"/>
        <charset val="204"/>
      </rPr>
      <t xml:space="preserve"> Кате 
гория</t>
    </r>
  </si>
  <si>
    <r>
      <rPr>
        <b/>
        <sz val="12"/>
        <color rgb="FFFF0000"/>
        <rFont val="Times New Roman"/>
        <family val="1"/>
        <charset val="204"/>
      </rPr>
      <t>М</t>
    </r>
    <r>
      <rPr>
        <b/>
        <sz val="12"/>
        <color rgb="FF000000"/>
        <rFont val="Times New Roman"/>
        <family val="1"/>
        <charset val="204"/>
      </rPr>
      <t xml:space="preserve"> Кате 
гория</t>
    </r>
  </si>
  <si>
    <r>
      <t>Z</t>
    </r>
    <r>
      <rPr>
        <b/>
        <vertAlign val="subscript"/>
        <sz val="12"/>
        <color indexed="8"/>
        <rFont val="Times New Roman"/>
        <family val="1"/>
        <charset val="204"/>
      </rPr>
      <t>c</t>
    </r>
    <r>
      <rPr>
        <b/>
        <vertAlign val="subscript"/>
        <sz val="12"/>
        <color rgb="FFFF0000"/>
        <rFont val="Times New Roman"/>
        <family val="1"/>
        <charset val="204"/>
      </rPr>
      <t>МО</t>
    </r>
  </si>
  <si>
    <r>
      <t>Z</t>
    </r>
    <r>
      <rPr>
        <b/>
        <vertAlign val="subscript"/>
        <sz val="12"/>
        <color indexed="8"/>
        <rFont val="Times New Roman"/>
        <family val="1"/>
        <charset val="204"/>
      </rPr>
      <t xml:space="preserve">c </t>
    </r>
    <r>
      <rPr>
        <b/>
        <vertAlign val="subscript"/>
        <sz val="12"/>
        <color rgb="FFFF0000"/>
        <rFont val="Times New Roman"/>
        <family val="1"/>
        <charset val="204"/>
      </rPr>
      <t>МСК</t>
    </r>
  </si>
  <si>
    <t>Марг-анец</t>
  </si>
  <si>
    <t>06АХ.01</t>
  </si>
  <si>
    <t>05АХ.01</t>
  </si>
  <si>
    <t>04АХ.01</t>
  </si>
  <si>
    <t>03АХ.01</t>
  </si>
  <si>
    <t>02АХ.01</t>
  </si>
  <si>
    <t>01АХ.01</t>
  </si>
  <si>
    <t>превышение</t>
  </si>
  <si>
    <t>Погрешность измерения</t>
  </si>
  <si>
    <t>6</t>
  </si>
  <si>
    <t>7</t>
  </si>
  <si>
    <t>8</t>
  </si>
  <si>
    <t>10</t>
  </si>
  <si>
    <t>порядковый номер</t>
  </si>
  <si>
    <r>
      <rPr>
        <sz val="12"/>
        <color rgb="FF000000"/>
        <rFont val="Times New Roman"/>
        <family val="1"/>
        <charset val="204"/>
      </rPr>
      <t xml:space="preserve">Концентрация </t>
    </r>
    <r>
      <rPr>
        <b/>
        <sz val="12"/>
        <color rgb="FF000000"/>
        <rFont val="Times New Roman"/>
        <family val="1"/>
        <charset val="204"/>
      </rPr>
      <t>нефтепродуктов</t>
    </r>
  </si>
  <si>
    <t>погрешность</t>
  </si>
  <si>
    <t>концентрация</t>
  </si>
  <si>
    <t>рН</t>
  </si>
  <si>
    <t>Zc _Mо_ПС</t>
  </si>
  <si>
    <t>Zc _Mо_СГ</t>
  </si>
  <si>
    <t>Москва</t>
  </si>
  <si>
    <t>Zc _Mо</t>
  </si>
  <si>
    <t>гран-
состав</t>
  </si>
  <si>
    <t>номер зоны</t>
  </si>
  <si>
    <t>ТМ</t>
  </si>
  <si>
    <t>Н/п</t>
  </si>
  <si>
    <t>Б/п</t>
  </si>
  <si>
    <t>общая</t>
  </si>
  <si>
    <t>ё</t>
  </si>
  <si>
    <t>среднее</t>
  </si>
  <si>
    <t>номер слоя</t>
  </si>
  <si>
    <t>картон</t>
  </si>
  <si>
    <t>бумага</t>
  </si>
  <si>
    <t>пластик</t>
  </si>
  <si>
    <t>кадмий</t>
  </si>
  <si>
    <t>марганец</t>
  </si>
  <si>
    <t>кобальт</t>
  </si>
  <si>
    <t>№ испытательного образца (пробы): 01АХ.01</t>
  </si>
  <si>
    <t>Погрешность измерений</t>
  </si>
  <si>
    <t>+/- 0.1</t>
  </si>
  <si>
    <t>ед. рН</t>
  </si>
  <si>
    <t>мг/кг</t>
  </si>
  <si>
    <t>+/- 5</t>
  </si>
  <si>
    <t xml:space="preserve">24 </t>
  </si>
  <si>
    <t>+/- 6</t>
  </si>
  <si>
    <t>нет</t>
  </si>
  <si>
    <t>Медь (кислоторастворимая форма)</t>
  </si>
  <si>
    <t>Никель (кислоторастворимая форма)</t>
  </si>
  <si>
    <t>Мышьяк (кислоторастворимая форма)</t>
  </si>
  <si>
    <t>Свинец (кислоторастворимая форма)</t>
  </si>
  <si>
    <t>Цинк (кислоторастворимая форма)</t>
  </si>
  <si>
    <t>Кадмий (кислоторастворимая форма)</t>
  </si>
  <si>
    <t xml:space="preserve">6.2 </t>
  </si>
  <si>
    <t xml:space="preserve">0.076 </t>
  </si>
  <si>
    <t>+/- 0.021</t>
  </si>
  <si>
    <t xml:space="preserve">0.40 </t>
  </si>
  <si>
    <t>+/- 0.20</t>
  </si>
  <si>
    <t xml:space="preserve">11.1 </t>
  </si>
  <si>
    <t>+/- 2.2</t>
  </si>
  <si>
    <t xml:space="preserve">1.2 </t>
  </si>
  <si>
    <t>+/- 0.6</t>
  </si>
  <si>
    <t xml:space="preserve">910 </t>
  </si>
  <si>
    <t xml:space="preserve">0.15 </t>
  </si>
  <si>
    <t>+/- 0.04</t>
  </si>
  <si>
    <t xml:space="preserve">27 </t>
  </si>
  <si>
    <t>IV</t>
  </si>
  <si>
    <t>Ч</t>
  </si>
  <si>
    <t>V</t>
  </si>
  <si>
    <t>pH водной вытяжки</t>
  </si>
  <si>
    <t xml:space="preserve">7.3 </t>
  </si>
  <si>
    <t>Азот нитритный</t>
  </si>
  <si>
    <t xml:space="preserve">0.30 </t>
  </si>
  <si>
    <t>+/- 0.12</t>
  </si>
  <si>
    <t>Аммоний обменный</t>
  </si>
  <si>
    <t xml:space="preserve">7.5 </t>
  </si>
  <si>
    <t>+/- 1.1</t>
  </si>
  <si>
    <t>Калий (обменная (подвижная) форма)</t>
  </si>
  <si>
    <t xml:space="preserve">340 </t>
  </si>
  <si>
    <t>12</t>
  </si>
  <si>
    <t>Нитраты</t>
  </si>
  <si>
    <t xml:space="preserve">менее 11.0 </t>
  </si>
  <si>
    <t>13</t>
  </si>
  <si>
    <t>Органическое вещество (гумус)</t>
  </si>
  <si>
    <t xml:space="preserve">6.8 </t>
  </si>
  <si>
    <t>+/- 1.0</t>
  </si>
  <si>
    <t>%</t>
  </si>
  <si>
    <t>16</t>
  </si>
  <si>
    <t>Удельная электропроводимость</t>
  </si>
  <si>
    <t xml:space="preserve">0.333 </t>
  </si>
  <si>
    <t>+/- 0.017</t>
  </si>
  <si>
    <t>мСм/см</t>
  </si>
  <si>
    <t>17</t>
  </si>
  <si>
    <t>Фосфор подвижный</t>
  </si>
  <si>
    <t xml:space="preserve">240 </t>
  </si>
  <si>
    <t>18</t>
  </si>
  <si>
    <t>Хлориды</t>
  </si>
  <si>
    <t xml:space="preserve">менее 0.08 </t>
  </si>
  <si>
    <t>№ испытательного образца (пробы): 02АХ.01</t>
  </si>
  <si>
    <t xml:space="preserve">7.2 </t>
  </si>
  <si>
    <t xml:space="preserve">0.36 </t>
  </si>
  <si>
    <t>+/- 0.14</t>
  </si>
  <si>
    <t xml:space="preserve">16.5 </t>
  </si>
  <si>
    <t>+/- 1.6</t>
  </si>
  <si>
    <t>+/- 40</t>
  </si>
  <si>
    <t xml:space="preserve">12.0 </t>
  </si>
  <si>
    <t>+/- 2.4</t>
  </si>
  <si>
    <t>11</t>
  </si>
  <si>
    <t xml:space="preserve">8.0 </t>
  </si>
  <si>
    <t>+/- 1.2</t>
  </si>
  <si>
    <t xml:space="preserve">0.099 </t>
  </si>
  <si>
    <t>+/- 0.007</t>
  </si>
  <si>
    <t>15</t>
  </si>
  <si>
    <t xml:space="preserve">160 </t>
  </si>
  <si>
    <t>№ испытательного образца (пробы): 03АХ.01</t>
  </si>
  <si>
    <t xml:space="preserve">13.0 </t>
  </si>
  <si>
    <t>+/- 1.3</t>
  </si>
  <si>
    <t xml:space="preserve">250 </t>
  </si>
  <si>
    <t xml:space="preserve">11.8 </t>
  </si>
  <si>
    <t xml:space="preserve">5.6 </t>
  </si>
  <si>
    <t>+/- 0.8</t>
  </si>
  <si>
    <t xml:space="preserve">0.108 </t>
  </si>
  <si>
    <t>+/- 0.008</t>
  </si>
  <si>
    <t>№ испытательного образца (пробы): 04АХ.01</t>
  </si>
  <si>
    <t xml:space="preserve">0.32 </t>
  </si>
  <si>
    <t>+/- 0.13</t>
  </si>
  <si>
    <t xml:space="preserve">22.3 </t>
  </si>
  <si>
    <t xml:space="preserve">780 </t>
  </si>
  <si>
    <t>+/- 120</t>
  </si>
  <si>
    <t xml:space="preserve">4.2 </t>
  </si>
  <si>
    <t xml:space="preserve">0.162 </t>
  </si>
  <si>
    <t>+/- 0.012</t>
  </si>
  <si>
    <t>№ испытательного образца (пробы): 05АХ.01</t>
  </si>
  <si>
    <t xml:space="preserve">0.25 </t>
  </si>
  <si>
    <t>+/- 0.10</t>
  </si>
  <si>
    <t xml:space="preserve">12.1 </t>
  </si>
  <si>
    <t>+/- 1.8</t>
  </si>
  <si>
    <t xml:space="preserve">220 </t>
  </si>
  <si>
    <t xml:space="preserve">10.0 </t>
  </si>
  <si>
    <t xml:space="preserve">0.176 </t>
  </si>
  <si>
    <t>+/- 0.013</t>
  </si>
  <si>
    <t xml:space="preserve">менее 25 </t>
  </si>
  <si>
    <t>№ испытательного образца (пробы): 06АХ.01</t>
  </si>
  <si>
    <t xml:space="preserve">7.8 </t>
  </si>
  <si>
    <t xml:space="preserve">11.0 </t>
  </si>
  <si>
    <t xml:space="preserve">105 </t>
  </si>
  <si>
    <t>+/- 16</t>
  </si>
  <si>
    <t xml:space="preserve">14.3 </t>
  </si>
  <si>
    <t>+/- 1.4</t>
  </si>
  <si>
    <t xml:space="preserve">0.348 </t>
  </si>
  <si>
    <t>№ испытательного образца (пробы): 07АХ.01</t>
  </si>
  <si>
    <t>+/- 0.16</t>
  </si>
  <si>
    <t xml:space="preserve">23.4 </t>
  </si>
  <si>
    <t>+/- 2.3</t>
  </si>
  <si>
    <t xml:space="preserve">170 </t>
  </si>
  <si>
    <t xml:space="preserve">22.0 </t>
  </si>
  <si>
    <t xml:space="preserve">0.235 </t>
  </si>
  <si>
    <t>+/- 0.018</t>
  </si>
  <si>
    <t>№ испытательного образца (пробы): 08АХ.01</t>
  </si>
  <si>
    <t xml:space="preserve">7.4 </t>
  </si>
  <si>
    <t xml:space="preserve">6.5 </t>
  </si>
  <si>
    <t xml:space="preserve">260 </t>
  </si>
  <si>
    <t xml:space="preserve">29.7 </t>
  </si>
  <si>
    <t xml:space="preserve">5.5 </t>
  </si>
  <si>
    <t xml:space="preserve">0.106 </t>
  </si>
  <si>
    <t xml:space="preserve">230 </t>
  </si>
  <si>
    <t>№ испытательного образца (пробы): 09АХ.01</t>
  </si>
  <si>
    <t xml:space="preserve">0.21 </t>
  </si>
  <si>
    <t>+/- 0.08</t>
  </si>
  <si>
    <t xml:space="preserve">8.5 </t>
  </si>
  <si>
    <t>№ испытательного образца (пробы): 10АХ.01</t>
  </si>
  <si>
    <t xml:space="preserve">7.0 </t>
  </si>
  <si>
    <t xml:space="preserve">29 </t>
  </si>
  <si>
    <t xml:space="preserve">570 </t>
  </si>
  <si>
    <t>+/- 90</t>
  </si>
  <si>
    <t xml:space="preserve">19 </t>
  </si>
  <si>
    <t xml:space="preserve">5.8 </t>
  </si>
  <si>
    <t>+/- 0.9</t>
  </si>
  <si>
    <t xml:space="preserve">0.157 </t>
  </si>
  <si>
    <t xml:space="preserve">370 </t>
  </si>
  <si>
    <t>+/- 70</t>
  </si>
  <si>
    <t>№ испытательного образца (пробы): 11АХ.01</t>
  </si>
  <si>
    <t xml:space="preserve">0.28 </t>
  </si>
  <si>
    <t>+/- 0.11</t>
  </si>
  <si>
    <t xml:space="preserve">13.7 </t>
  </si>
  <si>
    <t xml:space="preserve">36 </t>
  </si>
  <si>
    <t xml:space="preserve">9.1 </t>
  </si>
  <si>
    <t xml:space="preserve">0.137 </t>
  </si>
  <si>
    <t>+/- 0.010</t>
  </si>
  <si>
    <t>№ испытательного образца (пробы): 12АХ.01</t>
  </si>
  <si>
    <t>+/- 1.7</t>
  </si>
  <si>
    <t xml:space="preserve">270 </t>
  </si>
  <si>
    <t xml:space="preserve">350 </t>
  </si>
  <si>
    <t>№ испытательного образца (пробы): 13АХ.01</t>
  </si>
  <si>
    <t xml:space="preserve">6.9 </t>
  </si>
  <si>
    <t xml:space="preserve">0.23 </t>
  </si>
  <si>
    <t>+/- 0.09</t>
  </si>
  <si>
    <t xml:space="preserve">12.8 </t>
  </si>
  <si>
    <t>+/- 1.9</t>
  </si>
  <si>
    <t xml:space="preserve">400 </t>
  </si>
  <si>
    <t>+/- 60</t>
  </si>
  <si>
    <t xml:space="preserve">7.6 </t>
  </si>
  <si>
    <t xml:space="preserve">0.120 </t>
  </si>
  <si>
    <t>+/- 0.009</t>
  </si>
  <si>
    <t xml:space="preserve">360 </t>
  </si>
  <si>
    <t>№ испытательного образца (пробы): 14АХ.01</t>
  </si>
  <si>
    <t xml:space="preserve">0.27 </t>
  </si>
  <si>
    <t xml:space="preserve">52 </t>
  </si>
  <si>
    <t xml:space="preserve">460 </t>
  </si>
  <si>
    <t xml:space="preserve">0.294 </t>
  </si>
  <si>
    <t>+/- 0.022</t>
  </si>
  <si>
    <t xml:space="preserve">290 </t>
  </si>
  <si>
    <t>№ испытательного образца (пробы): 15АХ.01</t>
  </si>
  <si>
    <t xml:space="preserve">менее 6.4 </t>
  </si>
  <si>
    <t xml:space="preserve">320 </t>
  </si>
  <si>
    <t xml:space="preserve">48 </t>
  </si>
  <si>
    <t xml:space="preserve">0.129 </t>
  </si>
  <si>
    <t>№ испытательного образца (пробы): 16АХ.01</t>
  </si>
  <si>
    <t xml:space="preserve">6.7 </t>
  </si>
  <si>
    <t xml:space="preserve">0.49 </t>
  </si>
  <si>
    <t xml:space="preserve">32 </t>
  </si>
  <si>
    <t xml:space="preserve">770 </t>
  </si>
  <si>
    <t xml:space="preserve">42 </t>
  </si>
  <si>
    <t xml:space="preserve">10.8 </t>
  </si>
  <si>
    <t xml:space="preserve">0.177 </t>
  </si>
  <si>
    <t xml:space="preserve">590 </t>
  </si>
  <si>
    <t>№ испытательного образца (пробы): 17АХ.01</t>
  </si>
  <si>
    <t xml:space="preserve">4.5 </t>
  </si>
  <si>
    <t xml:space="preserve">0.201 </t>
  </si>
  <si>
    <t>+/- 0.015</t>
  </si>
  <si>
    <t xml:space="preserve">130 </t>
  </si>
  <si>
    <t>№ испытательного образца (пробы): 18АХ.01</t>
  </si>
  <si>
    <t xml:space="preserve">0.34 </t>
  </si>
  <si>
    <t xml:space="preserve">23.7 </t>
  </si>
  <si>
    <t xml:space="preserve">450 </t>
  </si>
  <si>
    <t xml:space="preserve">26.9 </t>
  </si>
  <si>
    <t>+/- 2.0</t>
  </si>
  <si>
    <t xml:space="preserve">6.3 </t>
  </si>
  <si>
    <t xml:space="preserve">0.166 </t>
  </si>
  <si>
    <t xml:space="preserve">более 1000 </t>
  </si>
  <si>
    <t>№ испытательного образца (пробы): 19АХ.01</t>
  </si>
  <si>
    <t xml:space="preserve">12.6 </t>
  </si>
  <si>
    <t xml:space="preserve">10.2 </t>
  </si>
  <si>
    <t xml:space="preserve">0.175 </t>
  </si>
  <si>
    <t>№ испытательного образца (пробы): 20АХ.01</t>
  </si>
  <si>
    <t xml:space="preserve">21.2 </t>
  </si>
  <si>
    <t>+/- 2.1</t>
  </si>
  <si>
    <t xml:space="preserve">560 </t>
  </si>
  <si>
    <t>+/- 80</t>
  </si>
  <si>
    <t xml:space="preserve">9.8 </t>
  </si>
  <si>
    <t xml:space="preserve">0.206 </t>
  </si>
  <si>
    <t>№ испытательного образца (пробы): 21АХ.01</t>
  </si>
  <si>
    <t xml:space="preserve">11.9 </t>
  </si>
  <si>
    <t xml:space="preserve">5.9 </t>
  </si>
  <si>
    <t xml:space="preserve">0.126 </t>
  </si>
  <si>
    <t>№ испытательного образца (пробы): 22АХ.01</t>
  </si>
  <si>
    <t xml:space="preserve">7.1 </t>
  </si>
  <si>
    <t xml:space="preserve">0.42 </t>
  </si>
  <si>
    <t>+/- 0.17</t>
  </si>
  <si>
    <t xml:space="preserve">9.7 </t>
  </si>
  <si>
    <t>+/- 1.5</t>
  </si>
  <si>
    <t xml:space="preserve">15.2 </t>
  </si>
  <si>
    <t xml:space="preserve">0.145 </t>
  </si>
  <si>
    <t>+/- 0.011</t>
  </si>
  <si>
    <t>№ точки измерения</t>
  </si>
  <si>
    <t>МЭД ГИ (H), мкЗв/ч, мБк/(м2·c)</t>
  </si>
  <si>
    <t>H+d(H), мкЗв/ч, мБк/(м2·c)*</t>
  </si>
  <si>
    <t>Результаты измерения МЭД ГИ на участке</t>
  </si>
  <si>
    <t>ППР(R), мБк/(м2·c)</t>
  </si>
  <si>
    <t>R+d(R), мБк/(м2·c)*</t>
  </si>
  <si>
    <t>Результаты измерения ППР с поверхности грунта</t>
  </si>
  <si>
    <t>Среднее значение МЭД ГИ,</t>
  </si>
  <si>
    <t>Среднее значение ППР  , мБк/(м2*с)</t>
  </si>
  <si>
    <t>Неопределенность, δ</t>
  </si>
  <si>
    <t>Неопределенность , мБк/(м2*с)</t>
  </si>
  <si>
    <t>Среднее значение МЭД ГИ с учетом неопределенности,     + δ</t>
  </si>
  <si>
    <t>Среднее значение ППР с учетом неопределенности  + , мБк/(м2*с)</t>
  </si>
  <si>
    <r>
      <t>Максимальное значение МЭД ГИ с учетом погрешности, H</t>
    </r>
    <r>
      <rPr>
        <vertAlign val="subscript"/>
        <sz val="10"/>
        <color rgb="FF000000"/>
        <rFont val="Times New Roman"/>
        <family val="1"/>
        <charset val="204"/>
      </rPr>
      <t>max</t>
    </r>
    <r>
      <rPr>
        <sz val="10"/>
        <color rgb="FF000000"/>
        <rFont val="Times New Roman"/>
        <family val="1"/>
        <charset val="204"/>
      </rPr>
      <t xml:space="preserve"> + </t>
    </r>
    <r>
      <rPr>
        <sz val="10"/>
        <color rgb="FF000000"/>
        <rFont val="Symbol"/>
        <family val="1"/>
        <charset val="2"/>
      </rPr>
      <t>D</t>
    </r>
    <r>
      <rPr>
        <sz val="10"/>
        <color rgb="FF000000"/>
        <rFont val="Times New Roman"/>
        <family val="1"/>
        <charset val="204"/>
      </rPr>
      <t>Н</t>
    </r>
  </si>
  <si>
    <t>Минимальное значение ППР с учетом погрешности Rmin+d(R), мБк/(м2*с)</t>
  </si>
  <si>
    <r>
      <t>Минимальное значение МЭД ГИ, H</t>
    </r>
    <r>
      <rPr>
        <vertAlign val="subscript"/>
        <sz val="10"/>
        <color rgb="FF000000"/>
        <rFont val="Times New Roman"/>
        <family val="1"/>
        <charset val="204"/>
      </rPr>
      <t>min</t>
    </r>
  </si>
  <si>
    <t>Максимальное значение ППР с учетом погрешности Rmax+d(R), мБк/(м2*с)</t>
  </si>
  <si>
    <t>Количество точек измерений, в которых R+d(R) &gt; 250 мБк/(м2*с), шт. / %</t>
  </si>
  <si>
    <t>Количество точек измерений, в которых R+d(R) &gt; 80 мБк/(м2*с), шт. / %</t>
  </si>
  <si>
    <t>&gt;250</t>
  </si>
  <si>
    <t>&gt;80</t>
  </si>
  <si>
    <t>Класс опасности</t>
  </si>
  <si>
    <t>Объем загрязнения</t>
  </si>
  <si>
    <t>Мощность слоя</t>
  </si>
  <si>
    <t>Площадь зоны</t>
  </si>
  <si>
    <t>Общая площадь объекта (AutoCAD):</t>
  </si>
  <si>
    <t>Контроль площади:</t>
  </si>
  <si>
    <t>Загрязнение:</t>
  </si>
  <si>
    <t>Нефтепродукты:</t>
  </si>
  <si>
    <t>Биотестирование:</t>
  </si>
  <si>
    <t>Итого ориентировочный объем загрязненных ПГ на всей территории, в том числе:</t>
  </si>
  <si>
    <t>Отнесенных к чрезвычайно опасной категории загрязнения, IV классу опасности для ОС</t>
  </si>
  <si>
    <r>
      <t>Отнесенных к чрезвычайно опасной категории загрязнения, V классу опасности для ОС (</t>
    </r>
    <r>
      <rPr>
        <i/>
        <sz val="10"/>
        <rFont val="Times New Roman"/>
        <family val="1"/>
        <charset val="204"/>
      </rPr>
      <t>из них загрязненных нефтепродуктами в соответствии с Письмом Минприроды РФ № 04-25</t>
    </r>
    <r>
      <rPr>
        <sz val="10"/>
        <rFont val="Times New Roman"/>
        <family val="1"/>
        <charset val="204"/>
      </rPr>
      <t>)</t>
    </r>
  </si>
  <si>
    <t>Отнесенных к опасной категории загрязнения, IV классу опасности для ОС, загрязненных нефтепродуктами в соответствии с Письмом Минприроды РФ № 04-25</t>
  </si>
  <si>
    <r>
      <t>Отнесенных к опасной категории загрязнения, V классу опасности для ОС (</t>
    </r>
    <r>
      <rPr>
        <i/>
        <sz val="10"/>
        <rFont val="Times New Roman"/>
        <family val="1"/>
        <charset val="204"/>
      </rPr>
      <t>из них загрязненных нефтепродуктами в соответствии с Письмом Минприроды РФ № 04-25</t>
    </r>
    <r>
      <rPr>
        <sz val="10"/>
        <rFont val="Times New Roman"/>
        <family val="1"/>
        <charset val="204"/>
      </rPr>
      <t>)</t>
    </r>
  </si>
  <si>
    <r>
      <t>Отнесенных к умеренно опасной категории загрязнения, V классу опасности для ОС (</t>
    </r>
    <r>
      <rPr>
        <i/>
        <sz val="10"/>
        <rFont val="Times New Roman"/>
        <family val="1"/>
        <charset val="204"/>
      </rPr>
      <t>из них загрязненных нефтепродуктами в соответствии с Письмом Минприроды РФ № 04-25</t>
    </r>
    <r>
      <rPr>
        <sz val="10"/>
        <rFont val="Times New Roman"/>
        <family val="1"/>
        <charset val="204"/>
      </rPr>
      <t>)</t>
    </r>
  </si>
  <si>
    <t>Отнесенных к допустимой категории загрязнения, V классу опасности для ОС, загрязненных нефтепродуктами в соответствии с Письмом Минприроды РФ № 04-25</t>
  </si>
  <si>
    <t>Контроль объемов</t>
  </si>
  <si>
    <t>01</t>
  </si>
  <si>
    <t>24</t>
  </si>
  <si>
    <r>
      <t>K</t>
    </r>
    <r>
      <rPr>
        <b/>
        <sz val="8"/>
        <color rgb="FF000000"/>
        <rFont val="Times New Roman"/>
        <family val="1"/>
        <charset val="204"/>
      </rPr>
      <t>Cd</t>
    </r>
    <r>
      <rPr>
        <b/>
        <sz val="12"/>
        <color rgb="FF000000"/>
        <rFont val="Times New Roman"/>
        <family val="1"/>
        <charset val="204"/>
      </rPr>
      <t>_М</t>
    </r>
  </si>
  <si>
    <r>
      <t>K</t>
    </r>
    <r>
      <rPr>
        <b/>
        <sz val="8"/>
        <color rgb="FF000000"/>
        <rFont val="Times New Roman"/>
        <family val="1"/>
        <charset val="204"/>
      </rPr>
      <t>Cu</t>
    </r>
    <r>
      <rPr>
        <b/>
        <sz val="12"/>
        <color rgb="FF000000"/>
        <rFont val="Times New Roman"/>
        <family val="1"/>
        <charset val="204"/>
      </rPr>
      <t>_М</t>
    </r>
  </si>
  <si>
    <r>
      <t>K</t>
    </r>
    <r>
      <rPr>
        <b/>
        <sz val="8"/>
        <color rgb="FF000000"/>
        <rFont val="Times New Roman"/>
        <family val="1"/>
        <charset val="204"/>
      </rPr>
      <t>As</t>
    </r>
    <r>
      <rPr>
        <b/>
        <sz val="12"/>
        <color rgb="FF000000"/>
        <rFont val="Times New Roman"/>
        <family val="1"/>
        <charset val="204"/>
      </rPr>
      <t>_М</t>
    </r>
  </si>
  <si>
    <r>
      <t>K</t>
    </r>
    <r>
      <rPr>
        <b/>
        <sz val="8"/>
        <color rgb="FF000000"/>
        <rFont val="Times New Roman"/>
        <family val="1"/>
        <charset val="204"/>
      </rPr>
      <t>Ni</t>
    </r>
    <r>
      <rPr>
        <b/>
        <sz val="12"/>
        <color rgb="FF000000"/>
        <rFont val="Times New Roman"/>
        <family val="1"/>
        <charset val="204"/>
      </rPr>
      <t>_М</t>
    </r>
  </si>
  <si>
    <r>
      <t>K</t>
    </r>
    <r>
      <rPr>
        <b/>
        <sz val="8"/>
        <color rgb="FF000000"/>
        <rFont val="Times New Roman"/>
        <family val="1"/>
        <charset val="204"/>
      </rPr>
      <t>Hg</t>
    </r>
    <r>
      <rPr>
        <b/>
        <sz val="12"/>
        <color rgb="FF000000"/>
        <rFont val="Times New Roman"/>
        <family val="1"/>
        <charset val="204"/>
      </rPr>
      <t>_М</t>
    </r>
  </si>
  <si>
    <r>
      <t>K</t>
    </r>
    <r>
      <rPr>
        <b/>
        <sz val="8"/>
        <color rgb="FF000000"/>
        <rFont val="Times New Roman"/>
        <family val="1"/>
        <charset val="204"/>
      </rPr>
      <t>Pb</t>
    </r>
    <r>
      <rPr>
        <b/>
        <sz val="12"/>
        <color rgb="FF000000"/>
        <rFont val="Times New Roman"/>
        <family val="1"/>
        <charset val="204"/>
      </rPr>
      <t>_М</t>
    </r>
  </si>
  <si>
    <r>
      <t>K</t>
    </r>
    <r>
      <rPr>
        <b/>
        <sz val="8"/>
        <color rgb="FF000000"/>
        <rFont val="Times New Roman"/>
        <family val="1"/>
        <charset val="204"/>
      </rPr>
      <t>Zn</t>
    </r>
    <r>
      <rPr>
        <b/>
        <sz val="12"/>
        <color rgb="FF000000"/>
        <rFont val="Times New Roman"/>
        <family val="1"/>
        <charset val="204"/>
      </rPr>
      <t>_М</t>
    </r>
  </si>
  <si>
    <r>
      <t>K</t>
    </r>
    <r>
      <rPr>
        <b/>
        <sz val="8"/>
        <color rgb="FF000000"/>
        <rFont val="Times New Roman"/>
        <family val="1"/>
        <charset val="204"/>
      </rPr>
      <t>Cd</t>
    </r>
    <r>
      <rPr>
        <b/>
        <sz val="12"/>
        <color rgb="FF000000"/>
        <rFont val="Times New Roman"/>
        <family val="1"/>
        <charset val="204"/>
      </rPr>
      <t>_МО</t>
    </r>
  </si>
  <si>
    <r>
      <t>K</t>
    </r>
    <r>
      <rPr>
        <b/>
        <sz val="8"/>
        <color rgb="FF000000"/>
        <rFont val="Times New Roman"/>
        <family val="1"/>
        <charset val="204"/>
      </rPr>
      <t>Cu</t>
    </r>
    <r>
      <rPr>
        <b/>
        <sz val="12"/>
        <color rgb="FF000000"/>
        <rFont val="Times New Roman"/>
        <family val="1"/>
        <charset val="204"/>
      </rPr>
      <t>_МО</t>
    </r>
  </si>
  <si>
    <r>
      <t>K</t>
    </r>
    <r>
      <rPr>
        <b/>
        <sz val="8"/>
        <color rgb="FF000000"/>
        <rFont val="Times New Roman"/>
        <family val="1"/>
        <charset val="204"/>
      </rPr>
      <t>As</t>
    </r>
    <r>
      <rPr>
        <b/>
        <sz val="12"/>
        <color rgb="FF000000"/>
        <rFont val="Times New Roman"/>
        <family val="1"/>
        <charset val="204"/>
      </rPr>
      <t>_МО</t>
    </r>
  </si>
  <si>
    <r>
      <t>K</t>
    </r>
    <r>
      <rPr>
        <b/>
        <sz val="8"/>
        <color rgb="FF000000"/>
        <rFont val="Times New Roman"/>
        <family val="1"/>
        <charset val="204"/>
      </rPr>
      <t>Ni</t>
    </r>
    <r>
      <rPr>
        <b/>
        <sz val="12"/>
        <color rgb="FF000000"/>
        <rFont val="Times New Roman"/>
        <family val="1"/>
        <charset val="204"/>
      </rPr>
      <t>_МО</t>
    </r>
  </si>
  <si>
    <r>
      <t>K</t>
    </r>
    <r>
      <rPr>
        <b/>
        <sz val="8"/>
        <color rgb="FF000000"/>
        <rFont val="Times New Roman"/>
        <family val="1"/>
        <charset val="204"/>
      </rPr>
      <t>Hg</t>
    </r>
    <r>
      <rPr>
        <b/>
        <sz val="12"/>
        <color rgb="FF000000"/>
        <rFont val="Times New Roman"/>
        <family val="1"/>
        <charset val="204"/>
      </rPr>
      <t>_МО</t>
    </r>
  </si>
  <si>
    <r>
      <t>K</t>
    </r>
    <r>
      <rPr>
        <b/>
        <sz val="8"/>
        <color rgb="FF000000"/>
        <rFont val="Times New Roman"/>
        <family val="1"/>
        <charset val="204"/>
      </rPr>
      <t>Pb</t>
    </r>
    <r>
      <rPr>
        <b/>
        <sz val="12"/>
        <color rgb="FF000000"/>
        <rFont val="Times New Roman"/>
        <family val="1"/>
        <charset val="204"/>
      </rPr>
      <t>_МО</t>
    </r>
  </si>
  <si>
    <r>
      <t>K</t>
    </r>
    <r>
      <rPr>
        <b/>
        <sz val="8"/>
        <color rgb="FF000000"/>
        <rFont val="Times New Roman"/>
        <family val="1"/>
        <charset val="204"/>
      </rPr>
      <t>Zn</t>
    </r>
    <r>
      <rPr>
        <b/>
        <sz val="12"/>
        <color rgb="FF000000"/>
        <rFont val="Times New Roman"/>
        <family val="1"/>
        <charset val="204"/>
      </rPr>
      <t>_МО</t>
    </r>
  </si>
  <si>
    <t>10АХ.01</t>
  </si>
  <si>
    <t>100АХ.01</t>
  </si>
  <si>
    <t>31</t>
  </si>
  <si>
    <t>62</t>
  </si>
  <si>
    <t>Погрешность</t>
  </si>
  <si>
    <t>Наименование образца испытаний (маркировка) : 01АХ.01</t>
  </si>
  <si>
    <t>Результат
 измерений</t>
  </si>
  <si>
    <t>Расширенная неопределенность при k=2</t>
  </si>
  <si>
    <t>n¹</t>
  </si>
  <si>
    <t>Методика выполнения измерений (год издания)</t>
  </si>
  <si>
    <t>pH солевой вытяжки</t>
  </si>
  <si>
    <t>ГОСТ 26483-85 (2022)</t>
  </si>
  <si>
    <t>ПНД Ф 16.1:2:2.2:2.3:3.39-2003 (2012)</t>
  </si>
  <si>
    <t>ПНД Ф 16.1:2.3:3.11-98 п.5.1.2.2 (2005)</t>
  </si>
  <si>
    <t>± 4</t>
  </si>
  <si>
    <t>± 70</t>
  </si>
  <si>
    <t>ПНД Ф 16.1:2.2.22-98 (2005)</t>
  </si>
  <si>
    <t>Ртуть</t>
  </si>
  <si>
    <t>мкг/кг</t>
  </si>
  <si>
    <t>ПНД Ф 16.1:2.23-2000 (2005)</t>
  </si>
  <si>
    <t>± 12</t>
  </si>
  <si>
    <t>Наименование образца испытаний (маркировка) : 02АХ.01</t>
  </si>
  <si>
    <t>± 8</t>
  </si>
  <si>
    <t>Наименование образца испытаний (маркировка) : 03АХ.01</t>
  </si>
  <si>
    <t>Наименование образца испытаний (маркировка) : 04АХ.01</t>
  </si>
  <si>
    <t>+/- 0,021</t>
  </si>
  <si>
    <t>+/- 0,20</t>
  </si>
  <si>
    <t>+/- 2,2</t>
  </si>
  <si>
    <t>+/- 0,6</t>
  </si>
  <si>
    <t>+/- 0,04</t>
  </si>
  <si>
    <t>70</t>
  </si>
  <si>
    <t>14</t>
  </si>
  <si>
    <t>± 50</t>
  </si>
  <si>
    <t>± 19</t>
  </si>
  <si>
    <t>60</t>
  </si>
  <si>
    <t>± 60</t>
  </si>
  <si>
    <t>± 18</t>
  </si>
  <si>
    <t>± 10</t>
  </si>
  <si>
    <t>260</t>
  </si>
  <si>
    <t>23</t>
  </si>
  <si>
    <t>± 9</t>
  </si>
  <si>
    <t>27</t>
  </si>
  <si>
    <t>80</t>
  </si>
  <si>
    <t>270</t>
  </si>
  <si>
    <t>0,2-0,5</t>
  </si>
  <si>
    <t>01АХ.02</t>
  </si>
  <si>
    <t>02АХ.02</t>
  </si>
  <si>
    <t>0,5-1,0</t>
  </si>
  <si>
    <t>01АХ.03</t>
  </si>
  <si>
    <t>02АХ.03</t>
  </si>
  <si>
    <t>01АХ.04</t>
  </si>
  <si>
    <t>02АХ.04</t>
  </si>
  <si>
    <t>01АХ.05</t>
  </si>
  <si>
    <t>50</t>
  </si>
  <si>
    <t>± 80</t>
  </si>
  <si>
    <t>21</t>
  </si>
  <si>
    <t>53</t>
  </si>
  <si>
    <t>± 14</t>
  </si>
  <si>
    <t>20</t>
  </si>
  <si>
    <t>29</t>
  </si>
  <si>
    <t>38</t>
  </si>
  <si>
    <t>0,0065</t>
  </si>
  <si>
    <t>0,051</t>
  </si>
  <si>
    <t>± 1</t>
  </si>
  <si>
    <t>менее 3</t>
  </si>
  <si>
    <t>± 2</t>
  </si>
  <si>
    <t>280</t>
  </si>
  <si>
    <t>менее 8</t>
  </si>
  <si>
    <t>19</t>
  </si>
  <si>
    <t>22</t>
  </si>
  <si>
    <t>25</t>
  </si>
  <si>
    <t>26</t>
  </si>
  <si>
    <t>28</t>
  </si>
  <si>
    <t>30</t>
  </si>
  <si>
    <t>± 120</t>
  </si>
  <si>
    <t>± 20</t>
  </si>
  <si>
    <t>180</t>
  </si>
  <si>
    <t>37</t>
  </si>
  <si>
    <t>± 25</t>
  </si>
  <si>
    <t>140</t>
  </si>
  <si>
    <t>± 15</t>
  </si>
  <si>
    <t>± 17</t>
  </si>
  <si>
    <t>39</t>
  </si>
  <si>
    <t>170</t>
  </si>
  <si>
    <t>± 13</t>
  </si>
  <si>
    <t>330</t>
  </si>
  <si>
    <t>33</t>
  </si>
  <si>
    <t>100</t>
  </si>
  <si>
    <t>66</t>
  </si>
  <si>
    <t>390</t>
  </si>
  <si>
    <t>± 100</t>
  </si>
  <si>
    <t>± 0,05</t>
  </si>
  <si>
    <t>± 0,4</t>
  </si>
  <si>
    <t>± 0,005</t>
  </si>
  <si>
    <t>± 0,07</t>
  </si>
  <si>
    <t>± 2,3</t>
  </si>
  <si>
    <t>± 0,003</t>
  </si>
  <si>
    <t>± 0,10</t>
  </si>
  <si>
    <t>± 0,0021</t>
  </si>
  <si>
    <t>± 0,007</t>
  </si>
  <si>
    <t>± 0,09</t>
  </si>
  <si>
    <t>± 0,06</t>
  </si>
  <si>
    <t>0,041</t>
  </si>
  <si>
    <t>0,050</t>
  </si>
  <si>
    <t>0,039</t>
  </si>
  <si>
    <t>0,032</t>
  </si>
  <si>
    <t>0,070</t>
  </si>
  <si>
    <t>0,033</t>
  </si>
  <si>
    <t>0,047</t>
  </si>
  <si>
    <t>0,090</t>
  </si>
  <si>
    <t>0,067</t>
  </si>
  <si>
    <t>190</t>
  </si>
  <si>
    <t>400</t>
  </si>
  <si>
    <t>300</t>
  </si>
  <si>
    <t>± 0.9</t>
  </si>
  <si>
    <t>± 0.1</t>
  </si>
  <si>
    <t>± 0.09</t>
  </si>
  <si>
    <t>40</t>
  </si>
  <si>
    <t>± 0.03</t>
  </si>
  <si>
    <t>± 1.9</t>
  </si>
  <si>
    <t>± 0.05</t>
  </si>
  <si>
    <t>± 0.07</t>
  </si>
  <si>
    <t>± 0.19</t>
  </si>
  <si>
    <t>± 0.04</t>
  </si>
  <si>
    <t>34</t>
  </si>
  <si>
    <t>± 2.4</t>
  </si>
  <si>
    <t>± 0.5</t>
  </si>
  <si>
    <t>340</t>
  </si>
  <si>
    <t>36</t>
  </si>
  <si>
    <t>± 0.22</t>
  </si>
  <si>
    <t>± 2.5</t>
  </si>
  <si>
    <t>0,2</t>
  </si>
  <si>
    <t>03АХ.02</t>
  </si>
  <si>
    <t>03АХ.03</t>
  </si>
  <si>
    <t>03АХ.04</t>
  </si>
  <si>
    <t>02АХ.05</t>
  </si>
  <si>
    <t>03АХ.05</t>
  </si>
  <si>
    <t>± 0.4</t>
  </si>
  <si>
    <t>35</t>
  </si>
  <si>
    <t>± 1.0</t>
  </si>
  <si>
    <t>890</t>
  </si>
  <si>
    <t>± 220</t>
  </si>
  <si>
    <t>380</t>
  </si>
  <si>
    <t>± 2.1</t>
  </si>
  <si>
    <t>130</t>
  </si>
  <si>
    <t>± 2.2</t>
  </si>
  <si>
    <t>± 0.12</t>
  </si>
  <si>
    <t>250</t>
  </si>
  <si>
    <t>± 0.3</t>
  </si>
  <si>
    <t>830</t>
  </si>
  <si>
    <t>± 210</t>
  </si>
  <si>
    <t>± 0.012</t>
  </si>
  <si>
    <t>± 0.16</t>
  </si>
  <si>
    <t>110</t>
  </si>
  <si>
    <t>± 0.20</t>
  </si>
  <si>
    <t>2100</t>
  </si>
  <si>
    <t>± 500</t>
  </si>
  <si>
    <t>370</t>
  </si>
  <si>
    <t>± 0.15</t>
  </si>
  <si>
    <t>67</t>
  </si>
  <si>
    <t>± 0.14</t>
  </si>
  <si>
    <t>± 1.1</t>
  </si>
  <si>
    <t>± 0.023</t>
  </si>
  <si>
    <t>± 0.18</t>
  </si>
  <si>
    <t>1600</t>
  </si>
  <si>
    <t>± 400</t>
  </si>
  <si>
    <t>± 21</t>
  </si>
  <si>
    <t>± 0.017</t>
  </si>
  <si>
    <t>± 24</t>
  </si>
  <si>
    <t>± 0.10</t>
  </si>
  <si>
    <t>460</t>
  </si>
  <si>
    <t>± 1.5</t>
  </si>
  <si>
    <t>32</t>
  </si>
  <si>
    <t>± 0.009</t>
  </si>
  <si>
    <t>± 0.008</t>
  </si>
  <si>
    <t>± 2.0</t>
  </si>
  <si>
    <t>0,054</t>
  </si>
  <si>
    <t>0,024</t>
  </si>
  <si>
    <t>0,114</t>
  </si>
  <si>
    <t>0,065</t>
  </si>
  <si>
    <t>0,123</t>
  </si>
  <si>
    <t>0,137</t>
  </si>
  <si>
    <t>0,150</t>
  </si>
  <si>
    <t>0,170</t>
  </si>
  <si>
    <t>0,062</t>
  </si>
  <si>
    <t>0,210</t>
  </si>
  <si>
    <t>0,13</t>
  </si>
  <si>
    <t>0,15</t>
  </si>
  <si>
    <t>0,14</t>
  </si>
  <si>
    <t>0,17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</si>
</sst>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b/>
      <sz val="11"/>
      <color rgb="FF080000"/>
      <name val="Times New Roman"/>
      <family val="1"/>
      <charset val="204"/>
    </font>
    <font>
      <sz val="9"/>
      <color rgb="FF08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name val="Times New Roman"/>
      <family val="1"/>
      <charset val="204"/>
    </font>
    <font>
      <sz val="11"/>
      <name val="Calibri"/>
      <family val="2"/>
      <scheme val="minor"/>
    </font>
    <font>
      <sz val="9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0"/>
      <color indexed="10"/>
      <name val="Arial Cyr"/>
      <family val="2"/>
      <charset val="204"/>
    </font>
    <font>
      <sz val="10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i/>
      <sz val="10"/>
      <name val="Times New Roman CYR"/>
      <charset val="204"/>
    </font>
    <font>
      <b/>
      <sz val="10"/>
      <name val="Times New Roman CYR"/>
      <charset val="204"/>
    </font>
    <font>
      <sz val="10"/>
      <name val="Arial Cyr"/>
      <charset val="204"/>
    </font>
    <font>
      <b/>
      <sz val="10"/>
      <color indexed="10"/>
      <name val="Times New Roman CYR"/>
      <family val="1"/>
      <charset val="204"/>
    </font>
    <font>
      <b/>
      <sz val="10"/>
      <color indexed="17"/>
      <name val="Times New Roman CYR"/>
      <family val="1"/>
      <charset val="204"/>
    </font>
    <font>
      <sz val="10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vertAlign val="superscript"/>
      <sz val="9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1"/>
      <color theme="1"/>
      <name val="Calibri"/>
      <family val="2"/>
      <charset val="204"/>
    </font>
    <font>
      <b/>
      <sz val="12"/>
      <color rgb="FFFF0000"/>
      <name val="Times New Roman"/>
      <family val="1"/>
      <charset val="204"/>
    </font>
    <font>
      <b/>
      <vertAlign val="subscript"/>
      <sz val="12"/>
      <color indexed="8"/>
      <name val="Times New Roman"/>
      <family val="1"/>
      <charset val="204"/>
    </font>
    <font>
      <b/>
      <vertAlign val="subscript"/>
      <sz val="12"/>
      <color rgb="FFFF0000"/>
      <name val="Times New Roman"/>
      <family val="1"/>
      <charset val="204"/>
    </font>
    <font>
      <sz val="10"/>
      <name val="Arial"/>
      <family val="2"/>
      <charset val="204"/>
    </font>
    <font>
      <sz val="12"/>
      <color rgb="FF000000"/>
      <name val="Arial"/>
      <family val="2"/>
      <charset val="204"/>
    </font>
    <font>
      <b/>
      <sz val="11"/>
      <color rgb="FF080000"/>
      <name val="Times New Roman"/>
      <family val="1"/>
      <charset val="204"/>
    </font>
    <font>
      <sz val="9"/>
      <color rgb="FF080000"/>
      <name val="Times New Roman"/>
      <family val="1"/>
      <charset val="204"/>
    </font>
    <font>
      <sz val="11"/>
      <name val="Times New Roman"/>
      <family val="1"/>
    </font>
    <font>
      <sz val="12"/>
      <name val="Times New Roman"/>
      <family val="1"/>
      <charset val="204"/>
    </font>
    <font>
      <sz val="12"/>
      <name val="Times New Roman"/>
      <family val="2"/>
      <charset val="204"/>
    </font>
    <font>
      <sz val="10"/>
      <name val="Times New Roman CYR"/>
      <charset val="204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rgb="FFC00000"/>
      <name val="Calibri"/>
      <family val="2"/>
      <scheme val="minor"/>
    </font>
    <font>
      <b/>
      <sz val="10"/>
      <color rgb="FF080000"/>
      <name val="Times New Roman"/>
      <family val="1"/>
      <charset val="204"/>
    </font>
    <font>
      <b/>
      <sz val="9"/>
      <color rgb="FF080000"/>
      <name val="Times New Roman"/>
      <family val="1"/>
      <charset val="204"/>
    </font>
    <font>
      <b/>
      <sz val="8"/>
      <color rgb="FF080000"/>
      <name val="Times New Roman"/>
      <family val="1"/>
      <charset val="204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sz val="15"/>
      <color rgb="FF00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vertAlign val="subscript"/>
      <sz val="10"/>
      <color rgb="FF000000"/>
      <name val="Times New Roman"/>
      <family val="1"/>
      <charset val="204"/>
    </font>
    <font>
      <sz val="10"/>
      <color rgb="FF00000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b/>
      <sz val="8"/>
      <color rgb="FF000000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rgb="FF000000"/>
      <name val="Arial"/>
    </font>
    <font>
      <b/>
      <sz val="8"/>
      <color rgb="FF080000"/>
      <name val="Times New Roman"/>
      <charset val="1"/>
    </font>
    <font>
      <b/>
      <sz val="9"/>
      <color rgb="FF080000"/>
      <name val="Times New Roman"/>
      <charset val="1"/>
    </font>
    <font>
      <sz val="8"/>
      <color rgb="FF080000"/>
      <name val="Times New Roman"/>
      <charset val="1"/>
    </font>
    <font>
      <sz val="8"/>
      <color rgb="FF080000"/>
      <name val="Times New Roman"/>
      <family val="1"/>
      <charset val="204"/>
    </font>
    <font>
      <sz val="11"/>
      <name val="Times New Roman"/>
      <family val="1"/>
      <charset val="204"/>
    </font>
    <font>
      <sz val="7"/>
      <color rgb="FF080000"/>
      <name val="Times New Roman"/>
      <family val="1"/>
      <charset val="204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5F1F7"/>
        <bgColor indexed="64"/>
      </patternFill>
    </fill>
    <fill>
      <patternFill patternType="solid">
        <fgColor rgb="FFFADBDA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indexed="1"/>
      </patternFill>
    </fill>
  </fills>
  <borders count="9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1">
    <xf numFmtId="0" fontId="0" fillId="0" borderId="0"/>
    <xf numFmtId="0" fontId="9" fillId="0" borderId="0"/>
    <xf numFmtId="0" fontId="4" fillId="0" borderId="0"/>
    <xf numFmtId="0" fontId="22" fillId="0" borderId="0"/>
    <xf numFmtId="0" fontId="22" fillId="0" borderId="0"/>
    <xf numFmtId="0" fontId="16" fillId="0" borderId="0"/>
    <xf numFmtId="0" fontId="37" fillId="0" borderId="0"/>
    <xf numFmtId="0" fontId="38" fillId="0" borderId="0">
      <alignment horizontal="left" vertical="top" wrapText="1"/>
    </xf>
    <xf numFmtId="0" fontId="53" fillId="0" borderId="0" applyNumberFormat="0" applyFill="0" applyBorder="0" applyAlignment="0" applyProtection="0"/>
    <xf numFmtId="0" fontId="54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38" fillId="0" borderId="0">
      <alignment horizontal="left" vertical="top" wrapText="1"/>
    </xf>
    <xf numFmtId="0" fontId="38" fillId="0" borderId="0">
      <alignment horizontal="left" vertical="top" wrapText="1"/>
    </xf>
    <xf numFmtId="0" fontId="38" fillId="0" borderId="0">
      <alignment horizontal="left" vertical="top" wrapText="1"/>
    </xf>
    <xf numFmtId="0" fontId="38" fillId="0" borderId="0">
      <alignment horizontal="left" vertical="top" wrapText="1"/>
    </xf>
    <xf numFmtId="0" fontId="38" fillId="0" borderId="0">
      <alignment horizontal="left" vertical="top" wrapText="1"/>
    </xf>
    <xf numFmtId="0" fontId="54" fillId="0" borderId="0"/>
    <xf numFmtId="0" fontId="54" fillId="0" borderId="0"/>
    <xf numFmtId="0" fontId="54" fillId="0" borderId="0"/>
    <xf numFmtId="0" fontId="66" fillId="0" borderId="0">
      <alignment horizontal="left" vertical="top" wrapText="1"/>
    </xf>
    <xf numFmtId="0" fontId="22" fillId="0" borderId="0"/>
    <xf numFmtId="0" fontId="1" fillId="0" borderId="0"/>
  </cellStyleXfs>
  <cellXfs count="619">
    <xf numFmtId="0" fontId="0" fillId="0" borderId="0" xfId="0"/>
    <xf numFmtId="0" fontId="0" fillId="0" borderId="0" xfId="0" applyFill="1"/>
    <xf numFmtId="0" fontId="10" fillId="2" borderId="0" xfId="0" applyFont="1" applyFill="1"/>
    <xf numFmtId="0" fontId="0" fillId="2" borderId="0" xfId="0" applyFill="1" applyAlignment="1">
      <alignment horizontal="left" vertical="top" wrapText="1"/>
    </xf>
    <xf numFmtId="0" fontId="0" fillId="2" borderId="0" xfId="0" applyFill="1"/>
    <xf numFmtId="49" fontId="5" fillId="2" borderId="1" xfId="0" applyNumberFormat="1" applyFont="1" applyFill="1" applyBorder="1" applyAlignment="1" applyProtection="1">
      <alignment horizontal="center" vertical="center" wrapText="1" readingOrder="1"/>
    </xf>
    <xf numFmtId="49" fontId="6" fillId="2" borderId="1" xfId="0" applyNumberFormat="1" applyFont="1" applyFill="1" applyBorder="1" applyAlignment="1" applyProtection="1">
      <alignment horizontal="center" vertical="center" wrapText="1" readingOrder="1"/>
    </xf>
    <xf numFmtId="49" fontId="6" fillId="2" borderId="1" xfId="0" applyNumberFormat="1" applyFont="1" applyFill="1" applyBorder="1" applyAlignment="1" applyProtection="1">
      <alignment horizontal="center" vertical="top" wrapText="1" readingOrder="1"/>
    </xf>
    <xf numFmtId="0" fontId="12" fillId="0" borderId="0" xfId="0" applyFont="1" applyFill="1"/>
    <xf numFmtId="0" fontId="12" fillId="2" borderId="0" xfId="0" applyFont="1" applyFill="1" applyAlignment="1">
      <alignment horizontal="left" vertical="top" wrapText="1"/>
    </xf>
    <xf numFmtId="49" fontId="11" fillId="2" borderId="1" xfId="0" applyNumberFormat="1" applyFont="1" applyFill="1" applyBorder="1" applyAlignment="1" applyProtection="1">
      <alignment horizontal="center" vertical="center" wrapText="1" readingOrder="1"/>
    </xf>
    <xf numFmtId="49" fontId="13" fillId="2" borderId="1" xfId="0" applyNumberFormat="1" applyFont="1" applyFill="1" applyBorder="1" applyAlignment="1" applyProtection="1">
      <alignment horizontal="center" vertical="center" wrapText="1" readingOrder="1"/>
    </xf>
    <xf numFmtId="49" fontId="13" fillId="2" borderId="1" xfId="0" applyNumberFormat="1" applyFont="1" applyFill="1" applyBorder="1" applyAlignment="1" applyProtection="1">
      <alignment horizontal="center" vertical="top" wrapText="1" readingOrder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4" fillId="0" borderId="0" xfId="2"/>
    <xf numFmtId="0" fontId="4" fillId="0" borderId="0" xfId="2" applyAlignment="1">
      <alignment horizontal="center" vertical="center"/>
    </xf>
    <xf numFmtId="0" fontId="4" fillId="0" borderId="0" xfId="2" applyBorder="1" applyAlignment="1">
      <alignment horizontal="center" vertical="center"/>
    </xf>
    <xf numFmtId="0" fontId="17" fillId="0" borderId="14" xfId="2" applyNumberFormat="1" applyFont="1" applyFill="1" applyBorder="1" applyAlignment="1" applyProtection="1">
      <alignment horizontal="right"/>
    </xf>
    <xf numFmtId="0" fontId="17" fillId="0" borderId="12" xfId="2" applyNumberFormat="1" applyFont="1" applyFill="1" applyBorder="1" applyAlignment="1" applyProtection="1">
      <alignment horizontal="right"/>
    </xf>
    <xf numFmtId="0" fontId="18" fillId="0" borderId="12" xfId="2" applyNumberFormat="1" applyFont="1" applyFill="1" applyBorder="1" applyAlignment="1" applyProtection="1">
      <alignment horizontal="center" vertical="top"/>
    </xf>
    <xf numFmtId="0" fontId="19" fillId="0" borderId="12" xfId="2" applyNumberFormat="1" applyFont="1" applyFill="1" applyBorder="1" applyAlignment="1" applyProtection="1">
      <alignment horizontal="center" vertical="center"/>
    </xf>
    <xf numFmtId="0" fontId="21" fillId="0" borderId="12" xfId="2" applyNumberFormat="1" applyFont="1" applyFill="1" applyBorder="1" applyAlignment="1" applyProtection="1">
      <alignment horizontal="center" vertical="center"/>
    </xf>
    <xf numFmtId="0" fontId="23" fillId="3" borderId="15" xfId="3" applyNumberFormat="1" applyFont="1" applyFill="1" applyBorder="1" applyAlignment="1" applyProtection="1">
      <alignment horizontal="center" vertical="center" wrapText="1"/>
    </xf>
    <xf numFmtId="0" fontId="23" fillId="3" borderId="16" xfId="3" applyNumberFormat="1" applyFont="1" applyFill="1" applyBorder="1" applyAlignment="1" applyProtection="1">
      <alignment horizontal="center" vertical="center" wrapText="1"/>
    </xf>
    <xf numFmtId="0" fontId="18" fillId="3" borderId="17" xfId="3" applyNumberFormat="1" applyFont="1" applyFill="1" applyBorder="1" applyAlignment="1" applyProtection="1">
      <alignment horizontal="center" vertical="center"/>
    </xf>
    <xf numFmtId="164" fontId="24" fillId="0" borderId="0" xfId="3" applyNumberFormat="1" applyFont="1" applyFill="1" applyBorder="1" applyAlignment="1" applyProtection="1">
      <alignment horizontal="center" vertical="center"/>
    </xf>
    <xf numFmtId="0" fontId="4" fillId="0" borderId="0" xfId="2" applyProtection="1"/>
    <xf numFmtId="164" fontId="24" fillId="2" borderId="18" xfId="3" applyNumberFormat="1" applyFont="1" applyFill="1" applyBorder="1" applyAlignment="1" applyProtection="1">
      <alignment horizontal="center" vertical="center"/>
    </xf>
    <xf numFmtId="164" fontId="25" fillId="0" borderId="19" xfId="2" applyNumberFormat="1" applyFont="1" applyBorder="1" applyAlignment="1" applyProtection="1">
      <alignment horizontal="center" vertical="center"/>
    </xf>
    <xf numFmtId="164" fontId="25" fillId="0" borderId="20" xfId="2" applyNumberFormat="1" applyFont="1" applyBorder="1" applyAlignment="1" applyProtection="1">
      <alignment horizontal="center" vertical="center"/>
    </xf>
    <xf numFmtId="165" fontId="25" fillId="0" borderId="19" xfId="2" applyNumberFormat="1" applyFont="1" applyBorder="1" applyAlignment="1" applyProtection="1">
      <alignment horizontal="center" vertical="center"/>
    </xf>
    <xf numFmtId="0" fontId="24" fillId="0" borderId="21" xfId="3" applyNumberFormat="1" applyFont="1" applyFill="1" applyBorder="1" applyAlignment="1" applyProtection="1">
      <alignment horizontal="center" vertical="center"/>
    </xf>
    <xf numFmtId="0" fontId="19" fillId="4" borderId="22" xfId="3" applyNumberFormat="1" applyFont="1" applyFill="1" applyBorder="1" applyAlignment="1" applyProtection="1">
      <alignment horizontal="center" vertical="center"/>
    </xf>
    <xf numFmtId="0" fontId="19" fillId="5" borderId="22" xfId="3" applyNumberFormat="1" applyFont="1" applyFill="1" applyBorder="1" applyAlignment="1" applyProtection="1">
      <alignment horizontal="center" vertical="center"/>
    </xf>
    <xf numFmtId="0" fontId="19" fillId="6" borderId="22" xfId="3" applyNumberFormat="1" applyFont="1" applyFill="1" applyBorder="1" applyAlignment="1" applyProtection="1">
      <alignment horizontal="center" vertical="center"/>
    </xf>
    <xf numFmtId="0" fontId="19" fillId="7" borderId="22" xfId="3" applyNumberFormat="1" applyFont="1" applyFill="1" applyBorder="1" applyAlignment="1" applyProtection="1">
      <alignment horizontal="center" vertical="center"/>
    </xf>
    <xf numFmtId="0" fontId="19" fillId="8" borderId="22" xfId="3" applyNumberFormat="1" applyFont="1" applyFill="1" applyBorder="1" applyAlignment="1" applyProtection="1">
      <alignment horizontal="center" vertical="center"/>
    </xf>
    <xf numFmtId="0" fontId="19" fillId="9" borderId="22" xfId="3" applyNumberFormat="1" applyFont="1" applyFill="1" applyBorder="1" applyAlignment="1" applyProtection="1">
      <alignment horizontal="center" vertical="center"/>
    </xf>
    <xf numFmtId="0" fontId="19" fillId="10" borderId="22" xfId="3" applyNumberFormat="1" applyFont="1" applyFill="1" applyBorder="1" applyAlignment="1" applyProtection="1">
      <alignment horizontal="center" vertical="center"/>
    </xf>
    <xf numFmtId="0" fontId="19" fillId="11" borderId="22" xfId="3" applyNumberFormat="1" applyFont="1" applyFill="1" applyBorder="1" applyAlignment="1" applyProtection="1">
      <alignment horizontal="center" vertical="center"/>
    </xf>
    <xf numFmtId="0" fontId="19" fillId="12" borderId="22" xfId="3" applyNumberFormat="1" applyFont="1" applyFill="1" applyBorder="1" applyAlignment="1" applyProtection="1">
      <alignment horizontal="center" vertical="center"/>
    </xf>
    <xf numFmtId="0" fontId="21" fillId="13" borderId="22" xfId="3" applyNumberFormat="1" applyFont="1" applyFill="1" applyBorder="1" applyAlignment="1" applyProtection="1">
      <alignment horizontal="center" vertical="center"/>
    </xf>
    <xf numFmtId="164" fontId="24" fillId="0" borderId="24" xfId="3" applyNumberFormat="1" applyFont="1" applyFill="1" applyBorder="1" applyAlignment="1" applyProtection="1">
      <alignment horizontal="center" vertical="center"/>
    </xf>
    <xf numFmtId="0" fontId="19" fillId="0" borderId="13" xfId="3" applyNumberFormat="1" applyFont="1" applyFill="1" applyBorder="1" applyAlignment="1" applyProtection="1">
      <alignment horizontal="center" vertical="center"/>
    </xf>
    <xf numFmtId="1" fontId="19" fillId="0" borderId="13" xfId="3" applyNumberFormat="1" applyFont="1" applyFill="1" applyBorder="1" applyAlignment="1" applyProtection="1">
      <alignment horizontal="center" vertical="center"/>
    </xf>
    <xf numFmtId="0" fontId="26" fillId="0" borderId="0" xfId="4" applyFont="1" applyBorder="1" applyAlignment="1">
      <alignment horizontal="center" vertical="center" wrapText="1"/>
    </xf>
    <xf numFmtId="0" fontId="26" fillId="0" borderId="0" xfId="1" applyFont="1" applyBorder="1" applyAlignment="1">
      <alignment horizontal="center" vertical="center"/>
    </xf>
    <xf numFmtId="0" fontId="27" fillId="0" borderId="30" xfId="2" applyFont="1" applyBorder="1" applyAlignment="1">
      <alignment vertical="center" wrapText="1"/>
    </xf>
    <xf numFmtId="0" fontId="27" fillId="0" borderId="32" xfId="2" applyFont="1" applyBorder="1" applyAlignment="1">
      <alignment vertical="center" wrapText="1"/>
    </xf>
    <xf numFmtId="0" fontId="27" fillId="0" borderId="35" xfId="2" applyFont="1" applyBorder="1" applyAlignment="1">
      <alignment vertical="center" wrapText="1"/>
    </xf>
    <xf numFmtId="0" fontId="25" fillId="0" borderId="36" xfId="2" applyFont="1" applyBorder="1" applyAlignment="1">
      <alignment horizontal="center" vertical="center" wrapText="1"/>
    </xf>
    <xf numFmtId="0" fontId="25" fillId="0" borderId="8" xfId="2" applyFont="1" applyBorder="1" applyAlignment="1">
      <alignment horizontal="center" vertical="center" wrapText="1"/>
    </xf>
    <xf numFmtId="0" fontId="25" fillId="0" borderId="0" xfId="2" applyFont="1" applyFill="1" applyBorder="1" applyAlignment="1">
      <alignment horizontal="center" vertical="center" wrapText="1"/>
    </xf>
    <xf numFmtId="0" fontId="25" fillId="0" borderId="37" xfId="2" applyFont="1" applyBorder="1" applyAlignment="1">
      <alignment horizontal="center" vertical="center" wrapText="1"/>
    </xf>
    <xf numFmtId="0" fontId="25" fillId="0" borderId="38" xfId="2" applyFont="1" applyBorder="1" applyAlignment="1">
      <alignment horizontal="center" vertical="center" wrapText="1"/>
    </xf>
    <xf numFmtId="0" fontId="29" fillId="0" borderId="39" xfId="2" applyFont="1" applyBorder="1" applyAlignment="1">
      <alignment vertical="center" wrapText="1"/>
    </xf>
    <xf numFmtId="0" fontId="31" fillId="0" borderId="38" xfId="2" applyFont="1" applyBorder="1" applyAlignment="1">
      <alignment horizontal="center" vertical="center" wrapText="1"/>
    </xf>
    <xf numFmtId="0" fontId="31" fillId="0" borderId="40" xfId="2" applyFont="1" applyBorder="1" applyAlignment="1">
      <alignment horizontal="center" vertical="center" wrapText="1"/>
    </xf>
    <xf numFmtId="0" fontId="29" fillId="14" borderId="12" xfId="2" applyFont="1" applyFill="1" applyBorder="1" applyAlignment="1">
      <alignment horizontal="center" vertical="center" wrapText="1"/>
    </xf>
    <xf numFmtId="0" fontId="4" fillId="0" borderId="0" xfId="2" applyBorder="1"/>
    <xf numFmtId="0" fontId="32" fillId="0" borderId="0" xfId="2" applyFont="1" applyBorder="1"/>
    <xf numFmtId="0" fontId="33" fillId="0" borderId="0" xfId="2" applyFont="1" applyBorder="1" applyAlignment="1">
      <alignment vertical="center" wrapText="1"/>
    </xf>
    <xf numFmtId="0" fontId="14" fillId="0" borderId="0" xfId="2" applyFont="1"/>
    <xf numFmtId="0" fontId="14" fillId="0" borderId="0" xfId="2" applyFont="1" applyAlignment="1">
      <alignment horizontal="center" vertical="center"/>
    </xf>
    <xf numFmtId="0" fontId="14" fillId="0" borderId="0" xfId="2" applyFont="1" applyBorder="1" applyAlignment="1">
      <alignment horizontal="center" vertical="center"/>
    </xf>
    <xf numFmtId="0" fontId="25" fillId="2" borderId="41" xfId="2" applyFont="1" applyFill="1" applyBorder="1" applyAlignment="1">
      <alignment horizontal="center" vertical="center" wrapText="1"/>
    </xf>
    <xf numFmtId="0" fontId="25" fillId="2" borderId="42" xfId="2" applyFont="1" applyFill="1" applyBorder="1" applyAlignment="1">
      <alignment horizontal="center" vertical="center" wrapText="1"/>
    </xf>
    <xf numFmtId="0" fontId="25" fillId="3" borderId="41" xfId="2" applyFont="1" applyFill="1" applyBorder="1" applyAlignment="1">
      <alignment horizontal="center" vertical="center" wrapText="1"/>
    </xf>
    <xf numFmtId="0" fontId="25" fillId="3" borderId="42" xfId="2" applyFont="1" applyFill="1" applyBorder="1" applyAlignment="1">
      <alignment horizontal="center" vertical="center" wrapText="1"/>
    </xf>
    <xf numFmtId="0" fontId="25" fillId="3" borderId="34" xfId="2" applyFont="1" applyFill="1" applyBorder="1" applyAlignment="1">
      <alignment horizontal="center" vertical="center" wrapText="1"/>
    </xf>
    <xf numFmtId="0" fontId="25" fillId="3" borderId="7" xfId="2" applyFont="1" applyFill="1" applyBorder="1" applyAlignment="1">
      <alignment horizontal="center" vertical="center" wrapText="1"/>
    </xf>
    <xf numFmtId="0" fontId="6" fillId="3" borderId="34" xfId="2" applyNumberFormat="1" applyFont="1" applyFill="1" applyBorder="1" applyAlignment="1" applyProtection="1">
      <alignment horizontal="center" vertical="center" wrapText="1" readingOrder="1"/>
    </xf>
    <xf numFmtId="0" fontId="6" fillId="3" borderId="11" xfId="2" applyNumberFormat="1" applyFont="1" applyFill="1" applyBorder="1" applyAlignment="1" applyProtection="1">
      <alignment horizontal="center" vertical="center" wrapText="1" readingOrder="1"/>
    </xf>
    <xf numFmtId="0" fontId="7" fillId="14" borderId="43" xfId="2" applyFont="1" applyFill="1" applyBorder="1" applyAlignment="1">
      <alignment horizontal="center" vertical="center" wrapText="1"/>
    </xf>
    <xf numFmtId="0" fontId="14" fillId="0" borderId="0" xfId="4" applyFont="1" applyBorder="1" applyAlignment="1">
      <alignment horizontal="center" vertical="center" wrapText="1"/>
    </xf>
    <xf numFmtId="0" fontId="14" fillId="0" borderId="0" xfId="1" applyFont="1" applyBorder="1" applyAlignment="1">
      <alignment horizontal="center"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 applyAlignment="1">
      <alignment horizontal="center" vertical="center"/>
    </xf>
    <xf numFmtId="164" fontId="14" fillId="0" borderId="15" xfId="2" applyNumberFormat="1" applyFont="1" applyBorder="1" applyAlignment="1">
      <alignment horizontal="center" vertical="center"/>
    </xf>
    <xf numFmtId="0" fontId="25" fillId="3" borderId="44" xfId="2" applyFont="1" applyFill="1" applyBorder="1" applyAlignment="1">
      <alignment horizontal="center" vertical="center" wrapText="1"/>
    </xf>
    <xf numFmtId="0" fontId="25" fillId="3" borderId="45" xfId="2" applyFont="1" applyFill="1" applyBorder="1" applyAlignment="1">
      <alignment horizontal="center" vertical="center" wrapText="1"/>
    </xf>
    <xf numFmtId="0" fontId="6" fillId="3" borderId="45" xfId="2" applyNumberFormat="1" applyFont="1" applyFill="1" applyBorder="1" applyAlignment="1" applyProtection="1">
      <alignment horizontal="center" vertical="center" wrapText="1" readingOrder="1"/>
    </xf>
    <xf numFmtId="0" fontId="6" fillId="3" borderId="46" xfId="2" applyNumberFormat="1" applyFont="1" applyFill="1" applyBorder="1" applyAlignment="1" applyProtection="1">
      <alignment horizontal="center" vertical="center" wrapText="1" readingOrder="1"/>
    </xf>
    <xf numFmtId="0" fontId="14" fillId="3" borderId="12" xfId="1" applyFont="1" applyFill="1" applyBorder="1" applyAlignment="1">
      <alignment horizontal="center" vertical="center"/>
    </xf>
    <xf numFmtId="0" fontId="14" fillId="0" borderId="12" xfId="1" applyFont="1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/>
    </xf>
    <xf numFmtId="0" fontId="14" fillId="0" borderId="20" xfId="2" applyFont="1" applyBorder="1" applyAlignment="1">
      <alignment horizontal="center" vertical="center"/>
    </xf>
    <xf numFmtId="164" fontId="14" fillId="0" borderId="12" xfId="2" applyNumberFormat="1" applyFont="1" applyBorder="1" applyAlignment="1">
      <alignment horizontal="center" vertical="center"/>
    </xf>
    <xf numFmtId="49" fontId="6" fillId="3" borderId="3" xfId="2" applyNumberFormat="1" applyFont="1" applyFill="1" applyBorder="1" applyAlignment="1" applyProtection="1">
      <alignment horizontal="center" vertical="center" wrapText="1" readingOrder="1"/>
    </xf>
    <xf numFmtId="49" fontId="6" fillId="3" borderId="0" xfId="2" applyNumberFormat="1" applyFont="1" applyFill="1" applyBorder="1" applyAlignment="1" applyProtection="1">
      <alignment horizontal="center" vertical="center" wrapText="1" readingOrder="1"/>
    </xf>
    <xf numFmtId="0" fontId="6" fillId="3" borderId="3" xfId="2" applyNumberFormat="1" applyFont="1" applyFill="1" applyBorder="1" applyAlignment="1" applyProtection="1">
      <alignment horizontal="center" vertical="center" wrapText="1" readingOrder="1"/>
    </xf>
    <xf numFmtId="0" fontId="6" fillId="3" borderId="10" xfId="2" applyNumberFormat="1" applyFont="1" applyFill="1" applyBorder="1" applyAlignment="1" applyProtection="1">
      <alignment horizontal="center" vertical="center" wrapText="1" readingOrder="1"/>
    </xf>
    <xf numFmtId="49" fontId="6" fillId="3" borderId="44" xfId="2" applyNumberFormat="1" applyFont="1" applyFill="1" applyBorder="1" applyAlignment="1" applyProtection="1">
      <alignment horizontal="center" vertical="center" wrapText="1" readingOrder="1"/>
    </xf>
    <xf numFmtId="49" fontId="6" fillId="3" borderId="45" xfId="2" applyNumberFormat="1" applyFont="1" applyFill="1" applyBorder="1" applyAlignment="1" applyProtection="1">
      <alignment horizontal="center" vertical="center" wrapText="1" readingOrder="1"/>
    </xf>
    <xf numFmtId="49" fontId="6" fillId="3" borderId="48" xfId="2" applyNumberFormat="1" applyFont="1" applyFill="1" applyBorder="1" applyAlignment="1" applyProtection="1">
      <alignment horizontal="center" vertical="center" wrapText="1" readingOrder="1"/>
    </xf>
    <xf numFmtId="49" fontId="6" fillId="3" borderId="49" xfId="2" applyNumberFormat="1" applyFont="1" applyFill="1" applyBorder="1" applyAlignment="1" applyProtection="1">
      <alignment horizontal="center" vertical="center" wrapText="1" readingOrder="1"/>
    </xf>
    <xf numFmtId="0" fontId="6" fillId="3" borderId="49" xfId="2" applyNumberFormat="1" applyFont="1" applyFill="1" applyBorder="1" applyAlignment="1" applyProtection="1">
      <alignment horizontal="center" vertical="center" wrapText="1" readingOrder="1"/>
    </xf>
    <xf numFmtId="0" fontId="6" fillId="3" borderId="50" xfId="2" applyNumberFormat="1" applyFont="1" applyFill="1" applyBorder="1" applyAlignment="1" applyProtection="1">
      <alignment horizontal="center" vertical="center" wrapText="1" readingOrder="1"/>
    </xf>
    <xf numFmtId="49" fontId="14" fillId="15" borderId="0" xfId="5" applyNumberFormat="1" applyFont="1" applyFill="1" applyBorder="1"/>
    <xf numFmtId="49" fontId="14" fillId="0" borderId="0" xfId="5" applyNumberFormat="1" applyFont="1" applyFill="1" applyBorder="1"/>
    <xf numFmtId="49" fontId="14" fillId="5" borderId="0" xfId="5" applyNumberFormat="1" applyFont="1" applyFill="1" applyBorder="1"/>
    <xf numFmtId="49" fontId="15" fillId="16" borderId="0" xfId="5" applyNumberFormat="1" applyFont="1" applyFill="1" applyBorder="1" applyAlignment="1">
      <alignment horizontal="center"/>
    </xf>
    <xf numFmtId="49" fontId="14" fillId="17" borderId="0" xfId="5" applyNumberFormat="1" applyFont="1" applyFill="1" applyBorder="1"/>
    <xf numFmtId="49" fontId="14" fillId="18" borderId="0" xfId="5" applyNumberFormat="1" applyFont="1" applyFill="1" applyBorder="1" applyAlignment="1">
      <alignment horizontal="center"/>
    </xf>
    <xf numFmtId="49" fontId="14" fillId="19" borderId="0" xfId="5" applyNumberFormat="1" applyFont="1" applyFill="1" applyBorder="1"/>
    <xf numFmtId="49" fontId="14" fillId="20" borderId="0" xfId="5" applyNumberFormat="1" applyFont="1" applyFill="1" applyBorder="1" applyAlignment="1">
      <alignment horizontal="center"/>
    </xf>
    <xf numFmtId="0" fontId="14" fillId="0" borderId="51" xfId="2" applyFont="1" applyBorder="1" applyAlignment="1">
      <alignment horizontal="center" vertical="center"/>
    </xf>
    <xf numFmtId="0" fontId="14" fillId="0" borderId="19" xfId="2" applyFont="1" applyBorder="1" applyAlignment="1">
      <alignment horizontal="center" vertical="center"/>
    </xf>
    <xf numFmtId="0" fontId="14" fillId="0" borderId="23" xfId="2" applyFont="1" applyBorder="1" applyAlignment="1">
      <alignment horizontal="center" vertical="center"/>
    </xf>
    <xf numFmtId="0" fontId="14" fillId="0" borderId="52" xfId="2" applyFont="1" applyBorder="1" applyAlignment="1">
      <alignment horizontal="center" vertical="center"/>
    </xf>
    <xf numFmtId="0" fontId="14" fillId="0" borderId="22" xfId="2" applyFont="1" applyBorder="1" applyAlignment="1">
      <alignment horizontal="center" vertical="center"/>
    </xf>
    <xf numFmtId="164" fontId="14" fillId="0" borderId="22" xfId="2" applyNumberFormat="1" applyFont="1" applyBorder="1" applyAlignment="1">
      <alignment horizontal="center" vertical="center"/>
    </xf>
    <xf numFmtId="0" fontId="14" fillId="0" borderId="53" xfId="2" applyFont="1" applyBorder="1" applyAlignment="1">
      <alignment horizontal="center" vertical="center"/>
    </xf>
    <xf numFmtId="0" fontId="25" fillId="2" borderId="54" xfId="2" applyFont="1" applyFill="1" applyBorder="1" applyAlignment="1">
      <alignment horizontal="center" vertical="center" wrapText="1"/>
    </xf>
    <xf numFmtId="0" fontId="25" fillId="2" borderId="55" xfId="2" applyFont="1" applyFill="1" applyBorder="1" applyAlignment="1">
      <alignment horizontal="center" vertical="center" wrapText="1"/>
    </xf>
    <xf numFmtId="0" fontId="25" fillId="3" borderId="54" xfId="2" applyFont="1" applyFill="1" applyBorder="1" applyAlignment="1">
      <alignment horizontal="center" vertical="center" wrapText="1"/>
    </xf>
    <xf numFmtId="0" fontId="25" fillId="3" borderId="55" xfId="2" applyFont="1" applyFill="1" applyBorder="1" applyAlignment="1">
      <alignment horizontal="center" vertical="center" wrapText="1"/>
    </xf>
    <xf numFmtId="0" fontId="7" fillId="14" borderId="56" xfId="2" applyFont="1" applyFill="1" applyBorder="1" applyAlignment="1">
      <alignment horizontal="center" vertical="center" wrapText="1"/>
    </xf>
    <xf numFmtId="49" fontId="14" fillId="21" borderId="0" xfId="5" applyNumberFormat="1" applyFont="1" applyFill="1" applyBorder="1"/>
    <xf numFmtId="49" fontId="14" fillId="0" borderId="0" xfId="5" applyNumberFormat="1" applyFont="1" applyFill="1" applyBorder="1" applyAlignment="1">
      <alignment horizontal="center"/>
    </xf>
    <xf numFmtId="0" fontId="14" fillId="0" borderId="44" xfId="2" applyFont="1" applyFill="1" applyBorder="1" applyAlignment="1">
      <alignment horizontal="center" vertical="center" wrapText="1"/>
    </xf>
    <xf numFmtId="0" fontId="14" fillId="0" borderId="45" xfId="2" applyFont="1" applyFill="1" applyBorder="1" applyAlignment="1">
      <alignment horizontal="center" vertical="center" wrapText="1"/>
    </xf>
    <xf numFmtId="0" fontId="8" fillId="0" borderId="45" xfId="2" applyFont="1" applyBorder="1" applyAlignment="1">
      <alignment horizontal="center" vertical="center" wrapText="1"/>
    </xf>
    <xf numFmtId="0" fontId="14" fillId="0" borderId="45" xfId="2" applyFont="1" applyBorder="1" applyAlignment="1">
      <alignment horizontal="center" vertical="center" wrapText="1"/>
    </xf>
    <xf numFmtId="0" fontId="14" fillId="0" borderId="46" xfId="2" applyFont="1" applyBorder="1" applyAlignment="1">
      <alignment horizontal="center" vertical="center" wrapText="1"/>
    </xf>
    <xf numFmtId="0" fontId="14" fillId="0" borderId="0" xfId="2" applyFont="1" applyFill="1" applyBorder="1" applyAlignment="1">
      <alignment horizontal="center" vertical="center" wrapText="1"/>
    </xf>
    <xf numFmtId="0" fontId="8" fillId="0" borderId="0" xfId="5" applyFont="1" applyBorder="1" applyAlignment="1">
      <alignment horizontal="center" vertical="center" wrapText="1"/>
    </xf>
    <xf numFmtId="0" fontId="8" fillId="0" borderId="4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7" fillId="14" borderId="57" xfId="2" applyFont="1" applyFill="1" applyBorder="1" applyAlignment="1">
      <alignment horizontal="center" vertical="center" wrapText="1"/>
    </xf>
    <xf numFmtId="0" fontId="14" fillId="0" borderId="6" xfId="2" applyFont="1" applyBorder="1" applyAlignment="1">
      <alignment horizontal="center" vertical="center" wrapText="1"/>
    </xf>
    <xf numFmtId="0" fontId="14" fillId="0" borderId="9" xfId="2" applyFont="1" applyBorder="1" applyAlignment="1">
      <alignment horizontal="center" vertical="center" wrapText="1"/>
    </xf>
    <xf numFmtId="0" fontId="14" fillId="2" borderId="0" xfId="2" applyFont="1" applyFill="1"/>
    <xf numFmtId="0" fontId="7" fillId="2" borderId="0" xfId="2" applyFont="1" applyFill="1"/>
    <xf numFmtId="0" fontId="14" fillId="3" borderId="0" xfId="2" applyFont="1" applyFill="1"/>
    <xf numFmtId="0" fontId="7" fillId="3" borderId="0" xfId="2" applyFont="1" applyFill="1"/>
    <xf numFmtId="0" fontId="14" fillId="3" borderId="58" xfId="2" applyFont="1" applyFill="1" applyBorder="1" applyAlignment="1">
      <alignment vertical="center" wrapText="1"/>
    </xf>
    <xf numFmtId="0" fontId="7" fillId="14" borderId="59" xfId="2" applyFont="1" applyFill="1" applyBorder="1" applyAlignment="1">
      <alignment horizontal="center" vertical="center" wrapText="1"/>
    </xf>
    <xf numFmtId="0" fontId="14" fillId="0" borderId="0" xfId="2" applyFont="1" applyBorder="1"/>
    <xf numFmtId="49" fontId="11" fillId="2" borderId="0" xfId="0" applyNumberFormat="1" applyFont="1" applyFill="1" applyBorder="1" applyAlignment="1" applyProtection="1">
      <alignment vertical="top" wrapText="1" readingOrder="1"/>
    </xf>
    <xf numFmtId="0" fontId="25" fillId="0" borderId="2" xfId="2" applyFont="1" applyBorder="1" applyAlignment="1">
      <alignment horizontal="center" vertical="center" wrapText="1"/>
    </xf>
    <xf numFmtId="0" fontId="25" fillId="0" borderId="34" xfId="2" applyFont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14" fillId="0" borderId="65" xfId="2" applyNumberFormat="1" applyFont="1" applyBorder="1" applyAlignment="1">
      <alignment horizontal="center" vertical="center" wrapText="1"/>
    </xf>
    <xf numFmtId="0" fontId="14" fillId="0" borderId="66" xfId="2" applyNumberFormat="1" applyFont="1" applyBorder="1" applyAlignment="1">
      <alignment horizontal="center" vertical="center" wrapText="1"/>
    </xf>
    <xf numFmtId="0" fontId="7" fillId="14" borderId="66" xfId="2" applyNumberFormat="1" applyFont="1" applyFill="1" applyBorder="1" applyAlignment="1">
      <alignment horizontal="center" vertical="center" wrapText="1"/>
    </xf>
    <xf numFmtId="0" fontId="7" fillId="14" borderId="67" xfId="2" applyNumberFormat="1" applyFont="1" applyFill="1" applyBorder="1" applyAlignment="1">
      <alignment horizontal="center" vertical="center" wrapText="1"/>
    </xf>
    <xf numFmtId="0" fontId="12" fillId="0" borderId="0" xfId="0" applyNumberFormat="1" applyFont="1"/>
    <xf numFmtId="0" fontId="41" fillId="0" borderId="70" xfId="4" applyFont="1" applyBorder="1" applyAlignment="1">
      <alignment horizontal="center" vertical="center" wrapText="1"/>
    </xf>
    <xf numFmtId="0" fontId="41" fillId="0" borderId="71" xfId="4" applyFont="1" applyBorder="1" applyAlignment="1">
      <alignment horizontal="center" vertical="center" wrapText="1"/>
    </xf>
    <xf numFmtId="0" fontId="39" fillId="22" borderId="0" xfId="0" applyNumberFormat="1" applyFont="1" applyFill="1" applyBorder="1" applyAlignment="1" applyProtection="1">
      <alignment vertical="top" wrapText="1" readingOrder="1"/>
    </xf>
    <xf numFmtId="0" fontId="39" fillId="22" borderId="1" xfId="0" applyNumberFormat="1" applyFont="1" applyFill="1" applyBorder="1" applyAlignment="1" applyProtection="1">
      <alignment horizontal="center" vertical="center" wrapText="1" readingOrder="1"/>
    </xf>
    <xf numFmtId="0" fontId="40" fillId="22" borderId="1" xfId="0" applyNumberFormat="1" applyFont="1" applyFill="1" applyBorder="1" applyAlignment="1" applyProtection="1">
      <alignment horizontal="center" vertical="center" wrapText="1" readingOrder="1"/>
    </xf>
    <xf numFmtId="0" fontId="40" fillId="22" borderId="1" xfId="0" applyNumberFormat="1" applyFont="1" applyFill="1" applyBorder="1" applyAlignment="1" applyProtection="1">
      <alignment horizontal="center" vertical="top" wrapText="1" readingOrder="1"/>
    </xf>
    <xf numFmtId="0" fontId="6" fillId="22" borderId="1" xfId="0" applyNumberFormat="1" applyFont="1" applyFill="1" applyBorder="1" applyAlignment="1" applyProtection="1">
      <alignment horizontal="center" vertical="center" wrapText="1" readingOrder="1"/>
    </xf>
    <xf numFmtId="0" fontId="41" fillId="22" borderId="20" xfId="1" applyFont="1" applyFill="1" applyBorder="1" applyAlignment="1">
      <alignment horizontal="center" vertical="center"/>
    </xf>
    <xf numFmtId="0" fontId="41" fillId="22" borderId="12" xfId="1" applyFont="1" applyFill="1" applyBorder="1" applyAlignment="1">
      <alignment horizontal="center" vertical="center"/>
    </xf>
    <xf numFmtId="0" fontId="0" fillId="22" borderId="10" xfId="0" applyNumberFormat="1" applyFill="1" applyBorder="1" applyAlignment="1">
      <alignment horizontal="left" vertical="top" wrapText="1"/>
    </xf>
    <xf numFmtId="0" fontId="0" fillId="22" borderId="0" xfId="0" applyNumberFormat="1" applyFill="1" applyBorder="1" applyAlignment="1">
      <alignment horizontal="left" vertical="top" wrapText="1"/>
    </xf>
    <xf numFmtId="0" fontId="0" fillId="22" borderId="0" xfId="0" applyNumberFormat="1" applyFill="1" applyBorder="1"/>
    <xf numFmtId="0" fontId="39" fillId="22" borderId="73" xfId="0" applyNumberFormat="1" applyFont="1" applyFill="1" applyBorder="1" applyAlignment="1" applyProtection="1">
      <alignment horizontal="center" vertical="center" wrapText="1" readingOrder="1"/>
    </xf>
    <xf numFmtId="0" fontId="40" fillId="22" borderId="73" xfId="0" applyNumberFormat="1" applyFont="1" applyFill="1" applyBorder="1" applyAlignment="1" applyProtection="1">
      <alignment horizontal="center" vertical="center" wrapText="1" readingOrder="1"/>
    </xf>
    <xf numFmtId="0" fontId="39" fillId="22" borderId="10" xfId="0" applyNumberFormat="1" applyFont="1" applyFill="1" applyBorder="1" applyAlignment="1" applyProtection="1">
      <alignment vertical="top" wrapText="1" readingOrder="1"/>
    </xf>
    <xf numFmtId="0" fontId="0" fillId="0" borderId="70" xfId="0" applyNumberFormat="1" applyBorder="1" applyAlignment="1">
      <alignment horizontal="center"/>
    </xf>
    <xf numFmtId="0" fontId="41" fillId="0" borderId="27" xfId="4" applyFont="1" applyBorder="1" applyAlignment="1">
      <alignment horizontal="center" vertical="center" wrapText="1"/>
    </xf>
    <xf numFmtId="0" fontId="41" fillId="0" borderId="74" xfId="4" applyFont="1" applyBorder="1" applyAlignment="1">
      <alignment horizontal="center" vertical="center" wrapText="1"/>
    </xf>
    <xf numFmtId="0" fontId="14" fillId="0" borderId="0" xfId="0" applyNumberFormat="1" applyFont="1" applyAlignment="1">
      <alignment horizontal="center" vertical="center"/>
    </xf>
    <xf numFmtId="0" fontId="14" fillId="0" borderId="0" xfId="0" applyNumberFormat="1" applyFont="1"/>
    <xf numFmtId="0" fontId="14" fillId="0" borderId="53" xfId="0" applyNumberFormat="1" applyFont="1" applyBorder="1" applyAlignment="1">
      <alignment horizontal="center" vertical="center"/>
    </xf>
    <xf numFmtId="0" fontId="14" fillId="0" borderId="22" xfId="0" applyNumberFormat="1" applyFont="1" applyBorder="1" applyAlignment="1">
      <alignment horizontal="center" vertical="center"/>
    </xf>
    <xf numFmtId="0" fontId="14" fillId="0" borderId="52" xfId="0" applyNumberFormat="1" applyFont="1" applyBorder="1" applyAlignment="1">
      <alignment horizontal="center" vertical="center"/>
    </xf>
    <xf numFmtId="0" fontId="14" fillId="0" borderId="20" xfId="0" applyNumberFormat="1" applyFont="1" applyBorder="1" applyAlignment="1">
      <alignment horizontal="center" vertical="center"/>
    </xf>
    <xf numFmtId="0" fontId="14" fillId="0" borderId="12" xfId="0" applyNumberFormat="1" applyFont="1" applyBorder="1" applyAlignment="1">
      <alignment horizontal="center" vertical="center"/>
    </xf>
    <xf numFmtId="0" fontId="14" fillId="0" borderId="20" xfId="0" applyNumberFormat="1" applyFont="1" applyFill="1" applyBorder="1" applyAlignment="1">
      <alignment horizontal="center" vertical="center"/>
    </xf>
    <xf numFmtId="0" fontId="42" fillId="0" borderId="0" xfId="0" applyNumberFormat="1" applyFont="1"/>
    <xf numFmtId="0" fontId="42" fillId="0" borderId="0" xfId="0" applyNumberFormat="1" applyFont="1" applyAlignment="1">
      <alignment horizontal="center" vertical="center"/>
    </xf>
    <xf numFmtId="0" fontId="14" fillId="0" borderId="0" xfId="0" applyNumberFormat="1" applyFont="1" applyAlignment="1">
      <alignment horizontal="center"/>
    </xf>
    <xf numFmtId="0" fontId="14" fillId="0" borderId="65" xfId="2" applyFont="1" applyBorder="1" applyAlignment="1">
      <alignment horizontal="center" vertical="center" wrapText="1"/>
    </xf>
    <xf numFmtId="0" fontId="14" fillId="0" borderId="66" xfId="2" applyFont="1" applyBorder="1" applyAlignment="1">
      <alignment horizontal="center" vertical="center" wrapText="1"/>
    </xf>
    <xf numFmtId="0" fontId="8" fillId="0" borderId="66" xfId="2" applyFont="1" applyBorder="1" applyAlignment="1">
      <alignment horizontal="center" vertical="center" wrapText="1"/>
    </xf>
    <xf numFmtId="0" fontId="14" fillId="0" borderId="66" xfId="2" applyFont="1" applyFill="1" applyBorder="1" applyAlignment="1">
      <alignment horizontal="center" vertical="center" wrapText="1"/>
    </xf>
    <xf numFmtId="0" fontId="14" fillId="0" borderId="67" xfId="2" applyFont="1" applyFill="1" applyBorder="1" applyAlignment="1">
      <alignment horizontal="center" vertical="center" wrapText="1"/>
    </xf>
    <xf numFmtId="164" fontId="14" fillId="0" borderId="12" xfId="0" applyNumberFormat="1" applyFont="1" applyBorder="1" applyAlignment="1">
      <alignment horizontal="center" vertical="center"/>
    </xf>
    <xf numFmtId="164" fontId="14" fillId="0" borderId="2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 wrapText="1"/>
    </xf>
    <xf numFmtId="0" fontId="14" fillId="0" borderId="63" xfId="2" applyFont="1" applyBorder="1" applyAlignment="1">
      <alignment horizontal="center" vertical="center" wrapText="1"/>
    </xf>
    <xf numFmtId="0" fontId="31" fillId="0" borderId="0" xfId="2" applyFont="1" applyBorder="1" applyAlignment="1">
      <alignment horizontal="center" vertical="center" wrapText="1"/>
    </xf>
    <xf numFmtId="0" fontId="19" fillId="0" borderId="45" xfId="2" applyNumberFormat="1" applyFont="1" applyFill="1" applyBorder="1" applyAlignment="1" applyProtection="1">
      <alignment horizontal="center" vertical="center"/>
    </xf>
    <xf numFmtId="0" fontId="19" fillId="0" borderId="44" xfId="2" applyNumberFormat="1" applyFont="1" applyFill="1" applyBorder="1" applyAlignment="1" applyProtection="1">
      <alignment horizontal="center" vertical="center"/>
    </xf>
    <xf numFmtId="0" fontId="43" fillId="0" borderId="62" xfId="2" applyFont="1" applyFill="1" applyBorder="1"/>
    <xf numFmtId="0" fontId="44" fillId="0" borderId="61" xfId="2" applyNumberFormat="1" applyFont="1" applyFill="1" applyBorder="1" applyAlignment="1" applyProtection="1">
      <alignment horizontal="center" vertical="center"/>
    </xf>
    <xf numFmtId="0" fontId="21" fillId="0" borderId="78" xfId="2" applyNumberFormat="1" applyFont="1" applyFill="1" applyBorder="1" applyAlignment="1" applyProtection="1">
      <alignment horizontal="center" vertical="center"/>
    </xf>
    <xf numFmtId="0" fontId="18" fillId="0" borderId="63" xfId="3" applyNumberFormat="1" applyFont="1" applyFill="1" applyBorder="1" applyAlignment="1" applyProtection="1">
      <alignment horizontal="center" vertical="center"/>
    </xf>
    <xf numFmtId="0" fontId="3" fillId="0" borderId="34" xfId="2" applyFont="1" applyBorder="1"/>
    <xf numFmtId="0" fontId="18" fillId="0" borderId="70" xfId="2" applyNumberFormat="1" applyFont="1" applyFill="1" applyBorder="1" applyAlignment="1" applyProtection="1">
      <alignment horizontal="center" vertical="top"/>
    </xf>
    <xf numFmtId="0" fontId="18" fillId="0" borderId="72" xfId="2" applyNumberFormat="1" applyFont="1" applyFill="1" applyBorder="1" applyAlignment="1" applyProtection="1">
      <alignment horizontal="center" vertical="top"/>
    </xf>
    <xf numFmtId="164" fontId="14" fillId="0" borderId="70" xfId="0" applyNumberFormat="1" applyFont="1" applyBorder="1" applyAlignment="1">
      <alignment horizontal="center" vertical="center"/>
    </xf>
    <xf numFmtId="164" fontId="14" fillId="0" borderId="52" xfId="0" applyNumberFormat="1" applyFont="1" applyBorder="1" applyAlignment="1">
      <alignment horizontal="center" vertical="center"/>
    </xf>
    <xf numFmtId="164" fontId="14" fillId="0" borderId="47" xfId="0" applyNumberFormat="1" applyFont="1" applyBorder="1" applyAlignment="1">
      <alignment horizontal="center" vertical="center"/>
    </xf>
    <xf numFmtId="164" fontId="14" fillId="0" borderId="53" xfId="0" applyNumberFormat="1" applyFont="1" applyBorder="1" applyAlignment="1">
      <alignment horizontal="center" vertical="center"/>
    </xf>
    <xf numFmtId="164" fontId="14" fillId="0" borderId="20" xfId="0" applyNumberFormat="1" applyFont="1" applyBorder="1" applyAlignment="1">
      <alignment horizontal="center" vertical="center"/>
    </xf>
    <xf numFmtId="0" fontId="14" fillId="0" borderId="2" xfId="2" applyFont="1" applyFill="1" applyBorder="1" applyAlignment="1">
      <alignment horizontal="center" vertical="center" wrapText="1"/>
    </xf>
    <xf numFmtId="164" fontId="14" fillId="0" borderId="80" xfId="0" applyNumberFormat="1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14" fillId="0" borderId="75" xfId="0" applyNumberFormat="1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14" fillId="0" borderId="69" xfId="0" applyNumberFormat="1" applyFont="1" applyBorder="1" applyAlignment="1">
      <alignment horizontal="center" vertical="center"/>
    </xf>
    <xf numFmtId="0" fontId="44" fillId="0" borderId="79" xfId="3" applyNumberFormat="1" applyFont="1" applyFill="1" applyBorder="1" applyAlignment="1" applyProtection="1">
      <alignment horizontal="center" vertical="center" wrapText="1"/>
    </xf>
    <xf numFmtId="0" fontId="44" fillId="0" borderId="76" xfId="3" applyNumberFormat="1" applyFont="1" applyFill="1" applyBorder="1" applyAlignment="1" applyProtection="1">
      <alignment horizontal="center" vertical="center" wrapText="1"/>
    </xf>
    <xf numFmtId="0" fontId="44" fillId="0" borderId="77" xfId="3" applyNumberFormat="1" applyFont="1" applyFill="1" applyBorder="1" applyAlignment="1" applyProtection="1">
      <alignment horizontal="center" vertical="center" wrapText="1"/>
    </xf>
    <xf numFmtId="0" fontId="44" fillId="0" borderId="60" xfId="2" applyNumberFormat="1" applyFont="1" applyFill="1" applyBorder="1" applyAlignment="1" applyProtection="1">
      <alignment horizontal="center" vertical="center"/>
    </xf>
    <xf numFmtId="0" fontId="44" fillId="0" borderId="68" xfId="2" applyNumberFormat="1" applyFont="1" applyFill="1" applyBorder="1" applyAlignment="1" applyProtection="1">
      <alignment horizontal="right"/>
    </xf>
    <xf numFmtId="0" fontId="44" fillId="0" borderId="19" xfId="2" applyNumberFormat="1" applyFont="1" applyFill="1" applyBorder="1" applyAlignment="1" applyProtection="1">
      <alignment horizontal="right"/>
    </xf>
    <xf numFmtId="0" fontId="44" fillId="0" borderId="51" xfId="2" applyNumberFormat="1" applyFont="1" applyFill="1" applyBorder="1" applyAlignment="1" applyProtection="1">
      <alignment horizontal="right"/>
    </xf>
    <xf numFmtId="0" fontId="44" fillId="0" borderId="64" xfId="2" applyNumberFormat="1" applyFont="1" applyFill="1" applyBorder="1" applyAlignment="1" applyProtection="1">
      <alignment horizontal="right"/>
    </xf>
    <xf numFmtId="0" fontId="44" fillId="0" borderId="15" xfId="2" applyNumberFormat="1" applyFont="1" applyFill="1" applyBorder="1" applyAlignment="1" applyProtection="1">
      <alignment horizontal="right"/>
    </xf>
    <xf numFmtId="0" fontId="44" fillId="0" borderId="16" xfId="2" applyNumberFormat="1" applyFont="1" applyFill="1" applyBorder="1" applyAlignment="1" applyProtection="1">
      <alignment horizontal="right"/>
    </xf>
    <xf numFmtId="0" fontId="14" fillId="0" borderId="0" xfId="0" applyNumberFormat="1" applyFont="1" applyBorder="1" applyAlignment="1">
      <alignment horizontal="center" vertical="center"/>
    </xf>
    <xf numFmtId="0" fontId="14" fillId="0" borderId="46" xfId="0" applyNumberFormat="1" applyFont="1" applyBorder="1" applyAlignment="1">
      <alignment horizontal="center" vertical="center" wrapText="1"/>
    </xf>
    <xf numFmtId="0" fontId="14" fillId="0" borderId="44" xfId="0" applyNumberFormat="1" applyFont="1" applyBorder="1" applyAlignment="1">
      <alignment horizontal="center" vertical="center"/>
    </xf>
    <xf numFmtId="0" fontId="29" fillId="0" borderId="63" xfId="2" applyFont="1" applyBorder="1" applyAlignment="1">
      <alignment vertical="center"/>
    </xf>
    <xf numFmtId="0" fontId="27" fillId="0" borderId="34" xfId="2" applyFont="1" applyBorder="1" applyAlignment="1">
      <alignment vertical="center"/>
    </xf>
    <xf numFmtId="0" fontId="27" fillId="0" borderId="3" xfId="2" applyFont="1" applyBorder="1" applyAlignment="1">
      <alignment vertical="center"/>
    </xf>
    <xf numFmtId="0" fontId="14" fillId="0" borderId="0" xfId="2" applyFont="1" applyBorder="1" applyAlignment="1">
      <alignment horizontal="center" vertical="center" wrapText="1"/>
    </xf>
    <xf numFmtId="0" fontId="14" fillId="0" borderId="66" xfId="0" applyNumberFormat="1" applyFont="1" applyBorder="1" applyAlignment="1">
      <alignment horizontal="center" vertical="center"/>
    </xf>
    <xf numFmtId="0" fontId="14" fillId="0" borderId="67" xfId="0" applyNumberFormat="1" applyFont="1" applyBorder="1" applyAlignment="1">
      <alignment horizontal="center" vertical="center"/>
    </xf>
    <xf numFmtId="0" fontId="27" fillId="0" borderId="63" xfId="2" applyFont="1" applyBorder="1" applyAlignment="1">
      <alignment vertical="center"/>
    </xf>
    <xf numFmtId="0" fontId="25" fillId="0" borderId="63" xfId="2" applyFont="1" applyBorder="1" applyAlignment="1">
      <alignment horizontal="center" vertical="center" wrapText="1"/>
    </xf>
    <xf numFmtId="0" fontId="31" fillId="0" borderId="81" xfId="2" applyFont="1" applyBorder="1" applyAlignment="1">
      <alignment horizontal="center" vertical="center" wrapText="1"/>
    </xf>
    <xf numFmtId="0" fontId="31" fillId="0" borderId="82" xfId="2" applyFont="1" applyBorder="1" applyAlignment="1">
      <alignment horizontal="center" vertical="center" wrapText="1"/>
    </xf>
    <xf numFmtId="0" fontId="31" fillId="0" borderId="2" xfId="2" applyFont="1" applyBorder="1" applyAlignment="1">
      <alignment horizontal="center" vertical="center" wrapText="1"/>
    </xf>
    <xf numFmtId="0" fontId="25" fillId="0" borderId="60" xfId="2" applyFont="1" applyBorder="1" applyAlignment="1">
      <alignment horizontal="center" vertical="center" wrapText="1"/>
    </xf>
    <xf numFmtId="0" fontId="14" fillId="5" borderId="52" xfId="0" applyNumberFormat="1" applyFont="1" applyFill="1" applyBorder="1" applyAlignment="1">
      <alignment horizontal="center" vertical="center"/>
    </xf>
    <xf numFmtId="0" fontId="14" fillId="5" borderId="47" xfId="0" applyNumberFormat="1" applyFont="1" applyFill="1" applyBorder="1" applyAlignment="1">
      <alignment horizontal="center" vertical="center"/>
    </xf>
    <xf numFmtId="0" fontId="5" fillId="22" borderId="0" xfId="0" applyNumberFormat="1" applyFont="1" applyFill="1" applyBorder="1" applyAlignment="1" applyProtection="1">
      <alignment vertical="top" wrapText="1" readingOrder="1"/>
    </xf>
    <xf numFmtId="0" fontId="5" fillId="22" borderId="10" xfId="0" applyNumberFormat="1" applyFont="1" applyFill="1" applyBorder="1" applyAlignment="1" applyProtection="1">
      <alignment vertical="top" wrapText="1" readingOrder="1"/>
    </xf>
    <xf numFmtId="0" fontId="45" fillId="22" borderId="2" xfId="3" applyNumberFormat="1" applyFont="1" applyFill="1" applyBorder="1" applyAlignment="1" applyProtection="1">
      <alignment horizontal="center" vertical="center"/>
    </xf>
    <xf numFmtId="0" fontId="45" fillId="0" borderId="2" xfId="3" applyNumberFormat="1" applyFont="1" applyFill="1" applyBorder="1" applyAlignment="1" applyProtection="1">
      <alignment horizontal="center" vertical="center"/>
    </xf>
    <xf numFmtId="0" fontId="45" fillId="0" borderId="4" xfId="3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Alignment="1">
      <alignment horizontal="center" vertical="center"/>
    </xf>
    <xf numFmtId="0" fontId="46" fillId="0" borderId="0" xfId="1" applyNumberFormat="1" applyFont="1" applyBorder="1" applyAlignment="1">
      <alignment horizontal="center" vertical="center"/>
    </xf>
    <xf numFmtId="0" fontId="8" fillId="0" borderId="4" xfId="0" applyNumberFormat="1" applyFont="1" applyFill="1" applyBorder="1" applyAlignment="1">
      <alignment horizontal="center" vertical="center" wrapText="1"/>
    </xf>
    <xf numFmtId="0" fontId="8" fillId="0" borderId="13" xfId="0" applyNumberFormat="1" applyFont="1" applyBorder="1" applyAlignment="1">
      <alignment horizontal="center" vertical="center" wrapText="1"/>
    </xf>
    <xf numFmtId="0" fontId="14" fillId="0" borderId="12" xfId="0" applyNumberFormat="1" applyFont="1" applyFill="1" applyBorder="1" applyAlignment="1">
      <alignment horizontal="center" vertical="center"/>
    </xf>
    <xf numFmtId="0" fontId="46" fillId="22" borderId="12" xfId="0" applyNumberFormat="1" applyFont="1" applyFill="1" applyBorder="1" applyAlignment="1">
      <alignment horizontal="center" vertical="center"/>
    </xf>
    <xf numFmtId="0" fontId="46" fillId="22" borderId="12" xfId="1" applyNumberFormat="1" applyFont="1" applyFill="1" applyBorder="1" applyAlignment="1">
      <alignment horizontal="center" vertical="center"/>
    </xf>
    <xf numFmtId="0" fontId="47" fillId="0" borderId="0" xfId="0" applyNumberFormat="1" applyFont="1" applyAlignment="1">
      <alignment horizontal="center" vertical="center"/>
    </xf>
    <xf numFmtId="0" fontId="47" fillId="0" borderId="12" xfId="0" applyNumberFormat="1" applyFont="1" applyBorder="1" applyAlignment="1">
      <alignment horizontal="center" vertical="center" wrapText="1"/>
    </xf>
    <xf numFmtId="0" fontId="47" fillId="0" borderId="12" xfId="0" applyNumberFormat="1" applyFont="1" applyBorder="1" applyAlignment="1">
      <alignment horizontal="center" vertical="center"/>
    </xf>
    <xf numFmtId="0" fontId="48" fillId="0" borderId="0" xfId="0" applyNumberFormat="1" applyFont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 wrapText="1"/>
    </xf>
    <xf numFmtId="0" fontId="14" fillId="0" borderId="0" xfId="0" applyNumberFormat="1" applyFont="1" applyAlignment="1">
      <alignment horizontal="center" vertical="center" wrapText="1"/>
    </xf>
    <xf numFmtId="0" fontId="7" fillId="0" borderId="0" xfId="2" applyFont="1" applyBorder="1" applyAlignment="1">
      <alignment horizontal="center" vertical="center" wrapText="1"/>
    </xf>
    <xf numFmtId="49" fontId="14" fillId="0" borderId="0" xfId="5" applyNumberFormat="1" applyFont="1" applyFill="1" applyBorder="1" applyAlignment="1">
      <alignment horizontal="center" vertical="center"/>
    </xf>
    <xf numFmtId="49" fontId="14" fillId="21" borderId="0" xfId="5" applyNumberFormat="1" applyFont="1" applyFill="1" applyBorder="1" applyAlignment="1">
      <alignment horizontal="center" vertical="center"/>
    </xf>
    <xf numFmtId="49" fontId="14" fillId="20" borderId="0" xfId="5" applyNumberFormat="1" applyFont="1" applyFill="1" applyBorder="1" applyAlignment="1">
      <alignment horizontal="center" vertical="center"/>
    </xf>
    <xf numFmtId="49" fontId="14" fillId="19" borderId="0" xfId="5" applyNumberFormat="1" applyFont="1" applyFill="1" applyBorder="1" applyAlignment="1">
      <alignment horizontal="center" vertical="center"/>
    </xf>
    <xf numFmtId="49" fontId="14" fillId="18" borderId="0" xfId="5" applyNumberFormat="1" applyFont="1" applyFill="1" applyBorder="1" applyAlignment="1">
      <alignment horizontal="center" vertical="center"/>
    </xf>
    <xf numFmtId="49" fontId="14" fillId="17" borderId="0" xfId="5" applyNumberFormat="1" applyFont="1" applyFill="1" applyBorder="1" applyAlignment="1">
      <alignment horizontal="center" vertical="center"/>
    </xf>
    <xf numFmtId="49" fontId="15" fillId="16" borderId="0" xfId="5" applyNumberFormat="1" applyFont="1" applyFill="1" applyBorder="1" applyAlignment="1">
      <alignment horizontal="center" vertical="center"/>
    </xf>
    <xf numFmtId="49" fontId="14" fillId="5" borderId="0" xfId="5" applyNumberFormat="1" applyFont="1" applyFill="1" applyBorder="1" applyAlignment="1">
      <alignment horizontal="center" vertical="center"/>
    </xf>
    <xf numFmtId="49" fontId="14" fillId="15" borderId="0" xfId="5" applyNumberFormat="1" applyFont="1" applyFill="1" applyBorder="1" applyAlignment="1">
      <alignment horizontal="center" vertical="center"/>
    </xf>
    <xf numFmtId="0" fontId="39" fillId="22" borderId="83" xfId="0" applyNumberFormat="1" applyFont="1" applyFill="1" applyBorder="1" applyAlignment="1" applyProtection="1">
      <alignment horizontal="center" vertical="center" wrapText="1" readingOrder="1"/>
    </xf>
    <xf numFmtId="0" fontId="40" fillId="22" borderId="83" xfId="0" applyNumberFormat="1" applyFont="1" applyFill="1" applyBorder="1" applyAlignment="1" applyProtection="1">
      <alignment horizontal="center" vertical="center" wrapText="1" readingOrder="1"/>
    </xf>
    <xf numFmtId="0" fontId="7" fillId="14" borderId="84" xfId="2" applyNumberFormat="1" applyFont="1" applyFill="1" applyBorder="1" applyAlignment="1">
      <alignment horizontal="center" vertical="center" wrapText="1"/>
    </xf>
    <xf numFmtId="0" fontId="14" fillId="0" borderId="80" xfId="0" applyNumberFormat="1" applyFont="1" applyBorder="1" applyAlignment="1">
      <alignment horizontal="center" vertical="center"/>
    </xf>
    <xf numFmtId="0" fontId="39" fillId="22" borderId="0" xfId="0" applyNumberFormat="1" applyFont="1" applyFill="1" applyBorder="1" applyAlignment="1" applyProtection="1">
      <alignment horizontal="center" vertical="center" wrapText="1" readingOrder="1"/>
    </xf>
    <xf numFmtId="0" fontId="40" fillId="22" borderId="0" xfId="0" applyNumberFormat="1" applyFont="1" applyFill="1" applyBorder="1" applyAlignment="1" applyProtection="1">
      <alignment horizontal="center" vertical="top" wrapText="1" readingOrder="1"/>
    </xf>
    <xf numFmtId="0" fontId="40" fillId="22" borderId="0" xfId="0" applyNumberFormat="1" applyFont="1" applyFill="1" applyBorder="1" applyAlignment="1" applyProtection="1">
      <alignment horizontal="center" vertical="center" wrapText="1" readingOrder="1"/>
    </xf>
    <xf numFmtId="0" fontId="45" fillId="0" borderId="0" xfId="3" applyNumberFormat="1" applyFont="1" applyFill="1" applyBorder="1" applyAlignment="1" applyProtection="1">
      <alignment horizontal="center" vertical="center"/>
    </xf>
    <xf numFmtId="164" fontId="14" fillId="0" borderId="0" xfId="0" applyNumberFormat="1" applyFont="1" applyBorder="1" applyAlignment="1">
      <alignment horizontal="center" vertical="center"/>
    </xf>
    <xf numFmtId="0" fontId="25" fillId="0" borderId="0" xfId="2" applyFont="1" applyBorder="1" applyAlignment="1">
      <alignment horizontal="center" vertical="center" wrapText="1"/>
    </xf>
    <xf numFmtId="0" fontId="19" fillId="0" borderId="0" xfId="2" applyNumberFormat="1" applyFont="1" applyFill="1" applyBorder="1" applyAlignment="1" applyProtection="1">
      <alignment horizontal="center" vertical="center"/>
    </xf>
    <xf numFmtId="0" fontId="44" fillId="0" borderId="0" xfId="3" applyNumberFormat="1" applyFont="1" applyFill="1" applyBorder="1" applyAlignment="1" applyProtection="1">
      <alignment horizontal="center" vertical="center" wrapText="1"/>
    </xf>
    <xf numFmtId="0" fontId="44" fillId="0" borderId="0" xfId="2" applyNumberFormat="1" applyFont="1" applyFill="1" applyBorder="1" applyAlignment="1" applyProtection="1">
      <alignment horizontal="center" vertical="center"/>
    </xf>
    <xf numFmtId="0" fontId="44" fillId="0" borderId="0" xfId="2" applyNumberFormat="1" applyFont="1" applyFill="1" applyBorder="1" applyAlignment="1" applyProtection="1">
      <alignment horizontal="right"/>
    </xf>
    <xf numFmtId="0" fontId="40" fillId="22" borderId="10" xfId="0" applyNumberFormat="1" applyFont="1" applyFill="1" applyBorder="1" applyAlignment="1" applyProtection="1">
      <alignment horizontal="center" vertical="center" wrapText="1" readingOrder="1"/>
    </xf>
    <xf numFmtId="0" fontId="0" fillId="0" borderId="0" xfId="0" applyNumberFormat="1" applyBorder="1" applyAlignment="1">
      <alignment horizontal="center"/>
    </xf>
    <xf numFmtId="0" fontId="41" fillId="0" borderId="0" xfId="4" applyFont="1" applyBorder="1" applyAlignment="1">
      <alignment horizontal="center" vertical="center" wrapText="1"/>
    </xf>
    <xf numFmtId="0" fontId="12" fillId="0" borderId="0" xfId="0" applyNumberFormat="1" applyFont="1" applyBorder="1"/>
    <xf numFmtId="0" fontId="12" fillId="0" borderId="0" xfId="0" applyNumberFormat="1" applyFont="1" applyFill="1" applyBorder="1"/>
    <xf numFmtId="0" fontId="39" fillId="0" borderId="0" xfId="0" applyNumberFormat="1" applyFont="1" applyFill="1" applyBorder="1" applyAlignment="1" applyProtection="1">
      <alignment horizontal="center" vertical="center" wrapText="1" readingOrder="1"/>
    </xf>
    <xf numFmtId="0" fontId="0" fillId="22" borderId="0" xfId="0" applyFill="1" applyAlignment="1">
      <alignment horizontal="left" vertical="top" wrapText="1"/>
    </xf>
    <xf numFmtId="0" fontId="0" fillId="23" borderId="0" xfId="0" applyFill="1"/>
    <xf numFmtId="0" fontId="8" fillId="0" borderId="4" xfId="0" applyNumberFormat="1" applyFont="1" applyBorder="1" applyAlignment="1">
      <alignment horizontal="center" vertical="center" wrapText="1"/>
    </xf>
    <xf numFmtId="0" fontId="8" fillId="0" borderId="5" xfId="0" applyNumberFormat="1" applyFont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/>
    </xf>
    <xf numFmtId="0" fontId="38" fillId="22" borderId="0" xfId="7" applyFill="1">
      <alignment horizontal="left" vertical="top" wrapText="1"/>
    </xf>
    <xf numFmtId="0" fontId="55" fillId="14" borderId="46" xfId="0" applyFont="1" applyFill="1" applyBorder="1" applyAlignment="1">
      <alignment horizontal="center" vertical="center" wrapText="1"/>
    </xf>
    <xf numFmtId="0" fontId="55" fillId="14" borderId="45" xfId="0" applyFont="1" applyFill="1" applyBorder="1" applyAlignment="1">
      <alignment horizontal="center" vertical="center" wrapText="1"/>
    </xf>
    <xf numFmtId="0" fontId="55" fillId="14" borderId="44" xfId="0" applyFont="1" applyFill="1" applyBorder="1" applyAlignment="1">
      <alignment horizontal="center" vertical="center" wrapText="1"/>
    </xf>
    <xf numFmtId="0" fontId="25" fillId="0" borderId="0" xfId="10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/>
    </xf>
    <xf numFmtId="0" fontId="27" fillId="0" borderId="0" xfId="0" applyNumberFormat="1" applyFont="1" applyBorder="1" applyAlignment="1">
      <alignment horizontal="center" vertical="center"/>
    </xf>
    <xf numFmtId="0" fontId="55" fillId="14" borderId="46" xfId="26" applyFont="1" applyFill="1" applyBorder="1" applyAlignment="1">
      <alignment horizontal="center" vertical="center" wrapText="1"/>
    </xf>
    <xf numFmtId="0" fontId="55" fillId="14" borderId="44" xfId="26" applyFont="1" applyFill="1" applyBorder="1" applyAlignment="1">
      <alignment horizontal="center" vertical="center" wrapText="1"/>
    </xf>
    <xf numFmtId="0" fontId="29" fillId="14" borderId="23" xfId="0" applyFont="1" applyFill="1" applyBorder="1" applyAlignment="1">
      <alignment horizontal="center" vertical="center" wrapText="1"/>
    </xf>
    <xf numFmtId="0" fontId="29" fillId="14" borderId="19" xfId="0" applyFont="1" applyFill="1" applyBorder="1" applyAlignment="1">
      <alignment horizontal="center" vertical="center" wrapText="1"/>
    </xf>
    <xf numFmtId="0" fontId="29" fillId="14" borderId="51" xfId="0" applyFont="1" applyFill="1" applyBorder="1" applyAlignment="1">
      <alignment horizontal="center" vertical="center" wrapText="1"/>
    </xf>
    <xf numFmtId="0" fontId="2" fillId="0" borderId="0" xfId="10" applyAlignment="1">
      <alignment horizontal="center" vertical="center"/>
    </xf>
    <xf numFmtId="2" fontId="57" fillId="0" borderId="52" xfId="0" applyNumberFormat="1" applyFont="1" applyBorder="1" applyAlignment="1">
      <alignment horizontal="center" vertical="center"/>
    </xf>
    <xf numFmtId="1" fontId="29" fillId="14" borderId="53" xfId="26" applyNumberFormat="1" applyFont="1" applyFill="1" applyBorder="1" applyAlignment="1">
      <alignment horizontal="center" vertical="center" wrapText="1"/>
    </xf>
    <xf numFmtId="1" fontId="29" fillId="14" borderId="52" xfId="26" applyNumberFormat="1" applyFont="1" applyFill="1" applyBorder="1" applyAlignment="1">
      <alignment horizontal="center" vertical="center" wrapText="1"/>
    </xf>
    <xf numFmtId="0" fontId="29" fillId="14" borderId="20" xfId="0" applyFont="1" applyFill="1" applyBorder="1" applyAlignment="1">
      <alignment horizontal="center" vertical="center" wrapText="1"/>
    </xf>
    <xf numFmtId="0" fontId="29" fillId="14" borderId="12" xfId="0" applyFont="1" applyFill="1" applyBorder="1" applyAlignment="1">
      <alignment horizontal="center" vertical="center" wrapText="1"/>
    </xf>
    <xf numFmtId="2" fontId="57" fillId="0" borderId="47" xfId="0" applyNumberFormat="1" applyFont="1" applyBorder="1" applyAlignment="1">
      <alignment horizontal="center" vertical="center"/>
    </xf>
    <xf numFmtId="1" fontId="29" fillId="14" borderId="20" xfId="26" applyNumberFormat="1" applyFont="1" applyFill="1" applyBorder="1" applyAlignment="1">
      <alignment horizontal="center" vertical="center" wrapText="1"/>
    </xf>
    <xf numFmtId="1" fontId="29" fillId="14" borderId="47" xfId="26" applyNumberFormat="1" applyFont="1" applyFill="1" applyBorder="1" applyAlignment="1">
      <alignment horizontal="center" vertical="center" wrapText="1"/>
    </xf>
    <xf numFmtId="2" fontId="57" fillId="0" borderId="16" xfId="0" applyNumberFormat="1" applyFont="1" applyBorder="1" applyAlignment="1">
      <alignment horizontal="center" vertical="center"/>
    </xf>
    <xf numFmtId="0" fontId="42" fillId="0" borderId="12" xfId="0" applyNumberFormat="1" applyFont="1" applyBorder="1" applyAlignment="1">
      <alignment horizontal="center" vertical="center" wrapText="1"/>
    </xf>
    <xf numFmtId="0" fontId="0" fillId="0" borderId="12" xfId="0" applyNumberFormat="1" applyBorder="1" applyAlignment="1">
      <alignment horizontal="center" vertical="center"/>
    </xf>
    <xf numFmtId="0" fontId="0" fillId="0" borderId="47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60" fillId="0" borderId="0" xfId="0" applyNumberFormat="1" applyFont="1" applyAlignment="1">
      <alignment horizontal="center" vertical="center"/>
    </xf>
    <xf numFmtId="0" fontId="54" fillId="0" borderId="0" xfId="26"/>
    <xf numFmtId="1" fontId="0" fillId="0" borderId="20" xfId="0" applyNumberFormat="1" applyBorder="1" applyAlignment="1">
      <alignment horizontal="center" vertical="center"/>
    </xf>
    <xf numFmtId="1" fontId="0" fillId="0" borderId="47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29" fillId="14" borderId="17" xfId="0" applyFont="1" applyFill="1" applyBorder="1" applyAlignment="1">
      <alignment horizontal="center" vertical="center" wrapText="1"/>
    </xf>
    <xf numFmtId="0" fontId="29" fillId="14" borderId="15" xfId="0" applyFont="1" applyFill="1" applyBorder="1" applyAlignment="1">
      <alignment horizontal="center" vertical="center" wrapText="1"/>
    </xf>
    <xf numFmtId="0" fontId="31" fillId="0" borderId="82" xfId="10" applyFont="1" applyBorder="1" applyAlignment="1">
      <alignment horizontal="center" vertical="center" wrapText="1"/>
    </xf>
    <xf numFmtId="0" fontId="25" fillId="0" borderId="60" xfId="10" applyFont="1" applyBorder="1" applyAlignment="1">
      <alignment horizontal="center" vertical="center" wrapText="1"/>
    </xf>
    <xf numFmtId="0" fontId="25" fillId="0" borderId="8" xfId="10" applyFont="1" applyBorder="1" applyAlignment="1">
      <alignment horizontal="center" vertical="center" wrapText="1"/>
    </xf>
    <xf numFmtId="0" fontId="25" fillId="0" borderId="63" xfId="10" applyFont="1" applyBorder="1" applyAlignment="1">
      <alignment horizontal="center" vertical="center" wrapText="1"/>
    </xf>
    <xf numFmtId="0" fontId="25" fillId="0" borderId="2" xfId="10" applyFont="1" applyBorder="1" applyAlignment="1">
      <alignment horizontal="center" vertical="center" wrapText="1"/>
    </xf>
    <xf numFmtId="0" fontId="25" fillId="0" borderId="34" xfId="10" applyFont="1" applyBorder="1" applyAlignment="1">
      <alignment horizontal="center" vertical="center" wrapText="1"/>
    </xf>
    <xf numFmtId="0" fontId="19" fillId="0" borderId="45" xfId="10" applyNumberFormat="1" applyFont="1" applyFill="1" applyBorder="1" applyAlignment="1" applyProtection="1">
      <alignment horizontal="center" vertical="center"/>
    </xf>
    <xf numFmtId="0" fontId="44" fillId="0" borderId="61" xfId="10" applyNumberFormat="1" applyFont="1" applyFill="1" applyBorder="1" applyAlignment="1" applyProtection="1">
      <alignment horizontal="center" vertical="center"/>
    </xf>
    <xf numFmtId="0" fontId="44" fillId="0" borderId="19" xfId="10" applyNumberFormat="1" applyFont="1" applyFill="1" applyBorder="1" applyAlignment="1" applyProtection="1">
      <alignment horizontal="right"/>
    </xf>
    <xf numFmtId="0" fontId="44" fillId="0" borderId="15" xfId="10" applyNumberFormat="1" applyFont="1" applyFill="1" applyBorder="1" applyAlignment="1" applyProtection="1">
      <alignment horizontal="right"/>
    </xf>
    <xf numFmtId="0" fontId="14" fillId="0" borderId="61" xfId="0" applyNumberFormat="1" applyFont="1" applyBorder="1" applyAlignment="1">
      <alignment horizontal="center" vertical="center" wrapText="1"/>
    </xf>
    <xf numFmtId="0" fontId="14" fillId="0" borderId="86" xfId="0" applyNumberFormat="1" applyFont="1" applyBorder="1" applyAlignment="1">
      <alignment horizontal="center" vertical="center" wrapText="1"/>
    </xf>
    <xf numFmtId="0" fontId="14" fillId="0" borderId="44" xfId="0" applyNumberFormat="1" applyFont="1" applyBorder="1" applyAlignment="1">
      <alignment horizontal="center" vertical="center" wrapText="1"/>
    </xf>
    <xf numFmtId="0" fontId="14" fillId="25" borderId="69" xfId="0" applyNumberFormat="1" applyFont="1" applyFill="1" applyBorder="1" applyAlignment="1">
      <alignment horizontal="center" vertical="center"/>
    </xf>
    <xf numFmtId="164" fontId="14" fillId="0" borderId="19" xfId="0" applyNumberFormat="1" applyFont="1" applyFill="1" applyBorder="1" applyAlignment="1">
      <alignment horizontal="center" vertical="center"/>
    </xf>
    <xf numFmtId="0" fontId="14" fillId="0" borderId="19" xfId="0" applyNumberFormat="1" applyFont="1" applyFill="1" applyBorder="1" applyAlignment="1">
      <alignment horizontal="center" vertical="center"/>
    </xf>
    <xf numFmtId="164" fontId="14" fillId="0" borderId="12" xfId="0" applyNumberFormat="1" applyFont="1" applyFill="1" applyBorder="1" applyAlignment="1">
      <alignment horizontal="center" vertical="center"/>
    </xf>
    <xf numFmtId="0" fontId="14" fillId="25" borderId="87" xfId="0" applyNumberFormat="1" applyFont="1" applyFill="1" applyBorder="1" applyAlignment="1">
      <alignment horizontal="center" vertical="center"/>
    </xf>
    <xf numFmtId="164" fontId="14" fillId="0" borderId="15" xfId="0" applyNumberFormat="1" applyFont="1" applyFill="1" applyBorder="1" applyAlignment="1">
      <alignment horizontal="center" vertical="center"/>
    </xf>
    <xf numFmtId="0" fontId="14" fillId="0" borderId="15" xfId="0" applyNumberFormat="1" applyFont="1" applyFill="1" applyBorder="1" applyAlignment="1">
      <alignment horizontal="center" vertical="center"/>
    </xf>
    <xf numFmtId="0" fontId="26" fillId="0" borderId="12" xfId="0" applyNumberFormat="1" applyFont="1" applyBorder="1" applyAlignment="1">
      <alignment horizontal="center" vertical="center" wrapText="1"/>
    </xf>
    <xf numFmtId="164" fontId="57" fillId="0" borderId="12" xfId="0" applyNumberFormat="1" applyFont="1" applyBorder="1" applyAlignment="1">
      <alignment horizontal="center" vertical="center"/>
    </xf>
    <xf numFmtId="0" fontId="31" fillId="0" borderId="0" xfId="0" applyNumberFormat="1" applyFont="1" applyAlignment="1">
      <alignment horizontal="center" vertical="center"/>
    </xf>
    <xf numFmtId="0" fontId="55" fillId="16" borderId="12" xfId="9" applyFont="1" applyFill="1" applyBorder="1" applyAlignment="1">
      <alignment horizontal="center" vertical="center" wrapText="1"/>
    </xf>
    <xf numFmtId="0" fontId="9" fillId="0" borderId="12" xfId="9" applyFont="1" applyFill="1" applyBorder="1" applyAlignment="1">
      <alignment horizontal="center" vertical="center" wrapText="1"/>
    </xf>
    <xf numFmtId="0" fontId="55" fillId="26" borderId="12" xfId="9" applyFont="1" applyFill="1" applyBorder="1" applyAlignment="1">
      <alignment horizontal="center" vertical="center" wrapText="1"/>
    </xf>
    <xf numFmtId="0" fontId="9" fillId="9" borderId="12" xfId="9" applyFont="1" applyFill="1" applyBorder="1" applyAlignment="1">
      <alignment horizontal="center" vertical="center" wrapText="1"/>
    </xf>
    <xf numFmtId="0" fontId="25" fillId="18" borderId="12" xfId="9" applyFont="1" applyFill="1" applyBorder="1" applyAlignment="1">
      <alignment horizontal="center" vertical="center" wrapText="1"/>
    </xf>
    <xf numFmtId="0" fontId="25" fillId="27" borderId="12" xfId="9" applyFont="1" applyFill="1" applyBorder="1" applyAlignment="1">
      <alignment horizontal="center" vertical="center" wrapText="1"/>
    </xf>
    <xf numFmtId="0" fontId="25" fillId="22" borderId="12" xfId="9" applyFont="1" applyFill="1" applyBorder="1" applyAlignment="1">
      <alignment horizontal="center" vertical="center" wrapText="1"/>
    </xf>
    <xf numFmtId="0" fontId="25" fillId="24" borderId="12" xfId="9" applyFont="1" applyFill="1" applyBorder="1" applyAlignment="1">
      <alignment horizontal="center" vertical="center" wrapText="1"/>
    </xf>
    <xf numFmtId="0" fontId="61" fillId="15" borderId="12" xfId="9" applyFont="1" applyFill="1" applyBorder="1" applyAlignment="1">
      <alignment horizontal="center" vertical="center" wrapText="1"/>
    </xf>
    <xf numFmtId="0" fontId="9" fillId="5" borderId="12" xfId="9" applyFont="1" applyFill="1" applyBorder="1" applyAlignment="1">
      <alignment horizontal="center" vertical="center" wrapText="1"/>
    </xf>
    <xf numFmtId="0" fontId="9" fillId="17" borderId="19" xfId="9" applyFont="1" applyFill="1" applyBorder="1" applyAlignment="1">
      <alignment horizontal="center" vertical="center" wrapText="1"/>
    </xf>
    <xf numFmtId="0" fontId="9" fillId="19" borderId="12" xfId="9" applyFont="1" applyFill="1" applyBorder="1" applyAlignment="1">
      <alignment horizontal="center" vertical="center" wrapText="1"/>
    </xf>
    <xf numFmtId="0" fontId="25" fillId="0" borderId="12" xfId="9" applyFont="1" applyFill="1" applyBorder="1" applyAlignment="1">
      <alignment horizontal="center" vertical="center" wrapText="1"/>
    </xf>
    <xf numFmtId="164" fontId="14" fillId="25" borderId="12" xfId="0" applyNumberFormat="1" applyFont="1" applyFill="1" applyBorder="1" applyAlignment="1">
      <alignment horizontal="center" vertical="center"/>
    </xf>
    <xf numFmtId="164" fontId="61" fillId="0" borderId="78" xfId="9" applyNumberFormat="1" applyFont="1" applyBorder="1" applyAlignment="1">
      <alignment horizontal="center" vertical="center" wrapText="1"/>
    </xf>
    <xf numFmtId="164" fontId="61" fillId="0" borderId="44" xfId="9" applyNumberFormat="1" applyFont="1" applyBorder="1" applyAlignment="1">
      <alignment horizontal="center" vertical="center" wrapText="1"/>
    </xf>
    <xf numFmtId="164" fontId="9" fillId="0" borderId="88" xfId="9" applyNumberFormat="1" applyFont="1" applyBorder="1" applyAlignment="1">
      <alignment horizontal="center" vertical="center" wrapText="1"/>
    </xf>
    <xf numFmtId="164" fontId="9" fillId="0" borderId="67" xfId="9" applyNumberFormat="1" applyFont="1" applyBorder="1" applyAlignment="1">
      <alignment horizontal="center" vertical="center" wrapText="1"/>
    </xf>
    <xf numFmtId="164" fontId="9" fillId="0" borderId="78" xfId="9" applyNumberFormat="1" applyFont="1" applyBorder="1" applyAlignment="1">
      <alignment horizontal="center" vertical="center" wrapText="1"/>
    </xf>
    <xf numFmtId="164" fontId="9" fillId="0" borderId="44" xfId="9" applyNumberFormat="1" applyFont="1" applyBorder="1" applyAlignment="1">
      <alignment horizontal="center" vertical="center" wrapText="1"/>
    </xf>
    <xf numFmtId="164" fontId="26" fillId="0" borderId="12" xfId="9" applyNumberFormat="1" applyFont="1" applyBorder="1" applyAlignment="1">
      <alignment horizontal="center" vertical="center"/>
    </xf>
    <xf numFmtId="0" fontId="54" fillId="0" borderId="0" xfId="9"/>
    <xf numFmtId="0" fontId="14" fillId="20" borderId="12" xfId="0" applyNumberFormat="1" applyFont="1" applyFill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1" fontId="6" fillId="2" borderId="1" xfId="0" applyNumberFormat="1" applyFont="1" applyFill="1" applyBorder="1" applyAlignment="1" applyProtection="1">
      <alignment horizontal="center" vertical="top" wrapText="1" readingOrder="1"/>
    </xf>
    <xf numFmtId="0" fontId="8" fillId="0" borderId="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45" fillId="0" borderId="89" xfId="3" applyNumberFormat="1" applyFont="1" applyFill="1" applyBorder="1" applyAlignment="1" applyProtection="1">
      <alignment horizontal="center" vertical="center"/>
    </xf>
    <xf numFmtId="0" fontId="14" fillId="20" borderId="44" xfId="0" applyNumberFormat="1" applyFont="1" applyFill="1" applyBorder="1" applyAlignment="1">
      <alignment horizontal="center" vertical="center"/>
    </xf>
    <xf numFmtId="0" fontId="14" fillId="20" borderId="53" xfId="0" applyNumberFormat="1" applyFont="1" applyFill="1" applyBorder="1" applyAlignment="1">
      <alignment horizontal="center" vertical="center"/>
    </xf>
    <xf numFmtId="0" fontId="12" fillId="0" borderId="0" xfId="0" applyNumberFormat="1" applyFont="1" applyFill="1"/>
    <xf numFmtId="0" fontId="14" fillId="0" borderId="52" xfId="0" applyNumberFormat="1" applyFont="1" applyFill="1" applyBorder="1" applyAlignment="1">
      <alignment horizontal="center" vertical="center"/>
    </xf>
    <xf numFmtId="0" fontId="46" fillId="0" borderId="20" xfId="0" applyNumberFormat="1" applyFont="1" applyBorder="1" applyAlignment="1">
      <alignment horizontal="center" vertical="center"/>
    </xf>
    <xf numFmtId="0" fontId="46" fillId="0" borderId="47" xfId="0" applyNumberFormat="1" applyFont="1" applyBorder="1" applyAlignment="1">
      <alignment horizontal="center" vertical="center"/>
    </xf>
    <xf numFmtId="0" fontId="46" fillId="0" borderId="26" xfId="0" applyNumberFormat="1" applyFont="1" applyBorder="1" applyAlignment="1">
      <alignment horizontal="center" vertical="center"/>
    </xf>
    <xf numFmtId="0" fontId="46" fillId="0" borderId="53" xfId="0" applyNumberFormat="1" applyFont="1" applyBorder="1" applyAlignment="1">
      <alignment horizontal="center" vertical="center"/>
    </xf>
    <xf numFmtId="0" fontId="46" fillId="0" borderId="6" xfId="0" applyNumberFormat="1" applyFont="1" applyBorder="1" applyAlignment="1">
      <alignment horizontal="center" vertical="center"/>
    </xf>
    <xf numFmtId="0" fontId="46" fillId="20" borderId="53" xfId="0" applyNumberFormat="1" applyFont="1" applyFill="1" applyBorder="1" applyAlignment="1">
      <alignment horizontal="center" vertical="center"/>
    </xf>
    <xf numFmtId="0" fontId="46" fillId="0" borderId="69" xfId="0" applyNumberFormat="1" applyFont="1" applyBorder="1" applyAlignment="1">
      <alignment horizontal="center" vertical="center"/>
    </xf>
    <xf numFmtId="0" fontId="46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0" fontId="46" fillId="0" borderId="12" xfId="0" applyNumberFormat="1" applyFont="1" applyBorder="1" applyAlignment="1">
      <alignment horizontal="center" vertical="center"/>
    </xf>
    <xf numFmtId="164" fontId="46" fillId="0" borderId="12" xfId="0" applyNumberFormat="1" applyFont="1" applyBorder="1" applyAlignment="1">
      <alignment horizontal="center" vertical="center"/>
    </xf>
    <xf numFmtId="0" fontId="46" fillId="0" borderId="52" xfId="0" applyNumberFormat="1" applyFont="1" applyBorder="1" applyAlignment="1">
      <alignment horizontal="center" vertical="center"/>
    </xf>
    <xf numFmtId="0" fontId="46" fillId="0" borderId="0" xfId="0" applyNumberFormat="1" applyFont="1" applyBorder="1" applyAlignment="1">
      <alignment horizontal="center" vertical="center"/>
    </xf>
    <xf numFmtId="164" fontId="46" fillId="0" borderId="22" xfId="0" applyNumberFormat="1" applyFont="1" applyBorder="1" applyAlignment="1">
      <alignment horizontal="center" vertical="center"/>
    </xf>
    <xf numFmtId="0" fontId="46" fillId="5" borderId="52" xfId="0" applyNumberFormat="1" applyFont="1" applyFill="1" applyBorder="1" applyAlignment="1">
      <alignment horizontal="center" vertical="center"/>
    </xf>
    <xf numFmtId="0" fontId="46" fillId="0" borderId="20" xfId="0" applyFont="1" applyBorder="1" applyAlignment="1">
      <alignment horizontal="center" vertical="center"/>
    </xf>
    <xf numFmtId="164" fontId="46" fillId="0" borderId="53" xfId="0" applyNumberFormat="1" applyFont="1" applyBorder="1" applyAlignment="1">
      <alignment horizontal="center" vertical="center"/>
    </xf>
    <xf numFmtId="164" fontId="46" fillId="0" borderId="80" xfId="0" applyNumberFormat="1" applyFont="1" applyBorder="1" applyAlignment="1">
      <alignment horizontal="center" vertical="center"/>
    </xf>
    <xf numFmtId="164" fontId="46" fillId="0" borderId="47" xfId="0" applyNumberFormat="1" applyFont="1" applyBorder="1" applyAlignment="1">
      <alignment horizontal="center" vertical="center"/>
    </xf>
    <xf numFmtId="164" fontId="46" fillId="0" borderId="0" xfId="0" applyNumberFormat="1" applyFont="1" applyBorder="1" applyAlignment="1">
      <alignment horizontal="center" vertical="center"/>
    </xf>
    <xf numFmtId="164" fontId="46" fillId="0" borderId="70" xfId="0" applyNumberFormat="1" applyFont="1" applyBorder="1" applyAlignment="1">
      <alignment horizontal="center" vertical="center"/>
    </xf>
    <xf numFmtId="164" fontId="46" fillId="0" borderId="20" xfId="0" applyNumberFormat="1" applyFont="1" applyBorder="1" applyAlignment="1">
      <alignment horizontal="center" vertical="center"/>
    </xf>
    <xf numFmtId="164" fontId="46" fillId="0" borderId="52" xfId="0" applyNumberFormat="1" applyFont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0" fontId="14" fillId="0" borderId="47" xfId="0" applyNumberFormat="1" applyFont="1" applyFill="1" applyBorder="1" applyAlignment="1">
      <alignment horizontal="center" vertical="center"/>
    </xf>
    <xf numFmtId="0" fontId="14" fillId="0" borderId="53" xfId="0" applyNumberFormat="1" applyFont="1" applyFill="1" applyBorder="1" applyAlignment="1">
      <alignment horizontal="center" vertical="center"/>
    </xf>
    <xf numFmtId="0" fontId="14" fillId="0" borderId="6" xfId="0" applyNumberFormat="1" applyFont="1" applyFill="1" applyBorder="1" applyAlignment="1">
      <alignment horizontal="center" vertical="center"/>
    </xf>
    <xf numFmtId="0" fontId="14" fillId="0" borderId="69" xfId="0" applyNumberFormat="1" applyFont="1" applyFill="1" applyBorder="1" applyAlignment="1">
      <alignment horizontal="center" vertical="center"/>
    </xf>
    <xf numFmtId="0" fontId="0" fillId="0" borderId="0" xfId="0" applyNumberFormat="1" applyFill="1"/>
    <xf numFmtId="0" fontId="14" fillId="0" borderId="0" xfId="0" applyNumberFormat="1" applyFont="1" applyFill="1" applyBorder="1" applyAlignment="1">
      <alignment horizontal="center" vertical="center"/>
    </xf>
    <xf numFmtId="164" fontId="14" fillId="0" borderId="22" xfId="0" applyNumberFormat="1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164" fontId="14" fillId="0" borderId="53" xfId="0" applyNumberFormat="1" applyFont="1" applyFill="1" applyBorder="1" applyAlignment="1">
      <alignment horizontal="center" vertical="center"/>
    </xf>
    <xf numFmtId="164" fontId="14" fillId="0" borderId="80" xfId="0" applyNumberFormat="1" applyFont="1" applyFill="1" applyBorder="1" applyAlignment="1">
      <alignment horizontal="center" vertical="center"/>
    </xf>
    <xf numFmtId="164" fontId="14" fillId="0" borderId="47" xfId="0" applyNumberFormat="1" applyFont="1" applyFill="1" applyBorder="1" applyAlignment="1">
      <alignment horizontal="center" vertical="center"/>
    </xf>
    <xf numFmtId="164" fontId="14" fillId="0" borderId="0" xfId="0" applyNumberFormat="1" applyFont="1" applyFill="1" applyBorder="1" applyAlignment="1">
      <alignment horizontal="center" vertical="center"/>
    </xf>
    <xf numFmtId="164" fontId="14" fillId="0" borderId="70" xfId="0" applyNumberFormat="1" applyFont="1" applyFill="1" applyBorder="1" applyAlignment="1">
      <alignment horizontal="center" vertical="center"/>
    </xf>
    <xf numFmtId="164" fontId="14" fillId="0" borderId="20" xfId="0" applyNumberFormat="1" applyFont="1" applyFill="1" applyBorder="1" applyAlignment="1">
      <alignment horizontal="center" vertical="center"/>
    </xf>
    <xf numFmtId="164" fontId="14" fillId="0" borderId="52" xfId="0" applyNumberFormat="1" applyFont="1" applyFill="1" applyBorder="1" applyAlignment="1">
      <alignment horizontal="center" vertical="center"/>
    </xf>
    <xf numFmtId="0" fontId="14" fillId="0" borderId="22" xfId="0" applyNumberFormat="1" applyFont="1" applyFill="1" applyBorder="1" applyAlignment="1">
      <alignment horizontal="center" vertical="center"/>
    </xf>
    <xf numFmtId="0" fontId="55" fillId="14" borderId="86" xfId="0" applyFont="1" applyFill="1" applyBorder="1" applyAlignment="1">
      <alignment horizontal="center" vertical="center" wrapText="1"/>
    </xf>
    <xf numFmtId="0" fontId="29" fillId="14" borderId="75" xfId="0" applyFont="1" applyFill="1" applyBorder="1" applyAlignment="1">
      <alignment horizontal="center" vertical="center" wrapText="1"/>
    </xf>
    <xf numFmtId="0" fontId="29" fillId="14" borderId="69" xfId="0" applyFont="1" applyFill="1" applyBorder="1" applyAlignment="1">
      <alignment horizontal="center" vertical="center" wrapText="1"/>
    </xf>
    <xf numFmtId="0" fontId="29" fillId="14" borderId="87" xfId="0" applyFont="1" applyFill="1" applyBorder="1" applyAlignment="1">
      <alignment horizontal="center" vertical="center" wrapText="1"/>
    </xf>
    <xf numFmtId="49" fontId="67" fillId="28" borderId="1" xfId="28" applyNumberFormat="1" applyFont="1" applyFill="1" applyBorder="1" applyAlignment="1" applyProtection="1">
      <alignment horizontal="center" vertical="center" wrapText="1" readingOrder="1"/>
    </xf>
    <xf numFmtId="49" fontId="69" fillId="28" borderId="1" xfId="28" applyNumberFormat="1" applyFont="1" applyFill="1" applyBorder="1" applyAlignment="1" applyProtection="1">
      <alignment horizontal="center" vertical="center" wrapText="1" readingOrder="1"/>
    </xf>
    <xf numFmtId="49" fontId="69" fillId="28" borderId="1" xfId="28" applyNumberFormat="1" applyFont="1" applyFill="1" applyBorder="1" applyAlignment="1" applyProtection="1">
      <alignment horizontal="center" vertical="top" readingOrder="1"/>
    </xf>
    <xf numFmtId="49" fontId="51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top" readingOrder="1"/>
    </xf>
    <xf numFmtId="49" fontId="51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top" readingOrder="1"/>
    </xf>
    <xf numFmtId="49" fontId="51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top" readingOrder="1"/>
    </xf>
    <xf numFmtId="49" fontId="51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center" wrapText="1" readingOrder="1"/>
    </xf>
    <xf numFmtId="49" fontId="51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center" wrapText="1" readingOrder="1"/>
    </xf>
    <xf numFmtId="0" fontId="71" fillId="0" borderId="12" xfId="1" applyFont="1" applyBorder="1" applyAlignment="1">
      <alignment horizontal="center" vertical="center"/>
    </xf>
    <xf numFmtId="49" fontId="51" fillId="22" borderId="1" xfId="7" applyNumberFormat="1" applyFont="1" applyFill="1" applyBorder="1" applyAlignment="1" applyProtection="1">
      <alignment horizontal="center" vertical="center" wrapText="1" readingOrder="1"/>
    </xf>
    <xf numFmtId="49" fontId="51" fillId="28" borderId="1" xfId="7" applyNumberFormat="1" applyFont="1" applyFill="1" applyBorder="1" applyAlignment="1" applyProtection="1">
      <alignment horizontal="center" vertical="center" wrapText="1" readingOrder="1"/>
    </xf>
    <xf numFmtId="49" fontId="70" fillId="28" borderId="1" xfId="7" applyNumberFormat="1" applyFont="1" applyFill="1" applyBorder="1" applyAlignment="1" applyProtection="1">
      <alignment horizontal="center" vertical="top" readingOrder="1"/>
    </xf>
    <xf numFmtId="49" fontId="70" fillId="28" borderId="1" xfId="7" applyNumberFormat="1" applyFont="1" applyFill="1" applyBorder="1" applyAlignment="1" applyProtection="1">
      <alignment horizontal="center" vertical="center" wrapText="1" readingOrder="1"/>
    </xf>
    <xf numFmtId="49" fontId="51" fillId="22" borderId="1" xfId="7" applyNumberFormat="1" applyFont="1" applyFill="1" applyBorder="1" applyAlignment="1" applyProtection="1">
      <alignment horizontal="center" vertical="center" wrapText="1" readingOrder="1"/>
    </xf>
    <xf numFmtId="49" fontId="67" fillId="22" borderId="1" xfId="28" applyNumberFormat="1" applyFont="1" applyFill="1" applyBorder="1" applyAlignment="1" applyProtection="1">
      <alignment horizontal="center" vertical="center" wrapText="1" readingOrder="1"/>
    </xf>
    <xf numFmtId="49" fontId="70" fillId="22" borderId="1" xfId="7" applyNumberFormat="1" applyFont="1" applyFill="1" applyBorder="1" applyAlignment="1" applyProtection="1">
      <alignment horizontal="center" vertical="center" wrapText="1" readingOrder="1"/>
    </xf>
    <xf numFmtId="0" fontId="0" fillId="22" borderId="0" xfId="0" applyFill="1"/>
    <xf numFmtId="0" fontId="39" fillId="0" borderId="0" xfId="0" applyNumberFormat="1" applyFont="1" applyFill="1" applyBorder="1" applyAlignment="1" applyProtection="1">
      <alignment vertical="top" wrapText="1" readingOrder="1"/>
    </xf>
    <xf numFmtId="0" fontId="40" fillId="0" borderId="0" xfId="0" applyNumberFormat="1" applyFont="1" applyFill="1" applyBorder="1" applyAlignment="1" applyProtection="1">
      <alignment horizontal="center" vertical="top" wrapText="1" readingOrder="1"/>
    </xf>
    <xf numFmtId="0" fontId="40" fillId="0" borderId="0" xfId="0" applyNumberFormat="1" applyFont="1" applyFill="1" applyBorder="1" applyAlignment="1" applyProtection="1">
      <alignment horizontal="center" vertical="center" wrapText="1" readingOrder="1"/>
    </xf>
    <xf numFmtId="0" fontId="0" fillId="0" borderId="0" xfId="0" applyNumberFormat="1" applyFill="1" applyBorder="1" applyAlignment="1">
      <alignment horizontal="left" vertical="top" wrapText="1"/>
    </xf>
    <xf numFmtId="0" fontId="71" fillId="0" borderId="12" xfId="1" applyFont="1" applyFill="1" applyBorder="1" applyAlignment="1">
      <alignment horizontal="center" vertical="center"/>
    </xf>
    <xf numFmtId="0" fontId="41" fillId="0" borderId="12" xfId="1" applyFont="1" applyFill="1" applyBorder="1" applyAlignment="1">
      <alignment horizontal="center" vertical="center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0" fontId="71" fillId="0" borderId="12" xfId="1" applyFont="1" applyBorder="1" applyAlignment="1">
      <alignment horizontal="center" vertical="center"/>
    </xf>
    <xf numFmtId="0" fontId="71" fillId="0" borderId="12" xfId="1" applyFont="1" applyFill="1" applyBorder="1" applyAlignment="1">
      <alignment horizontal="center" vertical="center"/>
    </xf>
    <xf numFmtId="0" fontId="41" fillId="0" borderId="12" xfId="1" applyFont="1" applyFill="1" applyBorder="1" applyAlignment="1">
      <alignment horizontal="center" vertical="center"/>
    </xf>
    <xf numFmtId="0" fontId="41" fillId="0" borderId="12" xfId="1" applyFont="1" applyBorder="1" applyAlignment="1">
      <alignment horizontal="center" vertical="center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49" fontId="72" fillId="28" borderId="1" xfId="7" applyNumberFormat="1" applyFont="1" applyFill="1" applyBorder="1" applyAlignment="1">
      <alignment horizontal="center" vertical="center" wrapText="1" readingOrder="1"/>
    </xf>
    <xf numFmtId="0" fontId="41" fillId="0" borderId="69" xfId="4" applyFont="1" applyFill="1" applyBorder="1" applyAlignment="1">
      <alignment horizontal="center" vertical="center" wrapText="1"/>
    </xf>
    <xf numFmtId="0" fontId="41" fillId="0" borderId="14" xfId="4" applyFont="1" applyFill="1" applyBorder="1" applyAlignment="1">
      <alignment horizontal="center" vertical="center" wrapText="1"/>
    </xf>
    <xf numFmtId="0" fontId="41" fillId="0" borderId="69" xfId="1" applyNumberFormat="1" applyFont="1" applyFill="1" applyBorder="1" applyAlignment="1">
      <alignment horizontal="center" vertical="center" wrapText="1"/>
    </xf>
    <xf numFmtId="0" fontId="41" fillId="0" borderId="14" xfId="1" applyNumberFormat="1" applyFont="1" applyFill="1" applyBorder="1" applyAlignment="1">
      <alignment horizontal="center" vertical="center" wrapText="1"/>
    </xf>
    <xf numFmtId="0" fontId="41" fillId="0" borderId="12" xfId="4" applyFont="1" applyFill="1" applyBorder="1" applyAlignment="1">
      <alignment horizontal="center" vertical="center" wrapText="1"/>
    </xf>
    <xf numFmtId="0" fontId="41" fillId="0" borderId="69" xfId="1" applyNumberFormat="1" applyFont="1" applyBorder="1" applyAlignment="1">
      <alignment horizontal="center" vertical="center" wrapText="1"/>
    </xf>
    <xf numFmtId="0" fontId="41" fillId="0" borderId="14" xfId="1" applyNumberFormat="1" applyFont="1" applyBorder="1" applyAlignment="1">
      <alignment horizontal="center" vertical="center" wrapText="1"/>
    </xf>
    <xf numFmtId="0" fontId="41" fillId="0" borderId="12" xfId="1" applyNumberFormat="1" applyFont="1" applyFill="1" applyBorder="1" applyAlignment="1">
      <alignment horizontal="center" vertical="center" wrapText="1"/>
    </xf>
    <xf numFmtId="0" fontId="41" fillId="0" borderId="12" xfId="1" applyNumberFormat="1" applyFont="1" applyBorder="1" applyAlignment="1">
      <alignment horizontal="center" vertical="center" wrapText="1"/>
    </xf>
    <xf numFmtId="0" fontId="41" fillId="0" borderId="69" xfId="4" applyFont="1" applyBorder="1" applyAlignment="1">
      <alignment horizontal="center" vertical="center" wrapText="1"/>
    </xf>
    <xf numFmtId="0" fontId="41" fillId="0" borderId="14" xfId="4" applyFont="1" applyBorder="1" applyAlignment="1">
      <alignment horizontal="center" vertical="center" wrapText="1"/>
    </xf>
    <xf numFmtId="0" fontId="41" fillId="0" borderId="12" xfId="4" applyFont="1" applyBorder="1" applyAlignment="1">
      <alignment horizontal="center" vertical="center" wrapText="1"/>
    </xf>
    <xf numFmtId="0" fontId="41" fillId="22" borderId="12" xfId="1" applyNumberFormat="1" applyFont="1" applyFill="1" applyBorder="1" applyAlignment="1">
      <alignment horizontal="center" vertical="center" wrapText="1"/>
    </xf>
    <xf numFmtId="0" fontId="41" fillId="22" borderId="12" xfId="4" applyFont="1" applyFill="1" applyBorder="1" applyAlignment="1">
      <alignment horizontal="center" vertical="center" wrapText="1"/>
    </xf>
    <xf numFmtId="0" fontId="41" fillId="22" borderId="47" xfId="4" applyFont="1" applyFill="1" applyBorder="1" applyAlignment="1">
      <alignment horizontal="center" vertical="center" wrapText="1"/>
    </xf>
    <xf numFmtId="49" fontId="70" fillId="28" borderId="1" xfId="7" applyNumberFormat="1" applyFont="1" applyFill="1" applyBorder="1" applyAlignment="1" applyProtection="1">
      <alignment horizontal="center" vertical="top" readingOrder="1"/>
    </xf>
    <xf numFmtId="49" fontId="70" fillId="28" borderId="1" xfId="7" applyNumberFormat="1" applyFont="1" applyFill="1" applyBorder="1" applyAlignment="1" applyProtection="1">
      <alignment horizontal="center" vertical="center" wrapText="1" readingOrder="1"/>
    </xf>
    <xf numFmtId="49" fontId="50" fillId="20" borderId="0" xfId="7" applyNumberFormat="1" applyFont="1" applyFill="1" applyBorder="1" applyAlignment="1" applyProtection="1">
      <alignment horizontal="left" vertical="top" wrapText="1" readingOrder="1"/>
    </xf>
    <xf numFmtId="49" fontId="51" fillId="28" borderId="1" xfId="7" applyNumberFormat="1" applyFont="1" applyFill="1" applyBorder="1" applyAlignment="1" applyProtection="1">
      <alignment horizontal="center" vertical="center" wrapText="1" readingOrder="1"/>
    </xf>
    <xf numFmtId="49" fontId="6" fillId="22" borderId="1" xfId="0" applyNumberFormat="1" applyFont="1" applyFill="1" applyBorder="1" applyAlignment="1" applyProtection="1">
      <alignment horizontal="center" vertical="center" wrapText="1" readingOrder="1"/>
    </xf>
    <xf numFmtId="49" fontId="50" fillId="22" borderId="1" xfId="0" applyNumberFormat="1" applyFont="1" applyFill="1" applyBorder="1" applyAlignment="1" applyProtection="1">
      <alignment horizontal="center" vertical="center" wrapText="1" readingOrder="1"/>
    </xf>
    <xf numFmtId="49" fontId="51" fillId="22" borderId="1" xfId="0" applyNumberFormat="1" applyFont="1" applyFill="1" applyBorder="1" applyAlignment="1" applyProtection="1">
      <alignment horizontal="center" vertical="center" wrapText="1" readingOrder="1"/>
    </xf>
    <xf numFmtId="49" fontId="49" fillId="22" borderId="0" xfId="0" applyNumberFormat="1" applyFont="1" applyFill="1" applyBorder="1" applyAlignment="1" applyProtection="1">
      <alignment horizontal="left" vertical="top" wrapText="1" readingOrder="1"/>
    </xf>
    <xf numFmtId="49" fontId="69" fillId="28" borderId="1" xfId="28" applyNumberFormat="1" applyFont="1" applyFill="1" applyBorder="1" applyAlignment="1" applyProtection="1">
      <alignment horizontal="center" vertical="top" readingOrder="1"/>
    </xf>
    <xf numFmtId="49" fontId="69" fillId="28" borderId="1" xfId="28" applyNumberFormat="1" applyFont="1" applyFill="1" applyBorder="1" applyAlignment="1" applyProtection="1">
      <alignment horizontal="center" vertical="center" wrapText="1" readingOrder="1"/>
    </xf>
    <xf numFmtId="49" fontId="67" fillId="28" borderId="1" xfId="28" applyNumberFormat="1" applyFont="1" applyFill="1" applyBorder="1" applyAlignment="1" applyProtection="1">
      <alignment horizontal="center" vertical="center" wrapText="1" readingOrder="1"/>
    </xf>
    <xf numFmtId="49" fontId="50" fillId="20" borderId="0" xfId="28" applyNumberFormat="1" applyFont="1" applyFill="1" applyBorder="1" applyAlignment="1" applyProtection="1">
      <alignment horizontal="left" vertical="top" wrapText="1" readingOrder="1"/>
    </xf>
    <xf numFmtId="49" fontId="68" fillId="20" borderId="0" xfId="28" applyNumberFormat="1" applyFont="1" applyFill="1" applyBorder="1" applyAlignment="1" applyProtection="1">
      <alignment horizontal="left" vertical="top" wrapText="1" readingOrder="1"/>
    </xf>
    <xf numFmtId="0" fontId="9" fillId="0" borderId="46" xfId="9" applyFont="1" applyBorder="1" applyAlignment="1">
      <alignment horizontal="left" vertical="center" wrapText="1"/>
    </xf>
    <xf numFmtId="0" fontId="9" fillId="0" borderId="45" xfId="9" applyFont="1" applyBorder="1" applyAlignment="1">
      <alignment horizontal="left" vertical="center" wrapText="1"/>
    </xf>
    <xf numFmtId="0" fontId="9" fillId="0" borderId="44" xfId="9" applyFont="1" applyBorder="1" applyAlignment="1">
      <alignment horizontal="left" vertical="center" wrapText="1"/>
    </xf>
    <xf numFmtId="0" fontId="9" fillId="0" borderId="12" xfId="9" applyFont="1" applyFill="1" applyBorder="1" applyAlignment="1">
      <alignment horizontal="center" vertical="center" wrapText="1"/>
    </xf>
    <xf numFmtId="0" fontId="61" fillId="19" borderId="46" xfId="9" applyFont="1" applyFill="1" applyBorder="1" applyAlignment="1">
      <alignment horizontal="left" vertical="center" wrapText="1"/>
    </xf>
    <xf numFmtId="0" fontId="61" fillId="19" borderId="45" xfId="9" applyFont="1" applyFill="1" applyBorder="1" applyAlignment="1">
      <alignment horizontal="left" vertical="center" wrapText="1"/>
    </xf>
    <xf numFmtId="0" fontId="61" fillId="19" borderId="44" xfId="9" applyFont="1" applyFill="1" applyBorder="1" applyAlignment="1">
      <alignment horizontal="left" vertical="center" wrapText="1"/>
    </xf>
    <xf numFmtId="164" fontId="61" fillId="19" borderId="61" xfId="9" applyNumberFormat="1" applyFont="1" applyFill="1" applyBorder="1" applyAlignment="1">
      <alignment horizontal="center" vertical="center" wrapText="1"/>
    </xf>
    <xf numFmtId="164" fontId="61" fillId="19" borderId="60" xfId="9" applyNumberFormat="1" applyFont="1" applyFill="1" applyBorder="1" applyAlignment="1">
      <alignment horizontal="center" vertical="center" wrapText="1"/>
    </xf>
    <xf numFmtId="0" fontId="20" fillId="2" borderId="27" xfId="3" applyNumberFormat="1" applyFont="1" applyFill="1" applyBorder="1" applyAlignment="1" applyProtection="1">
      <alignment horizontal="center" vertical="center"/>
    </xf>
    <xf numFmtId="0" fontId="20" fillId="2" borderId="26" xfId="3" applyNumberFormat="1" applyFont="1" applyFill="1" applyBorder="1" applyAlignment="1" applyProtection="1">
      <alignment horizontal="center" vertical="center"/>
    </xf>
    <xf numFmtId="0" fontId="20" fillId="2" borderId="21" xfId="3" applyNumberFormat="1" applyFont="1" applyFill="1" applyBorder="1" applyAlignment="1" applyProtection="1">
      <alignment horizontal="center" vertical="center"/>
    </xf>
    <xf numFmtId="0" fontId="21" fillId="0" borderId="25" xfId="3" applyNumberFormat="1" applyFont="1" applyFill="1" applyBorder="1" applyAlignment="1" applyProtection="1">
      <alignment horizontal="center" vertical="center" wrapText="1"/>
    </xf>
    <xf numFmtId="0" fontId="21" fillId="0" borderId="23" xfId="3" applyNumberFormat="1" applyFont="1" applyFill="1" applyBorder="1" applyAlignment="1" applyProtection="1">
      <alignment horizontal="center" vertical="center" wrapText="1"/>
    </xf>
    <xf numFmtId="0" fontId="25" fillId="0" borderId="2" xfId="2" applyFont="1" applyBorder="1" applyAlignment="1">
      <alignment horizontal="center" vertical="center" wrapText="1"/>
    </xf>
    <xf numFmtId="0" fontId="25" fillId="0" borderId="34" xfId="2" applyFont="1" applyBorder="1" applyAlignment="1">
      <alignment horizontal="center" vertical="center" wrapText="1"/>
    </xf>
    <xf numFmtId="0" fontId="25" fillId="0" borderId="31" xfId="2" applyFont="1" applyBorder="1" applyAlignment="1">
      <alignment horizontal="center" vertical="center" wrapText="1"/>
    </xf>
    <xf numFmtId="0" fontId="25" fillId="0" borderId="33" xfId="2" applyFont="1" applyBorder="1" applyAlignment="1">
      <alignment horizontal="center" vertical="center" wrapText="1"/>
    </xf>
    <xf numFmtId="0" fontId="25" fillId="0" borderId="28" xfId="2" applyFont="1" applyBorder="1" applyAlignment="1">
      <alignment horizontal="center" vertical="center" wrapText="1"/>
    </xf>
    <xf numFmtId="0" fontId="26" fillId="0" borderId="0" xfId="1" applyNumberFormat="1" applyFont="1" applyBorder="1" applyAlignment="1">
      <alignment horizontal="center" vertical="center" wrapText="1"/>
    </xf>
    <xf numFmtId="0" fontId="26" fillId="0" borderId="0" xfId="4" applyFont="1" applyBorder="1" applyAlignment="1">
      <alignment horizontal="center" vertical="center" wrapText="1"/>
    </xf>
    <xf numFmtId="0" fontId="25" fillId="0" borderId="29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1" xfId="2" applyFont="1" applyBorder="1" applyAlignment="1">
      <alignment horizontal="center" vertical="center"/>
    </xf>
    <xf numFmtId="0" fontId="14" fillId="0" borderId="60" xfId="2" applyFont="1" applyBorder="1" applyAlignment="1">
      <alignment horizontal="center" vertical="center"/>
    </xf>
    <xf numFmtId="0" fontId="14" fillId="0" borderId="12" xfId="1" applyNumberFormat="1" applyFont="1" applyBorder="1" applyAlignment="1">
      <alignment horizontal="center" vertical="center" wrapText="1"/>
    </xf>
    <xf numFmtId="0" fontId="14" fillId="0" borderId="12" xfId="4" applyFont="1" applyBorder="1" applyAlignment="1">
      <alignment horizontal="center" vertical="center" wrapText="1"/>
    </xf>
    <xf numFmtId="0" fontId="14" fillId="0" borderId="0" xfId="1" applyNumberFormat="1" applyFont="1" applyBorder="1" applyAlignment="1">
      <alignment horizontal="center" vertical="center" wrapText="1"/>
    </xf>
    <xf numFmtId="0" fontId="14" fillId="0" borderId="0" xfId="4" applyFont="1" applyBorder="1" applyAlignment="1">
      <alignment horizontal="center" vertical="center" wrapText="1"/>
    </xf>
    <xf numFmtId="49" fontId="49" fillId="22" borderId="0" xfId="7" applyNumberFormat="1" applyFont="1" applyFill="1" applyBorder="1" applyAlignment="1" applyProtection="1">
      <alignment horizontal="left" vertical="top" wrapText="1" readingOrder="1"/>
    </xf>
    <xf numFmtId="49" fontId="50" fillId="22" borderId="1" xfId="7" applyNumberFormat="1" applyFont="1" applyFill="1" applyBorder="1" applyAlignment="1" applyProtection="1">
      <alignment horizontal="center" vertical="center" wrapText="1" readingOrder="1"/>
    </xf>
    <xf numFmtId="49" fontId="6" fillId="22" borderId="1" xfId="7" applyNumberFormat="1" applyFont="1" applyFill="1" applyBorder="1" applyAlignment="1" applyProtection="1">
      <alignment horizontal="center" vertical="center" wrapText="1" readingOrder="1"/>
    </xf>
    <xf numFmtId="49" fontId="6" fillId="22" borderId="85" xfId="7" applyNumberFormat="1" applyFont="1" applyFill="1" applyBorder="1" applyAlignment="1" applyProtection="1">
      <alignment horizontal="center" vertical="center" wrapText="1" readingOrder="1"/>
    </xf>
    <xf numFmtId="49" fontId="6" fillId="22" borderId="83" xfId="7" applyNumberFormat="1" applyFont="1" applyFill="1" applyBorder="1" applyAlignment="1" applyProtection="1">
      <alignment horizontal="center" vertical="center" wrapText="1" readingOrder="1"/>
    </xf>
    <xf numFmtId="49" fontId="51" fillId="22" borderId="1" xfId="7" applyNumberFormat="1" applyFont="1" applyFill="1" applyBorder="1" applyAlignment="1" applyProtection="1">
      <alignment horizontal="center" vertical="center" wrapText="1" readingOrder="1"/>
    </xf>
    <xf numFmtId="0" fontId="25" fillId="0" borderId="20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1" fontId="57" fillId="0" borderId="12" xfId="0" applyNumberFormat="1" applyFont="1" applyBorder="1" applyAlignment="1">
      <alignment horizontal="center" vertical="center"/>
    </xf>
    <xf numFmtId="1" fontId="57" fillId="0" borderId="47" xfId="0" applyNumberFormat="1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 wrapText="1"/>
    </xf>
    <xf numFmtId="0" fontId="8" fillId="0" borderId="3" xfId="0" applyNumberFormat="1" applyFont="1" applyBorder="1" applyAlignment="1">
      <alignment horizontal="center" vertical="center" wrapText="1"/>
    </xf>
    <xf numFmtId="0" fontId="8" fillId="0" borderId="2" xfId="0" applyNumberFormat="1" applyFont="1" applyFill="1" applyBorder="1" applyAlignment="1">
      <alignment horizontal="center" vertical="center" wrapText="1"/>
    </xf>
    <xf numFmtId="0" fontId="8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 wrapText="1"/>
    </xf>
    <xf numFmtId="0" fontId="8" fillId="0" borderId="9" xfId="0" applyNumberFormat="1" applyFont="1" applyBorder="1" applyAlignment="1">
      <alignment horizontal="center" vertical="center" wrapText="1"/>
    </xf>
    <xf numFmtId="0" fontId="8" fillId="0" borderId="6" xfId="0" applyNumberFormat="1" applyFont="1" applyBorder="1" applyAlignment="1">
      <alignment horizontal="center" vertical="center" wrapText="1"/>
    </xf>
    <xf numFmtId="0" fontId="8" fillId="0" borderId="4" xfId="0" applyNumberFormat="1" applyFont="1" applyBorder="1" applyAlignment="1">
      <alignment horizontal="center" vertical="center" wrapText="1"/>
    </xf>
    <xf numFmtId="0" fontId="8" fillId="0" borderId="10" xfId="0" applyNumberFormat="1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 wrapText="1"/>
    </xf>
    <xf numFmtId="0" fontId="8" fillId="0" borderId="5" xfId="0" applyNumberFormat="1" applyFont="1" applyBorder="1" applyAlignment="1">
      <alignment horizontal="center" vertical="center" wrapText="1"/>
    </xf>
    <xf numFmtId="0" fontId="8" fillId="0" borderId="11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 wrapText="1"/>
    </xf>
    <xf numFmtId="0" fontId="8" fillId="0" borderId="8" xfId="0" applyNumberFormat="1" applyFont="1" applyBorder="1" applyAlignment="1">
      <alignment horizontal="center" vertical="center" wrapText="1"/>
    </xf>
    <xf numFmtId="0" fontId="8" fillId="0" borderId="12" xfId="0" applyNumberFormat="1" applyFont="1" applyBorder="1" applyAlignment="1">
      <alignment horizontal="center" vertical="center" wrapText="1"/>
    </xf>
    <xf numFmtId="0" fontId="56" fillId="0" borderId="46" xfId="10" applyFont="1" applyFill="1" applyBorder="1" applyAlignment="1">
      <alignment horizontal="center" vertical="center" wrapText="1"/>
    </xf>
    <xf numFmtId="0" fontId="56" fillId="0" borderId="45" xfId="10" applyFont="1" applyFill="1" applyBorder="1" applyAlignment="1">
      <alignment horizontal="center" vertical="center" wrapText="1"/>
    </xf>
    <xf numFmtId="0" fontId="56" fillId="0" borderId="44" xfId="10" applyFont="1" applyFill="1" applyBorder="1" applyAlignment="1">
      <alignment horizontal="center" vertical="center" wrapText="1"/>
    </xf>
    <xf numFmtId="0" fontId="25" fillId="0" borderId="53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left" vertical="center" wrapText="1"/>
    </xf>
    <xf numFmtId="1" fontId="57" fillId="0" borderId="22" xfId="0" applyNumberFormat="1" applyFont="1" applyBorder="1" applyAlignment="1">
      <alignment horizontal="center" vertical="center"/>
    </xf>
    <xf numFmtId="1" fontId="57" fillId="0" borderId="52" xfId="0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left" vertical="center" wrapText="1"/>
    </xf>
    <xf numFmtId="0" fontId="25" fillId="0" borderId="15" xfId="0" applyFont="1" applyBorder="1" applyAlignment="1">
      <alignment horizontal="left" vertical="center" wrapText="1"/>
    </xf>
  </cellXfs>
  <cellStyles count="31">
    <cellStyle name="Гиперссылка 2" xfId="8"/>
    <cellStyle name="Обычный" xfId="0" builtinId="0"/>
    <cellStyle name="Обычный 10" xfId="9"/>
    <cellStyle name="Обычный 11" xfId="28"/>
    <cellStyle name="Обычный 12" xfId="30"/>
    <cellStyle name="Обычный 2" xfId="2"/>
    <cellStyle name="Обычный 2 2" xfId="3"/>
    <cellStyle name="Обычный 2 3" xfId="10"/>
    <cellStyle name="Обычный 2 4" xfId="11"/>
    <cellStyle name="Обычный 2 5" xfId="12"/>
    <cellStyle name="Обычный 2 6" xfId="13"/>
    <cellStyle name="Обычный 2 7" xfId="14"/>
    <cellStyle name="Обычный 2 8" xfId="15"/>
    <cellStyle name="Обычный 3" xfId="6"/>
    <cellStyle name="Обычный 3 2" xfId="16"/>
    <cellStyle name="Обычный 3 2 2" xfId="17"/>
    <cellStyle name="Обычный 3 2 2 2" xfId="18"/>
    <cellStyle name="Обычный 3 2 3" xfId="19"/>
    <cellStyle name="Обычный 3 3" xfId="29"/>
    <cellStyle name="Обычный 4" xfId="5"/>
    <cellStyle name="Обычный 5" xfId="7"/>
    <cellStyle name="Обычный 6" xfId="20"/>
    <cellStyle name="Обычный 6 2" xfId="21"/>
    <cellStyle name="Обычный 6 3" xfId="22"/>
    <cellStyle name="Обычный 6 4" xfId="23"/>
    <cellStyle name="Обычный 7" xfId="24"/>
    <cellStyle name="Обычный 8" xfId="25"/>
    <cellStyle name="Обычный 8 2" xfId="26"/>
    <cellStyle name="Обычный 9" xfId="27"/>
    <cellStyle name="Обычный_Лист1" xfId="4"/>
    <cellStyle name="Обычный_Проект акта отбора проб ред1" xfId="1"/>
  </cellStyles>
  <dxfs count="2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gradientFill type="path" left="0.5" right="0.5" top="0.5" bottom="0.5">
          <stop position="0">
            <color rgb="FFCCFF66"/>
          </stop>
          <stop position="1">
            <color rgb="FFFF9B9B"/>
          </stop>
        </gradient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rgb="FFFF7171"/>
        </patternFill>
      </fill>
    </dxf>
    <dxf>
      <fill>
        <patternFill>
          <bgColor rgb="FFFFCC66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Medium9"/>
  <colors>
    <mruColors>
      <color rgb="FFD5F1F7"/>
      <color rgb="FFFADBDA"/>
      <color rgb="FFCCFF66"/>
      <color rgb="FFFF9B9B"/>
      <color rgb="FFFF7171"/>
      <color rgb="FFFFE697"/>
      <color rgb="FFFFFF99"/>
      <color rgb="FFCC0000"/>
      <color rgb="FFFF33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7</xdr:col>
          <xdr:colOff>371475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6;&#1072;&#1089;&#1095;&#1077;&#1090;%20&#1079;&#1072;&#1075;&#1088;&#1103;&#1079;&#1085;&#1077;&#1085;&#1080;&#1103;%20&#1080;%20&#1086;&#1073;&#1098;&#1077;&#1084;&#1086;&#1074;_&#1062;&#1077;&#1085;&#1090;&#1088;&#1072;&#1083;&#1100;&#1085;&#1099;&#1081;%20&#1087;&#1088;-&#1090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кт"/>
      <sheetName val="Исх.данные"/>
      <sheetName val="Таблицы"/>
      <sheetName val="Агрохим исх.данные"/>
      <sheetName val="Агрохим_итог"/>
      <sheetName val="Химия_12 проб"/>
      <sheetName val="ЕРН_значения"/>
      <sheetName val="ЕРН_итог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№ испытательного образца (пробы): 01АХ.01</v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00"/>
  <sheetViews>
    <sheetView workbookViewId="0">
      <selection activeCell="H1" sqref="H1:H15"/>
    </sheetView>
  </sheetViews>
  <sheetFormatPr defaultRowHeight="15" x14ac:dyDescent="0.25"/>
  <sheetData>
    <row r="1" spans="1:9" ht="15.75" thickBot="1" x14ac:dyDescent="0.3">
      <c r="A1" s="167">
        <v>1</v>
      </c>
      <c r="B1" s="493" t="s">
        <v>23</v>
      </c>
      <c r="C1" s="532" t="s">
        <v>164</v>
      </c>
      <c r="D1" s="533"/>
      <c r="E1" s="496" t="s">
        <v>74</v>
      </c>
      <c r="F1" s="536" t="s">
        <v>145</v>
      </c>
      <c r="G1" s="537"/>
      <c r="H1" s="168" t="str">
        <f>B1</f>
        <v>0,0-0,2</v>
      </c>
      <c r="I1" s="152" t="str">
        <f>IF(OR(E1="супесь",E1="песок"),"ПС","СГ")</f>
        <v>ПС</v>
      </c>
    </row>
    <row r="2" spans="1:9" ht="15.75" thickBot="1" x14ac:dyDescent="0.3">
      <c r="A2" s="167">
        <v>2</v>
      </c>
      <c r="B2" s="493" t="s">
        <v>23</v>
      </c>
      <c r="C2" s="532" t="s">
        <v>163</v>
      </c>
      <c r="D2" s="533"/>
      <c r="E2" s="496" t="s">
        <v>74</v>
      </c>
      <c r="F2" s="536" t="s">
        <v>138</v>
      </c>
      <c r="G2" s="537"/>
      <c r="H2" s="169" t="str">
        <f t="shared" ref="H2:H9" si="0">IF(B2="","",B2)</f>
        <v>0,0-0,2</v>
      </c>
      <c r="I2" s="153" t="str">
        <f t="shared" ref="I2:I9" si="1">IF(E2="","",IF(OR(E2="супесь",E2="песок"),"ПС","СГ"))</f>
        <v>ПС</v>
      </c>
    </row>
    <row r="3" spans="1:9" ht="15.75" thickBot="1" x14ac:dyDescent="0.3">
      <c r="A3" s="167">
        <v>3</v>
      </c>
      <c r="B3" s="493" t="s">
        <v>23</v>
      </c>
      <c r="C3" s="535" t="s">
        <v>162</v>
      </c>
      <c r="D3" s="535"/>
      <c r="E3" s="496" t="s">
        <v>74</v>
      </c>
      <c r="F3" s="538" t="s">
        <v>133</v>
      </c>
      <c r="G3" s="538"/>
      <c r="H3" s="169" t="str">
        <f t="shared" si="0"/>
        <v>0,0-0,2</v>
      </c>
      <c r="I3" s="153" t="str">
        <f t="shared" si="1"/>
        <v>ПС</v>
      </c>
    </row>
    <row r="4" spans="1:9" ht="15.75" thickBot="1" x14ac:dyDescent="0.3">
      <c r="A4" s="167">
        <v>4</v>
      </c>
      <c r="B4" s="494" t="s">
        <v>519</v>
      </c>
      <c r="C4" s="529" t="s">
        <v>520</v>
      </c>
      <c r="D4" s="530"/>
      <c r="E4" s="496" t="s">
        <v>74</v>
      </c>
      <c r="F4" s="531" t="s">
        <v>88</v>
      </c>
      <c r="G4" s="531"/>
      <c r="H4" s="169" t="str">
        <f t="shared" si="0"/>
        <v>0,2-0,5</v>
      </c>
      <c r="I4" s="153" t="str">
        <f t="shared" si="1"/>
        <v>ПС</v>
      </c>
    </row>
    <row r="5" spans="1:9" ht="15.75" thickBot="1" x14ac:dyDescent="0.3">
      <c r="A5" s="167">
        <v>5</v>
      </c>
      <c r="B5" s="494" t="s">
        <v>519</v>
      </c>
      <c r="C5" s="529" t="s">
        <v>521</v>
      </c>
      <c r="D5" s="530"/>
      <c r="E5" s="496" t="s">
        <v>74</v>
      </c>
      <c r="F5" s="531" t="s">
        <v>81</v>
      </c>
      <c r="G5" s="531"/>
      <c r="H5" s="169" t="str">
        <f t="shared" si="0"/>
        <v>0,2-0,5</v>
      </c>
      <c r="I5" s="153" t="str">
        <f t="shared" si="1"/>
        <v>ПС</v>
      </c>
    </row>
    <row r="6" spans="1:9" ht="15.75" thickBot="1" x14ac:dyDescent="0.3">
      <c r="A6" s="167">
        <v>6</v>
      </c>
      <c r="B6" s="494" t="s">
        <v>519</v>
      </c>
      <c r="C6" s="534" t="s">
        <v>607</v>
      </c>
      <c r="D6" s="534"/>
      <c r="E6" s="496" t="s">
        <v>74</v>
      </c>
      <c r="F6" s="531" t="s">
        <v>73</v>
      </c>
      <c r="G6" s="531"/>
      <c r="H6" s="169" t="str">
        <f t="shared" si="0"/>
        <v>0,2-0,5</v>
      </c>
      <c r="I6" s="153" t="str">
        <f t="shared" si="1"/>
        <v>ПС</v>
      </c>
    </row>
    <row r="7" spans="1:9" ht="15.75" thickBot="1" x14ac:dyDescent="0.3">
      <c r="A7" s="167">
        <v>7</v>
      </c>
      <c r="B7" s="494" t="s">
        <v>522</v>
      </c>
      <c r="C7" s="529" t="s">
        <v>523</v>
      </c>
      <c r="D7" s="530"/>
      <c r="E7" s="496" t="s">
        <v>74</v>
      </c>
      <c r="F7" s="531" t="s">
        <v>88</v>
      </c>
      <c r="G7" s="531"/>
      <c r="H7" s="169" t="str">
        <f t="shared" si="0"/>
        <v>0,5-1,0</v>
      </c>
      <c r="I7" s="153" t="str">
        <f t="shared" si="1"/>
        <v>ПС</v>
      </c>
    </row>
    <row r="8" spans="1:9" ht="15.75" thickBot="1" x14ac:dyDescent="0.3">
      <c r="A8" s="167">
        <v>8</v>
      </c>
      <c r="B8" s="494" t="s">
        <v>522</v>
      </c>
      <c r="C8" s="529" t="s">
        <v>524</v>
      </c>
      <c r="D8" s="530"/>
      <c r="E8" s="496" t="s">
        <v>74</v>
      </c>
      <c r="F8" s="531" t="s">
        <v>81</v>
      </c>
      <c r="G8" s="531"/>
      <c r="H8" s="169" t="str">
        <f t="shared" si="0"/>
        <v>0,5-1,0</v>
      </c>
      <c r="I8" s="153" t="str">
        <f t="shared" si="1"/>
        <v>ПС</v>
      </c>
    </row>
    <row r="9" spans="1:9" ht="15.75" thickBot="1" x14ac:dyDescent="0.3">
      <c r="A9" s="167">
        <v>9</v>
      </c>
      <c r="B9" s="494" t="s">
        <v>522</v>
      </c>
      <c r="C9" s="534" t="s">
        <v>608</v>
      </c>
      <c r="D9" s="534"/>
      <c r="E9" s="496" t="s">
        <v>74</v>
      </c>
      <c r="F9" s="531" t="s">
        <v>73</v>
      </c>
      <c r="G9" s="531"/>
      <c r="H9" s="169" t="str">
        <f t="shared" si="0"/>
        <v>0,5-1,0</v>
      </c>
      <c r="I9" s="153" t="str">
        <f t="shared" si="1"/>
        <v>ПС</v>
      </c>
    </row>
    <row r="10" spans="1:9" ht="15.75" thickBot="1" x14ac:dyDescent="0.3">
      <c r="A10" s="167">
        <v>10</v>
      </c>
      <c r="B10" s="494" t="s">
        <v>25</v>
      </c>
      <c r="C10" s="529" t="s">
        <v>525</v>
      </c>
      <c r="D10" s="530"/>
      <c r="E10" s="495" t="s">
        <v>139</v>
      </c>
      <c r="F10" s="527" t="s">
        <v>88</v>
      </c>
      <c r="G10" s="528"/>
      <c r="H10" s="169" t="str">
        <f t="shared" ref="H10:H15" si="2">IF(B10="","",B10)</f>
        <v>1,0-2,0</v>
      </c>
      <c r="I10" s="153" t="str">
        <f t="shared" ref="I10:I15" si="3">IF(E10="","",IF(OR(E10="супесь",E10="песок"),"ПС","СГ"))</f>
        <v>СГ</v>
      </c>
    </row>
    <row r="11" spans="1:9" ht="15.75" thickBot="1" x14ac:dyDescent="0.3">
      <c r="A11" s="167">
        <v>11</v>
      </c>
      <c r="B11" s="494" t="s">
        <v>25</v>
      </c>
      <c r="C11" s="529" t="s">
        <v>526</v>
      </c>
      <c r="D11" s="530"/>
      <c r="E11" s="495" t="s">
        <v>139</v>
      </c>
      <c r="F11" s="527" t="s">
        <v>81</v>
      </c>
      <c r="G11" s="528"/>
      <c r="H11" s="169" t="str">
        <f t="shared" si="2"/>
        <v>1,0-2,0</v>
      </c>
      <c r="I11" s="153" t="str">
        <f t="shared" si="3"/>
        <v>СГ</v>
      </c>
    </row>
    <row r="12" spans="1:9" ht="15.75" thickBot="1" x14ac:dyDescent="0.3">
      <c r="A12" s="167">
        <v>12</v>
      </c>
      <c r="B12" s="494" t="s">
        <v>25</v>
      </c>
      <c r="C12" s="529" t="s">
        <v>609</v>
      </c>
      <c r="D12" s="530"/>
      <c r="E12" s="495" t="s">
        <v>139</v>
      </c>
      <c r="F12" s="527" t="s">
        <v>73</v>
      </c>
      <c r="G12" s="528"/>
      <c r="H12" s="169" t="str">
        <f t="shared" si="2"/>
        <v>1,0-2,0</v>
      </c>
      <c r="I12" s="153" t="str">
        <f t="shared" si="3"/>
        <v>СГ</v>
      </c>
    </row>
    <row r="13" spans="1:9" ht="15.75" thickBot="1" x14ac:dyDescent="0.3">
      <c r="A13" s="167">
        <v>13</v>
      </c>
      <c r="B13" s="494" t="s">
        <v>26</v>
      </c>
      <c r="C13" s="529" t="s">
        <v>527</v>
      </c>
      <c r="D13" s="530"/>
      <c r="E13" s="495" t="s">
        <v>139</v>
      </c>
      <c r="F13" s="527" t="s">
        <v>88</v>
      </c>
      <c r="G13" s="528"/>
      <c r="H13" s="169" t="str">
        <f t="shared" si="2"/>
        <v>2,0-3,0</v>
      </c>
      <c r="I13" s="153" t="str">
        <f t="shared" si="3"/>
        <v>СГ</v>
      </c>
    </row>
    <row r="14" spans="1:9" ht="15.75" thickBot="1" x14ac:dyDescent="0.3">
      <c r="A14" s="167">
        <v>14</v>
      </c>
      <c r="B14" s="494" t="s">
        <v>26</v>
      </c>
      <c r="C14" s="529" t="s">
        <v>610</v>
      </c>
      <c r="D14" s="530"/>
      <c r="E14" s="495" t="s">
        <v>139</v>
      </c>
      <c r="F14" s="527" t="s">
        <v>81</v>
      </c>
      <c r="G14" s="528"/>
      <c r="H14" s="169" t="str">
        <f t="shared" si="2"/>
        <v>2,0-3,0</v>
      </c>
      <c r="I14" s="153" t="str">
        <f t="shared" si="3"/>
        <v>СГ</v>
      </c>
    </row>
    <row r="15" spans="1:9" ht="15.75" thickBot="1" x14ac:dyDescent="0.3">
      <c r="A15" s="167">
        <v>15</v>
      </c>
      <c r="B15" s="494" t="s">
        <v>26</v>
      </c>
      <c r="C15" s="529" t="s">
        <v>611</v>
      </c>
      <c r="D15" s="530"/>
      <c r="E15" s="495" t="s">
        <v>139</v>
      </c>
      <c r="F15" s="527" t="s">
        <v>73</v>
      </c>
      <c r="G15" s="528"/>
      <c r="H15" s="169" t="str">
        <f t="shared" si="2"/>
        <v>2,0-3,0</v>
      </c>
      <c r="I15" s="153" t="str">
        <f t="shared" si="3"/>
        <v>СГ</v>
      </c>
    </row>
    <row r="16" spans="1:9" ht="15.75" thickBot="1" x14ac:dyDescent="0.3">
      <c r="A16" s="167">
        <v>16</v>
      </c>
      <c r="B16" s="458"/>
      <c r="C16" s="529"/>
      <c r="D16" s="530"/>
      <c r="E16" s="459"/>
      <c r="F16" s="527"/>
      <c r="G16" s="528"/>
      <c r="H16" s="169"/>
      <c r="I16" s="153"/>
    </row>
    <row r="17" spans="1:9" ht="15.75" thickBot="1" x14ac:dyDescent="0.3">
      <c r="A17" s="167">
        <v>17</v>
      </c>
      <c r="B17" s="458"/>
      <c r="C17" s="529"/>
      <c r="D17" s="530"/>
      <c r="E17" s="459"/>
      <c r="F17" s="527"/>
      <c r="G17" s="528"/>
      <c r="H17" s="169"/>
      <c r="I17" s="153"/>
    </row>
    <row r="18" spans="1:9" ht="15.75" thickBot="1" x14ac:dyDescent="0.3">
      <c r="A18" s="167">
        <v>18</v>
      </c>
      <c r="B18" s="458"/>
      <c r="C18" s="529"/>
      <c r="D18" s="530"/>
      <c r="E18" s="459"/>
      <c r="F18" s="527"/>
      <c r="G18" s="528"/>
      <c r="H18" s="169"/>
      <c r="I18" s="153"/>
    </row>
    <row r="19" spans="1:9" ht="15.75" thickBot="1" x14ac:dyDescent="0.3">
      <c r="A19" s="167">
        <v>19</v>
      </c>
      <c r="B19" s="458"/>
      <c r="C19" s="529"/>
      <c r="D19" s="530"/>
      <c r="E19" s="459"/>
      <c r="F19" s="527"/>
      <c r="G19" s="528"/>
      <c r="H19" s="169"/>
      <c r="I19" s="153"/>
    </row>
    <row r="20" spans="1:9" ht="15.75" thickBot="1" x14ac:dyDescent="0.3">
      <c r="A20" s="167">
        <v>20</v>
      </c>
      <c r="B20" s="458"/>
      <c r="C20" s="529"/>
      <c r="D20" s="530"/>
      <c r="E20" s="459"/>
      <c r="F20" s="527"/>
      <c r="G20" s="528"/>
      <c r="H20" s="169"/>
      <c r="I20" s="153"/>
    </row>
    <row r="21" spans="1:9" ht="15.75" thickBot="1" x14ac:dyDescent="0.3">
      <c r="A21" s="167">
        <v>21</v>
      </c>
      <c r="B21" s="458"/>
      <c r="C21" s="529"/>
      <c r="D21" s="530"/>
      <c r="E21" s="459"/>
      <c r="F21" s="527"/>
      <c r="G21" s="528"/>
      <c r="H21" s="169"/>
      <c r="I21" s="153"/>
    </row>
    <row r="22" spans="1:9" ht="15.75" thickBot="1" x14ac:dyDescent="0.3">
      <c r="A22" s="167">
        <v>22</v>
      </c>
      <c r="B22" s="458"/>
      <c r="C22" s="529"/>
      <c r="D22" s="530"/>
      <c r="E22" s="459"/>
      <c r="F22" s="527"/>
      <c r="G22" s="528"/>
      <c r="H22" s="169"/>
      <c r="I22" s="153"/>
    </row>
    <row r="23" spans="1:9" ht="15.75" thickBot="1" x14ac:dyDescent="0.3">
      <c r="A23" s="167">
        <v>23</v>
      </c>
      <c r="B23" s="458"/>
      <c r="C23" s="529"/>
      <c r="D23" s="530"/>
      <c r="E23" s="459"/>
      <c r="F23" s="527"/>
      <c r="G23" s="528"/>
      <c r="H23" s="169"/>
      <c r="I23" s="153"/>
    </row>
    <row r="24" spans="1:9" ht="15.75" thickBot="1" x14ac:dyDescent="0.3">
      <c r="A24" s="167">
        <v>24</v>
      </c>
      <c r="B24" s="458"/>
      <c r="C24" s="529"/>
      <c r="D24" s="530"/>
      <c r="E24" s="459"/>
      <c r="F24" s="527"/>
      <c r="G24" s="528"/>
      <c r="H24" s="169"/>
      <c r="I24" s="153"/>
    </row>
    <row r="25" spans="1:9" ht="15.75" thickBot="1" x14ac:dyDescent="0.3">
      <c r="A25" s="167">
        <v>25</v>
      </c>
      <c r="B25" s="159"/>
      <c r="C25" s="539"/>
      <c r="D25" s="539"/>
      <c r="E25" s="160"/>
      <c r="F25" s="540"/>
      <c r="G25" s="541"/>
      <c r="H25" s="169" t="str">
        <f t="shared" ref="H25:H30" si="4">IF(B25="","",B25)</f>
        <v/>
      </c>
      <c r="I25" s="153" t="str">
        <f t="shared" ref="I25:I30" si="5">IF(E25="","",IF(OR(E25="супесь",E25="песок"),"ПС","СГ"))</f>
        <v/>
      </c>
    </row>
    <row r="26" spans="1:9" ht="15.75" thickBot="1" x14ac:dyDescent="0.3">
      <c r="A26" s="167">
        <v>26</v>
      </c>
      <c r="B26" s="159"/>
      <c r="C26" s="539"/>
      <c r="D26" s="539"/>
      <c r="E26" s="160"/>
      <c r="F26" s="540"/>
      <c r="G26" s="541"/>
      <c r="H26" s="169" t="str">
        <f t="shared" si="4"/>
        <v/>
      </c>
      <c r="I26" s="153" t="str">
        <f t="shared" si="5"/>
        <v/>
      </c>
    </row>
    <row r="27" spans="1:9" ht="15.75" thickBot="1" x14ac:dyDescent="0.3">
      <c r="A27" s="167">
        <v>27</v>
      </c>
      <c r="B27" s="159"/>
      <c r="C27" s="539"/>
      <c r="D27" s="539"/>
      <c r="E27" s="160"/>
      <c r="F27" s="540"/>
      <c r="G27" s="541"/>
      <c r="H27" s="169" t="str">
        <f t="shared" si="4"/>
        <v/>
      </c>
      <c r="I27" s="153" t="str">
        <f t="shared" si="5"/>
        <v/>
      </c>
    </row>
    <row r="28" spans="1:9" ht="15.75" thickBot="1" x14ac:dyDescent="0.3">
      <c r="A28" s="167">
        <v>28</v>
      </c>
      <c r="B28" s="159"/>
      <c r="C28" s="539"/>
      <c r="D28" s="539"/>
      <c r="E28" s="160"/>
      <c r="F28" s="540"/>
      <c r="G28" s="541"/>
      <c r="H28" s="169" t="str">
        <f t="shared" si="4"/>
        <v/>
      </c>
      <c r="I28" s="153" t="str">
        <f t="shared" si="5"/>
        <v/>
      </c>
    </row>
    <row r="29" spans="1:9" ht="15.75" thickBot="1" x14ac:dyDescent="0.3">
      <c r="A29" s="167">
        <v>29</v>
      </c>
      <c r="B29" s="159"/>
      <c r="C29" s="539"/>
      <c r="D29" s="539"/>
      <c r="E29" s="160"/>
      <c r="F29" s="540"/>
      <c r="G29" s="541"/>
      <c r="H29" s="169" t="str">
        <f t="shared" si="4"/>
        <v/>
      </c>
      <c r="I29" s="153" t="str">
        <f t="shared" si="5"/>
        <v/>
      </c>
    </row>
    <row r="30" spans="1:9" ht="15.75" thickBot="1" x14ac:dyDescent="0.3">
      <c r="A30" s="167">
        <v>30</v>
      </c>
      <c r="B30" s="159"/>
      <c r="C30" s="539"/>
      <c r="D30" s="539"/>
      <c r="E30" s="160"/>
      <c r="F30" s="540"/>
      <c r="G30" s="541"/>
      <c r="H30" s="169" t="str">
        <f t="shared" si="4"/>
        <v/>
      </c>
      <c r="I30" s="153" t="str">
        <f t="shared" si="5"/>
        <v/>
      </c>
    </row>
    <row r="31" spans="1:9" ht="15.75" thickBot="1" x14ac:dyDescent="0.3">
      <c r="A31" s="167">
        <v>31</v>
      </c>
      <c r="B31" s="159"/>
      <c r="C31" s="539"/>
      <c r="D31" s="539"/>
      <c r="E31" s="160"/>
      <c r="F31" s="540"/>
      <c r="G31" s="541"/>
      <c r="H31" s="169" t="str">
        <f t="shared" ref="H31:H94" si="6">IF(B31="","",B31)</f>
        <v/>
      </c>
      <c r="I31" s="153" t="str">
        <f t="shared" ref="I31:I94" si="7">IF(E31="","",IF(OR(E31="супесь",E31="песок"),"ПС","СГ"))</f>
        <v/>
      </c>
    </row>
    <row r="32" spans="1:9" ht="15.75" thickBot="1" x14ac:dyDescent="0.3">
      <c r="A32" s="167">
        <v>32</v>
      </c>
      <c r="B32" s="159"/>
      <c r="C32" s="539"/>
      <c r="D32" s="539"/>
      <c r="E32" s="160"/>
      <c r="F32" s="540"/>
      <c r="G32" s="541"/>
      <c r="H32" s="169" t="str">
        <f t="shared" si="6"/>
        <v/>
      </c>
      <c r="I32" s="153" t="str">
        <f t="shared" si="7"/>
        <v/>
      </c>
    </row>
    <row r="33" spans="1:9" ht="15.75" thickBot="1" x14ac:dyDescent="0.3">
      <c r="A33" s="167">
        <v>33</v>
      </c>
      <c r="B33" s="159"/>
      <c r="C33" s="539"/>
      <c r="D33" s="539"/>
      <c r="E33" s="160"/>
      <c r="F33" s="540"/>
      <c r="G33" s="541"/>
      <c r="H33" s="169" t="str">
        <f t="shared" si="6"/>
        <v/>
      </c>
      <c r="I33" s="153" t="str">
        <f t="shared" si="7"/>
        <v/>
      </c>
    </row>
    <row r="34" spans="1:9" ht="15.75" thickBot="1" x14ac:dyDescent="0.3">
      <c r="A34" s="167">
        <v>34</v>
      </c>
      <c r="B34" s="159"/>
      <c r="C34" s="539"/>
      <c r="D34" s="539"/>
      <c r="E34" s="160"/>
      <c r="F34" s="540"/>
      <c r="G34" s="541"/>
      <c r="H34" s="169" t="str">
        <f t="shared" si="6"/>
        <v/>
      </c>
      <c r="I34" s="153" t="str">
        <f t="shared" si="7"/>
        <v/>
      </c>
    </row>
    <row r="35" spans="1:9" ht="15.75" thickBot="1" x14ac:dyDescent="0.3">
      <c r="A35" s="167">
        <v>35</v>
      </c>
      <c r="B35" s="159"/>
      <c r="C35" s="539"/>
      <c r="D35" s="539"/>
      <c r="E35" s="160"/>
      <c r="F35" s="540"/>
      <c r="G35" s="541"/>
      <c r="H35" s="169" t="str">
        <f t="shared" si="6"/>
        <v/>
      </c>
      <c r="I35" s="153" t="str">
        <f t="shared" si="7"/>
        <v/>
      </c>
    </row>
    <row r="36" spans="1:9" ht="15.75" thickBot="1" x14ac:dyDescent="0.3">
      <c r="A36" s="167">
        <v>36</v>
      </c>
      <c r="B36" s="159"/>
      <c r="C36" s="539"/>
      <c r="D36" s="539"/>
      <c r="E36" s="160"/>
      <c r="F36" s="540"/>
      <c r="G36" s="541"/>
      <c r="H36" s="169" t="str">
        <f t="shared" si="6"/>
        <v/>
      </c>
      <c r="I36" s="153" t="str">
        <f t="shared" si="7"/>
        <v/>
      </c>
    </row>
    <row r="37" spans="1:9" ht="15.75" thickBot="1" x14ac:dyDescent="0.3">
      <c r="A37" s="167">
        <v>37</v>
      </c>
      <c r="B37" s="159"/>
      <c r="C37" s="539"/>
      <c r="D37" s="539"/>
      <c r="E37" s="160"/>
      <c r="F37" s="540"/>
      <c r="G37" s="541"/>
      <c r="H37" s="169" t="str">
        <f t="shared" si="6"/>
        <v/>
      </c>
      <c r="I37" s="153" t="str">
        <f t="shared" si="7"/>
        <v/>
      </c>
    </row>
    <row r="38" spans="1:9" ht="15.75" thickBot="1" x14ac:dyDescent="0.3">
      <c r="A38" s="167">
        <v>38</v>
      </c>
      <c r="B38" s="159"/>
      <c r="C38" s="539"/>
      <c r="D38" s="539"/>
      <c r="E38" s="160"/>
      <c r="F38" s="540"/>
      <c r="G38" s="541"/>
      <c r="H38" s="169" t="str">
        <f t="shared" si="6"/>
        <v/>
      </c>
      <c r="I38" s="153" t="str">
        <f t="shared" si="7"/>
        <v/>
      </c>
    </row>
    <row r="39" spans="1:9" ht="15.75" thickBot="1" x14ac:dyDescent="0.3">
      <c r="A39" s="167">
        <v>39</v>
      </c>
      <c r="B39" s="159"/>
      <c r="C39" s="539"/>
      <c r="D39" s="539"/>
      <c r="E39" s="160"/>
      <c r="F39" s="540"/>
      <c r="G39" s="541"/>
      <c r="H39" s="169" t="str">
        <f t="shared" si="6"/>
        <v/>
      </c>
      <c r="I39" s="153" t="str">
        <f t="shared" si="7"/>
        <v/>
      </c>
    </row>
    <row r="40" spans="1:9" ht="15.75" thickBot="1" x14ac:dyDescent="0.3">
      <c r="A40" s="167">
        <v>40</v>
      </c>
      <c r="B40" s="159"/>
      <c r="C40" s="539"/>
      <c r="D40" s="539"/>
      <c r="E40" s="160"/>
      <c r="F40" s="540"/>
      <c r="G40" s="541"/>
      <c r="H40" s="169" t="str">
        <f t="shared" si="6"/>
        <v/>
      </c>
      <c r="I40" s="153" t="str">
        <f t="shared" si="7"/>
        <v/>
      </c>
    </row>
    <row r="41" spans="1:9" ht="15.75" thickBot="1" x14ac:dyDescent="0.3">
      <c r="A41" s="167">
        <v>41</v>
      </c>
      <c r="B41" s="159"/>
      <c r="C41" s="539"/>
      <c r="D41" s="539"/>
      <c r="E41" s="160"/>
      <c r="F41" s="540"/>
      <c r="G41" s="541"/>
      <c r="H41" s="169" t="str">
        <f t="shared" si="6"/>
        <v/>
      </c>
      <c r="I41" s="153" t="str">
        <f t="shared" si="7"/>
        <v/>
      </c>
    </row>
    <row r="42" spans="1:9" ht="15.75" thickBot="1" x14ac:dyDescent="0.3">
      <c r="A42" s="167">
        <v>42</v>
      </c>
      <c r="B42" s="159"/>
      <c r="C42" s="539"/>
      <c r="D42" s="539"/>
      <c r="E42" s="160"/>
      <c r="F42" s="540"/>
      <c r="G42" s="541"/>
      <c r="H42" s="169" t="str">
        <f t="shared" si="6"/>
        <v/>
      </c>
      <c r="I42" s="153" t="str">
        <f t="shared" si="7"/>
        <v/>
      </c>
    </row>
    <row r="43" spans="1:9" ht="15.75" thickBot="1" x14ac:dyDescent="0.3">
      <c r="A43" s="167">
        <v>43</v>
      </c>
      <c r="B43" s="159"/>
      <c r="C43" s="539"/>
      <c r="D43" s="539"/>
      <c r="E43" s="160"/>
      <c r="F43" s="540"/>
      <c r="G43" s="541"/>
      <c r="H43" s="169" t="str">
        <f t="shared" si="6"/>
        <v/>
      </c>
      <c r="I43" s="153" t="str">
        <f t="shared" si="7"/>
        <v/>
      </c>
    </row>
    <row r="44" spans="1:9" ht="15.75" thickBot="1" x14ac:dyDescent="0.3">
      <c r="A44" s="167">
        <v>44</v>
      </c>
      <c r="B44" s="159"/>
      <c r="C44" s="539"/>
      <c r="D44" s="539"/>
      <c r="E44" s="160"/>
      <c r="F44" s="540"/>
      <c r="G44" s="541"/>
      <c r="H44" s="169" t="str">
        <f t="shared" si="6"/>
        <v/>
      </c>
      <c r="I44" s="153" t="str">
        <f t="shared" si="7"/>
        <v/>
      </c>
    </row>
    <row r="45" spans="1:9" ht="15.75" thickBot="1" x14ac:dyDescent="0.3">
      <c r="A45" s="167">
        <v>45</v>
      </c>
      <c r="B45" s="159"/>
      <c r="C45" s="539"/>
      <c r="D45" s="539"/>
      <c r="E45" s="160"/>
      <c r="F45" s="540"/>
      <c r="G45" s="541"/>
      <c r="H45" s="169" t="str">
        <f t="shared" si="6"/>
        <v/>
      </c>
      <c r="I45" s="153" t="str">
        <f t="shared" si="7"/>
        <v/>
      </c>
    </row>
    <row r="46" spans="1:9" ht="15.75" thickBot="1" x14ac:dyDescent="0.3">
      <c r="A46" s="167">
        <v>46</v>
      </c>
      <c r="B46" s="159"/>
      <c r="C46" s="539"/>
      <c r="D46" s="539"/>
      <c r="E46" s="160"/>
      <c r="F46" s="540"/>
      <c r="G46" s="541"/>
      <c r="H46" s="169" t="str">
        <f t="shared" si="6"/>
        <v/>
      </c>
      <c r="I46" s="153" t="str">
        <f t="shared" si="7"/>
        <v/>
      </c>
    </row>
    <row r="47" spans="1:9" ht="15.75" thickBot="1" x14ac:dyDescent="0.3">
      <c r="A47" s="167">
        <v>47</v>
      </c>
      <c r="B47" s="159"/>
      <c r="C47" s="539"/>
      <c r="D47" s="539"/>
      <c r="E47" s="160"/>
      <c r="F47" s="540"/>
      <c r="G47" s="541"/>
      <c r="H47" s="169" t="str">
        <f t="shared" si="6"/>
        <v/>
      </c>
      <c r="I47" s="153" t="str">
        <f t="shared" si="7"/>
        <v/>
      </c>
    </row>
    <row r="48" spans="1:9" ht="15.75" thickBot="1" x14ac:dyDescent="0.3">
      <c r="A48" s="167">
        <v>48</v>
      </c>
      <c r="B48" s="159"/>
      <c r="C48" s="539"/>
      <c r="D48" s="539"/>
      <c r="E48" s="160"/>
      <c r="F48" s="540"/>
      <c r="G48" s="541"/>
      <c r="H48" s="169" t="str">
        <f t="shared" si="6"/>
        <v/>
      </c>
      <c r="I48" s="153" t="str">
        <f t="shared" si="7"/>
        <v/>
      </c>
    </row>
    <row r="49" spans="1:9" ht="15.75" thickBot="1" x14ac:dyDescent="0.3">
      <c r="A49" s="167">
        <v>49</v>
      </c>
      <c r="B49" s="159"/>
      <c r="C49" s="539"/>
      <c r="D49" s="539"/>
      <c r="E49" s="160"/>
      <c r="F49" s="540"/>
      <c r="G49" s="541"/>
      <c r="H49" s="169" t="str">
        <f t="shared" si="6"/>
        <v/>
      </c>
      <c r="I49" s="153" t="str">
        <f t="shared" si="7"/>
        <v/>
      </c>
    </row>
    <row r="50" spans="1:9" ht="15.75" thickBot="1" x14ac:dyDescent="0.3">
      <c r="A50" s="167">
        <v>50</v>
      </c>
      <c r="B50" s="159"/>
      <c r="C50" s="539"/>
      <c r="D50" s="539"/>
      <c r="E50" s="160"/>
      <c r="F50" s="540"/>
      <c r="G50" s="541"/>
      <c r="H50" s="169" t="str">
        <f t="shared" si="6"/>
        <v/>
      </c>
      <c r="I50" s="153" t="str">
        <f t="shared" si="7"/>
        <v/>
      </c>
    </row>
    <row r="51" spans="1:9" ht="15.75" thickBot="1" x14ac:dyDescent="0.3">
      <c r="A51" s="167">
        <v>51</v>
      </c>
      <c r="B51" s="159"/>
      <c r="C51" s="539"/>
      <c r="D51" s="539"/>
      <c r="E51" s="160"/>
      <c r="F51" s="540"/>
      <c r="G51" s="541"/>
      <c r="H51" s="169" t="str">
        <f t="shared" si="6"/>
        <v/>
      </c>
      <c r="I51" s="153" t="str">
        <f t="shared" si="7"/>
        <v/>
      </c>
    </row>
    <row r="52" spans="1:9" ht="15.75" thickBot="1" x14ac:dyDescent="0.3">
      <c r="A52" s="167">
        <v>52</v>
      </c>
      <c r="B52" s="159"/>
      <c r="C52" s="539"/>
      <c r="D52" s="539"/>
      <c r="E52" s="160"/>
      <c r="F52" s="540"/>
      <c r="G52" s="541"/>
      <c r="H52" s="169" t="str">
        <f t="shared" si="6"/>
        <v/>
      </c>
      <c r="I52" s="153" t="str">
        <f t="shared" si="7"/>
        <v/>
      </c>
    </row>
    <row r="53" spans="1:9" ht="15.75" thickBot="1" x14ac:dyDescent="0.3">
      <c r="A53" s="167">
        <v>53</v>
      </c>
      <c r="B53" s="159"/>
      <c r="C53" s="539"/>
      <c r="D53" s="539"/>
      <c r="E53" s="160"/>
      <c r="F53" s="540"/>
      <c r="G53" s="541"/>
      <c r="H53" s="169" t="str">
        <f t="shared" si="6"/>
        <v/>
      </c>
      <c r="I53" s="153" t="str">
        <f t="shared" si="7"/>
        <v/>
      </c>
    </row>
    <row r="54" spans="1:9" ht="15.75" thickBot="1" x14ac:dyDescent="0.3">
      <c r="A54" s="167">
        <v>54</v>
      </c>
      <c r="B54" s="159"/>
      <c r="C54" s="539"/>
      <c r="D54" s="539"/>
      <c r="E54" s="160"/>
      <c r="F54" s="540"/>
      <c r="G54" s="541"/>
      <c r="H54" s="169" t="str">
        <f t="shared" si="6"/>
        <v/>
      </c>
      <c r="I54" s="153" t="str">
        <f t="shared" si="7"/>
        <v/>
      </c>
    </row>
    <row r="55" spans="1:9" ht="15.75" thickBot="1" x14ac:dyDescent="0.3">
      <c r="A55" s="167">
        <v>55</v>
      </c>
      <c r="B55" s="159"/>
      <c r="C55" s="539"/>
      <c r="D55" s="539"/>
      <c r="E55" s="160"/>
      <c r="F55" s="540"/>
      <c r="G55" s="541"/>
      <c r="H55" s="169" t="str">
        <f t="shared" si="6"/>
        <v/>
      </c>
      <c r="I55" s="153" t="str">
        <f t="shared" si="7"/>
        <v/>
      </c>
    </row>
    <row r="56" spans="1:9" ht="15.75" thickBot="1" x14ac:dyDescent="0.3">
      <c r="A56" s="167">
        <v>56</v>
      </c>
      <c r="B56" s="159"/>
      <c r="C56" s="539"/>
      <c r="D56" s="539"/>
      <c r="E56" s="160"/>
      <c r="F56" s="540"/>
      <c r="G56" s="541"/>
      <c r="H56" s="169" t="str">
        <f t="shared" si="6"/>
        <v/>
      </c>
      <c r="I56" s="153" t="str">
        <f t="shared" si="7"/>
        <v/>
      </c>
    </row>
    <row r="57" spans="1:9" ht="15.75" thickBot="1" x14ac:dyDescent="0.3">
      <c r="A57" s="167">
        <v>57</v>
      </c>
      <c r="B57" s="159"/>
      <c r="C57" s="539"/>
      <c r="D57" s="539"/>
      <c r="E57" s="160"/>
      <c r="F57" s="540"/>
      <c r="G57" s="541"/>
      <c r="H57" s="169" t="str">
        <f t="shared" si="6"/>
        <v/>
      </c>
      <c r="I57" s="153" t="str">
        <f t="shared" si="7"/>
        <v/>
      </c>
    </row>
    <row r="58" spans="1:9" ht="15.75" thickBot="1" x14ac:dyDescent="0.3">
      <c r="A58" s="167">
        <v>58</v>
      </c>
      <c r="B58" s="159"/>
      <c r="C58" s="539"/>
      <c r="D58" s="539"/>
      <c r="E58" s="160"/>
      <c r="F58" s="540"/>
      <c r="G58" s="541"/>
      <c r="H58" s="169" t="str">
        <f t="shared" si="6"/>
        <v/>
      </c>
      <c r="I58" s="153" t="str">
        <f t="shared" si="7"/>
        <v/>
      </c>
    </row>
    <row r="59" spans="1:9" ht="15.75" thickBot="1" x14ac:dyDescent="0.3">
      <c r="A59" s="167">
        <v>59</v>
      </c>
      <c r="B59" s="159"/>
      <c r="C59" s="539"/>
      <c r="D59" s="539"/>
      <c r="E59" s="160"/>
      <c r="F59" s="540"/>
      <c r="G59" s="541"/>
      <c r="H59" s="169" t="str">
        <f t="shared" si="6"/>
        <v/>
      </c>
      <c r="I59" s="153" t="str">
        <f t="shared" si="7"/>
        <v/>
      </c>
    </row>
    <row r="60" spans="1:9" ht="15.75" thickBot="1" x14ac:dyDescent="0.3">
      <c r="A60" s="167">
        <v>60</v>
      </c>
      <c r="B60" s="159"/>
      <c r="C60" s="539"/>
      <c r="D60" s="539"/>
      <c r="E60" s="160"/>
      <c r="F60" s="540"/>
      <c r="G60" s="541"/>
      <c r="H60" s="169" t="str">
        <f t="shared" si="6"/>
        <v/>
      </c>
      <c r="I60" s="153" t="str">
        <f t="shared" si="7"/>
        <v/>
      </c>
    </row>
    <row r="61" spans="1:9" ht="15.75" thickBot="1" x14ac:dyDescent="0.3">
      <c r="A61" s="167">
        <v>61</v>
      </c>
      <c r="B61" s="159"/>
      <c r="C61" s="539"/>
      <c r="D61" s="539"/>
      <c r="E61" s="160"/>
      <c r="F61" s="540"/>
      <c r="G61" s="541"/>
      <c r="H61" s="169" t="str">
        <f t="shared" si="6"/>
        <v/>
      </c>
      <c r="I61" s="153" t="str">
        <f t="shared" si="7"/>
        <v/>
      </c>
    </row>
    <row r="62" spans="1:9" ht="15.75" thickBot="1" x14ac:dyDescent="0.3">
      <c r="A62" s="167">
        <v>62</v>
      </c>
      <c r="B62" s="159"/>
      <c r="C62" s="539"/>
      <c r="D62" s="539"/>
      <c r="E62" s="160"/>
      <c r="F62" s="540"/>
      <c r="G62" s="541"/>
      <c r="H62" s="169" t="str">
        <f t="shared" si="6"/>
        <v/>
      </c>
      <c r="I62" s="153" t="str">
        <f t="shared" si="7"/>
        <v/>
      </c>
    </row>
    <row r="63" spans="1:9" ht="15.75" thickBot="1" x14ac:dyDescent="0.3">
      <c r="A63" s="167">
        <v>63</v>
      </c>
      <c r="B63" s="159"/>
      <c r="C63" s="539"/>
      <c r="D63" s="539"/>
      <c r="E63" s="160"/>
      <c r="F63" s="540"/>
      <c r="G63" s="541"/>
      <c r="H63" s="169" t="str">
        <f t="shared" si="6"/>
        <v/>
      </c>
      <c r="I63" s="153" t="str">
        <f t="shared" si="7"/>
        <v/>
      </c>
    </row>
    <row r="64" spans="1:9" ht="15.75" thickBot="1" x14ac:dyDescent="0.3">
      <c r="A64" s="167">
        <v>64</v>
      </c>
      <c r="B64" s="159"/>
      <c r="C64" s="539"/>
      <c r="D64" s="539"/>
      <c r="E64" s="160"/>
      <c r="F64" s="540"/>
      <c r="G64" s="541"/>
      <c r="H64" s="169" t="str">
        <f t="shared" si="6"/>
        <v/>
      </c>
      <c r="I64" s="153" t="str">
        <f t="shared" si="7"/>
        <v/>
      </c>
    </row>
    <row r="65" spans="1:9" ht="15.75" thickBot="1" x14ac:dyDescent="0.3">
      <c r="A65" s="167">
        <v>65</v>
      </c>
      <c r="B65" s="159"/>
      <c r="C65" s="539"/>
      <c r="D65" s="539"/>
      <c r="E65" s="160"/>
      <c r="F65" s="540"/>
      <c r="G65" s="541"/>
      <c r="H65" s="169" t="str">
        <f t="shared" si="6"/>
        <v/>
      </c>
      <c r="I65" s="153" t="str">
        <f t="shared" si="7"/>
        <v/>
      </c>
    </row>
    <row r="66" spans="1:9" ht="15.75" thickBot="1" x14ac:dyDescent="0.3">
      <c r="A66" s="167">
        <v>66</v>
      </c>
      <c r="B66" s="159"/>
      <c r="C66" s="539"/>
      <c r="D66" s="539"/>
      <c r="E66" s="160"/>
      <c r="F66" s="540"/>
      <c r="G66" s="541"/>
      <c r="H66" s="169" t="str">
        <f t="shared" si="6"/>
        <v/>
      </c>
      <c r="I66" s="153" t="str">
        <f t="shared" si="7"/>
        <v/>
      </c>
    </row>
    <row r="67" spans="1:9" ht="15.75" thickBot="1" x14ac:dyDescent="0.3">
      <c r="A67" s="167">
        <v>67</v>
      </c>
      <c r="B67" s="159"/>
      <c r="C67" s="539"/>
      <c r="D67" s="539"/>
      <c r="E67" s="160"/>
      <c r="F67" s="540"/>
      <c r="G67" s="541"/>
      <c r="H67" s="169" t="str">
        <f t="shared" si="6"/>
        <v/>
      </c>
      <c r="I67" s="153" t="str">
        <f t="shared" si="7"/>
        <v/>
      </c>
    </row>
    <row r="68" spans="1:9" ht="15.75" thickBot="1" x14ac:dyDescent="0.3">
      <c r="A68" s="167">
        <v>68</v>
      </c>
      <c r="B68" s="159"/>
      <c r="C68" s="539"/>
      <c r="D68" s="539"/>
      <c r="E68" s="160"/>
      <c r="F68" s="540"/>
      <c r="G68" s="541"/>
      <c r="H68" s="169" t="str">
        <f t="shared" si="6"/>
        <v/>
      </c>
      <c r="I68" s="153" t="str">
        <f t="shared" si="7"/>
        <v/>
      </c>
    </row>
    <row r="69" spans="1:9" ht="15.75" thickBot="1" x14ac:dyDescent="0.3">
      <c r="A69" s="167">
        <v>69</v>
      </c>
      <c r="B69" s="159"/>
      <c r="C69" s="539"/>
      <c r="D69" s="539"/>
      <c r="E69" s="160"/>
      <c r="F69" s="540"/>
      <c r="G69" s="541"/>
      <c r="H69" s="169" t="str">
        <f t="shared" si="6"/>
        <v/>
      </c>
      <c r="I69" s="153" t="str">
        <f t="shared" si="7"/>
        <v/>
      </c>
    </row>
    <row r="70" spans="1:9" ht="15.75" thickBot="1" x14ac:dyDescent="0.3">
      <c r="A70" s="167">
        <v>70</v>
      </c>
      <c r="B70" s="159"/>
      <c r="C70" s="539"/>
      <c r="D70" s="539"/>
      <c r="E70" s="160"/>
      <c r="F70" s="540"/>
      <c r="G70" s="541"/>
      <c r="H70" s="169" t="str">
        <f t="shared" si="6"/>
        <v/>
      </c>
      <c r="I70" s="153" t="str">
        <f t="shared" si="7"/>
        <v/>
      </c>
    </row>
    <row r="71" spans="1:9" ht="15.75" thickBot="1" x14ac:dyDescent="0.3">
      <c r="A71" s="167">
        <v>71</v>
      </c>
      <c r="B71" s="159"/>
      <c r="C71" s="539"/>
      <c r="D71" s="539"/>
      <c r="E71" s="160"/>
      <c r="F71" s="540"/>
      <c r="G71" s="541"/>
      <c r="H71" s="169" t="str">
        <f t="shared" si="6"/>
        <v/>
      </c>
      <c r="I71" s="153" t="str">
        <f t="shared" si="7"/>
        <v/>
      </c>
    </row>
    <row r="72" spans="1:9" ht="15.75" thickBot="1" x14ac:dyDescent="0.3">
      <c r="A72" s="167">
        <v>72</v>
      </c>
      <c r="B72" s="159"/>
      <c r="C72" s="539"/>
      <c r="D72" s="539"/>
      <c r="E72" s="160"/>
      <c r="F72" s="540"/>
      <c r="G72" s="541"/>
      <c r="H72" s="169" t="str">
        <f t="shared" si="6"/>
        <v/>
      </c>
      <c r="I72" s="153" t="str">
        <f t="shared" si="7"/>
        <v/>
      </c>
    </row>
    <row r="73" spans="1:9" ht="15.75" thickBot="1" x14ac:dyDescent="0.3">
      <c r="A73" s="167">
        <v>73</v>
      </c>
      <c r="B73" s="159"/>
      <c r="C73" s="539"/>
      <c r="D73" s="539"/>
      <c r="E73" s="160"/>
      <c r="F73" s="540"/>
      <c r="G73" s="541"/>
      <c r="H73" s="169" t="str">
        <f t="shared" si="6"/>
        <v/>
      </c>
      <c r="I73" s="153" t="str">
        <f t="shared" si="7"/>
        <v/>
      </c>
    </row>
    <row r="74" spans="1:9" ht="15.75" thickBot="1" x14ac:dyDescent="0.3">
      <c r="A74" s="167">
        <v>74</v>
      </c>
      <c r="B74" s="159"/>
      <c r="C74" s="539"/>
      <c r="D74" s="539"/>
      <c r="E74" s="160"/>
      <c r="F74" s="540"/>
      <c r="G74" s="541"/>
      <c r="H74" s="169" t="str">
        <f t="shared" si="6"/>
        <v/>
      </c>
      <c r="I74" s="153" t="str">
        <f t="shared" si="7"/>
        <v/>
      </c>
    </row>
    <row r="75" spans="1:9" ht="15.75" thickBot="1" x14ac:dyDescent="0.3">
      <c r="A75" s="167">
        <v>75</v>
      </c>
      <c r="B75" s="159"/>
      <c r="C75" s="539"/>
      <c r="D75" s="539"/>
      <c r="E75" s="160"/>
      <c r="F75" s="540"/>
      <c r="G75" s="541"/>
      <c r="H75" s="169" t="str">
        <f t="shared" si="6"/>
        <v/>
      </c>
      <c r="I75" s="153" t="str">
        <f t="shared" si="7"/>
        <v/>
      </c>
    </row>
    <row r="76" spans="1:9" ht="15.75" thickBot="1" x14ac:dyDescent="0.3">
      <c r="A76" s="167">
        <v>76</v>
      </c>
      <c r="B76" s="159"/>
      <c r="C76" s="539"/>
      <c r="D76" s="539"/>
      <c r="E76" s="160"/>
      <c r="F76" s="540"/>
      <c r="G76" s="541"/>
      <c r="H76" s="169" t="str">
        <f t="shared" si="6"/>
        <v/>
      </c>
      <c r="I76" s="153" t="str">
        <f t="shared" si="7"/>
        <v/>
      </c>
    </row>
    <row r="77" spans="1:9" ht="15.75" thickBot="1" x14ac:dyDescent="0.3">
      <c r="A77" s="167">
        <v>77</v>
      </c>
      <c r="B77" s="159"/>
      <c r="C77" s="539"/>
      <c r="D77" s="539"/>
      <c r="E77" s="160"/>
      <c r="F77" s="540"/>
      <c r="G77" s="541"/>
      <c r="H77" s="169" t="str">
        <f t="shared" si="6"/>
        <v/>
      </c>
      <c r="I77" s="153" t="str">
        <f t="shared" si="7"/>
        <v/>
      </c>
    </row>
    <row r="78" spans="1:9" ht="15.75" thickBot="1" x14ac:dyDescent="0.3">
      <c r="A78" s="167">
        <v>78</v>
      </c>
      <c r="B78" s="159"/>
      <c r="C78" s="539"/>
      <c r="D78" s="539"/>
      <c r="E78" s="160"/>
      <c r="F78" s="540"/>
      <c r="G78" s="541"/>
      <c r="H78" s="169" t="str">
        <f t="shared" si="6"/>
        <v/>
      </c>
      <c r="I78" s="153" t="str">
        <f t="shared" si="7"/>
        <v/>
      </c>
    </row>
    <row r="79" spans="1:9" ht="15.75" thickBot="1" x14ac:dyDescent="0.3">
      <c r="A79" s="167">
        <v>79</v>
      </c>
      <c r="B79" s="159"/>
      <c r="C79" s="539"/>
      <c r="D79" s="539"/>
      <c r="E79" s="160"/>
      <c r="F79" s="540"/>
      <c r="G79" s="541"/>
      <c r="H79" s="169" t="str">
        <f t="shared" si="6"/>
        <v/>
      </c>
      <c r="I79" s="153" t="str">
        <f t="shared" si="7"/>
        <v/>
      </c>
    </row>
    <row r="80" spans="1:9" ht="15.75" thickBot="1" x14ac:dyDescent="0.3">
      <c r="A80" s="167">
        <v>80</v>
      </c>
      <c r="B80" s="159"/>
      <c r="C80" s="539"/>
      <c r="D80" s="539"/>
      <c r="E80" s="160"/>
      <c r="F80" s="540"/>
      <c r="G80" s="541"/>
      <c r="H80" s="169" t="str">
        <f t="shared" si="6"/>
        <v/>
      </c>
      <c r="I80" s="153" t="str">
        <f t="shared" si="7"/>
        <v/>
      </c>
    </row>
    <row r="81" spans="1:9" ht="15.75" thickBot="1" x14ac:dyDescent="0.3">
      <c r="A81" s="167">
        <v>81</v>
      </c>
      <c r="B81" s="159"/>
      <c r="C81" s="539"/>
      <c r="D81" s="539"/>
      <c r="E81" s="160"/>
      <c r="F81" s="540"/>
      <c r="G81" s="541"/>
      <c r="H81" s="169" t="str">
        <f t="shared" si="6"/>
        <v/>
      </c>
      <c r="I81" s="153" t="str">
        <f t="shared" si="7"/>
        <v/>
      </c>
    </row>
    <row r="82" spans="1:9" ht="15.75" thickBot="1" x14ac:dyDescent="0.3">
      <c r="A82" s="167">
        <v>82</v>
      </c>
      <c r="B82" s="159"/>
      <c r="C82" s="539"/>
      <c r="D82" s="539"/>
      <c r="E82" s="160"/>
      <c r="F82" s="540"/>
      <c r="G82" s="541"/>
      <c r="H82" s="169" t="str">
        <f t="shared" si="6"/>
        <v/>
      </c>
      <c r="I82" s="153" t="str">
        <f t="shared" si="7"/>
        <v/>
      </c>
    </row>
    <row r="83" spans="1:9" ht="15.75" thickBot="1" x14ac:dyDescent="0.3">
      <c r="A83" s="167">
        <v>83</v>
      </c>
      <c r="B83" s="159"/>
      <c r="C83" s="539"/>
      <c r="D83" s="539"/>
      <c r="E83" s="160"/>
      <c r="F83" s="540"/>
      <c r="G83" s="541"/>
      <c r="H83" s="169" t="str">
        <f t="shared" si="6"/>
        <v/>
      </c>
      <c r="I83" s="153" t="str">
        <f t="shared" si="7"/>
        <v/>
      </c>
    </row>
    <row r="84" spans="1:9" ht="15.75" thickBot="1" x14ac:dyDescent="0.3">
      <c r="A84" s="167">
        <v>84</v>
      </c>
      <c r="B84" s="159"/>
      <c r="C84" s="539"/>
      <c r="D84" s="539"/>
      <c r="E84" s="160"/>
      <c r="F84" s="540"/>
      <c r="G84" s="541"/>
      <c r="H84" s="169" t="str">
        <f t="shared" si="6"/>
        <v/>
      </c>
      <c r="I84" s="153" t="str">
        <f t="shared" si="7"/>
        <v/>
      </c>
    </row>
    <row r="85" spans="1:9" ht="15.75" thickBot="1" x14ac:dyDescent="0.3">
      <c r="A85" s="167">
        <v>85</v>
      </c>
      <c r="B85" s="159"/>
      <c r="C85" s="539"/>
      <c r="D85" s="539"/>
      <c r="E85" s="160"/>
      <c r="F85" s="540"/>
      <c r="G85" s="541"/>
      <c r="H85" s="169" t="str">
        <f t="shared" si="6"/>
        <v/>
      </c>
      <c r="I85" s="153" t="str">
        <f t="shared" si="7"/>
        <v/>
      </c>
    </row>
    <row r="86" spans="1:9" ht="15.75" thickBot="1" x14ac:dyDescent="0.3">
      <c r="A86" s="167">
        <v>86</v>
      </c>
      <c r="B86" s="159"/>
      <c r="C86" s="539"/>
      <c r="D86" s="539"/>
      <c r="E86" s="160"/>
      <c r="F86" s="540"/>
      <c r="G86" s="541"/>
      <c r="H86" s="169" t="str">
        <f t="shared" si="6"/>
        <v/>
      </c>
      <c r="I86" s="153" t="str">
        <f t="shared" si="7"/>
        <v/>
      </c>
    </row>
    <row r="87" spans="1:9" ht="15.75" thickBot="1" x14ac:dyDescent="0.3">
      <c r="A87" s="167">
        <v>87</v>
      </c>
      <c r="B87" s="159"/>
      <c r="C87" s="539"/>
      <c r="D87" s="539"/>
      <c r="E87" s="160"/>
      <c r="F87" s="540"/>
      <c r="G87" s="541"/>
      <c r="H87" s="169" t="str">
        <f t="shared" si="6"/>
        <v/>
      </c>
      <c r="I87" s="153" t="str">
        <f t="shared" si="7"/>
        <v/>
      </c>
    </row>
    <row r="88" spans="1:9" ht="15.75" thickBot="1" x14ac:dyDescent="0.3">
      <c r="A88" s="167">
        <v>88</v>
      </c>
      <c r="B88" s="159"/>
      <c r="C88" s="539"/>
      <c r="D88" s="539"/>
      <c r="E88" s="160"/>
      <c r="F88" s="540"/>
      <c r="G88" s="541"/>
      <c r="H88" s="169" t="str">
        <f t="shared" si="6"/>
        <v/>
      </c>
      <c r="I88" s="153" t="str">
        <f t="shared" si="7"/>
        <v/>
      </c>
    </row>
    <row r="89" spans="1:9" ht="15.75" thickBot="1" x14ac:dyDescent="0.3">
      <c r="A89" s="167">
        <v>89</v>
      </c>
      <c r="B89" s="159"/>
      <c r="C89" s="539"/>
      <c r="D89" s="539"/>
      <c r="E89" s="160"/>
      <c r="F89" s="540"/>
      <c r="G89" s="541"/>
      <c r="H89" s="169" t="str">
        <f t="shared" si="6"/>
        <v/>
      </c>
      <c r="I89" s="153" t="str">
        <f t="shared" si="7"/>
        <v/>
      </c>
    </row>
    <row r="90" spans="1:9" ht="15.75" thickBot="1" x14ac:dyDescent="0.3">
      <c r="A90" s="167">
        <v>90</v>
      </c>
      <c r="B90" s="159"/>
      <c r="C90" s="539"/>
      <c r="D90" s="539"/>
      <c r="E90" s="160"/>
      <c r="F90" s="540"/>
      <c r="G90" s="541"/>
      <c r="H90" s="169" t="str">
        <f t="shared" si="6"/>
        <v/>
      </c>
      <c r="I90" s="153" t="str">
        <f t="shared" si="7"/>
        <v/>
      </c>
    </row>
    <row r="91" spans="1:9" ht="15.75" thickBot="1" x14ac:dyDescent="0.3">
      <c r="A91" s="167">
        <v>91</v>
      </c>
      <c r="B91" s="159"/>
      <c r="C91" s="539"/>
      <c r="D91" s="539"/>
      <c r="E91" s="160"/>
      <c r="F91" s="540"/>
      <c r="G91" s="541"/>
      <c r="H91" s="169" t="str">
        <f t="shared" si="6"/>
        <v/>
      </c>
      <c r="I91" s="153" t="str">
        <f t="shared" si="7"/>
        <v/>
      </c>
    </row>
    <row r="92" spans="1:9" ht="15.75" thickBot="1" x14ac:dyDescent="0.3">
      <c r="A92" s="167">
        <v>92</v>
      </c>
      <c r="B92" s="159"/>
      <c r="C92" s="539"/>
      <c r="D92" s="539"/>
      <c r="E92" s="160"/>
      <c r="F92" s="540"/>
      <c r="G92" s="541"/>
      <c r="H92" s="169" t="str">
        <f t="shared" si="6"/>
        <v/>
      </c>
      <c r="I92" s="153" t="str">
        <f t="shared" si="7"/>
        <v/>
      </c>
    </row>
    <row r="93" spans="1:9" ht="15.75" thickBot="1" x14ac:dyDescent="0.3">
      <c r="A93" s="167">
        <v>93</v>
      </c>
      <c r="B93" s="159"/>
      <c r="C93" s="539"/>
      <c r="D93" s="539"/>
      <c r="E93" s="160"/>
      <c r="F93" s="540"/>
      <c r="G93" s="541"/>
      <c r="H93" s="169" t="str">
        <f t="shared" si="6"/>
        <v/>
      </c>
      <c r="I93" s="153" t="str">
        <f t="shared" si="7"/>
        <v/>
      </c>
    </row>
    <row r="94" spans="1:9" ht="15.75" thickBot="1" x14ac:dyDescent="0.3">
      <c r="A94" s="167">
        <v>94</v>
      </c>
      <c r="B94" s="159"/>
      <c r="C94" s="539"/>
      <c r="D94" s="539"/>
      <c r="E94" s="160"/>
      <c r="F94" s="540"/>
      <c r="G94" s="541"/>
      <c r="H94" s="169" t="str">
        <f t="shared" si="6"/>
        <v/>
      </c>
      <c r="I94" s="153" t="str">
        <f t="shared" si="7"/>
        <v/>
      </c>
    </row>
    <row r="95" spans="1:9" ht="15.75" thickBot="1" x14ac:dyDescent="0.3">
      <c r="A95" s="167">
        <v>95</v>
      </c>
      <c r="B95" s="159"/>
      <c r="C95" s="539"/>
      <c r="D95" s="539"/>
      <c r="E95" s="160"/>
      <c r="F95" s="540"/>
      <c r="G95" s="541"/>
      <c r="H95" s="169" t="str">
        <f t="shared" ref="H95:H100" si="8">IF(B95="","",B95)</f>
        <v/>
      </c>
      <c r="I95" s="153" t="str">
        <f t="shared" ref="I95:I100" si="9">IF(E95="","",IF(OR(E95="супесь",E95="песок"),"ПС","СГ"))</f>
        <v/>
      </c>
    </row>
    <row r="96" spans="1:9" ht="15.75" thickBot="1" x14ac:dyDescent="0.3">
      <c r="A96" s="167">
        <v>96</v>
      </c>
      <c r="B96" s="159"/>
      <c r="C96" s="539"/>
      <c r="D96" s="539"/>
      <c r="E96" s="160"/>
      <c r="F96" s="540"/>
      <c r="G96" s="541"/>
      <c r="H96" s="169" t="str">
        <f t="shared" si="8"/>
        <v/>
      </c>
      <c r="I96" s="153" t="str">
        <f t="shared" si="9"/>
        <v/>
      </c>
    </row>
    <row r="97" spans="1:9" ht="15.75" thickBot="1" x14ac:dyDescent="0.3">
      <c r="A97" s="167">
        <v>97</v>
      </c>
      <c r="B97" s="159"/>
      <c r="C97" s="539"/>
      <c r="D97" s="539"/>
      <c r="E97" s="160"/>
      <c r="F97" s="540"/>
      <c r="G97" s="541"/>
      <c r="H97" s="169" t="str">
        <f t="shared" si="8"/>
        <v/>
      </c>
      <c r="I97" s="153" t="str">
        <f t="shared" si="9"/>
        <v/>
      </c>
    </row>
    <row r="98" spans="1:9" ht="15.75" thickBot="1" x14ac:dyDescent="0.3">
      <c r="A98" s="167">
        <v>98</v>
      </c>
      <c r="B98" s="159"/>
      <c r="C98" s="539"/>
      <c r="D98" s="539"/>
      <c r="E98" s="160"/>
      <c r="F98" s="540"/>
      <c r="G98" s="541"/>
      <c r="H98" s="169" t="str">
        <f t="shared" si="8"/>
        <v/>
      </c>
      <c r="I98" s="153" t="str">
        <f t="shared" si="9"/>
        <v/>
      </c>
    </row>
    <row r="99" spans="1:9" ht="15.75" thickBot="1" x14ac:dyDescent="0.3">
      <c r="A99" s="167">
        <v>99</v>
      </c>
      <c r="B99" s="159"/>
      <c r="C99" s="539"/>
      <c r="D99" s="539"/>
      <c r="E99" s="160"/>
      <c r="F99" s="540"/>
      <c r="G99" s="541"/>
      <c r="H99" s="169" t="str">
        <f t="shared" si="8"/>
        <v/>
      </c>
      <c r="I99" s="153" t="str">
        <f t="shared" si="9"/>
        <v/>
      </c>
    </row>
    <row r="100" spans="1:9" x14ac:dyDescent="0.25">
      <c r="A100" s="167">
        <v>100</v>
      </c>
      <c r="B100" s="159"/>
      <c r="C100" s="539"/>
      <c r="D100" s="539"/>
      <c r="E100" s="160"/>
      <c r="F100" s="540"/>
      <c r="G100" s="541"/>
      <c r="H100" s="169" t="str">
        <f t="shared" si="8"/>
        <v/>
      </c>
      <c r="I100" s="153" t="str">
        <f t="shared" si="9"/>
        <v/>
      </c>
    </row>
  </sheetData>
  <mergeCells count="200">
    <mergeCell ref="F6:G6"/>
    <mergeCell ref="F8:G8"/>
    <mergeCell ref="F7:G7"/>
    <mergeCell ref="F13:G13"/>
    <mergeCell ref="F14:G14"/>
    <mergeCell ref="C22:D22"/>
    <mergeCell ref="C20:D20"/>
    <mergeCell ref="C21:D21"/>
    <mergeCell ref="C24:D24"/>
    <mergeCell ref="C23:D23"/>
    <mergeCell ref="C17:D17"/>
    <mergeCell ref="C16:D16"/>
    <mergeCell ref="C18:D18"/>
    <mergeCell ref="C19:D19"/>
    <mergeCell ref="F25:G25"/>
    <mergeCell ref="F24:G24"/>
    <mergeCell ref="F18:G18"/>
    <mergeCell ref="F22:G22"/>
    <mergeCell ref="F20:G20"/>
    <mergeCell ref="F19:G19"/>
    <mergeCell ref="F21:G21"/>
    <mergeCell ref="F17:G17"/>
    <mergeCell ref="F16:G16"/>
    <mergeCell ref="C34:D34"/>
    <mergeCell ref="F34:G34"/>
    <mergeCell ref="C35:D35"/>
    <mergeCell ref="F35:G35"/>
    <mergeCell ref="C36:D36"/>
    <mergeCell ref="F36:G36"/>
    <mergeCell ref="F23:G23"/>
    <mergeCell ref="C31:D31"/>
    <mergeCell ref="F31:G31"/>
    <mergeCell ref="C32:D32"/>
    <mergeCell ref="F32:G32"/>
    <mergeCell ref="C33:D33"/>
    <mergeCell ref="F33:G33"/>
    <mergeCell ref="C29:D29"/>
    <mergeCell ref="F29:G29"/>
    <mergeCell ref="C30:D30"/>
    <mergeCell ref="F30:G30"/>
    <mergeCell ref="C26:D26"/>
    <mergeCell ref="F26:G26"/>
    <mergeCell ref="C27:D27"/>
    <mergeCell ref="F27:G27"/>
    <mergeCell ref="C28:D28"/>
    <mergeCell ref="F28:G28"/>
    <mergeCell ref="C25:D25"/>
    <mergeCell ref="C40:D40"/>
    <mergeCell ref="F40:G40"/>
    <mergeCell ref="C41:D41"/>
    <mergeCell ref="F41:G41"/>
    <mergeCell ref="C42:D42"/>
    <mergeCell ref="F42:G42"/>
    <mergeCell ref="C37:D37"/>
    <mergeCell ref="F37:G37"/>
    <mergeCell ref="C38:D38"/>
    <mergeCell ref="F38:G38"/>
    <mergeCell ref="C39:D39"/>
    <mergeCell ref="F39:G39"/>
    <mergeCell ref="C46:D46"/>
    <mergeCell ref="F46:G46"/>
    <mergeCell ref="C47:D47"/>
    <mergeCell ref="F47:G47"/>
    <mergeCell ref="C48:D48"/>
    <mergeCell ref="F48:G48"/>
    <mergeCell ref="C43:D43"/>
    <mergeCell ref="F43:G43"/>
    <mergeCell ref="C44:D44"/>
    <mergeCell ref="F44:G44"/>
    <mergeCell ref="C45:D45"/>
    <mergeCell ref="F45:G45"/>
    <mergeCell ref="C52:D52"/>
    <mergeCell ref="F52:G52"/>
    <mergeCell ref="C53:D53"/>
    <mergeCell ref="F53:G53"/>
    <mergeCell ref="C54:D54"/>
    <mergeCell ref="F54:G54"/>
    <mergeCell ref="C49:D49"/>
    <mergeCell ref="F49:G49"/>
    <mergeCell ref="C50:D50"/>
    <mergeCell ref="F50:G50"/>
    <mergeCell ref="C51:D51"/>
    <mergeCell ref="F51:G51"/>
    <mergeCell ref="C58:D58"/>
    <mergeCell ref="F58:G58"/>
    <mergeCell ref="C59:D59"/>
    <mergeCell ref="F59:G59"/>
    <mergeCell ref="C60:D60"/>
    <mergeCell ref="F60:G60"/>
    <mergeCell ref="C55:D55"/>
    <mergeCell ref="F55:G55"/>
    <mergeCell ref="C56:D56"/>
    <mergeCell ref="F56:G56"/>
    <mergeCell ref="C57:D57"/>
    <mergeCell ref="F57:G57"/>
    <mergeCell ref="C64:D64"/>
    <mergeCell ref="F64:G64"/>
    <mergeCell ref="C65:D65"/>
    <mergeCell ref="F65:G65"/>
    <mergeCell ref="C66:D66"/>
    <mergeCell ref="F66:G66"/>
    <mergeCell ref="C61:D61"/>
    <mergeCell ref="F61:G61"/>
    <mergeCell ref="C62:D62"/>
    <mergeCell ref="F62:G62"/>
    <mergeCell ref="C63:D63"/>
    <mergeCell ref="F63:G63"/>
    <mergeCell ref="C70:D70"/>
    <mergeCell ref="F70:G70"/>
    <mergeCell ref="C71:D71"/>
    <mergeCell ref="F71:G71"/>
    <mergeCell ref="C72:D72"/>
    <mergeCell ref="F72:G72"/>
    <mergeCell ref="C67:D67"/>
    <mergeCell ref="F67:G67"/>
    <mergeCell ref="C68:D68"/>
    <mergeCell ref="F68:G68"/>
    <mergeCell ref="C69:D69"/>
    <mergeCell ref="F69:G69"/>
    <mergeCell ref="C76:D76"/>
    <mergeCell ref="F76:G76"/>
    <mergeCell ref="C77:D77"/>
    <mergeCell ref="F77:G77"/>
    <mergeCell ref="C78:D78"/>
    <mergeCell ref="F78:G78"/>
    <mergeCell ref="C73:D73"/>
    <mergeCell ref="F73:G73"/>
    <mergeCell ref="C74:D74"/>
    <mergeCell ref="F74:G74"/>
    <mergeCell ref="C75:D75"/>
    <mergeCell ref="F75:G75"/>
    <mergeCell ref="C82:D82"/>
    <mergeCell ref="F82:G82"/>
    <mergeCell ref="C83:D83"/>
    <mergeCell ref="F83:G83"/>
    <mergeCell ref="C84:D84"/>
    <mergeCell ref="F84:G84"/>
    <mergeCell ref="C79:D79"/>
    <mergeCell ref="F79:G79"/>
    <mergeCell ref="C80:D80"/>
    <mergeCell ref="F80:G80"/>
    <mergeCell ref="C81:D81"/>
    <mergeCell ref="F81:G81"/>
    <mergeCell ref="F89:G89"/>
    <mergeCell ref="C90:D90"/>
    <mergeCell ref="F90:G90"/>
    <mergeCell ref="C85:D85"/>
    <mergeCell ref="F85:G85"/>
    <mergeCell ref="C86:D86"/>
    <mergeCell ref="F86:G86"/>
    <mergeCell ref="C87:D87"/>
    <mergeCell ref="F87:G87"/>
    <mergeCell ref="F5:G5"/>
    <mergeCell ref="C100:D100"/>
    <mergeCell ref="F100:G100"/>
    <mergeCell ref="C97:D97"/>
    <mergeCell ref="F97:G97"/>
    <mergeCell ref="C98:D98"/>
    <mergeCell ref="F98:G98"/>
    <mergeCell ref="C99:D99"/>
    <mergeCell ref="F99:G99"/>
    <mergeCell ref="C94:D94"/>
    <mergeCell ref="F94:G94"/>
    <mergeCell ref="C95:D95"/>
    <mergeCell ref="F95:G95"/>
    <mergeCell ref="C96:D96"/>
    <mergeCell ref="F96:G96"/>
    <mergeCell ref="C91:D91"/>
    <mergeCell ref="F91:G91"/>
    <mergeCell ref="C92:D92"/>
    <mergeCell ref="F92:G92"/>
    <mergeCell ref="C93:D93"/>
    <mergeCell ref="F93:G93"/>
    <mergeCell ref="C88:D88"/>
    <mergeCell ref="F88:G88"/>
    <mergeCell ref="C89:D89"/>
    <mergeCell ref="F15:G15"/>
    <mergeCell ref="C14:D14"/>
    <mergeCell ref="C15:D15"/>
    <mergeCell ref="F9:G9"/>
    <mergeCell ref="F10:G10"/>
    <mergeCell ref="F11:G11"/>
    <mergeCell ref="F12:G12"/>
    <mergeCell ref="C1:D1"/>
    <mergeCell ref="C2:D2"/>
    <mergeCell ref="C8:D8"/>
    <mergeCell ref="C9:D9"/>
    <mergeCell ref="C3:D3"/>
    <mergeCell ref="C11:D11"/>
    <mergeCell ref="C12:D12"/>
    <mergeCell ref="C13:D13"/>
    <mergeCell ref="C4:D4"/>
    <mergeCell ref="C5:D5"/>
    <mergeCell ref="C6:D6"/>
    <mergeCell ref="C7:D7"/>
    <mergeCell ref="C10:D10"/>
    <mergeCell ref="F2:G2"/>
    <mergeCell ref="F1:G1"/>
    <mergeCell ref="F3:G3"/>
    <mergeCell ref="F4:G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1465"/>
  <sheetViews>
    <sheetView topLeftCell="A220" workbookViewId="0">
      <selection activeCell="F137" sqref="F137"/>
    </sheetView>
  </sheetViews>
  <sheetFormatPr defaultRowHeight="15" x14ac:dyDescent="0.25"/>
  <cols>
    <col min="1" max="5" width="7.42578125" customWidth="1"/>
    <col min="6" max="7" width="7.42578125" style="453" customWidth="1"/>
    <col min="8" max="11" width="7.42578125" customWidth="1"/>
    <col min="12" max="12" width="9.140625" style="1"/>
  </cols>
  <sheetData>
    <row r="1" spans="1:12" x14ac:dyDescent="0.25">
      <c r="A1" s="553" t="s">
        <v>4</v>
      </c>
      <c r="B1" s="554"/>
      <c r="C1" s="554" t="s">
        <v>480</v>
      </c>
      <c r="D1" s="554" t="s">
        <v>480</v>
      </c>
      <c r="E1" s="554"/>
      <c r="F1" s="554" t="s">
        <v>480</v>
      </c>
      <c r="G1" s="554" t="s">
        <v>480</v>
      </c>
      <c r="H1" s="554" t="s">
        <v>480</v>
      </c>
      <c r="I1" s="554" t="s">
        <v>480</v>
      </c>
      <c r="J1" s="554" t="s">
        <v>480</v>
      </c>
      <c r="K1" s="554" t="s">
        <v>480</v>
      </c>
      <c r="L1" s="454"/>
    </row>
    <row r="2" spans="1:12" ht="73.5" x14ac:dyDescent="0.25">
      <c r="A2" s="429" t="s">
        <v>0</v>
      </c>
      <c r="B2" s="429"/>
      <c r="C2" s="552" t="s">
        <v>1</v>
      </c>
      <c r="D2" s="552" t="s">
        <v>1</v>
      </c>
      <c r="E2" s="429"/>
      <c r="F2" s="451" t="s">
        <v>481</v>
      </c>
      <c r="G2" s="451" t="s">
        <v>482</v>
      </c>
      <c r="H2" s="429" t="s">
        <v>483</v>
      </c>
      <c r="I2" s="552" t="s">
        <v>3</v>
      </c>
      <c r="J2" s="552" t="s">
        <v>3</v>
      </c>
      <c r="K2" s="429" t="s">
        <v>484</v>
      </c>
      <c r="L2" s="287"/>
    </row>
    <row r="3" spans="1:12" x14ac:dyDescent="0.25">
      <c r="A3" s="429" t="s">
        <v>4</v>
      </c>
      <c r="B3" s="429"/>
      <c r="C3" s="552" t="s">
        <v>5</v>
      </c>
      <c r="D3" s="552" t="s">
        <v>5</v>
      </c>
      <c r="E3" s="429"/>
      <c r="F3" s="451" t="s">
        <v>6</v>
      </c>
      <c r="G3" s="451" t="s">
        <v>12</v>
      </c>
      <c r="H3" s="429" t="s">
        <v>7</v>
      </c>
      <c r="I3" s="552" t="s">
        <v>167</v>
      </c>
      <c r="J3" s="552" t="s">
        <v>167</v>
      </c>
      <c r="K3" s="429" t="s">
        <v>168</v>
      </c>
      <c r="L3" s="455"/>
    </row>
    <row r="4" spans="1:12" ht="45" x14ac:dyDescent="0.25">
      <c r="A4" s="430" t="s">
        <v>4</v>
      </c>
      <c r="B4" s="430"/>
      <c r="C4" s="550" t="s">
        <v>485</v>
      </c>
      <c r="D4" s="550" t="s">
        <v>485</v>
      </c>
      <c r="E4" s="431"/>
      <c r="F4" s="497">
        <v>6.6</v>
      </c>
      <c r="G4" s="497" t="s">
        <v>590</v>
      </c>
      <c r="H4" s="430" t="s">
        <v>4</v>
      </c>
      <c r="I4" s="551" t="s">
        <v>198</v>
      </c>
      <c r="J4" s="551" t="s">
        <v>198</v>
      </c>
      <c r="K4" s="430" t="s">
        <v>486</v>
      </c>
      <c r="L4" s="456"/>
    </row>
    <row r="5" spans="1:12" ht="56.25" x14ac:dyDescent="0.25">
      <c r="A5" s="430" t="s">
        <v>5</v>
      </c>
      <c r="B5" s="430"/>
      <c r="C5" s="550" t="s">
        <v>137</v>
      </c>
      <c r="D5" s="550" t="s">
        <v>137</v>
      </c>
      <c r="E5" s="431"/>
      <c r="F5" s="497" t="s">
        <v>661</v>
      </c>
      <c r="G5" s="497" t="s">
        <v>598</v>
      </c>
      <c r="H5" s="430" t="s">
        <v>4</v>
      </c>
      <c r="I5" s="551" t="s">
        <v>199</v>
      </c>
      <c r="J5" s="551" t="s">
        <v>199</v>
      </c>
      <c r="K5" s="430" t="s">
        <v>487</v>
      </c>
      <c r="L5" s="456"/>
    </row>
    <row r="6" spans="1:12" ht="56.25" x14ac:dyDescent="0.25">
      <c r="A6" s="430" t="s">
        <v>6</v>
      </c>
      <c r="B6" s="430"/>
      <c r="C6" s="550" t="s">
        <v>132</v>
      </c>
      <c r="D6" s="550" t="s">
        <v>132</v>
      </c>
      <c r="E6" s="431"/>
      <c r="F6" s="497">
        <v>0.7</v>
      </c>
      <c r="G6" s="497" t="s">
        <v>612</v>
      </c>
      <c r="H6" s="430" t="s">
        <v>4</v>
      </c>
      <c r="I6" s="551" t="s">
        <v>199</v>
      </c>
      <c r="J6" s="551" t="s">
        <v>199</v>
      </c>
      <c r="K6" s="430" t="s">
        <v>488</v>
      </c>
      <c r="L6" s="456"/>
    </row>
    <row r="7" spans="1:12" ht="56.25" x14ac:dyDescent="0.25">
      <c r="A7" s="430" t="s">
        <v>12</v>
      </c>
      <c r="B7" s="430"/>
      <c r="C7" s="550" t="s">
        <v>110</v>
      </c>
      <c r="D7" s="550" t="s">
        <v>110</v>
      </c>
      <c r="E7" s="431"/>
      <c r="F7" s="497" t="s">
        <v>613</v>
      </c>
      <c r="G7" s="497" t="s">
        <v>89</v>
      </c>
      <c r="H7" s="430" t="s">
        <v>4</v>
      </c>
      <c r="I7" s="551" t="s">
        <v>199</v>
      </c>
      <c r="J7" s="551" t="s">
        <v>199</v>
      </c>
      <c r="K7" s="430" t="s">
        <v>488</v>
      </c>
      <c r="L7" s="456"/>
    </row>
    <row r="8" spans="1:12" ht="56.25" x14ac:dyDescent="0.25">
      <c r="A8" s="430" t="s">
        <v>7</v>
      </c>
      <c r="B8" s="430"/>
      <c r="C8" s="550" t="s">
        <v>107</v>
      </c>
      <c r="D8" s="550" t="s">
        <v>107</v>
      </c>
      <c r="E8" s="431"/>
      <c r="F8" s="497">
        <v>2</v>
      </c>
      <c r="G8" s="497" t="s">
        <v>614</v>
      </c>
      <c r="H8" s="430" t="s">
        <v>4</v>
      </c>
      <c r="I8" s="551" t="s">
        <v>199</v>
      </c>
      <c r="J8" s="551" t="s">
        <v>199</v>
      </c>
      <c r="K8" s="430" t="s">
        <v>488</v>
      </c>
      <c r="L8" s="456"/>
    </row>
    <row r="9" spans="1:12" ht="45" x14ac:dyDescent="0.25">
      <c r="A9" s="430" t="s">
        <v>167</v>
      </c>
      <c r="B9" s="430"/>
      <c r="C9" s="550" t="s">
        <v>99</v>
      </c>
      <c r="D9" s="550" t="s">
        <v>99</v>
      </c>
      <c r="E9" s="431"/>
      <c r="F9" s="497" t="s">
        <v>615</v>
      </c>
      <c r="G9" s="497" t="s">
        <v>616</v>
      </c>
      <c r="H9" s="430" t="s">
        <v>5</v>
      </c>
      <c r="I9" s="551" t="s">
        <v>199</v>
      </c>
      <c r="J9" s="551" t="s">
        <v>199</v>
      </c>
      <c r="K9" s="430" t="s">
        <v>491</v>
      </c>
      <c r="L9" s="456"/>
    </row>
    <row r="10" spans="1:12" ht="56.25" x14ac:dyDescent="0.25">
      <c r="A10" s="430" t="s">
        <v>168</v>
      </c>
      <c r="B10" s="430"/>
      <c r="C10" s="550" t="s">
        <v>93</v>
      </c>
      <c r="D10" s="550" t="s">
        <v>93</v>
      </c>
      <c r="E10" s="431"/>
      <c r="F10" s="497" t="s">
        <v>530</v>
      </c>
      <c r="G10" s="497" t="s">
        <v>89</v>
      </c>
      <c r="H10" s="430" t="s">
        <v>4</v>
      </c>
      <c r="I10" s="551" t="s">
        <v>199</v>
      </c>
      <c r="J10" s="551" t="s">
        <v>199</v>
      </c>
      <c r="K10" s="430" t="s">
        <v>488</v>
      </c>
      <c r="L10" s="456"/>
    </row>
    <row r="11" spans="1:12" ht="45" x14ac:dyDescent="0.25">
      <c r="A11" s="430" t="s">
        <v>169</v>
      </c>
      <c r="B11" s="430"/>
      <c r="C11" s="550" t="s">
        <v>492</v>
      </c>
      <c r="D11" s="550" t="s">
        <v>492</v>
      </c>
      <c r="E11" s="431"/>
      <c r="F11" s="497" t="s">
        <v>606</v>
      </c>
      <c r="G11" s="497" t="s">
        <v>96</v>
      </c>
      <c r="H11" s="430" t="s">
        <v>5</v>
      </c>
      <c r="I11" s="551" t="s">
        <v>493</v>
      </c>
      <c r="J11" s="551" t="s">
        <v>493</v>
      </c>
      <c r="K11" s="430" t="s">
        <v>494</v>
      </c>
      <c r="L11" s="456"/>
    </row>
    <row r="12" spans="1:12" ht="56.25" x14ac:dyDescent="0.25">
      <c r="A12" s="430" t="s">
        <v>27</v>
      </c>
      <c r="B12" s="430"/>
      <c r="C12" s="550" t="s">
        <v>80</v>
      </c>
      <c r="D12" s="550" t="s">
        <v>80</v>
      </c>
      <c r="E12" s="431"/>
      <c r="F12" s="497" t="s">
        <v>477</v>
      </c>
      <c r="G12" s="497" t="s">
        <v>497</v>
      </c>
      <c r="H12" s="430" t="s">
        <v>4</v>
      </c>
      <c r="I12" s="551" t="s">
        <v>199</v>
      </c>
      <c r="J12" s="551" t="s">
        <v>199</v>
      </c>
      <c r="K12" s="430" t="s">
        <v>488</v>
      </c>
      <c r="L12" s="456"/>
    </row>
    <row r="13" spans="1:12" ht="56.25" x14ac:dyDescent="0.25">
      <c r="A13" s="430" t="s">
        <v>170</v>
      </c>
      <c r="B13" s="430"/>
      <c r="C13" s="550" t="s">
        <v>66</v>
      </c>
      <c r="D13" s="550" t="s">
        <v>66</v>
      </c>
      <c r="E13" s="431"/>
      <c r="F13" s="497" t="s">
        <v>617</v>
      </c>
      <c r="G13" s="497" t="s">
        <v>529</v>
      </c>
      <c r="H13" s="430" t="s">
        <v>4</v>
      </c>
      <c r="I13" s="551" t="s">
        <v>199</v>
      </c>
      <c r="J13" s="551" t="s">
        <v>199</v>
      </c>
      <c r="K13" s="430" t="s">
        <v>488</v>
      </c>
      <c r="L13" s="456"/>
    </row>
    <row r="14" spans="1:12" x14ac:dyDescent="0.25">
      <c r="A14" s="161"/>
      <c r="B14" s="162"/>
      <c r="C14" s="162"/>
      <c r="D14" s="162"/>
      <c r="E14" s="162"/>
      <c r="F14" s="162"/>
      <c r="G14" s="162"/>
      <c r="H14" s="162"/>
      <c r="I14" s="162"/>
      <c r="J14" s="162"/>
      <c r="K14" s="163"/>
      <c r="L14" s="457"/>
    </row>
    <row r="15" spans="1:12" x14ac:dyDescent="0.25">
      <c r="A15" s="544" t="s">
        <v>5</v>
      </c>
      <c r="B15" s="544"/>
      <c r="C15" s="544" t="s">
        <v>496</v>
      </c>
      <c r="D15" s="544" t="s">
        <v>496</v>
      </c>
      <c r="E15" s="544"/>
      <c r="F15" s="544" t="s">
        <v>496</v>
      </c>
      <c r="G15" s="544" t="s">
        <v>496</v>
      </c>
      <c r="H15" s="544" t="s">
        <v>496</v>
      </c>
      <c r="I15" s="544" t="s">
        <v>496</v>
      </c>
      <c r="J15" s="544" t="s">
        <v>496</v>
      </c>
      <c r="K15" s="544" t="s">
        <v>496</v>
      </c>
      <c r="L15" s="454"/>
    </row>
    <row r="16" spans="1:12" ht="73.5" x14ac:dyDescent="0.25">
      <c r="A16" s="432" t="s">
        <v>0</v>
      </c>
      <c r="B16" s="432"/>
      <c r="C16" s="545" t="s">
        <v>1</v>
      </c>
      <c r="D16" s="545" t="s">
        <v>1</v>
      </c>
      <c r="E16" s="432"/>
      <c r="F16" s="446" t="s">
        <v>481</v>
      </c>
      <c r="G16" s="446" t="s">
        <v>482</v>
      </c>
      <c r="H16" s="432" t="s">
        <v>483</v>
      </c>
      <c r="I16" s="545" t="s">
        <v>3</v>
      </c>
      <c r="J16" s="545" t="s">
        <v>3</v>
      </c>
      <c r="K16" s="432" t="s">
        <v>484</v>
      </c>
      <c r="L16" s="287"/>
    </row>
    <row r="17" spans="1:12" x14ac:dyDescent="0.25">
      <c r="A17" s="432" t="s">
        <v>4</v>
      </c>
      <c r="B17" s="432"/>
      <c r="C17" s="545" t="s">
        <v>5</v>
      </c>
      <c r="D17" s="545" t="s">
        <v>5</v>
      </c>
      <c r="E17" s="432"/>
      <c r="F17" s="446" t="s">
        <v>6</v>
      </c>
      <c r="G17" s="446" t="s">
        <v>12</v>
      </c>
      <c r="H17" s="432" t="s">
        <v>7</v>
      </c>
      <c r="I17" s="545" t="s">
        <v>167</v>
      </c>
      <c r="J17" s="545" t="s">
        <v>167</v>
      </c>
      <c r="K17" s="432" t="s">
        <v>168</v>
      </c>
      <c r="L17" s="455"/>
    </row>
    <row r="18" spans="1:12" ht="45" x14ac:dyDescent="0.25">
      <c r="A18" s="433" t="s">
        <v>4</v>
      </c>
      <c r="B18" s="433"/>
      <c r="C18" s="542" t="s">
        <v>485</v>
      </c>
      <c r="D18" s="542" t="s">
        <v>485</v>
      </c>
      <c r="E18" s="434"/>
      <c r="F18" s="498">
        <v>6.6</v>
      </c>
      <c r="G18" s="498" t="s">
        <v>590</v>
      </c>
      <c r="H18" s="433" t="s">
        <v>4</v>
      </c>
      <c r="I18" s="543" t="s">
        <v>198</v>
      </c>
      <c r="J18" s="543" t="s">
        <v>198</v>
      </c>
      <c r="K18" s="433" t="s">
        <v>486</v>
      </c>
      <c r="L18" s="456"/>
    </row>
    <row r="19" spans="1:12" ht="56.25" x14ac:dyDescent="0.25">
      <c r="A19" s="433" t="s">
        <v>5</v>
      </c>
      <c r="B19" s="433"/>
      <c r="C19" s="542" t="s">
        <v>137</v>
      </c>
      <c r="D19" s="542" t="s">
        <v>137</v>
      </c>
      <c r="E19" s="434"/>
      <c r="F19" s="498" t="s">
        <v>662</v>
      </c>
      <c r="G19" s="498" t="s">
        <v>598</v>
      </c>
      <c r="H19" s="433" t="s">
        <v>4</v>
      </c>
      <c r="I19" s="543" t="s">
        <v>199</v>
      </c>
      <c r="J19" s="543" t="s">
        <v>199</v>
      </c>
      <c r="K19" s="433" t="s">
        <v>487</v>
      </c>
      <c r="L19" s="456"/>
    </row>
    <row r="20" spans="1:12" ht="56.25" x14ac:dyDescent="0.25">
      <c r="A20" s="433" t="s">
        <v>6</v>
      </c>
      <c r="B20" s="433"/>
      <c r="C20" s="542" t="s">
        <v>132</v>
      </c>
      <c r="D20" s="542" t="s">
        <v>132</v>
      </c>
      <c r="E20" s="434"/>
      <c r="F20" s="498">
        <v>0.19</v>
      </c>
      <c r="G20" s="498" t="s">
        <v>591</v>
      </c>
      <c r="H20" s="433" t="s">
        <v>4</v>
      </c>
      <c r="I20" s="543" t="s">
        <v>199</v>
      </c>
      <c r="J20" s="543" t="s">
        <v>199</v>
      </c>
      <c r="K20" s="433" t="s">
        <v>488</v>
      </c>
      <c r="L20" s="456"/>
    </row>
    <row r="21" spans="1:12" ht="56.25" x14ac:dyDescent="0.25">
      <c r="A21" s="433" t="s">
        <v>12</v>
      </c>
      <c r="B21" s="433"/>
      <c r="C21" s="542" t="s">
        <v>110</v>
      </c>
      <c r="D21" s="542" t="s">
        <v>110</v>
      </c>
      <c r="E21" s="434"/>
      <c r="F21" s="498">
        <v>9.6999999999999993</v>
      </c>
      <c r="G21" s="498" t="s">
        <v>594</v>
      </c>
      <c r="H21" s="433" t="s">
        <v>4</v>
      </c>
      <c r="I21" s="543" t="s">
        <v>199</v>
      </c>
      <c r="J21" s="543" t="s">
        <v>199</v>
      </c>
      <c r="K21" s="433" t="s">
        <v>488</v>
      </c>
      <c r="L21" s="456"/>
    </row>
    <row r="22" spans="1:12" ht="56.25" x14ac:dyDescent="0.25">
      <c r="A22" s="433" t="s">
        <v>7</v>
      </c>
      <c r="B22" s="433"/>
      <c r="C22" s="542" t="s">
        <v>107</v>
      </c>
      <c r="D22" s="542" t="s">
        <v>107</v>
      </c>
      <c r="E22" s="434"/>
      <c r="F22" s="498">
        <v>4.2</v>
      </c>
      <c r="G22" s="498" t="s">
        <v>618</v>
      </c>
      <c r="H22" s="433" t="s">
        <v>4</v>
      </c>
      <c r="I22" s="543" t="s">
        <v>199</v>
      </c>
      <c r="J22" s="543" t="s">
        <v>199</v>
      </c>
      <c r="K22" s="433" t="s">
        <v>488</v>
      </c>
      <c r="L22" s="456"/>
    </row>
    <row r="23" spans="1:12" ht="45" x14ac:dyDescent="0.25">
      <c r="A23" s="433" t="s">
        <v>167</v>
      </c>
      <c r="B23" s="433"/>
      <c r="C23" s="542" t="s">
        <v>99</v>
      </c>
      <c r="D23" s="542" t="s">
        <v>99</v>
      </c>
      <c r="E23" s="434"/>
      <c r="F23" s="498" t="s">
        <v>619</v>
      </c>
      <c r="G23" s="498" t="s">
        <v>507</v>
      </c>
      <c r="H23" s="433" t="s">
        <v>5</v>
      </c>
      <c r="I23" s="543" t="s">
        <v>199</v>
      </c>
      <c r="J23" s="543" t="s">
        <v>199</v>
      </c>
      <c r="K23" s="433" t="s">
        <v>491</v>
      </c>
      <c r="L23" s="456"/>
    </row>
    <row r="24" spans="1:12" ht="56.25" x14ac:dyDescent="0.25">
      <c r="A24" s="433" t="s">
        <v>168</v>
      </c>
      <c r="B24" s="433"/>
      <c r="C24" s="542" t="s">
        <v>93</v>
      </c>
      <c r="D24" s="542" t="s">
        <v>93</v>
      </c>
      <c r="E24" s="434"/>
      <c r="F24" s="498" t="s">
        <v>236</v>
      </c>
      <c r="G24" s="498" t="s">
        <v>489</v>
      </c>
      <c r="H24" s="433" t="s">
        <v>4</v>
      </c>
      <c r="I24" s="543" t="s">
        <v>199</v>
      </c>
      <c r="J24" s="543" t="s">
        <v>199</v>
      </c>
      <c r="K24" s="433" t="s">
        <v>488</v>
      </c>
      <c r="L24" s="456"/>
    </row>
    <row r="25" spans="1:12" ht="45" x14ac:dyDescent="0.25">
      <c r="A25" s="433" t="s">
        <v>169</v>
      </c>
      <c r="B25" s="433"/>
      <c r="C25" s="542" t="s">
        <v>492</v>
      </c>
      <c r="D25" s="542" t="s">
        <v>492</v>
      </c>
      <c r="E25" s="434"/>
      <c r="F25" s="498" t="s">
        <v>583</v>
      </c>
      <c r="G25" s="498" t="s">
        <v>556</v>
      </c>
      <c r="H25" s="433" t="s">
        <v>5</v>
      </c>
      <c r="I25" s="543" t="s">
        <v>493</v>
      </c>
      <c r="J25" s="543" t="s">
        <v>493</v>
      </c>
      <c r="K25" s="433" t="s">
        <v>494</v>
      </c>
      <c r="L25" s="456"/>
    </row>
    <row r="26" spans="1:12" ht="56.25" x14ac:dyDescent="0.25">
      <c r="A26" s="433" t="s">
        <v>27</v>
      </c>
      <c r="B26" s="433"/>
      <c r="C26" s="542" t="s">
        <v>80</v>
      </c>
      <c r="D26" s="542" t="s">
        <v>80</v>
      </c>
      <c r="E26" s="434"/>
      <c r="F26" s="498">
        <v>8.8000000000000007</v>
      </c>
      <c r="G26" s="498" t="s">
        <v>620</v>
      </c>
      <c r="H26" s="433" t="s">
        <v>4</v>
      </c>
      <c r="I26" s="543" t="s">
        <v>199</v>
      </c>
      <c r="J26" s="543" t="s">
        <v>199</v>
      </c>
      <c r="K26" s="433" t="s">
        <v>488</v>
      </c>
      <c r="L26" s="456"/>
    </row>
    <row r="27" spans="1:12" ht="56.25" x14ac:dyDescent="0.25">
      <c r="A27" s="433" t="s">
        <v>170</v>
      </c>
      <c r="B27" s="433"/>
      <c r="C27" s="542" t="s">
        <v>66</v>
      </c>
      <c r="D27" s="542" t="s">
        <v>66</v>
      </c>
      <c r="E27" s="434"/>
      <c r="F27" s="498" t="s">
        <v>592</v>
      </c>
      <c r="G27" s="498" t="s">
        <v>497</v>
      </c>
      <c r="H27" s="433" t="s">
        <v>4</v>
      </c>
      <c r="I27" s="543" t="s">
        <v>199</v>
      </c>
      <c r="J27" s="543" t="s">
        <v>199</v>
      </c>
      <c r="K27" s="433" t="s">
        <v>488</v>
      </c>
      <c r="L27" s="456"/>
    </row>
    <row r="28" spans="1:12" x14ac:dyDescent="0.25">
      <c r="A28" s="161"/>
      <c r="B28" s="162"/>
      <c r="C28" s="162"/>
      <c r="D28" s="162"/>
      <c r="E28" s="162"/>
      <c r="F28" s="162"/>
      <c r="G28" s="162"/>
      <c r="H28" s="162"/>
      <c r="I28" s="162"/>
      <c r="J28" s="162"/>
      <c r="K28" s="163"/>
      <c r="L28" s="457"/>
    </row>
    <row r="29" spans="1:12" x14ac:dyDescent="0.25">
      <c r="A29" s="544" t="s">
        <v>6</v>
      </c>
      <c r="B29" s="544"/>
      <c r="C29" s="544" t="s">
        <v>498</v>
      </c>
      <c r="D29" s="544" t="s">
        <v>498</v>
      </c>
      <c r="E29" s="544"/>
      <c r="F29" s="544" t="s">
        <v>498</v>
      </c>
      <c r="G29" s="544" t="s">
        <v>498</v>
      </c>
      <c r="H29" s="544" t="s">
        <v>498</v>
      </c>
      <c r="I29" s="544" t="s">
        <v>498</v>
      </c>
      <c r="J29" s="544" t="s">
        <v>498</v>
      </c>
      <c r="K29" s="544" t="s">
        <v>498</v>
      </c>
      <c r="L29" s="454"/>
    </row>
    <row r="30" spans="1:12" ht="73.5" x14ac:dyDescent="0.25">
      <c r="A30" s="435" t="s">
        <v>0</v>
      </c>
      <c r="B30" s="435"/>
      <c r="C30" s="545" t="s">
        <v>1</v>
      </c>
      <c r="D30" s="545" t="s">
        <v>1</v>
      </c>
      <c r="E30" s="435"/>
      <c r="F30" s="446" t="s">
        <v>481</v>
      </c>
      <c r="G30" s="446" t="s">
        <v>482</v>
      </c>
      <c r="H30" s="435" t="s">
        <v>483</v>
      </c>
      <c r="I30" s="545" t="s">
        <v>3</v>
      </c>
      <c r="J30" s="545" t="s">
        <v>3</v>
      </c>
      <c r="K30" s="435" t="s">
        <v>484</v>
      </c>
      <c r="L30" s="287"/>
    </row>
    <row r="31" spans="1:12" x14ac:dyDescent="0.25">
      <c r="A31" s="435" t="s">
        <v>4</v>
      </c>
      <c r="B31" s="435"/>
      <c r="C31" s="545" t="s">
        <v>5</v>
      </c>
      <c r="D31" s="545" t="s">
        <v>5</v>
      </c>
      <c r="E31" s="435"/>
      <c r="F31" s="446" t="s">
        <v>6</v>
      </c>
      <c r="G31" s="446" t="s">
        <v>12</v>
      </c>
      <c r="H31" s="435" t="s">
        <v>7</v>
      </c>
      <c r="I31" s="545" t="s">
        <v>167</v>
      </c>
      <c r="J31" s="545" t="s">
        <v>167</v>
      </c>
      <c r="K31" s="435" t="s">
        <v>168</v>
      </c>
      <c r="L31" s="455"/>
    </row>
    <row r="32" spans="1:12" ht="45" x14ac:dyDescent="0.25">
      <c r="A32" s="436" t="s">
        <v>4</v>
      </c>
      <c r="B32" s="436"/>
      <c r="C32" s="542" t="s">
        <v>485</v>
      </c>
      <c r="D32" s="542" t="s">
        <v>485</v>
      </c>
      <c r="E32" s="437"/>
      <c r="F32" s="499">
        <v>6.7</v>
      </c>
      <c r="G32" s="499" t="s">
        <v>590</v>
      </c>
      <c r="H32" s="436" t="s">
        <v>4</v>
      </c>
      <c r="I32" s="543" t="s">
        <v>198</v>
      </c>
      <c r="J32" s="543" t="s">
        <v>198</v>
      </c>
      <c r="K32" s="436" t="s">
        <v>486</v>
      </c>
      <c r="L32" s="456"/>
    </row>
    <row r="33" spans="1:12" ht="56.25" x14ac:dyDescent="0.25">
      <c r="A33" s="436" t="s">
        <v>5</v>
      </c>
      <c r="B33" s="436"/>
      <c r="C33" s="542" t="s">
        <v>137</v>
      </c>
      <c r="D33" s="542" t="s">
        <v>137</v>
      </c>
      <c r="E33" s="437"/>
      <c r="F33" s="499">
        <v>0.12</v>
      </c>
      <c r="G33" s="499" t="s">
        <v>593</v>
      </c>
      <c r="H33" s="436" t="s">
        <v>4</v>
      </c>
      <c r="I33" s="543" t="s">
        <v>199</v>
      </c>
      <c r="J33" s="543" t="s">
        <v>199</v>
      </c>
      <c r="K33" s="436" t="s">
        <v>487</v>
      </c>
      <c r="L33" s="456"/>
    </row>
    <row r="34" spans="1:12" ht="56.25" x14ac:dyDescent="0.25">
      <c r="A34" s="436" t="s">
        <v>6</v>
      </c>
      <c r="B34" s="436"/>
      <c r="C34" s="542" t="s">
        <v>132</v>
      </c>
      <c r="D34" s="542" t="s">
        <v>132</v>
      </c>
      <c r="E34" s="437"/>
      <c r="F34" s="499">
        <v>0.44</v>
      </c>
      <c r="G34" s="499" t="s">
        <v>604</v>
      </c>
      <c r="H34" s="436" t="s">
        <v>4</v>
      </c>
      <c r="I34" s="543" t="s">
        <v>199</v>
      </c>
      <c r="J34" s="543" t="s">
        <v>199</v>
      </c>
      <c r="K34" s="436" t="s">
        <v>488</v>
      </c>
      <c r="L34" s="456"/>
    </row>
    <row r="35" spans="1:12" ht="56.25" x14ac:dyDescent="0.25">
      <c r="A35" s="436" t="s">
        <v>12</v>
      </c>
      <c r="B35" s="436"/>
      <c r="C35" s="542" t="s">
        <v>110</v>
      </c>
      <c r="D35" s="542" t="s">
        <v>110</v>
      </c>
      <c r="E35" s="437"/>
      <c r="F35" s="499" t="s">
        <v>534</v>
      </c>
      <c r="G35" s="499" t="s">
        <v>59</v>
      </c>
      <c r="H35" s="436" t="s">
        <v>4</v>
      </c>
      <c r="I35" s="543" t="s">
        <v>199</v>
      </c>
      <c r="J35" s="543" t="s">
        <v>199</v>
      </c>
      <c r="K35" s="436" t="s">
        <v>488</v>
      </c>
      <c r="L35" s="456"/>
    </row>
    <row r="36" spans="1:12" ht="56.25" x14ac:dyDescent="0.25">
      <c r="A36" s="436" t="s">
        <v>7</v>
      </c>
      <c r="B36" s="436"/>
      <c r="C36" s="542" t="s">
        <v>107</v>
      </c>
      <c r="D36" s="542" t="s">
        <v>107</v>
      </c>
      <c r="E36" s="437"/>
      <c r="F36" s="499">
        <v>0.24</v>
      </c>
      <c r="G36" s="499" t="s">
        <v>621</v>
      </c>
      <c r="H36" s="436" t="s">
        <v>4</v>
      </c>
      <c r="I36" s="543" t="s">
        <v>199</v>
      </c>
      <c r="J36" s="543" t="s">
        <v>199</v>
      </c>
      <c r="K36" s="436" t="s">
        <v>488</v>
      </c>
      <c r="L36" s="456"/>
    </row>
    <row r="37" spans="1:12" ht="45" x14ac:dyDescent="0.25">
      <c r="A37" s="436" t="s">
        <v>167</v>
      </c>
      <c r="B37" s="436"/>
      <c r="C37" s="542" t="s">
        <v>99</v>
      </c>
      <c r="D37" s="542" t="s">
        <v>99</v>
      </c>
      <c r="E37" s="437"/>
      <c r="F37" s="499" t="s">
        <v>622</v>
      </c>
      <c r="G37" s="499" t="s">
        <v>510</v>
      </c>
      <c r="H37" s="436" t="s">
        <v>5</v>
      </c>
      <c r="I37" s="543" t="s">
        <v>199</v>
      </c>
      <c r="J37" s="543" t="s">
        <v>199</v>
      </c>
      <c r="K37" s="436" t="s">
        <v>491</v>
      </c>
      <c r="L37" s="456"/>
    </row>
    <row r="38" spans="1:12" ht="56.25" x14ac:dyDescent="0.25">
      <c r="A38" s="436" t="s">
        <v>168</v>
      </c>
      <c r="B38" s="436"/>
      <c r="C38" s="542" t="s">
        <v>93</v>
      </c>
      <c r="D38" s="542" t="s">
        <v>93</v>
      </c>
      <c r="E38" s="437"/>
      <c r="F38" s="499" t="s">
        <v>506</v>
      </c>
      <c r="G38" s="499" t="s">
        <v>67</v>
      </c>
      <c r="H38" s="436" t="s">
        <v>4</v>
      </c>
      <c r="I38" s="543" t="s">
        <v>199</v>
      </c>
      <c r="J38" s="543" t="s">
        <v>199</v>
      </c>
      <c r="K38" s="436" t="s">
        <v>488</v>
      </c>
      <c r="L38" s="456"/>
    </row>
    <row r="39" spans="1:12" ht="45" x14ac:dyDescent="0.25">
      <c r="A39" s="436" t="s">
        <v>169</v>
      </c>
      <c r="B39" s="436"/>
      <c r="C39" s="542" t="s">
        <v>492</v>
      </c>
      <c r="D39" s="542" t="s">
        <v>492</v>
      </c>
      <c r="E39" s="437"/>
      <c r="F39" s="499" t="s">
        <v>660</v>
      </c>
      <c r="G39" s="499" t="s">
        <v>113</v>
      </c>
      <c r="H39" s="436" t="s">
        <v>5</v>
      </c>
      <c r="I39" s="543" t="s">
        <v>493</v>
      </c>
      <c r="J39" s="543" t="s">
        <v>493</v>
      </c>
      <c r="K39" s="436" t="s">
        <v>494</v>
      </c>
      <c r="L39" s="456"/>
    </row>
    <row r="40" spans="1:12" ht="56.25" x14ac:dyDescent="0.25">
      <c r="A40" s="436" t="s">
        <v>27</v>
      </c>
      <c r="B40" s="436"/>
      <c r="C40" s="542" t="s">
        <v>80</v>
      </c>
      <c r="D40" s="542" t="s">
        <v>80</v>
      </c>
      <c r="E40" s="437"/>
      <c r="F40" s="499" t="s">
        <v>533</v>
      </c>
      <c r="G40" s="499" t="s">
        <v>67</v>
      </c>
      <c r="H40" s="436" t="s">
        <v>4</v>
      </c>
      <c r="I40" s="543" t="s">
        <v>199</v>
      </c>
      <c r="J40" s="543" t="s">
        <v>199</v>
      </c>
      <c r="K40" s="436" t="s">
        <v>488</v>
      </c>
      <c r="L40" s="456"/>
    </row>
    <row r="41" spans="1:12" ht="56.25" x14ac:dyDescent="0.25">
      <c r="A41" s="436" t="s">
        <v>170</v>
      </c>
      <c r="B41" s="436"/>
      <c r="C41" s="542" t="s">
        <v>66</v>
      </c>
      <c r="D41" s="542" t="s">
        <v>66</v>
      </c>
      <c r="E41" s="437"/>
      <c r="F41" s="499" t="s">
        <v>551</v>
      </c>
      <c r="G41" s="499" t="s">
        <v>113</v>
      </c>
      <c r="H41" s="436" t="s">
        <v>4</v>
      </c>
      <c r="I41" s="543" t="s">
        <v>199</v>
      </c>
      <c r="J41" s="543" t="s">
        <v>199</v>
      </c>
      <c r="K41" s="436" t="s">
        <v>488</v>
      </c>
      <c r="L41" s="456"/>
    </row>
    <row r="42" spans="1:12" x14ac:dyDescent="0.25">
      <c r="A42" s="282"/>
      <c r="B42" s="274"/>
      <c r="C42" s="274"/>
      <c r="D42" s="274"/>
      <c r="E42" s="274"/>
      <c r="F42" s="274"/>
      <c r="G42" s="274"/>
      <c r="H42" s="274"/>
      <c r="I42" s="274"/>
      <c r="J42" s="274"/>
      <c r="K42" s="163"/>
      <c r="L42" s="456"/>
    </row>
    <row r="43" spans="1:12" x14ac:dyDescent="0.25">
      <c r="A43" s="282"/>
      <c r="B43" s="274"/>
      <c r="C43" s="274"/>
      <c r="D43" s="274"/>
      <c r="E43" s="274"/>
      <c r="F43" s="274"/>
      <c r="G43" s="274"/>
      <c r="H43" s="274"/>
      <c r="I43" s="274"/>
      <c r="J43" s="274"/>
      <c r="K43" s="163"/>
      <c r="L43" s="456"/>
    </row>
    <row r="44" spans="1:12" x14ac:dyDescent="0.25">
      <c r="A44" s="161"/>
      <c r="B44" s="162"/>
      <c r="C44" s="162"/>
      <c r="D44" s="162"/>
      <c r="E44" s="162"/>
      <c r="F44" s="162"/>
      <c r="G44" s="162"/>
      <c r="H44" s="162"/>
      <c r="I44" s="162"/>
      <c r="J44" s="162"/>
      <c r="K44" s="163"/>
      <c r="L44" s="457"/>
    </row>
    <row r="45" spans="1:12" x14ac:dyDescent="0.25">
      <c r="A45" s="544" t="s">
        <v>12</v>
      </c>
      <c r="B45" s="544"/>
      <c r="C45" s="544" t="s">
        <v>499</v>
      </c>
      <c r="D45" s="544" t="s">
        <v>499</v>
      </c>
      <c r="E45" s="544"/>
      <c r="F45" s="544" t="s">
        <v>499</v>
      </c>
      <c r="G45" s="544" t="s">
        <v>499</v>
      </c>
      <c r="H45" s="544" t="s">
        <v>499</v>
      </c>
      <c r="I45" s="544" t="s">
        <v>499</v>
      </c>
      <c r="J45" s="544" t="s">
        <v>499</v>
      </c>
      <c r="K45" s="544" t="s">
        <v>499</v>
      </c>
      <c r="L45" s="454"/>
    </row>
    <row r="46" spans="1:12" ht="73.5" x14ac:dyDescent="0.25">
      <c r="A46" s="438" t="s">
        <v>0</v>
      </c>
      <c r="B46" s="438"/>
      <c r="C46" s="545" t="s">
        <v>1</v>
      </c>
      <c r="D46" s="545" t="s">
        <v>1</v>
      </c>
      <c r="E46" s="438"/>
      <c r="F46" s="446" t="s">
        <v>481</v>
      </c>
      <c r="G46" s="446" t="s">
        <v>482</v>
      </c>
      <c r="H46" s="438" t="s">
        <v>483</v>
      </c>
      <c r="I46" s="545" t="s">
        <v>3</v>
      </c>
      <c r="J46" s="545" t="s">
        <v>3</v>
      </c>
      <c r="K46" s="438" t="s">
        <v>484</v>
      </c>
      <c r="L46" s="287"/>
    </row>
    <row r="47" spans="1:12" x14ac:dyDescent="0.25">
      <c r="A47" s="438" t="s">
        <v>4</v>
      </c>
      <c r="B47" s="438"/>
      <c r="C47" s="545" t="s">
        <v>5</v>
      </c>
      <c r="D47" s="545" t="s">
        <v>5</v>
      </c>
      <c r="E47" s="438"/>
      <c r="F47" s="446" t="s">
        <v>6</v>
      </c>
      <c r="G47" s="446" t="s">
        <v>12</v>
      </c>
      <c r="H47" s="438" t="s">
        <v>7</v>
      </c>
      <c r="I47" s="545" t="s">
        <v>167</v>
      </c>
      <c r="J47" s="545" t="s">
        <v>167</v>
      </c>
      <c r="K47" s="438" t="s">
        <v>168</v>
      </c>
      <c r="L47" s="455"/>
    </row>
    <row r="48" spans="1:12" ht="45" x14ac:dyDescent="0.25">
      <c r="A48" s="439" t="s">
        <v>4</v>
      </c>
      <c r="B48" s="439"/>
      <c r="C48" s="542" t="s">
        <v>485</v>
      </c>
      <c r="D48" s="542" t="s">
        <v>485</v>
      </c>
      <c r="E48" s="440"/>
      <c r="F48" s="500">
        <v>7.1</v>
      </c>
      <c r="G48" s="500" t="s">
        <v>590</v>
      </c>
      <c r="H48" s="439" t="s">
        <v>4</v>
      </c>
      <c r="I48" s="543" t="s">
        <v>198</v>
      </c>
      <c r="J48" s="543" t="s">
        <v>198</v>
      </c>
      <c r="K48" s="439" t="s">
        <v>486</v>
      </c>
      <c r="L48" s="456"/>
    </row>
    <row r="49" spans="1:12" ht="56.25" x14ac:dyDescent="0.25">
      <c r="A49" s="439" t="s">
        <v>5</v>
      </c>
      <c r="B49" s="439"/>
      <c r="C49" s="542" t="s">
        <v>137</v>
      </c>
      <c r="D49" s="542" t="s">
        <v>137</v>
      </c>
      <c r="E49" s="440"/>
      <c r="F49" s="500">
        <v>0.16</v>
      </c>
      <c r="G49" s="500" t="s">
        <v>598</v>
      </c>
      <c r="H49" s="439" t="s">
        <v>4</v>
      </c>
      <c r="I49" s="543" t="s">
        <v>199</v>
      </c>
      <c r="J49" s="543" t="s">
        <v>199</v>
      </c>
      <c r="K49" s="439" t="s">
        <v>487</v>
      </c>
      <c r="L49" s="456"/>
    </row>
    <row r="50" spans="1:12" ht="56.25" x14ac:dyDescent="0.25">
      <c r="A50" s="439" t="s">
        <v>6</v>
      </c>
      <c r="B50" s="439"/>
      <c r="C50" s="542" t="s">
        <v>132</v>
      </c>
      <c r="D50" s="542" t="s">
        <v>132</v>
      </c>
      <c r="E50" s="440"/>
      <c r="F50" s="500">
        <v>0.7</v>
      </c>
      <c r="G50" s="500" t="s">
        <v>623</v>
      </c>
      <c r="H50" s="439" t="s">
        <v>4</v>
      </c>
      <c r="I50" s="543" t="s">
        <v>199</v>
      </c>
      <c r="J50" s="543" t="s">
        <v>199</v>
      </c>
      <c r="K50" s="439" t="s">
        <v>488</v>
      </c>
      <c r="L50" s="456"/>
    </row>
    <row r="51" spans="1:12" ht="56.25" x14ac:dyDescent="0.25">
      <c r="A51" s="439" t="s">
        <v>12</v>
      </c>
      <c r="B51" s="439"/>
      <c r="C51" s="542" t="s">
        <v>110</v>
      </c>
      <c r="D51" s="542" t="s">
        <v>110</v>
      </c>
      <c r="E51" s="440"/>
      <c r="F51" s="500" t="s">
        <v>599</v>
      </c>
      <c r="G51" s="500" t="s">
        <v>89</v>
      </c>
      <c r="H51" s="439" t="s">
        <v>4</v>
      </c>
      <c r="I51" s="543" t="s">
        <v>199</v>
      </c>
      <c r="J51" s="543" t="s">
        <v>199</v>
      </c>
      <c r="K51" s="439" t="s">
        <v>488</v>
      </c>
      <c r="L51" s="456"/>
    </row>
    <row r="52" spans="1:12" ht="56.25" x14ac:dyDescent="0.25">
      <c r="A52" s="439" t="s">
        <v>7</v>
      </c>
      <c r="B52" s="439"/>
      <c r="C52" s="542" t="s">
        <v>107</v>
      </c>
      <c r="D52" s="542" t="s">
        <v>107</v>
      </c>
      <c r="E52" s="440"/>
      <c r="F52" s="500" t="s">
        <v>169</v>
      </c>
      <c r="G52" s="500" t="s">
        <v>489</v>
      </c>
      <c r="H52" s="439" t="s">
        <v>4</v>
      </c>
      <c r="I52" s="543" t="s">
        <v>199</v>
      </c>
      <c r="J52" s="543" t="s">
        <v>199</v>
      </c>
      <c r="K52" s="439" t="s">
        <v>488</v>
      </c>
      <c r="L52" s="456"/>
    </row>
    <row r="53" spans="1:12" ht="45" x14ac:dyDescent="0.25">
      <c r="A53" s="439" t="s">
        <v>167</v>
      </c>
      <c r="B53" s="439"/>
      <c r="C53" s="542" t="s">
        <v>99</v>
      </c>
      <c r="D53" s="542" t="s">
        <v>99</v>
      </c>
      <c r="E53" s="440"/>
      <c r="F53" s="500" t="s">
        <v>624</v>
      </c>
      <c r="G53" s="500" t="s">
        <v>625</v>
      </c>
      <c r="H53" s="439" t="s">
        <v>5</v>
      </c>
      <c r="I53" s="543" t="s">
        <v>199</v>
      </c>
      <c r="J53" s="543" t="s">
        <v>199</v>
      </c>
      <c r="K53" s="439" t="s">
        <v>491</v>
      </c>
      <c r="L53" s="456"/>
    </row>
    <row r="54" spans="1:12" ht="56.25" x14ac:dyDescent="0.25">
      <c r="A54" s="439" t="s">
        <v>168</v>
      </c>
      <c r="B54" s="439"/>
      <c r="C54" s="542" t="s">
        <v>93</v>
      </c>
      <c r="D54" s="542" t="s">
        <v>93</v>
      </c>
      <c r="E54" s="440"/>
      <c r="F54" s="500" t="s">
        <v>514</v>
      </c>
      <c r="G54" s="500" t="s">
        <v>497</v>
      </c>
      <c r="H54" s="439" t="s">
        <v>4</v>
      </c>
      <c r="I54" s="543" t="s">
        <v>199</v>
      </c>
      <c r="J54" s="543" t="s">
        <v>199</v>
      </c>
      <c r="K54" s="439" t="s">
        <v>488</v>
      </c>
      <c r="L54" s="456"/>
    </row>
    <row r="55" spans="1:12" ht="45" x14ac:dyDescent="0.25">
      <c r="A55" s="439" t="s">
        <v>169</v>
      </c>
      <c r="B55" s="439"/>
      <c r="C55" s="542" t="s">
        <v>492</v>
      </c>
      <c r="D55" s="542" t="s">
        <v>492</v>
      </c>
      <c r="E55" s="440"/>
      <c r="F55" s="500" t="s">
        <v>658</v>
      </c>
      <c r="G55" s="500" t="s">
        <v>96</v>
      </c>
      <c r="H55" s="439" t="s">
        <v>5</v>
      </c>
      <c r="I55" s="543" t="s">
        <v>493</v>
      </c>
      <c r="J55" s="543" t="s">
        <v>493</v>
      </c>
      <c r="K55" s="439" t="s">
        <v>494</v>
      </c>
      <c r="L55" s="456"/>
    </row>
    <row r="56" spans="1:12" ht="56.25" x14ac:dyDescent="0.25">
      <c r="A56" s="439" t="s">
        <v>27</v>
      </c>
      <c r="B56" s="439"/>
      <c r="C56" s="542" t="s">
        <v>80</v>
      </c>
      <c r="D56" s="542" t="s">
        <v>80</v>
      </c>
      <c r="E56" s="440"/>
      <c r="F56" s="500" t="s">
        <v>534</v>
      </c>
      <c r="G56" s="500" t="s">
        <v>89</v>
      </c>
      <c r="H56" s="439" t="s">
        <v>4</v>
      </c>
      <c r="I56" s="543" t="s">
        <v>199</v>
      </c>
      <c r="J56" s="543" t="s">
        <v>199</v>
      </c>
      <c r="K56" s="439" t="s">
        <v>488</v>
      </c>
      <c r="L56" s="456"/>
    </row>
    <row r="57" spans="1:12" ht="56.25" x14ac:dyDescent="0.25">
      <c r="A57" s="439" t="s">
        <v>170</v>
      </c>
      <c r="B57" s="439"/>
      <c r="C57" s="542" t="s">
        <v>66</v>
      </c>
      <c r="D57" s="542" t="s">
        <v>66</v>
      </c>
      <c r="E57" s="440"/>
      <c r="F57" s="500" t="s">
        <v>602</v>
      </c>
      <c r="G57" s="500" t="s">
        <v>490</v>
      </c>
      <c r="H57" s="439" t="s">
        <v>4</v>
      </c>
      <c r="I57" s="543" t="s">
        <v>199</v>
      </c>
      <c r="J57" s="543" t="s">
        <v>199</v>
      </c>
      <c r="K57" s="439" t="s">
        <v>488</v>
      </c>
      <c r="L57" s="456"/>
    </row>
    <row r="58" spans="1:12" x14ac:dyDescent="0.25">
      <c r="A58" s="161"/>
      <c r="B58" s="162"/>
      <c r="C58" s="162"/>
      <c r="D58" s="162"/>
      <c r="E58" s="162"/>
      <c r="F58" s="162"/>
      <c r="G58" s="162"/>
      <c r="H58" s="162"/>
      <c r="I58" s="162"/>
      <c r="J58" s="162"/>
      <c r="K58" s="163"/>
      <c r="L58" s="457"/>
    </row>
    <row r="59" spans="1:12" x14ac:dyDescent="0.25">
      <c r="A59" s="544" t="s">
        <v>7</v>
      </c>
      <c r="B59" s="544"/>
      <c r="C59" s="544" t="s">
        <v>499</v>
      </c>
      <c r="D59" s="544" t="s">
        <v>499</v>
      </c>
      <c r="E59" s="544"/>
      <c r="F59" s="544" t="s">
        <v>499</v>
      </c>
      <c r="G59" s="544" t="s">
        <v>499</v>
      </c>
      <c r="H59" s="544" t="s">
        <v>499</v>
      </c>
      <c r="I59" s="544" t="s">
        <v>499</v>
      </c>
      <c r="J59" s="544" t="s">
        <v>499</v>
      </c>
      <c r="K59" s="544" t="s">
        <v>499</v>
      </c>
      <c r="L59" s="454"/>
    </row>
    <row r="60" spans="1:12" ht="73.5" x14ac:dyDescent="0.25">
      <c r="A60" s="441" t="s">
        <v>0</v>
      </c>
      <c r="B60" s="441"/>
      <c r="C60" s="545" t="s">
        <v>1</v>
      </c>
      <c r="D60" s="545" t="s">
        <v>1</v>
      </c>
      <c r="E60" s="441"/>
      <c r="F60" s="446" t="s">
        <v>481</v>
      </c>
      <c r="G60" s="446" t="s">
        <v>482</v>
      </c>
      <c r="H60" s="441" t="s">
        <v>483</v>
      </c>
      <c r="I60" s="545" t="s">
        <v>3</v>
      </c>
      <c r="J60" s="545" t="s">
        <v>3</v>
      </c>
      <c r="K60" s="441" t="s">
        <v>484</v>
      </c>
      <c r="L60" s="287"/>
    </row>
    <row r="61" spans="1:12" x14ac:dyDescent="0.25">
      <c r="A61" s="441" t="s">
        <v>4</v>
      </c>
      <c r="B61" s="441"/>
      <c r="C61" s="545" t="s">
        <v>5</v>
      </c>
      <c r="D61" s="545" t="s">
        <v>5</v>
      </c>
      <c r="E61" s="441"/>
      <c r="F61" s="446" t="s">
        <v>6</v>
      </c>
      <c r="G61" s="446" t="s">
        <v>12</v>
      </c>
      <c r="H61" s="441" t="s">
        <v>7</v>
      </c>
      <c r="I61" s="545" t="s">
        <v>167</v>
      </c>
      <c r="J61" s="545" t="s">
        <v>167</v>
      </c>
      <c r="K61" s="441" t="s">
        <v>168</v>
      </c>
      <c r="L61" s="455"/>
    </row>
    <row r="62" spans="1:12" ht="45" x14ac:dyDescent="0.25">
      <c r="A62" s="442" t="s">
        <v>4</v>
      </c>
      <c r="B62" s="442"/>
      <c r="C62" s="542" t="s">
        <v>485</v>
      </c>
      <c r="D62" s="542" t="s">
        <v>485</v>
      </c>
      <c r="E62" s="440"/>
      <c r="F62" s="501">
        <v>6.7</v>
      </c>
      <c r="G62" s="501" t="s">
        <v>590</v>
      </c>
      <c r="H62" s="442" t="s">
        <v>4</v>
      </c>
      <c r="I62" s="543" t="s">
        <v>198</v>
      </c>
      <c r="J62" s="543" t="s">
        <v>198</v>
      </c>
      <c r="K62" s="442" t="s">
        <v>486</v>
      </c>
      <c r="L62" s="456"/>
    </row>
    <row r="63" spans="1:12" ht="56.25" x14ac:dyDescent="0.25">
      <c r="A63" s="442" t="s">
        <v>5</v>
      </c>
      <c r="B63" s="442"/>
      <c r="C63" s="542" t="s">
        <v>137</v>
      </c>
      <c r="D63" s="542" t="s">
        <v>137</v>
      </c>
      <c r="E63" s="440"/>
      <c r="F63" s="501" t="s">
        <v>663</v>
      </c>
      <c r="G63" s="501" t="s">
        <v>598</v>
      </c>
      <c r="H63" s="442" t="s">
        <v>4</v>
      </c>
      <c r="I63" s="543" t="s">
        <v>199</v>
      </c>
      <c r="J63" s="543" t="s">
        <v>199</v>
      </c>
      <c r="K63" s="442" t="s">
        <v>487</v>
      </c>
      <c r="L63" s="456"/>
    </row>
    <row r="64" spans="1:12" ht="56.25" x14ac:dyDescent="0.25">
      <c r="A64" s="442" t="s">
        <v>6</v>
      </c>
      <c r="B64" s="442"/>
      <c r="C64" s="542" t="s">
        <v>132</v>
      </c>
      <c r="D64" s="542" t="s">
        <v>132</v>
      </c>
      <c r="E64" s="440"/>
      <c r="F64" s="501">
        <v>0.32</v>
      </c>
      <c r="G64" s="501" t="s">
        <v>627</v>
      </c>
      <c r="H64" s="442" t="s">
        <v>4</v>
      </c>
      <c r="I64" s="543" t="s">
        <v>199</v>
      </c>
      <c r="J64" s="543" t="s">
        <v>199</v>
      </c>
      <c r="K64" s="442" t="s">
        <v>488</v>
      </c>
      <c r="L64" s="456"/>
    </row>
    <row r="65" spans="1:12" ht="56.25" x14ac:dyDescent="0.25">
      <c r="A65" s="442" t="s">
        <v>12</v>
      </c>
      <c r="B65" s="442"/>
      <c r="C65" s="542" t="s">
        <v>110</v>
      </c>
      <c r="D65" s="542" t="s">
        <v>110</v>
      </c>
      <c r="E65" s="440"/>
      <c r="F65" s="501" t="s">
        <v>269</v>
      </c>
      <c r="G65" s="501" t="s">
        <v>63</v>
      </c>
      <c r="H65" s="442" t="s">
        <v>4</v>
      </c>
      <c r="I65" s="543" t="s">
        <v>199</v>
      </c>
      <c r="J65" s="543" t="s">
        <v>199</v>
      </c>
      <c r="K65" s="442" t="s">
        <v>488</v>
      </c>
      <c r="L65" s="456"/>
    </row>
    <row r="66" spans="1:12" ht="56.25" x14ac:dyDescent="0.25">
      <c r="A66" s="442" t="s">
        <v>7</v>
      </c>
      <c r="B66" s="442"/>
      <c r="C66" s="542" t="s">
        <v>107</v>
      </c>
      <c r="D66" s="542" t="s">
        <v>107</v>
      </c>
      <c r="E66" s="440"/>
      <c r="F66" s="501" t="s">
        <v>169</v>
      </c>
      <c r="G66" s="501" t="s">
        <v>489</v>
      </c>
      <c r="H66" s="442" t="s">
        <v>4</v>
      </c>
      <c r="I66" s="543" t="s">
        <v>199</v>
      </c>
      <c r="J66" s="543" t="s">
        <v>199</v>
      </c>
      <c r="K66" s="442" t="s">
        <v>488</v>
      </c>
      <c r="L66" s="456"/>
    </row>
    <row r="67" spans="1:12" ht="45" x14ac:dyDescent="0.25">
      <c r="A67" s="442" t="s">
        <v>167</v>
      </c>
      <c r="B67" s="442"/>
      <c r="C67" s="542" t="s">
        <v>99</v>
      </c>
      <c r="D67" s="542" t="s">
        <v>99</v>
      </c>
      <c r="E67" s="440"/>
      <c r="F67" s="501" t="s">
        <v>628</v>
      </c>
      <c r="G67" s="501" t="s">
        <v>113</v>
      </c>
      <c r="H67" s="442" t="s">
        <v>5</v>
      </c>
      <c r="I67" s="543" t="s">
        <v>199</v>
      </c>
      <c r="J67" s="543" t="s">
        <v>199</v>
      </c>
      <c r="K67" s="442" t="s">
        <v>491</v>
      </c>
      <c r="L67" s="456"/>
    </row>
    <row r="68" spans="1:12" ht="56.25" x14ac:dyDescent="0.25">
      <c r="A68" s="442" t="s">
        <v>168</v>
      </c>
      <c r="B68" s="442"/>
      <c r="C68" s="542" t="s">
        <v>93</v>
      </c>
      <c r="D68" s="542" t="s">
        <v>93</v>
      </c>
      <c r="E68" s="440"/>
      <c r="F68" s="501" t="s">
        <v>239</v>
      </c>
      <c r="G68" s="501" t="s">
        <v>67</v>
      </c>
      <c r="H68" s="442" t="s">
        <v>4</v>
      </c>
      <c r="I68" s="543" t="s">
        <v>199</v>
      </c>
      <c r="J68" s="543" t="s">
        <v>199</v>
      </c>
      <c r="K68" s="442" t="s">
        <v>488</v>
      </c>
      <c r="L68" s="456"/>
    </row>
    <row r="69" spans="1:12" ht="45" x14ac:dyDescent="0.25">
      <c r="A69" s="442" t="s">
        <v>169</v>
      </c>
      <c r="B69" s="442"/>
      <c r="C69" s="542" t="s">
        <v>492</v>
      </c>
      <c r="D69" s="542" t="s">
        <v>492</v>
      </c>
      <c r="E69" s="440"/>
      <c r="F69" s="501" t="s">
        <v>659</v>
      </c>
      <c r="G69" s="501" t="s">
        <v>114</v>
      </c>
      <c r="H69" s="442" t="s">
        <v>5</v>
      </c>
      <c r="I69" s="543" t="s">
        <v>493</v>
      </c>
      <c r="J69" s="543" t="s">
        <v>493</v>
      </c>
      <c r="K69" s="442" t="s">
        <v>494</v>
      </c>
      <c r="L69" s="456"/>
    </row>
    <row r="70" spans="1:12" ht="56.25" x14ac:dyDescent="0.25">
      <c r="A70" s="442" t="s">
        <v>27</v>
      </c>
      <c r="B70" s="442"/>
      <c r="C70" s="542" t="s">
        <v>80</v>
      </c>
      <c r="D70" s="542" t="s">
        <v>80</v>
      </c>
      <c r="E70" s="440"/>
      <c r="F70" s="501" t="s">
        <v>244</v>
      </c>
      <c r="G70" s="501" t="s">
        <v>489</v>
      </c>
      <c r="H70" s="442" t="s">
        <v>4</v>
      </c>
      <c r="I70" s="543" t="s">
        <v>199</v>
      </c>
      <c r="J70" s="543" t="s">
        <v>199</v>
      </c>
      <c r="K70" s="442" t="s">
        <v>488</v>
      </c>
      <c r="L70" s="456"/>
    </row>
    <row r="71" spans="1:12" ht="56.25" x14ac:dyDescent="0.25">
      <c r="A71" s="442" t="s">
        <v>170</v>
      </c>
      <c r="B71" s="442"/>
      <c r="C71" s="542" t="s">
        <v>66</v>
      </c>
      <c r="D71" s="542" t="s">
        <v>66</v>
      </c>
      <c r="E71" s="440"/>
      <c r="F71" s="501" t="s">
        <v>509</v>
      </c>
      <c r="G71" s="501" t="s">
        <v>495</v>
      </c>
      <c r="H71" s="442" t="s">
        <v>4</v>
      </c>
      <c r="I71" s="543" t="s">
        <v>199</v>
      </c>
      <c r="J71" s="543" t="s">
        <v>199</v>
      </c>
      <c r="K71" s="442" t="s">
        <v>488</v>
      </c>
      <c r="L71" s="456"/>
    </row>
    <row r="72" spans="1:12" x14ac:dyDescent="0.25">
      <c r="A72" s="161"/>
      <c r="B72" s="162"/>
      <c r="C72" s="162"/>
      <c r="D72" s="162"/>
      <c r="E72" s="162"/>
      <c r="F72" s="162"/>
      <c r="G72" s="162"/>
      <c r="H72" s="162"/>
      <c r="I72" s="162"/>
      <c r="J72" s="162"/>
      <c r="K72" s="163"/>
      <c r="L72" s="457"/>
    </row>
    <row r="73" spans="1:12" x14ac:dyDescent="0.25">
      <c r="A73" s="544" t="s">
        <v>167</v>
      </c>
      <c r="B73" s="544"/>
      <c r="C73" s="544" t="s">
        <v>499</v>
      </c>
      <c r="D73" s="544" t="s">
        <v>499</v>
      </c>
      <c r="E73" s="544"/>
      <c r="F73" s="544" t="s">
        <v>499</v>
      </c>
      <c r="G73" s="544" t="s">
        <v>499</v>
      </c>
      <c r="H73" s="544" t="s">
        <v>499</v>
      </c>
      <c r="I73" s="544" t="s">
        <v>499</v>
      </c>
      <c r="J73" s="544" t="s">
        <v>499</v>
      </c>
      <c r="K73" s="544" t="s">
        <v>499</v>
      </c>
      <c r="L73" s="454"/>
    </row>
    <row r="74" spans="1:12" ht="73.5" x14ac:dyDescent="0.25">
      <c r="A74" s="441" t="s">
        <v>0</v>
      </c>
      <c r="B74" s="441"/>
      <c r="C74" s="545" t="s">
        <v>1</v>
      </c>
      <c r="D74" s="545" t="s">
        <v>1</v>
      </c>
      <c r="E74" s="441"/>
      <c r="F74" s="446" t="s">
        <v>481</v>
      </c>
      <c r="G74" s="446" t="s">
        <v>482</v>
      </c>
      <c r="H74" s="441" t="s">
        <v>483</v>
      </c>
      <c r="I74" s="545" t="s">
        <v>3</v>
      </c>
      <c r="J74" s="545" t="s">
        <v>3</v>
      </c>
      <c r="K74" s="441" t="s">
        <v>484</v>
      </c>
      <c r="L74" s="287"/>
    </row>
    <row r="75" spans="1:12" x14ac:dyDescent="0.25">
      <c r="A75" s="441" t="s">
        <v>4</v>
      </c>
      <c r="B75" s="441"/>
      <c r="C75" s="545" t="s">
        <v>5</v>
      </c>
      <c r="D75" s="545" t="s">
        <v>5</v>
      </c>
      <c r="E75" s="441"/>
      <c r="F75" s="446" t="s">
        <v>6</v>
      </c>
      <c r="G75" s="446" t="s">
        <v>12</v>
      </c>
      <c r="H75" s="441" t="s">
        <v>7</v>
      </c>
      <c r="I75" s="545" t="s">
        <v>167</v>
      </c>
      <c r="J75" s="545" t="s">
        <v>167</v>
      </c>
      <c r="K75" s="441" t="s">
        <v>168</v>
      </c>
      <c r="L75" s="455"/>
    </row>
    <row r="76" spans="1:12" ht="45" x14ac:dyDescent="0.25">
      <c r="A76" s="442" t="s">
        <v>4</v>
      </c>
      <c r="B76" s="442"/>
      <c r="C76" s="542" t="s">
        <v>485</v>
      </c>
      <c r="D76" s="542" t="s">
        <v>485</v>
      </c>
      <c r="E76" s="440"/>
      <c r="F76" s="502">
        <v>6.8</v>
      </c>
      <c r="G76" s="502" t="s">
        <v>590</v>
      </c>
      <c r="H76" s="442" t="s">
        <v>4</v>
      </c>
      <c r="I76" s="543" t="s">
        <v>198</v>
      </c>
      <c r="J76" s="543" t="s">
        <v>198</v>
      </c>
      <c r="K76" s="442" t="s">
        <v>486</v>
      </c>
      <c r="L76" s="456"/>
    </row>
    <row r="77" spans="1:12" ht="56.25" x14ac:dyDescent="0.25">
      <c r="A77" s="442" t="s">
        <v>5</v>
      </c>
      <c r="B77" s="442"/>
      <c r="C77" s="542" t="s">
        <v>137</v>
      </c>
      <c r="D77" s="542" t="s">
        <v>137</v>
      </c>
      <c r="E77" s="440"/>
      <c r="F77" s="502">
        <v>0.12</v>
      </c>
      <c r="G77" s="502" t="s">
        <v>593</v>
      </c>
      <c r="H77" s="442" t="s">
        <v>4</v>
      </c>
      <c r="I77" s="543" t="s">
        <v>199</v>
      </c>
      <c r="J77" s="543" t="s">
        <v>199</v>
      </c>
      <c r="K77" s="442" t="s">
        <v>487</v>
      </c>
      <c r="L77" s="456"/>
    </row>
    <row r="78" spans="1:12" ht="56.25" x14ac:dyDescent="0.25">
      <c r="A78" s="442" t="s">
        <v>6</v>
      </c>
      <c r="B78" s="442"/>
      <c r="C78" s="542" t="s">
        <v>132</v>
      </c>
      <c r="D78" s="542" t="s">
        <v>132</v>
      </c>
      <c r="E78" s="440"/>
      <c r="F78" s="502">
        <v>0.41</v>
      </c>
      <c r="G78" s="502" t="s">
        <v>629</v>
      </c>
      <c r="H78" s="442" t="s">
        <v>4</v>
      </c>
      <c r="I78" s="543" t="s">
        <v>199</v>
      </c>
      <c r="J78" s="543" t="s">
        <v>199</v>
      </c>
      <c r="K78" s="442" t="s">
        <v>488</v>
      </c>
      <c r="L78" s="456"/>
    </row>
    <row r="79" spans="1:12" ht="56.25" x14ac:dyDescent="0.25">
      <c r="A79" s="442" t="s">
        <v>12</v>
      </c>
      <c r="B79" s="442"/>
      <c r="C79" s="542" t="s">
        <v>110</v>
      </c>
      <c r="D79" s="542" t="s">
        <v>110</v>
      </c>
      <c r="E79" s="440"/>
      <c r="F79" s="502" t="s">
        <v>516</v>
      </c>
      <c r="G79" s="502" t="s">
        <v>67</v>
      </c>
      <c r="H79" s="442" t="s">
        <v>4</v>
      </c>
      <c r="I79" s="543" t="s">
        <v>199</v>
      </c>
      <c r="J79" s="543" t="s">
        <v>199</v>
      </c>
      <c r="K79" s="442" t="s">
        <v>488</v>
      </c>
      <c r="L79" s="456"/>
    </row>
    <row r="80" spans="1:12" ht="56.25" x14ac:dyDescent="0.25">
      <c r="A80" s="442" t="s">
        <v>7</v>
      </c>
      <c r="B80" s="442"/>
      <c r="C80" s="542" t="s">
        <v>107</v>
      </c>
      <c r="D80" s="542" t="s">
        <v>107</v>
      </c>
      <c r="E80" s="440"/>
      <c r="F80" s="502" t="s">
        <v>7</v>
      </c>
      <c r="G80" s="502" t="s">
        <v>63</v>
      </c>
      <c r="H80" s="442" t="s">
        <v>4</v>
      </c>
      <c r="I80" s="543" t="s">
        <v>199</v>
      </c>
      <c r="J80" s="543" t="s">
        <v>199</v>
      </c>
      <c r="K80" s="442" t="s">
        <v>488</v>
      </c>
      <c r="L80" s="456"/>
    </row>
    <row r="81" spans="1:12" ht="45" x14ac:dyDescent="0.25">
      <c r="A81" s="442" t="s">
        <v>167</v>
      </c>
      <c r="B81" s="442"/>
      <c r="C81" s="542" t="s">
        <v>99</v>
      </c>
      <c r="D81" s="542" t="s">
        <v>99</v>
      </c>
      <c r="E81" s="440"/>
      <c r="F81" s="502" t="s">
        <v>513</v>
      </c>
      <c r="G81" s="502" t="s">
        <v>490</v>
      </c>
      <c r="H81" s="442" t="s">
        <v>5</v>
      </c>
      <c r="I81" s="543" t="s">
        <v>199</v>
      </c>
      <c r="J81" s="543" t="s">
        <v>199</v>
      </c>
      <c r="K81" s="442" t="s">
        <v>491</v>
      </c>
      <c r="L81" s="456"/>
    </row>
    <row r="82" spans="1:12" ht="56.25" x14ac:dyDescent="0.25">
      <c r="A82" s="442" t="s">
        <v>168</v>
      </c>
      <c r="B82" s="442"/>
      <c r="C82" s="542" t="s">
        <v>93</v>
      </c>
      <c r="D82" s="542" t="s">
        <v>93</v>
      </c>
      <c r="E82" s="440"/>
      <c r="F82" s="502" t="s">
        <v>506</v>
      </c>
      <c r="G82" s="502" t="s">
        <v>67</v>
      </c>
      <c r="H82" s="442" t="s">
        <v>4</v>
      </c>
      <c r="I82" s="543" t="s">
        <v>199</v>
      </c>
      <c r="J82" s="543" t="s">
        <v>199</v>
      </c>
      <c r="K82" s="442" t="s">
        <v>488</v>
      </c>
      <c r="L82" s="456"/>
    </row>
    <row r="83" spans="1:12" ht="45" x14ac:dyDescent="0.25">
      <c r="A83" s="442" t="s">
        <v>169</v>
      </c>
      <c r="B83" s="442"/>
      <c r="C83" s="542" t="s">
        <v>492</v>
      </c>
      <c r="D83" s="542" t="s">
        <v>492</v>
      </c>
      <c r="E83" s="440"/>
      <c r="F83" s="502" t="s">
        <v>658</v>
      </c>
      <c r="G83" s="502" t="s">
        <v>96</v>
      </c>
      <c r="H83" s="442" t="s">
        <v>5</v>
      </c>
      <c r="I83" s="543" t="s">
        <v>493</v>
      </c>
      <c r="J83" s="543" t="s">
        <v>493</v>
      </c>
      <c r="K83" s="442" t="s">
        <v>494</v>
      </c>
      <c r="L83" s="456"/>
    </row>
    <row r="84" spans="1:12" ht="56.25" x14ac:dyDescent="0.25">
      <c r="A84" s="442" t="s">
        <v>27</v>
      </c>
      <c r="B84" s="442"/>
      <c r="C84" s="542" t="s">
        <v>80</v>
      </c>
      <c r="D84" s="542" t="s">
        <v>80</v>
      </c>
      <c r="E84" s="440"/>
      <c r="F84" s="502" t="s">
        <v>244</v>
      </c>
      <c r="G84" s="502" t="s">
        <v>489</v>
      </c>
      <c r="H84" s="442" t="s">
        <v>4</v>
      </c>
      <c r="I84" s="543" t="s">
        <v>199</v>
      </c>
      <c r="J84" s="543" t="s">
        <v>199</v>
      </c>
      <c r="K84" s="442" t="s">
        <v>488</v>
      </c>
      <c r="L84" s="456"/>
    </row>
    <row r="85" spans="1:12" ht="56.25" x14ac:dyDescent="0.25">
      <c r="A85" s="442" t="s">
        <v>170</v>
      </c>
      <c r="B85" s="442"/>
      <c r="C85" s="542" t="s">
        <v>66</v>
      </c>
      <c r="D85" s="542" t="s">
        <v>66</v>
      </c>
      <c r="E85" s="440"/>
      <c r="F85" s="502" t="s">
        <v>586</v>
      </c>
      <c r="G85" s="502" t="s">
        <v>113</v>
      </c>
      <c r="H85" s="442" t="s">
        <v>4</v>
      </c>
      <c r="I85" s="543" t="s">
        <v>199</v>
      </c>
      <c r="J85" s="543" t="s">
        <v>199</v>
      </c>
      <c r="K85" s="442" t="s">
        <v>488</v>
      </c>
      <c r="L85" s="456"/>
    </row>
    <row r="86" spans="1:12" x14ac:dyDescent="0.25">
      <c r="A86" s="282"/>
      <c r="B86" s="274"/>
      <c r="C86" s="274"/>
      <c r="D86" s="274"/>
      <c r="E86" s="274"/>
      <c r="F86" s="274"/>
      <c r="G86" s="274"/>
      <c r="H86" s="274"/>
      <c r="I86" s="274"/>
      <c r="J86" s="274"/>
      <c r="K86" s="163"/>
      <c r="L86" s="456"/>
    </row>
    <row r="87" spans="1:12" x14ac:dyDescent="0.25">
      <c r="A87" s="282"/>
      <c r="B87" s="274"/>
      <c r="C87" s="274"/>
      <c r="D87" s="274"/>
      <c r="E87" s="274"/>
      <c r="F87" s="274"/>
      <c r="G87" s="274"/>
      <c r="H87" s="274"/>
      <c r="I87" s="274"/>
      <c r="J87" s="274"/>
      <c r="K87" s="163"/>
      <c r="L87" s="456"/>
    </row>
    <row r="88" spans="1:12" x14ac:dyDescent="0.25">
      <c r="A88" s="161"/>
      <c r="B88" s="162"/>
      <c r="C88" s="162"/>
      <c r="D88" s="162"/>
      <c r="E88" s="162"/>
      <c r="F88" s="162"/>
      <c r="G88" s="162"/>
      <c r="H88" s="162"/>
      <c r="I88" s="162"/>
      <c r="J88" s="162"/>
      <c r="K88" s="163"/>
      <c r="L88" s="457"/>
    </row>
    <row r="89" spans="1:12" x14ac:dyDescent="0.25">
      <c r="A89" s="544" t="s">
        <v>168</v>
      </c>
      <c r="B89" s="544"/>
      <c r="C89" s="544" t="s">
        <v>499</v>
      </c>
      <c r="D89" s="544" t="s">
        <v>499</v>
      </c>
      <c r="E89" s="544"/>
      <c r="F89" s="544" t="s">
        <v>499</v>
      </c>
      <c r="G89" s="544" t="s">
        <v>499</v>
      </c>
      <c r="H89" s="544" t="s">
        <v>499</v>
      </c>
      <c r="I89" s="544" t="s">
        <v>499</v>
      </c>
      <c r="J89" s="544" t="s">
        <v>499</v>
      </c>
      <c r="K89" s="544" t="s">
        <v>499</v>
      </c>
      <c r="L89" s="454"/>
    </row>
    <row r="90" spans="1:12" ht="73.5" x14ac:dyDescent="0.25">
      <c r="A90" s="441" t="s">
        <v>0</v>
      </c>
      <c r="B90" s="441"/>
      <c r="C90" s="545" t="s">
        <v>1</v>
      </c>
      <c r="D90" s="545" t="s">
        <v>1</v>
      </c>
      <c r="E90" s="441"/>
      <c r="F90" s="446" t="s">
        <v>481</v>
      </c>
      <c r="G90" s="446" t="s">
        <v>482</v>
      </c>
      <c r="H90" s="441" t="s">
        <v>483</v>
      </c>
      <c r="I90" s="545" t="s">
        <v>3</v>
      </c>
      <c r="J90" s="545" t="s">
        <v>3</v>
      </c>
      <c r="K90" s="441" t="s">
        <v>484</v>
      </c>
      <c r="L90" s="287"/>
    </row>
    <row r="91" spans="1:12" x14ac:dyDescent="0.25">
      <c r="A91" s="441" t="s">
        <v>4</v>
      </c>
      <c r="B91" s="441"/>
      <c r="C91" s="545" t="s">
        <v>5</v>
      </c>
      <c r="D91" s="545" t="s">
        <v>5</v>
      </c>
      <c r="E91" s="441"/>
      <c r="F91" s="446" t="s">
        <v>6</v>
      </c>
      <c r="G91" s="446" t="s">
        <v>12</v>
      </c>
      <c r="H91" s="441" t="s">
        <v>7</v>
      </c>
      <c r="I91" s="545" t="s">
        <v>167</v>
      </c>
      <c r="J91" s="545" t="s">
        <v>167</v>
      </c>
      <c r="K91" s="441" t="s">
        <v>168</v>
      </c>
      <c r="L91" s="455"/>
    </row>
    <row r="92" spans="1:12" ht="45" x14ac:dyDescent="0.25">
      <c r="A92" s="442" t="s">
        <v>4</v>
      </c>
      <c r="B92" s="442"/>
      <c r="C92" s="542" t="s">
        <v>485</v>
      </c>
      <c r="D92" s="542" t="s">
        <v>485</v>
      </c>
      <c r="E92" s="440"/>
      <c r="F92" s="503">
        <v>7</v>
      </c>
      <c r="G92" s="503" t="s">
        <v>590</v>
      </c>
      <c r="H92" s="442" t="s">
        <v>4</v>
      </c>
      <c r="I92" s="543" t="s">
        <v>198</v>
      </c>
      <c r="J92" s="543" t="s">
        <v>198</v>
      </c>
      <c r="K92" s="442" t="s">
        <v>486</v>
      </c>
      <c r="L92" s="456"/>
    </row>
    <row r="93" spans="1:12" ht="56.25" x14ac:dyDescent="0.25">
      <c r="A93" s="442" t="s">
        <v>5</v>
      </c>
      <c r="B93" s="442"/>
      <c r="C93" s="542" t="s">
        <v>137</v>
      </c>
      <c r="D93" s="542" t="s">
        <v>137</v>
      </c>
      <c r="E93" s="440"/>
      <c r="F93" s="503">
        <v>0.34</v>
      </c>
      <c r="G93" s="503" t="s">
        <v>591</v>
      </c>
      <c r="H93" s="442" t="s">
        <v>4</v>
      </c>
      <c r="I93" s="543" t="s">
        <v>199</v>
      </c>
      <c r="J93" s="543" t="s">
        <v>199</v>
      </c>
      <c r="K93" s="442" t="s">
        <v>487</v>
      </c>
      <c r="L93" s="456"/>
    </row>
    <row r="94" spans="1:12" ht="56.25" x14ac:dyDescent="0.25">
      <c r="A94" s="442" t="s">
        <v>6</v>
      </c>
      <c r="B94" s="442"/>
      <c r="C94" s="542" t="s">
        <v>132</v>
      </c>
      <c r="D94" s="542" t="s">
        <v>132</v>
      </c>
      <c r="E94" s="440"/>
      <c r="F94" s="503">
        <v>0.6</v>
      </c>
      <c r="G94" s="503" t="s">
        <v>623</v>
      </c>
      <c r="H94" s="442" t="s">
        <v>4</v>
      </c>
      <c r="I94" s="543" t="s">
        <v>199</v>
      </c>
      <c r="J94" s="543" t="s">
        <v>199</v>
      </c>
      <c r="K94" s="442" t="s">
        <v>488</v>
      </c>
      <c r="L94" s="456"/>
    </row>
    <row r="95" spans="1:12" ht="56.25" x14ac:dyDescent="0.25">
      <c r="A95" s="442" t="s">
        <v>12</v>
      </c>
      <c r="B95" s="442"/>
      <c r="C95" s="542" t="s">
        <v>110</v>
      </c>
      <c r="D95" s="542" t="s">
        <v>110</v>
      </c>
      <c r="E95" s="440"/>
      <c r="F95" s="503" t="s">
        <v>561</v>
      </c>
      <c r="G95" s="503" t="s">
        <v>89</v>
      </c>
      <c r="H95" s="442" t="s">
        <v>4</v>
      </c>
      <c r="I95" s="543" t="s">
        <v>199</v>
      </c>
      <c r="J95" s="543" t="s">
        <v>199</v>
      </c>
      <c r="K95" s="442" t="s">
        <v>488</v>
      </c>
      <c r="L95" s="456"/>
    </row>
    <row r="96" spans="1:12" ht="56.25" x14ac:dyDescent="0.25">
      <c r="A96" s="442" t="s">
        <v>7</v>
      </c>
      <c r="B96" s="442"/>
      <c r="C96" s="542" t="s">
        <v>107</v>
      </c>
      <c r="D96" s="542" t="s">
        <v>107</v>
      </c>
      <c r="E96" s="440"/>
      <c r="F96" s="503">
        <v>4.8</v>
      </c>
      <c r="G96" s="503" t="s">
        <v>600</v>
      </c>
      <c r="H96" s="442" t="s">
        <v>4</v>
      </c>
      <c r="I96" s="543" t="s">
        <v>199</v>
      </c>
      <c r="J96" s="543" t="s">
        <v>199</v>
      </c>
      <c r="K96" s="442" t="s">
        <v>488</v>
      </c>
      <c r="L96" s="456"/>
    </row>
    <row r="97" spans="1:12" ht="45" x14ac:dyDescent="0.25">
      <c r="A97" s="442" t="s">
        <v>167</v>
      </c>
      <c r="B97" s="442"/>
      <c r="C97" s="542" t="s">
        <v>99</v>
      </c>
      <c r="D97" s="542" t="s">
        <v>99</v>
      </c>
      <c r="E97" s="440"/>
      <c r="F97" s="503" t="s">
        <v>630</v>
      </c>
      <c r="G97" s="503" t="s">
        <v>631</v>
      </c>
      <c r="H97" s="442" t="s">
        <v>5</v>
      </c>
      <c r="I97" s="543" t="s">
        <v>199</v>
      </c>
      <c r="J97" s="543" t="s">
        <v>199</v>
      </c>
      <c r="K97" s="442" t="s">
        <v>491</v>
      </c>
      <c r="L97" s="456"/>
    </row>
    <row r="98" spans="1:12" ht="56.25" x14ac:dyDescent="0.25">
      <c r="A98" s="442" t="s">
        <v>168</v>
      </c>
      <c r="B98" s="442"/>
      <c r="C98" s="542" t="s">
        <v>93</v>
      </c>
      <c r="D98" s="542" t="s">
        <v>93</v>
      </c>
      <c r="E98" s="440"/>
      <c r="F98" s="503" t="s">
        <v>533</v>
      </c>
      <c r="G98" s="503" t="s">
        <v>89</v>
      </c>
      <c r="H98" s="442" t="s">
        <v>4</v>
      </c>
      <c r="I98" s="543" t="s">
        <v>199</v>
      </c>
      <c r="J98" s="543" t="s">
        <v>199</v>
      </c>
      <c r="K98" s="442" t="s">
        <v>488</v>
      </c>
      <c r="L98" s="456"/>
    </row>
    <row r="99" spans="1:12" ht="45" x14ac:dyDescent="0.25">
      <c r="A99" s="442" t="s">
        <v>169</v>
      </c>
      <c r="B99" s="442"/>
      <c r="C99" s="542" t="s">
        <v>492</v>
      </c>
      <c r="D99" s="542" t="s">
        <v>492</v>
      </c>
      <c r="E99" s="440"/>
      <c r="F99" s="503" t="s">
        <v>657</v>
      </c>
      <c r="G99" s="503" t="s">
        <v>96</v>
      </c>
      <c r="H99" s="442" t="s">
        <v>5</v>
      </c>
      <c r="I99" s="543" t="s">
        <v>493</v>
      </c>
      <c r="J99" s="543" t="s">
        <v>493</v>
      </c>
      <c r="K99" s="442" t="s">
        <v>494</v>
      </c>
      <c r="L99" s="456"/>
    </row>
    <row r="100" spans="1:12" ht="56.25" x14ac:dyDescent="0.25">
      <c r="A100" s="442" t="s">
        <v>27</v>
      </c>
      <c r="B100" s="442"/>
      <c r="C100" s="542" t="s">
        <v>80</v>
      </c>
      <c r="D100" s="542" t="s">
        <v>80</v>
      </c>
      <c r="E100" s="440"/>
      <c r="F100" s="503" t="s">
        <v>548</v>
      </c>
      <c r="G100" s="503" t="s">
        <v>89</v>
      </c>
      <c r="H100" s="442" t="s">
        <v>4</v>
      </c>
      <c r="I100" s="543" t="s">
        <v>199</v>
      </c>
      <c r="J100" s="543" t="s">
        <v>199</v>
      </c>
      <c r="K100" s="442" t="s">
        <v>488</v>
      </c>
      <c r="L100" s="456"/>
    </row>
    <row r="101" spans="1:12" ht="56.25" x14ac:dyDescent="0.25">
      <c r="A101" s="442" t="s">
        <v>170</v>
      </c>
      <c r="B101" s="442"/>
      <c r="C101" s="542" t="s">
        <v>66</v>
      </c>
      <c r="D101" s="542" t="s">
        <v>66</v>
      </c>
      <c r="E101" s="440"/>
      <c r="F101" s="503" t="s">
        <v>632</v>
      </c>
      <c r="G101" s="503" t="s">
        <v>490</v>
      </c>
      <c r="H101" s="442" t="s">
        <v>4</v>
      </c>
      <c r="I101" s="543" t="s">
        <v>199</v>
      </c>
      <c r="J101" s="543" t="s">
        <v>199</v>
      </c>
      <c r="K101" s="442" t="s">
        <v>488</v>
      </c>
      <c r="L101" s="456"/>
    </row>
    <row r="102" spans="1:12" x14ac:dyDescent="0.25">
      <c r="A102" s="161"/>
      <c r="B102" s="162"/>
      <c r="C102" s="162"/>
      <c r="D102" s="162"/>
      <c r="E102" s="162"/>
      <c r="F102" s="162"/>
      <c r="G102" s="162"/>
      <c r="H102" s="162"/>
      <c r="I102" s="162"/>
      <c r="J102" s="162"/>
      <c r="K102" s="163"/>
      <c r="L102" s="457"/>
    </row>
    <row r="103" spans="1:12" x14ac:dyDescent="0.25">
      <c r="A103" s="544" t="s">
        <v>169</v>
      </c>
      <c r="B103" s="544"/>
      <c r="C103" s="544" t="s">
        <v>499</v>
      </c>
      <c r="D103" s="544" t="s">
        <v>499</v>
      </c>
      <c r="E103" s="544"/>
      <c r="F103" s="544" t="s">
        <v>499</v>
      </c>
      <c r="G103" s="544" t="s">
        <v>499</v>
      </c>
      <c r="H103" s="544" t="s">
        <v>499</v>
      </c>
      <c r="I103" s="544" t="s">
        <v>499</v>
      </c>
      <c r="J103" s="544" t="s">
        <v>499</v>
      </c>
      <c r="K103" s="544" t="s">
        <v>499</v>
      </c>
      <c r="L103" s="454"/>
    </row>
    <row r="104" spans="1:12" ht="73.5" x14ac:dyDescent="0.25">
      <c r="A104" s="441" t="s">
        <v>0</v>
      </c>
      <c r="B104" s="441"/>
      <c r="C104" s="545" t="s">
        <v>1</v>
      </c>
      <c r="D104" s="545" t="s">
        <v>1</v>
      </c>
      <c r="E104" s="441"/>
      <c r="F104" s="446" t="s">
        <v>481</v>
      </c>
      <c r="G104" s="446" t="s">
        <v>482</v>
      </c>
      <c r="H104" s="441" t="s">
        <v>483</v>
      </c>
      <c r="I104" s="545" t="s">
        <v>3</v>
      </c>
      <c r="J104" s="545" t="s">
        <v>3</v>
      </c>
      <c r="K104" s="441" t="s">
        <v>484</v>
      </c>
      <c r="L104" s="287"/>
    </row>
    <row r="105" spans="1:12" x14ac:dyDescent="0.25">
      <c r="A105" s="441" t="s">
        <v>4</v>
      </c>
      <c r="B105" s="441"/>
      <c r="C105" s="545" t="s">
        <v>5</v>
      </c>
      <c r="D105" s="545" t="s">
        <v>5</v>
      </c>
      <c r="E105" s="441"/>
      <c r="F105" s="446" t="s">
        <v>6</v>
      </c>
      <c r="G105" s="446" t="s">
        <v>12</v>
      </c>
      <c r="H105" s="441" t="s">
        <v>7</v>
      </c>
      <c r="I105" s="545" t="s">
        <v>167</v>
      </c>
      <c r="J105" s="545" t="s">
        <v>167</v>
      </c>
      <c r="K105" s="441" t="s">
        <v>168</v>
      </c>
      <c r="L105" s="455"/>
    </row>
    <row r="106" spans="1:12" ht="45" x14ac:dyDescent="0.25">
      <c r="A106" s="442" t="s">
        <v>4</v>
      </c>
      <c r="B106" s="442"/>
      <c r="C106" s="542" t="s">
        <v>485</v>
      </c>
      <c r="D106" s="542" t="s">
        <v>485</v>
      </c>
      <c r="E106" s="440"/>
      <c r="F106" s="504">
        <v>7.1</v>
      </c>
      <c r="G106" s="504" t="s">
        <v>590</v>
      </c>
      <c r="H106" s="442" t="s">
        <v>4</v>
      </c>
      <c r="I106" s="543" t="s">
        <v>198</v>
      </c>
      <c r="J106" s="543" t="s">
        <v>198</v>
      </c>
      <c r="K106" s="442" t="s">
        <v>486</v>
      </c>
      <c r="L106" s="456"/>
    </row>
    <row r="107" spans="1:12" ht="56.25" x14ac:dyDescent="0.25">
      <c r="A107" s="442" t="s">
        <v>5</v>
      </c>
      <c r="B107" s="442"/>
      <c r="C107" s="542" t="s">
        <v>137</v>
      </c>
      <c r="D107" s="542" t="s">
        <v>137</v>
      </c>
      <c r="E107" s="440"/>
      <c r="F107" s="504">
        <v>0.17</v>
      </c>
      <c r="G107" s="504" t="s">
        <v>595</v>
      </c>
      <c r="H107" s="442" t="s">
        <v>4</v>
      </c>
      <c r="I107" s="543" t="s">
        <v>199</v>
      </c>
      <c r="J107" s="543" t="s">
        <v>199</v>
      </c>
      <c r="K107" s="442" t="s">
        <v>487</v>
      </c>
      <c r="L107" s="456"/>
    </row>
    <row r="108" spans="1:12" ht="56.25" x14ac:dyDescent="0.25">
      <c r="A108" s="442" t="s">
        <v>6</v>
      </c>
      <c r="B108" s="442"/>
      <c r="C108" s="542" t="s">
        <v>132</v>
      </c>
      <c r="D108" s="542" t="s">
        <v>132</v>
      </c>
      <c r="E108" s="440"/>
      <c r="F108" s="504">
        <v>0.31</v>
      </c>
      <c r="G108" s="504" t="s">
        <v>633</v>
      </c>
      <c r="H108" s="442" t="s">
        <v>4</v>
      </c>
      <c r="I108" s="543" t="s">
        <v>199</v>
      </c>
      <c r="J108" s="543" t="s">
        <v>199</v>
      </c>
      <c r="K108" s="442" t="s">
        <v>488</v>
      </c>
      <c r="L108" s="456"/>
    </row>
    <row r="109" spans="1:12" ht="56.25" x14ac:dyDescent="0.25">
      <c r="A109" s="442" t="s">
        <v>12</v>
      </c>
      <c r="B109" s="442"/>
      <c r="C109" s="542" t="s">
        <v>110</v>
      </c>
      <c r="D109" s="542" t="s">
        <v>110</v>
      </c>
      <c r="E109" s="440"/>
      <c r="F109" s="504" t="s">
        <v>530</v>
      </c>
      <c r="G109" s="504" t="s">
        <v>489</v>
      </c>
      <c r="H109" s="442" t="s">
        <v>4</v>
      </c>
      <c r="I109" s="543" t="s">
        <v>199</v>
      </c>
      <c r="J109" s="543" t="s">
        <v>199</v>
      </c>
      <c r="K109" s="442" t="s">
        <v>488</v>
      </c>
      <c r="L109" s="456"/>
    </row>
    <row r="110" spans="1:12" ht="56.25" x14ac:dyDescent="0.25">
      <c r="A110" s="442" t="s">
        <v>7</v>
      </c>
      <c r="B110" s="442"/>
      <c r="C110" s="542" t="s">
        <v>107</v>
      </c>
      <c r="D110" s="542" t="s">
        <v>107</v>
      </c>
      <c r="E110" s="440"/>
      <c r="F110" s="504">
        <v>3.8</v>
      </c>
      <c r="G110" s="504" t="s">
        <v>594</v>
      </c>
      <c r="H110" s="442" t="s">
        <v>4</v>
      </c>
      <c r="I110" s="543" t="s">
        <v>199</v>
      </c>
      <c r="J110" s="543" t="s">
        <v>199</v>
      </c>
      <c r="K110" s="442" t="s">
        <v>488</v>
      </c>
      <c r="L110" s="456"/>
    </row>
    <row r="111" spans="1:12" ht="45" x14ac:dyDescent="0.25">
      <c r="A111" s="442" t="s">
        <v>167</v>
      </c>
      <c r="B111" s="442"/>
      <c r="C111" s="542" t="s">
        <v>99</v>
      </c>
      <c r="D111" s="542" t="s">
        <v>99</v>
      </c>
      <c r="E111" s="440"/>
      <c r="F111" s="504" t="s">
        <v>619</v>
      </c>
      <c r="G111" s="504" t="s">
        <v>113</v>
      </c>
      <c r="H111" s="442" t="s">
        <v>5</v>
      </c>
      <c r="I111" s="543" t="s">
        <v>199</v>
      </c>
      <c r="J111" s="543" t="s">
        <v>199</v>
      </c>
      <c r="K111" s="442" t="s">
        <v>491</v>
      </c>
      <c r="L111" s="456"/>
    </row>
    <row r="112" spans="1:12" ht="56.25" x14ac:dyDescent="0.25">
      <c r="A112" s="442" t="s">
        <v>168</v>
      </c>
      <c r="B112" s="442"/>
      <c r="C112" s="542" t="s">
        <v>93</v>
      </c>
      <c r="D112" s="542" t="s">
        <v>93</v>
      </c>
      <c r="E112" s="440"/>
      <c r="F112" s="504" t="s">
        <v>244</v>
      </c>
      <c r="G112" s="504" t="s">
        <v>59</v>
      </c>
      <c r="H112" s="442" t="s">
        <v>4</v>
      </c>
      <c r="I112" s="543" t="s">
        <v>199</v>
      </c>
      <c r="J112" s="543" t="s">
        <v>199</v>
      </c>
      <c r="K112" s="442" t="s">
        <v>488</v>
      </c>
      <c r="L112" s="456"/>
    </row>
    <row r="113" spans="1:12" ht="45" x14ac:dyDescent="0.25">
      <c r="A113" s="442" t="s">
        <v>169</v>
      </c>
      <c r="B113" s="442"/>
      <c r="C113" s="542" t="s">
        <v>492</v>
      </c>
      <c r="D113" s="542" t="s">
        <v>492</v>
      </c>
      <c r="E113" s="440"/>
      <c r="F113" s="504" t="s">
        <v>584</v>
      </c>
      <c r="G113" s="504" t="s">
        <v>96</v>
      </c>
      <c r="H113" s="442" t="s">
        <v>5</v>
      </c>
      <c r="I113" s="543" t="s">
        <v>493</v>
      </c>
      <c r="J113" s="543" t="s">
        <v>493</v>
      </c>
      <c r="K113" s="442" t="s">
        <v>494</v>
      </c>
      <c r="L113" s="456"/>
    </row>
    <row r="114" spans="1:12" ht="56.25" x14ac:dyDescent="0.25">
      <c r="A114" s="442" t="s">
        <v>27</v>
      </c>
      <c r="B114" s="442"/>
      <c r="C114" s="542" t="s">
        <v>80</v>
      </c>
      <c r="D114" s="542" t="s">
        <v>80</v>
      </c>
      <c r="E114" s="440"/>
      <c r="F114" s="504" t="s">
        <v>244</v>
      </c>
      <c r="G114" s="504" t="s">
        <v>489</v>
      </c>
      <c r="H114" s="442" t="s">
        <v>4</v>
      </c>
      <c r="I114" s="543" t="s">
        <v>199</v>
      </c>
      <c r="J114" s="543" t="s">
        <v>199</v>
      </c>
      <c r="K114" s="442" t="s">
        <v>488</v>
      </c>
      <c r="L114" s="456"/>
    </row>
    <row r="115" spans="1:12" ht="56.25" x14ac:dyDescent="0.25">
      <c r="A115" s="442" t="s">
        <v>170</v>
      </c>
      <c r="B115" s="442"/>
      <c r="C115" s="542" t="s">
        <v>66</v>
      </c>
      <c r="D115" s="542" t="s">
        <v>66</v>
      </c>
      <c r="E115" s="440"/>
      <c r="F115" s="504" t="s">
        <v>634</v>
      </c>
      <c r="G115" s="504" t="s">
        <v>559</v>
      </c>
      <c r="H115" s="442" t="s">
        <v>4</v>
      </c>
      <c r="I115" s="543" t="s">
        <v>199</v>
      </c>
      <c r="J115" s="543" t="s">
        <v>199</v>
      </c>
      <c r="K115" s="442" t="s">
        <v>488</v>
      </c>
      <c r="L115" s="456"/>
    </row>
    <row r="116" spans="1:12" x14ac:dyDescent="0.25">
      <c r="A116" s="161"/>
      <c r="B116" s="162"/>
      <c r="C116" s="162"/>
      <c r="D116" s="162"/>
      <c r="E116" s="162"/>
      <c r="F116" s="162"/>
      <c r="G116" s="162"/>
      <c r="H116" s="162"/>
      <c r="I116" s="162"/>
      <c r="J116" s="162"/>
      <c r="K116" s="163"/>
      <c r="L116" s="457"/>
    </row>
    <row r="117" spans="1:12" x14ac:dyDescent="0.25">
      <c r="A117" s="544" t="s">
        <v>27</v>
      </c>
      <c r="B117" s="544"/>
      <c r="C117" s="544" t="s">
        <v>499</v>
      </c>
      <c r="D117" s="544" t="s">
        <v>499</v>
      </c>
      <c r="E117" s="544"/>
      <c r="F117" s="544" t="s">
        <v>499</v>
      </c>
      <c r="G117" s="544" t="s">
        <v>499</v>
      </c>
      <c r="H117" s="544" t="s">
        <v>499</v>
      </c>
      <c r="I117" s="544" t="s">
        <v>499</v>
      </c>
      <c r="J117" s="544" t="s">
        <v>499</v>
      </c>
      <c r="K117" s="544" t="s">
        <v>499</v>
      </c>
      <c r="L117" s="454"/>
    </row>
    <row r="118" spans="1:12" ht="73.5" x14ac:dyDescent="0.25">
      <c r="A118" s="441" t="s">
        <v>0</v>
      </c>
      <c r="B118" s="441"/>
      <c r="C118" s="545" t="s">
        <v>1</v>
      </c>
      <c r="D118" s="545" t="s">
        <v>1</v>
      </c>
      <c r="E118" s="441"/>
      <c r="F118" s="446" t="s">
        <v>481</v>
      </c>
      <c r="G118" s="446" t="s">
        <v>482</v>
      </c>
      <c r="H118" s="441" t="s">
        <v>483</v>
      </c>
      <c r="I118" s="545" t="s">
        <v>3</v>
      </c>
      <c r="J118" s="545" t="s">
        <v>3</v>
      </c>
      <c r="K118" s="441" t="s">
        <v>484</v>
      </c>
      <c r="L118" s="287"/>
    </row>
    <row r="119" spans="1:12" x14ac:dyDescent="0.25">
      <c r="A119" s="441" t="s">
        <v>4</v>
      </c>
      <c r="B119" s="441"/>
      <c r="C119" s="545" t="s">
        <v>5</v>
      </c>
      <c r="D119" s="545" t="s">
        <v>5</v>
      </c>
      <c r="E119" s="441"/>
      <c r="F119" s="446" t="s">
        <v>6</v>
      </c>
      <c r="G119" s="446" t="s">
        <v>12</v>
      </c>
      <c r="H119" s="441" t="s">
        <v>7</v>
      </c>
      <c r="I119" s="545" t="s">
        <v>167</v>
      </c>
      <c r="J119" s="545" t="s">
        <v>167</v>
      </c>
      <c r="K119" s="441" t="s">
        <v>168</v>
      </c>
      <c r="L119" s="455"/>
    </row>
    <row r="120" spans="1:12" ht="45" x14ac:dyDescent="0.25">
      <c r="A120" s="442" t="s">
        <v>4</v>
      </c>
      <c r="B120" s="442"/>
      <c r="C120" s="542" t="s">
        <v>485</v>
      </c>
      <c r="D120" s="542" t="s">
        <v>485</v>
      </c>
      <c r="E120" s="440"/>
      <c r="F120" s="505">
        <v>6.5</v>
      </c>
      <c r="G120" s="505" t="s">
        <v>590</v>
      </c>
      <c r="H120" s="442" t="s">
        <v>4</v>
      </c>
      <c r="I120" s="543" t="s">
        <v>198</v>
      </c>
      <c r="J120" s="543" t="s">
        <v>198</v>
      </c>
      <c r="K120" s="442" t="s">
        <v>486</v>
      </c>
      <c r="L120" s="456"/>
    </row>
    <row r="121" spans="1:12" ht="56.25" x14ac:dyDescent="0.25">
      <c r="A121" s="442" t="s">
        <v>5</v>
      </c>
      <c r="B121" s="442"/>
      <c r="C121" s="542" t="s">
        <v>137</v>
      </c>
      <c r="D121" s="542" t="s">
        <v>137</v>
      </c>
      <c r="E121" s="440"/>
      <c r="F121" s="505" t="s">
        <v>664</v>
      </c>
      <c r="G121" s="505" t="s">
        <v>595</v>
      </c>
      <c r="H121" s="442" t="s">
        <v>4</v>
      </c>
      <c r="I121" s="543" t="s">
        <v>199</v>
      </c>
      <c r="J121" s="543" t="s">
        <v>199</v>
      </c>
      <c r="K121" s="442" t="s">
        <v>487</v>
      </c>
      <c r="L121" s="456"/>
    </row>
    <row r="122" spans="1:12" ht="56.25" x14ac:dyDescent="0.25">
      <c r="A122" s="442" t="s">
        <v>6</v>
      </c>
      <c r="B122" s="442"/>
      <c r="C122" s="542" t="s">
        <v>132</v>
      </c>
      <c r="D122" s="542" t="s">
        <v>132</v>
      </c>
      <c r="E122" s="440"/>
      <c r="F122" s="505">
        <v>0.28000000000000003</v>
      </c>
      <c r="G122" s="505" t="s">
        <v>635</v>
      </c>
      <c r="H122" s="442" t="s">
        <v>4</v>
      </c>
      <c r="I122" s="543" t="s">
        <v>199</v>
      </c>
      <c r="J122" s="543" t="s">
        <v>199</v>
      </c>
      <c r="K122" s="442" t="s">
        <v>488</v>
      </c>
      <c r="L122" s="456"/>
    </row>
    <row r="123" spans="1:12" ht="56.25" x14ac:dyDescent="0.25">
      <c r="A123" s="442" t="s">
        <v>12</v>
      </c>
      <c r="B123" s="442"/>
      <c r="C123" s="542" t="s">
        <v>110</v>
      </c>
      <c r="D123" s="542" t="s">
        <v>110</v>
      </c>
      <c r="E123" s="440"/>
      <c r="F123" s="505" t="s">
        <v>544</v>
      </c>
      <c r="G123" s="505" t="s">
        <v>489</v>
      </c>
      <c r="H123" s="442" t="s">
        <v>4</v>
      </c>
      <c r="I123" s="543" t="s">
        <v>199</v>
      </c>
      <c r="J123" s="543" t="s">
        <v>199</v>
      </c>
      <c r="K123" s="442" t="s">
        <v>488</v>
      </c>
      <c r="L123" s="456"/>
    </row>
    <row r="124" spans="1:12" ht="56.25" x14ac:dyDescent="0.25">
      <c r="A124" s="442" t="s">
        <v>7</v>
      </c>
      <c r="B124" s="442"/>
      <c r="C124" s="542" t="s">
        <v>107</v>
      </c>
      <c r="D124" s="542" t="s">
        <v>107</v>
      </c>
      <c r="E124" s="440"/>
      <c r="F124" s="505">
        <v>2.2000000000000002</v>
      </c>
      <c r="G124" s="505" t="s">
        <v>636</v>
      </c>
      <c r="H124" s="442" t="s">
        <v>4</v>
      </c>
      <c r="I124" s="543" t="s">
        <v>199</v>
      </c>
      <c r="J124" s="543" t="s">
        <v>199</v>
      </c>
      <c r="K124" s="442" t="s">
        <v>488</v>
      </c>
      <c r="L124" s="456"/>
    </row>
    <row r="125" spans="1:12" ht="45" x14ac:dyDescent="0.25">
      <c r="A125" s="442" t="s">
        <v>167</v>
      </c>
      <c r="B125" s="442"/>
      <c r="C125" s="542" t="s">
        <v>99</v>
      </c>
      <c r="D125" s="542" t="s">
        <v>99</v>
      </c>
      <c r="E125" s="440"/>
      <c r="F125" s="505" t="s">
        <v>558</v>
      </c>
      <c r="G125" s="505" t="s">
        <v>113</v>
      </c>
      <c r="H125" s="442" t="s">
        <v>5</v>
      </c>
      <c r="I125" s="543" t="s">
        <v>199</v>
      </c>
      <c r="J125" s="543" t="s">
        <v>199</v>
      </c>
      <c r="K125" s="442" t="s">
        <v>491</v>
      </c>
      <c r="L125" s="456"/>
    </row>
    <row r="126" spans="1:12" ht="56.25" x14ac:dyDescent="0.25">
      <c r="A126" s="442" t="s">
        <v>168</v>
      </c>
      <c r="B126" s="442"/>
      <c r="C126" s="542" t="s">
        <v>93</v>
      </c>
      <c r="D126" s="542" t="s">
        <v>93</v>
      </c>
      <c r="E126" s="440"/>
      <c r="F126" s="505" t="s">
        <v>236</v>
      </c>
      <c r="G126" s="505" t="s">
        <v>489</v>
      </c>
      <c r="H126" s="442" t="s">
        <v>4</v>
      </c>
      <c r="I126" s="543" t="s">
        <v>199</v>
      </c>
      <c r="J126" s="543" t="s">
        <v>199</v>
      </c>
      <c r="K126" s="442" t="s">
        <v>488</v>
      </c>
      <c r="L126" s="456"/>
    </row>
    <row r="127" spans="1:12" ht="45" x14ac:dyDescent="0.25">
      <c r="A127" s="442" t="s">
        <v>169</v>
      </c>
      <c r="B127" s="442"/>
      <c r="C127" s="542" t="s">
        <v>492</v>
      </c>
      <c r="D127" s="542" t="s">
        <v>492</v>
      </c>
      <c r="E127" s="440"/>
      <c r="F127" s="505" t="s">
        <v>656</v>
      </c>
      <c r="G127" s="505" t="s">
        <v>114</v>
      </c>
      <c r="H127" s="442" t="s">
        <v>5</v>
      </c>
      <c r="I127" s="543" t="s">
        <v>493</v>
      </c>
      <c r="J127" s="543" t="s">
        <v>493</v>
      </c>
      <c r="K127" s="442" t="s">
        <v>494</v>
      </c>
      <c r="L127" s="456"/>
    </row>
    <row r="128" spans="1:12" ht="56.25" x14ac:dyDescent="0.25">
      <c r="A128" s="442" t="s">
        <v>27</v>
      </c>
      <c r="B128" s="442"/>
      <c r="C128" s="542" t="s">
        <v>80</v>
      </c>
      <c r="D128" s="542" t="s">
        <v>80</v>
      </c>
      <c r="E128" s="440"/>
      <c r="F128" s="505" t="s">
        <v>239</v>
      </c>
      <c r="G128" s="505" t="s">
        <v>63</v>
      </c>
      <c r="H128" s="442" t="s">
        <v>4</v>
      </c>
      <c r="I128" s="543" t="s">
        <v>199</v>
      </c>
      <c r="J128" s="543" t="s">
        <v>199</v>
      </c>
      <c r="K128" s="442" t="s">
        <v>488</v>
      </c>
      <c r="L128" s="456"/>
    </row>
    <row r="129" spans="1:12" ht="56.25" x14ac:dyDescent="0.25">
      <c r="A129" s="442" t="s">
        <v>170</v>
      </c>
      <c r="B129" s="442"/>
      <c r="C129" s="542" t="s">
        <v>66</v>
      </c>
      <c r="D129" s="542" t="s">
        <v>66</v>
      </c>
      <c r="E129" s="440"/>
      <c r="F129" s="505" t="s">
        <v>551</v>
      </c>
      <c r="G129" s="505" t="s">
        <v>113</v>
      </c>
      <c r="H129" s="442" t="s">
        <v>4</v>
      </c>
      <c r="I129" s="543" t="s">
        <v>199</v>
      </c>
      <c r="J129" s="543" t="s">
        <v>199</v>
      </c>
      <c r="K129" s="442" t="s">
        <v>488</v>
      </c>
      <c r="L129" s="456"/>
    </row>
    <row r="130" spans="1:12" x14ac:dyDescent="0.25">
      <c r="A130" s="282"/>
      <c r="B130" s="274"/>
      <c r="C130" s="274"/>
      <c r="D130" s="274"/>
      <c r="E130" s="274"/>
      <c r="F130" s="274"/>
      <c r="G130" s="274"/>
      <c r="H130" s="274"/>
      <c r="I130" s="274"/>
      <c r="J130" s="274"/>
      <c r="K130" s="163"/>
      <c r="L130" s="456"/>
    </row>
    <row r="131" spans="1:12" x14ac:dyDescent="0.25">
      <c r="A131" s="282"/>
      <c r="B131" s="274"/>
      <c r="C131" s="274"/>
      <c r="D131" s="274"/>
      <c r="E131" s="274"/>
      <c r="F131" s="274"/>
      <c r="G131" s="274"/>
      <c r="H131" s="274"/>
      <c r="I131" s="274"/>
      <c r="J131" s="274"/>
      <c r="K131" s="163"/>
      <c r="L131" s="456"/>
    </row>
    <row r="132" spans="1:12" x14ac:dyDescent="0.25">
      <c r="A132" s="161"/>
      <c r="B132" s="162"/>
      <c r="C132" s="162"/>
      <c r="D132" s="162"/>
      <c r="E132" s="162"/>
      <c r="F132" s="162"/>
      <c r="G132" s="162"/>
      <c r="H132" s="162"/>
      <c r="I132" s="162"/>
      <c r="J132" s="162"/>
      <c r="K132" s="163"/>
      <c r="L132" s="457"/>
    </row>
    <row r="133" spans="1:12" x14ac:dyDescent="0.25">
      <c r="A133" s="544" t="s">
        <v>170</v>
      </c>
      <c r="B133" s="544"/>
      <c r="C133" s="544" t="s">
        <v>499</v>
      </c>
      <c r="D133" s="544" t="s">
        <v>499</v>
      </c>
      <c r="E133" s="544"/>
      <c r="F133" s="544" t="s">
        <v>499</v>
      </c>
      <c r="G133" s="544" t="s">
        <v>499</v>
      </c>
      <c r="H133" s="544" t="s">
        <v>499</v>
      </c>
      <c r="I133" s="544" t="s">
        <v>499</v>
      </c>
      <c r="J133" s="544" t="s">
        <v>499</v>
      </c>
      <c r="K133" s="544" t="s">
        <v>499</v>
      </c>
      <c r="L133" s="454"/>
    </row>
    <row r="134" spans="1:12" ht="73.5" x14ac:dyDescent="0.25">
      <c r="A134" s="441" t="s">
        <v>0</v>
      </c>
      <c r="B134" s="441"/>
      <c r="C134" s="545" t="s">
        <v>1</v>
      </c>
      <c r="D134" s="545" t="s">
        <v>1</v>
      </c>
      <c r="E134" s="441"/>
      <c r="F134" s="446" t="s">
        <v>481</v>
      </c>
      <c r="G134" s="446" t="s">
        <v>482</v>
      </c>
      <c r="H134" s="441" t="s">
        <v>483</v>
      </c>
      <c r="I134" s="545" t="s">
        <v>3</v>
      </c>
      <c r="J134" s="545" t="s">
        <v>3</v>
      </c>
      <c r="K134" s="441" t="s">
        <v>484</v>
      </c>
      <c r="L134" s="287"/>
    </row>
    <row r="135" spans="1:12" x14ac:dyDescent="0.25">
      <c r="A135" s="441" t="s">
        <v>4</v>
      </c>
      <c r="B135" s="441"/>
      <c r="C135" s="545" t="s">
        <v>5</v>
      </c>
      <c r="D135" s="545" t="s">
        <v>5</v>
      </c>
      <c r="E135" s="441"/>
      <c r="F135" s="446" t="s">
        <v>6</v>
      </c>
      <c r="G135" s="446" t="s">
        <v>12</v>
      </c>
      <c r="H135" s="441" t="s">
        <v>7</v>
      </c>
      <c r="I135" s="545" t="s">
        <v>167</v>
      </c>
      <c r="J135" s="545" t="s">
        <v>167</v>
      </c>
      <c r="K135" s="441" t="s">
        <v>168</v>
      </c>
      <c r="L135" s="455"/>
    </row>
    <row r="136" spans="1:12" ht="45" x14ac:dyDescent="0.25">
      <c r="A136" s="442" t="s">
        <v>4</v>
      </c>
      <c r="B136" s="442"/>
      <c r="C136" s="542" t="s">
        <v>485</v>
      </c>
      <c r="D136" s="542" t="s">
        <v>485</v>
      </c>
      <c r="E136" s="440"/>
      <c r="F136" s="506">
        <v>6.7</v>
      </c>
      <c r="G136" s="506" t="s">
        <v>590</v>
      </c>
      <c r="H136" s="442" t="s">
        <v>4</v>
      </c>
      <c r="I136" s="543" t="s">
        <v>198</v>
      </c>
      <c r="J136" s="543" t="s">
        <v>198</v>
      </c>
      <c r="K136" s="442" t="s">
        <v>486</v>
      </c>
      <c r="L136" s="456"/>
    </row>
    <row r="137" spans="1:12" ht="56.25" x14ac:dyDescent="0.25">
      <c r="A137" s="442" t="s">
        <v>5</v>
      </c>
      <c r="B137" s="442"/>
      <c r="C137" s="542" t="s">
        <v>137</v>
      </c>
      <c r="D137" s="542" t="s">
        <v>137</v>
      </c>
      <c r="E137" s="440"/>
      <c r="F137" s="506">
        <v>8.1000000000000003E-2</v>
      </c>
      <c r="G137" s="506" t="s">
        <v>637</v>
      </c>
      <c r="H137" s="442" t="s">
        <v>4</v>
      </c>
      <c r="I137" s="543" t="s">
        <v>199</v>
      </c>
      <c r="J137" s="543" t="s">
        <v>199</v>
      </c>
      <c r="K137" s="442" t="s">
        <v>487</v>
      </c>
      <c r="L137" s="456"/>
    </row>
    <row r="138" spans="1:12" ht="56.25" x14ac:dyDescent="0.25">
      <c r="A138" s="442" t="s">
        <v>6</v>
      </c>
      <c r="B138" s="442"/>
      <c r="C138" s="542" t="s">
        <v>132</v>
      </c>
      <c r="D138" s="542" t="s">
        <v>132</v>
      </c>
      <c r="E138" s="440"/>
      <c r="F138" s="506">
        <v>0.19</v>
      </c>
      <c r="G138" s="506" t="s">
        <v>591</v>
      </c>
      <c r="H138" s="442" t="s">
        <v>4</v>
      </c>
      <c r="I138" s="543" t="s">
        <v>199</v>
      </c>
      <c r="J138" s="543" t="s">
        <v>199</v>
      </c>
      <c r="K138" s="442" t="s">
        <v>488</v>
      </c>
      <c r="L138" s="456"/>
    </row>
    <row r="139" spans="1:12" ht="56.25" x14ac:dyDescent="0.25">
      <c r="A139" s="442" t="s">
        <v>12</v>
      </c>
      <c r="B139" s="442"/>
      <c r="C139" s="542" t="s">
        <v>110</v>
      </c>
      <c r="D139" s="542" t="s">
        <v>110</v>
      </c>
      <c r="E139" s="440"/>
      <c r="F139" s="506" t="s">
        <v>239</v>
      </c>
      <c r="G139" s="506" t="s">
        <v>63</v>
      </c>
      <c r="H139" s="442" t="s">
        <v>4</v>
      </c>
      <c r="I139" s="543" t="s">
        <v>199</v>
      </c>
      <c r="J139" s="543" t="s">
        <v>199</v>
      </c>
      <c r="K139" s="442" t="s">
        <v>488</v>
      </c>
      <c r="L139" s="456"/>
    </row>
    <row r="140" spans="1:12" ht="56.25" x14ac:dyDescent="0.25">
      <c r="A140" s="442" t="s">
        <v>7</v>
      </c>
      <c r="B140" s="442"/>
      <c r="C140" s="542" t="s">
        <v>107</v>
      </c>
      <c r="D140" s="542" t="s">
        <v>107</v>
      </c>
      <c r="E140" s="440"/>
      <c r="F140" s="506">
        <v>0.35</v>
      </c>
      <c r="G140" s="506" t="s">
        <v>638</v>
      </c>
      <c r="H140" s="442" t="s">
        <v>4</v>
      </c>
      <c r="I140" s="543" t="s">
        <v>199</v>
      </c>
      <c r="J140" s="543" t="s">
        <v>199</v>
      </c>
      <c r="K140" s="442" t="s">
        <v>488</v>
      </c>
      <c r="L140" s="456"/>
    </row>
    <row r="141" spans="1:12" ht="45" x14ac:dyDescent="0.25">
      <c r="A141" s="442" t="s">
        <v>167</v>
      </c>
      <c r="B141" s="442"/>
      <c r="C141" s="542" t="s">
        <v>99</v>
      </c>
      <c r="D141" s="542" t="s">
        <v>99</v>
      </c>
      <c r="E141" s="440"/>
      <c r="F141" s="506" t="s">
        <v>639</v>
      </c>
      <c r="G141" s="506" t="s">
        <v>640</v>
      </c>
      <c r="H141" s="442" t="s">
        <v>5</v>
      </c>
      <c r="I141" s="543" t="s">
        <v>199</v>
      </c>
      <c r="J141" s="543" t="s">
        <v>199</v>
      </c>
      <c r="K141" s="442" t="s">
        <v>491</v>
      </c>
      <c r="L141" s="456"/>
    </row>
    <row r="142" spans="1:12" ht="56.25" x14ac:dyDescent="0.25">
      <c r="A142" s="442" t="s">
        <v>168</v>
      </c>
      <c r="B142" s="442"/>
      <c r="C142" s="542" t="s">
        <v>93</v>
      </c>
      <c r="D142" s="542" t="s">
        <v>93</v>
      </c>
      <c r="E142" s="440"/>
      <c r="F142" s="506" t="s">
        <v>27</v>
      </c>
      <c r="G142" s="506" t="s">
        <v>63</v>
      </c>
      <c r="H142" s="442" t="s">
        <v>4</v>
      </c>
      <c r="I142" s="543" t="s">
        <v>199</v>
      </c>
      <c r="J142" s="543" t="s">
        <v>199</v>
      </c>
      <c r="K142" s="442" t="s">
        <v>488</v>
      </c>
      <c r="L142" s="456"/>
    </row>
    <row r="143" spans="1:12" ht="45" x14ac:dyDescent="0.25">
      <c r="A143" s="442" t="s">
        <v>169</v>
      </c>
      <c r="B143" s="442"/>
      <c r="C143" s="542" t="s">
        <v>492</v>
      </c>
      <c r="D143" s="542" t="s">
        <v>492</v>
      </c>
      <c r="E143" s="440"/>
      <c r="F143" s="506" t="s">
        <v>655</v>
      </c>
      <c r="G143" s="506" t="s">
        <v>641</v>
      </c>
      <c r="H143" s="442" t="s">
        <v>5</v>
      </c>
      <c r="I143" s="543" t="s">
        <v>493</v>
      </c>
      <c r="J143" s="543" t="s">
        <v>493</v>
      </c>
      <c r="K143" s="442" t="s">
        <v>494</v>
      </c>
      <c r="L143" s="456"/>
    </row>
    <row r="144" spans="1:12" ht="56.25" x14ac:dyDescent="0.25">
      <c r="A144" s="442" t="s">
        <v>27</v>
      </c>
      <c r="B144" s="442"/>
      <c r="C144" s="542" t="s">
        <v>80</v>
      </c>
      <c r="D144" s="542" t="s">
        <v>80</v>
      </c>
      <c r="E144" s="440"/>
      <c r="F144" s="506">
        <v>10</v>
      </c>
      <c r="G144" s="506" t="s">
        <v>605</v>
      </c>
      <c r="H144" s="442" t="s">
        <v>4</v>
      </c>
      <c r="I144" s="543" t="s">
        <v>199</v>
      </c>
      <c r="J144" s="543" t="s">
        <v>199</v>
      </c>
      <c r="K144" s="442" t="s">
        <v>488</v>
      </c>
      <c r="L144" s="456"/>
    </row>
    <row r="145" spans="1:12" ht="56.25" x14ac:dyDescent="0.25">
      <c r="A145" s="442" t="s">
        <v>170</v>
      </c>
      <c r="B145" s="442"/>
      <c r="C145" s="542" t="s">
        <v>66</v>
      </c>
      <c r="D145" s="542" t="s">
        <v>66</v>
      </c>
      <c r="E145" s="440"/>
      <c r="F145" s="506" t="s">
        <v>534</v>
      </c>
      <c r="G145" s="506" t="s">
        <v>59</v>
      </c>
      <c r="H145" s="442" t="s">
        <v>4</v>
      </c>
      <c r="I145" s="543" t="s">
        <v>199</v>
      </c>
      <c r="J145" s="543" t="s">
        <v>199</v>
      </c>
      <c r="K145" s="442" t="s">
        <v>488</v>
      </c>
      <c r="L145" s="456"/>
    </row>
    <row r="146" spans="1:12" x14ac:dyDescent="0.25">
      <c r="A146" s="241"/>
      <c r="B146" s="240"/>
      <c r="C146" s="154"/>
      <c r="D146" s="154"/>
      <c r="E146" s="154"/>
      <c r="F146" s="154"/>
      <c r="G146" s="154"/>
      <c r="H146" s="154"/>
      <c r="I146" s="154"/>
      <c r="J146" s="154"/>
      <c r="K146" s="163"/>
      <c r="L146" s="454"/>
    </row>
    <row r="147" spans="1:12" x14ac:dyDescent="0.25">
      <c r="A147" s="544" t="s">
        <v>264</v>
      </c>
      <c r="B147" s="544"/>
      <c r="C147" s="544" t="s">
        <v>499</v>
      </c>
      <c r="D147" s="544" t="s">
        <v>499</v>
      </c>
      <c r="E147" s="544"/>
      <c r="F147" s="544" t="s">
        <v>499</v>
      </c>
      <c r="G147" s="544" t="s">
        <v>499</v>
      </c>
      <c r="H147" s="544" t="s">
        <v>499</v>
      </c>
      <c r="I147" s="544" t="s">
        <v>499</v>
      </c>
      <c r="J147" s="544" t="s">
        <v>499</v>
      </c>
      <c r="K147" s="544" t="s">
        <v>499</v>
      </c>
      <c r="L147" s="457"/>
    </row>
    <row r="148" spans="1:12" ht="73.5" x14ac:dyDescent="0.25">
      <c r="A148" s="443" t="s">
        <v>0</v>
      </c>
      <c r="B148" s="443"/>
      <c r="C148" s="545" t="s">
        <v>1</v>
      </c>
      <c r="D148" s="545" t="s">
        <v>1</v>
      </c>
      <c r="E148" s="443"/>
      <c r="F148" s="446" t="s">
        <v>481</v>
      </c>
      <c r="G148" s="446" t="s">
        <v>482</v>
      </c>
      <c r="H148" s="443" t="s">
        <v>483</v>
      </c>
      <c r="I148" s="545" t="s">
        <v>3</v>
      </c>
      <c r="J148" s="545" t="s">
        <v>3</v>
      </c>
      <c r="K148" s="443" t="s">
        <v>484</v>
      </c>
      <c r="L148" s="287"/>
    </row>
    <row r="149" spans="1:12" x14ac:dyDescent="0.25">
      <c r="A149" s="443" t="s">
        <v>4</v>
      </c>
      <c r="B149" s="443"/>
      <c r="C149" s="545" t="s">
        <v>5</v>
      </c>
      <c r="D149" s="545" t="s">
        <v>5</v>
      </c>
      <c r="E149" s="443"/>
      <c r="F149" s="446" t="s">
        <v>6</v>
      </c>
      <c r="G149" s="446" t="s">
        <v>12</v>
      </c>
      <c r="H149" s="443" t="s">
        <v>7</v>
      </c>
      <c r="I149" s="545" t="s">
        <v>167</v>
      </c>
      <c r="J149" s="545" t="s">
        <v>167</v>
      </c>
      <c r="K149" s="443" t="s">
        <v>168</v>
      </c>
      <c r="L149" s="455"/>
    </row>
    <row r="150" spans="1:12" ht="45" x14ac:dyDescent="0.25">
      <c r="A150" s="444" t="s">
        <v>4</v>
      </c>
      <c r="B150" s="444"/>
      <c r="C150" s="542" t="s">
        <v>485</v>
      </c>
      <c r="D150" s="542" t="s">
        <v>485</v>
      </c>
      <c r="E150" s="440"/>
      <c r="F150" s="507">
        <v>6.7</v>
      </c>
      <c r="G150" s="507" t="s">
        <v>590</v>
      </c>
      <c r="H150" s="444" t="s">
        <v>4</v>
      </c>
      <c r="I150" s="543" t="s">
        <v>198</v>
      </c>
      <c r="J150" s="543" t="s">
        <v>198</v>
      </c>
      <c r="K150" s="444" t="s">
        <v>486</v>
      </c>
      <c r="L150" s="456"/>
    </row>
    <row r="151" spans="1:12" ht="56.25" x14ac:dyDescent="0.25">
      <c r="A151" s="444" t="s">
        <v>5</v>
      </c>
      <c r="B151" s="444"/>
      <c r="C151" s="542" t="s">
        <v>137</v>
      </c>
      <c r="D151" s="542" t="s">
        <v>137</v>
      </c>
      <c r="E151" s="440"/>
      <c r="F151" s="507">
        <v>6.2E-2</v>
      </c>
      <c r="G151" s="507" t="s">
        <v>642</v>
      </c>
      <c r="H151" s="444" t="s">
        <v>4</v>
      </c>
      <c r="I151" s="543" t="s">
        <v>199</v>
      </c>
      <c r="J151" s="543" t="s">
        <v>199</v>
      </c>
      <c r="K151" s="444" t="s">
        <v>487</v>
      </c>
      <c r="L151" s="456"/>
    </row>
    <row r="152" spans="1:12" ht="56.25" x14ac:dyDescent="0.25">
      <c r="A152" s="444" t="s">
        <v>6</v>
      </c>
      <c r="B152" s="444"/>
      <c r="C152" s="542" t="s">
        <v>132</v>
      </c>
      <c r="D152" s="542" t="s">
        <v>132</v>
      </c>
      <c r="E152" s="440"/>
      <c r="F152" s="507">
        <v>0.17</v>
      </c>
      <c r="G152" s="507" t="s">
        <v>591</v>
      </c>
      <c r="H152" s="444" t="s">
        <v>4</v>
      </c>
      <c r="I152" s="543" t="s">
        <v>199</v>
      </c>
      <c r="J152" s="543" t="s">
        <v>199</v>
      </c>
      <c r="K152" s="444" t="s">
        <v>488</v>
      </c>
      <c r="L152" s="456"/>
    </row>
    <row r="153" spans="1:12" ht="56.25" x14ac:dyDescent="0.25">
      <c r="A153" s="444" t="s">
        <v>12</v>
      </c>
      <c r="B153" s="444"/>
      <c r="C153" s="542" t="s">
        <v>110</v>
      </c>
      <c r="D153" s="542" t="s">
        <v>110</v>
      </c>
      <c r="E153" s="440"/>
      <c r="F153" s="507" t="s">
        <v>506</v>
      </c>
      <c r="G153" s="507" t="s">
        <v>63</v>
      </c>
      <c r="H153" s="444" t="s">
        <v>4</v>
      </c>
      <c r="I153" s="543" t="s">
        <v>199</v>
      </c>
      <c r="J153" s="543" t="s">
        <v>199</v>
      </c>
      <c r="K153" s="444" t="s">
        <v>488</v>
      </c>
      <c r="L153" s="456"/>
    </row>
    <row r="154" spans="1:12" ht="56.25" x14ac:dyDescent="0.25">
      <c r="A154" s="444" t="s">
        <v>7</v>
      </c>
      <c r="B154" s="444"/>
      <c r="C154" s="542" t="s">
        <v>107</v>
      </c>
      <c r="D154" s="542" t="s">
        <v>107</v>
      </c>
      <c r="E154" s="440"/>
      <c r="F154" s="507">
        <v>0.7</v>
      </c>
      <c r="G154" s="507" t="s">
        <v>623</v>
      </c>
      <c r="H154" s="444" t="s">
        <v>4</v>
      </c>
      <c r="I154" s="543" t="s">
        <v>199</v>
      </c>
      <c r="J154" s="543" t="s">
        <v>199</v>
      </c>
      <c r="K154" s="444" t="s">
        <v>488</v>
      </c>
      <c r="L154" s="456"/>
    </row>
    <row r="155" spans="1:12" ht="45" x14ac:dyDescent="0.25">
      <c r="A155" s="444" t="s">
        <v>167</v>
      </c>
      <c r="B155" s="444"/>
      <c r="C155" s="542" t="s">
        <v>99</v>
      </c>
      <c r="D155" s="542" t="s">
        <v>99</v>
      </c>
      <c r="E155" s="440"/>
      <c r="F155" s="507" t="s">
        <v>517</v>
      </c>
      <c r="G155" s="507" t="s">
        <v>96</v>
      </c>
      <c r="H155" s="444" t="s">
        <v>5</v>
      </c>
      <c r="I155" s="543" t="s">
        <v>199</v>
      </c>
      <c r="J155" s="543" t="s">
        <v>199</v>
      </c>
      <c r="K155" s="444" t="s">
        <v>491</v>
      </c>
      <c r="L155" s="456"/>
    </row>
    <row r="156" spans="1:12" ht="56.25" x14ac:dyDescent="0.25">
      <c r="A156" s="444" t="s">
        <v>168</v>
      </c>
      <c r="B156" s="444"/>
      <c r="C156" s="542" t="s">
        <v>93</v>
      </c>
      <c r="D156" s="542" t="s">
        <v>93</v>
      </c>
      <c r="E156" s="440"/>
      <c r="F156" s="507" t="s">
        <v>168</v>
      </c>
      <c r="G156" s="507" t="s">
        <v>63</v>
      </c>
      <c r="H156" s="444" t="s">
        <v>4</v>
      </c>
      <c r="I156" s="543" t="s">
        <v>199</v>
      </c>
      <c r="J156" s="543" t="s">
        <v>199</v>
      </c>
      <c r="K156" s="444" t="s">
        <v>488</v>
      </c>
      <c r="L156" s="456"/>
    </row>
    <row r="157" spans="1:12" ht="45" x14ac:dyDescent="0.25">
      <c r="A157" s="444" t="s">
        <v>169</v>
      </c>
      <c r="B157" s="444"/>
      <c r="C157" s="542" t="s">
        <v>492</v>
      </c>
      <c r="D157" s="542" t="s">
        <v>492</v>
      </c>
      <c r="E157" s="440"/>
      <c r="F157" s="507" t="s">
        <v>654</v>
      </c>
      <c r="G157" s="507" t="s">
        <v>643</v>
      </c>
      <c r="H157" s="444" t="s">
        <v>5</v>
      </c>
      <c r="I157" s="543" t="s">
        <v>493</v>
      </c>
      <c r="J157" s="543" t="s">
        <v>493</v>
      </c>
      <c r="K157" s="444" t="s">
        <v>494</v>
      </c>
      <c r="L157" s="456"/>
    </row>
    <row r="158" spans="1:12" ht="56.25" x14ac:dyDescent="0.25">
      <c r="A158" s="444" t="s">
        <v>27</v>
      </c>
      <c r="B158" s="444"/>
      <c r="C158" s="542" t="s">
        <v>80</v>
      </c>
      <c r="D158" s="542" t="s">
        <v>80</v>
      </c>
      <c r="E158" s="440"/>
      <c r="F158" s="507">
        <v>7.8</v>
      </c>
      <c r="G158" s="507" t="s">
        <v>594</v>
      </c>
      <c r="H158" s="444" t="s">
        <v>4</v>
      </c>
      <c r="I158" s="543" t="s">
        <v>199</v>
      </c>
      <c r="J158" s="543" t="s">
        <v>199</v>
      </c>
      <c r="K158" s="444" t="s">
        <v>488</v>
      </c>
      <c r="L158" s="456"/>
    </row>
    <row r="159" spans="1:12" ht="56.25" x14ac:dyDescent="0.25">
      <c r="A159" s="444" t="s">
        <v>170</v>
      </c>
      <c r="B159" s="444"/>
      <c r="C159" s="542" t="s">
        <v>66</v>
      </c>
      <c r="D159" s="542" t="s">
        <v>66</v>
      </c>
      <c r="E159" s="440"/>
      <c r="F159" s="507" t="s">
        <v>552</v>
      </c>
      <c r="G159" s="507" t="s">
        <v>89</v>
      </c>
      <c r="H159" s="444" t="s">
        <v>4</v>
      </c>
      <c r="I159" s="543" t="s">
        <v>199</v>
      </c>
      <c r="J159" s="543" t="s">
        <v>199</v>
      </c>
      <c r="K159" s="444" t="s">
        <v>488</v>
      </c>
      <c r="L159" s="456"/>
    </row>
    <row r="160" spans="1:12" x14ac:dyDescent="0.25">
      <c r="A160" s="166"/>
      <c r="B160" s="154"/>
      <c r="C160" s="154"/>
      <c r="D160" s="154"/>
      <c r="E160" s="154"/>
      <c r="F160" s="154"/>
      <c r="G160" s="154"/>
      <c r="H160" s="154"/>
      <c r="I160" s="154"/>
      <c r="J160" s="154"/>
      <c r="K160" s="163"/>
      <c r="L160" s="454"/>
    </row>
    <row r="161" spans="1:12" x14ac:dyDescent="0.25">
      <c r="A161" s="544" t="s">
        <v>236</v>
      </c>
      <c r="B161" s="544"/>
      <c r="C161" s="544" t="s">
        <v>499</v>
      </c>
      <c r="D161" s="544" t="s">
        <v>499</v>
      </c>
      <c r="E161" s="544"/>
      <c r="F161" s="544" t="s">
        <v>499</v>
      </c>
      <c r="G161" s="544" t="s">
        <v>499</v>
      </c>
      <c r="H161" s="544" t="s">
        <v>499</v>
      </c>
      <c r="I161" s="544" t="s">
        <v>499</v>
      </c>
      <c r="J161" s="544" t="s">
        <v>499</v>
      </c>
      <c r="K161" s="544" t="s">
        <v>499</v>
      </c>
      <c r="L161" s="457"/>
    </row>
    <row r="162" spans="1:12" ht="73.5" x14ac:dyDescent="0.25">
      <c r="A162" s="443" t="s">
        <v>0</v>
      </c>
      <c r="B162" s="443"/>
      <c r="C162" s="545" t="s">
        <v>1</v>
      </c>
      <c r="D162" s="545" t="s">
        <v>1</v>
      </c>
      <c r="E162" s="443"/>
      <c r="F162" s="446" t="s">
        <v>481</v>
      </c>
      <c r="G162" s="446" t="s">
        <v>482</v>
      </c>
      <c r="H162" s="443" t="s">
        <v>483</v>
      </c>
      <c r="I162" s="545" t="s">
        <v>3</v>
      </c>
      <c r="J162" s="545" t="s">
        <v>3</v>
      </c>
      <c r="K162" s="443" t="s">
        <v>484</v>
      </c>
      <c r="L162" s="287"/>
    </row>
    <row r="163" spans="1:12" x14ac:dyDescent="0.25">
      <c r="A163" s="443" t="s">
        <v>4</v>
      </c>
      <c r="B163" s="443"/>
      <c r="C163" s="545" t="s">
        <v>5</v>
      </c>
      <c r="D163" s="545" t="s">
        <v>5</v>
      </c>
      <c r="E163" s="443"/>
      <c r="F163" s="446" t="s">
        <v>6</v>
      </c>
      <c r="G163" s="446" t="s">
        <v>12</v>
      </c>
      <c r="H163" s="443" t="s">
        <v>7</v>
      </c>
      <c r="I163" s="545" t="s">
        <v>167</v>
      </c>
      <c r="J163" s="545" t="s">
        <v>167</v>
      </c>
      <c r="K163" s="443" t="s">
        <v>168</v>
      </c>
      <c r="L163" s="455"/>
    </row>
    <row r="164" spans="1:12" ht="45" x14ac:dyDescent="0.25">
      <c r="A164" s="444" t="s">
        <v>4</v>
      </c>
      <c r="B164" s="444"/>
      <c r="C164" s="542" t="s">
        <v>485</v>
      </c>
      <c r="D164" s="542" t="s">
        <v>485</v>
      </c>
      <c r="E164" s="440"/>
      <c r="F164" s="508">
        <v>6.9</v>
      </c>
      <c r="G164" s="508" t="s">
        <v>590</v>
      </c>
      <c r="H164" s="444" t="s">
        <v>4</v>
      </c>
      <c r="I164" s="543" t="s">
        <v>198</v>
      </c>
      <c r="J164" s="543" t="s">
        <v>198</v>
      </c>
      <c r="K164" s="444" t="s">
        <v>486</v>
      </c>
      <c r="L164" s="456"/>
    </row>
    <row r="165" spans="1:12" ht="56.25" x14ac:dyDescent="0.25">
      <c r="A165" s="444" t="s">
        <v>5</v>
      </c>
      <c r="B165" s="444"/>
      <c r="C165" s="542" t="s">
        <v>137</v>
      </c>
      <c r="D165" s="542" t="s">
        <v>137</v>
      </c>
      <c r="E165" s="440"/>
      <c r="F165" s="508">
        <v>6.2E-2</v>
      </c>
      <c r="G165" s="508" t="s">
        <v>642</v>
      </c>
      <c r="H165" s="444" t="s">
        <v>4</v>
      </c>
      <c r="I165" s="543" t="s">
        <v>199</v>
      </c>
      <c r="J165" s="543" t="s">
        <v>199</v>
      </c>
      <c r="K165" s="444" t="s">
        <v>487</v>
      </c>
      <c r="L165" s="456"/>
    </row>
    <row r="166" spans="1:12" ht="56.25" x14ac:dyDescent="0.25">
      <c r="A166" s="444" t="s">
        <v>6</v>
      </c>
      <c r="B166" s="444"/>
      <c r="C166" s="542" t="s">
        <v>132</v>
      </c>
      <c r="D166" s="542" t="s">
        <v>132</v>
      </c>
      <c r="E166" s="440"/>
      <c r="F166" s="508">
        <v>0.2</v>
      </c>
      <c r="G166" s="508" t="s">
        <v>644</v>
      </c>
      <c r="H166" s="444" t="s">
        <v>4</v>
      </c>
      <c r="I166" s="543" t="s">
        <v>199</v>
      </c>
      <c r="J166" s="543" t="s">
        <v>199</v>
      </c>
      <c r="K166" s="444" t="s">
        <v>488</v>
      </c>
      <c r="L166" s="456"/>
    </row>
    <row r="167" spans="1:12" ht="56.25" x14ac:dyDescent="0.25">
      <c r="A167" s="444" t="s">
        <v>12</v>
      </c>
      <c r="B167" s="444"/>
      <c r="C167" s="542" t="s">
        <v>110</v>
      </c>
      <c r="D167" s="542" t="s">
        <v>110</v>
      </c>
      <c r="E167" s="440"/>
      <c r="F167" s="508" t="s">
        <v>252</v>
      </c>
      <c r="G167" s="508" t="s">
        <v>489</v>
      </c>
      <c r="H167" s="444" t="s">
        <v>4</v>
      </c>
      <c r="I167" s="543" t="s">
        <v>199</v>
      </c>
      <c r="J167" s="543" t="s">
        <v>199</v>
      </c>
      <c r="K167" s="444" t="s">
        <v>488</v>
      </c>
      <c r="L167" s="456"/>
    </row>
    <row r="168" spans="1:12" ht="56.25" x14ac:dyDescent="0.25">
      <c r="A168" s="444" t="s">
        <v>7</v>
      </c>
      <c r="B168" s="444"/>
      <c r="C168" s="542" t="s">
        <v>107</v>
      </c>
      <c r="D168" s="542" t="s">
        <v>107</v>
      </c>
      <c r="E168" s="440"/>
      <c r="F168" s="508">
        <v>0.37</v>
      </c>
      <c r="G168" s="508" t="s">
        <v>638</v>
      </c>
      <c r="H168" s="444" t="s">
        <v>4</v>
      </c>
      <c r="I168" s="543" t="s">
        <v>199</v>
      </c>
      <c r="J168" s="543" t="s">
        <v>199</v>
      </c>
      <c r="K168" s="444" t="s">
        <v>488</v>
      </c>
      <c r="L168" s="456"/>
    </row>
    <row r="169" spans="1:12" ht="45" x14ac:dyDescent="0.25">
      <c r="A169" s="444" t="s">
        <v>167</v>
      </c>
      <c r="B169" s="444"/>
      <c r="C169" s="542" t="s">
        <v>99</v>
      </c>
      <c r="D169" s="542" t="s">
        <v>99</v>
      </c>
      <c r="E169" s="440"/>
      <c r="F169" s="508" t="s">
        <v>531</v>
      </c>
      <c r="G169" s="508" t="s">
        <v>508</v>
      </c>
      <c r="H169" s="444" t="s">
        <v>5</v>
      </c>
      <c r="I169" s="543" t="s">
        <v>199</v>
      </c>
      <c r="J169" s="543" t="s">
        <v>199</v>
      </c>
      <c r="K169" s="444" t="s">
        <v>491</v>
      </c>
      <c r="L169" s="456"/>
    </row>
    <row r="170" spans="1:12" ht="56.25" x14ac:dyDescent="0.25">
      <c r="A170" s="444" t="s">
        <v>168</v>
      </c>
      <c r="B170" s="444"/>
      <c r="C170" s="542" t="s">
        <v>93</v>
      </c>
      <c r="D170" s="542" t="s">
        <v>93</v>
      </c>
      <c r="E170" s="440"/>
      <c r="F170" s="508" t="s">
        <v>168</v>
      </c>
      <c r="G170" s="508" t="s">
        <v>63</v>
      </c>
      <c r="H170" s="444" t="s">
        <v>4</v>
      </c>
      <c r="I170" s="543" t="s">
        <v>199</v>
      </c>
      <c r="J170" s="543" t="s">
        <v>199</v>
      </c>
      <c r="K170" s="444" t="s">
        <v>488</v>
      </c>
      <c r="L170" s="456"/>
    </row>
    <row r="171" spans="1:12" ht="45" x14ac:dyDescent="0.25">
      <c r="A171" s="444" t="s">
        <v>169</v>
      </c>
      <c r="B171" s="444"/>
      <c r="C171" s="542" t="s">
        <v>492</v>
      </c>
      <c r="D171" s="542" t="s">
        <v>492</v>
      </c>
      <c r="E171" s="440"/>
      <c r="F171" s="508" t="s">
        <v>653</v>
      </c>
      <c r="G171" s="508" t="s">
        <v>508</v>
      </c>
      <c r="H171" s="444" t="s">
        <v>5</v>
      </c>
      <c r="I171" s="543" t="s">
        <v>493</v>
      </c>
      <c r="J171" s="543" t="s">
        <v>493</v>
      </c>
      <c r="K171" s="444" t="s">
        <v>494</v>
      </c>
      <c r="L171" s="456"/>
    </row>
    <row r="172" spans="1:12" ht="56.25" x14ac:dyDescent="0.25">
      <c r="A172" s="444" t="s">
        <v>27</v>
      </c>
      <c r="B172" s="444"/>
      <c r="C172" s="542" t="s">
        <v>80</v>
      </c>
      <c r="D172" s="542" t="s">
        <v>80</v>
      </c>
      <c r="E172" s="440"/>
      <c r="F172" s="508" t="s">
        <v>236</v>
      </c>
      <c r="G172" s="508" t="s">
        <v>63</v>
      </c>
      <c r="H172" s="444" t="s">
        <v>4</v>
      </c>
      <c r="I172" s="543" t="s">
        <v>199</v>
      </c>
      <c r="J172" s="543" t="s">
        <v>199</v>
      </c>
      <c r="K172" s="444" t="s">
        <v>488</v>
      </c>
      <c r="L172" s="456"/>
    </row>
    <row r="173" spans="1:12" ht="56.25" x14ac:dyDescent="0.25">
      <c r="A173" s="444" t="s">
        <v>170</v>
      </c>
      <c r="B173" s="444"/>
      <c r="C173" s="542" t="s">
        <v>66</v>
      </c>
      <c r="D173" s="542" t="s">
        <v>66</v>
      </c>
      <c r="E173" s="440"/>
      <c r="F173" s="508" t="s">
        <v>603</v>
      </c>
      <c r="G173" s="508" t="s">
        <v>89</v>
      </c>
      <c r="H173" s="444" t="s">
        <v>4</v>
      </c>
      <c r="I173" s="543" t="s">
        <v>199</v>
      </c>
      <c r="J173" s="543" t="s">
        <v>199</v>
      </c>
      <c r="K173" s="444" t="s">
        <v>488</v>
      </c>
      <c r="L173" s="456"/>
    </row>
    <row r="174" spans="1:12" x14ac:dyDescent="0.25">
      <c r="A174" s="282"/>
      <c r="B174" s="274"/>
      <c r="C174" s="274"/>
      <c r="D174" s="274"/>
      <c r="E174" s="274"/>
      <c r="F174" s="274"/>
      <c r="G174" s="274"/>
      <c r="H174" s="274"/>
      <c r="I174" s="274"/>
      <c r="J174" s="274"/>
      <c r="K174" s="163"/>
      <c r="L174" s="456"/>
    </row>
    <row r="175" spans="1:12" x14ac:dyDescent="0.25">
      <c r="A175" s="282"/>
      <c r="B175" s="274"/>
      <c r="C175" s="274"/>
      <c r="D175" s="274"/>
      <c r="E175" s="274"/>
      <c r="F175" s="274"/>
      <c r="G175" s="274"/>
      <c r="H175" s="274"/>
      <c r="I175" s="274"/>
      <c r="J175" s="274"/>
      <c r="K175" s="163"/>
      <c r="L175" s="456"/>
    </row>
    <row r="176" spans="1:12" x14ac:dyDescent="0.25">
      <c r="A176" s="166"/>
      <c r="B176" s="154"/>
      <c r="C176" s="154"/>
      <c r="D176" s="154"/>
      <c r="E176" s="154"/>
      <c r="F176" s="154"/>
      <c r="G176" s="154"/>
      <c r="H176" s="154"/>
      <c r="I176" s="154"/>
      <c r="J176" s="154"/>
    </row>
    <row r="177" spans="1:11" x14ac:dyDescent="0.25">
      <c r="A177" s="544" t="s">
        <v>239</v>
      </c>
      <c r="B177" s="544"/>
      <c r="C177" s="544" t="s">
        <v>499</v>
      </c>
      <c r="D177" s="544" t="s">
        <v>499</v>
      </c>
      <c r="E177" s="544"/>
      <c r="F177" s="544" t="s">
        <v>499</v>
      </c>
      <c r="G177" s="544" t="s">
        <v>499</v>
      </c>
      <c r="H177" s="544" t="s">
        <v>499</v>
      </c>
      <c r="I177" s="544" t="s">
        <v>499</v>
      </c>
      <c r="J177" s="544" t="s">
        <v>499</v>
      </c>
      <c r="K177" s="544" t="s">
        <v>499</v>
      </c>
    </row>
    <row r="178" spans="1:11" ht="73.5" x14ac:dyDescent="0.25">
      <c r="A178" s="443" t="s">
        <v>0</v>
      </c>
      <c r="B178" s="443"/>
      <c r="C178" s="545" t="s">
        <v>1</v>
      </c>
      <c r="D178" s="545" t="s">
        <v>1</v>
      </c>
      <c r="E178" s="443"/>
      <c r="F178" s="446" t="s">
        <v>481</v>
      </c>
      <c r="G178" s="446" t="s">
        <v>482</v>
      </c>
      <c r="H178" s="443" t="s">
        <v>483</v>
      </c>
      <c r="I178" s="545" t="s">
        <v>3</v>
      </c>
      <c r="J178" s="545" t="s">
        <v>3</v>
      </c>
      <c r="K178" s="443" t="s">
        <v>484</v>
      </c>
    </row>
    <row r="179" spans="1:11" x14ac:dyDescent="0.25">
      <c r="A179" s="443" t="s">
        <v>4</v>
      </c>
      <c r="B179" s="443"/>
      <c r="C179" s="545" t="s">
        <v>5</v>
      </c>
      <c r="D179" s="545" t="s">
        <v>5</v>
      </c>
      <c r="E179" s="443"/>
      <c r="F179" s="446" t="s">
        <v>6</v>
      </c>
      <c r="G179" s="446" t="s">
        <v>12</v>
      </c>
      <c r="H179" s="443" t="s">
        <v>7</v>
      </c>
      <c r="I179" s="545" t="s">
        <v>167</v>
      </c>
      <c r="J179" s="545" t="s">
        <v>167</v>
      </c>
      <c r="K179" s="443" t="s">
        <v>168</v>
      </c>
    </row>
    <row r="180" spans="1:11" ht="45" x14ac:dyDescent="0.25">
      <c r="A180" s="444" t="s">
        <v>4</v>
      </c>
      <c r="B180" s="444"/>
      <c r="C180" s="542" t="s">
        <v>485</v>
      </c>
      <c r="D180" s="542" t="s">
        <v>485</v>
      </c>
      <c r="E180" s="440"/>
      <c r="F180" s="509">
        <v>6.9</v>
      </c>
      <c r="G180" s="509" t="s">
        <v>590</v>
      </c>
      <c r="H180" s="444" t="s">
        <v>4</v>
      </c>
      <c r="I180" s="543" t="s">
        <v>198</v>
      </c>
      <c r="J180" s="543" t="s">
        <v>198</v>
      </c>
      <c r="K180" s="444" t="s">
        <v>486</v>
      </c>
    </row>
    <row r="181" spans="1:11" ht="56.25" x14ac:dyDescent="0.25">
      <c r="A181" s="444" t="s">
        <v>5</v>
      </c>
      <c r="B181" s="444"/>
      <c r="C181" s="542" t="s">
        <v>137</v>
      </c>
      <c r="D181" s="542" t="s">
        <v>137</v>
      </c>
      <c r="E181" s="440"/>
      <c r="F181" s="509">
        <v>4.2000000000000003E-2</v>
      </c>
      <c r="G181" s="509" t="s">
        <v>626</v>
      </c>
      <c r="H181" s="444" t="s">
        <v>4</v>
      </c>
      <c r="I181" s="543" t="s">
        <v>199</v>
      </c>
      <c r="J181" s="543" t="s">
        <v>199</v>
      </c>
      <c r="K181" s="444" t="s">
        <v>487</v>
      </c>
    </row>
    <row r="182" spans="1:11" ht="56.25" x14ac:dyDescent="0.25">
      <c r="A182" s="444" t="s">
        <v>6</v>
      </c>
      <c r="B182" s="444"/>
      <c r="C182" s="542" t="s">
        <v>132</v>
      </c>
      <c r="D182" s="542" t="s">
        <v>132</v>
      </c>
      <c r="E182" s="440"/>
      <c r="F182" s="509">
        <v>0.2</v>
      </c>
      <c r="G182" s="509" t="s">
        <v>644</v>
      </c>
      <c r="H182" s="444" t="s">
        <v>4</v>
      </c>
      <c r="I182" s="543" t="s">
        <v>199</v>
      </c>
      <c r="J182" s="543" t="s">
        <v>199</v>
      </c>
      <c r="K182" s="444" t="s">
        <v>488</v>
      </c>
    </row>
    <row r="183" spans="1:11" ht="56.25" x14ac:dyDescent="0.25">
      <c r="A183" s="444" t="s">
        <v>12</v>
      </c>
      <c r="B183" s="444"/>
      <c r="C183" s="542" t="s">
        <v>110</v>
      </c>
      <c r="D183" s="542" t="s">
        <v>110</v>
      </c>
      <c r="E183" s="440"/>
      <c r="F183" s="509" t="s">
        <v>269</v>
      </c>
      <c r="G183" s="509" t="s">
        <v>63</v>
      </c>
      <c r="H183" s="444" t="s">
        <v>4</v>
      </c>
      <c r="I183" s="543" t="s">
        <v>199</v>
      </c>
      <c r="J183" s="543" t="s">
        <v>199</v>
      </c>
      <c r="K183" s="444" t="s">
        <v>488</v>
      </c>
    </row>
    <row r="184" spans="1:11" ht="56.25" x14ac:dyDescent="0.25">
      <c r="A184" s="444" t="s">
        <v>7</v>
      </c>
      <c r="B184" s="444"/>
      <c r="C184" s="542" t="s">
        <v>107</v>
      </c>
      <c r="D184" s="542" t="s">
        <v>107</v>
      </c>
      <c r="E184" s="440"/>
      <c r="F184" s="509">
        <v>0.9</v>
      </c>
      <c r="G184" s="509" t="s">
        <v>601</v>
      </c>
      <c r="H184" s="444" t="s">
        <v>4</v>
      </c>
      <c r="I184" s="543" t="s">
        <v>199</v>
      </c>
      <c r="J184" s="543" t="s">
        <v>199</v>
      </c>
      <c r="K184" s="444" t="s">
        <v>488</v>
      </c>
    </row>
    <row r="185" spans="1:11" ht="45" x14ac:dyDescent="0.25">
      <c r="A185" s="444" t="s">
        <v>167</v>
      </c>
      <c r="B185" s="444"/>
      <c r="C185" s="542" t="s">
        <v>99</v>
      </c>
      <c r="D185" s="542" t="s">
        <v>99</v>
      </c>
      <c r="E185" s="440"/>
      <c r="F185" s="509" t="s">
        <v>645</v>
      </c>
      <c r="G185" s="509" t="s">
        <v>549</v>
      </c>
      <c r="H185" s="444" t="s">
        <v>5</v>
      </c>
      <c r="I185" s="543" t="s">
        <v>199</v>
      </c>
      <c r="J185" s="543" t="s">
        <v>199</v>
      </c>
      <c r="K185" s="444" t="s">
        <v>491</v>
      </c>
    </row>
    <row r="186" spans="1:11" ht="56.25" x14ac:dyDescent="0.25">
      <c r="A186" s="444" t="s">
        <v>168</v>
      </c>
      <c r="B186" s="444"/>
      <c r="C186" s="542" t="s">
        <v>93</v>
      </c>
      <c r="D186" s="542" t="s">
        <v>93</v>
      </c>
      <c r="E186" s="440"/>
      <c r="F186" s="509" t="s">
        <v>170</v>
      </c>
      <c r="G186" s="509" t="s">
        <v>63</v>
      </c>
      <c r="H186" s="444" t="s">
        <v>4</v>
      </c>
      <c r="I186" s="543" t="s">
        <v>199</v>
      </c>
      <c r="J186" s="543" t="s">
        <v>199</v>
      </c>
      <c r="K186" s="444" t="s">
        <v>488</v>
      </c>
    </row>
    <row r="187" spans="1:11" ht="45" x14ac:dyDescent="0.25">
      <c r="A187" s="444" t="s">
        <v>169</v>
      </c>
      <c r="B187" s="444"/>
      <c r="C187" s="542" t="s">
        <v>492</v>
      </c>
      <c r="D187" s="542" t="s">
        <v>492</v>
      </c>
      <c r="E187" s="440"/>
      <c r="F187" s="509" t="s">
        <v>585</v>
      </c>
      <c r="G187" s="509" t="s">
        <v>553</v>
      </c>
      <c r="H187" s="444" t="s">
        <v>5</v>
      </c>
      <c r="I187" s="543" t="s">
        <v>493</v>
      </c>
      <c r="J187" s="543" t="s">
        <v>493</v>
      </c>
      <c r="K187" s="444" t="s">
        <v>494</v>
      </c>
    </row>
    <row r="188" spans="1:11" ht="56.25" x14ac:dyDescent="0.25">
      <c r="A188" s="444" t="s">
        <v>27</v>
      </c>
      <c r="B188" s="444"/>
      <c r="C188" s="542" t="s">
        <v>80</v>
      </c>
      <c r="D188" s="542" t="s">
        <v>80</v>
      </c>
      <c r="E188" s="440"/>
      <c r="F188" s="509">
        <v>6.2</v>
      </c>
      <c r="G188" s="509" t="s">
        <v>646</v>
      </c>
      <c r="H188" s="444" t="s">
        <v>4</v>
      </c>
      <c r="I188" s="543" t="s">
        <v>199</v>
      </c>
      <c r="J188" s="543" t="s">
        <v>199</v>
      </c>
      <c r="K188" s="444" t="s">
        <v>488</v>
      </c>
    </row>
    <row r="189" spans="1:11" ht="56.25" x14ac:dyDescent="0.25">
      <c r="A189" s="444" t="s">
        <v>170</v>
      </c>
      <c r="B189" s="444"/>
      <c r="C189" s="542" t="s">
        <v>66</v>
      </c>
      <c r="D189" s="542" t="s">
        <v>66</v>
      </c>
      <c r="E189" s="440"/>
      <c r="F189" s="509" t="s">
        <v>647</v>
      </c>
      <c r="G189" s="509" t="s">
        <v>59</v>
      </c>
      <c r="H189" s="444" t="s">
        <v>4</v>
      </c>
      <c r="I189" s="543" t="s">
        <v>199</v>
      </c>
      <c r="J189" s="543" t="s">
        <v>199</v>
      </c>
      <c r="K189" s="444" t="s">
        <v>488</v>
      </c>
    </row>
    <row r="190" spans="1:11" x14ac:dyDescent="0.25">
      <c r="A190" s="166"/>
      <c r="B190" s="154"/>
      <c r="C190" s="154"/>
      <c r="D190" s="154"/>
      <c r="E190" s="154"/>
      <c r="F190" s="154"/>
      <c r="G190" s="154"/>
      <c r="H190" s="154"/>
      <c r="I190" s="154"/>
      <c r="J190" s="154"/>
    </row>
    <row r="191" spans="1:11" x14ac:dyDescent="0.25">
      <c r="A191" s="544" t="s">
        <v>506</v>
      </c>
      <c r="B191" s="544"/>
      <c r="C191" s="544" t="s">
        <v>499</v>
      </c>
      <c r="D191" s="544" t="s">
        <v>499</v>
      </c>
      <c r="E191" s="544"/>
      <c r="F191" s="544" t="s">
        <v>499</v>
      </c>
      <c r="G191" s="544" t="s">
        <v>499</v>
      </c>
      <c r="H191" s="544" t="s">
        <v>499</v>
      </c>
      <c r="I191" s="544" t="s">
        <v>499</v>
      </c>
      <c r="J191" s="544" t="s">
        <v>499</v>
      </c>
      <c r="K191" s="544" t="s">
        <v>499</v>
      </c>
    </row>
    <row r="192" spans="1:11" ht="73.5" x14ac:dyDescent="0.25">
      <c r="A192" s="443" t="s">
        <v>0</v>
      </c>
      <c r="B192" s="443"/>
      <c r="C192" s="545" t="s">
        <v>1</v>
      </c>
      <c r="D192" s="545" t="s">
        <v>1</v>
      </c>
      <c r="E192" s="443"/>
      <c r="F192" s="446" t="s">
        <v>481</v>
      </c>
      <c r="G192" s="446" t="s">
        <v>482</v>
      </c>
      <c r="H192" s="443" t="s">
        <v>483</v>
      </c>
      <c r="I192" s="545" t="s">
        <v>3</v>
      </c>
      <c r="J192" s="545" t="s">
        <v>3</v>
      </c>
      <c r="K192" s="443" t="s">
        <v>484</v>
      </c>
    </row>
    <row r="193" spans="1:11" x14ac:dyDescent="0.25">
      <c r="A193" s="443" t="s">
        <v>4</v>
      </c>
      <c r="B193" s="443"/>
      <c r="C193" s="545" t="s">
        <v>5</v>
      </c>
      <c r="D193" s="545" t="s">
        <v>5</v>
      </c>
      <c r="E193" s="443"/>
      <c r="F193" s="446" t="s">
        <v>6</v>
      </c>
      <c r="G193" s="446" t="s">
        <v>12</v>
      </c>
      <c r="H193" s="443" t="s">
        <v>7</v>
      </c>
      <c r="I193" s="545" t="s">
        <v>167</v>
      </c>
      <c r="J193" s="545" t="s">
        <v>167</v>
      </c>
      <c r="K193" s="443" t="s">
        <v>168</v>
      </c>
    </row>
    <row r="194" spans="1:11" ht="45" x14ac:dyDescent="0.25">
      <c r="A194" s="444" t="s">
        <v>4</v>
      </c>
      <c r="B194" s="444"/>
      <c r="C194" s="542" t="s">
        <v>485</v>
      </c>
      <c r="D194" s="542" t="s">
        <v>485</v>
      </c>
      <c r="E194" s="440"/>
      <c r="F194" s="510">
        <v>6.5</v>
      </c>
      <c r="G194" s="510" t="s">
        <v>590</v>
      </c>
      <c r="H194" s="444" t="s">
        <v>4</v>
      </c>
      <c r="I194" s="543" t="s">
        <v>198</v>
      </c>
      <c r="J194" s="543" t="s">
        <v>198</v>
      </c>
      <c r="K194" s="444" t="s">
        <v>486</v>
      </c>
    </row>
    <row r="195" spans="1:11" ht="56.25" x14ac:dyDescent="0.25">
      <c r="A195" s="444" t="s">
        <v>5</v>
      </c>
      <c r="B195" s="444"/>
      <c r="C195" s="542" t="s">
        <v>137</v>
      </c>
      <c r="D195" s="542" t="s">
        <v>137</v>
      </c>
      <c r="E195" s="440"/>
      <c r="F195" s="510">
        <v>3.1E-2</v>
      </c>
      <c r="G195" s="510" t="s">
        <v>648</v>
      </c>
      <c r="H195" s="444" t="s">
        <v>4</v>
      </c>
      <c r="I195" s="543" t="s">
        <v>199</v>
      </c>
      <c r="J195" s="543" t="s">
        <v>199</v>
      </c>
      <c r="K195" s="444" t="s">
        <v>487</v>
      </c>
    </row>
    <row r="196" spans="1:11" ht="56.25" x14ac:dyDescent="0.25">
      <c r="A196" s="444" t="s">
        <v>6</v>
      </c>
      <c r="B196" s="444"/>
      <c r="C196" s="542" t="s">
        <v>132</v>
      </c>
      <c r="D196" s="542" t="s">
        <v>132</v>
      </c>
      <c r="E196" s="440"/>
      <c r="F196" s="510">
        <v>0.14000000000000001</v>
      </c>
      <c r="G196" s="510" t="s">
        <v>596</v>
      </c>
      <c r="H196" s="444" t="s">
        <v>4</v>
      </c>
      <c r="I196" s="543" t="s">
        <v>199</v>
      </c>
      <c r="J196" s="543" t="s">
        <v>199</v>
      </c>
      <c r="K196" s="444" t="s">
        <v>488</v>
      </c>
    </row>
    <row r="197" spans="1:11" ht="56.25" x14ac:dyDescent="0.25">
      <c r="A197" s="444" t="s">
        <v>12</v>
      </c>
      <c r="B197" s="444"/>
      <c r="C197" s="542" t="s">
        <v>110</v>
      </c>
      <c r="D197" s="542" t="s">
        <v>110</v>
      </c>
      <c r="E197" s="440"/>
      <c r="F197" s="510" t="s">
        <v>249</v>
      </c>
      <c r="G197" s="510" t="s">
        <v>63</v>
      </c>
      <c r="H197" s="444" t="s">
        <v>4</v>
      </c>
      <c r="I197" s="543" t="s">
        <v>199</v>
      </c>
      <c r="J197" s="543" t="s">
        <v>199</v>
      </c>
      <c r="K197" s="444" t="s">
        <v>488</v>
      </c>
    </row>
    <row r="198" spans="1:11" ht="56.25" x14ac:dyDescent="0.25">
      <c r="A198" s="444" t="s">
        <v>7</v>
      </c>
      <c r="B198" s="444"/>
      <c r="C198" s="542" t="s">
        <v>107</v>
      </c>
      <c r="D198" s="542" t="s">
        <v>107</v>
      </c>
      <c r="E198" s="440"/>
      <c r="F198" s="510">
        <v>0.6</v>
      </c>
      <c r="G198" s="510" t="s">
        <v>623</v>
      </c>
      <c r="H198" s="444" t="s">
        <v>4</v>
      </c>
      <c r="I198" s="543" t="s">
        <v>199</v>
      </c>
      <c r="J198" s="543" t="s">
        <v>199</v>
      </c>
      <c r="K198" s="444" t="s">
        <v>488</v>
      </c>
    </row>
    <row r="199" spans="1:11" ht="45" x14ac:dyDescent="0.25">
      <c r="A199" s="444" t="s">
        <v>167</v>
      </c>
      <c r="B199" s="444"/>
      <c r="C199" s="542" t="s">
        <v>99</v>
      </c>
      <c r="D199" s="542" t="s">
        <v>99</v>
      </c>
      <c r="E199" s="440"/>
      <c r="F199" s="510">
        <v>50</v>
      </c>
      <c r="G199" s="510" t="s">
        <v>83</v>
      </c>
      <c r="H199" s="444" t="s">
        <v>5</v>
      </c>
      <c r="I199" s="543" t="s">
        <v>199</v>
      </c>
      <c r="J199" s="543" t="s">
        <v>199</v>
      </c>
      <c r="K199" s="444" t="s">
        <v>491</v>
      </c>
    </row>
    <row r="200" spans="1:11" ht="56.25" x14ac:dyDescent="0.25">
      <c r="A200" s="444" t="s">
        <v>168</v>
      </c>
      <c r="B200" s="444"/>
      <c r="C200" s="542" t="s">
        <v>93</v>
      </c>
      <c r="D200" s="542" t="s">
        <v>93</v>
      </c>
      <c r="E200" s="440"/>
      <c r="F200" s="510" t="s">
        <v>169</v>
      </c>
      <c r="G200" s="510" t="s">
        <v>63</v>
      </c>
      <c r="H200" s="444" t="s">
        <v>4</v>
      </c>
      <c r="I200" s="543" t="s">
        <v>199</v>
      </c>
      <c r="J200" s="543" t="s">
        <v>199</v>
      </c>
      <c r="K200" s="444" t="s">
        <v>488</v>
      </c>
    </row>
    <row r="201" spans="1:11" ht="45" x14ac:dyDescent="0.25">
      <c r="A201" s="444" t="s">
        <v>169</v>
      </c>
      <c r="B201" s="444"/>
      <c r="C201" s="542" t="s">
        <v>492</v>
      </c>
      <c r="D201" s="542" t="s">
        <v>492</v>
      </c>
      <c r="E201" s="440"/>
      <c r="F201" s="510" t="s">
        <v>652</v>
      </c>
      <c r="G201" s="510" t="s">
        <v>515</v>
      </c>
      <c r="H201" s="444" t="s">
        <v>5</v>
      </c>
      <c r="I201" s="543" t="s">
        <v>493</v>
      </c>
      <c r="J201" s="543" t="s">
        <v>493</v>
      </c>
      <c r="K201" s="444" t="s">
        <v>494</v>
      </c>
    </row>
    <row r="202" spans="1:11" ht="56.25" x14ac:dyDescent="0.25">
      <c r="A202" s="444" t="s">
        <v>27</v>
      </c>
      <c r="B202" s="444"/>
      <c r="C202" s="542" t="s">
        <v>80</v>
      </c>
      <c r="D202" s="542" t="s">
        <v>80</v>
      </c>
      <c r="E202" s="440"/>
      <c r="F202" s="510" t="s">
        <v>264</v>
      </c>
      <c r="G202" s="510" t="s">
        <v>63</v>
      </c>
      <c r="H202" s="444" t="s">
        <v>4</v>
      </c>
      <c r="I202" s="543" t="s">
        <v>199</v>
      </c>
      <c r="J202" s="543" t="s">
        <v>199</v>
      </c>
      <c r="K202" s="444" t="s">
        <v>488</v>
      </c>
    </row>
    <row r="203" spans="1:11" ht="56.25" x14ac:dyDescent="0.25">
      <c r="A203" s="444" t="s">
        <v>170</v>
      </c>
      <c r="B203" s="444"/>
      <c r="C203" s="542" t="s">
        <v>66</v>
      </c>
      <c r="D203" s="542" t="s">
        <v>66</v>
      </c>
      <c r="E203" s="440"/>
      <c r="F203" s="510" t="s">
        <v>546</v>
      </c>
      <c r="G203" s="510" t="s">
        <v>67</v>
      </c>
      <c r="H203" s="444" t="s">
        <v>4</v>
      </c>
      <c r="I203" s="543" t="s">
        <v>199</v>
      </c>
      <c r="J203" s="543" t="s">
        <v>199</v>
      </c>
      <c r="K203" s="444" t="s">
        <v>488</v>
      </c>
    </row>
    <row r="204" spans="1:11" x14ac:dyDescent="0.25">
      <c r="A204" s="166"/>
      <c r="B204" s="154"/>
      <c r="C204" s="154"/>
      <c r="D204" s="154"/>
      <c r="E204" s="154"/>
      <c r="F204" s="154"/>
      <c r="G204" s="154"/>
      <c r="H204" s="154"/>
      <c r="I204" s="154"/>
      <c r="J204" s="154"/>
    </row>
    <row r="205" spans="1:11" x14ac:dyDescent="0.25">
      <c r="A205" s="544" t="s">
        <v>269</v>
      </c>
      <c r="B205" s="544"/>
      <c r="C205" s="544" t="s">
        <v>499</v>
      </c>
      <c r="D205" s="544" t="s">
        <v>499</v>
      </c>
      <c r="E205" s="544"/>
      <c r="F205" s="544" t="s">
        <v>499</v>
      </c>
      <c r="G205" s="544" t="s">
        <v>499</v>
      </c>
      <c r="H205" s="544" t="s">
        <v>499</v>
      </c>
      <c r="I205" s="544" t="s">
        <v>499</v>
      </c>
      <c r="J205" s="544" t="s">
        <v>499</v>
      </c>
      <c r="K205" s="544" t="s">
        <v>499</v>
      </c>
    </row>
    <row r="206" spans="1:11" ht="73.5" x14ac:dyDescent="0.25">
      <c r="A206" s="443" t="s">
        <v>0</v>
      </c>
      <c r="B206" s="443"/>
      <c r="C206" s="545" t="s">
        <v>1</v>
      </c>
      <c r="D206" s="545" t="s">
        <v>1</v>
      </c>
      <c r="E206" s="443"/>
      <c r="F206" s="446" t="s">
        <v>481</v>
      </c>
      <c r="G206" s="446" t="s">
        <v>482</v>
      </c>
      <c r="H206" s="443" t="s">
        <v>483</v>
      </c>
      <c r="I206" s="545" t="s">
        <v>3</v>
      </c>
      <c r="J206" s="545" t="s">
        <v>3</v>
      </c>
      <c r="K206" s="443" t="s">
        <v>484</v>
      </c>
    </row>
    <row r="207" spans="1:11" x14ac:dyDescent="0.25">
      <c r="A207" s="443" t="s">
        <v>4</v>
      </c>
      <c r="B207" s="443"/>
      <c r="C207" s="545" t="s">
        <v>5</v>
      </c>
      <c r="D207" s="545" t="s">
        <v>5</v>
      </c>
      <c r="E207" s="443"/>
      <c r="F207" s="446" t="s">
        <v>6</v>
      </c>
      <c r="G207" s="446" t="s">
        <v>12</v>
      </c>
      <c r="H207" s="443" t="s">
        <v>7</v>
      </c>
      <c r="I207" s="545" t="s">
        <v>167</v>
      </c>
      <c r="J207" s="545" t="s">
        <v>167</v>
      </c>
      <c r="K207" s="443" t="s">
        <v>168</v>
      </c>
    </row>
    <row r="208" spans="1:11" ht="45" x14ac:dyDescent="0.25">
      <c r="A208" s="444" t="s">
        <v>4</v>
      </c>
      <c r="B208" s="444"/>
      <c r="C208" s="542" t="s">
        <v>485</v>
      </c>
      <c r="D208" s="542" t="s">
        <v>485</v>
      </c>
      <c r="E208" s="440"/>
      <c r="F208" s="511">
        <v>7.3</v>
      </c>
      <c r="G208" s="511" t="s">
        <v>590</v>
      </c>
      <c r="H208" s="444" t="s">
        <v>4</v>
      </c>
      <c r="I208" s="543" t="s">
        <v>198</v>
      </c>
      <c r="J208" s="543" t="s">
        <v>198</v>
      </c>
      <c r="K208" s="444" t="s">
        <v>486</v>
      </c>
    </row>
    <row r="209" spans="1:11" ht="56.25" x14ac:dyDescent="0.25">
      <c r="A209" s="444" t="s">
        <v>5</v>
      </c>
      <c r="B209" s="444"/>
      <c r="C209" s="542" t="s">
        <v>137</v>
      </c>
      <c r="D209" s="542" t="s">
        <v>137</v>
      </c>
      <c r="E209" s="440"/>
      <c r="F209" s="511">
        <v>2.7E-2</v>
      </c>
      <c r="G209" s="511" t="s">
        <v>649</v>
      </c>
      <c r="H209" s="444" t="s">
        <v>4</v>
      </c>
      <c r="I209" s="543" t="s">
        <v>199</v>
      </c>
      <c r="J209" s="543" t="s">
        <v>199</v>
      </c>
      <c r="K209" s="444" t="s">
        <v>487</v>
      </c>
    </row>
    <row r="210" spans="1:11" ht="56.25" x14ac:dyDescent="0.25">
      <c r="A210" s="444" t="s">
        <v>6</v>
      </c>
      <c r="B210" s="444"/>
      <c r="C210" s="542" t="s">
        <v>132</v>
      </c>
      <c r="D210" s="542" t="s">
        <v>132</v>
      </c>
      <c r="E210" s="440"/>
      <c r="F210" s="511">
        <v>0.1</v>
      </c>
      <c r="G210" s="511" t="s">
        <v>595</v>
      </c>
      <c r="H210" s="444" t="s">
        <v>4</v>
      </c>
      <c r="I210" s="543" t="s">
        <v>199</v>
      </c>
      <c r="J210" s="543" t="s">
        <v>199</v>
      </c>
      <c r="K210" s="444" t="s">
        <v>488</v>
      </c>
    </row>
    <row r="211" spans="1:11" ht="56.25" x14ac:dyDescent="0.25">
      <c r="A211" s="444" t="s">
        <v>12</v>
      </c>
      <c r="B211" s="444"/>
      <c r="C211" s="542" t="s">
        <v>110</v>
      </c>
      <c r="D211" s="542" t="s">
        <v>110</v>
      </c>
      <c r="E211" s="440"/>
      <c r="F211" s="511" t="s">
        <v>269</v>
      </c>
      <c r="G211" s="511" t="s">
        <v>63</v>
      </c>
      <c r="H211" s="444" t="s">
        <v>4</v>
      </c>
      <c r="I211" s="543" t="s">
        <v>199</v>
      </c>
      <c r="J211" s="543" t="s">
        <v>199</v>
      </c>
      <c r="K211" s="444" t="s">
        <v>488</v>
      </c>
    </row>
    <row r="212" spans="1:11" ht="56.25" x14ac:dyDescent="0.25">
      <c r="A212" s="444" t="s">
        <v>7</v>
      </c>
      <c r="B212" s="444"/>
      <c r="C212" s="542" t="s">
        <v>107</v>
      </c>
      <c r="D212" s="542" t="s">
        <v>107</v>
      </c>
      <c r="E212" s="440"/>
      <c r="F212" s="511">
        <v>0.37</v>
      </c>
      <c r="G212" s="511" t="s">
        <v>597</v>
      </c>
      <c r="H212" s="444" t="s">
        <v>4</v>
      </c>
      <c r="I212" s="543" t="s">
        <v>199</v>
      </c>
      <c r="J212" s="543" t="s">
        <v>199</v>
      </c>
      <c r="K212" s="444" t="s">
        <v>488</v>
      </c>
    </row>
    <row r="213" spans="1:11" ht="45" x14ac:dyDescent="0.25">
      <c r="A213" s="444" t="s">
        <v>167</v>
      </c>
      <c r="B213" s="444"/>
      <c r="C213" s="542" t="s">
        <v>99</v>
      </c>
      <c r="D213" s="542" t="s">
        <v>99</v>
      </c>
      <c r="E213" s="440"/>
      <c r="F213" s="511">
        <v>50</v>
      </c>
      <c r="G213" s="511" t="s">
        <v>83</v>
      </c>
      <c r="H213" s="444" t="s">
        <v>5</v>
      </c>
      <c r="I213" s="543" t="s">
        <v>199</v>
      </c>
      <c r="J213" s="543" t="s">
        <v>199</v>
      </c>
      <c r="K213" s="444" t="s">
        <v>491</v>
      </c>
    </row>
    <row r="214" spans="1:11" ht="56.25" x14ac:dyDescent="0.25">
      <c r="A214" s="444" t="s">
        <v>168</v>
      </c>
      <c r="B214" s="444"/>
      <c r="C214" s="542" t="s">
        <v>93</v>
      </c>
      <c r="D214" s="542" t="s">
        <v>93</v>
      </c>
      <c r="E214" s="440"/>
      <c r="F214" s="511" t="s">
        <v>170</v>
      </c>
      <c r="G214" s="511" t="s">
        <v>63</v>
      </c>
      <c r="H214" s="444" t="s">
        <v>4</v>
      </c>
      <c r="I214" s="543" t="s">
        <v>199</v>
      </c>
      <c r="J214" s="543" t="s">
        <v>199</v>
      </c>
      <c r="K214" s="444" t="s">
        <v>488</v>
      </c>
    </row>
    <row r="215" spans="1:11" ht="45" x14ac:dyDescent="0.25">
      <c r="A215" s="444" t="s">
        <v>169</v>
      </c>
      <c r="B215" s="444"/>
      <c r="C215" s="542" t="s">
        <v>492</v>
      </c>
      <c r="D215" s="542" t="s">
        <v>492</v>
      </c>
      <c r="E215" s="440"/>
      <c r="F215" s="511" t="s">
        <v>651</v>
      </c>
      <c r="G215" s="511" t="s">
        <v>550</v>
      </c>
      <c r="H215" s="444" t="s">
        <v>5</v>
      </c>
      <c r="I215" s="543" t="s">
        <v>493</v>
      </c>
      <c r="J215" s="543" t="s">
        <v>493</v>
      </c>
      <c r="K215" s="444" t="s">
        <v>494</v>
      </c>
    </row>
    <row r="216" spans="1:11" ht="56.25" x14ac:dyDescent="0.25">
      <c r="A216" s="444" t="s">
        <v>27</v>
      </c>
      <c r="B216" s="444"/>
      <c r="C216" s="542" t="s">
        <v>80</v>
      </c>
      <c r="D216" s="542" t="s">
        <v>80</v>
      </c>
      <c r="E216" s="440"/>
      <c r="F216" s="511">
        <v>8.1</v>
      </c>
      <c r="G216" s="511" t="s">
        <v>650</v>
      </c>
      <c r="H216" s="444" t="s">
        <v>4</v>
      </c>
      <c r="I216" s="543" t="s">
        <v>199</v>
      </c>
      <c r="J216" s="543" t="s">
        <v>199</v>
      </c>
      <c r="K216" s="444" t="s">
        <v>488</v>
      </c>
    </row>
    <row r="217" spans="1:11" ht="56.25" x14ac:dyDescent="0.25">
      <c r="A217" s="444" t="s">
        <v>170</v>
      </c>
      <c r="B217" s="444"/>
      <c r="C217" s="542" t="s">
        <v>66</v>
      </c>
      <c r="D217" s="542" t="s">
        <v>66</v>
      </c>
      <c r="E217" s="440"/>
      <c r="F217" s="511" t="s">
        <v>545</v>
      </c>
      <c r="G217" s="511" t="s">
        <v>67</v>
      </c>
      <c r="H217" s="444" t="s">
        <v>4</v>
      </c>
      <c r="I217" s="543" t="s">
        <v>199</v>
      </c>
      <c r="J217" s="543" t="s">
        <v>199</v>
      </c>
      <c r="K217" s="444" t="s">
        <v>488</v>
      </c>
    </row>
    <row r="218" spans="1:11" x14ac:dyDescent="0.25">
      <c r="A218" s="282"/>
      <c r="B218" s="274"/>
      <c r="C218" s="274"/>
      <c r="D218" s="274"/>
      <c r="E218" s="274"/>
      <c r="F218" s="274"/>
      <c r="G218" s="274"/>
      <c r="H218" s="274"/>
      <c r="I218" s="274"/>
      <c r="J218" s="274"/>
    </row>
    <row r="219" spans="1:11" x14ac:dyDescent="0.25">
      <c r="A219" s="282"/>
      <c r="B219" s="274"/>
      <c r="C219" s="274"/>
      <c r="D219" s="274"/>
      <c r="E219" s="274"/>
      <c r="F219" s="274"/>
      <c r="G219" s="274"/>
      <c r="H219" s="274"/>
      <c r="I219" s="274"/>
      <c r="J219" s="274"/>
    </row>
    <row r="220" spans="1:11" x14ac:dyDescent="0.25">
      <c r="A220" s="166"/>
      <c r="B220" s="154"/>
      <c r="C220" s="154"/>
      <c r="D220" s="154"/>
      <c r="E220" s="154"/>
      <c r="F220" s="154"/>
      <c r="G220" s="154"/>
      <c r="H220" s="154"/>
      <c r="I220" s="154"/>
      <c r="J220" s="154"/>
    </row>
    <row r="221" spans="1:11" x14ac:dyDescent="0.25">
      <c r="A221" s="544" t="s">
        <v>244</v>
      </c>
      <c r="B221" s="544"/>
      <c r="C221" s="544" t="s">
        <v>499</v>
      </c>
      <c r="D221" s="544" t="s">
        <v>499</v>
      </c>
      <c r="E221" s="544"/>
      <c r="F221" s="544" t="s">
        <v>499</v>
      </c>
      <c r="G221" s="544" t="s">
        <v>499</v>
      </c>
      <c r="H221" s="544" t="s">
        <v>499</v>
      </c>
      <c r="I221" s="544" t="s">
        <v>499</v>
      </c>
      <c r="J221" s="544" t="s">
        <v>499</v>
      </c>
      <c r="K221" s="544" t="s">
        <v>499</v>
      </c>
    </row>
    <row r="222" spans="1:11" ht="73.5" x14ac:dyDescent="0.25">
      <c r="A222" s="447" t="s">
        <v>0</v>
      </c>
      <c r="B222" s="447"/>
      <c r="C222" s="545" t="s">
        <v>1</v>
      </c>
      <c r="D222" s="545" t="s">
        <v>1</v>
      </c>
      <c r="E222" s="447"/>
      <c r="F222" s="450" t="s">
        <v>481</v>
      </c>
      <c r="G222" s="450" t="s">
        <v>482</v>
      </c>
      <c r="H222" s="447" t="s">
        <v>483</v>
      </c>
      <c r="I222" s="545" t="s">
        <v>3</v>
      </c>
      <c r="J222" s="545" t="s">
        <v>3</v>
      </c>
      <c r="K222" s="447" t="s">
        <v>484</v>
      </c>
    </row>
    <row r="223" spans="1:11" x14ac:dyDescent="0.25">
      <c r="A223" s="447" t="s">
        <v>4</v>
      </c>
      <c r="B223" s="447"/>
      <c r="C223" s="545" t="s">
        <v>5</v>
      </c>
      <c r="D223" s="545" t="s">
        <v>5</v>
      </c>
      <c r="E223" s="447"/>
      <c r="F223" s="450" t="s">
        <v>6</v>
      </c>
      <c r="G223" s="450" t="s">
        <v>12</v>
      </c>
      <c r="H223" s="447" t="s">
        <v>7</v>
      </c>
      <c r="I223" s="545" t="s">
        <v>167</v>
      </c>
      <c r="J223" s="545" t="s">
        <v>167</v>
      </c>
      <c r="K223" s="447" t="s">
        <v>168</v>
      </c>
    </row>
    <row r="224" spans="1:11" ht="45" x14ac:dyDescent="0.25">
      <c r="A224" s="449" t="s">
        <v>4</v>
      </c>
      <c r="B224" s="449"/>
      <c r="C224" s="542" t="s">
        <v>485</v>
      </c>
      <c r="D224" s="542" t="s">
        <v>485</v>
      </c>
      <c r="E224" s="448"/>
      <c r="F224" s="460"/>
      <c r="G224" s="460"/>
      <c r="H224" s="449" t="s">
        <v>4</v>
      </c>
      <c r="I224" s="543" t="s">
        <v>198</v>
      </c>
      <c r="J224" s="543" t="s">
        <v>198</v>
      </c>
      <c r="K224" s="449" t="s">
        <v>486</v>
      </c>
    </row>
    <row r="225" spans="1:11" ht="56.25" x14ac:dyDescent="0.25">
      <c r="A225" s="449" t="s">
        <v>5</v>
      </c>
      <c r="B225" s="449"/>
      <c r="C225" s="542" t="s">
        <v>137</v>
      </c>
      <c r="D225" s="542" t="s">
        <v>137</v>
      </c>
      <c r="E225" s="448"/>
      <c r="F225" s="460"/>
      <c r="G225" s="460"/>
      <c r="H225" s="449" t="s">
        <v>4</v>
      </c>
      <c r="I225" s="543" t="s">
        <v>199</v>
      </c>
      <c r="J225" s="543" t="s">
        <v>199</v>
      </c>
      <c r="K225" s="449" t="s">
        <v>487</v>
      </c>
    </row>
    <row r="226" spans="1:11" ht="56.25" x14ac:dyDescent="0.25">
      <c r="A226" s="449" t="s">
        <v>6</v>
      </c>
      <c r="B226" s="449"/>
      <c r="C226" s="542" t="s">
        <v>132</v>
      </c>
      <c r="D226" s="542" t="s">
        <v>132</v>
      </c>
      <c r="E226" s="448"/>
      <c r="F226" s="460"/>
      <c r="G226" s="460"/>
      <c r="H226" s="449" t="s">
        <v>4</v>
      </c>
      <c r="I226" s="543" t="s">
        <v>199</v>
      </c>
      <c r="J226" s="543" t="s">
        <v>199</v>
      </c>
      <c r="K226" s="449" t="s">
        <v>488</v>
      </c>
    </row>
    <row r="227" spans="1:11" ht="56.25" x14ac:dyDescent="0.25">
      <c r="A227" s="449" t="s">
        <v>12</v>
      </c>
      <c r="B227" s="449"/>
      <c r="C227" s="542" t="s">
        <v>110</v>
      </c>
      <c r="D227" s="542" t="s">
        <v>110</v>
      </c>
      <c r="E227" s="448"/>
      <c r="F227" s="460"/>
      <c r="G227" s="460"/>
      <c r="H227" s="449" t="s">
        <v>4</v>
      </c>
      <c r="I227" s="543" t="s">
        <v>199</v>
      </c>
      <c r="J227" s="543" t="s">
        <v>199</v>
      </c>
      <c r="K227" s="449" t="s">
        <v>488</v>
      </c>
    </row>
    <row r="228" spans="1:11" ht="56.25" x14ac:dyDescent="0.25">
      <c r="A228" s="449" t="s">
        <v>7</v>
      </c>
      <c r="B228" s="449"/>
      <c r="C228" s="542" t="s">
        <v>107</v>
      </c>
      <c r="D228" s="542" t="s">
        <v>107</v>
      </c>
      <c r="E228" s="448"/>
      <c r="F228" s="460"/>
      <c r="G228" s="460"/>
      <c r="H228" s="449" t="s">
        <v>4</v>
      </c>
      <c r="I228" s="543" t="s">
        <v>199</v>
      </c>
      <c r="J228" s="543" t="s">
        <v>199</v>
      </c>
      <c r="K228" s="449" t="s">
        <v>488</v>
      </c>
    </row>
    <row r="229" spans="1:11" ht="45" x14ac:dyDescent="0.25">
      <c r="A229" s="449" t="s">
        <v>167</v>
      </c>
      <c r="B229" s="449"/>
      <c r="C229" s="542" t="s">
        <v>99</v>
      </c>
      <c r="D229" s="542" t="s">
        <v>99</v>
      </c>
      <c r="E229" s="448"/>
      <c r="F229" s="460"/>
      <c r="G229" s="460"/>
      <c r="H229" s="449" t="s">
        <v>5</v>
      </c>
      <c r="I229" s="543" t="s">
        <v>199</v>
      </c>
      <c r="J229" s="543" t="s">
        <v>199</v>
      </c>
      <c r="K229" s="449" t="s">
        <v>491</v>
      </c>
    </row>
    <row r="230" spans="1:11" ht="56.25" x14ac:dyDescent="0.25">
      <c r="A230" s="449" t="s">
        <v>168</v>
      </c>
      <c r="B230" s="449"/>
      <c r="C230" s="542" t="s">
        <v>93</v>
      </c>
      <c r="D230" s="542" t="s">
        <v>93</v>
      </c>
      <c r="E230" s="448"/>
      <c r="F230" s="460"/>
      <c r="G230" s="460"/>
      <c r="H230" s="449" t="s">
        <v>4</v>
      </c>
      <c r="I230" s="543" t="s">
        <v>199</v>
      </c>
      <c r="J230" s="543" t="s">
        <v>199</v>
      </c>
      <c r="K230" s="449" t="s">
        <v>488</v>
      </c>
    </row>
    <row r="231" spans="1:11" ht="45" x14ac:dyDescent="0.25">
      <c r="A231" s="449" t="s">
        <v>169</v>
      </c>
      <c r="B231" s="449"/>
      <c r="C231" s="542" t="s">
        <v>492</v>
      </c>
      <c r="D231" s="542" t="s">
        <v>492</v>
      </c>
      <c r="E231" s="448"/>
      <c r="F231" s="460"/>
      <c r="G231" s="460"/>
      <c r="H231" s="449" t="s">
        <v>5</v>
      </c>
      <c r="I231" s="543" t="s">
        <v>493</v>
      </c>
      <c r="J231" s="543" t="s">
        <v>493</v>
      </c>
      <c r="K231" s="449" t="s">
        <v>494</v>
      </c>
    </row>
    <row r="232" spans="1:11" ht="56.25" x14ac:dyDescent="0.25">
      <c r="A232" s="449" t="s">
        <v>27</v>
      </c>
      <c r="B232" s="449"/>
      <c r="C232" s="542" t="s">
        <v>80</v>
      </c>
      <c r="D232" s="542" t="s">
        <v>80</v>
      </c>
      <c r="E232" s="448"/>
      <c r="F232" s="460"/>
      <c r="G232" s="460"/>
      <c r="H232" s="449" t="s">
        <v>4</v>
      </c>
      <c r="I232" s="543" t="s">
        <v>199</v>
      </c>
      <c r="J232" s="543" t="s">
        <v>199</v>
      </c>
      <c r="K232" s="449" t="s">
        <v>488</v>
      </c>
    </row>
    <row r="233" spans="1:11" ht="56.25" x14ac:dyDescent="0.25">
      <c r="A233" s="449" t="s">
        <v>170</v>
      </c>
      <c r="B233" s="449"/>
      <c r="C233" s="542" t="s">
        <v>66</v>
      </c>
      <c r="D233" s="542" t="s">
        <v>66</v>
      </c>
      <c r="E233" s="448"/>
      <c r="F233" s="460"/>
      <c r="G233" s="460"/>
      <c r="H233" s="449" t="s">
        <v>4</v>
      </c>
      <c r="I233" s="543" t="s">
        <v>199</v>
      </c>
      <c r="J233" s="543" t="s">
        <v>199</v>
      </c>
      <c r="K233" s="449" t="s">
        <v>488</v>
      </c>
    </row>
    <row r="234" spans="1:11" x14ac:dyDescent="0.25">
      <c r="A234" s="166"/>
      <c r="B234" s="154"/>
      <c r="C234" s="154"/>
      <c r="D234" s="154"/>
      <c r="E234" s="154"/>
      <c r="F234" s="154"/>
      <c r="G234" s="154"/>
      <c r="H234" s="154"/>
      <c r="I234" s="154"/>
      <c r="J234" s="154"/>
    </row>
    <row r="235" spans="1:11" x14ac:dyDescent="0.25">
      <c r="A235" s="544" t="s">
        <v>249</v>
      </c>
      <c r="B235" s="544"/>
      <c r="C235" s="544" t="s">
        <v>499</v>
      </c>
      <c r="D235" s="544" t="s">
        <v>499</v>
      </c>
      <c r="E235" s="544"/>
      <c r="F235" s="544" t="s">
        <v>499</v>
      </c>
      <c r="G235" s="544" t="s">
        <v>499</v>
      </c>
      <c r="H235" s="544" t="s">
        <v>499</v>
      </c>
      <c r="I235" s="544" t="s">
        <v>499</v>
      </c>
      <c r="J235" s="544" t="s">
        <v>499</v>
      </c>
      <c r="K235" s="544" t="s">
        <v>499</v>
      </c>
    </row>
    <row r="236" spans="1:11" ht="73.5" x14ac:dyDescent="0.25">
      <c r="A236" s="447" t="s">
        <v>0</v>
      </c>
      <c r="B236" s="447"/>
      <c r="C236" s="545" t="s">
        <v>1</v>
      </c>
      <c r="D236" s="545" t="s">
        <v>1</v>
      </c>
      <c r="E236" s="447"/>
      <c r="F236" s="450" t="s">
        <v>481</v>
      </c>
      <c r="G236" s="450" t="s">
        <v>482</v>
      </c>
      <c r="H236" s="447" t="s">
        <v>483</v>
      </c>
      <c r="I236" s="545" t="s">
        <v>3</v>
      </c>
      <c r="J236" s="545" t="s">
        <v>3</v>
      </c>
      <c r="K236" s="447" t="s">
        <v>484</v>
      </c>
    </row>
    <row r="237" spans="1:11" x14ac:dyDescent="0.25">
      <c r="A237" s="447" t="s">
        <v>4</v>
      </c>
      <c r="B237" s="447"/>
      <c r="C237" s="545" t="s">
        <v>5</v>
      </c>
      <c r="D237" s="545" t="s">
        <v>5</v>
      </c>
      <c r="E237" s="447"/>
      <c r="F237" s="450" t="s">
        <v>6</v>
      </c>
      <c r="G237" s="450" t="s">
        <v>12</v>
      </c>
      <c r="H237" s="447" t="s">
        <v>7</v>
      </c>
      <c r="I237" s="545" t="s">
        <v>167</v>
      </c>
      <c r="J237" s="545" t="s">
        <v>167</v>
      </c>
      <c r="K237" s="447" t="s">
        <v>168</v>
      </c>
    </row>
    <row r="238" spans="1:11" ht="45" x14ac:dyDescent="0.25">
      <c r="A238" s="449" t="s">
        <v>4</v>
      </c>
      <c r="B238" s="449"/>
      <c r="C238" s="542" t="s">
        <v>485</v>
      </c>
      <c r="D238" s="542" t="s">
        <v>485</v>
      </c>
      <c r="E238" s="448"/>
      <c r="F238" s="461">
        <v>6.7</v>
      </c>
      <c r="G238" s="461" t="s">
        <v>142</v>
      </c>
      <c r="H238" s="449" t="s">
        <v>4</v>
      </c>
      <c r="I238" s="543" t="s">
        <v>198</v>
      </c>
      <c r="J238" s="543" t="s">
        <v>198</v>
      </c>
      <c r="K238" s="449" t="s">
        <v>486</v>
      </c>
    </row>
    <row r="239" spans="1:11" ht="56.25" x14ac:dyDescent="0.25">
      <c r="A239" s="449" t="s">
        <v>5</v>
      </c>
      <c r="B239" s="449"/>
      <c r="C239" s="542" t="s">
        <v>137</v>
      </c>
      <c r="D239" s="542" t="s">
        <v>137</v>
      </c>
      <c r="E239" s="448"/>
      <c r="F239" s="461">
        <v>1.7999999999999999E-2</v>
      </c>
      <c r="G239" s="461" t="s">
        <v>568</v>
      </c>
      <c r="H239" s="449" t="s">
        <v>4</v>
      </c>
      <c r="I239" s="543" t="s">
        <v>199</v>
      </c>
      <c r="J239" s="543" t="s">
        <v>199</v>
      </c>
      <c r="K239" s="449" t="s">
        <v>487</v>
      </c>
    </row>
    <row r="240" spans="1:11" ht="56.25" x14ac:dyDescent="0.25">
      <c r="A240" s="449" t="s">
        <v>6</v>
      </c>
      <c r="B240" s="449"/>
      <c r="C240" s="542" t="s">
        <v>132</v>
      </c>
      <c r="D240" s="542" t="s">
        <v>132</v>
      </c>
      <c r="E240" s="448"/>
      <c r="F240" s="461">
        <v>0.14000000000000001</v>
      </c>
      <c r="G240" s="461" t="s">
        <v>569</v>
      </c>
      <c r="H240" s="449" t="s">
        <v>4</v>
      </c>
      <c r="I240" s="543" t="s">
        <v>199</v>
      </c>
      <c r="J240" s="543" t="s">
        <v>199</v>
      </c>
      <c r="K240" s="449" t="s">
        <v>488</v>
      </c>
    </row>
    <row r="241" spans="1:11" ht="56.25" x14ac:dyDescent="0.25">
      <c r="A241" s="449" t="s">
        <v>12</v>
      </c>
      <c r="B241" s="449"/>
      <c r="C241" s="542" t="s">
        <v>110</v>
      </c>
      <c r="D241" s="542" t="s">
        <v>110</v>
      </c>
      <c r="E241" s="448"/>
      <c r="F241" s="461">
        <v>11.7</v>
      </c>
      <c r="G241" s="461" t="s">
        <v>570</v>
      </c>
      <c r="H241" s="449" t="s">
        <v>4</v>
      </c>
      <c r="I241" s="543" t="s">
        <v>199</v>
      </c>
      <c r="J241" s="543" t="s">
        <v>199</v>
      </c>
      <c r="K241" s="449" t="s">
        <v>488</v>
      </c>
    </row>
    <row r="242" spans="1:11" ht="56.25" x14ac:dyDescent="0.25">
      <c r="A242" s="449" t="s">
        <v>7</v>
      </c>
      <c r="B242" s="449"/>
      <c r="C242" s="542" t="s">
        <v>107</v>
      </c>
      <c r="D242" s="542" t="s">
        <v>107</v>
      </c>
      <c r="E242" s="448"/>
      <c r="F242" s="461">
        <v>0.9</v>
      </c>
      <c r="G242" s="461" t="s">
        <v>567</v>
      </c>
      <c r="H242" s="449" t="s">
        <v>4</v>
      </c>
      <c r="I242" s="543" t="s">
        <v>199</v>
      </c>
      <c r="J242" s="543" t="s">
        <v>199</v>
      </c>
      <c r="K242" s="449" t="s">
        <v>488</v>
      </c>
    </row>
    <row r="243" spans="1:11" ht="45" x14ac:dyDescent="0.25">
      <c r="A243" s="449" t="s">
        <v>167</v>
      </c>
      <c r="B243" s="449"/>
      <c r="C243" s="542" t="s">
        <v>99</v>
      </c>
      <c r="D243" s="542" t="s">
        <v>99</v>
      </c>
      <c r="E243" s="448"/>
      <c r="F243" s="461" t="s">
        <v>560</v>
      </c>
      <c r="G243" s="461" t="s">
        <v>529</v>
      </c>
      <c r="H243" s="449" t="s">
        <v>5</v>
      </c>
      <c r="I243" s="543" t="s">
        <v>199</v>
      </c>
      <c r="J243" s="543" t="s">
        <v>199</v>
      </c>
      <c r="K243" s="449" t="s">
        <v>491</v>
      </c>
    </row>
    <row r="244" spans="1:11" ht="56.25" x14ac:dyDescent="0.25">
      <c r="A244" s="449" t="s">
        <v>168</v>
      </c>
      <c r="B244" s="449"/>
      <c r="C244" s="542" t="s">
        <v>93</v>
      </c>
      <c r="D244" s="542" t="s">
        <v>93</v>
      </c>
      <c r="E244" s="448"/>
      <c r="F244" s="461" t="s">
        <v>530</v>
      </c>
      <c r="G244" s="461" t="s">
        <v>89</v>
      </c>
      <c r="H244" s="449" t="s">
        <v>4</v>
      </c>
      <c r="I244" s="543" t="s">
        <v>199</v>
      </c>
      <c r="J244" s="543" t="s">
        <v>199</v>
      </c>
      <c r="K244" s="449" t="s">
        <v>488</v>
      </c>
    </row>
    <row r="245" spans="1:11" ht="45" x14ac:dyDescent="0.25">
      <c r="A245" s="449" t="s">
        <v>169</v>
      </c>
      <c r="B245" s="449"/>
      <c r="C245" s="542" t="s">
        <v>492</v>
      </c>
      <c r="D245" s="542" t="s">
        <v>492</v>
      </c>
      <c r="E245" s="448"/>
      <c r="F245" s="461" t="s">
        <v>583</v>
      </c>
      <c r="G245" s="461" t="s">
        <v>556</v>
      </c>
      <c r="H245" s="449" t="s">
        <v>5</v>
      </c>
      <c r="I245" s="543" t="s">
        <v>493</v>
      </c>
      <c r="J245" s="543" t="s">
        <v>493</v>
      </c>
      <c r="K245" s="449" t="s">
        <v>494</v>
      </c>
    </row>
    <row r="246" spans="1:11" ht="56.25" x14ac:dyDescent="0.25">
      <c r="A246" s="449" t="s">
        <v>27</v>
      </c>
      <c r="B246" s="449"/>
      <c r="C246" s="542" t="s">
        <v>80</v>
      </c>
      <c r="D246" s="542" t="s">
        <v>80</v>
      </c>
      <c r="E246" s="448"/>
      <c r="F246" s="461" t="s">
        <v>545</v>
      </c>
      <c r="G246" s="461" t="s">
        <v>59</v>
      </c>
      <c r="H246" s="449" t="s">
        <v>4</v>
      </c>
      <c r="I246" s="543" t="s">
        <v>199</v>
      </c>
      <c r="J246" s="543" t="s">
        <v>199</v>
      </c>
      <c r="K246" s="449" t="s">
        <v>488</v>
      </c>
    </row>
    <row r="247" spans="1:11" ht="56.25" x14ac:dyDescent="0.25">
      <c r="A247" s="449" t="s">
        <v>170</v>
      </c>
      <c r="B247" s="449"/>
      <c r="C247" s="542" t="s">
        <v>66</v>
      </c>
      <c r="D247" s="542" t="s">
        <v>66</v>
      </c>
      <c r="E247" s="448"/>
      <c r="F247" s="461" t="s">
        <v>561</v>
      </c>
      <c r="G247" s="461" t="s">
        <v>89</v>
      </c>
      <c r="H247" s="449" t="s">
        <v>4</v>
      </c>
      <c r="I247" s="543" t="s">
        <v>199</v>
      </c>
      <c r="J247" s="543" t="s">
        <v>199</v>
      </c>
      <c r="K247" s="449" t="s">
        <v>488</v>
      </c>
    </row>
    <row r="248" spans="1:11" x14ac:dyDescent="0.25">
      <c r="A248" s="166"/>
      <c r="B248" s="154"/>
      <c r="C248" s="154"/>
      <c r="D248" s="154"/>
      <c r="E248" s="154"/>
      <c r="F248" s="154"/>
      <c r="G248" s="154"/>
      <c r="H248" s="154"/>
      <c r="I248" s="154"/>
      <c r="J248" s="154"/>
    </row>
    <row r="249" spans="1:11" x14ac:dyDescent="0.25">
      <c r="A249" s="544" t="s">
        <v>252</v>
      </c>
      <c r="B249" s="544"/>
      <c r="C249" s="544" t="s">
        <v>499</v>
      </c>
      <c r="D249" s="544" t="s">
        <v>499</v>
      </c>
      <c r="E249" s="544"/>
      <c r="F249" s="544" t="s">
        <v>499</v>
      </c>
      <c r="G249" s="544" t="s">
        <v>499</v>
      </c>
      <c r="H249" s="544" t="s">
        <v>499</v>
      </c>
      <c r="I249" s="544" t="s">
        <v>499</v>
      </c>
      <c r="J249" s="544" t="s">
        <v>499</v>
      </c>
      <c r="K249" s="544" t="s">
        <v>499</v>
      </c>
    </row>
    <row r="250" spans="1:11" ht="73.5" x14ac:dyDescent="0.25">
      <c r="A250" s="447" t="s">
        <v>0</v>
      </c>
      <c r="B250" s="447"/>
      <c r="C250" s="545" t="s">
        <v>1</v>
      </c>
      <c r="D250" s="545" t="s">
        <v>1</v>
      </c>
      <c r="E250" s="447"/>
      <c r="F250" s="450" t="s">
        <v>481</v>
      </c>
      <c r="G250" s="450" t="s">
        <v>482</v>
      </c>
      <c r="H250" s="447" t="s">
        <v>483</v>
      </c>
      <c r="I250" s="545" t="s">
        <v>3</v>
      </c>
      <c r="J250" s="545" t="s">
        <v>3</v>
      </c>
      <c r="K250" s="447" t="s">
        <v>484</v>
      </c>
    </row>
    <row r="251" spans="1:11" x14ac:dyDescent="0.25">
      <c r="A251" s="447" t="s">
        <v>4</v>
      </c>
      <c r="B251" s="447"/>
      <c r="C251" s="545" t="s">
        <v>5</v>
      </c>
      <c r="D251" s="545" t="s">
        <v>5</v>
      </c>
      <c r="E251" s="447"/>
      <c r="F251" s="450" t="s">
        <v>6</v>
      </c>
      <c r="G251" s="450" t="s">
        <v>12</v>
      </c>
      <c r="H251" s="447" t="s">
        <v>7</v>
      </c>
      <c r="I251" s="545" t="s">
        <v>167</v>
      </c>
      <c r="J251" s="545" t="s">
        <v>167</v>
      </c>
      <c r="K251" s="447" t="s">
        <v>168</v>
      </c>
    </row>
    <row r="252" spans="1:11" ht="45" x14ac:dyDescent="0.25">
      <c r="A252" s="449" t="s">
        <v>4</v>
      </c>
      <c r="B252" s="449"/>
      <c r="C252" s="542" t="s">
        <v>485</v>
      </c>
      <c r="D252" s="542" t="s">
        <v>485</v>
      </c>
      <c r="E252" s="448"/>
      <c r="F252" s="462">
        <v>7.1</v>
      </c>
      <c r="G252" s="462" t="s">
        <v>142</v>
      </c>
      <c r="H252" s="449" t="s">
        <v>4</v>
      </c>
      <c r="I252" s="543" t="s">
        <v>198</v>
      </c>
      <c r="J252" s="543" t="s">
        <v>198</v>
      </c>
      <c r="K252" s="449" t="s">
        <v>486</v>
      </c>
    </row>
    <row r="253" spans="1:11" ht="56.25" x14ac:dyDescent="0.25">
      <c r="A253" s="449" t="s">
        <v>5</v>
      </c>
      <c r="B253" s="449"/>
      <c r="C253" s="542" t="s">
        <v>137</v>
      </c>
      <c r="D253" s="542" t="s">
        <v>137</v>
      </c>
      <c r="E253" s="448"/>
      <c r="F253" s="462">
        <v>1.0999999999999999E-2</v>
      </c>
      <c r="G253" s="462" t="s">
        <v>571</v>
      </c>
      <c r="H253" s="449" t="s">
        <v>4</v>
      </c>
      <c r="I253" s="543" t="s">
        <v>199</v>
      </c>
      <c r="J253" s="543" t="s">
        <v>199</v>
      </c>
      <c r="K253" s="449" t="s">
        <v>487</v>
      </c>
    </row>
    <row r="254" spans="1:11" ht="56.25" x14ac:dyDescent="0.25">
      <c r="A254" s="449" t="s">
        <v>6</v>
      </c>
      <c r="B254" s="449"/>
      <c r="C254" s="542" t="s">
        <v>132</v>
      </c>
      <c r="D254" s="542" t="s">
        <v>132</v>
      </c>
      <c r="E254" s="448"/>
      <c r="F254" s="462">
        <v>0.2</v>
      </c>
      <c r="G254" s="462" t="s">
        <v>572</v>
      </c>
      <c r="H254" s="449" t="s">
        <v>4</v>
      </c>
      <c r="I254" s="543" t="s">
        <v>199</v>
      </c>
      <c r="J254" s="543" t="s">
        <v>199</v>
      </c>
      <c r="K254" s="449" t="s">
        <v>488</v>
      </c>
    </row>
    <row r="255" spans="1:11" ht="56.25" x14ac:dyDescent="0.25">
      <c r="A255" s="449" t="s">
        <v>12</v>
      </c>
      <c r="B255" s="449"/>
      <c r="C255" s="542" t="s">
        <v>110</v>
      </c>
      <c r="D255" s="542" t="s">
        <v>110</v>
      </c>
      <c r="E255" s="448"/>
      <c r="F255" s="462" t="s">
        <v>239</v>
      </c>
      <c r="G255" s="462" t="s">
        <v>63</v>
      </c>
      <c r="H255" s="449" t="s">
        <v>4</v>
      </c>
      <c r="I255" s="543" t="s">
        <v>199</v>
      </c>
      <c r="J255" s="543" t="s">
        <v>199</v>
      </c>
      <c r="K255" s="449" t="s">
        <v>488</v>
      </c>
    </row>
    <row r="256" spans="1:11" ht="56.25" x14ac:dyDescent="0.25">
      <c r="A256" s="449" t="s">
        <v>7</v>
      </c>
      <c r="B256" s="449"/>
      <c r="C256" s="542" t="s">
        <v>107</v>
      </c>
      <c r="D256" s="542" t="s">
        <v>107</v>
      </c>
      <c r="E256" s="448"/>
      <c r="F256" s="462">
        <v>1.3</v>
      </c>
      <c r="G256" s="462" t="s">
        <v>102</v>
      </c>
      <c r="H256" s="449" t="s">
        <v>4</v>
      </c>
      <c r="I256" s="543" t="s">
        <v>199</v>
      </c>
      <c r="J256" s="543" t="s">
        <v>199</v>
      </c>
      <c r="K256" s="449" t="s">
        <v>488</v>
      </c>
    </row>
    <row r="257" spans="1:11" ht="45" x14ac:dyDescent="0.25">
      <c r="A257" s="449" t="s">
        <v>167</v>
      </c>
      <c r="B257" s="449"/>
      <c r="C257" s="542" t="s">
        <v>99</v>
      </c>
      <c r="D257" s="542" t="s">
        <v>99</v>
      </c>
      <c r="E257" s="448"/>
      <c r="F257" s="462" t="s">
        <v>562</v>
      </c>
      <c r="G257" s="462" t="s">
        <v>96</v>
      </c>
      <c r="H257" s="449" t="s">
        <v>5</v>
      </c>
      <c r="I257" s="543" t="s">
        <v>199</v>
      </c>
      <c r="J257" s="543" t="s">
        <v>199</v>
      </c>
      <c r="K257" s="449" t="s">
        <v>491</v>
      </c>
    </row>
    <row r="258" spans="1:11" ht="56.25" x14ac:dyDescent="0.25">
      <c r="A258" s="449" t="s">
        <v>168</v>
      </c>
      <c r="B258" s="449"/>
      <c r="C258" s="542" t="s">
        <v>93</v>
      </c>
      <c r="D258" s="542" t="s">
        <v>93</v>
      </c>
      <c r="E258" s="448"/>
      <c r="F258" s="462" t="s">
        <v>543</v>
      </c>
      <c r="G258" s="462" t="s">
        <v>89</v>
      </c>
      <c r="H258" s="449" t="s">
        <v>4</v>
      </c>
      <c r="I258" s="543" t="s">
        <v>199</v>
      </c>
      <c r="J258" s="543" t="s">
        <v>199</v>
      </c>
      <c r="K258" s="449" t="s">
        <v>488</v>
      </c>
    </row>
    <row r="259" spans="1:11" ht="45" x14ac:dyDescent="0.25">
      <c r="A259" s="449" t="s">
        <v>169</v>
      </c>
      <c r="B259" s="449"/>
      <c r="C259" s="542" t="s">
        <v>492</v>
      </c>
      <c r="D259" s="542" t="s">
        <v>492</v>
      </c>
      <c r="E259" s="448"/>
      <c r="F259" s="462" t="s">
        <v>582</v>
      </c>
      <c r="G259" s="462" t="s">
        <v>495</v>
      </c>
      <c r="H259" s="449" t="s">
        <v>5</v>
      </c>
      <c r="I259" s="543" t="s">
        <v>493</v>
      </c>
      <c r="J259" s="543" t="s">
        <v>493</v>
      </c>
      <c r="K259" s="449" t="s">
        <v>494</v>
      </c>
    </row>
    <row r="260" spans="1:11" ht="56.25" x14ac:dyDescent="0.25">
      <c r="A260" s="449" t="s">
        <v>27</v>
      </c>
      <c r="B260" s="449"/>
      <c r="C260" s="542" t="s">
        <v>80</v>
      </c>
      <c r="D260" s="542" t="s">
        <v>80</v>
      </c>
      <c r="E260" s="448"/>
      <c r="F260" s="462" t="s">
        <v>460</v>
      </c>
      <c r="G260" s="462" t="s">
        <v>59</v>
      </c>
      <c r="H260" s="449" t="s">
        <v>4</v>
      </c>
      <c r="I260" s="543" t="s">
        <v>199</v>
      </c>
      <c r="J260" s="543" t="s">
        <v>199</v>
      </c>
      <c r="K260" s="449" t="s">
        <v>488</v>
      </c>
    </row>
    <row r="261" spans="1:11" ht="56.25" x14ac:dyDescent="0.25">
      <c r="A261" s="449" t="s">
        <v>170</v>
      </c>
      <c r="B261" s="449"/>
      <c r="C261" s="542" t="s">
        <v>66</v>
      </c>
      <c r="D261" s="542" t="s">
        <v>66</v>
      </c>
      <c r="E261" s="448"/>
      <c r="F261" s="462" t="s">
        <v>557</v>
      </c>
      <c r="G261" s="462" t="s">
        <v>497</v>
      </c>
      <c r="H261" s="449" t="s">
        <v>4</v>
      </c>
      <c r="I261" s="543" t="s">
        <v>199</v>
      </c>
      <c r="J261" s="543" t="s">
        <v>199</v>
      </c>
      <c r="K261" s="449" t="s">
        <v>488</v>
      </c>
    </row>
    <row r="262" spans="1:11" x14ac:dyDescent="0.25">
      <c r="A262" s="282"/>
      <c r="B262" s="274"/>
      <c r="C262" s="274"/>
      <c r="D262" s="274"/>
      <c r="E262" s="274"/>
      <c r="F262" s="274"/>
      <c r="G262" s="274"/>
      <c r="H262" s="274"/>
      <c r="I262" s="274"/>
      <c r="J262" s="274"/>
    </row>
    <row r="263" spans="1:11" x14ac:dyDescent="0.25">
      <c r="A263" s="282"/>
      <c r="B263" s="274"/>
      <c r="C263" s="274"/>
      <c r="D263" s="274"/>
      <c r="E263" s="274"/>
      <c r="F263" s="274"/>
      <c r="G263" s="274"/>
      <c r="H263" s="274"/>
      <c r="I263" s="274"/>
      <c r="J263" s="274"/>
    </row>
    <row r="264" spans="1:11" x14ac:dyDescent="0.25">
      <c r="A264" s="166"/>
      <c r="B264" s="154"/>
      <c r="C264" s="154"/>
      <c r="D264" s="154"/>
      <c r="E264" s="154"/>
      <c r="F264" s="154"/>
      <c r="G264" s="154"/>
      <c r="H264" s="154"/>
      <c r="I264" s="154"/>
      <c r="J264" s="154"/>
    </row>
    <row r="265" spans="1:11" x14ac:dyDescent="0.25">
      <c r="A265" s="544" t="s">
        <v>543</v>
      </c>
      <c r="B265" s="544"/>
      <c r="C265" s="544" t="s">
        <v>499</v>
      </c>
      <c r="D265" s="544" t="s">
        <v>499</v>
      </c>
      <c r="E265" s="544"/>
      <c r="F265" s="544" t="s">
        <v>499</v>
      </c>
      <c r="G265" s="544" t="s">
        <v>499</v>
      </c>
      <c r="H265" s="544" t="s">
        <v>499</v>
      </c>
      <c r="I265" s="544" t="s">
        <v>499</v>
      </c>
      <c r="J265" s="544" t="s">
        <v>499</v>
      </c>
      <c r="K265" s="544" t="s">
        <v>499</v>
      </c>
    </row>
    <row r="266" spans="1:11" ht="73.5" x14ac:dyDescent="0.25">
      <c r="A266" s="447" t="s">
        <v>0</v>
      </c>
      <c r="B266" s="447"/>
      <c r="C266" s="545" t="s">
        <v>1</v>
      </c>
      <c r="D266" s="545" t="s">
        <v>1</v>
      </c>
      <c r="E266" s="447"/>
      <c r="F266" s="450" t="s">
        <v>481</v>
      </c>
      <c r="G266" s="450" t="s">
        <v>482</v>
      </c>
      <c r="H266" s="447" t="s">
        <v>483</v>
      </c>
      <c r="I266" s="545" t="s">
        <v>3</v>
      </c>
      <c r="J266" s="545" t="s">
        <v>3</v>
      </c>
      <c r="K266" s="447" t="s">
        <v>484</v>
      </c>
    </row>
    <row r="267" spans="1:11" x14ac:dyDescent="0.25">
      <c r="A267" s="447" t="s">
        <v>4</v>
      </c>
      <c r="B267" s="447"/>
      <c r="C267" s="545" t="s">
        <v>5</v>
      </c>
      <c r="D267" s="545" t="s">
        <v>5</v>
      </c>
      <c r="E267" s="447"/>
      <c r="F267" s="450" t="s">
        <v>6</v>
      </c>
      <c r="G267" s="450" t="s">
        <v>12</v>
      </c>
      <c r="H267" s="447" t="s">
        <v>7</v>
      </c>
      <c r="I267" s="545" t="s">
        <v>167</v>
      </c>
      <c r="J267" s="545" t="s">
        <v>167</v>
      </c>
      <c r="K267" s="447" t="s">
        <v>168</v>
      </c>
    </row>
    <row r="268" spans="1:11" ht="45" x14ac:dyDescent="0.25">
      <c r="A268" s="449" t="s">
        <v>4</v>
      </c>
      <c r="B268" s="449"/>
      <c r="C268" s="542" t="s">
        <v>485</v>
      </c>
      <c r="D268" s="542" t="s">
        <v>485</v>
      </c>
      <c r="E268" s="448"/>
      <c r="F268" s="463">
        <v>7</v>
      </c>
      <c r="G268" s="463" t="s">
        <v>142</v>
      </c>
      <c r="H268" s="449" t="s">
        <v>4</v>
      </c>
      <c r="I268" s="543" t="s">
        <v>198</v>
      </c>
      <c r="J268" s="543" t="s">
        <v>198</v>
      </c>
      <c r="K268" s="449" t="s">
        <v>486</v>
      </c>
    </row>
    <row r="269" spans="1:11" ht="56.25" x14ac:dyDescent="0.25">
      <c r="A269" s="449" t="s">
        <v>5</v>
      </c>
      <c r="B269" s="449"/>
      <c r="C269" s="542" t="s">
        <v>137</v>
      </c>
      <c r="D269" s="542" t="s">
        <v>137</v>
      </c>
      <c r="E269" s="448"/>
      <c r="F269" s="463">
        <v>7.0000000000000001E-3</v>
      </c>
      <c r="G269" s="463" t="s">
        <v>573</v>
      </c>
      <c r="H269" s="449" t="s">
        <v>4</v>
      </c>
      <c r="I269" s="543" t="s">
        <v>199</v>
      </c>
      <c r="J269" s="543" t="s">
        <v>199</v>
      </c>
      <c r="K269" s="449" t="s">
        <v>487</v>
      </c>
    </row>
    <row r="270" spans="1:11" ht="56.25" x14ac:dyDescent="0.25">
      <c r="A270" s="449" t="s">
        <v>6</v>
      </c>
      <c r="B270" s="449"/>
      <c r="C270" s="542" t="s">
        <v>132</v>
      </c>
      <c r="D270" s="542" t="s">
        <v>132</v>
      </c>
      <c r="E270" s="448"/>
      <c r="F270" s="463">
        <v>0.11</v>
      </c>
      <c r="G270" s="463" t="s">
        <v>566</v>
      </c>
      <c r="H270" s="449" t="s">
        <v>4</v>
      </c>
      <c r="I270" s="543" t="s">
        <v>199</v>
      </c>
      <c r="J270" s="543" t="s">
        <v>199</v>
      </c>
      <c r="K270" s="449" t="s">
        <v>488</v>
      </c>
    </row>
    <row r="271" spans="1:11" ht="56.25" x14ac:dyDescent="0.25">
      <c r="A271" s="449" t="s">
        <v>12</v>
      </c>
      <c r="B271" s="449"/>
      <c r="C271" s="542" t="s">
        <v>110</v>
      </c>
      <c r="D271" s="542" t="s">
        <v>110</v>
      </c>
      <c r="E271" s="448"/>
      <c r="F271" s="463" t="s">
        <v>533</v>
      </c>
      <c r="G271" s="463" t="s">
        <v>489</v>
      </c>
      <c r="H271" s="449" t="s">
        <v>4</v>
      </c>
      <c r="I271" s="543" t="s">
        <v>199</v>
      </c>
      <c r="J271" s="543" t="s">
        <v>199</v>
      </c>
      <c r="K271" s="449" t="s">
        <v>488</v>
      </c>
    </row>
    <row r="272" spans="1:11" ht="56.25" x14ac:dyDescent="0.25">
      <c r="A272" s="449" t="s">
        <v>7</v>
      </c>
      <c r="B272" s="449"/>
      <c r="C272" s="542" t="s">
        <v>107</v>
      </c>
      <c r="D272" s="542" t="s">
        <v>107</v>
      </c>
      <c r="E272" s="448"/>
      <c r="F272" s="463">
        <v>0.6</v>
      </c>
      <c r="G272" s="463" t="s">
        <v>103</v>
      </c>
      <c r="H272" s="449" t="s">
        <v>4</v>
      </c>
      <c r="I272" s="543" t="s">
        <v>199</v>
      </c>
      <c r="J272" s="543" t="s">
        <v>199</v>
      </c>
      <c r="K272" s="449" t="s">
        <v>488</v>
      </c>
    </row>
    <row r="273" spans="1:11" ht="45" x14ac:dyDescent="0.25">
      <c r="A273" s="449" t="s">
        <v>167</v>
      </c>
      <c r="B273" s="449"/>
      <c r="C273" s="542" t="s">
        <v>99</v>
      </c>
      <c r="D273" s="542" t="s">
        <v>99</v>
      </c>
      <c r="E273" s="448"/>
      <c r="F273" s="463" t="s">
        <v>541</v>
      </c>
      <c r="G273" s="463" t="s">
        <v>490</v>
      </c>
      <c r="H273" s="449" t="s">
        <v>5</v>
      </c>
      <c r="I273" s="543" t="s">
        <v>199</v>
      </c>
      <c r="J273" s="543" t="s">
        <v>199</v>
      </c>
      <c r="K273" s="449" t="s">
        <v>491</v>
      </c>
    </row>
    <row r="274" spans="1:11" ht="56.25" x14ac:dyDescent="0.25">
      <c r="A274" s="449" t="s">
        <v>168</v>
      </c>
      <c r="B274" s="449"/>
      <c r="C274" s="542" t="s">
        <v>93</v>
      </c>
      <c r="D274" s="542" t="s">
        <v>93</v>
      </c>
      <c r="E274" s="448"/>
      <c r="F274" s="463" t="s">
        <v>533</v>
      </c>
      <c r="G274" s="463" t="s">
        <v>89</v>
      </c>
      <c r="H274" s="449" t="s">
        <v>4</v>
      </c>
      <c r="I274" s="543" t="s">
        <v>199</v>
      </c>
      <c r="J274" s="543" t="s">
        <v>199</v>
      </c>
      <c r="K274" s="449" t="s">
        <v>488</v>
      </c>
    </row>
    <row r="275" spans="1:11" ht="45" x14ac:dyDescent="0.25">
      <c r="A275" s="449" t="s">
        <v>169</v>
      </c>
      <c r="B275" s="449"/>
      <c r="C275" s="542" t="s">
        <v>492</v>
      </c>
      <c r="D275" s="542" t="s">
        <v>492</v>
      </c>
      <c r="E275" s="448"/>
      <c r="F275" s="463" t="s">
        <v>581</v>
      </c>
      <c r="G275" s="463" t="s">
        <v>96</v>
      </c>
      <c r="H275" s="449" t="s">
        <v>5</v>
      </c>
      <c r="I275" s="543" t="s">
        <v>493</v>
      </c>
      <c r="J275" s="543" t="s">
        <v>493</v>
      </c>
      <c r="K275" s="449" t="s">
        <v>494</v>
      </c>
    </row>
    <row r="276" spans="1:11" ht="56.25" x14ac:dyDescent="0.25">
      <c r="A276" s="449" t="s">
        <v>27</v>
      </c>
      <c r="B276" s="449"/>
      <c r="C276" s="542" t="s">
        <v>80</v>
      </c>
      <c r="D276" s="542" t="s">
        <v>80</v>
      </c>
      <c r="E276" s="448"/>
      <c r="F276" s="463" t="s">
        <v>514</v>
      </c>
      <c r="G276" s="463" t="s">
        <v>59</v>
      </c>
      <c r="H276" s="449" t="s">
        <v>4</v>
      </c>
      <c r="I276" s="543" t="s">
        <v>199</v>
      </c>
      <c r="J276" s="543" t="s">
        <v>199</v>
      </c>
      <c r="K276" s="449" t="s">
        <v>488</v>
      </c>
    </row>
    <row r="277" spans="1:11" ht="56.25" x14ac:dyDescent="0.25">
      <c r="A277" s="449" t="s">
        <v>170</v>
      </c>
      <c r="B277" s="449"/>
      <c r="C277" s="542" t="s">
        <v>66</v>
      </c>
      <c r="D277" s="542" t="s">
        <v>66</v>
      </c>
      <c r="E277" s="448"/>
      <c r="F277" s="463" t="s">
        <v>535</v>
      </c>
      <c r="G277" s="463" t="s">
        <v>497</v>
      </c>
      <c r="H277" s="449" t="s">
        <v>4</v>
      </c>
      <c r="I277" s="543" t="s">
        <v>199</v>
      </c>
      <c r="J277" s="543" t="s">
        <v>199</v>
      </c>
      <c r="K277" s="449" t="s">
        <v>488</v>
      </c>
    </row>
    <row r="278" spans="1:11" x14ac:dyDescent="0.25">
      <c r="A278" s="166"/>
      <c r="B278" s="154"/>
      <c r="C278" s="154"/>
      <c r="D278" s="154"/>
      <c r="E278" s="154"/>
      <c r="F278" s="154"/>
      <c r="G278" s="154"/>
      <c r="H278" s="154"/>
      <c r="I278" s="154"/>
      <c r="J278" s="154"/>
    </row>
    <row r="279" spans="1:11" x14ac:dyDescent="0.25">
      <c r="A279" s="544" t="s">
        <v>533</v>
      </c>
      <c r="B279" s="544"/>
      <c r="C279" s="544" t="s">
        <v>499</v>
      </c>
      <c r="D279" s="544" t="s">
        <v>499</v>
      </c>
      <c r="E279" s="544"/>
      <c r="F279" s="544" t="s">
        <v>499</v>
      </c>
      <c r="G279" s="544" t="s">
        <v>499</v>
      </c>
      <c r="H279" s="544" t="s">
        <v>499</v>
      </c>
      <c r="I279" s="544" t="s">
        <v>499</v>
      </c>
      <c r="J279" s="544" t="s">
        <v>499</v>
      </c>
      <c r="K279" s="544" t="s">
        <v>499</v>
      </c>
    </row>
    <row r="280" spans="1:11" ht="73.5" x14ac:dyDescent="0.25">
      <c r="A280" s="447" t="s">
        <v>0</v>
      </c>
      <c r="B280" s="447"/>
      <c r="C280" s="545" t="s">
        <v>1</v>
      </c>
      <c r="D280" s="545" t="s">
        <v>1</v>
      </c>
      <c r="E280" s="447"/>
      <c r="F280" s="450" t="s">
        <v>481</v>
      </c>
      <c r="G280" s="450" t="s">
        <v>482</v>
      </c>
      <c r="H280" s="447" t="s">
        <v>483</v>
      </c>
      <c r="I280" s="545" t="s">
        <v>3</v>
      </c>
      <c r="J280" s="545" t="s">
        <v>3</v>
      </c>
      <c r="K280" s="447" t="s">
        <v>484</v>
      </c>
    </row>
    <row r="281" spans="1:11" x14ac:dyDescent="0.25">
      <c r="A281" s="447" t="s">
        <v>4</v>
      </c>
      <c r="B281" s="447"/>
      <c r="C281" s="545" t="s">
        <v>5</v>
      </c>
      <c r="D281" s="545" t="s">
        <v>5</v>
      </c>
      <c r="E281" s="447"/>
      <c r="F281" s="450" t="s">
        <v>6</v>
      </c>
      <c r="G281" s="450" t="s">
        <v>12</v>
      </c>
      <c r="H281" s="447" t="s">
        <v>7</v>
      </c>
      <c r="I281" s="545" t="s">
        <v>167</v>
      </c>
      <c r="J281" s="545" t="s">
        <v>167</v>
      </c>
      <c r="K281" s="447" t="s">
        <v>168</v>
      </c>
    </row>
    <row r="282" spans="1:11" ht="45" x14ac:dyDescent="0.25">
      <c r="A282" s="449" t="s">
        <v>4</v>
      </c>
      <c r="B282" s="449"/>
      <c r="C282" s="542" t="s">
        <v>485</v>
      </c>
      <c r="D282" s="542" t="s">
        <v>485</v>
      </c>
      <c r="E282" s="448"/>
      <c r="F282" s="464">
        <v>6.9</v>
      </c>
      <c r="G282" s="464" t="s">
        <v>142</v>
      </c>
      <c r="H282" s="449" t="s">
        <v>4</v>
      </c>
      <c r="I282" s="543" t="s">
        <v>198</v>
      </c>
      <c r="J282" s="543" t="s">
        <v>198</v>
      </c>
      <c r="K282" s="449" t="s">
        <v>486</v>
      </c>
    </row>
    <row r="283" spans="1:11" ht="56.25" x14ac:dyDescent="0.25">
      <c r="A283" s="449" t="s">
        <v>5</v>
      </c>
      <c r="B283" s="449"/>
      <c r="C283" s="542" t="s">
        <v>137</v>
      </c>
      <c r="D283" s="542" t="s">
        <v>137</v>
      </c>
      <c r="E283" s="448"/>
      <c r="F283" s="464">
        <v>2.3E-2</v>
      </c>
      <c r="G283" s="464" t="s">
        <v>574</v>
      </c>
      <c r="H283" s="449" t="s">
        <v>4</v>
      </c>
      <c r="I283" s="543" t="s">
        <v>199</v>
      </c>
      <c r="J283" s="543" t="s">
        <v>199</v>
      </c>
      <c r="K283" s="449" t="s">
        <v>487</v>
      </c>
    </row>
    <row r="284" spans="1:11" ht="56.25" x14ac:dyDescent="0.25">
      <c r="A284" s="449" t="s">
        <v>6</v>
      </c>
      <c r="B284" s="449"/>
      <c r="C284" s="542" t="s">
        <v>132</v>
      </c>
      <c r="D284" s="542" t="s">
        <v>132</v>
      </c>
      <c r="E284" s="448"/>
      <c r="F284" s="464">
        <v>0.18</v>
      </c>
      <c r="G284" s="464" t="s">
        <v>575</v>
      </c>
      <c r="H284" s="449" t="s">
        <v>4</v>
      </c>
      <c r="I284" s="543" t="s">
        <v>199</v>
      </c>
      <c r="J284" s="543" t="s">
        <v>199</v>
      </c>
      <c r="K284" s="449" t="s">
        <v>488</v>
      </c>
    </row>
    <row r="285" spans="1:11" ht="56.25" x14ac:dyDescent="0.25">
      <c r="A285" s="449" t="s">
        <v>12</v>
      </c>
      <c r="B285" s="449"/>
      <c r="C285" s="542" t="s">
        <v>110</v>
      </c>
      <c r="D285" s="542" t="s">
        <v>110</v>
      </c>
      <c r="E285" s="448"/>
      <c r="F285" s="464" t="s">
        <v>239</v>
      </c>
      <c r="G285" s="464" t="s">
        <v>63</v>
      </c>
      <c r="H285" s="449" t="s">
        <v>4</v>
      </c>
      <c r="I285" s="543" t="s">
        <v>199</v>
      </c>
      <c r="J285" s="543" t="s">
        <v>199</v>
      </c>
      <c r="K285" s="449" t="s">
        <v>488</v>
      </c>
    </row>
    <row r="286" spans="1:11" ht="56.25" x14ac:dyDescent="0.25">
      <c r="A286" s="449" t="s">
        <v>7</v>
      </c>
      <c r="B286" s="449"/>
      <c r="C286" s="542" t="s">
        <v>107</v>
      </c>
      <c r="D286" s="542" t="s">
        <v>107</v>
      </c>
      <c r="E286" s="448"/>
      <c r="F286" s="464">
        <v>2.4</v>
      </c>
      <c r="G286" s="464" t="s">
        <v>61</v>
      </c>
      <c r="H286" s="449" t="s">
        <v>4</v>
      </c>
      <c r="I286" s="543" t="s">
        <v>199</v>
      </c>
      <c r="J286" s="543" t="s">
        <v>199</v>
      </c>
      <c r="K286" s="449" t="s">
        <v>488</v>
      </c>
    </row>
    <row r="287" spans="1:11" ht="45" x14ac:dyDescent="0.25">
      <c r="A287" s="449" t="s">
        <v>167</v>
      </c>
      <c r="B287" s="449"/>
      <c r="C287" s="542" t="s">
        <v>99</v>
      </c>
      <c r="D287" s="542" t="s">
        <v>99</v>
      </c>
      <c r="E287" s="448"/>
      <c r="F287" s="464" t="s">
        <v>554</v>
      </c>
      <c r="G287" s="464" t="s">
        <v>507</v>
      </c>
      <c r="H287" s="449" t="s">
        <v>5</v>
      </c>
      <c r="I287" s="543" t="s">
        <v>199</v>
      </c>
      <c r="J287" s="543" t="s">
        <v>199</v>
      </c>
      <c r="K287" s="449" t="s">
        <v>491</v>
      </c>
    </row>
    <row r="288" spans="1:11" ht="56.25" x14ac:dyDescent="0.25">
      <c r="A288" s="449" t="s">
        <v>168</v>
      </c>
      <c r="B288" s="449"/>
      <c r="C288" s="542" t="s">
        <v>93</v>
      </c>
      <c r="D288" s="542" t="s">
        <v>93</v>
      </c>
      <c r="E288" s="448"/>
      <c r="F288" s="464" t="s">
        <v>269</v>
      </c>
      <c r="G288" s="464" t="s">
        <v>67</v>
      </c>
      <c r="H288" s="449" t="s">
        <v>4</v>
      </c>
      <c r="I288" s="543" t="s">
        <v>199</v>
      </c>
      <c r="J288" s="543" t="s">
        <v>199</v>
      </c>
      <c r="K288" s="449" t="s">
        <v>488</v>
      </c>
    </row>
    <row r="289" spans="1:11" ht="45" x14ac:dyDescent="0.25">
      <c r="A289" s="449" t="s">
        <v>169</v>
      </c>
      <c r="B289" s="449"/>
      <c r="C289" s="542" t="s">
        <v>492</v>
      </c>
      <c r="D289" s="542" t="s">
        <v>492</v>
      </c>
      <c r="E289" s="448"/>
      <c r="F289" s="464" t="s">
        <v>580</v>
      </c>
      <c r="G289" s="464" t="s">
        <v>495</v>
      </c>
      <c r="H289" s="449" t="s">
        <v>5</v>
      </c>
      <c r="I289" s="543" t="s">
        <v>493</v>
      </c>
      <c r="J289" s="543" t="s">
        <v>493</v>
      </c>
      <c r="K289" s="449" t="s">
        <v>494</v>
      </c>
    </row>
    <row r="290" spans="1:11" ht="56.25" x14ac:dyDescent="0.25">
      <c r="A290" s="449" t="s">
        <v>27</v>
      </c>
      <c r="B290" s="449"/>
      <c r="C290" s="542" t="s">
        <v>80</v>
      </c>
      <c r="D290" s="542" t="s">
        <v>80</v>
      </c>
      <c r="E290" s="448"/>
      <c r="F290" s="464" t="s">
        <v>545</v>
      </c>
      <c r="G290" s="464" t="s">
        <v>59</v>
      </c>
      <c r="H290" s="449" t="s">
        <v>4</v>
      </c>
      <c r="I290" s="543" t="s">
        <v>199</v>
      </c>
      <c r="J290" s="543" t="s">
        <v>199</v>
      </c>
      <c r="K290" s="449" t="s">
        <v>488</v>
      </c>
    </row>
    <row r="291" spans="1:11" ht="56.25" x14ac:dyDescent="0.25">
      <c r="A291" s="449" t="s">
        <v>170</v>
      </c>
      <c r="B291" s="449"/>
      <c r="C291" s="542" t="s">
        <v>66</v>
      </c>
      <c r="D291" s="542" t="s">
        <v>66</v>
      </c>
      <c r="E291" s="448"/>
      <c r="F291" s="464" t="s">
        <v>544</v>
      </c>
      <c r="G291" s="464" t="s">
        <v>489</v>
      </c>
      <c r="H291" s="449" t="s">
        <v>4</v>
      </c>
      <c r="I291" s="543" t="s">
        <v>199</v>
      </c>
      <c r="J291" s="543" t="s">
        <v>199</v>
      </c>
      <c r="K291" s="449" t="s">
        <v>488</v>
      </c>
    </row>
    <row r="292" spans="1:11" x14ac:dyDescent="0.25">
      <c r="A292" s="166"/>
      <c r="B292" s="154"/>
      <c r="C292" s="154"/>
      <c r="D292" s="154"/>
      <c r="E292" s="154"/>
      <c r="F292" s="154"/>
      <c r="G292" s="154"/>
      <c r="H292" s="154"/>
      <c r="I292" s="154"/>
      <c r="J292" s="154"/>
    </row>
    <row r="293" spans="1:11" x14ac:dyDescent="0.25">
      <c r="A293" s="544" t="s">
        <v>530</v>
      </c>
      <c r="B293" s="544"/>
      <c r="C293" s="544" t="s">
        <v>499</v>
      </c>
      <c r="D293" s="544" t="s">
        <v>499</v>
      </c>
      <c r="E293" s="544"/>
      <c r="F293" s="544" t="s">
        <v>499</v>
      </c>
      <c r="G293" s="544" t="s">
        <v>499</v>
      </c>
      <c r="H293" s="544" t="s">
        <v>499</v>
      </c>
      <c r="I293" s="544" t="s">
        <v>499</v>
      </c>
      <c r="J293" s="544" t="s">
        <v>499</v>
      </c>
      <c r="K293" s="544" t="s">
        <v>499</v>
      </c>
    </row>
    <row r="294" spans="1:11" ht="73.5" x14ac:dyDescent="0.25">
      <c r="A294" s="447" t="s">
        <v>0</v>
      </c>
      <c r="B294" s="447"/>
      <c r="C294" s="545" t="s">
        <v>1</v>
      </c>
      <c r="D294" s="545" t="s">
        <v>1</v>
      </c>
      <c r="E294" s="447"/>
      <c r="F294" s="450" t="s">
        <v>481</v>
      </c>
      <c r="G294" s="450" t="s">
        <v>482</v>
      </c>
      <c r="H294" s="447" t="s">
        <v>483</v>
      </c>
      <c r="I294" s="545" t="s">
        <v>3</v>
      </c>
      <c r="J294" s="545" t="s">
        <v>3</v>
      </c>
      <c r="K294" s="447" t="s">
        <v>484</v>
      </c>
    </row>
    <row r="295" spans="1:11" x14ac:dyDescent="0.25">
      <c r="A295" s="447" t="s">
        <v>4</v>
      </c>
      <c r="B295" s="447"/>
      <c r="C295" s="545" t="s">
        <v>5</v>
      </c>
      <c r="D295" s="545" t="s">
        <v>5</v>
      </c>
      <c r="E295" s="447"/>
      <c r="F295" s="450" t="s">
        <v>6</v>
      </c>
      <c r="G295" s="450" t="s">
        <v>12</v>
      </c>
      <c r="H295" s="447" t="s">
        <v>7</v>
      </c>
      <c r="I295" s="545" t="s">
        <v>167</v>
      </c>
      <c r="J295" s="545" t="s">
        <v>167</v>
      </c>
      <c r="K295" s="447" t="s">
        <v>168</v>
      </c>
    </row>
    <row r="296" spans="1:11" ht="45" x14ac:dyDescent="0.25">
      <c r="A296" s="449" t="s">
        <v>4</v>
      </c>
      <c r="B296" s="449"/>
      <c r="C296" s="542" t="s">
        <v>485</v>
      </c>
      <c r="D296" s="542" t="s">
        <v>485</v>
      </c>
      <c r="E296" s="448"/>
      <c r="F296" s="465">
        <v>6.8</v>
      </c>
      <c r="G296" s="465" t="s">
        <v>142</v>
      </c>
      <c r="H296" s="449" t="s">
        <v>4</v>
      </c>
      <c r="I296" s="543" t="s">
        <v>198</v>
      </c>
      <c r="J296" s="543" t="s">
        <v>198</v>
      </c>
      <c r="K296" s="449" t="s">
        <v>486</v>
      </c>
    </row>
    <row r="297" spans="1:11" ht="56.25" x14ac:dyDescent="0.25">
      <c r="A297" s="449" t="s">
        <v>5</v>
      </c>
      <c r="B297" s="449"/>
      <c r="C297" s="542" t="s">
        <v>137</v>
      </c>
      <c r="D297" s="542" t="s">
        <v>137</v>
      </c>
      <c r="E297" s="448"/>
      <c r="F297" s="465">
        <v>0.01</v>
      </c>
      <c r="G297" s="465" t="s">
        <v>571</v>
      </c>
      <c r="H297" s="449" t="s">
        <v>4</v>
      </c>
      <c r="I297" s="543" t="s">
        <v>199</v>
      </c>
      <c r="J297" s="543" t="s">
        <v>199</v>
      </c>
      <c r="K297" s="449" t="s">
        <v>487</v>
      </c>
    </row>
    <row r="298" spans="1:11" ht="56.25" x14ac:dyDescent="0.25">
      <c r="A298" s="449" t="s">
        <v>6</v>
      </c>
      <c r="B298" s="449"/>
      <c r="C298" s="542" t="s">
        <v>132</v>
      </c>
      <c r="D298" s="542" t="s">
        <v>132</v>
      </c>
      <c r="E298" s="448"/>
      <c r="F298" s="465">
        <v>0.18</v>
      </c>
      <c r="G298" s="465" t="s">
        <v>575</v>
      </c>
      <c r="H298" s="449" t="s">
        <v>4</v>
      </c>
      <c r="I298" s="543" t="s">
        <v>199</v>
      </c>
      <c r="J298" s="543" t="s">
        <v>199</v>
      </c>
      <c r="K298" s="449" t="s">
        <v>488</v>
      </c>
    </row>
    <row r="299" spans="1:11" ht="56.25" x14ac:dyDescent="0.25">
      <c r="A299" s="449" t="s">
        <v>12</v>
      </c>
      <c r="B299" s="449"/>
      <c r="C299" s="542" t="s">
        <v>110</v>
      </c>
      <c r="D299" s="542" t="s">
        <v>110</v>
      </c>
      <c r="E299" s="448"/>
      <c r="F299" s="465" t="s">
        <v>543</v>
      </c>
      <c r="G299" s="465" t="s">
        <v>489</v>
      </c>
      <c r="H299" s="449" t="s">
        <v>4</v>
      </c>
      <c r="I299" s="543" t="s">
        <v>199</v>
      </c>
      <c r="J299" s="543" t="s">
        <v>199</v>
      </c>
      <c r="K299" s="449" t="s">
        <v>488</v>
      </c>
    </row>
    <row r="300" spans="1:11" ht="56.25" x14ac:dyDescent="0.25">
      <c r="A300" s="449" t="s">
        <v>7</v>
      </c>
      <c r="B300" s="449"/>
      <c r="C300" s="542" t="s">
        <v>107</v>
      </c>
      <c r="D300" s="542" t="s">
        <v>107</v>
      </c>
      <c r="E300" s="448"/>
      <c r="F300" s="465">
        <v>1.9</v>
      </c>
      <c r="G300" s="465" t="s">
        <v>62</v>
      </c>
      <c r="H300" s="449" t="s">
        <v>4</v>
      </c>
      <c r="I300" s="543" t="s">
        <v>199</v>
      </c>
      <c r="J300" s="543" t="s">
        <v>199</v>
      </c>
      <c r="K300" s="449" t="s">
        <v>488</v>
      </c>
    </row>
    <row r="301" spans="1:11" ht="45" x14ac:dyDescent="0.25">
      <c r="A301" s="449" t="s">
        <v>167</v>
      </c>
      <c r="B301" s="449"/>
      <c r="C301" s="542" t="s">
        <v>99</v>
      </c>
      <c r="D301" s="542" t="s">
        <v>99</v>
      </c>
      <c r="E301" s="448"/>
      <c r="F301" s="465" t="s">
        <v>563</v>
      </c>
      <c r="G301" s="465" t="s">
        <v>114</v>
      </c>
      <c r="H301" s="449" t="s">
        <v>5</v>
      </c>
      <c r="I301" s="543" t="s">
        <v>199</v>
      </c>
      <c r="J301" s="543" t="s">
        <v>199</v>
      </c>
      <c r="K301" s="449" t="s">
        <v>491</v>
      </c>
    </row>
    <row r="302" spans="1:11" ht="56.25" x14ac:dyDescent="0.25">
      <c r="A302" s="449" t="s">
        <v>168</v>
      </c>
      <c r="B302" s="449"/>
      <c r="C302" s="542" t="s">
        <v>93</v>
      </c>
      <c r="D302" s="542" t="s">
        <v>93</v>
      </c>
      <c r="E302" s="448"/>
      <c r="F302" s="465" t="s">
        <v>244</v>
      </c>
      <c r="G302" s="465" t="s">
        <v>59</v>
      </c>
      <c r="H302" s="449" t="s">
        <v>4</v>
      </c>
      <c r="I302" s="543" t="s">
        <v>199</v>
      </c>
      <c r="J302" s="543" t="s">
        <v>199</v>
      </c>
      <c r="K302" s="449" t="s">
        <v>488</v>
      </c>
    </row>
    <row r="303" spans="1:11" ht="45" x14ac:dyDescent="0.25">
      <c r="A303" s="449" t="s">
        <v>169</v>
      </c>
      <c r="B303" s="449"/>
      <c r="C303" s="542" t="s">
        <v>492</v>
      </c>
      <c r="D303" s="542" t="s">
        <v>492</v>
      </c>
      <c r="E303" s="448"/>
      <c r="F303" s="465" t="s">
        <v>579</v>
      </c>
      <c r="G303" s="465" t="s">
        <v>532</v>
      </c>
      <c r="H303" s="449" t="s">
        <v>5</v>
      </c>
      <c r="I303" s="543" t="s">
        <v>493</v>
      </c>
      <c r="J303" s="543" t="s">
        <v>493</v>
      </c>
      <c r="K303" s="449" t="s">
        <v>494</v>
      </c>
    </row>
    <row r="304" spans="1:11" ht="56.25" x14ac:dyDescent="0.25">
      <c r="A304" s="449" t="s">
        <v>27</v>
      </c>
      <c r="B304" s="449"/>
      <c r="C304" s="542" t="s">
        <v>80</v>
      </c>
      <c r="D304" s="542" t="s">
        <v>80</v>
      </c>
      <c r="E304" s="448"/>
      <c r="F304" s="465" t="s">
        <v>460</v>
      </c>
      <c r="G304" s="465" t="s">
        <v>59</v>
      </c>
      <c r="H304" s="449" t="s">
        <v>4</v>
      </c>
      <c r="I304" s="543" t="s">
        <v>199</v>
      </c>
      <c r="J304" s="543" t="s">
        <v>199</v>
      </c>
      <c r="K304" s="449" t="s">
        <v>488</v>
      </c>
    </row>
    <row r="305" spans="1:11" ht="56.25" x14ac:dyDescent="0.25">
      <c r="A305" s="449" t="s">
        <v>170</v>
      </c>
      <c r="B305" s="449"/>
      <c r="C305" s="542" t="s">
        <v>66</v>
      </c>
      <c r="D305" s="542" t="s">
        <v>66</v>
      </c>
      <c r="E305" s="448"/>
      <c r="F305" s="465" t="s">
        <v>548</v>
      </c>
      <c r="G305" s="465" t="s">
        <v>59</v>
      </c>
      <c r="H305" s="449" t="s">
        <v>4</v>
      </c>
      <c r="I305" s="543" t="s">
        <v>199</v>
      </c>
      <c r="J305" s="543" t="s">
        <v>199</v>
      </c>
      <c r="K305" s="449" t="s">
        <v>488</v>
      </c>
    </row>
    <row r="306" spans="1:11" x14ac:dyDescent="0.25">
      <c r="A306" s="282"/>
      <c r="B306" s="274"/>
      <c r="C306" s="274"/>
      <c r="D306" s="274"/>
      <c r="E306" s="274"/>
      <c r="F306" s="274"/>
      <c r="G306" s="274"/>
      <c r="H306" s="274"/>
      <c r="I306" s="274"/>
      <c r="J306" s="274"/>
    </row>
    <row r="307" spans="1:11" x14ac:dyDescent="0.25">
      <c r="A307" s="282"/>
      <c r="B307" s="274"/>
      <c r="C307" s="274"/>
      <c r="D307" s="274"/>
      <c r="E307" s="274"/>
      <c r="F307" s="274"/>
      <c r="G307" s="274"/>
      <c r="H307" s="274"/>
      <c r="I307" s="274"/>
      <c r="J307" s="274"/>
    </row>
    <row r="308" spans="1:11" x14ac:dyDescent="0.25">
      <c r="A308" s="166"/>
      <c r="B308" s="154"/>
      <c r="C308" s="154"/>
      <c r="D308" s="154"/>
      <c r="E308" s="154"/>
      <c r="F308" s="154"/>
      <c r="G308" s="154"/>
      <c r="H308" s="154"/>
      <c r="I308" s="154"/>
      <c r="J308" s="154"/>
    </row>
    <row r="309" spans="1:11" x14ac:dyDescent="0.25">
      <c r="A309" s="544" t="s">
        <v>544</v>
      </c>
      <c r="B309" s="544"/>
      <c r="C309" s="544" t="s">
        <v>499</v>
      </c>
      <c r="D309" s="544" t="s">
        <v>499</v>
      </c>
      <c r="E309" s="544"/>
      <c r="F309" s="544" t="s">
        <v>499</v>
      </c>
      <c r="G309" s="544" t="s">
        <v>499</v>
      </c>
      <c r="H309" s="544" t="s">
        <v>499</v>
      </c>
      <c r="I309" s="544" t="s">
        <v>499</v>
      </c>
      <c r="J309" s="544" t="s">
        <v>499</v>
      </c>
      <c r="K309" s="544" t="s">
        <v>499</v>
      </c>
    </row>
    <row r="310" spans="1:11" ht="73.5" x14ac:dyDescent="0.25">
      <c r="A310" s="447" t="s">
        <v>0</v>
      </c>
      <c r="B310" s="447"/>
      <c r="C310" s="545" t="s">
        <v>1</v>
      </c>
      <c r="D310" s="545" t="s">
        <v>1</v>
      </c>
      <c r="E310" s="447"/>
      <c r="F310" s="450" t="s">
        <v>481</v>
      </c>
      <c r="G310" s="450" t="s">
        <v>482</v>
      </c>
      <c r="H310" s="447" t="s">
        <v>483</v>
      </c>
      <c r="I310" s="545" t="s">
        <v>3</v>
      </c>
      <c r="J310" s="545" t="s">
        <v>3</v>
      </c>
      <c r="K310" s="447" t="s">
        <v>484</v>
      </c>
    </row>
    <row r="311" spans="1:11" x14ac:dyDescent="0.25">
      <c r="A311" s="447" t="s">
        <v>4</v>
      </c>
      <c r="B311" s="447"/>
      <c r="C311" s="545" t="s">
        <v>5</v>
      </c>
      <c r="D311" s="545" t="s">
        <v>5</v>
      </c>
      <c r="E311" s="447"/>
      <c r="F311" s="450" t="s">
        <v>6</v>
      </c>
      <c r="G311" s="450" t="s">
        <v>12</v>
      </c>
      <c r="H311" s="447" t="s">
        <v>7</v>
      </c>
      <c r="I311" s="545" t="s">
        <v>167</v>
      </c>
      <c r="J311" s="545" t="s">
        <v>167</v>
      </c>
      <c r="K311" s="447" t="s">
        <v>168</v>
      </c>
    </row>
    <row r="312" spans="1:11" ht="45" x14ac:dyDescent="0.25">
      <c r="A312" s="449" t="s">
        <v>4</v>
      </c>
      <c r="B312" s="449"/>
      <c r="C312" s="542" t="s">
        <v>485</v>
      </c>
      <c r="D312" s="542" t="s">
        <v>485</v>
      </c>
      <c r="E312" s="448"/>
      <c r="F312" s="466">
        <v>7.2</v>
      </c>
      <c r="G312" s="466" t="s">
        <v>142</v>
      </c>
      <c r="H312" s="449" t="s">
        <v>4</v>
      </c>
      <c r="I312" s="543" t="s">
        <v>198</v>
      </c>
      <c r="J312" s="543" t="s">
        <v>198</v>
      </c>
      <c r="K312" s="449" t="s">
        <v>486</v>
      </c>
    </row>
    <row r="313" spans="1:11" ht="56.25" x14ac:dyDescent="0.25">
      <c r="A313" s="449" t="s">
        <v>5</v>
      </c>
      <c r="B313" s="449"/>
      <c r="C313" s="542" t="s">
        <v>137</v>
      </c>
      <c r="D313" s="542" t="s">
        <v>137</v>
      </c>
      <c r="E313" s="448"/>
      <c r="F313" s="466">
        <v>8.9999999999999993E-3</v>
      </c>
      <c r="G313" s="466" t="s">
        <v>571</v>
      </c>
      <c r="H313" s="449" t="s">
        <v>4</v>
      </c>
      <c r="I313" s="543" t="s">
        <v>199</v>
      </c>
      <c r="J313" s="543" t="s">
        <v>199</v>
      </c>
      <c r="K313" s="449" t="s">
        <v>487</v>
      </c>
    </row>
    <row r="314" spans="1:11" ht="56.25" x14ac:dyDescent="0.25">
      <c r="A314" s="449" t="s">
        <v>6</v>
      </c>
      <c r="B314" s="449"/>
      <c r="C314" s="542" t="s">
        <v>132</v>
      </c>
      <c r="D314" s="542" t="s">
        <v>132</v>
      </c>
      <c r="E314" s="448"/>
      <c r="F314" s="466">
        <v>0.1</v>
      </c>
      <c r="G314" s="466" t="s">
        <v>566</v>
      </c>
      <c r="H314" s="449" t="s">
        <v>4</v>
      </c>
      <c r="I314" s="543" t="s">
        <v>199</v>
      </c>
      <c r="J314" s="543" t="s">
        <v>199</v>
      </c>
      <c r="K314" s="449" t="s">
        <v>488</v>
      </c>
    </row>
    <row r="315" spans="1:11" ht="56.25" x14ac:dyDescent="0.25">
      <c r="A315" s="449" t="s">
        <v>12</v>
      </c>
      <c r="B315" s="449"/>
      <c r="C315" s="542" t="s">
        <v>110</v>
      </c>
      <c r="D315" s="542" t="s">
        <v>110</v>
      </c>
      <c r="E315" s="448"/>
      <c r="F315" s="466" t="s">
        <v>239</v>
      </c>
      <c r="G315" s="466" t="s">
        <v>63</v>
      </c>
      <c r="H315" s="449" t="s">
        <v>4</v>
      </c>
      <c r="I315" s="543" t="s">
        <v>199</v>
      </c>
      <c r="J315" s="543" t="s">
        <v>199</v>
      </c>
      <c r="K315" s="449" t="s">
        <v>488</v>
      </c>
    </row>
    <row r="316" spans="1:11" ht="56.25" x14ac:dyDescent="0.25">
      <c r="A316" s="449" t="s">
        <v>7</v>
      </c>
      <c r="B316" s="449"/>
      <c r="C316" s="542" t="s">
        <v>107</v>
      </c>
      <c r="D316" s="542" t="s">
        <v>107</v>
      </c>
      <c r="E316" s="448"/>
      <c r="F316" s="466">
        <v>0.9</v>
      </c>
      <c r="G316" s="466" t="s">
        <v>567</v>
      </c>
      <c r="H316" s="449" t="s">
        <v>4</v>
      </c>
      <c r="I316" s="543" t="s">
        <v>199</v>
      </c>
      <c r="J316" s="543" t="s">
        <v>199</v>
      </c>
      <c r="K316" s="449" t="s">
        <v>488</v>
      </c>
    </row>
    <row r="317" spans="1:11" ht="45" x14ac:dyDescent="0.25">
      <c r="A317" s="449" t="s">
        <v>167</v>
      </c>
      <c r="B317" s="449"/>
      <c r="C317" s="542" t="s">
        <v>99</v>
      </c>
      <c r="D317" s="542" t="s">
        <v>99</v>
      </c>
      <c r="E317" s="448"/>
      <c r="F317" s="466" t="s">
        <v>564</v>
      </c>
      <c r="G317" s="466" t="s">
        <v>565</v>
      </c>
      <c r="H317" s="449" t="s">
        <v>5</v>
      </c>
      <c r="I317" s="543" t="s">
        <v>199</v>
      </c>
      <c r="J317" s="543" t="s">
        <v>199</v>
      </c>
      <c r="K317" s="449" t="s">
        <v>491</v>
      </c>
    </row>
    <row r="318" spans="1:11" ht="56.25" x14ac:dyDescent="0.25">
      <c r="A318" s="449" t="s">
        <v>168</v>
      </c>
      <c r="B318" s="449"/>
      <c r="C318" s="542" t="s">
        <v>93</v>
      </c>
      <c r="D318" s="542" t="s">
        <v>93</v>
      </c>
      <c r="E318" s="448"/>
      <c r="F318" s="466" t="s">
        <v>252</v>
      </c>
      <c r="G318" s="466" t="s">
        <v>59</v>
      </c>
      <c r="H318" s="449" t="s">
        <v>4</v>
      </c>
      <c r="I318" s="543" t="s">
        <v>199</v>
      </c>
      <c r="J318" s="543" t="s">
        <v>199</v>
      </c>
      <c r="K318" s="449" t="s">
        <v>488</v>
      </c>
    </row>
    <row r="319" spans="1:11" ht="45" x14ac:dyDescent="0.25">
      <c r="A319" s="449" t="s">
        <v>169</v>
      </c>
      <c r="B319" s="449"/>
      <c r="C319" s="542" t="s">
        <v>492</v>
      </c>
      <c r="D319" s="542" t="s">
        <v>492</v>
      </c>
      <c r="E319" s="448"/>
      <c r="F319" s="466" t="s">
        <v>537</v>
      </c>
      <c r="G319" s="466" t="s">
        <v>508</v>
      </c>
      <c r="H319" s="449" t="s">
        <v>5</v>
      </c>
      <c r="I319" s="543" t="s">
        <v>493</v>
      </c>
      <c r="J319" s="543" t="s">
        <v>493</v>
      </c>
      <c r="K319" s="449" t="s">
        <v>494</v>
      </c>
    </row>
    <row r="320" spans="1:11" ht="56.25" x14ac:dyDescent="0.25">
      <c r="A320" s="449" t="s">
        <v>27</v>
      </c>
      <c r="B320" s="449"/>
      <c r="C320" s="542" t="s">
        <v>80</v>
      </c>
      <c r="D320" s="542" t="s">
        <v>80</v>
      </c>
      <c r="E320" s="448"/>
      <c r="F320" s="466" t="s">
        <v>544</v>
      </c>
      <c r="G320" s="466" t="s">
        <v>59</v>
      </c>
      <c r="H320" s="449" t="s">
        <v>4</v>
      </c>
      <c r="I320" s="543" t="s">
        <v>199</v>
      </c>
      <c r="J320" s="543" t="s">
        <v>199</v>
      </c>
      <c r="K320" s="449" t="s">
        <v>488</v>
      </c>
    </row>
    <row r="321" spans="1:11" ht="56.25" x14ac:dyDescent="0.25">
      <c r="A321" s="449" t="s">
        <v>170</v>
      </c>
      <c r="B321" s="449"/>
      <c r="C321" s="542" t="s">
        <v>66</v>
      </c>
      <c r="D321" s="542" t="s">
        <v>66</v>
      </c>
      <c r="E321" s="448"/>
      <c r="F321" s="466" t="s">
        <v>547</v>
      </c>
      <c r="G321" s="466" t="s">
        <v>59</v>
      </c>
      <c r="H321" s="449" t="s">
        <v>4</v>
      </c>
      <c r="I321" s="543" t="s">
        <v>199</v>
      </c>
      <c r="J321" s="543" t="s">
        <v>199</v>
      </c>
      <c r="K321" s="449" t="s">
        <v>488</v>
      </c>
    </row>
    <row r="322" spans="1:11" x14ac:dyDescent="0.25">
      <c r="A322" s="166"/>
      <c r="B322" s="154"/>
      <c r="C322" s="154"/>
      <c r="D322" s="154"/>
      <c r="E322" s="154"/>
      <c r="F322" s="154"/>
      <c r="G322" s="154"/>
      <c r="H322" s="154"/>
      <c r="I322" s="154"/>
      <c r="J322" s="154"/>
    </row>
    <row r="323" spans="1:11" x14ac:dyDescent="0.25">
      <c r="A323" s="544" t="s">
        <v>514</v>
      </c>
      <c r="B323" s="544"/>
      <c r="C323" s="544" t="s">
        <v>499</v>
      </c>
      <c r="D323" s="544" t="s">
        <v>499</v>
      </c>
      <c r="E323" s="544"/>
      <c r="F323" s="544" t="s">
        <v>499</v>
      </c>
      <c r="G323" s="544" t="s">
        <v>499</v>
      </c>
      <c r="H323" s="544" t="s">
        <v>499</v>
      </c>
      <c r="I323" s="544" t="s">
        <v>499</v>
      </c>
      <c r="J323" s="544" t="s">
        <v>499</v>
      </c>
      <c r="K323" s="544" t="s">
        <v>499</v>
      </c>
    </row>
    <row r="324" spans="1:11" ht="73.5" x14ac:dyDescent="0.25">
      <c r="A324" s="447" t="s">
        <v>0</v>
      </c>
      <c r="B324" s="447"/>
      <c r="C324" s="545" t="s">
        <v>1</v>
      </c>
      <c r="D324" s="545" t="s">
        <v>1</v>
      </c>
      <c r="E324" s="447"/>
      <c r="F324" s="450" t="s">
        <v>481</v>
      </c>
      <c r="G324" s="450" t="s">
        <v>482</v>
      </c>
      <c r="H324" s="447" t="s">
        <v>483</v>
      </c>
      <c r="I324" s="545" t="s">
        <v>3</v>
      </c>
      <c r="J324" s="545" t="s">
        <v>3</v>
      </c>
      <c r="K324" s="447" t="s">
        <v>484</v>
      </c>
    </row>
    <row r="325" spans="1:11" x14ac:dyDescent="0.25">
      <c r="A325" s="447" t="s">
        <v>4</v>
      </c>
      <c r="B325" s="447"/>
      <c r="C325" s="545" t="s">
        <v>5</v>
      </c>
      <c r="D325" s="545" t="s">
        <v>5</v>
      </c>
      <c r="E325" s="447"/>
      <c r="F325" s="450" t="s">
        <v>6</v>
      </c>
      <c r="G325" s="450" t="s">
        <v>12</v>
      </c>
      <c r="H325" s="447" t="s">
        <v>7</v>
      </c>
      <c r="I325" s="545" t="s">
        <v>167</v>
      </c>
      <c r="J325" s="545" t="s">
        <v>167</v>
      </c>
      <c r="K325" s="447" t="s">
        <v>168</v>
      </c>
    </row>
    <row r="326" spans="1:11" ht="45" x14ac:dyDescent="0.25">
      <c r="A326" s="449" t="s">
        <v>4</v>
      </c>
      <c r="B326" s="449"/>
      <c r="C326" s="542" t="s">
        <v>485</v>
      </c>
      <c r="D326" s="542" t="s">
        <v>485</v>
      </c>
      <c r="E326" s="448"/>
      <c r="F326" s="467">
        <v>7.3</v>
      </c>
      <c r="G326" s="467" t="s">
        <v>142</v>
      </c>
      <c r="H326" s="449" t="s">
        <v>4</v>
      </c>
      <c r="I326" s="543" t="s">
        <v>198</v>
      </c>
      <c r="J326" s="543" t="s">
        <v>198</v>
      </c>
      <c r="K326" s="449" t="s">
        <v>486</v>
      </c>
    </row>
    <row r="327" spans="1:11" ht="56.25" x14ac:dyDescent="0.25">
      <c r="A327" s="449" t="s">
        <v>5</v>
      </c>
      <c r="B327" s="449"/>
      <c r="C327" s="542" t="s">
        <v>137</v>
      </c>
      <c r="D327" s="542" t="s">
        <v>137</v>
      </c>
      <c r="E327" s="448"/>
      <c r="F327" s="467">
        <v>5.0000000000000001E-3</v>
      </c>
      <c r="G327" s="467" t="s">
        <v>83</v>
      </c>
      <c r="H327" s="449" t="s">
        <v>4</v>
      </c>
      <c r="I327" s="543" t="s">
        <v>199</v>
      </c>
      <c r="J327" s="543" t="s">
        <v>199</v>
      </c>
      <c r="K327" s="449" t="s">
        <v>487</v>
      </c>
    </row>
    <row r="328" spans="1:11" ht="56.25" x14ac:dyDescent="0.25">
      <c r="A328" s="449" t="s">
        <v>6</v>
      </c>
      <c r="B328" s="449"/>
      <c r="C328" s="542" t="s">
        <v>132</v>
      </c>
      <c r="D328" s="542" t="s">
        <v>132</v>
      </c>
      <c r="E328" s="448"/>
      <c r="F328" s="467">
        <v>0.13</v>
      </c>
      <c r="G328" s="467" t="s">
        <v>576</v>
      </c>
      <c r="H328" s="449" t="s">
        <v>4</v>
      </c>
      <c r="I328" s="543" t="s">
        <v>199</v>
      </c>
      <c r="J328" s="543" t="s">
        <v>199</v>
      </c>
      <c r="K328" s="449" t="s">
        <v>488</v>
      </c>
    </row>
    <row r="329" spans="1:11" ht="56.25" x14ac:dyDescent="0.25">
      <c r="A329" s="449" t="s">
        <v>12</v>
      </c>
      <c r="B329" s="449"/>
      <c r="C329" s="542" t="s">
        <v>110</v>
      </c>
      <c r="D329" s="542" t="s">
        <v>110</v>
      </c>
      <c r="E329" s="448"/>
      <c r="F329" s="467" t="s">
        <v>269</v>
      </c>
      <c r="G329" s="467" t="s">
        <v>63</v>
      </c>
      <c r="H329" s="449" t="s">
        <v>4</v>
      </c>
      <c r="I329" s="543" t="s">
        <v>199</v>
      </c>
      <c r="J329" s="543" t="s">
        <v>199</v>
      </c>
      <c r="K329" s="449" t="s">
        <v>488</v>
      </c>
    </row>
    <row r="330" spans="1:11" ht="56.25" x14ac:dyDescent="0.25">
      <c r="A330" s="449" t="s">
        <v>7</v>
      </c>
      <c r="B330" s="449"/>
      <c r="C330" s="542" t="s">
        <v>107</v>
      </c>
      <c r="D330" s="542" t="s">
        <v>107</v>
      </c>
      <c r="E330" s="448"/>
      <c r="F330" s="467">
        <v>2.1</v>
      </c>
      <c r="G330" s="467" t="s">
        <v>62</v>
      </c>
      <c r="H330" s="449" t="s">
        <v>4</v>
      </c>
      <c r="I330" s="543" t="s">
        <v>199</v>
      </c>
      <c r="J330" s="543" t="s">
        <v>199</v>
      </c>
      <c r="K330" s="449" t="s">
        <v>488</v>
      </c>
    </row>
    <row r="331" spans="1:11" ht="45" x14ac:dyDescent="0.25">
      <c r="A331" s="449" t="s">
        <v>167</v>
      </c>
      <c r="B331" s="449"/>
      <c r="C331" s="542" t="s">
        <v>99</v>
      </c>
      <c r="D331" s="542" t="s">
        <v>99</v>
      </c>
      <c r="E331" s="448"/>
      <c r="F331" s="467" t="s">
        <v>531</v>
      </c>
      <c r="G331" s="467" t="s">
        <v>508</v>
      </c>
      <c r="H331" s="449" t="s">
        <v>5</v>
      </c>
      <c r="I331" s="543" t="s">
        <v>199</v>
      </c>
      <c r="J331" s="543" t="s">
        <v>199</v>
      </c>
      <c r="K331" s="449" t="s">
        <v>491</v>
      </c>
    </row>
    <row r="332" spans="1:11" ht="56.25" x14ac:dyDescent="0.25">
      <c r="A332" s="449" t="s">
        <v>168</v>
      </c>
      <c r="B332" s="449"/>
      <c r="C332" s="542" t="s">
        <v>93</v>
      </c>
      <c r="D332" s="542" t="s">
        <v>93</v>
      </c>
      <c r="E332" s="448"/>
      <c r="F332" s="467" t="s">
        <v>514</v>
      </c>
      <c r="G332" s="467" t="s">
        <v>497</v>
      </c>
      <c r="H332" s="449" t="s">
        <v>4</v>
      </c>
      <c r="I332" s="543" t="s">
        <v>199</v>
      </c>
      <c r="J332" s="543" t="s">
        <v>199</v>
      </c>
      <c r="K332" s="449" t="s">
        <v>488</v>
      </c>
    </row>
    <row r="333" spans="1:11" ht="45" x14ac:dyDescent="0.25">
      <c r="A333" s="449" t="s">
        <v>169</v>
      </c>
      <c r="B333" s="449"/>
      <c r="C333" s="542" t="s">
        <v>492</v>
      </c>
      <c r="D333" s="542" t="s">
        <v>492</v>
      </c>
      <c r="E333" s="448"/>
      <c r="F333" s="467" t="s">
        <v>578</v>
      </c>
      <c r="G333" s="467" t="s">
        <v>511</v>
      </c>
      <c r="H333" s="449" t="s">
        <v>5</v>
      </c>
      <c r="I333" s="543" t="s">
        <v>493</v>
      </c>
      <c r="J333" s="543" t="s">
        <v>493</v>
      </c>
      <c r="K333" s="449" t="s">
        <v>494</v>
      </c>
    </row>
    <row r="334" spans="1:11" ht="56.25" x14ac:dyDescent="0.25">
      <c r="A334" s="449" t="s">
        <v>27</v>
      </c>
      <c r="B334" s="449"/>
      <c r="C334" s="542" t="s">
        <v>80</v>
      </c>
      <c r="D334" s="542" t="s">
        <v>80</v>
      </c>
      <c r="E334" s="448"/>
      <c r="F334" s="467" t="s">
        <v>546</v>
      </c>
      <c r="G334" s="467" t="s">
        <v>89</v>
      </c>
      <c r="H334" s="449" t="s">
        <v>4</v>
      </c>
      <c r="I334" s="543" t="s">
        <v>199</v>
      </c>
      <c r="J334" s="543" t="s">
        <v>199</v>
      </c>
      <c r="K334" s="449" t="s">
        <v>488</v>
      </c>
    </row>
    <row r="335" spans="1:11" ht="56.25" x14ac:dyDescent="0.25">
      <c r="A335" s="449" t="s">
        <v>170</v>
      </c>
      <c r="B335" s="449"/>
      <c r="C335" s="542" t="s">
        <v>66</v>
      </c>
      <c r="D335" s="542" t="s">
        <v>66</v>
      </c>
      <c r="E335" s="448"/>
      <c r="F335" s="467" t="s">
        <v>552</v>
      </c>
      <c r="G335" s="467" t="s">
        <v>89</v>
      </c>
      <c r="H335" s="449" t="s">
        <v>4</v>
      </c>
      <c r="I335" s="543" t="s">
        <v>199</v>
      </c>
      <c r="J335" s="543" t="s">
        <v>199</v>
      </c>
      <c r="K335" s="449" t="s">
        <v>488</v>
      </c>
    </row>
    <row r="336" spans="1:11" x14ac:dyDescent="0.25">
      <c r="A336" s="166"/>
      <c r="B336" s="154"/>
      <c r="C336" s="154"/>
      <c r="D336" s="154"/>
      <c r="E336" s="154"/>
      <c r="F336" s="154"/>
      <c r="G336" s="154"/>
      <c r="H336" s="154"/>
      <c r="I336" s="154"/>
      <c r="J336" s="154"/>
    </row>
    <row r="337" spans="1:11" x14ac:dyDescent="0.25">
      <c r="A337" s="544" t="s">
        <v>460</v>
      </c>
      <c r="B337" s="544"/>
      <c r="C337" s="544" t="s">
        <v>499</v>
      </c>
      <c r="D337" s="544" t="s">
        <v>499</v>
      </c>
      <c r="E337" s="544"/>
      <c r="F337" s="544" t="s">
        <v>499</v>
      </c>
      <c r="G337" s="544" t="s">
        <v>499</v>
      </c>
      <c r="H337" s="544" t="s">
        <v>499</v>
      </c>
      <c r="I337" s="544" t="s">
        <v>499</v>
      </c>
      <c r="J337" s="544" t="s">
        <v>499</v>
      </c>
      <c r="K337" s="544" t="s">
        <v>499</v>
      </c>
    </row>
    <row r="338" spans="1:11" ht="73.5" x14ac:dyDescent="0.25">
      <c r="A338" s="447" t="s">
        <v>0</v>
      </c>
      <c r="B338" s="447"/>
      <c r="C338" s="545" t="s">
        <v>1</v>
      </c>
      <c r="D338" s="545" t="s">
        <v>1</v>
      </c>
      <c r="E338" s="447"/>
      <c r="F338" s="450" t="s">
        <v>481</v>
      </c>
      <c r="G338" s="450" t="s">
        <v>482</v>
      </c>
      <c r="H338" s="447" t="s">
        <v>483</v>
      </c>
      <c r="I338" s="545" t="s">
        <v>3</v>
      </c>
      <c r="J338" s="545" t="s">
        <v>3</v>
      </c>
      <c r="K338" s="447" t="s">
        <v>484</v>
      </c>
    </row>
    <row r="339" spans="1:11" x14ac:dyDescent="0.25">
      <c r="A339" s="447" t="s">
        <v>4</v>
      </c>
      <c r="B339" s="447"/>
      <c r="C339" s="545" t="s">
        <v>5</v>
      </c>
      <c r="D339" s="545" t="s">
        <v>5</v>
      </c>
      <c r="E339" s="447"/>
      <c r="F339" s="450" t="s">
        <v>6</v>
      </c>
      <c r="G339" s="450" t="s">
        <v>12</v>
      </c>
      <c r="H339" s="447" t="s">
        <v>7</v>
      </c>
      <c r="I339" s="545" t="s">
        <v>167</v>
      </c>
      <c r="J339" s="545" t="s">
        <v>167</v>
      </c>
      <c r="K339" s="447" t="s">
        <v>168</v>
      </c>
    </row>
    <row r="340" spans="1:11" ht="45" x14ac:dyDescent="0.25">
      <c r="A340" s="449" t="s">
        <v>4</v>
      </c>
      <c r="B340" s="449"/>
      <c r="C340" s="542" t="s">
        <v>485</v>
      </c>
      <c r="D340" s="542" t="s">
        <v>485</v>
      </c>
      <c r="E340" s="448"/>
      <c r="F340" s="468">
        <v>7</v>
      </c>
      <c r="G340" s="468" t="s">
        <v>142</v>
      </c>
      <c r="H340" s="449" t="s">
        <v>4</v>
      </c>
      <c r="I340" s="543" t="s">
        <v>198</v>
      </c>
      <c r="J340" s="543" t="s">
        <v>198</v>
      </c>
      <c r="K340" s="449" t="s">
        <v>486</v>
      </c>
    </row>
    <row r="341" spans="1:11" ht="56.25" x14ac:dyDescent="0.25">
      <c r="A341" s="449" t="s">
        <v>5</v>
      </c>
      <c r="B341" s="449"/>
      <c r="C341" s="542" t="s">
        <v>137</v>
      </c>
      <c r="D341" s="542" t="s">
        <v>137</v>
      </c>
      <c r="E341" s="448"/>
      <c r="F341" s="468">
        <v>5.0000000000000001E-3</v>
      </c>
      <c r="G341" s="468" t="s">
        <v>83</v>
      </c>
      <c r="H341" s="449" t="s">
        <v>4</v>
      </c>
      <c r="I341" s="543" t="s">
        <v>199</v>
      </c>
      <c r="J341" s="543" t="s">
        <v>199</v>
      </c>
      <c r="K341" s="449" t="s">
        <v>487</v>
      </c>
    </row>
    <row r="342" spans="1:11" ht="56.25" x14ac:dyDescent="0.25">
      <c r="A342" s="449" t="s">
        <v>6</v>
      </c>
      <c r="B342" s="449"/>
      <c r="C342" s="542" t="s">
        <v>132</v>
      </c>
      <c r="D342" s="542" t="s">
        <v>132</v>
      </c>
      <c r="E342" s="448"/>
      <c r="F342" s="468">
        <v>0.17</v>
      </c>
      <c r="G342" s="468" t="s">
        <v>575</v>
      </c>
      <c r="H342" s="449" t="s">
        <v>4</v>
      </c>
      <c r="I342" s="543" t="s">
        <v>199</v>
      </c>
      <c r="J342" s="543" t="s">
        <v>199</v>
      </c>
      <c r="K342" s="449" t="s">
        <v>488</v>
      </c>
    </row>
    <row r="343" spans="1:11" ht="56.25" x14ac:dyDescent="0.25">
      <c r="A343" s="449" t="s">
        <v>12</v>
      </c>
      <c r="B343" s="449"/>
      <c r="C343" s="542" t="s">
        <v>110</v>
      </c>
      <c r="D343" s="542" t="s">
        <v>110</v>
      </c>
      <c r="E343" s="448"/>
      <c r="F343" s="468" t="s">
        <v>249</v>
      </c>
      <c r="G343" s="468" t="s">
        <v>63</v>
      </c>
      <c r="H343" s="449" t="s">
        <v>4</v>
      </c>
      <c r="I343" s="543" t="s">
        <v>199</v>
      </c>
      <c r="J343" s="543" t="s">
        <v>199</v>
      </c>
      <c r="K343" s="449" t="s">
        <v>488</v>
      </c>
    </row>
    <row r="344" spans="1:11" ht="56.25" x14ac:dyDescent="0.25">
      <c r="A344" s="449" t="s">
        <v>7</v>
      </c>
      <c r="B344" s="449"/>
      <c r="C344" s="542" t="s">
        <v>107</v>
      </c>
      <c r="D344" s="542" t="s">
        <v>107</v>
      </c>
      <c r="E344" s="448"/>
      <c r="F344" s="468">
        <v>0.9</v>
      </c>
      <c r="G344" s="468" t="s">
        <v>109</v>
      </c>
      <c r="H344" s="449" t="s">
        <v>4</v>
      </c>
      <c r="I344" s="543" t="s">
        <v>199</v>
      </c>
      <c r="J344" s="543" t="s">
        <v>199</v>
      </c>
      <c r="K344" s="449" t="s">
        <v>488</v>
      </c>
    </row>
    <row r="345" spans="1:11" ht="45" x14ac:dyDescent="0.25">
      <c r="A345" s="449" t="s">
        <v>167</v>
      </c>
      <c r="B345" s="449"/>
      <c r="C345" s="542" t="s">
        <v>99</v>
      </c>
      <c r="D345" s="542" t="s">
        <v>99</v>
      </c>
      <c r="E345" s="448"/>
      <c r="F345" s="468">
        <v>50</v>
      </c>
      <c r="G345" s="468" t="s">
        <v>83</v>
      </c>
      <c r="H345" s="449" t="s">
        <v>5</v>
      </c>
      <c r="I345" s="543" t="s">
        <v>199</v>
      </c>
      <c r="J345" s="543" t="s">
        <v>199</v>
      </c>
      <c r="K345" s="449" t="s">
        <v>491</v>
      </c>
    </row>
    <row r="346" spans="1:11" ht="56.25" x14ac:dyDescent="0.25">
      <c r="A346" s="449" t="s">
        <v>168</v>
      </c>
      <c r="B346" s="449"/>
      <c r="C346" s="542" t="s">
        <v>93</v>
      </c>
      <c r="D346" s="542" t="s">
        <v>93</v>
      </c>
      <c r="E346" s="448"/>
      <c r="F346" s="468" t="s">
        <v>249</v>
      </c>
      <c r="G346" s="468" t="s">
        <v>59</v>
      </c>
      <c r="H346" s="449" t="s">
        <v>4</v>
      </c>
      <c r="I346" s="543" t="s">
        <v>199</v>
      </c>
      <c r="J346" s="543" t="s">
        <v>199</v>
      </c>
      <c r="K346" s="449" t="s">
        <v>488</v>
      </c>
    </row>
    <row r="347" spans="1:11" ht="45" x14ac:dyDescent="0.25">
      <c r="A347" s="449" t="s">
        <v>169</v>
      </c>
      <c r="B347" s="449"/>
      <c r="C347" s="542" t="s">
        <v>492</v>
      </c>
      <c r="D347" s="542" t="s">
        <v>492</v>
      </c>
      <c r="E347" s="448"/>
      <c r="F347" s="468" t="s">
        <v>577</v>
      </c>
      <c r="G347" s="468" t="s">
        <v>555</v>
      </c>
      <c r="H347" s="449" t="s">
        <v>5</v>
      </c>
      <c r="I347" s="543" t="s">
        <v>493</v>
      </c>
      <c r="J347" s="543" t="s">
        <v>493</v>
      </c>
      <c r="K347" s="449" t="s">
        <v>494</v>
      </c>
    </row>
    <row r="348" spans="1:11" ht="56.25" x14ac:dyDescent="0.25">
      <c r="A348" s="449" t="s">
        <v>27</v>
      </c>
      <c r="B348" s="449"/>
      <c r="C348" s="542" t="s">
        <v>80</v>
      </c>
      <c r="D348" s="542" t="s">
        <v>80</v>
      </c>
      <c r="E348" s="448"/>
      <c r="F348" s="468" t="s">
        <v>514</v>
      </c>
      <c r="G348" s="468" t="s">
        <v>59</v>
      </c>
      <c r="H348" s="449" t="s">
        <v>4</v>
      </c>
      <c r="I348" s="543" t="s">
        <v>199</v>
      </c>
      <c r="J348" s="543" t="s">
        <v>199</v>
      </c>
      <c r="K348" s="449" t="s">
        <v>488</v>
      </c>
    </row>
    <row r="349" spans="1:11" ht="56.25" x14ac:dyDescent="0.25">
      <c r="A349" s="449" t="s">
        <v>170</v>
      </c>
      <c r="B349" s="449"/>
      <c r="C349" s="542" t="s">
        <v>66</v>
      </c>
      <c r="D349" s="542" t="s">
        <v>66</v>
      </c>
      <c r="E349" s="448"/>
      <c r="F349" s="468" t="s">
        <v>460</v>
      </c>
      <c r="G349" s="468" t="s">
        <v>67</v>
      </c>
      <c r="H349" s="449" t="s">
        <v>4</v>
      </c>
      <c r="I349" s="543" t="s">
        <v>199</v>
      </c>
      <c r="J349" s="543" t="s">
        <v>199</v>
      </c>
      <c r="K349" s="449" t="s">
        <v>488</v>
      </c>
    </row>
    <row r="350" spans="1:11" x14ac:dyDescent="0.25">
      <c r="A350" s="282"/>
      <c r="B350" s="274"/>
      <c r="C350" s="274"/>
      <c r="D350" s="274"/>
      <c r="E350" s="274"/>
      <c r="F350" s="274"/>
      <c r="G350" s="274"/>
      <c r="H350" s="274"/>
      <c r="I350" s="274"/>
      <c r="J350" s="274"/>
    </row>
    <row r="351" spans="1:11" x14ac:dyDescent="0.25">
      <c r="A351" s="282"/>
      <c r="B351" s="274"/>
      <c r="C351" s="274"/>
      <c r="D351" s="274"/>
      <c r="E351" s="274"/>
      <c r="F351" s="274"/>
      <c r="G351" s="274"/>
      <c r="H351" s="274"/>
      <c r="I351" s="274"/>
      <c r="J351" s="274"/>
    </row>
    <row r="352" spans="1:11" x14ac:dyDescent="0.25">
      <c r="A352" s="166"/>
      <c r="B352" s="154"/>
      <c r="C352" s="154"/>
      <c r="D352" s="154"/>
      <c r="E352" s="154"/>
      <c r="F352" s="154"/>
      <c r="G352" s="154"/>
      <c r="H352" s="154"/>
      <c r="I352" s="154"/>
      <c r="J352" s="154"/>
    </row>
    <row r="353" spans="1:11" x14ac:dyDescent="0.25">
      <c r="A353" s="544" t="s">
        <v>545</v>
      </c>
      <c r="B353" s="544"/>
      <c r="C353" s="544" t="s">
        <v>499</v>
      </c>
      <c r="D353" s="544" t="s">
        <v>499</v>
      </c>
      <c r="E353" s="544"/>
      <c r="F353" s="544" t="s">
        <v>499</v>
      </c>
      <c r="G353" s="544" t="s">
        <v>499</v>
      </c>
      <c r="H353" s="544" t="s">
        <v>499</v>
      </c>
      <c r="I353" s="544" t="s">
        <v>499</v>
      </c>
      <c r="J353" s="544" t="s">
        <v>499</v>
      </c>
      <c r="K353" s="544" t="s">
        <v>499</v>
      </c>
    </row>
    <row r="354" spans="1:11" ht="73.5" x14ac:dyDescent="0.25">
      <c r="A354" s="447" t="s">
        <v>0</v>
      </c>
      <c r="B354" s="447"/>
      <c r="C354" s="545" t="s">
        <v>1</v>
      </c>
      <c r="D354" s="545" t="s">
        <v>1</v>
      </c>
      <c r="E354" s="447"/>
      <c r="F354" s="450" t="s">
        <v>481</v>
      </c>
      <c r="G354" s="450" t="s">
        <v>482</v>
      </c>
      <c r="H354" s="447" t="s">
        <v>483</v>
      </c>
      <c r="I354" s="545" t="s">
        <v>3</v>
      </c>
      <c r="J354" s="545" t="s">
        <v>3</v>
      </c>
      <c r="K354" s="447" t="s">
        <v>484</v>
      </c>
    </row>
    <row r="355" spans="1:11" x14ac:dyDescent="0.25">
      <c r="A355" s="447" t="s">
        <v>4</v>
      </c>
      <c r="B355" s="447"/>
      <c r="C355" s="545" t="s">
        <v>5</v>
      </c>
      <c r="D355" s="545" t="s">
        <v>5</v>
      </c>
      <c r="E355" s="447"/>
      <c r="F355" s="450" t="s">
        <v>6</v>
      </c>
      <c r="G355" s="450" t="s">
        <v>12</v>
      </c>
      <c r="H355" s="447" t="s">
        <v>7</v>
      </c>
      <c r="I355" s="545" t="s">
        <v>167</v>
      </c>
      <c r="J355" s="545" t="s">
        <v>167</v>
      </c>
      <c r="K355" s="447" t="s">
        <v>168</v>
      </c>
    </row>
    <row r="356" spans="1:11" ht="45" x14ac:dyDescent="0.25">
      <c r="A356" s="449" t="s">
        <v>4</v>
      </c>
      <c r="B356" s="449"/>
      <c r="C356" s="542" t="s">
        <v>485</v>
      </c>
      <c r="D356" s="542" t="s">
        <v>485</v>
      </c>
      <c r="E356" s="448"/>
      <c r="F356" s="452">
        <v>6.2</v>
      </c>
      <c r="G356" s="452" t="s">
        <v>142</v>
      </c>
      <c r="H356" s="449" t="s">
        <v>4</v>
      </c>
      <c r="I356" s="543" t="s">
        <v>198</v>
      </c>
      <c r="J356" s="543" t="s">
        <v>198</v>
      </c>
      <c r="K356" s="449" t="s">
        <v>486</v>
      </c>
    </row>
    <row r="357" spans="1:11" ht="56.25" x14ac:dyDescent="0.25">
      <c r="A357" s="449" t="s">
        <v>5</v>
      </c>
      <c r="B357" s="449"/>
      <c r="C357" s="542" t="s">
        <v>137</v>
      </c>
      <c r="D357" s="542" t="s">
        <v>137</v>
      </c>
      <c r="E357" s="448"/>
      <c r="F357" s="452">
        <v>5.0000000000000001E-3</v>
      </c>
      <c r="G357" s="452" t="s">
        <v>83</v>
      </c>
      <c r="H357" s="449" t="s">
        <v>4</v>
      </c>
      <c r="I357" s="543" t="s">
        <v>199</v>
      </c>
      <c r="J357" s="543" t="s">
        <v>199</v>
      </c>
      <c r="K357" s="449" t="s">
        <v>487</v>
      </c>
    </row>
    <row r="358" spans="1:11" ht="56.25" x14ac:dyDescent="0.25">
      <c r="A358" s="449" t="s">
        <v>6</v>
      </c>
      <c r="B358" s="449"/>
      <c r="C358" s="542" t="s">
        <v>132</v>
      </c>
      <c r="D358" s="542" t="s">
        <v>132</v>
      </c>
      <c r="E358" s="448"/>
      <c r="F358" s="452">
        <v>0.14000000000000001</v>
      </c>
      <c r="G358" s="452" t="s">
        <v>569</v>
      </c>
      <c r="H358" s="449" t="s">
        <v>4</v>
      </c>
      <c r="I358" s="543" t="s">
        <v>199</v>
      </c>
      <c r="J358" s="543" t="s">
        <v>199</v>
      </c>
      <c r="K358" s="449" t="s">
        <v>488</v>
      </c>
    </row>
    <row r="359" spans="1:11" ht="56.25" x14ac:dyDescent="0.25">
      <c r="A359" s="449" t="s">
        <v>12</v>
      </c>
      <c r="B359" s="449"/>
      <c r="C359" s="542" t="s">
        <v>110</v>
      </c>
      <c r="D359" s="542" t="s">
        <v>110</v>
      </c>
      <c r="E359" s="448"/>
      <c r="F359" s="452" t="s">
        <v>239</v>
      </c>
      <c r="G359" s="452" t="s">
        <v>63</v>
      </c>
      <c r="H359" s="449" t="s">
        <v>4</v>
      </c>
      <c r="I359" s="543" t="s">
        <v>199</v>
      </c>
      <c r="J359" s="543" t="s">
        <v>199</v>
      </c>
      <c r="K359" s="449" t="s">
        <v>488</v>
      </c>
    </row>
    <row r="360" spans="1:11" ht="56.25" x14ac:dyDescent="0.25">
      <c r="A360" s="449" t="s">
        <v>7</v>
      </c>
      <c r="B360" s="449"/>
      <c r="C360" s="542" t="s">
        <v>107</v>
      </c>
      <c r="D360" s="542" t="s">
        <v>107</v>
      </c>
      <c r="E360" s="448"/>
      <c r="F360" s="452">
        <v>0.6</v>
      </c>
      <c r="G360" s="452" t="s">
        <v>103</v>
      </c>
      <c r="H360" s="449" t="s">
        <v>4</v>
      </c>
      <c r="I360" s="543" t="s">
        <v>199</v>
      </c>
      <c r="J360" s="543" t="s">
        <v>199</v>
      </c>
      <c r="K360" s="449" t="s">
        <v>488</v>
      </c>
    </row>
    <row r="361" spans="1:11" ht="45" x14ac:dyDescent="0.25">
      <c r="A361" s="449" t="s">
        <v>167</v>
      </c>
      <c r="B361" s="449"/>
      <c r="C361" s="542" t="s">
        <v>99</v>
      </c>
      <c r="D361" s="542" t="s">
        <v>99</v>
      </c>
      <c r="E361" s="448"/>
      <c r="F361" s="452">
        <v>50</v>
      </c>
      <c r="G361" s="452" t="s">
        <v>83</v>
      </c>
      <c r="H361" s="449" t="s">
        <v>5</v>
      </c>
      <c r="I361" s="543" t="s">
        <v>199</v>
      </c>
      <c r="J361" s="543" t="s">
        <v>199</v>
      </c>
      <c r="K361" s="449" t="s">
        <v>491</v>
      </c>
    </row>
    <row r="362" spans="1:11" ht="56.25" x14ac:dyDescent="0.25">
      <c r="A362" s="449" t="s">
        <v>168</v>
      </c>
      <c r="B362" s="449"/>
      <c r="C362" s="542" t="s">
        <v>93</v>
      </c>
      <c r="D362" s="542" t="s">
        <v>93</v>
      </c>
      <c r="E362" s="448"/>
      <c r="F362" s="452">
        <v>3.5</v>
      </c>
      <c r="G362" s="452" t="s">
        <v>61</v>
      </c>
      <c r="H362" s="449" t="s">
        <v>4</v>
      </c>
      <c r="I362" s="543" t="s">
        <v>199</v>
      </c>
      <c r="J362" s="543" t="s">
        <v>199</v>
      </c>
      <c r="K362" s="449" t="s">
        <v>488</v>
      </c>
    </row>
    <row r="363" spans="1:11" ht="45" x14ac:dyDescent="0.25">
      <c r="A363" s="449" t="s">
        <v>169</v>
      </c>
      <c r="B363" s="449"/>
      <c r="C363" s="542" t="s">
        <v>492</v>
      </c>
      <c r="D363" s="542" t="s">
        <v>492</v>
      </c>
      <c r="E363" s="448"/>
      <c r="F363" s="452" t="s">
        <v>536</v>
      </c>
      <c r="G363" s="452" t="s">
        <v>75</v>
      </c>
      <c r="H363" s="449" t="s">
        <v>5</v>
      </c>
      <c r="I363" s="543" t="s">
        <v>493</v>
      </c>
      <c r="J363" s="543" t="s">
        <v>493</v>
      </c>
      <c r="K363" s="449" t="s">
        <v>494</v>
      </c>
    </row>
    <row r="364" spans="1:11" ht="56.25" x14ac:dyDescent="0.25">
      <c r="A364" s="449" t="s">
        <v>27</v>
      </c>
      <c r="B364" s="449"/>
      <c r="C364" s="542" t="s">
        <v>80</v>
      </c>
      <c r="D364" s="542" t="s">
        <v>80</v>
      </c>
      <c r="E364" s="448"/>
      <c r="F364" s="452" t="s">
        <v>516</v>
      </c>
      <c r="G364" s="452" t="s">
        <v>89</v>
      </c>
      <c r="H364" s="449" t="s">
        <v>4</v>
      </c>
      <c r="I364" s="543" t="s">
        <v>199</v>
      </c>
      <c r="J364" s="543" t="s">
        <v>199</v>
      </c>
      <c r="K364" s="449" t="s">
        <v>488</v>
      </c>
    </row>
    <row r="365" spans="1:11" ht="56.25" x14ac:dyDescent="0.25">
      <c r="A365" s="449" t="s">
        <v>170</v>
      </c>
      <c r="B365" s="449"/>
      <c r="C365" s="542" t="s">
        <v>66</v>
      </c>
      <c r="D365" s="542" t="s">
        <v>66</v>
      </c>
      <c r="E365" s="448"/>
      <c r="F365" s="452" t="s">
        <v>477</v>
      </c>
      <c r="G365" s="452" t="s">
        <v>59</v>
      </c>
      <c r="H365" s="449" t="s">
        <v>4</v>
      </c>
      <c r="I365" s="543" t="s">
        <v>199</v>
      </c>
      <c r="J365" s="543" t="s">
        <v>199</v>
      </c>
      <c r="K365" s="449" t="s">
        <v>488</v>
      </c>
    </row>
    <row r="366" spans="1:11" x14ac:dyDescent="0.25">
      <c r="A366" s="166"/>
      <c r="B366" s="154"/>
      <c r="C366" s="154"/>
      <c r="D366" s="154"/>
      <c r="E366" s="154"/>
      <c r="F366" s="154"/>
      <c r="G366" s="154"/>
      <c r="H366" s="154"/>
      <c r="I366" s="154"/>
      <c r="J366" s="154"/>
    </row>
    <row r="367" spans="1:11" x14ac:dyDescent="0.25">
      <c r="A367" s="544" t="s">
        <v>546</v>
      </c>
      <c r="B367" s="544"/>
      <c r="C367" s="544" t="s">
        <v>499</v>
      </c>
      <c r="D367" s="544" t="s">
        <v>499</v>
      </c>
      <c r="E367" s="544"/>
      <c r="F367" s="544" t="s">
        <v>499</v>
      </c>
      <c r="G367" s="544" t="s">
        <v>499</v>
      </c>
      <c r="H367" s="544" t="s">
        <v>499</v>
      </c>
      <c r="I367" s="544" t="s">
        <v>499</v>
      </c>
      <c r="J367" s="544" t="s">
        <v>499</v>
      </c>
      <c r="K367" s="544" t="s">
        <v>499</v>
      </c>
    </row>
    <row r="368" spans="1:11" ht="73.5" x14ac:dyDescent="0.25">
      <c r="A368" s="447" t="s">
        <v>0</v>
      </c>
      <c r="B368" s="447"/>
      <c r="C368" s="545" t="s">
        <v>1</v>
      </c>
      <c r="D368" s="545" t="s">
        <v>1</v>
      </c>
      <c r="E368" s="447"/>
      <c r="F368" s="450" t="s">
        <v>481</v>
      </c>
      <c r="G368" s="450" t="s">
        <v>482</v>
      </c>
      <c r="H368" s="447" t="s">
        <v>483</v>
      </c>
      <c r="I368" s="545" t="s">
        <v>3</v>
      </c>
      <c r="J368" s="545" t="s">
        <v>3</v>
      </c>
      <c r="K368" s="447" t="s">
        <v>484</v>
      </c>
    </row>
    <row r="369" spans="1:11" x14ac:dyDescent="0.25">
      <c r="A369" s="447" t="s">
        <v>4</v>
      </c>
      <c r="B369" s="447"/>
      <c r="C369" s="545" t="s">
        <v>5</v>
      </c>
      <c r="D369" s="545" t="s">
        <v>5</v>
      </c>
      <c r="E369" s="447"/>
      <c r="F369" s="450" t="s">
        <v>6</v>
      </c>
      <c r="G369" s="450" t="s">
        <v>12</v>
      </c>
      <c r="H369" s="447" t="s">
        <v>7</v>
      </c>
      <c r="I369" s="545" t="s">
        <v>167</v>
      </c>
      <c r="J369" s="545" t="s">
        <v>167</v>
      </c>
      <c r="K369" s="447" t="s">
        <v>168</v>
      </c>
    </row>
    <row r="370" spans="1:11" ht="45" x14ac:dyDescent="0.25">
      <c r="A370" s="449" t="s">
        <v>4</v>
      </c>
      <c r="B370" s="449"/>
      <c r="C370" s="542" t="s">
        <v>485</v>
      </c>
      <c r="D370" s="542" t="s">
        <v>485</v>
      </c>
      <c r="E370" s="448"/>
      <c r="F370" s="452">
        <v>6.2</v>
      </c>
      <c r="G370" s="452" t="s">
        <v>142</v>
      </c>
      <c r="H370" s="449" t="s">
        <v>4</v>
      </c>
      <c r="I370" s="543" t="s">
        <v>198</v>
      </c>
      <c r="J370" s="543" t="s">
        <v>198</v>
      </c>
      <c r="K370" s="449" t="s">
        <v>486</v>
      </c>
    </row>
    <row r="371" spans="1:11" ht="56.25" x14ac:dyDescent="0.25">
      <c r="A371" s="449" t="s">
        <v>5</v>
      </c>
      <c r="B371" s="449"/>
      <c r="C371" s="542" t="s">
        <v>137</v>
      </c>
      <c r="D371" s="542" t="s">
        <v>137</v>
      </c>
      <c r="E371" s="448"/>
      <c r="F371" s="452">
        <v>5.0000000000000001E-3</v>
      </c>
      <c r="G371" s="452" t="s">
        <v>83</v>
      </c>
      <c r="H371" s="449" t="s">
        <v>4</v>
      </c>
      <c r="I371" s="543" t="s">
        <v>199</v>
      </c>
      <c r="J371" s="543" t="s">
        <v>199</v>
      </c>
      <c r="K371" s="449" t="s">
        <v>487</v>
      </c>
    </row>
    <row r="372" spans="1:11" ht="56.25" x14ac:dyDescent="0.25">
      <c r="A372" s="449" t="s">
        <v>6</v>
      </c>
      <c r="B372" s="449"/>
      <c r="C372" s="542" t="s">
        <v>132</v>
      </c>
      <c r="D372" s="542" t="s">
        <v>132</v>
      </c>
      <c r="E372" s="448"/>
      <c r="F372" s="452">
        <v>0.14000000000000001</v>
      </c>
      <c r="G372" s="452" t="s">
        <v>569</v>
      </c>
      <c r="H372" s="449" t="s">
        <v>4</v>
      </c>
      <c r="I372" s="543" t="s">
        <v>199</v>
      </c>
      <c r="J372" s="543" t="s">
        <v>199</v>
      </c>
      <c r="K372" s="449" t="s">
        <v>488</v>
      </c>
    </row>
    <row r="373" spans="1:11" ht="56.25" x14ac:dyDescent="0.25">
      <c r="A373" s="449" t="s">
        <v>12</v>
      </c>
      <c r="B373" s="449"/>
      <c r="C373" s="542" t="s">
        <v>110</v>
      </c>
      <c r="D373" s="542" t="s">
        <v>110</v>
      </c>
      <c r="E373" s="448"/>
      <c r="F373" s="452" t="s">
        <v>239</v>
      </c>
      <c r="G373" s="452" t="s">
        <v>63</v>
      </c>
      <c r="H373" s="449" t="s">
        <v>4</v>
      </c>
      <c r="I373" s="543" t="s">
        <v>199</v>
      </c>
      <c r="J373" s="543" t="s">
        <v>199</v>
      </c>
      <c r="K373" s="449" t="s">
        <v>488</v>
      </c>
    </row>
    <row r="374" spans="1:11" ht="56.25" x14ac:dyDescent="0.25">
      <c r="A374" s="449" t="s">
        <v>7</v>
      </c>
      <c r="B374" s="449"/>
      <c r="C374" s="542" t="s">
        <v>107</v>
      </c>
      <c r="D374" s="542" t="s">
        <v>107</v>
      </c>
      <c r="E374" s="448"/>
      <c r="F374" s="452">
        <v>0.6</v>
      </c>
      <c r="G374" s="452" t="s">
        <v>103</v>
      </c>
      <c r="H374" s="449" t="s">
        <v>4</v>
      </c>
      <c r="I374" s="543" t="s">
        <v>199</v>
      </c>
      <c r="J374" s="543" t="s">
        <v>199</v>
      </c>
      <c r="K374" s="449" t="s">
        <v>488</v>
      </c>
    </row>
    <row r="375" spans="1:11" ht="45" x14ac:dyDescent="0.25">
      <c r="A375" s="449" t="s">
        <v>167</v>
      </c>
      <c r="B375" s="449"/>
      <c r="C375" s="542" t="s">
        <v>99</v>
      </c>
      <c r="D375" s="542" t="s">
        <v>99</v>
      </c>
      <c r="E375" s="448"/>
      <c r="F375" s="452">
        <v>50</v>
      </c>
      <c r="G375" s="452" t="s">
        <v>83</v>
      </c>
      <c r="H375" s="449" t="s">
        <v>5</v>
      </c>
      <c r="I375" s="543" t="s">
        <v>199</v>
      </c>
      <c r="J375" s="543" t="s">
        <v>199</v>
      </c>
      <c r="K375" s="449" t="s">
        <v>491</v>
      </c>
    </row>
    <row r="376" spans="1:11" ht="56.25" x14ac:dyDescent="0.25">
      <c r="A376" s="449" t="s">
        <v>168</v>
      </c>
      <c r="B376" s="449"/>
      <c r="C376" s="542" t="s">
        <v>93</v>
      </c>
      <c r="D376" s="542" t="s">
        <v>93</v>
      </c>
      <c r="E376" s="448"/>
      <c r="F376" s="452">
        <v>3.5</v>
      </c>
      <c r="G376" s="452" t="s">
        <v>61</v>
      </c>
      <c r="H376" s="449" t="s">
        <v>4</v>
      </c>
      <c r="I376" s="543" t="s">
        <v>199</v>
      </c>
      <c r="J376" s="543" t="s">
        <v>199</v>
      </c>
      <c r="K376" s="449" t="s">
        <v>488</v>
      </c>
    </row>
    <row r="377" spans="1:11" ht="45" x14ac:dyDescent="0.25">
      <c r="A377" s="449" t="s">
        <v>169</v>
      </c>
      <c r="B377" s="449"/>
      <c r="C377" s="542" t="s">
        <v>492</v>
      </c>
      <c r="D377" s="542" t="s">
        <v>492</v>
      </c>
      <c r="E377" s="448"/>
      <c r="F377" s="452" t="s">
        <v>536</v>
      </c>
      <c r="G377" s="452" t="s">
        <v>75</v>
      </c>
      <c r="H377" s="449" t="s">
        <v>5</v>
      </c>
      <c r="I377" s="543" t="s">
        <v>493</v>
      </c>
      <c r="J377" s="543" t="s">
        <v>493</v>
      </c>
      <c r="K377" s="449" t="s">
        <v>494</v>
      </c>
    </row>
    <row r="378" spans="1:11" ht="56.25" x14ac:dyDescent="0.25">
      <c r="A378" s="449" t="s">
        <v>27</v>
      </c>
      <c r="B378" s="449"/>
      <c r="C378" s="542" t="s">
        <v>80</v>
      </c>
      <c r="D378" s="542" t="s">
        <v>80</v>
      </c>
      <c r="E378" s="448"/>
      <c r="F378" s="452" t="s">
        <v>516</v>
      </c>
      <c r="G378" s="452" t="s">
        <v>89</v>
      </c>
      <c r="H378" s="449" t="s">
        <v>4</v>
      </c>
      <c r="I378" s="543" t="s">
        <v>199</v>
      </c>
      <c r="J378" s="543" t="s">
        <v>199</v>
      </c>
      <c r="K378" s="449" t="s">
        <v>488</v>
      </c>
    </row>
    <row r="379" spans="1:11" ht="56.25" x14ac:dyDescent="0.25">
      <c r="A379" s="449" t="s">
        <v>170</v>
      </c>
      <c r="B379" s="449"/>
      <c r="C379" s="542" t="s">
        <v>66</v>
      </c>
      <c r="D379" s="542" t="s">
        <v>66</v>
      </c>
      <c r="E379" s="448"/>
      <c r="F379" s="452" t="s">
        <v>477</v>
      </c>
      <c r="G379" s="452" t="s">
        <v>59</v>
      </c>
      <c r="H379" s="449" t="s">
        <v>4</v>
      </c>
      <c r="I379" s="543" t="s">
        <v>199</v>
      </c>
      <c r="J379" s="543" t="s">
        <v>199</v>
      </c>
      <c r="K379" s="449" t="s">
        <v>488</v>
      </c>
    </row>
    <row r="380" spans="1:11" x14ac:dyDescent="0.25">
      <c r="A380" s="166"/>
      <c r="B380" s="154"/>
      <c r="C380" s="154"/>
      <c r="D380" s="154"/>
      <c r="E380" s="154"/>
      <c r="F380" s="154"/>
      <c r="G380" s="154"/>
      <c r="H380" s="154"/>
      <c r="I380" s="154"/>
      <c r="J380" s="154"/>
    </row>
    <row r="381" spans="1:11" x14ac:dyDescent="0.25">
      <c r="A381" s="544" t="s">
        <v>516</v>
      </c>
      <c r="B381" s="544"/>
      <c r="C381" s="544" t="s">
        <v>499</v>
      </c>
      <c r="D381" s="544" t="s">
        <v>499</v>
      </c>
      <c r="E381" s="544"/>
      <c r="F381" s="544" t="s">
        <v>499</v>
      </c>
      <c r="G381" s="544" t="s">
        <v>499</v>
      </c>
      <c r="H381" s="544" t="s">
        <v>499</v>
      </c>
      <c r="I381" s="544" t="s">
        <v>499</v>
      </c>
      <c r="J381" s="544" t="s">
        <v>499</v>
      </c>
      <c r="K381" s="544" t="s">
        <v>499</v>
      </c>
    </row>
    <row r="382" spans="1:11" ht="73.5" x14ac:dyDescent="0.25">
      <c r="A382" s="447" t="s">
        <v>0</v>
      </c>
      <c r="B382" s="447"/>
      <c r="C382" s="545" t="s">
        <v>1</v>
      </c>
      <c r="D382" s="545" t="s">
        <v>1</v>
      </c>
      <c r="E382" s="447"/>
      <c r="F382" s="450" t="s">
        <v>481</v>
      </c>
      <c r="G382" s="450" t="s">
        <v>482</v>
      </c>
      <c r="H382" s="447" t="s">
        <v>483</v>
      </c>
      <c r="I382" s="545" t="s">
        <v>3</v>
      </c>
      <c r="J382" s="545" t="s">
        <v>3</v>
      </c>
      <c r="K382" s="447" t="s">
        <v>484</v>
      </c>
    </row>
    <row r="383" spans="1:11" x14ac:dyDescent="0.25">
      <c r="A383" s="447" t="s">
        <v>4</v>
      </c>
      <c r="B383" s="447"/>
      <c r="C383" s="545" t="s">
        <v>5</v>
      </c>
      <c r="D383" s="545" t="s">
        <v>5</v>
      </c>
      <c r="E383" s="447"/>
      <c r="F383" s="450" t="s">
        <v>6</v>
      </c>
      <c r="G383" s="450" t="s">
        <v>12</v>
      </c>
      <c r="H383" s="447" t="s">
        <v>7</v>
      </c>
      <c r="I383" s="545" t="s">
        <v>167</v>
      </c>
      <c r="J383" s="545" t="s">
        <v>167</v>
      </c>
      <c r="K383" s="447" t="s">
        <v>168</v>
      </c>
    </row>
    <row r="384" spans="1:11" ht="45" x14ac:dyDescent="0.25">
      <c r="A384" s="449" t="s">
        <v>4</v>
      </c>
      <c r="B384" s="449"/>
      <c r="C384" s="542" t="s">
        <v>485</v>
      </c>
      <c r="D384" s="542" t="s">
        <v>485</v>
      </c>
      <c r="E384" s="448"/>
      <c r="F384" s="452">
        <v>6.2</v>
      </c>
      <c r="G384" s="452" t="s">
        <v>142</v>
      </c>
      <c r="H384" s="449" t="s">
        <v>4</v>
      </c>
      <c r="I384" s="543" t="s">
        <v>198</v>
      </c>
      <c r="J384" s="543" t="s">
        <v>198</v>
      </c>
      <c r="K384" s="449" t="s">
        <v>486</v>
      </c>
    </row>
    <row r="385" spans="1:11" ht="56.25" x14ac:dyDescent="0.25">
      <c r="A385" s="449" t="s">
        <v>5</v>
      </c>
      <c r="B385" s="449"/>
      <c r="C385" s="542" t="s">
        <v>137</v>
      </c>
      <c r="D385" s="542" t="s">
        <v>137</v>
      </c>
      <c r="E385" s="448"/>
      <c r="F385" s="452">
        <v>5.0000000000000001E-3</v>
      </c>
      <c r="G385" s="452" t="s">
        <v>83</v>
      </c>
      <c r="H385" s="449" t="s">
        <v>4</v>
      </c>
      <c r="I385" s="543" t="s">
        <v>199</v>
      </c>
      <c r="J385" s="543" t="s">
        <v>199</v>
      </c>
      <c r="K385" s="449" t="s">
        <v>487</v>
      </c>
    </row>
    <row r="386" spans="1:11" ht="56.25" x14ac:dyDescent="0.25">
      <c r="A386" s="449" t="s">
        <v>6</v>
      </c>
      <c r="B386" s="449"/>
      <c r="C386" s="542" t="s">
        <v>132</v>
      </c>
      <c r="D386" s="542" t="s">
        <v>132</v>
      </c>
      <c r="E386" s="448"/>
      <c r="F386" s="452">
        <v>0.14000000000000001</v>
      </c>
      <c r="G386" s="452" t="s">
        <v>569</v>
      </c>
      <c r="H386" s="449" t="s">
        <v>4</v>
      </c>
      <c r="I386" s="543" t="s">
        <v>199</v>
      </c>
      <c r="J386" s="543" t="s">
        <v>199</v>
      </c>
      <c r="K386" s="449" t="s">
        <v>488</v>
      </c>
    </row>
    <row r="387" spans="1:11" ht="56.25" x14ac:dyDescent="0.25">
      <c r="A387" s="449" t="s">
        <v>12</v>
      </c>
      <c r="B387" s="449"/>
      <c r="C387" s="542" t="s">
        <v>110</v>
      </c>
      <c r="D387" s="542" t="s">
        <v>110</v>
      </c>
      <c r="E387" s="448"/>
      <c r="F387" s="452" t="s">
        <v>239</v>
      </c>
      <c r="G387" s="452" t="s">
        <v>63</v>
      </c>
      <c r="H387" s="449" t="s">
        <v>4</v>
      </c>
      <c r="I387" s="543" t="s">
        <v>199</v>
      </c>
      <c r="J387" s="543" t="s">
        <v>199</v>
      </c>
      <c r="K387" s="449" t="s">
        <v>488</v>
      </c>
    </row>
    <row r="388" spans="1:11" ht="56.25" x14ac:dyDescent="0.25">
      <c r="A388" s="449" t="s">
        <v>7</v>
      </c>
      <c r="B388" s="449"/>
      <c r="C388" s="542" t="s">
        <v>107</v>
      </c>
      <c r="D388" s="542" t="s">
        <v>107</v>
      </c>
      <c r="E388" s="448"/>
      <c r="F388" s="452">
        <v>0.6</v>
      </c>
      <c r="G388" s="452" t="s">
        <v>103</v>
      </c>
      <c r="H388" s="449" t="s">
        <v>4</v>
      </c>
      <c r="I388" s="543" t="s">
        <v>199</v>
      </c>
      <c r="J388" s="543" t="s">
        <v>199</v>
      </c>
      <c r="K388" s="449" t="s">
        <v>488</v>
      </c>
    </row>
    <row r="389" spans="1:11" ht="45" x14ac:dyDescent="0.25">
      <c r="A389" s="449" t="s">
        <v>167</v>
      </c>
      <c r="B389" s="449"/>
      <c r="C389" s="542" t="s">
        <v>99</v>
      </c>
      <c r="D389" s="542" t="s">
        <v>99</v>
      </c>
      <c r="E389" s="448"/>
      <c r="F389" s="452">
        <v>50</v>
      </c>
      <c r="G389" s="452" t="s">
        <v>83</v>
      </c>
      <c r="H389" s="449" t="s">
        <v>5</v>
      </c>
      <c r="I389" s="543" t="s">
        <v>199</v>
      </c>
      <c r="J389" s="543" t="s">
        <v>199</v>
      </c>
      <c r="K389" s="449" t="s">
        <v>491</v>
      </c>
    </row>
    <row r="390" spans="1:11" ht="56.25" x14ac:dyDescent="0.25">
      <c r="A390" s="449" t="s">
        <v>168</v>
      </c>
      <c r="B390" s="449"/>
      <c r="C390" s="542" t="s">
        <v>93</v>
      </c>
      <c r="D390" s="542" t="s">
        <v>93</v>
      </c>
      <c r="E390" s="448"/>
      <c r="F390" s="452">
        <v>3.5</v>
      </c>
      <c r="G390" s="452" t="s">
        <v>61</v>
      </c>
      <c r="H390" s="449" t="s">
        <v>4</v>
      </c>
      <c r="I390" s="543" t="s">
        <v>199</v>
      </c>
      <c r="J390" s="543" t="s">
        <v>199</v>
      </c>
      <c r="K390" s="449" t="s">
        <v>488</v>
      </c>
    </row>
    <row r="391" spans="1:11" ht="45" x14ac:dyDescent="0.25">
      <c r="A391" s="449" t="s">
        <v>169</v>
      </c>
      <c r="B391" s="449"/>
      <c r="C391" s="542" t="s">
        <v>492</v>
      </c>
      <c r="D391" s="542" t="s">
        <v>492</v>
      </c>
      <c r="E391" s="448"/>
      <c r="F391" s="452" t="s">
        <v>536</v>
      </c>
      <c r="G391" s="452" t="s">
        <v>75</v>
      </c>
      <c r="H391" s="449" t="s">
        <v>5</v>
      </c>
      <c r="I391" s="543" t="s">
        <v>493</v>
      </c>
      <c r="J391" s="543" t="s">
        <v>493</v>
      </c>
      <c r="K391" s="449" t="s">
        <v>494</v>
      </c>
    </row>
    <row r="392" spans="1:11" ht="56.25" x14ac:dyDescent="0.25">
      <c r="A392" s="449" t="s">
        <v>27</v>
      </c>
      <c r="B392" s="449"/>
      <c r="C392" s="542" t="s">
        <v>80</v>
      </c>
      <c r="D392" s="542" t="s">
        <v>80</v>
      </c>
      <c r="E392" s="448"/>
      <c r="F392" s="452" t="s">
        <v>516</v>
      </c>
      <c r="G392" s="452" t="s">
        <v>89</v>
      </c>
      <c r="H392" s="449" t="s">
        <v>4</v>
      </c>
      <c r="I392" s="543" t="s">
        <v>199</v>
      </c>
      <c r="J392" s="543" t="s">
        <v>199</v>
      </c>
      <c r="K392" s="449" t="s">
        <v>488</v>
      </c>
    </row>
    <row r="393" spans="1:11" ht="56.25" x14ac:dyDescent="0.25">
      <c r="A393" s="449" t="s">
        <v>170</v>
      </c>
      <c r="B393" s="449"/>
      <c r="C393" s="542" t="s">
        <v>66</v>
      </c>
      <c r="D393" s="542" t="s">
        <v>66</v>
      </c>
      <c r="E393" s="448"/>
      <c r="F393" s="452" t="s">
        <v>477</v>
      </c>
      <c r="G393" s="452" t="s">
        <v>59</v>
      </c>
      <c r="H393" s="449" t="s">
        <v>4</v>
      </c>
      <c r="I393" s="543" t="s">
        <v>199</v>
      </c>
      <c r="J393" s="543" t="s">
        <v>199</v>
      </c>
      <c r="K393" s="449" t="s">
        <v>488</v>
      </c>
    </row>
    <row r="397" spans="1:11" x14ac:dyDescent="0.25">
      <c r="A397" s="544" t="s">
        <v>547</v>
      </c>
      <c r="B397" s="544"/>
      <c r="C397" s="544" t="s">
        <v>499</v>
      </c>
      <c r="D397" s="544" t="s">
        <v>499</v>
      </c>
      <c r="E397" s="544"/>
      <c r="F397" s="544" t="s">
        <v>499</v>
      </c>
      <c r="G397" s="544" t="s">
        <v>499</v>
      </c>
      <c r="H397" s="544" t="s">
        <v>499</v>
      </c>
      <c r="I397" s="544" t="s">
        <v>499</v>
      </c>
      <c r="J397" s="544" t="s">
        <v>499</v>
      </c>
      <c r="K397" s="544" t="s">
        <v>499</v>
      </c>
    </row>
    <row r="398" spans="1:11" ht="73.5" x14ac:dyDescent="0.25">
      <c r="A398" s="447" t="s">
        <v>0</v>
      </c>
      <c r="B398" s="447"/>
      <c r="C398" s="545" t="s">
        <v>1</v>
      </c>
      <c r="D398" s="545" t="s">
        <v>1</v>
      </c>
      <c r="E398" s="447"/>
      <c r="F398" s="450" t="s">
        <v>481</v>
      </c>
      <c r="G398" s="450" t="s">
        <v>482</v>
      </c>
      <c r="H398" s="447" t="s">
        <v>483</v>
      </c>
      <c r="I398" s="545" t="s">
        <v>3</v>
      </c>
      <c r="J398" s="545" t="s">
        <v>3</v>
      </c>
      <c r="K398" s="447" t="s">
        <v>484</v>
      </c>
    </row>
    <row r="399" spans="1:11" x14ac:dyDescent="0.25">
      <c r="A399" s="447" t="s">
        <v>4</v>
      </c>
      <c r="B399" s="447"/>
      <c r="C399" s="545" t="s">
        <v>5</v>
      </c>
      <c r="D399" s="545" t="s">
        <v>5</v>
      </c>
      <c r="E399" s="447"/>
      <c r="F399" s="450" t="s">
        <v>6</v>
      </c>
      <c r="G399" s="450" t="s">
        <v>12</v>
      </c>
      <c r="H399" s="447" t="s">
        <v>7</v>
      </c>
      <c r="I399" s="545" t="s">
        <v>167</v>
      </c>
      <c r="J399" s="545" t="s">
        <v>167</v>
      </c>
      <c r="K399" s="447" t="s">
        <v>168</v>
      </c>
    </row>
    <row r="400" spans="1:11" ht="45" x14ac:dyDescent="0.25">
      <c r="A400" s="449" t="s">
        <v>4</v>
      </c>
      <c r="B400" s="449"/>
      <c r="C400" s="542" t="s">
        <v>485</v>
      </c>
      <c r="D400" s="542" t="s">
        <v>485</v>
      </c>
      <c r="E400" s="448"/>
      <c r="F400" s="452">
        <v>6.2</v>
      </c>
      <c r="G400" s="452" t="s">
        <v>142</v>
      </c>
      <c r="H400" s="449" t="s">
        <v>4</v>
      </c>
      <c r="I400" s="543" t="s">
        <v>198</v>
      </c>
      <c r="J400" s="543" t="s">
        <v>198</v>
      </c>
      <c r="K400" s="449" t="s">
        <v>486</v>
      </c>
    </row>
    <row r="401" spans="1:11" ht="56.25" x14ac:dyDescent="0.25">
      <c r="A401" s="449" t="s">
        <v>5</v>
      </c>
      <c r="B401" s="449"/>
      <c r="C401" s="542" t="s">
        <v>137</v>
      </c>
      <c r="D401" s="542" t="s">
        <v>137</v>
      </c>
      <c r="E401" s="448"/>
      <c r="F401" s="452">
        <v>5.0000000000000001E-3</v>
      </c>
      <c r="G401" s="452" t="s">
        <v>83</v>
      </c>
      <c r="H401" s="449" t="s">
        <v>4</v>
      </c>
      <c r="I401" s="543" t="s">
        <v>199</v>
      </c>
      <c r="J401" s="543" t="s">
        <v>199</v>
      </c>
      <c r="K401" s="449" t="s">
        <v>487</v>
      </c>
    </row>
    <row r="402" spans="1:11" ht="56.25" x14ac:dyDescent="0.25">
      <c r="A402" s="449" t="s">
        <v>6</v>
      </c>
      <c r="B402" s="449"/>
      <c r="C402" s="542" t="s">
        <v>132</v>
      </c>
      <c r="D402" s="542" t="s">
        <v>132</v>
      </c>
      <c r="E402" s="448"/>
      <c r="F402" s="452">
        <v>0.14000000000000001</v>
      </c>
      <c r="G402" s="452" t="s">
        <v>569</v>
      </c>
      <c r="H402" s="449" t="s">
        <v>4</v>
      </c>
      <c r="I402" s="543" t="s">
        <v>199</v>
      </c>
      <c r="J402" s="543" t="s">
        <v>199</v>
      </c>
      <c r="K402" s="449" t="s">
        <v>488</v>
      </c>
    </row>
    <row r="403" spans="1:11" ht="56.25" x14ac:dyDescent="0.25">
      <c r="A403" s="449" t="s">
        <v>12</v>
      </c>
      <c r="B403" s="449"/>
      <c r="C403" s="542" t="s">
        <v>110</v>
      </c>
      <c r="D403" s="542" t="s">
        <v>110</v>
      </c>
      <c r="E403" s="448"/>
      <c r="F403" s="452" t="s">
        <v>239</v>
      </c>
      <c r="G403" s="452" t="s">
        <v>63</v>
      </c>
      <c r="H403" s="449" t="s">
        <v>4</v>
      </c>
      <c r="I403" s="543" t="s">
        <v>199</v>
      </c>
      <c r="J403" s="543" t="s">
        <v>199</v>
      </c>
      <c r="K403" s="449" t="s">
        <v>488</v>
      </c>
    </row>
    <row r="404" spans="1:11" ht="56.25" x14ac:dyDescent="0.25">
      <c r="A404" s="449" t="s">
        <v>7</v>
      </c>
      <c r="B404" s="449"/>
      <c r="C404" s="542" t="s">
        <v>107</v>
      </c>
      <c r="D404" s="542" t="s">
        <v>107</v>
      </c>
      <c r="E404" s="448"/>
      <c r="F404" s="452">
        <v>0.6</v>
      </c>
      <c r="G404" s="452" t="s">
        <v>103</v>
      </c>
      <c r="H404" s="449" t="s">
        <v>4</v>
      </c>
      <c r="I404" s="543" t="s">
        <v>199</v>
      </c>
      <c r="J404" s="543" t="s">
        <v>199</v>
      </c>
      <c r="K404" s="449" t="s">
        <v>488</v>
      </c>
    </row>
    <row r="405" spans="1:11" ht="45" x14ac:dyDescent="0.25">
      <c r="A405" s="449" t="s">
        <v>167</v>
      </c>
      <c r="B405" s="449"/>
      <c r="C405" s="542" t="s">
        <v>99</v>
      </c>
      <c r="D405" s="542" t="s">
        <v>99</v>
      </c>
      <c r="E405" s="448"/>
      <c r="F405" s="452">
        <v>50</v>
      </c>
      <c r="G405" s="452" t="s">
        <v>83</v>
      </c>
      <c r="H405" s="449" t="s">
        <v>5</v>
      </c>
      <c r="I405" s="543" t="s">
        <v>199</v>
      </c>
      <c r="J405" s="543" t="s">
        <v>199</v>
      </c>
      <c r="K405" s="449" t="s">
        <v>491</v>
      </c>
    </row>
    <row r="406" spans="1:11" ht="56.25" x14ac:dyDescent="0.25">
      <c r="A406" s="449" t="s">
        <v>168</v>
      </c>
      <c r="B406" s="449"/>
      <c r="C406" s="542" t="s">
        <v>93</v>
      </c>
      <c r="D406" s="542" t="s">
        <v>93</v>
      </c>
      <c r="E406" s="448"/>
      <c r="F406" s="452">
        <v>3.5</v>
      </c>
      <c r="G406" s="452" t="s">
        <v>61</v>
      </c>
      <c r="H406" s="449" t="s">
        <v>4</v>
      </c>
      <c r="I406" s="543" t="s">
        <v>199</v>
      </c>
      <c r="J406" s="543" t="s">
        <v>199</v>
      </c>
      <c r="K406" s="449" t="s">
        <v>488</v>
      </c>
    </row>
    <row r="407" spans="1:11" ht="45" x14ac:dyDescent="0.25">
      <c r="A407" s="449" t="s">
        <v>169</v>
      </c>
      <c r="B407" s="449"/>
      <c r="C407" s="542" t="s">
        <v>492</v>
      </c>
      <c r="D407" s="542" t="s">
        <v>492</v>
      </c>
      <c r="E407" s="448"/>
      <c r="F407" s="452" t="s">
        <v>536</v>
      </c>
      <c r="G407" s="452" t="s">
        <v>75</v>
      </c>
      <c r="H407" s="449" t="s">
        <v>5</v>
      </c>
      <c r="I407" s="543" t="s">
        <v>493</v>
      </c>
      <c r="J407" s="543" t="s">
        <v>493</v>
      </c>
      <c r="K407" s="449" t="s">
        <v>494</v>
      </c>
    </row>
    <row r="408" spans="1:11" ht="56.25" x14ac:dyDescent="0.25">
      <c r="A408" s="449" t="s">
        <v>27</v>
      </c>
      <c r="B408" s="449"/>
      <c r="C408" s="542" t="s">
        <v>80</v>
      </c>
      <c r="D408" s="542" t="s">
        <v>80</v>
      </c>
      <c r="E408" s="448"/>
      <c r="F408" s="452" t="s">
        <v>516</v>
      </c>
      <c r="G408" s="452" t="s">
        <v>89</v>
      </c>
      <c r="H408" s="449" t="s">
        <v>4</v>
      </c>
      <c r="I408" s="543" t="s">
        <v>199</v>
      </c>
      <c r="J408" s="543" t="s">
        <v>199</v>
      </c>
      <c r="K408" s="449" t="s">
        <v>488</v>
      </c>
    </row>
    <row r="409" spans="1:11" ht="56.25" x14ac:dyDescent="0.25">
      <c r="A409" s="449" t="s">
        <v>170</v>
      </c>
      <c r="B409" s="449"/>
      <c r="C409" s="542" t="s">
        <v>66</v>
      </c>
      <c r="D409" s="542" t="s">
        <v>66</v>
      </c>
      <c r="E409" s="448"/>
      <c r="F409" s="452" t="s">
        <v>477</v>
      </c>
      <c r="G409" s="452" t="s">
        <v>59</v>
      </c>
      <c r="H409" s="449" t="s">
        <v>4</v>
      </c>
      <c r="I409" s="543" t="s">
        <v>199</v>
      </c>
      <c r="J409" s="543" t="s">
        <v>199</v>
      </c>
      <c r="K409" s="449" t="s">
        <v>488</v>
      </c>
    </row>
    <row r="410" spans="1:11" x14ac:dyDescent="0.25">
      <c r="A410" s="166"/>
      <c r="B410" s="154"/>
      <c r="C410" s="154"/>
      <c r="D410" s="154"/>
      <c r="E410" s="154"/>
      <c r="F410" s="154"/>
      <c r="G410" s="154"/>
      <c r="H410" s="154"/>
      <c r="I410" s="154"/>
      <c r="J410" s="154"/>
    </row>
    <row r="411" spans="1:11" x14ac:dyDescent="0.25">
      <c r="A411" s="544" t="s">
        <v>534</v>
      </c>
      <c r="B411" s="544"/>
      <c r="C411" s="544" t="s">
        <v>499</v>
      </c>
      <c r="D411" s="544" t="s">
        <v>499</v>
      </c>
      <c r="E411" s="544"/>
      <c r="F411" s="544" t="s">
        <v>499</v>
      </c>
      <c r="G411" s="544" t="s">
        <v>499</v>
      </c>
      <c r="H411" s="544" t="s">
        <v>499</v>
      </c>
      <c r="I411" s="544" t="s">
        <v>499</v>
      </c>
      <c r="J411" s="544" t="s">
        <v>499</v>
      </c>
      <c r="K411" s="544" t="s">
        <v>499</v>
      </c>
    </row>
    <row r="412" spans="1:11" ht="73.5" x14ac:dyDescent="0.25">
      <c r="A412" s="447" t="s">
        <v>0</v>
      </c>
      <c r="B412" s="447"/>
      <c r="C412" s="545" t="s">
        <v>1</v>
      </c>
      <c r="D412" s="545" t="s">
        <v>1</v>
      </c>
      <c r="E412" s="447"/>
      <c r="F412" s="450" t="s">
        <v>481</v>
      </c>
      <c r="G412" s="450" t="s">
        <v>482</v>
      </c>
      <c r="H412" s="447" t="s">
        <v>483</v>
      </c>
      <c r="I412" s="545" t="s">
        <v>3</v>
      </c>
      <c r="J412" s="545" t="s">
        <v>3</v>
      </c>
      <c r="K412" s="447" t="s">
        <v>484</v>
      </c>
    </row>
    <row r="413" spans="1:11" x14ac:dyDescent="0.25">
      <c r="A413" s="447" t="s">
        <v>4</v>
      </c>
      <c r="B413" s="447"/>
      <c r="C413" s="545" t="s">
        <v>5</v>
      </c>
      <c r="D413" s="545" t="s">
        <v>5</v>
      </c>
      <c r="E413" s="447"/>
      <c r="F413" s="450" t="s">
        <v>6</v>
      </c>
      <c r="G413" s="450" t="s">
        <v>12</v>
      </c>
      <c r="H413" s="447" t="s">
        <v>7</v>
      </c>
      <c r="I413" s="545" t="s">
        <v>167</v>
      </c>
      <c r="J413" s="545" t="s">
        <v>167</v>
      </c>
      <c r="K413" s="447" t="s">
        <v>168</v>
      </c>
    </row>
    <row r="414" spans="1:11" ht="45" x14ac:dyDescent="0.25">
      <c r="A414" s="449" t="s">
        <v>4</v>
      </c>
      <c r="B414" s="449"/>
      <c r="C414" s="542" t="s">
        <v>485</v>
      </c>
      <c r="D414" s="542" t="s">
        <v>485</v>
      </c>
      <c r="E414" s="448"/>
      <c r="F414" s="452">
        <v>6.2</v>
      </c>
      <c r="G414" s="452" t="s">
        <v>142</v>
      </c>
      <c r="H414" s="449" t="s">
        <v>4</v>
      </c>
      <c r="I414" s="543" t="s">
        <v>198</v>
      </c>
      <c r="J414" s="543" t="s">
        <v>198</v>
      </c>
      <c r="K414" s="449" t="s">
        <v>486</v>
      </c>
    </row>
    <row r="415" spans="1:11" ht="56.25" x14ac:dyDescent="0.25">
      <c r="A415" s="449" t="s">
        <v>5</v>
      </c>
      <c r="B415" s="449"/>
      <c r="C415" s="542" t="s">
        <v>137</v>
      </c>
      <c r="D415" s="542" t="s">
        <v>137</v>
      </c>
      <c r="E415" s="448"/>
      <c r="F415" s="452">
        <v>5.0000000000000001E-3</v>
      </c>
      <c r="G415" s="452" t="s">
        <v>83</v>
      </c>
      <c r="H415" s="449" t="s">
        <v>4</v>
      </c>
      <c r="I415" s="543" t="s">
        <v>199</v>
      </c>
      <c r="J415" s="543" t="s">
        <v>199</v>
      </c>
      <c r="K415" s="449" t="s">
        <v>487</v>
      </c>
    </row>
    <row r="416" spans="1:11" ht="56.25" x14ac:dyDescent="0.25">
      <c r="A416" s="449" t="s">
        <v>6</v>
      </c>
      <c r="B416" s="449"/>
      <c r="C416" s="542" t="s">
        <v>132</v>
      </c>
      <c r="D416" s="542" t="s">
        <v>132</v>
      </c>
      <c r="E416" s="448"/>
      <c r="F416" s="452">
        <v>0.14000000000000001</v>
      </c>
      <c r="G416" s="452" t="s">
        <v>569</v>
      </c>
      <c r="H416" s="449" t="s">
        <v>4</v>
      </c>
      <c r="I416" s="543" t="s">
        <v>199</v>
      </c>
      <c r="J416" s="543" t="s">
        <v>199</v>
      </c>
      <c r="K416" s="449" t="s">
        <v>488</v>
      </c>
    </row>
    <row r="417" spans="1:11" ht="56.25" x14ac:dyDescent="0.25">
      <c r="A417" s="449" t="s">
        <v>12</v>
      </c>
      <c r="B417" s="449"/>
      <c r="C417" s="542" t="s">
        <v>110</v>
      </c>
      <c r="D417" s="542" t="s">
        <v>110</v>
      </c>
      <c r="E417" s="448"/>
      <c r="F417" s="452" t="s">
        <v>239</v>
      </c>
      <c r="G417" s="452" t="s">
        <v>63</v>
      </c>
      <c r="H417" s="449" t="s">
        <v>4</v>
      </c>
      <c r="I417" s="543" t="s">
        <v>199</v>
      </c>
      <c r="J417" s="543" t="s">
        <v>199</v>
      </c>
      <c r="K417" s="449" t="s">
        <v>488</v>
      </c>
    </row>
    <row r="418" spans="1:11" ht="56.25" x14ac:dyDescent="0.25">
      <c r="A418" s="449" t="s">
        <v>7</v>
      </c>
      <c r="B418" s="449"/>
      <c r="C418" s="542" t="s">
        <v>107</v>
      </c>
      <c r="D418" s="542" t="s">
        <v>107</v>
      </c>
      <c r="E418" s="448"/>
      <c r="F418" s="452">
        <v>0.6</v>
      </c>
      <c r="G418" s="452" t="s">
        <v>103</v>
      </c>
      <c r="H418" s="449" t="s">
        <v>4</v>
      </c>
      <c r="I418" s="543" t="s">
        <v>199</v>
      </c>
      <c r="J418" s="543" t="s">
        <v>199</v>
      </c>
      <c r="K418" s="449" t="s">
        <v>488</v>
      </c>
    </row>
    <row r="419" spans="1:11" ht="45" x14ac:dyDescent="0.25">
      <c r="A419" s="449" t="s">
        <v>167</v>
      </c>
      <c r="B419" s="449"/>
      <c r="C419" s="542" t="s">
        <v>99</v>
      </c>
      <c r="D419" s="542" t="s">
        <v>99</v>
      </c>
      <c r="E419" s="448"/>
      <c r="F419" s="452">
        <v>50</v>
      </c>
      <c r="G419" s="452" t="s">
        <v>83</v>
      </c>
      <c r="H419" s="449" t="s">
        <v>5</v>
      </c>
      <c r="I419" s="543" t="s">
        <v>199</v>
      </c>
      <c r="J419" s="543" t="s">
        <v>199</v>
      </c>
      <c r="K419" s="449" t="s">
        <v>491</v>
      </c>
    </row>
    <row r="420" spans="1:11" ht="56.25" x14ac:dyDescent="0.25">
      <c r="A420" s="449" t="s">
        <v>168</v>
      </c>
      <c r="B420" s="449"/>
      <c r="C420" s="542" t="s">
        <v>93</v>
      </c>
      <c r="D420" s="542" t="s">
        <v>93</v>
      </c>
      <c r="E420" s="448"/>
      <c r="F420" s="452">
        <v>3.5</v>
      </c>
      <c r="G420" s="452" t="s">
        <v>61</v>
      </c>
      <c r="H420" s="449" t="s">
        <v>4</v>
      </c>
      <c r="I420" s="543" t="s">
        <v>199</v>
      </c>
      <c r="J420" s="543" t="s">
        <v>199</v>
      </c>
      <c r="K420" s="449" t="s">
        <v>488</v>
      </c>
    </row>
    <row r="421" spans="1:11" ht="45" x14ac:dyDescent="0.25">
      <c r="A421" s="449" t="s">
        <v>169</v>
      </c>
      <c r="B421" s="449"/>
      <c r="C421" s="542" t="s">
        <v>492</v>
      </c>
      <c r="D421" s="542" t="s">
        <v>492</v>
      </c>
      <c r="E421" s="448"/>
      <c r="F421" s="452" t="s">
        <v>536</v>
      </c>
      <c r="G421" s="452" t="s">
        <v>75</v>
      </c>
      <c r="H421" s="449" t="s">
        <v>5</v>
      </c>
      <c r="I421" s="543" t="s">
        <v>493</v>
      </c>
      <c r="J421" s="543" t="s">
        <v>493</v>
      </c>
      <c r="K421" s="449" t="s">
        <v>494</v>
      </c>
    </row>
    <row r="422" spans="1:11" ht="56.25" x14ac:dyDescent="0.25">
      <c r="A422" s="449" t="s">
        <v>27</v>
      </c>
      <c r="B422" s="449"/>
      <c r="C422" s="542" t="s">
        <v>80</v>
      </c>
      <c r="D422" s="542" t="s">
        <v>80</v>
      </c>
      <c r="E422" s="448"/>
      <c r="F422" s="452" t="s">
        <v>516</v>
      </c>
      <c r="G422" s="452" t="s">
        <v>89</v>
      </c>
      <c r="H422" s="449" t="s">
        <v>4</v>
      </c>
      <c r="I422" s="543" t="s">
        <v>199</v>
      </c>
      <c r="J422" s="543" t="s">
        <v>199</v>
      </c>
      <c r="K422" s="449" t="s">
        <v>488</v>
      </c>
    </row>
    <row r="423" spans="1:11" ht="56.25" x14ac:dyDescent="0.25">
      <c r="A423" s="449" t="s">
        <v>170</v>
      </c>
      <c r="B423" s="449"/>
      <c r="C423" s="542" t="s">
        <v>66</v>
      </c>
      <c r="D423" s="542" t="s">
        <v>66</v>
      </c>
      <c r="E423" s="448"/>
      <c r="F423" s="452" t="s">
        <v>477</v>
      </c>
      <c r="G423" s="452" t="s">
        <v>59</v>
      </c>
      <c r="H423" s="449" t="s">
        <v>4</v>
      </c>
      <c r="I423" s="543" t="s">
        <v>199</v>
      </c>
      <c r="J423" s="543" t="s">
        <v>199</v>
      </c>
      <c r="K423" s="449" t="s">
        <v>488</v>
      </c>
    </row>
    <row r="424" spans="1:11" x14ac:dyDescent="0.25">
      <c r="A424" s="166"/>
      <c r="B424" s="154"/>
      <c r="C424" s="154"/>
      <c r="D424" s="154"/>
      <c r="E424" s="154"/>
      <c r="F424" s="154"/>
      <c r="G424" s="154"/>
      <c r="H424" s="154"/>
      <c r="I424" s="154"/>
      <c r="J424" s="154"/>
    </row>
    <row r="425" spans="1:11" x14ac:dyDescent="0.25">
      <c r="A425" s="544" t="s">
        <v>548</v>
      </c>
      <c r="B425" s="544"/>
      <c r="C425" s="544" t="s">
        <v>499</v>
      </c>
      <c r="D425" s="544" t="s">
        <v>499</v>
      </c>
      <c r="E425" s="544"/>
      <c r="F425" s="544" t="s">
        <v>499</v>
      </c>
      <c r="G425" s="544" t="s">
        <v>499</v>
      </c>
      <c r="H425" s="544" t="s">
        <v>499</v>
      </c>
      <c r="I425" s="544" t="s">
        <v>499</v>
      </c>
      <c r="J425" s="544" t="s">
        <v>499</v>
      </c>
      <c r="K425" s="544" t="s">
        <v>499</v>
      </c>
    </row>
    <row r="426" spans="1:11" ht="73.5" x14ac:dyDescent="0.25">
      <c r="A426" s="447" t="s">
        <v>0</v>
      </c>
      <c r="B426" s="447"/>
      <c r="C426" s="545" t="s">
        <v>1</v>
      </c>
      <c r="D426" s="545" t="s">
        <v>1</v>
      </c>
      <c r="E426" s="447"/>
      <c r="F426" s="450" t="s">
        <v>481</v>
      </c>
      <c r="G426" s="450" t="s">
        <v>482</v>
      </c>
      <c r="H426" s="447" t="s">
        <v>483</v>
      </c>
      <c r="I426" s="545" t="s">
        <v>3</v>
      </c>
      <c r="J426" s="545" t="s">
        <v>3</v>
      </c>
      <c r="K426" s="447" t="s">
        <v>484</v>
      </c>
    </row>
    <row r="427" spans="1:11" x14ac:dyDescent="0.25">
      <c r="A427" s="447" t="s">
        <v>4</v>
      </c>
      <c r="B427" s="447"/>
      <c r="C427" s="545" t="s">
        <v>5</v>
      </c>
      <c r="D427" s="545" t="s">
        <v>5</v>
      </c>
      <c r="E427" s="447"/>
      <c r="F427" s="450" t="s">
        <v>6</v>
      </c>
      <c r="G427" s="450" t="s">
        <v>12</v>
      </c>
      <c r="H427" s="447" t="s">
        <v>7</v>
      </c>
      <c r="I427" s="545" t="s">
        <v>167</v>
      </c>
      <c r="J427" s="545" t="s">
        <v>167</v>
      </c>
      <c r="K427" s="447" t="s">
        <v>168</v>
      </c>
    </row>
    <row r="428" spans="1:11" ht="45" x14ac:dyDescent="0.25">
      <c r="A428" s="449" t="s">
        <v>4</v>
      </c>
      <c r="B428" s="449"/>
      <c r="C428" s="542" t="s">
        <v>485</v>
      </c>
      <c r="D428" s="542" t="s">
        <v>485</v>
      </c>
      <c r="E428" s="448"/>
      <c r="F428" s="452">
        <v>6.2</v>
      </c>
      <c r="G428" s="452" t="s">
        <v>142</v>
      </c>
      <c r="H428" s="449" t="s">
        <v>4</v>
      </c>
      <c r="I428" s="543" t="s">
        <v>198</v>
      </c>
      <c r="J428" s="543" t="s">
        <v>198</v>
      </c>
      <c r="K428" s="449" t="s">
        <v>486</v>
      </c>
    </row>
    <row r="429" spans="1:11" ht="56.25" x14ac:dyDescent="0.25">
      <c r="A429" s="449" t="s">
        <v>5</v>
      </c>
      <c r="B429" s="449"/>
      <c r="C429" s="542" t="s">
        <v>137</v>
      </c>
      <c r="D429" s="542" t="s">
        <v>137</v>
      </c>
      <c r="E429" s="448"/>
      <c r="F429" s="452">
        <v>5.0000000000000001E-3</v>
      </c>
      <c r="G429" s="452" t="s">
        <v>83</v>
      </c>
      <c r="H429" s="449" t="s">
        <v>4</v>
      </c>
      <c r="I429" s="543" t="s">
        <v>199</v>
      </c>
      <c r="J429" s="543" t="s">
        <v>199</v>
      </c>
      <c r="K429" s="449" t="s">
        <v>487</v>
      </c>
    </row>
    <row r="430" spans="1:11" ht="56.25" x14ac:dyDescent="0.25">
      <c r="A430" s="449" t="s">
        <v>6</v>
      </c>
      <c r="B430" s="449"/>
      <c r="C430" s="542" t="s">
        <v>132</v>
      </c>
      <c r="D430" s="542" t="s">
        <v>132</v>
      </c>
      <c r="E430" s="448"/>
      <c r="F430" s="452">
        <v>0.14000000000000001</v>
      </c>
      <c r="G430" s="452" t="s">
        <v>569</v>
      </c>
      <c r="H430" s="449" t="s">
        <v>4</v>
      </c>
      <c r="I430" s="543" t="s">
        <v>199</v>
      </c>
      <c r="J430" s="543" t="s">
        <v>199</v>
      </c>
      <c r="K430" s="449" t="s">
        <v>488</v>
      </c>
    </row>
    <row r="431" spans="1:11" ht="56.25" x14ac:dyDescent="0.25">
      <c r="A431" s="449" t="s">
        <v>12</v>
      </c>
      <c r="B431" s="449"/>
      <c r="C431" s="542" t="s">
        <v>110</v>
      </c>
      <c r="D431" s="542" t="s">
        <v>110</v>
      </c>
      <c r="E431" s="448"/>
      <c r="F431" s="452" t="s">
        <v>239</v>
      </c>
      <c r="G431" s="452" t="s">
        <v>63</v>
      </c>
      <c r="H431" s="449" t="s">
        <v>4</v>
      </c>
      <c r="I431" s="543" t="s">
        <v>199</v>
      </c>
      <c r="J431" s="543" t="s">
        <v>199</v>
      </c>
      <c r="K431" s="449" t="s">
        <v>488</v>
      </c>
    </row>
    <row r="432" spans="1:11" ht="56.25" x14ac:dyDescent="0.25">
      <c r="A432" s="449" t="s">
        <v>7</v>
      </c>
      <c r="B432" s="449"/>
      <c r="C432" s="542" t="s">
        <v>107</v>
      </c>
      <c r="D432" s="542" t="s">
        <v>107</v>
      </c>
      <c r="E432" s="448"/>
      <c r="F432" s="452">
        <v>0.6</v>
      </c>
      <c r="G432" s="452" t="s">
        <v>103</v>
      </c>
      <c r="H432" s="449" t="s">
        <v>4</v>
      </c>
      <c r="I432" s="543" t="s">
        <v>199</v>
      </c>
      <c r="J432" s="543" t="s">
        <v>199</v>
      </c>
      <c r="K432" s="449" t="s">
        <v>488</v>
      </c>
    </row>
    <row r="433" spans="1:11" ht="45" x14ac:dyDescent="0.25">
      <c r="A433" s="449" t="s">
        <v>167</v>
      </c>
      <c r="B433" s="449"/>
      <c r="C433" s="542" t="s">
        <v>99</v>
      </c>
      <c r="D433" s="542" t="s">
        <v>99</v>
      </c>
      <c r="E433" s="448"/>
      <c r="F433" s="452">
        <v>50</v>
      </c>
      <c r="G433" s="452" t="s">
        <v>83</v>
      </c>
      <c r="H433" s="449" t="s">
        <v>5</v>
      </c>
      <c r="I433" s="543" t="s">
        <v>199</v>
      </c>
      <c r="J433" s="543" t="s">
        <v>199</v>
      </c>
      <c r="K433" s="449" t="s">
        <v>491</v>
      </c>
    </row>
    <row r="434" spans="1:11" ht="56.25" x14ac:dyDescent="0.25">
      <c r="A434" s="449" t="s">
        <v>168</v>
      </c>
      <c r="B434" s="449"/>
      <c r="C434" s="542" t="s">
        <v>93</v>
      </c>
      <c r="D434" s="542" t="s">
        <v>93</v>
      </c>
      <c r="E434" s="448"/>
      <c r="F434" s="452">
        <v>3.5</v>
      </c>
      <c r="G434" s="452" t="s">
        <v>61</v>
      </c>
      <c r="H434" s="449" t="s">
        <v>4</v>
      </c>
      <c r="I434" s="543" t="s">
        <v>199</v>
      </c>
      <c r="J434" s="543" t="s">
        <v>199</v>
      </c>
      <c r="K434" s="449" t="s">
        <v>488</v>
      </c>
    </row>
    <row r="435" spans="1:11" ht="45" x14ac:dyDescent="0.25">
      <c r="A435" s="449" t="s">
        <v>169</v>
      </c>
      <c r="B435" s="449"/>
      <c r="C435" s="542" t="s">
        <v>492</v>
      </c>
      <c r="D435" s="542" t="s">
        <v>492</v>
      </c>
      <c r="E435" s="448"/>
      <c r="F435" s="452" t="s">
        <v>536</v>
      </c>
      <c r="G435" s="452" t="s">
        <v>75</v>
      </c>
      <c r="H435" s="449" t="s">
        <v>5</v>
      </c>
      <c r="I435" s="543" t="s">
        <v>493</v>
      </c>
      <c r="J435" s="543" t="s">
        <v>493</v>
      </c>
      <c r="K435" s="449" t="s">
        <v>494</v>
      </c>
    </row>
    <row r="436" spans="1:11" ht="56.25" x14ac:dyDescent="0.25">
      <c r="A436" s="449" t="s">
        <v>27</v>
      </c>
      <c r="B436" s="449"/>
      <c r="C436" s="542" t="s">
        <v>80</v>
      </c>
      <c r="D436" s="542" t="s">
        <v>80</v>
      </c>
      <c r="E436" s="448"/>
      <c r="F436" s="452" t="s">
        <v>516</v>
      </c>
      <c r="G436" s="452" t="s">
        <v>89</v>
      </c>
      <c r="H436" s="449" t="s">
        <v>4</v>
      </c>
      <c r="I436" s="543" t="s">
        <v>199</v>
      </c>
      <c r="J436" s="543" t="s">
        <v>199</v>
      </c>
      <c r="K436" s="449" t="s">
        <v>488</v>
      </c>
    </row>
    <row r="437" spans="1:11" ht="56.25" x14ac:dyDescent="0.25">
      <c r="A437" s="449" t="s">
        <v>170</v>
      </c>
      <c r="B437" s="449"/>
      <c r="C437" s="542" t="s">
        <v>66</v>
      </c>
      <c r="D437" s="542" t="s">
        <v>66</v>
      </c>
      <c r="E437" s="448"/>
      <c r="F437" s="452" t="s">
        <v>477</v>
      </c>
      <c r="G437" s="452" t="s">
        <v>59</v>
      </c>
      <c r="H437" s="449" t="s">
        <v>4</v>
      </c>
      <c r="I437" s="543" t="s">
        <v>199</v>
      </c>
      <c r="J437" s="543" t="s">
        <v>199</v>
      </c>
      <c r="K437" s="449" t="s">
        <v>488</v>
      </c>
    </row>
    <row r="441" spans="1:11" x14ac:dyDescent="0.25">
      <c r="A441" s="549" t="s">
        <v>477</v>
      </c>
      <c r="B441" s="549" t="s">
        <v>195</v>
      </c>
      <c r="C441" s="549" t="s">
        <v>195</v>
      </c>
      <c r="D441" s="549" t="s">
        <v>195</v>
      </c>
      <c r="E441" s="549" t="s">
        <v>195</v>
      </c>
      <c r="F441" s="288"/>
      <c r="G441" s="288"/>
      <c r="H441" s="288"/>
      <c r="I441" s="288"/>
      <c r="J441" s="288"/>
    </row>
    <row r="442" spans="1:11" x14ac:dyDescent="0.25">
      <c r="A442" s="547" t="s">
        <v>0</v>
      </c>
      <c r="B442" s="547" t="s">
        <v>0</v>
      </c>
      <c r="C442" s="547" t="s">
        <v>1</v>
      </c>
      <c r="D442" s="547" t="s">
        <v>1</v>
      </c>
      <c r="E442" s="547" t="s">
        <v>2</v>
      </c>
      <c r="F442" s="547" t="s">
        <v>2</v>
      </c>
      <c r="G442" s="547" t="s">
        <v>196</v>
      </c>
      <c r="H442" s="547" t="s">
        <v>196</v>
      </c>
      <c r="I442" s="547" t="s">
        <v>3</v>
      </c>
      <c r="J442" s="547" t="s">
        <v>3</v>
      </c>
    </row>
    <row r="443" spans="1:11" x14ac:dyDescent="0.25">
      <c r="A443" s="548" t="s">
        <v>4</v>
      </c>
      <c r="B443" s="548" t="s">
        <v>4</v>
      </c>
      <c r="C443" s="548" t="s">
        <v>5</v>
      </c>
      <c r="D443" s="548" t="s">
        <v>5</v>
      </c>
      <c r="E443" s="548" t="s">
        <v>6</v>
      </c>
      <c r="F443" s="548" t="s">
        <v>6</v>
      </c>
      <c r="G443" s="548" t="s">
        <v>12</v>
      </c>
      <c r="H443" s="548" t="s">
        <v>12</v>
      </c>
      <c r="I443" s="548" t="s">
        <v>7</v>
      </c>
      <c r="J443" s="548" t="s">
        <v>7</v>
      </c>
    </row>
    <row r="444" spans="1:11" x14ac:dyDescent="0.25">
      <c r="A444" s="546" t="s">
        <v>4</v>
      </c>
      <c r="B444" s="546" t="s">
        <v>4</v>
      </c>
      <c r="C444" s="546" t="s">
        <v>144</v>
      </c>
      <c r="D444" s="546" t="s">
        <v>144</v>
      </c>
      <c r="E444" s="546" t="s">
        <v>210</v>
      </c>
      <c r="F444" s="546" t="s">
        <v>210</v>
      </c>
      <c r="G444" s="546" t="s">
        <v>143</v>
      </c>
      <c r="H444" s="546" t="s">
        <v>197</v>
      </c>
      <c r="I444" s="546" t="s">
        <v>198</v>
      </c>
      <c r="J444" s="546" t="s">
        <v>198</v>
      </c>
    </row>
    <row r="445" spans="1:11" x14ac:dyDescent="0.25">
      <c r="A445" s="546" t="s">
        <v>5</v>
      </c>
      <c r="B445" s="546" t="s">
        <v>5</v>
      </c>
      <c r="C445" s="546" t="s">
        <v>137</v>
      </c>
      <c r="D445" s="546" t="s">
        <v>137</v>
      </c>
      <c r="E445" s="546" t="s">
        <v>211</v>
      </c>
      <c r="F445" s="546" t="s">
        <v>211</v>
      </c>
      <c r="G445" s="546" t="s">
        <v>500</v>
      </c>
      <c r="H445" s="546" t="s">
        <v>212</v>
      </c>
      <c r="I445" s="546" t="s">
        <v>199</v>
      </c>
      <c r="J445" s="546" t="s">
        <v>199</v>
      </c>
    </row>
    <row r="446" spans="1:11" x14ac:dyDescent="0.25">
      <c r="A446" s="546" t="s">
        <v>6</v>
      </c>
      <c r="B446" s="546" t="s">
        <v>6</v>
      </c>
      <c r="C446" s="546" t="s">
        <v>209</v>
      </c>
      <c r="D446" s="546" t="s">
        <v>209</v>
      </c>
      <c r="E446" s="546" t="s">
        <v>213</v>
      </c>
      <c r="F446" s="546" t="s">
        <v>213</v>
      </c>
      <c r="G446" s="546" t="s">
        <v>501</v>
      </c>
      <c r="H446" s="546" t="s">
        <v>214</v>
      </c>
      <c r="I446" s="546" t="s">
        <v>199</v>
      </c>
      <c r="J446" s="546" t="s">
        <v>199</v>
      </c>
    </row>
    <row r="447" spans="1:11" x14ac:dyDescent="0.25">
      <c r="A447" s="546" t="s">
        <v>12</v>
      </c>
      <c r="B447" s="546" t="s">
        <v>12</v>
      </c>
      <c r="C447" s="546" t="s">
        <v>204</v>
      </c>
      <c r="D447" s="546" t="s">
        <v>204</v>
      </c>
      <c r="E447" s="546" t="s">
        <v>215</v>
      </c>
      <c r="F447" s="546" t="s">
        <v>215</v>
      </c>
      <c r="G447" s="546" t="s">
        <v>502</v>
      </c>
      <c r="H447" s="546" t="s">
        <v>216</v>
      </c>
      <c r="I447" s="546" t="s">
        <v>199</v>
      </c>
      <c r="J447" s="546" t="s">
        <v>199</v>
      </c>
    </row>
    <row r="448" spans="1:11" x14ac:dyDescent="0.25">
      <c r="A448" s="546" t="s">
        <v>7</v>
      </c>
      <c r="B448" s="546" t="s">
        <v>7</v>
      </c>
      <c r="C448" s="546" t="s">
        <v>206</v>
      </c>
      <c r="D448" s="546" t="s">
        <v>206</v>
      </c>
      <c r="E448" s="546" t="s">
        <v>217</v>
      </c>
      <c r="F448" s="546" t="s">
        <v>217</v>
      </c>
      <c r="G448" s="546" t="s">
        <v>503</v>
      </c>
      <c r="H448" s="546" t="s">
        <v>218</v>
      </c>
      <c r="I448" s="546" t="s">
        <v>199</v>
      </c>
      <c r="J448" s="546" t="s">
        <v>199</v>
      </c>
    </row>
    <row r="449" spans="1:10" x14ac:dyDescent="0.25">
      <c r="A449" s="546" t="s">
        <v>167</v>
      </c>
      <c r="B449" s="546" t="s">
        <v>167</v>
      </c>
      <c r="C449" s="546" t="s">
        <v>99</v>
      </c>
      <c r="D449" s="546" t="s">
        <v>99</v>
      </c>
      <c r="E449" s="546" t="s">
        <v>219</v>
      </c>
      <c r="F449" s="546" t="s">
        <v>219</v>
      </c>
      <c r="G449" s="546" t="s">
        <v>104</v>
      </c>
      <c r="H449" s="546" t="s">
        <v>104</v>
      </c>
      <c r="I449" s="546" t="s">
        <v>199</v>
      </c>
      <c r="J449" s="546" t="s">
        <v>199</v>
      </c>
    </row>
    <row r="450" spans="1:10" x14ac:dyDescent="0.25">
      <c r="A450" s="546" t="s">
        <v>168</v>
      </c>
      <c r="B450" s="546" t="s">
        <v>168</v>
      </c>
      <c r="C450" s="546" t="s">
        <v>205</v>
      </c>
      <c r="D450" s="546" t="s">
        <v>205</v>
      </c>
      <c r="E450" s="546" t="s">
        <v>79</v>
      </c>
      <c r="F450" s="546" t="s">
        <v>79</v>
      </c>
      <c r="G450" s="546" t="s">
        <v>200</v>
      </c>
      <c r="H450" s="546" t="s">
        <v>200</v>
      </c>
      <c r="I450" s="546" t="s">
        <v>199</v>
      </c>
      <c r="J450" s="546" t="s">
        <v>199</v>
      </c>
    </row>
    <row r="451" spans="1:10" x14ac:dyDescent="0.25">
      <c r="A451" s="546" t="s">
        <v>169</v>
      </c>
      <c r="B451" s="546" t="s">
        <v>169</v>
      </c>
      <c r="C451" s="546" t="s">
        <v>87</v>
      </c>
      <c r="D451" s="546" t="s">
        <v>87</v>
      </c>
      <c r="E451" s="546" t="s">
        <v>220</v>
      </c>
      <c r="F451" s="546" t="s">
        <v>220</v>
      </c>
      <c r="G451" s="546" t="s">
        <v>504</v>
      </c>
      <c r="H451" s="546" t="s">
        <v>221</v>
      </c>
      <c r="I451" s="546" t="s">
        <v>199</v>
      </c>
      <c r="J451" s="546" t="s">
        <v>199</v>
      </c>
    </row>
    <row r="452" spans="1:10" x14ac:dyDescent="0.25">
      <c r="A452" s="546" t="s">
        <v>27</v>
      </c>
      <c r="B452" s="546" t="s">
        <v>27</v>
      </c>
      <c r="C452" s="546" t="s">
        <v>207</v>
      </c>
      <c r="D452" s="546" t="s">
        <v>207</v>
      </c>
      <c r="E452" s="546" t="s">
        <v>201</v>
      </c>
      <c r="F452" s="546" t="s">
        <v>201</v>
      </c>
      <c r="G452" s="546" t="s">
        <v>202</v>
      </c>
      <c r="H452" s="546" t="s">
        <v>202</v>
      </c>
      <c r="I452" s="546" t="s">
        <v>199</v>
      </c>
      <c r="J452" s="546" t="s">
        <v>199</v>
      </c>
    </row>
    <row r="453" spans="1:10" x14ac:dyDescent="0.25">
      <c r="A453" s="546" t="s">
        <v>170</v>
      </c>
      <c r="B453" s="546" t="s">
        <v>170</v>
      </c>
      <c r="C453" s="546" t="s">
        <v>208</v>
      </c>
      <c r="D453" s="546" t="s">
        <v>208</v>
      </c>
      <c r="E453" s="546" t="s">
        <v>222</v>
      </c>
      <c r="F453" s="546" t="s">
        <v>222</v>
      </c>
      <c r="G453" s="546" t="s">
        <v>200</v>
      </c>
      <c r="H453" s="546" t="s">
        <v>200</v>
      </c>
      <c r="I453" s="546" t="s">
        <v>199</v>
      </c>
      <c r="J453" s="546" t="s">
        <v>199</v>
      </c>
    </row>
    <row r="454" spans="1:10" x14ac:dyDescent="0.25">
      <c r="A454" s="161"/>
      <c r="B454" s="162"/>
      <c r="C454" s="162"/>
      <c r="D454" s="162"/>
      <c r="E454" s="162"/>
      <c r="F454" s="162"/>
      <c r="G454" s="162"/>
      <c r="H454" s="162"/>
      <c r="I454" s="162"/>
      <c r="J454" s="162"/>
    </row>
    <row r="455" spans="1:10" x14ac:dyDescent="0.25">
      <c r="A455" s="241">
        <v>32</v>
      </c>
      <c r="B455" s="240"/>
      <c r="C455" s="154"/>
      <c r="D455" s="154"/>
      <c r="E455" s="154"/>
      <c r="F455" s="154"/>
      <c r="G455" s="154"/>
      <c r="H455" s="154"/>
      <c r="I455" s="154"/>
      <c r="J455" s="154"/>
    </row>
    <row r="456" spans="1:10" ht="71.25" x14ac:dyDescent="0.25">
      <c r="A456" s="164" t="s">
        <v>0</v>
      </c>
      <c r="B456" s="268"/>
      <c r="C456" s="155" t="s">
        <v>1</v>
      </c>
      <c r="D456" s="155"/>
      <c r="E456" s="155" t="s">
        <v>2</v>
      </c>
      <c r="F456" s="155"/>
      <c r="G456" s="155" t="s">
        <v>166</v>
      </c>
      <c r="H456" s="155"/>
      <c r="I456" s="155" t="s">
        <v>3</v>
      </c>
      <c r="J456" s="272"/>
    </row>
    <row r="457" spans="1:10" x14ac:dyDescent="0.25">
      <c r="A457" s="165" t="s">
        <v>4</v>
      </c>
      <c r="B457" s="269"/>
      <c r="C457" s="157" t="s">
        <v>5</v>
      </c>
      <c r="D457" s="157"/>
      <c r="E457" s="157" t="s">
        <v>6</v>
      </c>
      <c r="F457" s="157"/>
      <c r="G457" s="157" t="s">
        <v>12</v>
      </c>
      <c r="H457" s="157"/>
      <c r="I457" s="157" t="s">
        <v>7</v>
      </c>
      <c r="J457" s="273"/>
    </row>
    <row r="458" spans="1:10" ht="24" x14ac:dyDescent="0.25">
      <c r="A458" s="165" t="s">
        <v>4</v>
      </c>
      <c r="B458" s="269"/>
      <c r="C458" s="156" t="s">
        <v>144</v>
      </c>
      <c r="D458" s="156"/>
      <c r="E458" s="156"/>
      <c r="F458" s="156"/>
      <c r="G458" s="156"/>
      <c r="H458" s="156"/>
      <c r="I458" s="156"/>
      <c r="J458" s="274"/>
    </row>
    <row r="459" spans="1:10" ht="24" x14ac:dyDescent="0.25">
      <c r="A459" s="165" t="s">
        <v>5</v>
      </c>
      <c r="B459" s="269"/>
      <c r="C459" s="156" t="s">
        <v>137</v>
      </c>
      <c r="D459" s="156"/>
      <c r="E459" s="156"/>
      <c r="F459" s="156"/>
      <c r="G459" s="156"/>
      <c r="H459" s="156"/>
      <c r="I459" s="156"/>
      <c r="J459" s="274"/>
    </row>
    <row r="460" spans="1:10" x14ac:dyDescent="0.25">
      <c r="A460" s="165" t="s">
        <v>6</v>
      </c>
      <c r="B460" s="269"/>
      <c r="C460" s="156" t="s">
        <v>132</v>
      </c>
      <c r="D460" s="156"/>
      <c r="E460" s="156">
        <v>1.1000000000000001</v>
      </c>
      <c r="F460" s="156"/>
      <c r="G460" s="156"/>
      <c r="H460" s="156"/>
      <c r="I460" s="156"/>
      <c r="J460" s="274"/>
    </row>
    <row r="461" spans="1:10" x14ac:dyDescent="0.25">
      <c r="A461" s="165" t="s">
        <v>12</v>
      </c>
      <c r="B461" s="269"/>
      <c r="C461" s="156" t="s">
        <v>123</v>
      </c>
      <c r="D461" s="156"/>
      <c r="E461" s="156"/>
      <c r="F461" s="156"/>
      <c r="G461" s="156"/>
      <c r="H461" s="156"/>
      <c r="I461" s="156"/>
      <c r="J461" s="274"/>
    </row>
    <row r="462" spans="1:10" ht="24" x14ac:dyDescent="0.25">
      <c r="A462" s="165" t="s">
        <v>7</v>
      </c>
      <c r="B462" s="269"/>
      <c r="C462" s="156" t="s">
        <v>118</v>
      </c>
      <c r="D462" s="156"/>
      <c r="E462" s="156"/>
      <c r="F462" s="156"/>
      <c r="G462" s="156"/>
      <c r="H462" s="156"/>
      <c r="I462" s="156"/>
      <c r="J462" s="274"/>
    </row>
    <row r="463" spans="1:10" x14ac:dyDescent="0.25">
      <c r="A463" s="165" t="s">
        <v>167</v>
      </c>
      <c r="B463" s="269"/>
      <c r="C463" s="156" t="s">
        <v>110</v>
      </c>
      <c r="D463" s="156"/>
      <c r="E463" s="156"/>
      <c r="F463" s="156"/>
      <c r="G463" s="156"/>
      <c r="H463" s="156"/>
      <c r="I463" s="156"/>
      <c r="J463" s="274"/>
    </row>
    <row r="464" spans="1:10" ht="24" x14ac:dyDescent="0.25">
      <c r="A464" s="165" t="s">
        <v>168</v>
      </c>
      <c r="B464" s="269"/>
      <c r="C464" s="156" t="s">
        <v>107</v>
      </c>
      <c r="D464" s="156"/>
      <c r="E464" s="156">
        <v>0.03</v>
      </c>
      <c r="F464" s="156"/>
      <c r="G464" s="156"/>
      <c r="H464" s="156"/>
      <c r="I464" s="156"/>
      <c r="J464" s="274"/>
    </row>
    <row r="465" spans="1:10" ht="24" x14ac:dyDescent="0.25">
      <c r="A465" s="165" t="s">
        <v>169</v>
      </c>
      <c r="B465" s="269"/>
      <c r="C465" s="156" t="s">
        <v>99</v>
      </c>
      <c r="D465" s="156"/>
      <c r="E465" s="156"/>
      <c r="F465" s="156"/>
      <c r="G465" s="156"/>
      <c r="H465" s="156"/>
      <c r="I465" s="156"/>
      <c r="J465" s="274"/>
    </row>
    <row r="466" spans="1:10" x14ac:dyDescent="0.25">
      <c r="A466" s="165" t="s">
        <v>27</v>
      </c>
      <c r="B466" s="269"/>
      <c r="C466" s="156" t="s">
        <v>93</v>
      </c>
      <c r="D466" s="156"/>
      <c r="E466" s="156"/>
      <c r="F466" s="156"/>
      <c r="G466" s="156"/>
      <c r="H466" s="156"/>
      <c r="I466" s="156"/>
      <c r="J466" s="274"/>
    </row>
    <row r="467" spans="1:10" ht="24" x14ac:dyDescent="0.25">
      <c r="A467" s="165" t="s">
        <v>170</v>
      </c>
      <c r="B467" s="269"/>
      <c r="C467" s="156" t="s">
        <v>87</v>
      </c>
      <c r="D467" s="156"/>
      <c r="E467" s="156"/>
      <c r="F467" s="156"/>
      <c r="G467" s="156"/>
      <c r="H467" s="156"/>
      <c r="I467" s="156"/>
      <c r="J467" s="274"/>
    </row>
    <row r="468" spans="1:10" x14ac:dyDescent="0.25">
      <c r="A468" s="161"/>
      <c r="B468" s="162"/>
      <c r="C468" s="162"/>
      <c r="D468" s="162"/>
      <c r="E468" s="162"/>
      <c r="F468" s="162"/>
      <c r="G468" s="162"/>
      <c r="H468" s="162"/>
      <c r="I468" s="162"/>
      <c r="J468" s="162"/>
    </row>
    <row r="469" spans="1:10" x14ac:dyDescent="0.25">
      <c r="A469" s="241">
        <v>33</v>
      </c>
      <c r="B469" s="240"/>
      <c r="C469" s="154"/>
      <c r="D469" s="154"/>
      <c r="E469" s="154"/>
      <c r="F469" s="154"/>
      <c r="G469" s="154"/>
      <c r="H469" s="154"/>
      <c r="I469" s="154"/>
      <c r="J469" s="154"/>
    </row>
    <row r="470" spans="1:10" ht="71.25" x14ac:dyDescent="0.25">
      <c r="A470" s="164" t="s">
        <v>0</v>
      </c>
      <c r="B470" s="268"/>
      <c r="C470" s="155" t="s">
        <v>1</v>
      </c>
      <c r="D470" s="155"/>
      <c r="E470" s="155" t="s">
        <v>2</v>
      </c>
      <c r="F470" s="155"/>
      <c r="G470" s="155" t="s">
        <v>166</v>
      </c>
      <c r="H470" s="155"/>
      <c r="I470" s="155" t="s">
        <v>3</v>
      </c>
      <c r="J470" s="272"/>
    </row>
    <row r="471" spans="1:10" x14ac:dyDescent="0.25">
      <c r="A471" s="165" t="s">
        <v>4</v>
      </c>
      <c r="B471" s="269"/>
      <c r="C471" s="157" t="s">
        <v>5</v>
      </c>
      <c r="D471" s="157"/>
      <c r="E471" s="157" t="s">
        <v>6</v>
      </c>
      <c r="F471" s="157"/>
      <c r="G471" s="157" t="s">
        <v>12</v>
      </c>
      <c r="H471" s="157"/>
      <c r="I471" s="157" t="s">
        <v>7</v>
      </c>
      <c r="J471" s="273"/>
    </row>
    <row r="472" spans="1:10" x14ac:dyDescent="0.25">
      <c r="A472" s="165"/>
      <c r="B472" s="269"/>
      <c r="C472" s="156"/>
      <c r="D472" s="156"/>
      <c r="E472" s="156"/>
      <c r="F472" s="156"/>
      <c r="G472" s="156"/>
      <c r="H472" s="156"/>
      <c r="I472" s="156"/>
      <c r="J472" s="274"/>
    </row>
    <row r="473" spans="1:10" x14ac:dyDescent="0.25">
      <c r="A473" s="165"/>
      <c r="B473" s="269"/>
      <c r="C473" s="156"/>
      <c r="D473" s="156"/>
      <c r="E473" s="156"/>
      <c r="F473" s="156"/>
      <c r="G473" s="156"/>
      <c r="H473" s="156"/>
      <c r="I473" s="156"/>
      <c r="J473" s="274"/>
    </row>
    <row r="474" spans="1:10" x14ac:dyDescent="0.25">
      <c r="A474" s="165"/>
      <c r="B474" s="269"/>
      <c r="C474" s="156"/>
      <c r="D474" s="156"/>
      <c r="E474" s="156"/>
      <c r="F474" s="156"/>
      <c r="G474" s="156"/>
      <c r="H474" s="156"/>
      <c r="I474" s="156"/>
      <c r="J474" s="274"/>
    </row>
    <row r="475" spans="1:10" x14ac:dyDescent="0.25">
      <c r="A475" s="165"/>
      <c r="B475" s="269"/>
      <c r="C475" s="156"/>
      <c r="D475" s="156"/>
      <c r="E475" s="156"/>
      <c r="F475" s="156"/>
      <c r="G475" s="156"/>
      <c r="H475" s="156"/>
      <c r="I475" s="156"/>
      <c r="J475" s="274"/>
    </row>
    <row r="476" spans="1:10" x14ac:dyDescent="0.25">
      <c r="A476" s="165"/>
      <c r="B476" s="269"/>
      <c r="C476" s="156"/>
      <c r="D476" s="156"/>
      <c r="E476" s="156"/>
      <c r="F476" s="156"/>
      <c r="G476" s="156"/>
      <c r="H476" s="156"/>
      <c r="I476" s="156"/>
      <c r="J476" s="274"/>
    </row>
    <row r="477" spans="1:10" x14ac:dyDescent="0.25">
      <c r="A477" s="165"/>
      <c r="B477" s="269"/>
      <c r="C477" s="156"/>
      <c r="D477" s="156"/>
      <c r="E477" s="156"/>
      <c r="F477" s="156"/>
      <c r="G477" s="156"/>
      <c r="H477" s="156"/>
      <c r="I477" s="156"/>
      <c r="J477" s="274"/>
    </row>
    <row r="478" spans="1:10" x14ac:dyDescent="0.25">
      <c r="A478" s="165"/>
      <c r="B478" s="269"/>
      <c r="C478" s="156"/>
      <c r="D478" s="156"/>
      <c r="E478" s="156"/>
      <c r="F478" s="156"/>
      <c r="G478" s="156"/>
      <c r="H478" s="156"/>
      <c r="I478" s="156"/>
      <c r="J478" s="274"/>
    </row>
    <row r="479" spans="1:10" x14ac:dyDescent="0.25">
      <c r="A479" s="165"/>
      <c r="B479" s="269"/>
      <c r="C479" s="156"/>
      <c r="D479" s="156"/>
      <c r="E479" s="156"/>
      <c r="F479" s="156"/>
      <c r="G479" s="156"/>
      <c r="H479" s="156"/>
      <c r="I479" s="156"/>
      <c r="J479" s="274"/>
    </row>
    <row r="480" spans="1:10" x14ac:dyDescent="0.25">
      <c r="A480" s="165"/>
      <c r="B480" s="269"/>
      <c r="C480" s="156"/>
      <c r="D480" s="156"/>
      <c r="E480" s="156"/>
      <c r="F480" s="156"/>
      <c r="G480" s="156"/>
      <c r="H480" s="156"/>
      <c r="I480" s="156"/>
      <c r="J480" s="274"/>
    </row>
    <row r="481" spans="1:10" x14ac:dyDescent="0.25">
      <c r="A481" s="165"/>
      <c r="B481" s="269"/>
      <c r="C481" s="156"/>
      <c r="D481" s="156"/>
      <c r="E481" s="156"/>
      <c r="F481" s="156"/>
      <c r="G481" s="156"/>
      <c r="H481" s="156"/>
      <c r="I481" s="156"/>
      <c r="J481" s="274"/>
    </row>
    <row r="482" spans="1:10" x14ac:dyDescent="0.25">
      <c r="A482" s="282"/>
      <c r="B482" s="274"/>
      <c r="C482" s="274"/>
      <c r="D482" s="274"/>
      <c r="E482" s="274"/>
      <c r="F482" s="274"/>
      <c r="G482" s="274"/>
      <c r="H482" s="274"/>
      <c r="I482" s="274"/>
      <c r="J482" s="274"/>
    </row>
    <row r="483" spans="1:10" x14ac:dyDescent="0.25">
      <c r="A483" s="282"/>
      <c r="B483" s="274"/>
      <c r="C483" s="274"/>
      <c r="D483" s="274"/>
      <c r="E483" s="274"/>
      <c r="F483" s="274"/>
      <c r="G483" s="274"/>
      <c r="H483" s="274"/>
      <c r="I483" s="274"/>
      <c r="J483" s="274"/>
    </row>
    <row r="484" spans="1:10" x14ac:dyDescent="0.25">
      <c r="A484" s="161"/>
      <c r="B484" s="162"/>
      <c r="C484" s="162"/>
      <c r="D484" s="162"/>
      <c r="E484" s="162"/>
      <c r="F484" s="162"/>
      <c r="G484" s="162"/>
      <c r="H484" s="162"/>
      <c r="I484" s="162"/>
      <c r="J484" s="162"/>
    </row>
    <row r="485" spans="1:10" x14ac:dyDescent="0.25">
      <c r="A485" s="241">
        <v>34</v>
      </c>
      <c r="B485" s="240"/>
      <c r="C485" s="154"/>
      <c r="D485" s="154"/>
      <c r="E485" s="154"/>
      <c r="F485" s="154"/>
      <c r="G485" s="154"/>
      <c r="H485" s="154"/>
      <c r="I485" s="154"/>
      <c r="J485" s="154"/>
    </row>
    <row r="486" spans="1:10" x14ac:dyDescent="0.25">
      <c r="A486" s="547" t="s">
        <v>0</v>
      </c>
      <c r="B486" s="547" t="s">
        <v>0</v>
      </c>
      <c r="C486" s="547" t="s">
        <v>1</v>
      </c>
      <c r="D486" s="547" t="s">
        <v>1</v>
      </c>
      <c r="E486" s="547" t="s">
        <v>2</v>
      </c>
      <c r="F486" s="547" t="s">
        <v>2</v>
      </c>
      <c r="G486" s="547" t="s">
        <v>196</v>
      </c>
      <c r="H486" s="547" t="s">
        <v>196</v>
      </c>
      <c r="I486" s="547" t="s">
        <v>3</v>
      </c>
      <c r="J486" s="547" t="s">
        <v>3</v>
      </c>
    </row>
    <row r="487" spans="1:10" x14ac:dyDescent="0.25">
      <c r="A487" s="548" t="s">
        <v>4</v>
      </c>
      <c r="B487" s="548" t="s">
        <v>4</v>
      </c>
      <c r="C487" s="548" t="s">
        <v>5</v>
      </c>
      <c r="D487" s="548" t="s">
        <v>5</v>
      </c>
      <c r="E487" s="548" t="s">
        <v>6</v>
      </c>
      <c r="F487" s="548" t="s">
        <v>6</v>
      </c>
      <c r="G487" s="548" t="s">
        <v>12</v>
      </c>
      <c r="H487" s="548" t="s">
        <v>12</v>
      </c>
      <c r="I487" s="548" t="s">
        <v>7</v>
      </c>
      <c r="J487" s="548" t="s">
        <v>7</v>
      </c>
    </row>
    <row r="488" spans="1:10" x14ac:dyDescent="0.25">
      <c r="A488" s="546" t="s">
        <v>4</v>
      </c>
      <c r="B488" s="546" t="s">
        <v>4</v>
      </c>
      <c r="C488" s="546" t="s">
        <v>144</v>
      </c>
      <c r="D488" s="546" t="s">
        <v>144</v>
      </c>
      <c r="E488" s="546" t="s">
        <v>210</v>
      </c>
      <c r="F488" s="546" t="s">
        <v>210</v>
      </c>
      <c r="G488" s="546" t="s">
        <v>143</v>
      </c>
      <c r="H488" s="546" t="s">
        <v>197</v>
      </c>
      <c r="I488" s="546" t="s">
        <v>198</v>
      </c>
      <c r="J488" s="546" t="s">
        <v>198</v>
      </c>
    </row>
    <row r="489" spans="1:10" x14ac:dyDescent="0.25">
      <c r="A489" s="546" t="s">
        <v>5</v>
      </c>
      <c r="B489" s="546" t="s">
        <v>5</v>
      </c>
      <c r="C489" s="546" t="s">
        <v>137</v>
      </c>
      <c r="D489" s="546" t="s">
        <v>137</v>
      </c>
      <c r="E489" s="546" t="s">
        <v>211</v>
      </c>
      <c r="F489" s="546" t="s">
        <v>211</v>
      </c>
      <c r="G489" s="546" t="s">
        <v>500</v>
      </c>
      <c r="H489" s="546" t="s">
        <v>212</v>
      </c>
      <c r="I489" s="546" t="s">
        <v>199</v>
      </c>
      <c r="J489" s="546" t="s">
        <v>199</v>
      </c>
    </row>
    <row r="490" spans="1:10" x14ac:dyDescent="0.25">
      <c r="A490" s="546" t="s">
        <v>6</v>
      </c>
      <c r="B490" s="546" t="s">
        <v>6</v>
      </c>
      <c r="C490" s="546" t="s">
        <v>209</v>
      </c>
      <c r="D490" s="546" t="s">
        <v>209</v>
      </c>
      <c r="E490" s="546" t="s">
        <v>213</v>
      </c>
      <c r="F490" s="546" t="s">
        <v>213</v>
      </c>
      <c r="G490" s="546" t="s">
        <v>501</v>
      </c>
      <c r="H490" s="546" t="s">
        <v>214</v>
      </c>
      <c r="I490" s="546" t="s">
        <v>199</v>
      </c>
      <c r="J490" s="546" t="s">
        <v>199</v>
      </c>
    </row>
    <row r="491" spans="1:10" x14ac:dyDescent="0.25">
      <c r="A491" s="546" t="s">
        <v>12</v>
      </c>
      <c r="B491" s="546" t="s">
        <v>12</v>
      </c>
      <c r="C491" s="546" t="s">
        <v>204</v>
      </c>
      <c r="D491" s="546" t="s">
        <v>204</v>
      </c>
      <c r="E491" s="546" t="s">
        <v>215</v>
      </c>
      <c r="F491" s="546" t="s">
        <v>215</v>
      </c>
      <c r="G491" s="546" t="s">
        <v>502</v>
      </c>
      <c r="H491" s="546" t="s">
        <v>216</v>
      </c>
      <c r="I491" s="546" t="s">
        <v>199</v>
      </c>
      <c r="J491" s="546" t="s">
        <v>199</v>
      </c>
    </row>
    <row r="492" spans="1:10" x14ac:dyDescent="0.25">
      <c r="A492" s="546" t="s">
        <v>7</v>
      </c>
      <c r="B492" s="546" t="s">
        <v>7</v>
      </c>
      <c r="C492" s="546" t="s">
        <v>206</v>
      </c>
      <c r="D492" s="546" t="s">
        <v>206</v>
      </c>
      <c r="E492" s="546" t="s">
        <v>217</v>
      </c>
      <c r="F492" s="546" t="s">
        <v>217</v>
      </c>
      <c r="G492" s="546" t="s">
        <v>503</v>
      </c>
      <c r="H492" s="546" t="s">
        <v>218</v>
      </c>
      <c r="I492" s="546" t="s">
        <v>199</v>
      </c>
      <c r="J492" s="546" t="s">
        <v>199</v>
      </c>
    </row>
    <row r="493" spans="1:10" x14ac:dyDescent="0.25">
      <c r="A493" s="546" t="s">
        <v>167</v>
      </c>
      <c r="B493" s="546" t="s">
        <v>167</v>
      </c>
      <c r="C493" s="546" t="s">
        <v>99</v>
      </c>
      <c r="D493" s="546" t="s">
        <v>99</v>
      </c>
      <c r="E493" s="546" t="s">
        <v>219</v>
      </c>
      <c r="F493" s="546" t="s">
        <v>219</v>
      </c>
      <c r="G493" s="546" t="s">
        <v>104</v>
      </c>
      <c r="H493" s="546" t="s">
        <v>104</v>
      </c>
      <c r="I493" s="546" t="s">
        <v>199</v>
      </c>
      <c r="J493" s="546" t="s">
        <v>199</v>
      </c>
    </row>
    <row r="494" spans="1:10" x14ac:dyDescent="0.25">
      <c r="A494" s="546" t="s">
        <v>168</v>
      </c>
      <c r="B494" s="546" t="s">
        <v>168</v>
      </c>
      <c r="C494" s="546" t="s">
        <v>205</v>
      </c>
      <c r="D494" s="546" t="s">
        <v>205</v>
      </c>
      <c r="E494" s="546" t="s">
        <v>79</v>
      </c>
      <c r="F494" s="546" t="s">
        <v>79</v>
      </c>
      <c r="G494" s="546" t="s">
        <v>200</v>
      </c>
      <c r="H494" s="546" t="s">
        <v>200</v>
      </c>
      <c r="I494" s="546" t="s">
        <v>199</v>
      </c>
      <c r="J494" s="546" t="s">
        <v>199</v>
      </c>
    </row>
    <row r="495" spans="1:10" x14ac:dyDescent="0.25">
      <c r="A495" s="546" t="s">
        <v>169</v>
      </c>
      <c r="B495" s="546" t="s">
        <v>169</v>
      </c>
      <c r="C495" s="546" t="s">
        <v>87</v>
      </c>
      <c r="D495" s="546" t="s">
        <v>87</v>
      </c>
      <c r="E495" s="546" t="s">
        <v>220</v>
      </c>
      <c r="F495" s="546" t="s">
        <v>220</v>
      </c>
      <c r="G495" s="546" t="s">
        <v>504</v>
      </c>
      <c r="H495" s="546" t="s">
        <v>221</v>
      </c>
      <c r="I495" s="546" t="s">
        <v>199</v>
      </c>
      <c r="J495" s="546" t="s">
        <v>199</v>
      </c>
    </row>
    <row r="496" spans="1:10" x14ac:dyDescent="0.25">
      <c r="A496" s="546" t="s">
        <v>27</v>
      </c>
      <c r="B496" s="546" t="s">
        <v>27</v>
      </c>
      <c r="C496" s="546" t="s">
        <v>207</v>
      </c>
      <c r="D496" s="546" t="s">
        <v>207</v>
      </c>
      <c r="E496" s="546" t="s">
        <v>201</v>
      </c>
      <c r="F496" s="546" t="s">
        <v>201</v>
      </c>
      <c r="G496" s="546" t="s">
        <v>202</v>
      </c>
      <c r="H496" s="546" t="s">
        <v>202</v>
      </c>
      <c r="I496" s="546" t="s">
        <v>199</v>
      </c>
      <c r="J496" s="546" t="s">
        <v>199</v>
      </c>
    </row>
    <row r="497" spans="1:10" x14ac:dyDescent="0.25">
      <c r="A497" s="546" t="s">
        <v>170</v>
      </c>
      <c r="B497" s="546" t="s">
        <v>170</v>
      </c>
      <c r="C497" s="546" t="s">
        <v>208</v>
      </c>
      <c r="D497" s="546" t="s">
        <v>208</v>
      </c>
      <c r="E497" s="546" t="s">
        <v>222</v>
      </c>
      <c r="F497" s="546" t="s">
        <v>222</v>
      </c>
      <c r="G497" s="546" t="s">
        <v>200</v>
      </c>
      <c r="H497" s="546" t="s">
        <v>200</v>
      </c>
      <c r="I497" s="546" t="s">
        <v>199</v>
      </c>
      <c r="J497" s="546" t="s">
        <v>199</v>
      </c>
    </row>
    <row r="498" spans="1:10" x14ac:dyDescent="0.25">
      <c r="A498" s="161"/>
      <c r="B498" s="162"/>
      <c r="C498" s="162"/>
      <c r="D498" s="162"/>
      <c r="E498" s="162"/>
      <c r="F498" s="162"/>
      <c r="G498" s="162"/>
      <c r="H498" s="162"/>
      <c r="I498" s="162"/>
      <c r="J498" s="162"/>
    </row>
    <row r="499" spans="1:10" x14ac:dyDescent="0.25">
      <c r="A499" s="241">
        <v>35</v>
      </c>
      <c r="B499" s="240"/>
      <c r="C499" s="154"/>
      <c r="D499" s="154"/>
      <c r="E499" s="154"/>
      <c r="F499" s="154"/>
      <c r="G499" s="154"/>
      <c r="H499" s="154"/>
      <c r="I499" s="154"/>
      <c r="J499" s="154"/>
    </row>
    <row r="500" spans="1:10" ht="71.25" x14ac:dyDescent="0.25">
      <c r="A500" s="164" t="s">
        <v>0</v>
      </c>
      <c r="B500" s="268"/>
      <c r="C500" s="155" t="s">
        <v>1</v>
      </c>
      <c r="D500" s="155"/>
      <c r="E500" s="155" t="s">
        <v>2</v>
      </c>
      <c r="F500" s="155"/>
      <c r="G500" s="155" t="s">
        <v>166</v>
      </c>
      <c r="H500" s="155"/>
      <c r="I500" s="155" t="s">
        <v>3</v>
      </c>
      <c r="J500" s="272"/>
    </row>
    <row r="501" spans="1:10" x14ac:dyDescent="0.25">
      <c r="A501" s="165" t="s">
        <v>4</v>
      </c>
      <c r="B501" s="269"/>
      <c r="C501" s="157" t="s">
        <v>5</v>
      </c>
      <c r="D501" s="157"/>
      <c r="E501" s="157" t="s">
        <v>6</v>
      </c>
      <c r="F501" s="157"/>
      <c r="G501" s="157" t="s">
        <v>12</v>
      </c>
      <c r="H501" s="157"/>
      <c r="I501" s="157" t="s">
        <v>7</v>
      </c>
      <c r="J501" s="273"/>
    </row>
    <row r="502" spans="1:10" x14ac:dyDescent="0.25">
      <c r="A502" s="165" t="s">
        <v>4</v>
      </c>
      <c r="B502" s="269"/>
      <c r="C502" s="156"/>
      <c r="D502" s="156"/>
      <c r="E502" s="156"/>
      <c r="F502" s="156"/>
      <c r="G502" s="156"/>
      <c r="H502" s="156"/>
      <c r="I502" s="156"/>
      <c r="J502" s="274"/>
    </row>
    <row r="503" spans="1:10" x14ac:dyDescent="0.25">
      <c r="A503" s="165" t="s">
        <v>5</v>
      </c>
      <c r="B503" s="269"/>
      <c r="C503" s="156"/>
      <c r="D503" s="156"/>
      <c r="E503" s="156"/>
      <c r="F503" s="156"/>
      <c r="G503" s="156"/>
      <c r="H503" s="156"/>
      <c r="I503" s="156"/>
      <c r="J503" s="274"/>
    </row>
    <row r="504" spans="1:10" x14ac:dyDescent="0.25">
      <c r="A504" s="165" t="s">
        <v>6</v>
      </c>
      <c r="B504" s="269"/>
      <c r="C504" s="156"/>
      <c r="D504" s="156"/>
      <c r="E504" s="156"/>
      <c r="F504" s="156"/>
      <c r="G504" s="156"/>
      <c r="H504" s="156"/>
      <c r="I504" s="156"/>
      <c r="J504" s="274"/>
    </row>
    <row r="505" spans="1:10" x14ac:dyDescent="0.25">
      <c r="A505" s="165" t="s">
        <v>12</v>
      </c>
      <c r="B505" s="269"/>
      <c r="C505" s="156"/>
      <c r="D505" s="156"/>
      <c r="E505" s="156"/>
      <c r="F505" s="156"/>
      <c r="G505" s="156"/>
      <c r="H505" s="156"/>
      <c r="I505" s="156"/>
      <c r="J505" s="274"/>
    </row>
    <row r="506" spans="1:10" x14ac:dyDescent="0.25">
      <c r="A506" s="165" t="s">
        <v>7</v>
      </c>
      <c r="B506" s="269"/>
      <c r="C506" s="156"/>
      <c r="D506" s="156"/>
      <c r="E506" s="156"/>
      <c r="F506" s="156"/>
      <c r="G506" s="156"/>
      <c r="H506" s="156"/>
      <c r="I506" s="156"/>
      <c r="J506" s="274"/>
    </row>
    <row r="507" spans="1:10" x14ac:dyDescent="0.25">
      <c r="A507" s="165" t="s">
        <v>167</v>
      </c>
      <c r="B507" s="269"/>
      <c r="C507" s="156"/>
      <c r="D507" s="156"/>
      <c r="E507" s="156"/>
      <c r="F507" s="156"/>
      <c r="G507" s="156"/>
      <c r="H507" s="156"/>
      <c r="I507" s="156"/>
      <c r="J507" s="274"/>
    </row>
    <row r="508" spans="1:10" x14ac:dyDescent="0.25">
      <c r="A508" s="165" t="s">
        <v>168</v>
      </c>
      <c r="B508" s="269"/>
      <c r="C508" s="156"/>
      <c r="D508" s="156"/>
      <c r="E508" s="156"/>
      <c r="F508" s="156"/>
      <c r="G508" s="156"/>
      <c r="H508" s="156"/>
      <c r="I508" s="156"/>
      <c r="J508" s="274"/>
    </row>
    <row r="509" spans="1:10" x14ac:dyDescent="0.25">
      <c r="A509" s="165" t="s">
        <v>169</v>
      </c>
      <c r="B509" s="269"/>
      <c r="C509" s="156"/>
      <c r="D509" s="156"/>
      <c r="E509" s="156"/>
      <c r="F509" s="156"/>
      <c r="G509" s="156"/>
      <c r="H509" s="156"/>
      <c r="I509" s="156"/>
      <c r="J509" s="274"/>
    </row>
    <row r="510" spans="1:10" x14ac:dyDescent="0.25">
      <c r="A510" s="165" t="s">
        <v>27</v>
      </c>
      <c r="B510" s="269"/>
      <c r="C510" s="156"/>
      <c r="D510" s="156"/>
      <c r="E510" s="156"/>
      <c r="F510" s="156"/>
      <c r="G510" s="156"/>
      <c r="H510" s="156"/>
      <c r="I510" s="156"/>
      <c r="J510" s="274"/>
    </row>
    <row r="511" spans="1:10" x14ac:dyDescent="0.25">
      <c r="A511" s="165" t="s">
        <v>170</v>
      </c>
      <c r="B511" s="269"/>
      <c r="C511" s="156"/>
      <c r="D511" s="156"/>
      <c r="E511" s="156"/>
      <c r="F511" s="156"/>
      <c r="G511" s="156"/>
      <c r="H511" s="156"/>
      <c r="I511" s="156"/>
      <c r="J511" s="274"/>
    </row>
    <row r="512" spans="1:10" x14ac:dyDescent="0.25">
      <c r="A512" s="161"/>
      <c r="B512" s="162"/>
      <c r="C512" s="162"/>
      <c r="D512" s="162"/>
      <c r="E512" s="162"/>
      <c r="F512" s="162"/>
      <c r="G512" s="162"/>
      <c r="H512" s="162"/>
      <c r="I512" s="162"/>
      <c r="J512" s="162"/>
    </row>
    <row r="513" spans="1:10" x14ac:dyDescent="0.25">
      <c r="A513" s="241">
        <v>36</v>
      </c>
      <c r="B513" s="240"/>
      <c r="C513" s="154"/>
      <c r="D513" s="154"/>
      <c r="E513" s="154"/>
      <c r="F513" s="154"/>
      <c r="G513" s="154"/>
      <c r="H513" s="154"/>
      <c r="I513" s="154"/>
      <c r="J513" s="154"/>
    </row>
    <row r="514" spans="1:10" ht="71.25" x14ac:dyDescent="0.25">
      <c r="A514" s="164" t="s">
        <v>0</v>
      </c>
      <c r="B514" s="268"/>
      <c r="C514" s="155" t="s">
        <v>1</v>
      </c>
      <c r="D514" s="155"/>
      <c r="E514" s="155" t="s">
        <v>2</v>
      </c>
      <c r="F514" s="155"/>
      <c r="G514" s="155" t="s">
        <v>166</v>
      </c>
      <c r="H514" s="155"/>
      <c r="I514" s="155" t="s">
        <v>3</v>
      </c>
      <c r="J514" s="272"/>
    </row>
    <row r="515" spans="1:10" x14ac:dyDescent="0.25">
      <c r="A515" s="165" t="s">
        <v>4</v>
      </c>
      <c r="B515" s="269"/>
      <c r="C515" s="157" t="s">
        <v>5</v>
      </c>
      <c r="D515" s="157"/>
      <c r="E515" s="157" t="s">
        <v>6</v>
      </c>
      <c r="F515" s="157"/>
      <c r="G515" s="157" t="s">
        <v>12</v>
      </c>
      <c r="H515" s="157"/>
      <c r="I515" s="157" t="s">
        <v>7</v>
      </c>
      <c r="J515" s="273"/>
    </row>
    <row r="516" spans="1:10" x14ac:dyDescent="0.25">
      <c r="A516" s="165" t="s">
        <v>4</v>
      </c>
      <c r="B516" s="269"/>
      <c r="C516" s="156"/>
      <c r="D516" s="156"/>
      <c r="E516" s="156"/>
      <c r="F516" s="156"/>
      <c r="G516" s="156"/>
      <c r="H516" s="156"/>
      <c r="I516" s="156"/>
      <c r="J516" s="274"/>
    </row>
    <row r="517" spans="1:10" x14ac:dyDescent="0.25">
      <c r="A517" s="165" t="s">
        <v>5</v>
      </c>
      <c r="B517" s="269"/>
      <c r="C517" s="156"/>
      <c r="D517" s="156"/>
      <c r="E517" s="156"/>
      <c r="F517" s="156"/>
      <c r="G517" s="156"/>
      <c r="H517" s="156"/>
      <c r="I517" s="156"/>
      <c r="J517" s="274"/>
    </row>
    <row r="518" spans="1:10" x14ac:dyDescent="0.25">
      <c r="A518" s="165" t="s">
        <v>6</v>
      </c>
      <c r="B518" s="269"/>
      <c r="C518" s="156"/>
      <c r="D518" s="156"/>
      <c r="E518" s="156"/>
      <c r="F518" s="156"/>
      <c r="G518" s="156"/>
      <c r="H518" s="156"/>
      <c r="I518" s="156"/>
      <c r="J518" s="274"/>
    </row>
    <row r="519" spans="1:10" x14ac:dyDescent="0.25">
      <c r="A519" s="165" t="s">
        <v>12</v>
      </c>
      <c r="B519" s="269"/>
      <c r="C519" s="156"/>
      <c r="D519" s="156"/>
      <c r="E519" s="156"/>
      <c r="F519" s="156"/>
      <c r="G519" s="156"/>
      <c r="H519" s="156"/>
      <c r="I519" s="156"/>
      <c r="J519" s="274"/>
    </row>
    <row r="520" spans="1:10" x14ac:dyDescent="0.25">
      <c r="A520" s="165" t="s">
        <v>7</v>
      </c>
      <c r="B520" s="269"/>
      <c r="C520" s="156"/>
      <c r="D520" s="156"/>
      <c r="E520" s="156"/>
      <c r="F520" s="156"/>
      <c r="G520" s="156"/>
      <c r="H520" s="156"/>
      <c r="I520" s="156"/>
      <c r="J520" s="274"/>
    </row>
    <row r="521" spans="1:10" x14ac:dyDescent="0.25">
      <c r="A521" s="165" t="s">
        <v>167</v>
      </c>
      <c r="B521" s="269"/>
      <c r="C521" s="156"/>
      <c r="D521" s="156"/>
      <c r="E521" s="156"/>
      <c r="F521" s="156"/>
      <c r="G521" s="156"/>
      <c r="H521" s="156"/>
      <c r="I521" s="156"/>
      <c r="J521" s="274"/>
    </row>
    <row r="522" spans="1:10" x14ac:dyDescent="0.25">
      <c r="A522" s="165" t="s">
        <v>168</v>
      </c>
      <c r="B522" s="269"/>
      <c r="C522" s="156"/>
      <c r="D522" s="156"/>
      <c r="E522" s="156"/>
      <c r="F522" s="156"/>
      <c r="G522" s="156"/>
      <c r="H522" s="156"/>
      <c r="I522" s="156"/>
      <c r="J522" s="274"/>
    </row>
    <row r="523" spans="1:10" x14ac:dyDescent="0.25">
      <c r="A523" s="165" t="s">
        <v>169</v>
      </c>
      <c r="B523" s="269"/>
      <c r="C523" s="156"/>
      <c r="D523" s="156"/>
      <c r="E523" s="156"/>
      <c r="F523" s="156"/>
      <c r="G523" s="156"/>
      <c r="H523" s="156"/>
      <c r="I523" s="156"/>
      <c r="J523" s="274"/>
    </row>
    <row r="524" spans="1:10" x14ac:dyDescent="0.25">
      <c r="A524" s="165" t="s">
        <v>27</v>
      </c>
      <c r="B524" s="269"/>
      <c r="C524" s="156"/>
      <c r="D524" s="156"/>
      <c r="E524" s="156"/>
      <c r="F524" s="156"/>
      <c r="G524" s="156"/>
      <c r="H524" s="156"/>
      <c r="I524" s="156"/>
      <c r="J524" s="274"/>
    </row>
    <row r="525" spans="1:10" x14ac:dyDescent="0.25">
      <c r="A525" s="165" t="s">
        <v>170</v>
      </c>
      <c r="B525" s="269"/>
      <c r="C525" s="156"/>
      <c r="D525" s="156"/>
      <c r="E525" s="156"/>
      <c r="F525" s="156"/>
      <c r="G525" s="156"/>
      <c r="H525" s="156"/>
      <c r="I525" s="156"/>
      <c r="J525" s="274"/>
    </row>
    <row r="526" spans="1:10" x14ac:dyDescent="0.25">
      <c r="A526" s="282"/>
      <c r="B526" s="274"/>
      <c r="C526" s="274"/>
      <c r="D526" s="274"/>
      <c r="E526" s="274"/>
      <c r="F526" s="274"/>
      <c r="G526" s="274"/>
      <c r="H526" s="274"/>
      <c r="I526" s="274"/>
      <c r="J526" s="274"/>
    </row>
    <row r="527" spans="1:10" x14ac:dyDescent="0.25">
      <c r="A527" s="282"/>
      <c r="B527" s="274"/>
      <c r="C527" s="274"/>
      <c r="D527" s="274"/>
      <c r="E527" s="274"/>
      <c r="F527" s="274"/>
      <c r="G527" s="274"/>
      <c r="H527" s="274"/>
      <c r="I527" s="274"/>
      <c r="J527" s="274"/>
    </row>
    <row r="528" spans="1:10" x14ac:dyDescent="0.25">
      <c r="A528" s="161"/>
      <c r="B528" s="162"/>
      <c r="C528" s="162"/>
      <c r="D528" s="162"/>
      <c r="E528" s="162"/>
      <c r="F528" s="162"/>
      <c r="G528" s="162"/>
      <c r="H528" s="162"/>
      <c r="I528" s="162"/>
      <c r="J528" s="162"/>
    </row>
    <row r="529" spans="1:10" x14ac:dyDescent="0.25">
      <c r="A529" s="241">
        <v>37</v>
      </c>
      <c r="B529" s="240"/>
      <c r="C529" s="154"/>
      <c r="D529" s="154"/>
      <c r="E529" s="154"/>
      <c r="F529" s="154"/>
      <c r="G529" s="154"/>
      <c r="H529" s="154"/>
      <c r="I529" s="154"/>
      <c r="J529" s="154"/>
    </row>
    <row r="530" spans="1:10" ht="71.25" x14ac:dyDescent="0.25">
      <c r="A530" s="164" t="s">
        <v>0</v>
      </c>
      <c r="B530" s="268"/>
      <c r="C530" s="155" t="s">
        <v>1</v>
      </c>
      <c r="D530" s="155"/>
      <c r="E530" s="155" t="s">
        <v>2</v>
      </c>
      <c r="F530" s="155"/>
      <c r="G530" s="155" t="s">
        <v>166</v>
      </c>
      <c r="H530" s="155"/>
      <c r="I530" s="155" t="s">
        <v>3</v>
      </c>
      <c r="J530" s="272"/>
    </row>
    <row r="531" spans="1:10" x14ac:dyDescent="0.25">
      <c r="A531" s="165" t="s">
        <v>4</v>
      </c>
      <c r="B531" s="269"/>
      <c r="C531" s="157" t="s">
        <v>5</v>
      </c>
      <c r="D531" s="157"/>
      <c r="E531" s="157" t="s">
        <v>6</v>
      </c>
      <c r="F531" s="157"/>
      <c r="G531" s="157" t="s">
        <v>12</v>
      </c>
      <c r="H531" s="157"/>
      <c r="I531" s="157" t="s">
        <v>7</v>
      </c>
      <c r="J531" s="273"/>
    </row>
    <row r="532" spans="1:10" x14ac:dyDescent="0.25">
      <c r="A532" s="165" t="s">
        <v>4</v>
      </c>
      <c r="B532" s="269"/>
      <c r="C532" s="156"/>
      <c r="D532" s="156"/>
      <c r="E532" s="156"/>
      <c r="F532" s="156"/>
      <c r="G532" s="156"/>
      <c r="H532" s="156"/>
      <c r="I532" s="156"/>
      <c r="J532" s="274"/>
    </row>
    <row r="533" spans="1:10" x14ac:dyDescent="0.25">
      <c r="A533" s="165" t="s">
        <v>5</v>
      </c>
      <c r="B533" s="269"/>
      <c r="C533" s="156"/>
      <c r="D533" s="156"/>
      <c r="E533" s="156"/>
      <c r="F533" s="156"/>
      <c r="G533" s="156"/>
      <c r="H533" s="156"/>
      <c r="I533" s="156"/>
      <c r="J533" s="274"/>
    </row>
    <row r="534" spans="1:10" x14ac:dyDescent="0.25">
      <c r="A534" s="165" t="s">
        <v>6</v>
      </c>
      <c r="B534" s="269"/>
      <c r="C534" s="156"/>
      <c r="D534" s="156"/>
      <c r="E534" s="156"/>
      <c r="F534" s="156"/>
      <c r="G534" s="156"/>
      <c r="H534" s="156"/>
      <c r="I534" s="156"/>
      <c r="J534" s="274"/>
    </row>
    <row r="535" spans="1:10" x14ac:dyDescent="0.25">
      <c r="A535" s="165" t="s">
        <v>12</v>
      </c>
      <c r="B535" s="269"/>
      <c r="C535" s="156"/>
      <c r="D535" s="156"/>
      <c r="E535" s="156"/>
      <c r="F535" s="156"/>
      <c r="G535" s="156"/>
      <c r="H535" s="156"/>
      <c r="I535" s="156"/>
      <c r="J535" s="274"/>
    </row>
    <row r="536" spans="1:10" x14ac:dyDescent="0.25">
      <c r="A536" s="165" t="s">
        <v>7</v>
      </c>
      <c r="B536" s="269"/>
      <c r="C536" s="156"/>
      <c r="D536" s="156"/>
      <c r="E536" s="156"/>
      <c r="F536" s="156"/>
      <c r="G536" s="156"/>
      <c r="H536" s="156"/>
      <c r="I536" s="156"/>
      <c r="J536" s="274"/>
    </row>
    <row r="537" spans="1:10" x14ac:dyDescent="0.25">
      <c r="A537" s="165" t="s">
        <v>167</v>
      </c>
      <c r="B537" s="269"/>
      <c r="C537" s="156"/>
      <c r="D537" s="156"/>
      <c r="E537" s="156"/>
      <c r="F537" s="156"/>
      <c r="G537" s="156"/>
      <c r="H537" s="156"/>
      <c r="I537" s="156"/>
      <c r="J537" s="274"/>
    </row>
    <row r="538" spans="1:10" x14ac:dyDescent="0.25">
      <c r="A538" s="165" t="s">
        <v>168</v>
      </c>
      <c r="B538" s="269"/>
      <c r="C538" s="156"/>
      <c r="D538" s="156"/>
      <c r="E538" s="156"/>
      <c r="F538" s="156"/>
      <c r="G538" s="156"/>
      <c r="H538" s="156"/>
      <c r="I538" s="156"/>
      <c r="J538" s="274"/>
    </row>
    <row r="539" spans="1:10" x14ac:dyDescent="0.25">
      <c r="A539" s="165" t="s">
        <v>169</v>
      </c>
      <c r="B539" s="269"/>
      <c r="C539" s="156"/>
      <c r="D539" s="156"/>
      <c r="E539" s="156"/>
      <c r="F539" s="156"/>
      <c r="G539" s="156"/>
      <c r="H539" s="156"/>
      <c r="I539" s="156"/>
      <c r="J539" s="274"/>
    </row>
    <row r="540" spans="1:10" x14ac:dyDescent="0.25">
      <c r="A540" s="165" t="s">
        <v>27</v>
      </c>
      <c r="B540" s="269"/>
      <c r="C540" s="156"/>
      <c r="D540" s="156"/>
      <c r="E540" s="156"/>
      <c r="F540" s="156"/>
      <c r="G540" s="156"/>
      <c r="H540" s="156"/>
      <c r="I540" s="156"/>
      <c r="J540" s="274"/>
    </row>
    <row r="541" spans="1:10" x14ac:dyDescent="0.25">
      <c r="A541" s="165" t="s">
        <v>170</v>
      </c>
      <c r="B541" s="269"/>
      <c r="C541" s="156"/>
      <c r="D541" s="156"/>
      <c r="E541" s="156"/>
      <c r="F541" s="156"/>
      <c r="G541" s="156"/>
      <c r="H541" s="156"/>
      <c r="I541" s="156"/>
      <c r="J541" s="274"/>
    </row>
    <row r="542" spans="1:10" x14ac:dyDescent="0.25">
      <c r="A542" s="161"/>
      <c r="B542" s="162"/>
      <c r="C542" s="162"/>
      <c r="D542" s="162"/>
      <c r="E542" s="162"/>
      <c r="F542" s="162"/>
      <c r="G542" s="162"/>
      <c r="H542" s="162"/>
      <c r="I542" s="162"/>
      <c r="J542" s="162"/>
    </row>
    <row r="543" spans="1:10" x14ac:dyDescent="0.25">
      <c r="A543" s="241">
        <v>38</v>
      </c>
      <c r="B543" s="240"/>
      <c r="C543" s="154"/>
      <c r="D543" s="154"/>
      <c r="E543" s="154"/>
      <c r="F543" s="154"/>
      <c r="G543" s="154"/>
      <c r="H543" s="154"/>
      <c r="I543" s="154"/>
      <c r="J543" s="154"/>
    </row>
    <row r="544" spans="1:10" ht="71.25" x14ac:dyDescent="0.25">
      <c r="A544" s="164" t="s">
        <v>0</v>
      </c>
      <c r="B544" s="268"/>
      <c r="C544" s="155" t="s">
        <v>1</v>
      </c>
      <c r="D544" s="155"/>
      <c r="E544" s="155" t="s">
        <v>2</v>
      </c>
      <c r="F544" s="155"/>
      <c r="G544" s="155" t="s">
        <v>166</v>
      </c>
      <c r="H544" s="155"/>
      <c r="I544" s="155" t="s">
        <v>3</v>
      </c>
      <c r="J544" s="272"/>
    </row>
    <row r="545" spans="1:10" x14ac:dyDescent="0.25">
      <c r="A545" s="165" t="s">
        <v>4</v>
      </c>
      <c r="B545" s="269"/>
      <c r="C545" s="157" t="s">
        <v>5</v>
      </c>
      <c r="D545" s="157"/>
      <c r="E545" s="157" t="s">
        <v>6</v>
      </c>
      <c r="F545" s="157"/>
      <c r="G545" s="157" t="s">
        <v>12</v>
      </c>
      <c r="H545" s="157"/>
      <c r="I545" s="157" t="s">
        <v>7</v>
      </c>
      <c r="J545" s="273"/>
    </row>
    <row r="546" spans="1:10" x14ac:dyDescent="0.25">
      <c r="A546" s="165" t="s">
        <v>4</v>
      </c>
      <c r="B546" s="269"/>
      <c r="C546" s="156"/>
      <c r="D546" s="156"/>
      <c r="E546" s="156"/>
      <c r="F546" s="156"/>
      <c r="G546" s="156"/>
      <c r="H546" s="156"/>
      <c r="I546" s="156"/>
      <c r="J546" s="274"/>
    </row>
    <row r="547" spans="1:10" x14ac:dyDescent="0.25">
      <c r="A547" s="165" t="s">
        <v>5</v>
      </c>
      <c r="B547" s="269"/>
      <c r="C547" s="156"/>
      <c r="D547" s="156"/>
      <c r="E547" s="156"/>
      <c r="F547" s="156"/>
      <c r="G547" s="156"/>
      <c r="H547" s="156"/>
      <c r="I547" s="156"/>
      <c r="J547" s="274"/>
    </row>
    <row r="548" spans="1:10" x14ac:dyDescent="0.25">
      <c r="A548" s="165" t="s">
        <v>6</v>
      </c>
      <c r="B548" s="269"/>
      <c r="C548" s="156"/>
      <c r="D548" s="156"/>
      <c r="E548" s="156"/>
      <c r="F548" s="156"/>
      <c r="G548" s="156"/>
      <c r="H548" s="156"/>
      <c r="I548" s="156"/>
      <c r="J548" s="274"/>
    </row>
    <row r="549" spans="1:10" x14ac:dyDescent="0.25">
      <c r="A549" s="165" t="s">
        <v>12</v>
      </c>
      <c r="B549" s="269"/>
      <c r="C549" s="156"/>
      <c r="D549" s="156"/>
      <c r="E549" s="156"/>
      <c r="F549" s="156"/>
      <c r="G549" s="156"/>
      <c r="H549" s="156"/>
      <c r="I549" s="156"/>
      <c r="J549" s="274"/>
    </row>
    <row r="550" spans="1:10" x14ac:dyDescent="0.25">
      <c r="A550" s="165" t="s">
        <v>7</v>
      </c>
      <c r="B550" s="269"/>
      <c r="C550" s="156"/>
      <c r="D550" s="156"/>
      <c r="E550" s="156"/>
      <c r="F550" s="156"/>
      <c r="G550" s="156"/>
      <c r="H550" s="156"/>
      <c r="I550" s="156"/>
      <c r="J550" s="274"/>
    </row>
    <row r="551" spans="1:10" x14ac:dyDescent="0.25">
      <c r="A551" s="165" t="s">
        <v>167</v>
      </c>
      <c r="B551" s="269"/>
      <c r="C551" s="156"/>
      <c r="D551" s="156"/>
      <c r="E551" s="156"/>
      <c r="F551" s="156"/>
      <c r="G551" s="156"/>
      <c r="H551" s="156"/>
      <c r="I551" s="156"/>
      <c r="J551" s="274"/>
    </row>
    <row r="552" spans="1:10" x14ac:dyDescent="0.25">
      <c r="A552" s="165" t="s">
        <v>168</v>
      </c>
      <c r="B552" s="269"/>
      <c r="C552" s="156"/>
      <c r="D552" s="156"/>
      <c r="E552" s="156"/>
      <c r="F552" s="156"/>
      <c r="G552" s="156"/>
      <c r="H552" s="156"/>
      <c r="I552" s="156"/>
      <c r="J552" s="274"/>
    </row>
    <row r="553" spans="1:10" x14ac:dyDescent="0.25">
      <c r="A553" s="165" t="s">
        <v>169</v>
      </c>
      <c r="B553" s="269"/>
      <c r="C553" s="156"/>
      <c r="D553" s="156"/>
      <c r="E553" s="156"/>
      <c r="F553" s="156"/>
      <c r="G553" s="156"/>
      <c r="H553" s="156"/>
      <c r="I553" s="156"/>
      <c r="J553" s="274"/>
    </row>
    <row r="554" spans="1:10" x14ac:dyDescent="0.25">
      <c r="A554" s="165" t="s">
        <v>27</v>
      </c>
      <c r="B554" s="269"/>
      <c r="C554" s="156"/>
      <c r="D554" s="156"/>
      <c r="E554" s="156"/>
      <c r="F554" s="156"/>
      <c r="G554" s="156"/>
      <c r="H554" s="156"/>
      <c r="I554" s="156"/>
      <c r="J554" s="274"/>
    </row>
    <row r="555" spans="1:10" x14ac:dyDescent="0.25">
      <c r="A555" s="165" t="s">
        <v>170</v>
      </c>
      <c r="B555" s="269"/>
      <c r="C555" s="156"/>
      <c r="D555" s="156"/>
      <c r="E555" s="156"/>
      <c r="F555" s="156"/>
      <c r="G555" s="156"/>
      <c r="H555" s="156"/>
      <c r="I555" s="156"/>
      <c r="J555" s="274"/>
    </row>
    <row r="556" spans="1:10" x14ac:dyDescent="0.25">
      <c r="A556" s="161"/>
      <c r="B556" s="162"/>
      <c r="C556" s="162"/>
      <c r="D556" s="162"/>
      <c r="E556" s="162"/>
      <c r="F556" s="162"/>
      <c r="G556" s="162"/>
      <c r="H556" s="162"/>
      <c r="I556" s="162"/>
      <c r="J556" s="162"/>
    </row>
    <row r="557" spans="1:10" x14ac:dyDescent="0.25">
      <c r="A557" s="241">
        <v>39</v>
      </c>
      <c r="B557" s="240"/>
      <c r="C557" s="154"/>
      <c r="D557" s="154"/>
      <c r="E557" s="154"/>
      <c r="F557" s="154"/>
      <c r="G557" s="154"/>
      <c r="H557" s="154"/>
      <c r="I557" s="154"/>
      <c r="J557" s="154"/>
    </row>
    <row r="558" spans="1:10" ht="71.25" x14ac:dyDescent="0.25">
      <c r="A558" s="164" t="s">
        <v>0</v>
      </c>
      <c r="B558" s="268"/>
      <c r="C558" s="155" t="s">
        <v>1</v>
      </c>
      <c r="D558" s="155"/>
      <c r="E558" s="155" t="s">
        <v>2</v>
      </c>
      <c r="F558" s="155"/>
      <c r="G558" s="155" t="s">
        <v>166</v>
      </c>
      <c r="H558" s="155"/>
      <c r="I558" s="155" t="s">
        <v>3</v>
      </c>
      <c r="J558" s="272"/>
    </row>
    <row r="559" spans="1:10" x14ac:dyDescent="0.25">
      <c r="A559" s="165" t="s">
        <v>4</v>
      </c>
      <c r="B559" s="269"/>
      <c r="C559" s="157" t="s">
        <v>5</v>
      </c>
      <c r="D559" s="157"/>
      <c r="E559" s="157" t="s">
        <v>6</v>
      </c>
      <c r="F559" s="157"/>
      <c r="G559" s="157" t="s">
        <v>12</v>
      </c>
      <c r="H559" s="157"/>
      <c r="I559" s="157" t="s">
        <v>7</v>
      </c>
      <c r="J559" s="273"/>
    </row>
    <row r="560" spans="1:10" x14ac:dyDescent="0.25">
      <c r="A560" s="165" t="s">
        <v>4</v>
      </c>
      <c r="B560" s="269"/>
      <c r="C560" s="156"/>
      <c r="D560" s="156"/>
      <c r="E560" s="156"/>
      <c r="F560" s="156"/>
      <c r="G560" s="156"/>
      <c r="H560" s="156"/>
      <c r="I560" s="156"/>
      <c r="J560" s="274"/>
    </row>
    <row r="561" spans="1:10" x14ac:dyDescent="0.25">
      <c r="A561" s="165" t="s">
        <v>5</v>
      </c>
      <c r="B561" s="269"/>
      <c r="C561" s="156"/>
      <c r="D561" s="156"/>
      <c r="E561" s="156"/>
      <c r="F561" s="156"/>
      <c r="G561" s="156"/>
      <c r="H561" s="156"/>
      <c r="I561" s="156"/>
      <c r="J561" s="274"/>
    </row>
    <row r="562" spans="1:10" x14ac:dyDescent="0.25">
      <c r="A562" s="165" t="s">
        <v>6</v>
      </c>
      <c r="B562" s="269"/>
      <c r="C562" s="156"/>
      <c r="D562" s="156"/>
      <c r="E562" s="156"/>
      <c r="F562" s="156"/>
      <c r="G562" s="156"/>
      <c r="H562" s="156"/>
      <c r="I562" s="156"/>
      <c r="J562" s="274"/>
    </row>
    <row r="563" spans="1:10" x14ac:dyDescent="0.25">
      <c r="A563" s="165" t="s">
        <v>12</v>
      </c>
      <c r="B563" s="269"/>
      <c r="C563" s="156"/>
      <c r="D563" s="156"/>
      <c r="E563" s="156"/>
      <c r="F563" s="156"/>
      <c r="G563" s="156"/>
      <c r="H563" s="156"/>
      <c r="I563" s="156"/>
      <c r="J563" s="274"/>
    </row>
    <row r="564" spans="1:10" x14ac:dyDescent="0.25">
      <c r="A564" s="165" t="s">
        <v>7</v>
      </c>
      <c r="B564" s="269"/>
      <c r="C564" s="156"/>
      <c r="D564" s="156"/>
      <c r="E564" s="156"/>
      <c r="F564" s="156"/>
      <c r="G564" s="156"/>
      <c r="H564" s="156"/>
      <c r="I564" s="156"/>
      <c r="J564" s="274"/>
    </row>
    <row r="565" spans="1:10" x14ac:dyDescent="0.25">
      <c r="A565" s="165" t="s">
        <v>167</v>
      </c>
      <c r="B565" s="269"/>
      <c r="C565" s="156"/>
      <c r="D565" s="156"/>
      <c r="E565" s="156"/>
      <c r="F565" s="156"/>
      <c r="G565" s="156"/>
      <c r="H565" s="156"/>
      <c r="I565" s="156"/>
      <c r="J565" s="274"/>
    </row>
    <row r="566" spans="1:10" x14ac:dyDescent="0.25">
      <c r="A566" s="165" t="s">
        <v>168</v>
      </c>
      <c r="B566" s="269"/>
      <c r="C566" s="156"/>
      <c r="D566" s="156"/>
      <c r="E566" s="156"/>
      <c r="F566" s="156"/>
      <c r="G566" s="156"/>
      <c r="H566" s="156"/>
      <c r="I566" s="156"/>
      <c r="J566" s="274"/>
    </row>
    <row r="567" spans="1:10" x14ac:dyDescent="0.25">
      <c r="A567" s="165" t="s">
        <v>169</v>
      </c>
      <c r="B567" s="269"/>
      <c r="C567" s="156"/>
      <c r="D567" s="156"/>
      <c r="E567" s="156"/>
      <c r="F567" s="156"/>
      <c r="G567" s="156"/>
      <c r="H567" s="156"/>
      <c r="I567" s="156"/>
      <c r="J567" s="274"/>
    </row>
    <row r="568" spans="1:10" x14ac:dyDescent="0.25">
      <c r="A568" s="165" t="s">
        <v>27</v>
      </c>
      <c r="B568" s="269"/>
      <c r="C568" s="156"/>
      <c r="D568" s="156"/>
      <c r="E568" s="156"/>
      <c r="F568" s="156"/>
      <c r="G568" s="156"/>
      <c r="H568" s="156"/>
      <c r="I568" s="156"/>
      <c r="J568" s="274"/>
    </row>
    <row r="569" spans="1:10" x14ac:dyDescent="0.25">
      <c r="A569" s="165" t="s">
        <v>170</v>
      </c>
      <c r="B569" s="269"/>
      <c r="C569" s="156"/>
      <c r="D569" s="156"/>
      <c r="E569" s="156"/>
      <c r="F569" s="156"/>
      <c r="G569" s="156"/>
      <c r="H569" s="156"/>
      <c r="I569" s="156"/>
      <c r="J569" s="274"/>
    </row>
    <row r="570" spans="1:10" x14ac:dyDescent="0.25">
      <c r="A570" s="282"/>
      <c r="B570" s="274"/>
      <c r="C570" s="274"/>
      <c r="D570" s="274"/>
      <c r="E570" s="274"/>
      <c r="F570" s="274"/>
      <c r="G570" s="274"/>
      <c r="H570" s="274"/>
      <c r="I570" s="274"/>
      <c r="J570" s="274"/>
    </row>
    <row r="571" spans="1:10" x14ac:dyDescent="0.25">
      <c r="A571" s="282"/>
      <c r="B571" s="274"/>
      <c r="C571" s="274"/>
      <c r="D571" s="274"/>
      <c r="E571" s="274"/>
      <c r="F571" s="274"/>
      <c r="G571" s="274"/>
      <c r="H571" s="274"/>
      <c r="I571" s="274"/>
      <c r="J571" s="274"/>
    </row>
    <row r="572" spans="1:10" x14ac:dyDescent="0.25">
      <c r="A572" s="161"/>
      <c r="B572" s="162"/>
      <c r="C572" s="162"/>
      <c r="D572" s="162"/>
      <c r="E572" s="162"/>
      <c r="F572" s="162"/>
      <c r="G572" s="162"/>
      <c r="H572" s="162"/>
      <c r="I572" s="162"/>
      <c r="J572" s="162"/>
    </row>
    <row r="573" spans="1:10" x14ac:dyDescent="0.25">
      <c r="A573" s="241">
        <v>40</v>
      </c>
      <c r="B573" s="240"/>
      <c r="C573" s="154"/>
      <c r="D573" s="154"/>
      <c r="E573" s="154"/>
      <c r="F573" s="154"/>
      <c r="G573" s="154"/>
      <c r="H573" s="154"/>
      <c r="I573" s="154"/>
      <c r="J573" s="154"/>
    </row>
    <row r="574" spans="1:10" ht="71.25" x14ac:dyDescent="0.25">
      <c r="A574" s="164" t="s">
        <v>0</v>
      </c>
      <c r="B574" s="268"/>
      <c r="C574" s="155" t="s">
        <v>1</v>
      </c>
      <c r="D574" s="155"/>
      <c r="E574" s="155" t="s">
        <v>2</v>
      </c>
      <c r="F574" s="155"/>
      <c r="G574" s="155" t="s">
        <v>166</v>
      </c>
      <c r="H574" s="155"/>
      <c r="I574" s="155" t="s">
        <v>3</v>
      </c>
      <c r="J574" s="272"/>
    </row>
    <row r="575" spans="1:10" x14ac:dyDescent="0.25">
      <c r="A575" s="165" t="s">
        <v>4</v>
      </c>
      <c r="B575" s="269"/>
      <c r="C575" s="157" t="s">
        <v>5</v>
      </c>
      <c r="D575" s="157"/>
      <c r="E575" s="157" t="s">
        <v>6</v>
      </c>
      <c r="F575" s="157"/>
      <c r="G575" s="157" t="s">
        <v>12</v>
      </c>
      <c r="H575" s="157"/>
      <c r="I575" s="157" t="s">
        <v>7</v>
      </c>
      <c r="J575" s="273"/>
    </row>
    <row r="576" spans="1:10" x14ac:dyDescent="0.25">
      <c r="A576" s="165" t="s">
        <v>4</v>
      </c>
      <c r="B576" s="269"/>
      <c r="C576" s="156"/>
      <c r="D576" s="156"/>
      <c r="E576" s="156"/>
      <c r="F576" s="156"/>
      <c r="G576" s="156"/>
      <c r="H576" s="156"/>
      <c r="I576" s="156"/>
      <c r="J576" s="274"/>
    </row>
    <row r="577" spans="1:10" x14ac:dyDescent="0.25">
      <c r="A577" s="165" t="s">
        <v>5</v>
      </c>
      <c r="B577" s="269"/>
      <c r="C577" s="156"/>
      <c r="D577" s="156"/>
      <c r="E577" s="156"/>
      <c r="F577" s="156"/>
      <c r="G577" s="156"/>
      <c r="H577" s="156"/>
      <c r="I577" s="156"/>
      <c r="J577" s="274"/>
    </row>
    <row r="578" spans="1:10" x14ac:dyDescent="0.25">
      <c r="A578" s="165" t="s">
        <v>6</v>
      </c>
      <c r="B578" s="269"/>
      <c r="C578" s="156"/>
      <c r="D578" s="156"/>
      <c r="E578" s="156"/>
      <c r="F578" s="156"/>
      <c r="G578" s="156"/>
      <c r="H578" s="156"/>
      <c r="I578" s="156"/>
      <c r="J578" s="274"/>
    </row>
    <row r="579" spans="1:10" x14ac:dyDescent="0.25">
      <c r="A579" s="165" t="s">
        <v>12</v>
      </c>
      <c r="B579" s="269"/>
      <c r="C579" s="156"/>
      <c r="D579" s="156"/>
      <c r="E579" s="156"/>
      <c r="F579" s="156"/>
      <c r="G579" s="156"/>
      <c r="H579" s="156"/>
      <c r="I579" s="156"/>
      <c r="J579" s="274"/>
    </row>
    <row r="580" spans="1:10" x14ac:dyDescent="0.25">
      <c r="A580" s="165" t="s">
        <v>7</v>
      </c>
      <c r="B580" s="269"/>
      <c r="C580" s="156"/>
      <c r="D580" s="156"/>
      <c r="E580" s="156"/>
      <c r="F580" s="156"/>
      <c r="G580" s="156"/>
      <c r="H580" s="156"/>
      <c r="I580" s="156"/>
      <c r="J580" s="274"/>
    </row>
    <row r="581" spans="1:10" x14ac:dyDescent="0.25">
      <c r="A581" s="165" t="s">
        <v>167</v>
      </c>
      <c r="B581" s="269"/>
      <c r="C581" s="156"/>
      <c r="D581" s="156"/>
      <c r="E581" s="156"/>
      <c r="F581" s="156"/>
      <c r="G581" s="156"/>
      <c r="H581" s="156"/>
      <c r="I581" s="156"/>
      <c r="J581" s="274"/>
    </row>
    <row r="582" spans="1:10" x14ac:dyDescent="0.25">
      <c r="A582" s="165" t="s">
        <v>168</v>
      </c>
      <c r="B582" s="269"/>
      <c r="C582" s="156"/>
      <c r="D582" s="156"/>
      <c r="E582" s="156"/>
      <c r="F582" s="156"/>
      <c r="G582" s="156"/>
      <c r="H582" s="156"/>
      <c r="I582" s="156"/>
      <c r="J582" s="274"/>
    </row>
    <row r="583" spans="1:10" x14ac:dyDescent="0.25">
      <c r="A583" s="165" t="s">
        <v>169</v>
      </c>
      <c r="B583" s="269"/>
      <c r="C583" s="156"/>
      <c r="D583" s="156"/>
      <c r="E583" s="156"/>
      <c r="F583" s="156"/>
      <c r="G583" s="156"/>
      <c r="H583" s="156"/>
      <c r="I583" s="156"/>
      <c r="J583" s="274"/>
    </row>
    <row r="584" spans="1:10" x14ac:dyDescent="0.25">
      <c r="A584" s="165" t="s">
        <v>27</v>
      </c>
      <c r="B584" s="269"/>
      <c r="C584" s="156"/>
      <c r="D584" s="156"/>
      <c r="E584" s="156"/>
      <c r="F584" s="156"/>
      <c r="G584" s="156"/>
      <c r="H584" s="156"/>
      <c r="I584" s="156"/>
      <c r="J584" s="274"/>
    </row>
    <row r="585" spans="1:10" x14ac:dyDescent="0.25">
      <c r="A585" s="165" t="s">
        <v>170</v>
      </c>
      <c r="B585" s="269"/>
      <c r="C585" s="156"/>
      <c r="D585" s="156"/>
      <c r="E585" s="156"/>
      <c r="F585" s="156"/>
      <c r="G585" s="156"/>
      <c r="H585" s="156"/>
      <c r="I585" s="156"/>
      <c r="J585" s="274"/>
    </row>
    <row r="586" spans="1:10" x14ac:dyDescent="0.25">
      <c r="A586" s="241"/>
      <c r="B586" s="240"/>
      <c r="C586" s="154"/>
      <c r="D586" s="154"/>
      <c r="E586" s="154"/>
      <c r="F586" s="154"/>
      <c r="G586" s="154"/>
      <c r="H586" s="154"/>
      <c r="I586" s="154"/>
      <c r="J586" s="154"/>
    </row>
    <row r="587" spans="1:10" x14ac:dyDescent="0.25">
      <c r="A587" s="241">
        <v>41</v>
      </c>
      <c r="B587" s="240"/>
      <c r="C587" s="162"/>
      <c r="D587" s="162"/>
      <c r="E587" s="162"/>
      <c r="F587" s="162"/>
      <c r="G587" s="162"/>
      <c r="H587" s="162"/>
      <c r="I587" s="162"/>
      <c r="J587" s="162"/>
    </row>
    <row r="588" spans="1:10" ht="71.25" x14ac:dyDescent="0.25">
      <c r="A588" s="164" t="s">
        <v>0</v>
      </c>
      <c r="B588" s="268"/>
      <c r="C588" s="155" t="s">
        <v>1</v>
      </c>
      <c r="D588" s="155"/>
      <c r="E588" s="155" t="s">
        <v>2</v>
      </c>
      <c r="F588" s="155"/>
      <c r="G588" s="155" t="s">
        <v>166</v>
      </c>
      <c r="H588" s="155"/>
      <c r="I588" s="155" t="s">
        <v>3</v>
      </c>
      <c r="J588" s="272"/>
    </row>
    <row r="589" spans="1:10" x14ac:dyDescent="0.25">
      <c r="A589" s="165" t="s">
        <v>4</v>
      </c>
      <c r="B589" s="269"/>
      <c r="C589" s="157" t="s">
        <v>5</v>
      </c>
      <c r="D589" s="157"/>
      <c r="E589" s="157" t="s">
        <v>6</v>
      </c>
      <c r="F589" s="157"/>
      <c r="G589" s="157" t="s">
        <v>12</v>
      </c>
      <c r="H589" s="157"/>
      <c r="I589" s="157" t="s">
        <v>7</v>
      </c>
      <c r="J589" s="273"/>
    </row>
    <row r="590" spans="1:10" x14ac:dyDescent="0.25">
      <c r="A590" s="165" t="s">
        <v>4</v>
      </c>
      <c r="B590" s="269"/>
      <c r="C590" s="156"/>
      <c r="D590" s="156"/>
      <c r="E590" s="156"/>
      <c r="F590" s="156"/>
      <c r="G590" s="156"/>
      <c r="H590" s="156"/>
      <c r="I590" s="156"/>
      <c r="J590" s="274"/>
    </row>
    <row r="591" spans="1:10" x14ac:dyDescent="0.25">
      <c r="A591" s="165" t="s">
        <v>5</v>
      </c>
      <c r="B591" s="269"/>
      <c r="C591" s="156"/>
      <c r="D591" s="156"/>
      <c r="E591" s="156"/>
      <c r="F591" s="156"/>
      <c r="G591" s="156"/>
      <c r="H591" s="156"/>
      <c r="I591" s="156"/>
      <c r="J591" s="274"/>
    </row>
    <row r="592" spans="1:10" x14ac:dyDescent="0.25">
      <c r="A592" s="165" t="s">
        <v>6</v>
      </c>
      <c r="B592" s="269"/>
      <c r="C592" s="156"/>
      <c r="D592" s="156"/>
      <c r="E592" s="156"/>
      <c r="F592" s="156"/>
      <c r="G592" s="156"/>
      <c r="H592" s="156"/>
      <c r="I592" s="156"/>
      <c r="J592" s="274"/>
    </row>
    <row r="593" spans="1:10" x14ac:dyDescent="0.25">
      <c r="A593" s="165" t="s">
        <v>12</v>
      </c>
      <c r="B593" s="269"/>
      <c r="C593" s="156"/>
      <c r="D593" s="156"/>
      <c r="E593" s="156"/>
      <c r="F593" s="156"/>
      <c r="G593" s="156"/>
      <c r="H593" s="156"/>
      <c r="I593" s="156"/>
      <c r="J593" s="274"/>
    </row>
    <row r="594" spans="1:10" x14ac:dyDescent="0.25">
      <c r="A594" s="165" t="s">
        <v>7</v>
      </c>
      <c r="B594" s="269"/>
      <c r="C594" s="158"/>
      <c r="D594" s="158"/>
      <c r="E594" s="156"/>
      <c r="F594" s="156"/>
      <c r="G594" s="156"/>
      <c r="H594" s="156"/>
      <c r="I594" s="156"/>
      <c r="J594" s="274"/>
    </row>
    <row r="595" spans="1:10" x14ac:dyDescent="0.25">
      <c r="A595" s="165" t="s">
        <v>167</v>
      </c>
      <c r="B595" s="269"/>
      <c r="C595" s="156"/>
      <c r="D595" s="156"/>
      <c r="E595" s="156"/>
      <c r="F595" s="156"/>
      <c r="G595" s="156"/>
      <c r="H595" s="156"/>
      <c r="I595" s="156"/>
      <c r="J595" s="274"/>
    </row>
    <row r="596" spans="1:10" x14ac:dyDescent="0.25">
      <c r="A596" s="165" t="s">
        <v>168</v>
      </c>
      <c r="B596" s="269"/>
      <c r="C596" s="156"/>
      <c r="D596" s="156"/>
      <c r="E596" s="156"/>
      <c r="F596" s="156"/>
      <c r="G596" s="156"/>
      <c r="H596" s="156"/>
      <c r="I596" s="156"/>
      <c r="J596" s="274"/>
    </row>
    <row r="597" spans="1:10" x14ac:dyDescent="0.25">
      <c r="A597" s="165" t="s">
        <v>169</v>
      </c>
      <c r="B597" s="269"/>
      <c r="C597" s="156"/>
      <c r="D597" s="156"/>
      <c r="E597" s="156"/>
      <c r="F597" s="156"/>
      <c r="G597" s="156"/>
      <c r="H597" s="156"/>
      <c r="I597" s="156"/>
      <c r="J597" s="274"/>
    </row>
    <row r="598" spans="1:10" x14ac:dyDescent="0.25">
      <c r="A598" s="165" t="s">
        <v>27</v>
      </c>
      <c r="B598" s="269"/>
      <c r="C598" s="156"/>
      <c r="D598" s="156"/>
      <c r="E598" s="156"/>
      <c r="F598" s="156"/>
      <c r="G598" s="156"/>
      <c r="H598" s="156"/>
      <c r="I598" s="156"/>
      <c r="J598" s="274"/>
    </row>
    <row r="599" spans="1:10" x14ac:dyDescent="0.25">
      <c r="A599" s="165" t="s">
        <v>170</v>
      </c>
      <c r="B599" s="269"/>
      <c r="C599" s="156"/>
      <c r="D599" s="156"/>
      <c r="E599" s="156"/>
      <c r="F599" s="156"/>
      <c r="G599" s="156"/>
      <c r="H599" s="156"/>
      <c r="I599" s="156"/>
      <c r="J599" s="274"/>
    </row>
    <row r="600" spans="1:10" x14ac:dyDescent="0.25">
      <c r="A600" s="166"/>
      <c r="B600" s="154"/>
      <c r="C600" s="154"/>
      <c r="D600" s="154"/>
      <c r="E600" s="154"/>
      <c r="F600" s="154"/>
      <c r="G600" s="154"/>
      <c r="H600" s="154"/>
      <c r="I600" s="154"/>
      <c r="J600" s="154"/>
    </row>
    <row r="601" spans="1:10" x14ac:dyDescent="0.25">
      <c r="A601" s="241">
        <v>42</v>
      </c>
      <c r="B601" s="240"/>
      <c r="C601" s="162"/>
      <c r="D601" s="162"/>
      <c r="E601" s="162"/>
      <c r="F601" s="162"/>
      <c r="G601" s="162"/>
      <c r="H601" s="162"/>
      <c r="I601" s="162"/>
      <c r="J601" s="162"/>
    </row>
    <row r="602" spans="1:10" ht="71.25" x14ac:dyDescent="0.25">
      <c r="A602" s="164" t="s">
        <v>0</v>
      </c>
      <c r="B602" s="268"/>
      <c r="C602" s="155" t="s">
        <v>1</v>
      </c>
      <c r="D602" s="155"/>
      <c r="E602" s="155" t="s">
        <v>2</v>
      </c>
      <c r="F602" s="155"/>
      <c r="G602" s="155" t="s">
        <v>166</v>
      </c>
      <c r="H602" s="155"/>
      <c r="I602" s="155" t="s">
        <v>3</v>
      </c>
      <c r="J602" s="272"/>
    </row>
    <row r="603" spans="1:10" x14ac:dyDescent="0.25">
      <c r="A603" s="165" t="s">
        <v>4</v>
      </c>
      <c r="B603" s="269"/>
      <c r="C603" s="157" t="s">
        <v>5</v>
      </c>
      <c r="D603" s="157"/>
      <c r="E603" s="157" t="s">
        <v>6</v>
      </c>
      <c r="F603" s="157"/>
      <c r="G603" s="157" t="s">
        <v>12</v>
      </c>
      <c r="H603" s="157"/>
      <c r="I603" s="157" t="s">
        <v>7</v>
      </c>
      <c r="J603" s="273"/>
    </row>
    <row r="604" spans="1:10" x14ac:dyDescent="0.25">
      <c r="A604" s="165" t="s">
        <v>4</v>
      </c>
      <c r="B604" s="269"/>
      <c r="C604" s="156"/>
      <c r="D604" s="156"/>
      <c r="E604" s="156"/>
      <c r="F604" s="156"/>
      <c r="G604" s="156"/>
      <c r="H604" s="156"/>
      <c r="I604" s="156"/>
      <c r="J604" s="274"/>
    </row>
    <row r="605" spans="1:10" x14ac:dyDescent="0.25">
      <c r="A605" s="165" t="s">
        <v>5</v>
      </c>
      <c r="B605" s="269"/>
      <c r="C605" s="156"/>
      <c r="D605" s="156"/>
      <c r="E605" s="156"/>
      <c r="F605" s="156"/>
      <c r="G605" s="156"/>
      <c r="H605" s="156"/>
      <c r="I605" s="156"/>
      <c r="J605" s="274"/>
    </row>
    <row r="606" spans="1:10" x14ac:dyDescent="0.25">
      <c r="A606" s="165" t="s">
        <v>6</v>
      </c>
      <c r="B606" s="269"/>
      <c r="C606" s="156"/>
      <c r="D606" s="156"/>
      <c r="E606" s="156"/>
      <c r="F606" s="156"/>
      <c r="G606" s="156"/>
      <c r="H606" s="156"/>
      <c r="I606" s="156"/>
      <c r="J606" s="274"/>
    </row>
    <row r="607" spans="1:10" x14ac:dyDescent="0.25">
      <c r="A607" s="165" t="s">
        <v>12</v>
      </c>
      <c r="B607" s="269"/>
      <c r="C607" s="156"/>
      <c r="D607" s="156"/>
      <c r="E607" s="156"/>
      <c r="F607" s="156"/>
      <c r="G607" s="156"/>
      <c r="H607" s="156"/>
      <c r="I607" s="156"/>
      <c r="J607" s="274"/>
    </row>
    <row r="608" spans="1:10" x14ac:dyDescent="0.25">
      <c r="A608" s="165" t="s">
        <v>7</v>
      </c>
      <c r="B608" s="269"/>
      <c r="C608" s="156"/>
      <c r="D608" s="156"/>
      <c r="E608" s="156"/>
      <c r="F608" s="156"/>
      <c r="G608" s="156"/>
      <c r="H608" s="156"/>
      <c r="I608" s="156"/>
      <c r="J608" s="274"/>
    </row>
    <row r="609" spans="1:10" x14ac:dyDescent="0.25">
      <c r="A609" s="165" t="s">
        <v>167</v>
      </c>
      <c r="B609" s="269"/>
      <c r="C609" s="156"/>
      <c r="D609" s="156"/>
      <c r="E609" s="156"/>
      <c r="F609" s="156"/>
      <c r="G609" s="156"/>
      <c r="H609" s="156"/>
      <c r="I609" s="156"/>
      <c r="J609" s="274"/>
    </row>
    <row r="610" spans="1:10" x14ac:dyDescent="0.25">
      <c r="A610" s="165" t="s">
        <v>168</v>
      </c>
      <c r="B610" s="269"/>
      <c r="C610" s="156"/>
      <c r="D610" s="156"/>
      <c r="E610" s="156"/>
      <c r="F610" s="156"/>
      <c r="G610" s="156"/>
      <c r="H610" s="156"/>
      <c r="I610" s="156"/>
      <c r="J610" s="274"/>
    </row>
    <row r="611" spans="1:10" x14ac:dyDescent="0.25">
      <c r="A611" s="165" t="s">
        <v>169</v>
      </c>
      <c r="B611" s="269"/>
      <c r="C611" s="156"/>
      <c r="D611" s="156"/>
      <c r="E611" s="156"/>
      <c r="F611" s="156"/>
      <c r="G611" s="156"/>
      <c r="H611" s="156"/>
      <c r="I611" s="156"/>
      <c r="J611" s="274"/>
    </row>
    <row r="612" spans="1:10" x14ac:dyDescent="0.25">
      <c r="A612" s="165" t="s">
        <v>27</v>
      </c>
      <c r="B612" s="269"/>
      <c r="C612" s="156"/>
      <c r="D612" s="156"/>
      <c r="E612" s="156"/>
      <c r="F612" s="156"/>
      <c r="G612" s="156"/>
      <c r="H612" s="156"/>
      <c r="I612" s="156"/>
      <c r="J612" s="274"/>
    </row>
    <row r="613" spans="1:10" x14ac:dyDescent="0.25">
      <c r="A613" s="165" t="s">
        <v>170</v>
      </c>
      <c r="B613" s="269"/>
      <c r="C613" s="156"/>
      <c r="D613" s="156"/>
      <c r="E613" s="156"/>
      <c r="F613" s="156"/>
      <c r="G613" s="156"/>
      <c r="H613" s="156"/>
      <c r="I613" s="156"/>
      <c r="J613" s="274"/>
    </row>
    <row r="614" spans="1:10" x14ac:dyDescent="0.25">
      <c r="A614" s="282"/>
      <c r="B614" s="274"/>
      <c r="C614" s="274"/>
      <c r="D614" s="274"/>
      <c r="E614" s="274"/>
      <c r="F614" s="274"/>
      <c r="G614" s="274"/>
      <c r="H614" s="274"/>
      <c r="I614" s="274"/>
      <c r="J614" s="274"/>
    </row>
    <row r="615" spans="1:10" x14ac:dyDescent="0.25">
      <c r="A615" s="282"/>
      <c r="B615" s="274"/>
      <c r="C615" s="274"/>
      <c r="D615" s="274"/>
      <c r="E615" s="274"/>
      <c r="F615" s="274"/>
      <c r="G615" s="274"/>
      <c r="H615" s="274"/>
      <c r="I615" s="274"/>
      <c r="J615" s="274"/>
    </row>
    <row r="616" spans="1:10" x14ac:dyDescent="0.25">
      <c r="A616" s="166"/>
      <c r="B616" s="154"/>
      <c r="C616" s="154"/>
      <c r="D616" s="154"/>
      <c r="E616" s="154"/>
      <c r="F616" s="154"/>
      <c r="G616" s="154"/>
      <c r="H616" s="154"/>
      <c r="I616" s="154"/>
      <c r="J616" s="154"/>
    </row>
    <row r="617" spans="1:10" x14ac:dyDescent="0.25">
      <c r="A617" s="241">
        <v>43</v>
      </c>
      <c r="B617" s="240"/>
      <c r="C617" s="162"/>
      <c r="D617" s="162"/>
      <c r="E617" s="162"/>
      <c r="F617" s="162"/>
      <c r="G617" s="162"/>
      <c r="H617" s="162"/>
      <c r="I617" s="162"/>
      <c r="J617" s="162"/>
    </row>
    <row r="618" spans="1:10" ht="71.25" x14ac:dyDescent="0.25">
      <c r="A618" s="164" t="s">
        <v>0</v>
      </c>
      <c r="B618" s="268"/>
      <c r="C618" s="155" t="s">
        <v>1</v>
      </c>
      <c r="D618" s="155"/>
      <c r="E618" s="155" t="s">
        <v>2</v>
      </c>
      <c r="F618" s="155"/>
      <c r="G618" s="155" t="s">
        <v>166</v>
      </c>
      <c r="H618" s="155"/>
      <c r="I618" s="155" t="s">
        <v>3</v>
      </c>
      <c r="J618" s="272"/>
    </row>
    <row r="619" spans="1:10" x14ac:dyDescent="0.25">
      <c r="A619" s="165" t="s">
        <v>4</v>
      </c>
      <c r="B619" s="269"/>
      <c r="C619" s="157" t="s">
        <v>5</v>
      </c>
      <c r="D619" s="157"/>
      <c r="E619" s="157" t="s">
        <v>6</v>
      </c>
      <c r="F619" s="157"/>
      <c r="G619" s="157" t="s">
        <v>12</v>
      </c>
      <c r="H619" s="157"/>
      <c r="I619" s="157" t="s">
        <v>7</v>
      </c>
      <c r="J619" s="273"/>
    </row>
    <row r="620" spans="1:10" x14ac:dyDescent="0.25">
      <c r="A620" s="165" t="s">
        <v>4</v>
      </c>
      <c r="B620" s="269"/>
      <c r="C620" s="156"/>
      <c r="D620" s="156"/>
      <c r="E620" s="156"/>
      <c r="F620" s="156"/>
      <c r="G620" s="156"/>
      <c r="H620" s="156"/>
      <c r="I620" s="156"/>
      <c r="J620" s="274"/>
    </row>
    <row r="621" spans="1:10" x14ac:dyDescent="0.25">
      <c r="A621" s="165" t="s">
        <v>5</v>
      </c>
      <c r="B621" s="269"/>
      <c r="C621" s="156"/>
      <c r="D621" s="156"/>
      <c r="E621" s="156"/>
      <c r="F621" s="156"/>
      <c r="G621" s="156"/>
      <c r="H621" s="156"/>
      <c r="I621" s="156"/>
      <c r="J621" s="274"/>
    </row>
    <row r="622" spans="1:10" x14ac:dyDescent="0.25">
      <c r="A622" s="165" t="s">
        <v>6</v>
      </c>
      <c r="B622" s="269"/>
      <c r="C622" s="156"/>
      <c r="D622" s="156"/>
      <c r="E622" s="156"/>
      <c r="F622" s="156"/>
      <c r="G622" s="156"/>
      <c r="H622" s="156"/>
      <c r="I622" s="156"/>
      <c r="J622" s="274"/>
    </row>
    <row r="623" spans="1:10" x14ac:dyDescent="0.25">
      <c r="A623" s="165" t="s">
        <v>12</v>
      </c>
      <c r="B623" s="269"/>
      <c r="C623" s="156"/>
      <c r="D623" s="156"/>
      <c r="E623" s="156"/>
      <c r="F623" s="156"/>
      <c r="G623" s="156"/>
      <c r="H623" s="156"/>
      <c r="I623" s="156"/>
      <c r="J623" s="274"/>
    </row>
    <row r="624" spans="1:10" x14ac:dyDescent="0.25">
      <c r="A624" s="165" t="s">
        <v>7</v>
      </c>
      <c r="B624" s="269"/>
      <c r="C624" s="156"/>
      <c r="D624" s="156"/>
      <c r="E624" s="156"/>
      <c r="F624" s="156"/>
      <c r="G624" s="156"/>
      <c r="H624" s="156"/>
      <c r="I624" s="156"/>
      <c r="J624" s="274"/>
    </row>
    <row r="625" spans="1:10" x14ac:dyDescent="0.25">
      <c r="A625" s="165" t="s">
        <v>167</v>
      </c>
      <c r="B625" s="269"/>
      <c r="C625" s="156"/>
      <c r="D625" s="156"/>
      <c r="E625" s="156"/>
      <c r="F625" s="156"/>
      <c r="G625" s="156"/>
      <c r="H625" s="156"/>
      <c r="I625" s="156"/>
      <c r="J625" s="274"/>
    </row>
    <row r="626" spans="1:10" x14ac:dyDescent="0.25">
      <c r="A626" s="165" t="s">
        <v>168</v>
      </c>
      <c r="B626" s="269"/>
      <c r="C626" s="156"/>
      <c r="D626" s="156"/>
      <c r="E626" s="156"/>
      <c r="F626" s="156"/>
      <c r="G626" s="156"/>
      <c r="H626" s="156"/>
      <c r="I626" s="156"/>
      <c r="J626" s="274"/>
    </row>
    <row r="627" spans="1:10" x14ac:dyDescent="0.25">
      <c r="A627" s="165" t="s">
        <v>169</v>
      </c>
      <c r="B627" s="269"/>
      <c r="C627" s="156"/>
      <c r="D627" s="156"/>
      <c r="E627" s="156"/>
      <c r="F627" s="156"/>
      <c r="G627" s="156"/>
      <c r="H627" s="156"/>
      <c r="I627" s="156"/>
      <c r="J627" s="274"/>
    </row>
    <row r="628" spans="1:10" x14ac:dyDescent="0.25">
      <c r="A628" s="165" t="s">
        <v>27</v>
      </c>
      <c r="B628" s="269"/>
      <c r="C628" s="156"/>
      <c r="D628" s="156"/>
      <c r="E628" s="156"/>
      <c r="F628" s="156"/>
      <c r="G628" s="156"/>
      <c r="H628" s="156"/>
      <c r="I628" s="156"/>
      <c r="J628" s="274"/>
    </row>
    <row r="629" spans="1:10" x14ac:dyDescent="0.25">
      <c r="A629" s="165" t="s">
        <v>170</v>
      </c>
      <c r="B629" s="269"/>
      <c r="C629" s="156"/>
      <c r="D629" s="156"/>
      <c r="E629" s="156"/>
      <c r="F629" s="156"/>
      <c r="G629" s="156"/>
      <c r="H629" s="156"/>
      <c r="I629" s="156"/>
      <c r="J629" s="274"/>
    </row>
    <row r="630" spans="1:10" x14ac:dyDescent="0.25">
      <c r="A630" s="166"/>
      <c r="B630" s="154"/>
      <c r="C630" s="154"/>
      <c r="D630" s="154"/>
      <c r="E630" s="154"/>
      <c r="F630" s="154"/>
      <c r="G630" s="154"/>
      <c r="H630" s="154"/>
      <c r="I630" s="154"/>
      <c r="J630" s="154"/>
    </row>
    <row r="631" spans="1:10" x14ac:dyDescent="0.25">
      <c r="A631" s="241">
        <v>44</v>
      </c>
      <c r="B631" s="240"/>
      <c r="C631" s="162"/>
      <c r="D631" s="162"/>
      <c r="E631" s="162"/>
      <c r="F631" s="162"/>
      <c r="G631" s="162"/>
      <c r="H631" s="162"/>
      <c r="I631" s="162"/>
      <c r="J631" s="162"/>
    </row>
    <row r="632" spans="1:10" ht="71.25" x14ac:dyDescent="0.25">
      <c r="A632" s="164" t="s">
        <v>0</v>
      </c>
      <c r="B632" s="268"/>
      <c r="C632" s="155" t="s">
        <v>1</v>
      </c>
      <c r="D632" s="155"/>
      <c r="E632" s="155" t="s">
        <v>2</v>
      </c>
      <c r="F632" s="155"/>
      <c r="G632" s="155" t="s">
        <v>166</v>
      </c>
      <c r="H632" s="155"/>
      <c r="I632" s="155" t="s">
        <v>3</v>
      </c>
      <c r="J632" s="272"/>
    </row>
    <row r="633" spans="1:10" x14ac:dyDescent="0.25">
      <c r="A633" s="165" t="s">
        <v>4</v>
      </c>
      <c r="B633" s="269"/>
      <c r="C633" s="157" t="s">
        <v>5</v>
      </c>
      <c r="D633" s="157"/>
      <c r="E633" s="157" t="s">
        <v>6</v>
      </c>
      <c r="F633" s="157"/>
      <c r="G633" s="157" t="s">
        <v>12</v>
      </c>
      <c r="H633" s="157"/>
      <c r="I633" s="157" t="s">
        <v>7</v>
      </c>
      <c r="J633" s="273"/>
    </row>
    <row r="634" spans="1:10" x14ac:dyDescent="0.25">
      <c r="A634" s="165" t="s">
        <v>4</v>
      </c>
      <c r="B634" s="269"/>
      <c r="C634" s="156"/>
      <c r="D634" s="156"/>
      <c r="E634" s="156"/>
      <c r="F634" s="156"/>
      <c r="G634" s="156"/>
      <c r="H634" s="156"/>
      <c r="I634" s="156"/>
      <c r="J634" s="274"/>
    </row>
    <row r="635" spans="1:10" x14ac:dyDescent="0.25">
      <c r="A635" s="165" t="s">
        <v>5</v>
      </c>
      <c r="B635" s="269"/>
      <c r="C635" s="156"/>
      <c r="D635" s="156"/>
      <c r="E635" s="156"/>
      <c r="F635" s="156"/>
      <c r="G635" s="156"/>
      <c r="H635" s="156"/>
      <c r="I635" s="156"/>
      <c r="J635" s="274"/>
    </row>
    <row r="636" spans="1:10" x14ac:dyDescent="0.25">
      <c r="A636" s="165" t="s">
        <v>6</v>
      </c>
      <c r="B636" s="269"/>
      <c r="C636" s="156"/>
      <c r="D636" s="156"/>
      <c r="E636" s="156"/>
      <c r="F636" s="156"/>
      <c r="G636" s="156"/>
      <c r="H636" s="156"/>
      <c r="I636" s="156"/>
      <c r="J636" s="274"/>
    </row>
    <row r="637" spans="1:10" x14ac:dyDescent="0.25">
      <c r="A637" s="165" t="s">
        <v>12</v>
      </c>
      <c r="B637" s="269"/>
      <c r="C637" s="156"/>
      <c r="D637" s="156"/>
      <c r="E637" s="156"/>
      <c r="F637" s="156"/>
      <c r="G637" s="156"/>
      <c r="H637" s="156"/>
      <c r="I637" s="156"/>
      <c r="J637" s="274"/>
    </row>
    <row r="638" spans="1:10" x14ac:dyDescent="0.25">
      <c r="A638" s="165" t="s">
        <v>7</v>
      </c>
      <c r="B638" s="269"/>
      <c r="C638" s="156"/>
      <c r="D638" s="156"/>
      <c r="E638" s="156"/>
      <c r="F638" s="156"/>
      <c r="G638" s="156"/>
      <c r="H638" s="156"/>
      <c r="I638" s="156"/>
      <c r="J638" s="274"/>
    </row>
    <row r="639" spans="1:10" x14ac:dyDescent="0.25">
      <c r="A639" s="165" t="s">
        <v>167</v>
      </c>
      <c r="B639" s="269"/>
      <c r="C639" s="156"/>
      <c r="D639" s="156"/>
      <c r="E639" s="156"/>
      <c r="F639" s="156"/>
      <c r="G639" s="156"/>
      <c r="H639" s="156"/>
      <c r="I639" s="156"/>
      <c r="J639" s="274"/>
    </row>
    <row r="640" spans="1:10" x14ac:dyDescent="0.25">
      <c r="A640" s="165" t="s">
        <v>168</v>
      </c>
      <c r="B640" s="269"/>
      <c r="C640" s="156"/>
      <c r="D640" s="156"/>
      <c r="E640" s="156"/>
      <c r="F640" s="156"/>
      <c r="G640" s="156"/>
      <c r="H640" s="156"/>
      <c r="I640" s="156"/>
      <c r="J640" s="274"/>
    </row>
    <row r="641" spans="1:10" x14ac:dyDescent="0.25">
      <c r="A641" s="165" t="s">
        <v>169</v>
      </c>
      <c r="B641" s="269"/>
      <c r="C641" s="156"/>
      <c r="D641" s="156"/>
      <c r="E641" s="156"/>
      <c r="F641" s="156"/>
      <c r="G641" s="156"/>
      <c r="H641" s="156"/>
      <c r="I641" s="156"/>
      <c r="J641" s="274"/>
    </row>
    <row r="642" spans="1:10" x14ac:dyDescent="0.25">
      <c r="A642" s="165" t="s">
        <v>27</v>
      </c>
      <c r="B642" s="269"/>
      <c r="C642" s="156"/>
      <c r="D642" s="156"/>
      <c r="E642" s="156"/>
      <c r="F642" s="156"/>
      <c r="G642" s="156"/>
      <c r="H642" s="156"/>
      <c r="I642" s="156"/>
      <c r="J642" s="274"/>
    </row>
    <row r="643" spans="1:10" x14ac:dyDescent="0.25">
      <c r="A643" s="165" t="s">
        <v>170</v>
      </c>
      <c r="B643" s="269"/>
      <c r="C643" s="156"/>
      <c r="D643" s="156"/>
      <c r="E643" s="156"/>
      <c r="F643" s="156"/>
      <c r="G643" s="156"/>
      <c r="H643" s="156"/>
      <c r="I643" s="156"/>
      <c r="J643" s="274"/>
    </row>
    <row r="644" spans="1:10" x14ac:dyDescent="0.25">
      <c r="A644" s="166"/>
      <c r="B644" s="154"/>
      <c r="C644" s="154"/>
      <c r="D644" s="154"/>
      <c r="E644" s="154"/>
      <c r="F644" s="154"/>
      <c r="G644" s="154"/>
      <c r="H644" s="154"/>
      <c r="I644" s="154"/>
      <c r="J644" s="154"/>
    </row>
    <row r="645" spans="1:10" x14ac:dyDescent="0.25">
      <c r="A645" s="241">
        <v>45</v>
      </c>
      <c r="B645" s="240"/>
      <c r="C645" s="162"/>
      <c r="D645" s="162"/>
      <c r="E645" s="162"/>
      <c r="F645" s="162"/>
      <c r="G645" s="162"/>
      <c r="H645" s="162"/>
      <c r="I645" s="162"/>
      <c r="J645" s="162"/>
    </row>
    <row r="646" spans="1:10" ht="71.25" x14ac:dyDescent="0.25">
      <c r="A646" s="164" t="s">
        <v>0</v>
      </c>
      <c r="B646" s="268"/>
      <c r="C646" s="155" t="s">
        <v>1</v>
      </c>
      <c r="D646" s="155"/>
      <c r="E646" s="155" t="s">
        <v>2</v>
      </c>
      <c r="F646" s="155"/>
      <c r="G646" s="155" t="s">
        <v>166</v>
      </c>
      <c r="H646" s="155"/>
      <c r="I646" s="155" t="s">
        <v>3</v>
      </c>
      <c r="J646" s="272"/>
    </row>
    <row r="647" spans="1:10" x14ac:dyDescent="0.25">
      <c r="A647" s="165" t="s">
        <v>4</v>
      </c>
      <c r="B647" s="269"/>
      <c r="C647" s="157" t="s">
        <v>5</v>
      </c>
      <c r="D647" s="157"/>
      <c r="E647" s="157" t="s">
        <v>6</v>
      </c>
      <c r="F647" s="157"/>
      <c r="G647" s="157" t="s">
        <v>12</v>
      </c>
      <c r="H647" s="157"/>
      <c r="I647" s="157" t="s">
        <v>7</v>
      </c>
      <c r="J647" s="273"/>
    </row>
    <row r="648" spans="1:10" x14ac:dyDescent="0.25">
      <c r="A648" s="165" t="s">
        <v>4</v>
      </c>
      <c r="B648" s="269"/>
      <c r="C648" s="156"/>
      <c r="D648" s="156"/>
      <c r="E648" s="156"/>
      <c r="F648" s="156"/>
      <c r="G648" s="156"/>
      <c r="H648" s="156"/>
      <c r="I648" s="156"/>
      <c r="J648" s="274"/>
    </row>
    <row r="649" spans="1:10" x14ac:dyDescent="0.25">
      <c r="A649" s="165" t="s">
        <v>5</v>
      </c>
      <c r="B649" s="269"/>
      <c r="C649" s="156"/>
      <c r="D649" s="156"/>
      <c r="E649" s="156"/>
      <c r="F649" s="156"/>
      <c r="G649" s="156"/>
      <c r="H649" s="156"/>
      <c r="I649" s="156"/>
      <c r="J649" s="274"/>
    </row>
    <row r="650" spans="1:10" x14ac:dyDescent="0.25">
      <c r="A650" s="165" t="s">
        <v>6</v>
      </c>
      <c r="B650" s="269"/>
      <c r="C650" s="156"/>
      <c r="D650" s="156"/>
      <c r="E650" s="156"/>
      <c r="F650" s="156"/>
      <c r="G650" s="156"/>
      <c r="H650" s="156"/>
      <c r="I650" s="156"/>
      <c r="J650" s="274"/>
    </row>
    <row r="651" spans="1:10" x14ac:dyDescent="0.25">
      <c r="A651" s="165" t="s">
        <v>12</v>
      </c>
      <c r="B651" s="269"/>
      <c r="C651" s="156"/>
      <c r="D651" s="156"/>
      <c r="E651" s="156"/>
      <c r="F651" s="156"/>
      <c r="G651" s="156"/>
      <c r="H651" s="156"/>
      <c r="I651" s="156"/>
      <c r="J651" s="274"/>
    </row>
    <row r="652" spans="1:10" x14ac:dyDescent="0.25">
      <c r="A652" s="165" t="s">
        <v>7</v>
      </c>
      <c r="B652" s="269"/>
      <c r="C652" s="156"/>
      <c r="D652" s="156"/>
      <c r="E652" s="156"/>
      <c r="F652" s="156"/>
      <c r="G652" s="156"/>
      <c r="H652" s="156"/>
      <c r="I652" s="156"/>
      <c r="J652" s="274"/>
    </row>
    <row r="653" spans="1:10" x14ac:dyDescent="0.25">
      <c r="A653" s="165" t="s">
        <v>167</v>
      </c>
      <c r="B653" s="269"/>
      <c r="C653" s="156"/>
      <c r="D653" s="156"/>
      <c r="E653" s="156"/>
      <c r="F653" s="156"/>
      <c r="G653" s="156"/>
      <c r="H653" s="156"/>
      <c r="I653" s="156"/>
      <c r="J653" s="274"/>
    </row>
    <row r="654" spans="1:10" x14ac:dyDescent="0.25">
      <c r="A654" s="165" t="s">
        <v>168</v>
      </c>
      <c r="B654" s="269"/>
      <c r="C654" s="156"/>
      <c r="D654" s="156"/>
      <c r="E654" s="156"/>
      <c r="F654" s="156"/>
      <c r="G654" s="156"/>
      <c r="H654" s="156"/>
      <c r="I654" s="156"/>
      <c r="J654" s="274"/>
    </row>
    <row r="655" spans="1:10" x14ac:dyDescent="0.25">
      <c r="A655" s="165" t="s">
        <v>169</v>
      </c>
      <c r="B655" s="269"/>
      <c r="C655" s="156"/>
      <c r="D655" s="156"/>
      <c r="E655" s="156"/>
      <c r="F655" s="156"/>
      <c r="G655" s="156"/>
      <c r="H655" s="156"/>
      <c r="I655" s="156"/>
      <c r="J655" s="274"/>
    </row>
    <row r="656" spans="1:10" x14ac:dyDescent="0.25">
      <c r="A656" s="165" t="s">
        <v>27</v>
      </c>
      <c r="B656" s="269"/>
      <c r="C656" s="156"/>
      <c r="D656" s="156"/>
      <c r="E656" s="156"/>
      <c r="F656" s="156"/>
      <c r="G656" s="156"/>
      <c r="H656" s="156"/>
      <c r="I656" s="156"/>
      <c r="J656" s="274"/>
    </row>
    <row r="657" spans="1:10" x14ac:dyDescent="0.25">
      <c r="A657" s="165" t="s">
        <v>170</v>
      </c>
      <c r="B657" s="269"/>
      <c r="C657" s="156"/>
      <c r="D657" s="156"/>
      <c r="E657" s="156"/>
      <c r="F657" s="156"/>
      <c r="G657" s="156"/>
      <c r="H657" s="156"/>
      <c r="I657" s="156"/>
      <c r="J657" s="274"/>
    </row>
    <row r="658" spans="1:10" x14ac:dyDescent="0.25">
      <c r="A658" s="282"/>
      <c r="B658" s="274"/>
      <c r="C658" s="274"/>
      <c r="D658" s="274"/>
      <c r="E658" s="274"/>
      <c r="F658" s="274"/>
      <c r="G658" s="274"/>
      <c r="H658" s="274"/>
      <c r="I658" s="274"/>
      <c r="J658" s="274"/>
    </row>
    <row r="659" spans="1:10" x14ac:dyDescent="0.25">
      <c r="A659" s="282"/>
      <c r="B659" s="274"/>
      <c r="C659" s="274"/>
      <c r="D659" s="274"/>
      <c r="E659" s="274"/>
      <c r="F659" s="274"/>
      <c r="G659" s="274"/>
      <c r="H659" s="274"/>
      <c r="I659" s="274"/>
      <c r="J659" s="274"/>
    </row>
    <row r="660" spans="1:10" x14ac:dyDescent="0.25">
      <c r="A660" s="166"/>
      <c r="B660" s="154"/>
      <c r="C660" s="154"/>
      <c r="D660" s="154"/>
      <c r="E660" s="154"/>
      <c r="F660" s="154"/>
      <c r="G660" s="154"/>
      <c r="H660" s="154"/>
      <c r="I660" s="154"/>
      <c r="J660" s="154"/>
    </row>
    <row r="661" spans="1:10" x14ac:dyDescent="0.25">
      <c r="A661" s="241">
        <v>46</v>
      </c>
      <c r="B661" s="240"/>
      <c r="C661" s="162"/>
      <c r="D661" s="162"/>
      <c r="E661" s="162"/>
      <c r="F661" s="162"/>
      <c r="G661" s="162"/>
      <c r="H661" s="162"/>
      <c r="I661" s="162"/>
      <c r="J661" s="162"/>
    </row>
    <row r="662" spans="1:10" ht="71.25" x14ac:dyDescent="0.25">
      <c r="A662" s="164" t="s">
        <v>0</v>
      </c>
      <c r="B662" s="268"/>
      <c r="C662" s="155" t="s">
        <v>1</v>
      </c>
      <c r="D662" s="155"/>
      <c r="E662" s="155" t="s">
        <v>2</v>
      </c>
      <c r="F662" s="155"/>
      <c r="G662" s="155" t="s">
        <v>166</v>
      </c>
      <c r="H662" s="155"/>
      <c r="I662" s="155" t="s">
        <v>3</v>
      </c>
      <c r="J662" s="272"/>
    </row>
    <row r="663" spans="1:10" x14ac:dyDescent="0.25">
      <c r="A663" s="165" t="s">
        <v>4</v>
      </c>
      <c r="B663" s="269"/>
      <c r="C663" s="157" t="s">
        <v>5</v>
      </c>
      <c r="D663" s="157"/>
      <c r="E663" s="157" t="s">
        <v>6</v>
      </c>
      <c r="F663" s="157"/>
      <c r="G663" s="157" t="s">
        <v>12</v>
      </c>
      <c r="H663" s="157"/>
      <c r="I663" s="157" t="s">
        <v>7</v>
      </c>
      <c r="J663" s="273"/>
    </row>
    <row r="664" spans="1:10" x14ac:dyDescent="0.25">
      <c r="A664" s="165" t="s">
        <v>4</v>
      </c>
      <c r="B664" s="269"/>
      <c r="C664" s="156"/>
      <c r="D664" s="156"/>
      <c r="E664" s="156"/>
      <c r="F664" s="156"/>
      <c r="G664" s="156"/>
      <c r="H664" s="156"/>
      <c r="I664" s="156"/>
      <c r="J664" s="274"/>
    </row>
    <row r="665" spans="1:10" x14ac:dyDescent="0.25">
      <c r="A665" s="165" t="s">
        <v>5</v>
      </c>
      <c r="B665" s="269"/>
      <c r="C665" s="156"/>
      <c r="D665" s="156"/>
      <c r="E665" s="156"/>
      <c r="F665" s="156"/>
      <c r="G665" s="156"/>
      <c r="H665" s="156"/>
      <c r="I665" s="156"/>
      <c r="J665" s="274"/>
    </row>
    <row r="666" spans="1:10" x14ac:dyDescent="0.25">
      <c r="A666" s="165" t="s">
        <v>6</v>
      </c>
      <c r="B666" s="269"/>
      <c r="C666" s="156"/>
      <c r="D666" s="156"/>
      <c r="E666" s="156"/>
      <c r="F666" s="156"/>
      <c r="G666" s="156"/>
      <c r="H666" s="156"/>
      <c r="I666" s="156"/>
      <c r="J666" s="274"/>
    </row>
    <row r="667" spans="1:10" x14ac:dyDescent="0.25">
      <c r="A667" s="165" t="s">
        <v>12</v>
      </c>
      <c r="B667" s="269"/>
      <c r="C667" s="156"/>
      <c r="D667" s="156"/>
      <c r="E667" s="156"/>
      <c r="F667" s="156"/>
      <c r="G667" s="156"/>
      <c r="H667" s="156"/>
      <c r="I667" s="156"/>
      <c r="J667" s="274"/>
    </row>
    <row r="668" spans="1:10" x14ac:dyDescent="0.25">
      <c r="A668" s="165" t="s">
        <v>7</v>
      </c>
      <c r="B668" s="269"/>
      <c r="C668" s="156"/>
      <c r="D668" s="156"/>
      <c r="E668" s="156"/>
      <c r="F668" s="156"/>
      <c r="G668" s="156"/>
      <c r="H668" s="156"/>
      <c r="I668" s="156"/>
      <c r="J668" s="274"/>
    </row>
    <row r="669" spans="1:10" x14ac:dyDescent="0.25">
      <c r="A669" s="165" t="s">
        <v>167</v>
      </c>
      <c r="B669" s="269"/>
      <c r="C669" s="156"/>
      <c r="D669" s="156"/>
      <c r="E669" s="156"/>
      <c r="F669" s="156"/>
      <c r="G669" s="156"/>
      <c r="H669" s="156"/>
      <c r="I669" s="156"/>
      <c r="J669" s="274"/>
    </row>
    <row r="670" spans="1:10" x14ac:dyDescent="0.25">
      <c r="A670" s="165" t="s">
        <v>168</v>
      </c>
      <c r="B670" s="269"/>
      <c r="C670" s="156"/>
      <c r="D670" s="156"/>
      <c r="E670" s="156"/>
      <c r="F670" s="156"/>
      <c r="G670" s="156"/>
      <c r="H670" s="156"/>
      <c r="I670" s="156"/>
      <c r="J670" s="274"/>
    </row>
    <row r="671" spans="1:10" x14ac:dyDescent="0.25">
      <c r="A671" s="165" t="s">
        <v>169</v>
      </c>
      <c r="B671" s="269"/>
      <c r="C671" s="156"/>
      <c r="D671" s="156"/>
      <c r="E671" s="156"/>
      <c r="F671" s="156"/>
      <c r="G671" s="156"/>
      <c r="H671" s="156"/>
      <c r="I671" s="156"/>
      <c r="J671" s="274"/>
    </row>
    <row r="672" spans="1:10" x14ac:dyDescent="0.25">
      <c r="A672" s="165" t="s">
        <v>27</v>
      </c>
      <c r="B672" s="269"/>
      <c r="C672" s="156"/>
      <c r="D672" s="156"/>
      <c r="E672" s="156"/>
      <c r="F672" s="156"/>
      <c r="G672" s="156"/>
      <c r="H672" s="156"/>
      <c r="I672" s="156"/>
      <c r="J672" s="274"/>
    </row>
    <row r="673" spans="1:10" x14ac:dyDescent="0.25">
      <c r="A673" s="165" t="s">
        <v>170</v>
      </c>
      <c r="B673" s="269"/>
      <c r="C673" s="156"/>
      <c r="D673" s="156"/>
      <c r="E673" s="156"/>
      <c r="F673" s="156"/>
      <c r="G673" s="156"/>
      <c r="H673" s="156"/>
      <c r="I673" s="156"/>
      <c r="J673" s="274"/>
    </row>
    <row r="674" spans="1:10" x14ac:dyDescent="0.25">
      <c r="A674" s="166"/>
      <c r="B674" s="154"/>
      <c r="C674" s="154"/>
      <c r="D674" s="154"/>
      <c r="E674" s="154"/>
      <c r="F674" s="154"/>
      <c r="G674" s="154"/>
      <c r="H674" s="154"/>
      <c r="I674" s="154"/>
      <c r="J674" s="154"/>
    </row>
    <row r="675" spans="1:10" x14ac:dyDescent="0.25">
      <c r="A675" s="241">
        <v>47</v>
      </c>
      <c r="B675" s="240"/>
      <c r="C675" s="162"/>
      <c r="D675" s="162"/>
      <c r="E675" s="162"/>
      <c r="F675" s="162"/>
      <c r="G675" s="162"/>
      <c r="H675" s="162"/>
      <c r="I675" s="162"/>
      <c r="J675" s="162"/>
    </row>
    <row r="676" spans="1:10" ht="71.25" x14ac:dyDescent="0.25">
      <c r="A676" s="164" t="s">
        <v>0</v>
      </c>
      <c r="B676" s="268"/>
      <c r="C676" s="155" t="s">
        <v>1</v>
      </c>
      <c r="D676" s="155"/>
      <c r="E676" s="155" t="s">
        <v>2</v>
      </c>
      <c r="F676" s="155"/>
      <c r="G676" s="155" t="s">
        <v>166</v>
      </c>
      <c r="H676" s="155"/>
      <c r="I676" s="155" t="s">
        <v>3</v>
      </c>
      <c r="J676" s="272"/>
    </row>
    <row r="677" spans="1:10" x14ac:dyDescent="0.25">
      <c r="A677" s="165" t="s">
        <v>4</v>
      </c>
      <c r="B677" s="269"/>
      <c r="C677" s="157" t="s">
        <v>5</v>
      </c>
      <c r="D677" s="157"/>
      <c r="E677" s="157" t="s">
        <v>6</v>
      </c>
      <c r="F677" s="157"/>
      <c r="G677" s="157" t="s">
        <v>12</v>
      </c>
      <c r="H677" s="157"/>
      <c r="I677" s="157" t="s">
        <v>7</v>
      </c>
      <c r="J677" s="273"/>
    </row>
    <row r="678" spans="1:10" x14ac:dyDescent="0.25">
      <c r="A678" s="165" t="s">
        <v>4</v>
      </c>
      <c r="B678" s="269"/>
      <c r="C678" s="156"/>
      <c r="D678" s="156"/>
      <c r="E678" s="156"/>
      <c r="F678" s="156"/>
      <c r="G678" s="156"/>
      <c r="H678" s="156"/>
      <c r="I678" s="156"/>
      <c r="J678" s="274"/>
    </row>
    <row r="679" spans="1:10" x14ac:dyDescent="0.25">
      <c r="A679" s="165" t="s">
        <v>5</v>
      </c>
      <c r="B679" s="269"/>
      <c r="C679" s="156"/>
      <c r="D679" s="156"/>
      <c r="E679" s="156"/>
      <c r="F679" s="156"/>
      <c r="G679" s="156"/>
      <c r="H679" s="156"/>
      <c r="I679" s="156"/>
      <c r="J679" s="274"/>
    </row>
    <row r="680" spans="1:10" x14ac:dyDescent="0.25">
      <c r="A680" s="165" t="s">
        <v>6</v>
      </c>
      <c r="B680" s="269"/>
      <c r="C680" s="156"/>
      <c r="D680" s="156"/>
      <c r="E680" s="156"/>
      <c r="F680" s="156"/>
      <c r="G680" s="156"/>
      <c r="H680" s="156"/>
      <c r="I680" s="156"/>
      <c r="J680" s="274"/>
    </row>
    <row r="681" spans="1:10" x14ac:dyDescent="0.25">
      <c r="A681" s="165" t="s">
        <v>12</v>
      </c>
      <c r="B681" s="269"/>
      <c r="C681" s="156"/>
      <c r="D681" s="156"/>
      <c r="E681" s="156"/>
      <c r="F681" s="156"/>
      <c r="G681" s="156"/>
      <c r="H681" s="156"/>
      <c r="I681" s="156"/>
      <c r="J681" s="274"/>
    </row>
    <row r="682" spans="1:10" x14ac:dyDescent="0.25">
      <c r="A682" s="165" t="s">
        <v>7</v>
      </c>
      <c r="B682" s="269"/>
      <c r="C682" s="156"/>
      <c r="D682" s="156"/>
      <c r="E682" s="156"/>
      <c r="F682" s="156"/>
      <c r="G682" s="156"/>
      <c r="H682" s="156"/>
      <c r="I682" s="156"/>
      <c r="J682" s="274"/>
    </row>
    <row r="683" spans="1:10" x14ac:dyDescent="0.25">
      <c r="A683" s="165" t="s">
        <v>167</v>
      </c>
      <c r="B683" s="269"/>
      <c r="C683" s="156"/>
      <c r="D683" s="156"/>
      <c r="E683" s="156"/>
      <c r="F683" s="156"/>
      <c r="G683" s="156"/>
      <c r="H683" s="156"/>
      <c r="I683" s="156"/>
      <c r="J683" s="274"/>
    </row>
    <row r="684" spans="1:10" x14ac:dyDescent="0.25">
      <c r="A684" s="165" t="s">
        <v>168</v>
      </c>
      <c r="B684" s="269"/>
      <c r="C684" s="156"/>
      <c r="D684" s="156"/>
      <c r="E684" s="156"/>
      <c r="F684" s="156"/>
      <c r="G684" s="156"/>
      <c r="H684" s="156"/>
      <c r="I684" s="156"/>
      <c r="J684" s="274"/>
    </row>
    <row r="685" spans="1:10" x14ac:dyDescent="0.25">
      <c r="A685" s="165" t="s">
        <v>169</v>
      </c>
      <c r="B685" s="269"/>
      <c r="C685" s="156"/>
      <c r="D685" s="156"/>
      <c r="E685" s="156"/>
      <c r="F685" s="156"/>
      <c r="G685" s="156"/>
      <c r="H685" s="156"/>
      <c r="I685" s="156"/>
      <c r="J685" s="274"/>
    </row>
    <row r="686" spans="1:10" x14ac:dyDescent="0.25">
      <c r="A686" s="165" t="s">
        <v>27</v>
      </c>
      <c r="B686" s="269"/>
      <c r="C686" s="156"/>
      <c r="D686" s="156"/>
      <c r="E686" s="156"/>
      <c r="F686" s="156"/>
      <c r="G686" s="156"/>
      <c r="H686" s="156"/>
      <c r="I686" s="156"/>
      <c r="J686" s="274"/>
    </row>
    <row r="687" spans="1:10" x14ac:dyDescent="0.25">
      <c r="A687" s="165" t="s">
        <v>170</v>
      </c>
      <c r="B687" s="269"/>
      <c r="C687" s="156"/>
      <c r="D687" s="156"/>
      <c r="E687" s="156"/>
      <c r="F687" s="156"/>
      <c r="G687" s="156"/>
      <c r="H687" s="156"/>
      <c r="I687" s="156"/>
      <c r="J687" s="274"/>
    </row>
    <row r="688" spans="1:10" x14ac:dyDescent="0.25">
      <c r="A688" s="166"/>
      <c r="B688" s="154"/>
      <c r="C688" s="154"/>
      <c r="D688" s="154"/>
      <c r="E688" s="154"/>
      <c r="F688" s="154"/>
      <c r="G688" s="154"/>
      <c r="H688" s="154"/>
      <c r="I688" s="154"/>
      <c r="J688" s="154"/>
    </row>
    <row r="689" spans="1:10" x14ac:dyDescent="0.25">
      <c r="A689" s="241">
        <v>48</v>
      </c>
      <c r="B689" s="240"/>
      <c r="C689" s="162"/>
      <c r="D689" s="162"/>
      <c r="E689" s="162"/>
      <c r="F689" s="162"/>
      <c r="G689" s="162"/>
      <c r="H689" s="162"/>
      <c r="I689" s="162"/>
      <c r="J689" s="162"/>
    </row>
    <row r="690" spans="1:10" ht="71.25" x14ac:dyDescent="0.25">
      <c r="A690" s="164" t="s">
        <v>0</v>
      </c>
      <c r="B690" s="268"/>
      <c r="C690" s="155" t="s">
        <v>1</v>
      </c>
      <c r="D690" s="155"/>
      <c r="E690" s="155" t="s">
        <v>2</v>
      </c>
      <c r="F690" s="155"/>
      <c r="G690" s="155" t="s">
        <v>166</v>
      </c>
      <c r="H690" s="155"/>
      <c r="I690" s="155" t="s">
        <v>3</v>
      </c>
      <c r="J690" s="272"/>
    </row>
    <row r="691" spans="1:10" x14ac:dyDescent="0.25">
      <c r="A691" s="165" t="s">
        <v>4</v>
      </c>
      <c r="B691" s="269"/>
      <c r="C691" s="157" t="s">
        <v>5</v>
      </c>
      <c r="D691" s="157"/>
      <c r="E691" s="157" t="s">
        <v>6</v>
      </c>
      <c r="F691" s="157"/>
      <c r="G691" s="157" t="s">
        <v>12</v>
      </c>
      <c r="H691" s="157"/>
      <c r="I691" s="157" t="s">
        <v>7</v>
      </c>
      <c r="J691" s="273"/>
    </row>
    <row r="692" spans="1:10" x14ac:dyDescent="0.25">
      <c r="A692" s="165" t="s">
        <v>4</v>
      </c>
      <c r="B692" s="269"/>
      <c r="C692" s="156"/>
      <c r="D692" s="156"/>
      <c r="E692" s="156"/>
      <c r="F692" s="156"/>
      <c r="G692" s="156"/>
      <c r="H692" s="156"/>
      <c r="I692" s="156"/>
      <c r="J692" s="274"/>
    </row>
    <row r="693" spans="1:10" x14ac:dyDescent="0.25">
      <c r="A693" s="165" t="s">
        <v>5</v>
      </c>
      <c r="B693" s="269"/>
      <c r="C693" s="156"/>
      <c r="D693" s="156"/>
      <c r="E693" s="156"/>
      <c r="F693" s="156"/>
      <c r="G693" s="156"/>
      <c r="H693" s="156"/>
      <c r="I693" s="156"/>
      <c r="J693" s="274"/>
    </row>
    <row r="694" spans="1:10" x14ac:dyDescent="0.25">
      <c r="A694" s="165" t="s">
        <v>6</v>
      </c>
      <c r="B694" s="269"/>
      <c r="C694" s="156"/>
      <c r="D694" s="156"/>
      <c r="E694" s="156"/>
      <c r="F694" s="156"/>
      <c r="G694" s="156"/>
      <c r="H694" s="156"/>
      <c r="I694" s="156"/>
      <c r="J694" s="274"/>
    </row>
    <row r="695" spans="1:10" x14ac:dyDescent="0.25">
      <c r="A695" s="165" t="s">
        <v>12</v>
      </c>
      <c r="B695" s="269"/>
      <c r="C695" s="156"/>
      <c r="D695" s="156"/>
      <c r="E695" s="156"/>
      <c r="F695" s="156"/>
      <c r="G695" s="156"/>
      <c r="H695" s="156"/>
      <c r="I695" s="156"/>
      <c r="J695" s="274"/>
    </row>
    <row r="696" spans="1:10" x14ac:dyDescent="0.25">
      <c r="A696" s="165" t="s">
        <v>7</v>
      </c>
      <c r="B696" s="269"/>
      <c r="C696" s="156"/>
      <c r="D696" s="156"/>
      <c r="E696" s="156"/>
      <c r="F696" s="156"/>
      <c r="G696" s="156"/>
      <c r="H696" s="156"/>
      <c r="I696" s="156"/>
      <c r="J696" s="274"/>
    </row>
    <row r="697" spans="1:10" x14ac:dyDescent="0.25">
      <c r="A697" s="165" t="s">
        <v>167</v>
      </c>
      <c r="B697" s="269"/>
      <c r="C697" s="156"/>
      <c r="D697" s="156"/>
      <c r="E697" s="156"/>
      <c r="F697" s="156"/>
      <c r="G697" s="156"/>
      <c r="H697" s="156"/>
      <c r="I697" s="156"/>
      <c r="J697" s="274"/>
    </row>
    <row r="698" spans="1:10" x14ac:dyDescent="0.25">
      <c r="A698" s="165" t="s">
        <v>168</v>
      </c>
      <c r="B698" s="269"/>
      <c r="C698" s="156"/>
      <c r="D698" s="156"/>
      <c r="E698" s="156"/>
      <c r="F698" s="156"/>
      <c r="G698" s="156"/>
      <c r="H698" s="156"/>
      <c r="I698" s="156"/>
      <c r="J698" s="274"/>
    </row>
    <row r="699" spans="1:10" x14ac:dyDescent="0.25">
      <c r="A699" s="165" t="s">
        <v>169</v>
      </c>
      <c r="B699" s="269"/>
      <c r="C699" s="156"/>
      <c r="D699" s="156"/>
      <c r="E699" s="156"/>
      <c r="F699" s="156"/>
      <c r="G699" s="156"/>
      <c r="H699" s="156"/>
      <c r="I699" s="156"/>
      <c r="J699" s="274"/>
    </row>
    <row r="700" spans="1:10" x14ac:dyDescent="0.25">
      <c r="A700" s="165" t="s">
        <v>27</v>
      </c>
      <c r="B700" s="269"/>
      <c r="C700" s="156"/>
      <c r="D700" s="156"/>
      <c r="E700" s="156"/>
      <c r="F700" s="156"/>
      <c r="G700" s="156"/>
      <c r="H700" s="156"/>
      <c r="I700" s="156"/>
      <c r="J700" s="274"/>
    </row>
    <row r="701" spans="1:10" x14ac:dyDescent="0.25">
      <c r="A701" s="165" t="s">
        <v>170</v>
      </c>
      <c r="B701" s="269"/>
      <c r="C701" s="156"/>
      <c r="D701" s="156"/>
      <c r="E701" s="156"/>
      <c r="F701" s="156"/>
      <c r="G701" s="156"/>
      <c r="H701" s="156"/>
      <c r="I701" s="156"/>
      <c r="J701" s="274"/>
    </row>
    <row r="702" spans="1:10" x14ac:dyDescent="0.25">
      <c r="A702" s="282"/>
      <c r="B702" s="274"/>
      <c r="C702" s="274"/>
      <c r="D702" s="274"/>
      <c r="E702" s="274"/>
      <c r="F702" s="274"/>
      <c r="G702" s="274"/>
      <c r="H702" s="274"/>
      <c r="I702" s="274"/>
      <c r="J702" s="274"/>
    </row>
    <row r="703" spans="1:10" x14ac:dyDescent="0.25">
      <c r="A703" s="282"/>
      <c r="B703" s="274"/>
      <c r="C703" s="274"/>
      <c r="D703" s="274"/>
      <c r="E703" s="274"/>
      <c r="F703" s="274"/>
      <c r="G703" s="274"/>
      <c r="H703" s="274"/>
      <c r="I703" s="274"/>
      <c r="J703" s="274"/>
    </row>
    <row r="704" spans="1:10" x14ac:dyDescent="0.25">
      <c r="A704" s="166"/>
      <c r="B704" s="154"/>
      <c r="C704" s="154"/>
      <c r="D704" s="154"/>
      <c r="E704" s="154"/>
      <c r="F704" s="154"/>
      <c r="G704" s="154"/>
      <c r="H704" s="154"/>
      <c r="I704" s="154"/>
      <c r="J704" s="154"/>
    </row>
    <row r="705" spans="1:10" x14ac:dyDescent="0.25">
      <c r="A705" s="241">
        <v>49</v>
      </c>
      <c r="B705" s="240"/>
      <c r="C705" s="162"/>
      <c r="D705" s="162"/>
      <c r="E705" s="162"/>
      <c r="F705" s="162"/>
      <c r="G705" s="162"/>
      <c r="H705" s="162"/>
      <c r="I705" s="162"/>
      <c r="J705" s="162"/>
    </row>
    <row r="706" spans="1:10" ht="71.25" x14ac:dyDescent="0.25">
      <c r="A706" s="164" t="s">
        <v>0</v>
      </c>
      <c r="B706" s="268"/>
      <c r="C706" s="155" t="s">
        <v>1</v>
      </c>
      <c r="D706" s="155"/>
      <c r="E706" s="155" t="s">
        <v>2</v>
      </c>
      <c r="F706" s="155"/>
      <c r="G706" s="155" t="s">
        <v>166</v>
      </c>
      <c r="H706" s="155"/>
      <c r="I706" s="155" t="s">
        <v>3</v>
      </c>
      <c r="J706" s="272"/>
    </row>
    <row r="707" spans="1:10" x14ac:dyDescent="0.25">
      <c r="A707" s="165" t="s">
        <v>4</v>
      </c>
      <c r="B707" s="269"/>
      <c r="C707" s="157" t="s">
        <v>5</v>
      </c>
      <c r="D707" s="157"/>
      <c r="E707" s="157" t="s">
        <v>6</v>
      </c>
      <c r="F707" s="157"/>
      <c r="G707" s="157" t="s">
        <v>12</v>
      </c>
      <c r="H707" s="157"/>
      <c r="I707" s="157" t="s">
        <v>7</v>
      </c>
      <c r="J707" s="273"/>
    </row>
    <row r="708" spans="1:10" x14ac:dyDescent="0.25">
      <c r="A708" s="165" t="s">
        <v>4</v>
      </c>
      <c r="B708" s="269"/>
      <c r="C708" s="156"/>
      <c r="D708" s="156"/>
      <c r="E708" s="156"/>
      <c r="F708" s="156"/>
      <c r="G708" s="156"/>
      <c r="H708" s="156"/>
      <c r="I708" s="156"/>
      <c r="J708" s="274"/>
    </row>
    <row r="709" spans="1:10" x14ac:dyDescent="0.25">
      <c r="A709" s="165" t="s">
        <v>5</v>
      </c>
      <c r="B709" s="269"/>
      <c r="C709" s="156"/>
      <c r="D709" s="156"/>
      <c r="E709" s="156"/>
      <c r="F709" s="156"/>
      <c r="G709" s="156"/>
      <c r="H709" s="156"/>
      <c r="I709" s="156"/>
      <c r="J709" s="274"/>
    </row>
    <row r="710" spans="1:10" x14ac:dyDescent="0.25">
      <c r="A710" s="165" t="s">
        <v>6</v>
      </c>
      <c r="B710" s="269"/>
      <c r="C710" s="156"/>
      <c r="D710" s="156"/>
      <c r="E710" s="156"/>
      <c r="F710" s="156"/>
      <c r="G710" s="156"/>
      <c r="H710" s="156"/>
      <c r="I710" s="156"/>
      <c r="J710" s="274"/>
    </row>
    <row r="711" spans="1:10" x14ac:dyDescent="0.25">
      <c r="A711" s="165" t="s">
        <v>12</v>
      </c>
      <c r="B711" s="269"/>
      <c r="C711" s="156"/>
      <c r="D711" s="156"/>
      <c r="E711" s="156"/>
      <c r="F711" s="156"/>
      <c r="G711" s="156"/>
      <c r="H711" s="156"/>
      <c r="I711" s="156"/>
      <c r="J711" s="274"/>
    </row>
    <row r="712" spans="1:10" x14ac:dyDescent="0.25">
      <c r="A712" s="165" t="s">
        <v>7</v>
      </c>
      <c r="B712" s="269"/>
      <c r="C712" s="156"/>
      <c r="D712" s="156"/>
      <c r="E712" s="156"/>
      <c r="F712" s="156"/>
      <c r="G712" s="156"/>
      <c r="H712" s="156"/>
      <c r="I712" s="156"/>
      <c r="J712" s="274"/>
    </row>
    <row r="713" spans="1:10" x14ac:dyDescent="0.25">
      <c r="A713" s="165" t="s">
        <v>167</v>
      </c>
      <c r="B713" s="269"/>
      <c r="C713" s="156"/>
      <c r="D713" s="156"/>
      <c r="E713" s="156"/>
      <c r="F713" s="156"/>
      <c r="G713" s="156"/>
      <c r="H713" s="156"/>
      <c r="I713" s="156"/>
      <c r="J713" s="274"/>
    </row>
    <row r="714" spans="1:10" x14ac:dyDescent="0.25">
      <c r="A714" s="165" t="s">
        <v>168</v>
      </c>
      <c r="B714" s="269"/>
      <c r="C714" s="156"/>
      <c r="D714" s="156"/>
      <c r="E714" s="156"/>
      <c r="F714" s="156"/>
      <c r="G714" s="156"/>
      <c r="H714" s="156"/>
      <c r="I714" s="156"/>
      <c r="J714" s="274"/>
    </row>
    <row r="715" spans="1:10" x14ac:dyDescent="0.25">
      <c r="A715" s="165" t="s">
        <v>169</v>
      </c>
      <c r="B715" s="269"/>
      <c r="C715" s="156"/>
      <c r="D715" s="156"/>
      <c r="E715" s="156"/>
      <c r="F715" s="156"/>
      <c r="G715" s="156"/>
      <c r="H715" s="156"/>
      <c r="I715" s="156"/>
      <c r="J715" s="274"/>
    </row>
    <row r="716" spans="1:10" x14ac:dyDescent="0.25">
      <c r="A716" s="165" t="s">
        <v>27</v>
      </c>
      <c r="B716" s="269"/>
      <c r="C716" s="156"/>
      <c r="D716" s="156"/>
      <c r="E716" s="156"/>
      <c r="F716" s="156"/>
      <c r="G716" s="156"/>
      <c r="H716" s="156"/>
      <c r="I716" s="156"/>
      <c r="J716" s="274"/>
    </row>
    <row r="717" spans="1:10" x14ac:dyDescent="0.25">
      <c r="A717" s="165" t="s">
        <v>170</v>
      </c>
      <c r="B717" s="269"/>
      <c r="C717" s="156"/>
      <c r="D717" s="156"/>
      <c r="E717" s="156"/>
      <c r="F717" s="156"/>
      <c r="G717" s="156"/>
      <c r="H717" s="156"/>
      <c r="I717" s="156"/>
      <c r="J717" s="274"/>
    </row>
    <row r="718" spans="1:10" x14ac:dyDescent="0.25">
      <c r="A718" s="166"/>
      <c r="B718" s="154"/>
      <c r="C718" s="154"/>
      <c r="D718" s="154"/>
      <c r="E718" s="154"/>
      <c r="F718" s="154"/>
      <c r="G718" s="154"/>
      <c r="H718" s="154"/>
      <c r="I718" s="154"/>
      <c r="J718" s="154"/>
    </row>
    <row r="719" spans="1:10" x14ac:dyDescent="0.25">
      <c r="A719" s="241">
        <v>50</v>
      </c>
      <c r="B719" s="240"/>
      <c r="C719" s="162"/>
      <c r="D719" s="162"/>
      <c r="E719" s="162"/>
      <c r="F719" s="162"/>
      <c r="G719" s="162"/>
      <c r="H719" s="162"/>
      <c r="I719" s="162"/>
      <c r="J719" s="162"/>
    </row>
    <row r="720" spans="1:10" ht="71.25" x14ac:dyDescent="0.25">
      <c r="A720" s="164" t="s">
        <v>0</v>
      </c>
      <c r="B720" s="268"/>
      <c r="C720" s="155" t="s">
        <v>1</v>
      </c>
      <c r="D720" s="155"/>
      <c r="E720" s="155" t="s">
        <v>2</v>
      </c>
      <c r="F720" s="155"/>
      <c r="G720" s="155" t="s">
        <v>166</v>
      </c>
      <c r="H720" s="155"/>
      <c r="I720" s="155" t="s">
        <v>3</v>
      </c>
      <c r="J720" s="272"/>
    </row>
    <row r="721" spans="1:10" x14ac:dyDescent="0.25">
      <c r="A721" s="165" t="s">
        <v>4</v>
      </c>
      <c r="B721" s="269"/>
      <c r="C721" s="157" t="s">
        <v>5</v>
      </c>
      <c r="D721" s="157"/>
      <c r="E721" s="157" t="s">
        <v>6</v>
      </c>
      <c r="F721" s="157"/>
      <c r="G721" s="157" t="s">
        <v>12</v>
      </c>
      <c r="H721" s="157"/>
      <c r="I721" s="157" t="s">
        <v>7</v>
      </c>
      <c r="J721" s="273"/>
    </row>
    <row r="722" spans="1:10" x14ac:dyDescent="0.25">
      <c r="A722" s="165" t="s">
        <v>4</v>
      </c>
      <c r="B722" s="269"/>
      <c r="C722" s="156"/>
      <c r="D722" s="156"/>
      <c r="E722" s="156"/>
      <c r="F722" s="156"/>
      <c r="G722" s="156"/>
      <c r="H722" s="156"/>
      <c r="I722" s="156"/>
      <c r="J722" s="274"/>
    </row>
    <row r="723" spans="1:10" x14ac:dyDescent="0.25">
      <c r="A723" s="165" t="s">
        <v>5</v>
      </c>
      <c r="B723" s="269"/>
      <c r="C723" s="156"/>
      <c r="D723" s="156"/>
      <c r="E723" s="156"/>
      <c r="F723" s="156"/>
      <c r="G723" s="156"/>
      <c r="H723" s="156"/>
      <c r="I723" s="156"/>
      <c r="J723" s="274"/>
    </row>
    <row r="724" spans="1:10" x14ac:dyDescent="0.25">
      <c r="A724" s="165" t="s">
        <v>6</v>
      </c>
      <c r="B724" s="269"/>
      <c r="C724" s="156"/>
      <c r="D724" s="156"/>
      <c r="E724" s="156"/>
      <c r="F724" s="156"/>
      <c r="G724" s="156"/>
      <c r="H724" s="156"/>
      <c r="I724" s="156"/>
      <c r="J724" s="274"/>
    </row>
    <row r="725" spans="1:10" x14ac:dyDescent="0.25">
      <c r="A725" s="165" t="s">
        <v>12</v>
      </c>
      <c r="B725" s="269"/>
      <c r="C725" s="156"/>
      <c r="D725" s="156"/>
      <c r="E725" s="156"/>
      <c r="F725" s="156"/>
      <c r="G725" s="156"/>
      <c r="H725" s="156"/>
      <c r="I725" s="156"/>
      <c r="J725" s="274"/>
    </row>
    <row r="726" spans="1:10" x14ac:dyDescent="0.25">
      <c r="A726" s="165" t="s">
        <v>7</v>
      </c>
      <c r="B726" s="269"/>
      <c r="C726" s="156"/>
      <c r="D726" s="156"/>
      <c r="E726" s="156"/>
      <c r="F726" s="156"/>
      <c r="G726" s="156"/>
      <c r="H726" s="156"/>
      <c r="I726" s="156"/>
      <c r="J726" s="274"/>
    </row>
    <row r="727" spans="1:10" x14ac:dyDescent="0.25">
      <c r="A727" s="165" t="s">
        <v>167</v>
      </c>
      <c r="B727" s="269"/>
      <c r="C727" s="156"/>
      <c r="D727" s="156"/>
      <c r="E727" s="156"/>
      <c r="F727" s="156"/>
      <c r="G727" s="156"/>
      <c r="H727" s="156"/>
      <c r="I727" s="156"/>
      <c r="J727" s="274"/>
    </row>
    <row r="728" spans="1:10" x14ac:dyDescent="0.25">
      <c r="A728" s="165" t="s">
        <v>168</v>
      </c>
      <c r="B728" s="269"/>
      <c r="C728" s="156"/>
      <c r="D728" s="156"/>
      <c r="E728" s="156"/>
      <c r="F728" s="156"/>
      <c r="G728" s="156"/>
      <c r="H728" s="156"/>
      <c r="I728" s="156"/>
      <c r="J728" s="274"/>
    </row>
    <row r="729" spans="1:10" x14ac:dyDescent="0.25">
      <c r="A729" s="165" t="s">
        <v>169</v>
      </c>
      <c r="B729" s="269"/>
      <c r="C729" s="156"/>
      <c r="D729" s="156"/>
      <c r="E729" s="156"/>
      <c r="F729" s="156"/>
      <c r="G729" s="156"/>
      <c r="H729" s="156"/>
      <c r="I729" s="156"/>
      <c r="J729" s="274"/>
    </row>
    <row r="730" spans="1:10" x14ac:dyDescent="0.25">
      <c r="A730" s="165" t="s">
        <v>27</v>
      </c>
      <c r="B730" s="269"/>
      <c r="C730" s="156"/>
      <c r="D730" s="156"/>
      <c r="E730" s="156"/>
      <c r="F730" s="156"/>
      <c r="G730" s="156"/>
      <c r="H730" s="156"/>
      <c r="I730" s="156"/>
      <c r="J730" s="274"/>
    </row>
    <row r="731" spans="1:10" x14ac:dyDescent="0.25">
      <c r="A731" s="165" t="s">
        <v>170</v>
      </c>
      <c r="B731" s="269"/>
      <c r="C731" s="156"/>
      <c r="D731" s="156"/>
      <c r="E731" s="156"/>
      <c r="F731" s="156"/>
      <c r="G731" s="156"/>
      <c r="H731" s="156"/>
      <c r="I731" s="156"/>
      <c r="J731" s="274"/>
    </row>
    <row r="732" spans="1:10" x14ac:dyDescent="0.25">
      <c r="A732" s="166"/>
      <c r="B732" s="154"/>
      <c r="C732" s="154"/>
      <c r="D732" s="154"/>
      <c r="E732" s="154"/>
      <c r="F732" s="154"/>
      <c r="G732" s="154"/>
      <c r="H732" s="154"/>
      <c r="I732" s="154"/>
      <c r="J732" s="154"/>
    </row>
    <row r="733" spans="1:10" x14ac:dyDescent="0.25">
      <c r="A733" s="241">
        <v>51</v>
      </c>
      <c r="B733" s="240"/>
      <c r="C733" s="162"/>
      <c r="D733" s="162"/>
      <c r="E733" s="162"/>
      <c r="F733" s="162"/>
      <c r="G733" s="162"/>
      <c r="H733" s="162"/>
      <c r="I733" s="162"/>
      <c r="J733" s="162"/>
    </row>
    <row r="734" spans="1:10" ht="71.25" x14ac:dyDescent="0.25">
      <c r="A734" s="164" t="s">
        <v>0</v>
      </c>
      <c r="B734" s="268"/>
      <c r="C734" s="155" t="s">
        <v>1</v>
      </c>
      <c r="D734" s="155"/>
      <c r="E734" s="155" t="s">
        <v>2</v>
      </c>
      <c r="F734" s="155"/>
      <c r="G734" s="155" t="s">
        <v>166</v>
      </c>
      <c r="H734" s="155"/>
      <c r="I734" s="155" t="s">
        <v>3</v>
      </c>
      <c r="J734" s="272"/>
    </row>
    <row r="735" spans="1:10" x14ac:dyDescent="0.25">
      <c r="A735" s="165" t="s">
        <v>4</v>
      </c>
      <c r="B735" s="269"/>
      <c r="C735" s="157" t="s">
        <v>5</v>
      </c>
      <c r="D735" s="157"/>
      <c r="E735" s="157" t="s">
        <v>6</v>
      </c>
      <c r="F735" s="157"/>
      <c r="G735" s="157" t="s">
        <v>12</v>
      </c>
      <c r="H735" s="157"/>
      <c r="I735" s="157" t="s">
        <v>7</v>
      </c>
      <c r="J735" s="273"/>
    </row>
    <row r="736" spans="1:10" x14ac:dyDescent="0.25">
      <c r="A736" s="165" t="s">
        <v>4</v>
      </c>
      <c r="B736" s="269"/>
      <c r="C736" s="156"/>
      <c r="D736" s="156"/>
      <c r="E736" s="156"/>
      <c r="F736" s="156"/>
      <c r="G736" s="156"/>
      <c r="H736" s="156"/>
      <c r="I736" s="156"/>
      <c r="J736" s="274"/>
    </row>
    <row r="737" spans="1:10" x14ac:dyDescent="0.25">
      <c r="A737" s="165" t="s">
        <v>5</v>
      </c>
      <c r="B737" s="269"/>
      <c r="C737" s="156"/>
      <c r="D737" s="156"/>
      <c r="E737" s="156"/>
      <c r="F737" s="156"/>
      <c r="G737" s="156"/>
      <c r="H737" s="156"/>
      <c r="I737" s="156"/>
      <c r="J737" s="274"/>
    </row>
    <row r="738" spans="1:10" x14ac:dyDescent="0.25">
      <c r="A738" s="165" t="s">
        <v>6</v>
      </c>
      <c r="B738" s="269"/>
      <c r="C738" s="156"/>
      <c r="D738" s="156"/>
      <c r="E738" s="156"/>
      <c r="F738" s="156"/>
      <c r="G738" s="156"/>
      <c r="H738" s="156"/>
      <c r="I738" s="156"/>
      <c r="J738" s="274"/>
    </row>
    <row r="739" spans="1:10" x14ac:dyDescent="0.25">
      <c r="A739" s="165" t="s">
        <v>12</v>
      </c>
      <c r="B739" s="269"/>
      <c r="C739" s="156"/>
      <c r="D739" s="156"/>
      <c r="E739" s="156"/>
      <c r="F739" s="156"/>
      <c r="G739" s="156"/>
      <c r="H739" s="156"/>
      <c r="I739" s="156"/>
      <c r="J739" s="274"/>
    </row>
    <row r="740" spans="1:10" x14ac:dyDescent="0.25">
      <c r="A740" s="165" t="s">
        <v>7</v>
      </c>
      <c r="B740" s="269"/>
      <c r="C740" s="156"/>
      <c r="D740" s="156"/>
      <c r="E740" s="156"/>
      <c r="F740" s="156"/>
      <c r="G740" s="156"/>
      <c r="H740" s="156"/>
      <c r="I740" s="156"/>
      <c r="J740" s="274"/>
    </row>
    <row r="741" spans="1:10" x14ac:dyDescent="0.25">
      <c r="A741" s="165" t="s">
        <v>167</v>
      </c>
      <c r="B741" s="269"/>
      <c r="C741" s="156"/>
      <c r="D741" s="156"/>
      <c r="E741" s="156"/>
      <c r="F741" s="156"/>
      <c r="G741" s="156"/>
      <c r="H741" s="156"/>
      <c r="I741" s="156"/>
      <c r="J741" s="274"/>
    </row>
    <row r="742" spans="1:10" x14ac:dyDescent="0.25">
      <c r="A742" s="165" t="s">
        <v>168</v>
      </c>
      <c r="B742" s="269"/>
      <c r="C742" s="156"/>
      <c r="D742" s="156"/>
      <c r="E742" s="156"/>
      <c r="F742" s="156"/>
      <c r="G742" s="156"/>
      <c r="H742" s="156"/>
      <c r="I742" s="156"/>
      <c r="J742" s="274"/>
    </row>
    <row r="743" spans="1:10" x14ac:dyDescent="0.25">
      <c r="A743" s="165" t="s">
        <v>169</v>
      </c>
      <c r="B743" s="269"/>
      <c r="C743" s="156"/>
      <c r="D743" s="156"/>
      <c r="E743" s="156"/>
      <c r="F743" s="156"/>
      <c r="G743" s="156"/>
      <c r="H743" s="156"/>
      <c r="I743" s="156"/>
      <c r="J743" s="274"/>
    </row>
    <row r="744" spans="1:10" x14ac:dyDescent="0.25">
      <c r="A744" s="165" t="s">
        <v>27</v>
      </c>
      <c r="B744" s="269"/>
      <c r="C744" s="156"/>
      <c r="D744" s="156"/>
      <c r="E744" s="156"/>
      <c r="F744" s="156"/>
      <c r="G744" s="156"/>
      <c r="H744" s="156"/>
      <c r="I744" s="156"/>
      <c r="J744" s="274"/>
    </row>
    <row r="745" spans="1:10" x14ac:dyDescent="0.25">
      <c r="A745" s="165" t="s">
        <v>170</v>
      </c>
      <c r="B745" s="269"/>
      <c r="C745" s="156"/>
      <c r="D745" s="156"/>
      <c r="E745" s="156"/>
      <c r="F745" s="156"/>
      <c r="G745" s="156"/>
      <c r="H745" s="156"/>
      <c r="I745" s="156"/>
      <c r="J745" s="274"/>
    </row>
    <row r="746" spans="1:10" x14ac:dyDescent="0.25">
      <c r="A746" s="282"/>
      <c r="B746" s="274"/>
      <c r="C746" s="274"/>
      <c r="D746" s="274"/>
      <c r="E746" s="274"/>
      <c r="F746" s="274"/>
      <c r="G746" s="274"/>
      <c r="H746" s="274"/>
      <c r="I746" s="274"/>
      <c r="J746" s="274"/>
    </row>
    <row r="747" spans="1:10" x14ac:dyDescent="0.25">
      <c r="A747" s="282"/>
      <c r="B747" s="274"/>
      <c r="C747" s="274"/>
      <c r="D747" s="274"/>
      <c r="E747" s="274"/>
      <c r="F747" s="274"/>
      <c r="G747" s="274"/>
      <c r="H747" s="274"/>
      <c r="I747" s="274"/>
      <c r="J747" s="274"/>
    </row>
    <row r="748" spans="1:10" x14ac:dyDescent="0.25">
      <c r="A748" s="166"/>
      <c r="B748" s="154"/>
      <c r="C748" s="154"/>
      <c r="D748" s="154"/>
      <c r="E748" s="154"/>
      <c r="F748" s="154"/>
      <c r="G748" s="154"/>
      <c r="H748" s="154"/>
      <c r="I748" s="154"/>
      <c r="J748" s="154"/>
    </row>
    <row r="749" spans="1:10" x14ac:dyDescent="0.25">
      <c r="A749" s="241">
        <v>52</v>
      </c>
      <c r="B749" s="240"/>
      <c r="C749" s="162"/>
      <c r="D749" s="162"/>
      <c r="E749" s="162"/>
      <c r="F749" s="162"/>
      <c r="G749" s="162"/>
      <c r="H749" s="162"/>
      <c r="I749" s="162"/>
      <c r="J749" s="162"/>
    </row>
    <row r="750" spans="1:10" ht="71.25" x14ac:dyDescent="0.25">
      <c r="A750" s="164" t="s">
        <v>0</v>
      </c>
      <c r="B750" s="268"/>
      <c r="C750" s="155" t="s">
        <v>1</v>
      </c>
      <c r="D750" s="155"/>
      <c r="E750" s="155" t="s">
        <v>2</v>
      </c>
      <c r="F750" s="155"/>
      <c r="G750" s="155" t="s">
        <v>166</v>
      </c>
      <c r="H750" s="155"/>
      <c r="I750" s="155" t="s">
        <v>3</v>
      </c>
      <c r="J750" s="272"/>
    </row>
    <row r="751" spans="1:10" x14ac:dyDescent="0.25">
      <c r="A751" s="165" t="s">
        <v>4</v>
      </c>
      <c r="B751" s="269"/>
      <c r="C751" s="157" t="s">
        <v>5</v>
      </c>
      <c r="D751" s="157"/>
      <c r="E751" s="157" t="s">
        <v>6</v>
      </c>
      <c r="F751" s="157"/>
      <c r="G751" s="157" t="s">
        <v>12</v>
      </c>
      <c r="H751" s="157"/>
      <c r="I751" s="157" t="s">
        <v>7</v>
      </c>
      <c r="J751" s="273"/>
    </row>
    <row r="752" spans="1:10" x14ac:dyDescent="0.25">
      <c r="A752" s="165" t="s">
        <v>4</v>
      </c>
      <c r="B752" s="269"/>
      <c r="C752" s="156"/>
      <c r="D752" s="156"/>
      <c r="E752" s="156"/>
      <c r="F752" s="156"/>
      <c r="G752" s="156"/>
      <c r="H752" s="156"/>
      <c r="I752" s="156"/>
      <c r="J752" s="274"/>
    </row>
    <row r="753" spans="1:10" x14ac:dyDescent="0.25">
      <c r="A753" s="165" t="s">
        <v>5</v>
      </c>
      <c r="B753" s="269"/>
      <c r="C753" s="156"/>
      <c r="D753" s="156"/>
      <c r="E753" s="156"/>
      <c r="F753" s="156"/>
      <c r="G753" s="156"/>
      <c r="H753" s="156"/>
      <c r="I753" s="156"/>
      <c r="J753" s="274"/>
    </row>
    <row r="754" spans="1:10" x14ac:dyDescent="0.25">
      <c r="A754" s="165" t="s">
        <v>6</v>
      </c>
      <c r="B754" s="269"/>
      <c r="C754" s="156"/>
      <c r="D754" s="156"/>
      <c r="E754" s="156"/>
      <c r="F754" s="156"/>
      <c r="G754" s="156"/>
      <c r="H754" s="156"/>
      <c r="I754" s="156"/>
      <c r="J754" s="274"/>
    </row>
    <row r="755" spans="1:10" x14ac:dyDescent="0.25">
      <c r="A755" s="165" t="s">
        <v>12</v>
      </c>
      <c r="B755" s="269"/>
      <c r="C755" s="156"/>
      <c r="D755" s="156"/>
      <c r="E755" s="156"/>
      <c r="F755" s="156"/>
      <c r="G755" s="156"/>
      <c r="H755" s="156"/>
      <c r="I755" s="156"/>
      <c r="J755" s="274"/>
    </row>
    <row r="756" spans="1:10" x14ac:dyDescent="0.25">
      <c r="A756" s="165" t="s">
        <v>7</v>
      </c>
      <c r="B756" s="269"/>
      <c r="C756" s="156"/>
      <c r="D756" s="156"/>
      <c r="E756" s="156"/>
      <c r="F756" s="156"/>
      <c r="G756" s="156"/>
      <c r="H756" s="156"/>
      <c r="I756" s="156"/>
      <c r="J756" s="274"/>
    </row>
    <row r="757" spans="1:10" x14ac:dyDescent="0.25">
      <c r="A757" s="165" t="s">
        <v>167</v>
      </c>
      <c r="B757" s="269"/>
      <c r="C757" s="156"/>
      <c r="D757" s="156"/>
      <c r="E757" s="156"/>
      <c r="F757" s="156"/>
      <c r="G757" s="156"/>
      <c r="H757" s="156"/>
      <c r="I757" s="156"/>
      <c r="J757" s="274"/>
    </row>
    <row r="758" spans="1:10" x14ac:dyDescent="0.25">
      <c r="A758" s="165" t="s">
        <v>168</v>
      </c>
      <c r="B758" s="269"/>
      <c r="C758" s="156"/>
      <c r="D758" s="156"/>
      <c r="E758" s="156"/>
      <c r="F758" s="156"/>
      <c r="G758" s="156"/>
      <c r="H758" s="156"/>
      <c r="I758" s="156"/>
      <c r="J758" s="274"/>
    </row>
    <row r="759" spans="1:10" x14ac:dyDescent="0.25">
      <c r="A759" s="165" t="s">
        <v>169</v>
      </c>
      <c r="B759" s="269"/>
      <c r="C759" s="156"/>
      <c r="D759" s="156"/>
      <c r="E759" s="156"/>
      <c r="F759" s="156"/>
      <c r="G759" s="156"/>
      <c r="H759" s="156"/>
      <c r="I759" s="156"/>
      <c r="J759" s="274"/>
    </row>
    <row r="760" spans="1:10" x14ac:dyDescent="0.25">
      <c r="A760" s="165" t="s">
        <v>27</v>
      </c>
      <c r="B760" s="269"/>
      <c r="C760" s="156"/>
      <c r="D760" s="156"/>
      <c r="E760" s="156"/>
      <c r="F760" s="156"/>
      <c r="G760" s="156"/>
      <c r="H760" s="156"/>
      <c r="I760" s="156"/>
      <c r="J760" s="274"/>
    </row>
    <row r="761" spans="1:10" x14ac:dyDescent="0.25">
      <c r="A761" s="165" t="s">
        <v>170</v>
      </c>
      <c r="B761" s="269"/>
      <c r="C761" s="156"/>
      <c r="D761" s="156"/>
      <c r="E761" s="156"/>
      <c r="F761" s="156"/>
      <c r="G761" s="156"/>
      <c r="H761" s="156"/>
      <c r="I761" s="156"/>
      <c r="J761" s="274"/>
    </row>
    <row r="762" spans="1:10" x14ac:dyDescent="0.25">
      <c r="A762" s="166"/>
      <c r="B762" s="154"/>
      <c r="C762" s="154"/>
      <c r="D762" s="154"/>
      <c r="E762" s="154"/>
      <c r="F762" s="154"/>
      <c r="G762" s="154"/>
      <c r="H762" s="154"/>
      <c r="I762" s="154"/>
      <c r="J762" s="154"/>
    </row>
    <row r="763" spans="1:10" x14ac:dyDescent="0.25">
      <c r="A763" s="241">
        <v>53</v>
      </c>
      <c r="B763" s="240"/>
      <c r="C763" s="162"/>
      <c r="D763" s="162"/>
      <c r="E763" s="162"/>
      <c r="F763" s="162"/>
      <c r="G763" s="162"/>
      <c r="H763" s="162"/>
      <c r="I763" s="162"/>
      <c r="J763" s="162"/>
    </row>
    <row r="764" spans="1:10" ht="71.25" x14ac:dyDescent="0.25">
      <c r="A764" s="164" t="s">
        <v>0</v>
      </c>
      <c r="B764" s="268"/>
      <c r="C764" s="155" t="s">
        <v>1</v>
      </c>
      <c r="D764" s="155"/>
      <c r="E764" s="155" t="s">
        <v>2</v>
      </c>
      <c r="F764" s="155"/>
      <c r="G764" s="155" t="s">
        <v>166</v>
      </c>
      <c r="H764" s="155"/>
      <c r="I764" s="155" t="s">
        <v>3</v>
      </c>
      <c r="J764" s="272"/>
    </row>
    <row r="765" spans="1:10" x14ac:dyDescent="0.25">
      <c r="A765" s="165" t="s">
        <v>4</v>
      </c>
      <c r="B765" s="269"/>
      <c r="C765" s="157" t="s">
        <v>5</v>
      </c>
      <c r="D765" s="157"/>
      <c r="E765" s="157" t="s">
        <v>6</v>
      </c>
      <c r="F765" s="157"/>
      <c r="G765" s="157" t="s">
        <v>12</v>
      </c>
      <c r="H765" s="157"/>
      <c r="I765" s="157" t="s">
        <v>7</v>
      </c>
      <c r="J765" s="273"/>
    </row>
    <row r="766" spans="1:10" x14ac:dyDescent="0.25">
      <c r="A766" s="165" t="s">
        <v>4</v>
      </c>
      <c r="B766" s="269"/>
      <c r="C766" s="156"/>
      <c r="D766" s="156"/>
      <c r="E766" s="156"/>
      <c r="F766" s="156"/>
      <c r="G766" s="156"/>
      <c r="H766" s="156"/>
      <c r="I766" s="156"/>
      <c r="J766" s="274"/>
    </row>
    <row r="767" spans="1:10" x14ac:dyDescent="0.25">
      <c r="A767" s="165" t="s">
        <v>5</v>
      </c>
      <c r="B767" s="269"/>
      <c r="C767" s="156"/>
      <c r="D767" s="156"/>
      <c r="E767" s="156"/>
      <c r="F767" s="156"/>
      <c r="G767" s="156"/>
      <c r="H767" s="156"/>
      <c r="I767" s="156"/>
      <c r="J767" s="274"/>
    </row>
    <row r="768" spans="1:10" x14ac:dyDescent="0.25">
      <c r="A768" s="165" t="s">
        <v>6</v>
      </c>
      <c r="B768" s="269"/>
      <c r="C768" s="156"/>
      <c r="D768" s="156"/>
      <c r="E768" s="156"/>
      <c r="F768" s="156"/>
      <c r="G768" s="156"/>
      <c r="H768" s="156"/>
      <c r="I768" s="156"/>
      <c r="J768" s="274"/>
    </row>
    <row r="769" spans="1:10" x14ac:dyDescent="0.25">
      <c r="A769" s="165" t="s">
        <v>12</v>
      </c>
      <c r="B769" s="269"/>
      <c r="C769" s="156"/>
      <c r="D769" s="156"/>
      <c r="E769" s="156"/>
      <c r="F769" s="156"/>
      <c r="G769" s="156"/>
      <c r="H769" s="156"/>
      <c r="I769" s="156"/>
      <c r="J769" s="274"/>
    </row>
    <row r="770" spans="1:10" x14ac:dyDescent="0.25">
      <c r="A770" s="165" t="s">
        <v>7</v>
      </c>
      <c r="B770" s="269"/>
      <c r="C770" s="156"/>
      <c r="D770" s="156"/>
      <c r="E770" s="156"/>
      <c r="F770" s="156"/>
      <c r="G770" s="156"/>
      <c r="H770" s="156"/>
      <c r="I770" s="156"/>
      <c r="J770" s="274"/>
    </row>
    <row r="771" spans="1:10" x14ac:dyDescent="0.25">
      <c r="A771" s="165" t="s">
        <v>167</v>
      </c>
      <c r="B771" s="269"/>
      <c r="C771" s="156"/>
      <c r="D771" s="156"/>
      <c r="E771" s="156"/>
      <c r="F771" s="156"/>
      <c r="G771" s="156"/>
      <c r="H771" s="156"/>
      <c r="I771" s="156"/>
      <c r="J771" s="274"/>
    </row>
    <row r="772" spans="1:10" x14ac:dyDescent="0.25">
      <c r="A772" s="165" t="s">
        <v>168</v>
      </c>
      <c r="B772" s="269"/>
      <c r="C772" s="156"/>
      <c r="D772" s="156"/>
      <c r="E772" s="156"/>
      <c r="F772" s="156"/>
      <c r="G772" s="156"/>
      <c r="H772" s="156"/>
      <c r="I772" s="156"/>
      <c r="J772" s="274"/>
    </row>
    <row r="773" spans="1:10" x14ac:dyDescent="0.25">
      <c r="A773" s="165" t="s">
        <v>169</v>
      </c>
      <c r="B773" s="269"/>
      <c r="C773" s="156"/>
      <c r="D773" s="156"/>
      <c r="E773" s="156"/>
      <c r="F773" s="156"/>
      <c r="G773" s="156"/>
      <c r="H773" s="156"/>
      <c r="I773" s="156"/>
      <c r="J773" s="274"/>
    </row>
    <row r="774" spans="1:10" x14ac:dyDescent="0.25">
      <c r="A774" s="165" t="s">
        <v>27</v>
      </c>
      <c r="B774" s="269"/>
      <c r="C774" s="156"/>
      <c r="D774" s="156"/>
      <c r="E774" s="156"/>
      <c r="F774" s="156"/>
      <c r="G774" s="156"/>
      <c r="H774" s="156"/>
      <c r="I774" s="156"/>
      <c r="J774" s="274"/>
    </row>
    <row r="775" spans="1:10" x14ac:dyDescent="0.25">
      <c r="A775" s="165" t="s">
        <v>170</v>
      </c>
      <c r="B775" s="269"/>
      <c r="C775" s="156"/>
      <c r="D775" s="156"/>
      <c r="E775" s="156"/>
      <c r="F775" s="156"/>
      <c r="G775" s="156"/>
      <c r="H775" s="156"/>
      <c r="I775" s="156"/>
      <c r="J775" s="274"/>
    </row>
    <row r="776" spans="1:10" x14ac:dyDescent="0.25">
      <c r="A776" s="166"/>
      <c r="B776" s="154"/>
      <c r="C776" s="154"/>
      <c r="D776" s="154"/>
      <c r="E776" s="154"/>
      <c r="F776" s="154"/>
      <c r="G776" s="154"/>
      <c r="H776" s="154"/>
      <c r="I776" s="154"/>
      <c r="J776" s="154"/>
    </row>
    <row r="777" spans="1:10" x14ac:dyDescent="0.25">
      <c r="A777" s="241">
        <v>54</v>
      </c>
      <c r="B777" s="240"/>
      <c r="C777" s="162"/>
      <c r="D777" s="162"/>
      <c r="E777" s="162"/>
      <c r="F777" s="162"/>
      <c r="G777" s="162"/>
      <c r="H777" s="162"/>
      <c r="I777" s="162"/>
      <c r="J777" s="162"/>
    </row>
    <row r="778" spans="1:10" ht="71.25" x14ac:dyDescent="0.25">
      <c r="A778" s="164" t="s">
        <v>0</v>
      </c>
      <c r="B778" s="268"/>
      <c r="C778" s="155" t="s">
        <v>1</v>
      </c>
      <c r="D778" s="155"/>
      <c r="E778" s="155" t="s">
        <v>2</v>
      </c>
      <c r="F778" s="155"/>
      <c r="G778" s="155" t="s">
        <v>166</v>
      </c>
      <c r="H778" s="155"/>
      <c r="I778" s="155" t="s">
        <v>3</v>
      </c>
      <c r="J778" s="272"/>
    </row>
    <row r="779" spans="1:10" x14ac:dyDescent="0.25">
      <c r="A779" s="165" t="s">
        <v>4</v>
      </c>
      <c r="B779" s="269"/>
      <c r="C779" s="157" t="s">
        <v>5</v>
      </c>
      <c r="D779" s="157"/>
      <c r="E779" s="157" t="s">
        <v>6</v>
      </c>
      <c r="F779" s="157"/>
      <c r="G779" s="157" t="s">
        <v>12</v>
      </c>
      <c r="H779" s="157"/>
      <c r="I779" s="157" t="s">
        <v>7</v>
      </c>
      <c r="J779" s="273"/>
    </row>
    <row r="780" spans="1:10" x14ac:dyDescent="0.25">
      <c r="A780" s="165" t="s">
        <v>4</v>
      </c>
      <c r="B780" s="269"/>
      <c r="C780" s="156"/>
      <c r="D780" s="156"/>
      <c r="E780" s="156"/>
      <c r="F780" s="156"/>
      <c r="G780" s="156"/>
      <c r="H780" s="156"/>
      <c r="I780" s="156"/>
      <c r="J780" s="274"/>
    </row>
    <row r="781" spans="1:10" x14ac:dyDescent="0.25">
      <c r="A781" s="165" t="s">
        <v>5</v>
      </c>
      <c r="B781" s="269"/>
      <c r="C781" s="156"/>
      <c r="D781" s="156"/>
      <c r="E781" s="156"/>
      <c r="F781" s="156"/>
      <c r="G781" s="156"/>
      <c r="H781" s="156"/>
      <c r="I781" s="156"/>
      <c r="J781" s="274"/>
    </row>
    <row r="782" spans="1:10" x14ac:dyDescent="0.25">
      <c r="A782" s="165" t="s">
        <v>6</v>
      </c>
      <c r="B782" s="269"/>
      <c r="C782" s="156"/>
      <c r="D782" s="156"/>
      <c r="E782" s="156"/>
      <c r="F782" s="156"/>
      <c r="G782" s="156"/>
      <c r="H782" s="156"/>
      <c r="I782" s="156"/>
      <c r="J782" s="274"/>
    </row>
    <row r="783" spans="1:10" x14ac:dyDescent="0.25">
      <c r="A783" s="165" t="s">
        <v>12</v>
      </c>
      <c r="B783" s="269"/>
      <c r="C783" s="156"/>
      <c r="D783" s="156"/>
      <c r="E783" s="156"/>
      <c r="F783" s="156"/>
      <c r="G783" s="156"/>
      <c r="H783" s="156"/>
      <c r="I783" s="156"/>
      <c r="J783" s="274"/>
    </row>
    <row r="784" spans="1:10" x14ac:dyDescent="0.25">
      <c r="A784" s="165" t="s">
        <v>7</v>
      </c>
      <c r="B784" s="269"/>
      <c r="C784" s="156"/>
      <c r="D784" s="156"/>
      <c r="E784" s="156"/>
      <c r="F784" s="156"/>
      <c r="G784" s="156"/>
      <c r="H784" s="156"/>
      <c r="I784" s="156"/>
      <c r="J784" s="274"/>
    </row>
    <row r="785" spans="1:10" x14ac:dyDescent="0.25">
      <c r="A785" s="165" t="s">
        <v>167</v>
      </c>
      <c r="B785" s="269"/>
      <c r="C785" s="156"/>
      <c r="D785" s="156"/>
      <c r="E785" s="156"/>
      <c r="F785" s="156"/>
      <c r="G785" s="156"/>
      <c r="H785" s="156"/>
      <c r="I785" s="156"/>
      <c r="J785" s="274"/>
    </row>
    <row r="786" spans="1:10" x14ac:dyDescent="0.25">
      <c r="A786" s="165" t="s">
        <v>168</v>
      </c>
      <c r="B786" s="269"/>
      <c r="C786" s="156"/>
      <c r="D786" s="156"/>
      <c r="E786" s="156"/>
      <c r="F786" s="156"/>
      <c r="G786" s="156"/>
      <c r="H786" s="156"/>
      <c r="I786" s="156"/>
      <c r="J786" s="274"/>
    </row>
    <row r="787" spans="1:10" x14ac:dyDescent="0.25">
      <c r="A787" s="165" t="s">
        <v>169</v>
      </c>
      <c r="B787" s="269"/>
      <c r="C787" s="156"/>
      <c r="D787" s="156"/>
      <c r="E787" s="156"/>
      <c r="F787" s="156"/>
      <c r="G787" s="156"/>
      <c r="H787" s="156"/>
      <c r="I787" s="156"/>
      <c r="J787" s="274"/>
    </row>
    <row r="788" spans="1:10" x14ac:dyDescent="0.25">
      <c r="A788" s="165" t="s">
        <v>27</v>
      </c>
      <c r="B788" s="269"/>
      <c r="C788" s="156"/>
      <c r="D788" s="156"/>
      <c r="E788" s="156"/>
      <c r="F788" s="156"/>
      <c r="G788" s="156"/>
      <c r="H788" s="156"/>
      <c r="I788" s="156"/>
      <c r="J788" s="274"/>
    </row>
    <row r="789" spans="1:10" x14ac:dyDescent="0.25">
      <c r="A789" s="165" t="s">
        <v>170</v>
      </c>
      <c r="B789" s="269"/>
      <c r="C789" s="156"/>
      <c r="D789" s="156"/>
      <c r="E789" s="156"/>
      <c r="F789" s="156"/>
      <c r="G789" s="156"/>
      <c r="H789" s="156"/>
      <c r="I789" s="156"/>
      <c r="J789" s="274"/>
    </row>
    <row r="790" spans="1:10" x14ac:dyDescent="0.25">
      <c r="A790" s="282"/>
      <c r="B790" s="274"/>
      <c r="C790" s="274"/>
      <c r="D790" s="274"/>
      <c r="E790" s="274"/>
      <c r="F790" s="274"/>
      <c r="G790" s="274"/>
      <c r="H790" s="274"/>
      <c r="I790" s="274"/>
      <c r="J790" s="274"/>
    </row>
    <row r="791" spans="1:10" x14ac:dyDescent="0.25">
      <c r="A791" s="282"/>
      <c r="B791" s="274"/>
      <c r="C791" s="274"/>
      <c r="D791" s="274"/>
      <c r="E791" s="274"/>
      <c r="F791" s="274"/>
      <c r="G791" s="274"/>
      <c r="H791" s="274"/>
      <c r="I791" s="274"/>
      <c r="J791" s="274"/>
    </row>
    <row r="792" spans="1:10" x14ac:dyDescent="0.25">
      <c r="A792" s="166"/>
      <c r="B792" s="154"/>
      <c r="C792" s="154"/>
      <c r="D792" s="154"/>
      <c r="E792" s="154"/>
      <c r="F792" s="154"/>
      <c r="G792" s="154"/>
      <c r="H792" s="154"/>
      <c r="I792" s="154"/>
      <c r="J792" s="154"/>
    </row>
    <row r="793" spans="1:10" x14ac:dyDescent="0.25">
      <c r="A793" s="241">
        <v>55</v>
      </c>
      <c r="B793" s="240"/>
      <c r="C793" s="162"/>
      <c r="D793" s="162"/>
      <c r="E793" s="162"/>
      <c r="F793" s="162"/>
      <c r="G793" s="162"/>
      <c r="H793" s="162"/>
      <c r="I793" s="162"/>
      <c r="J793" s="162"/>
    </row>
    <row r="794" spans="1:10" ht="71.25" x14ac:dyDescent="0.25">
      <c r="A794" s="164" t="s">
        <v>0</v>
      </c>
      <c r="B794" s="268"/>
      <c r="C794" s="155" t="s">
        <v>1</v>
      </c>
      <c r="D794" s="155"/>
      <c r="E794" s="155" t="s">
        <v>2</v>
      </c>
      <c r="F794" s="155"/>
      <c r="G794" s="155" t="s">
        <v>166</v>
      </c>
      <c r="H794" s="155"/>
      <c r="I794" s="155" t="s">
        <v>3</v>
      </c>
      <c r="J794" s="272"/>
    </row>
    <row r="795" spans="1:10" x14ac:dyDescent="0.25">
      <c r="A795" s="165" t="s">
        <v>4</v>
      </c>
      <c r="B795" s="269"/>
      <c r="C795" s="157" t="s">
        <v>5</v>
      </c>
      <c r="D795" s="157"/>
      <c r="E795" s="157" t="s">
        <v>6</v>
      </c>
      <c r="F795" s="157"/>
      <c r="G795" s="157" t="s">
        <v>12</v>
      </c>
      <c r="H795" s="157"/>
      <c r="I795" s="157" t="s">
        <v>7</v>
      </c>
      <c r="J795" s="273"/>
    </row>
    <row r="796" spans="1:10" x14ac:dyDescent="0.25">
      <c r="A796" s="165" t="s">
        <v>4</v>
      </c>
      <c r="B796" s="269"/>
      <c r="C796" s="156"/>
      <c r="D796" s="156"/>
      <c r="E796" s="156"/>
      <c r="F796" s="156"/>
      <c r="G796" s="156"/>
      <c r="H796" s="156"/>
      <c r="I796" s="156"/>
      <c r="J796" s="274"/>
    </row>
    <row r="797" spans="1:10" x14ac:dyDescent="0.25">
      <c r="A797" s="165" t="s">
        <v>5</v>
      </c>
      <c r="B797" s="269"/>
      <c r="C797" s="156"/>
      <c r="D797" s="156"/>
      <c r="E797" s="156"/>
      <c r="F797" s="156"/>
      <c r="G797" s="156"/>
      <c r="H797" s="156"/>
      <c r="I797" s="156"/>
      <c r="J797" s="274"/>
    </row>
    <row r="798" spans="1:10" x14ac:dyDescent="0.25">
      <c r="A798" s="165" t="s">
        <v>6</v>
      </c>
      <c r="B798" s="269"/>
      <c r="C798" s="156"/>
      <c r="D798" s="156"/>
      <c r="E798" s="156"/>
      <c r="F798" s="156"/>
      <c r="G798" s="156"/>
      <c r="H798" s="156"/>
      <c r="I798" s="156"/>
      <c r="J798" s="274"/>
    </row>
    <row r="799" spans="1:10" x14ac:dyDescent="0.25">
      <c r="A799" s="165" t="s">
        <v>12</v>
      </c>
      <c r="B799" s="269"/>
      <c r="C799" s="156"/>
      <c r="D799" s="156"/>
      <c r="E799" s="156"/>
      <c r="F799" s="156"/>
      <c r="G799" s="156"/>
      <c r="H799" s="156"/>
      <c r="I799" s="156"/>
      <c r="J799" s="274"/>
    </row>
    <row r="800" spans="1:10" x14ac:dyDescent="0.25">
      <c r="A800" s="165" t="s">
        <v>7</v>
      </c>
      <c r="B800" s="269"/>
      <c r="C800" s="156"/>
      <c r="D800" s="156"/>
      <c r="E800" s="156"/>
      <c r="F800" s="156"/>
      <c r="G800" s="156"/>
      <c r="H800" s="156"/>
      <c r="I800" s="156"/>
      <c r="J800" s="274"/>
    </row>
    <row r="801" spans="1:10" x14ac:dyDescent="0.25">
      <c r="A801" s="165" t="s">
        <v>167</v>
      </c>
      <c r="B801" s="269"/>
      <c r="C801" s="156"/>
      <c r="D801" s="156"/>
      <c r="E801" s="156"/>
      <c r="F801" s="156"/>
      <c r="G801" s="156"/>
      <c r="H801" s="156"/>
      <c r="I801" s="156"/>
      <c r="J801" s="274"/>
    </row>
    <row r="802" spans="1:10" x14ac:dyDescent="0.25">
      <c r="A802" s="165" t="s">
        <v>168</v>
      </c>
      <c r="B802" s="269"/>
      <c r="C802" s="156"/>
      <c r="D802" s="156"/>
      <c r="E802" s="156"/>
      <c r="F802" s="156"/>
      <c r="G802" s="156"/>
      <c r="H802" s="156"/>
      <c r="I802" s="156"/>
      <c r="J802" s="274"/>
    </row>
    <row r="803" spans="1:10" x14ac:dyDescent="0.25">
      <c r="A803" s="165" t="s">
        <v>169</v>
      </c>
      <c r="B803" s="269"/>
      <c r="C803" s="156"/>
      <c r="D803" s="156"/>
      <c r="E803" s="156"/>
      <c r="F803" s="156"/>
      <c r="G803" s="156"/>
      <c r="H803" s="156"/>
      <c r="I803" s="156"/>
      <c r="J803" s="274"/>
    </row>
    <row r="804" spans="1:10" x14ac:dyDescent="0.25">
      <c r="A804" s="165" t="s">
        <v>27</v>
      </c>
      <c r="B804" s="269"/>
      <c r="C804" s="156"/>
      <c r="D804" s="156"/>
      <c r="E804" s="156"/>
      <c r="F804" s="156"/>
      <c r="G804" s="156"/>
      <c r="H804" s="156"/>
      <c r="I804" s="156"/>
      <c r="J804" s="274"/>
    </row>
    <row r="805" spans="1:10" x14ac:dyDescent="0.25">
      <c r="A805" s="165" t="s">
        <v>170</v>
      </c>
      <c r="B805" s="269"/>
      <c r="C805" s="156"/>
      <c r="D805" s="156"/>
      <c r="E805" s="156"/>
      <c r="F805" s="156"/>
      <c r="G805" s="156"/>
      <c r="H805" s="156"/>
      <c r="I805" s="156"/>
      <c r="J805" s="274"/>
    </row>
    <row r="806" spans="1:10" x14ac:dyDescent="0.25">
      <c r="A806" s="166"/>
      <c r="B806" s="154"/>
      <c r="C806" s="154"/>
      <c r="D806" s="154"/>
      <c r="E806" s="154"/>
      <c r="F806" s="154"/>
      <c r="G806" s="154"/>
      <c r="H806" s="154"/>
      <c r="I806" s="154"/>
      <c r="J806" s="154"/>
    </row>
    <row r="807" spans="1:10" x14ac:dyDescent="0.25">
      <c r="A807" s="241">
        <v>56</v>
      </c>
      <c r="B807" s="240"/>
      <c r="C807" s="162"/>
      <c r="D807" s="162"/>
      <c r="E807" s="162"/>
      <c r="F807" s="162"/>
      <c r="G807" s="162"/>
      <c r="H807" s="162"/>
      <c r="I807" s="162"/>
      <c r="J807" s="162"/>
    </row>
    <row r="808" spans="1:10" ht="71.25" x14ac:dyDescent="0.25">
      <c r="A808" s="164" t="s">
        <v>0</v>
      </c>
      <c r="B808" s="268"/>
      <c r="C808" s="155" t="s">
        <v>1</v>
      </c>
      <c r="D808" s="155"/>
      <c r="E808" s="155" t="s">
        <v>2</v>
      </c>
      <c r="F808" s="155"/>
      <c r="G808" s="155" t="s">
        <v>166</v>
      </c>
      <c r="H808" s="155"/>
      <c r="I808" s="155" t="s">
        <v>3</v>
      </c>
      <c r="J808" s="272"/>
    </row>
    <row r="809" spans="1:10" x14ac:dyDescent="0.25">
      <c r="A809" s="165" t="s">
        <v>4</v>
      </c>
      <c r="B809" s="269"/>
      <c r="C809" s="157" t="s">
        <v>5</v>
      </c>
      <c r="D809" s="157"/>
      <c r="E809" s="157" t="s">
        <v>6</v>
      </c>
      <c r="F809" s="157"/>
      <c r="G809" s="157" t="s">
        <v>12</v>
      </c>
      <c r="H809" s="157"/>
      <c r="I809" s="157" t="s">
        <v>7</v>
      </c>
      <c r="J809" s="273"/>
    </row>
    <row r="810" spans="1:10" x14ac:dyDescent="0.25">
      <c r="A810" s="165" t="s">
        <v>4</v>
      </c>
      <c r="B810" s="269"/>
      <c r="C810" s="156"/>
      <c r="D810" s="156"/>
      <c r="E810" s="156"/>
      <c r="F810" s="156"/>
      <c r="G810" s="156"/>
      <c r="H810" s="156"/>
      <c r="I810" s="156"/>
      <c r="J810" s="274"/>
    </row>
    <row r="811" spans="1:10" x14ac:dyDescent="0.25">
      <c r="A811" s="165" t="s">
        <v>5</v>
      </c>
      <c r="B811" s="269"/>
      <c r="C811" s="156"/>
      <c r="D811" s="156"/>
      <c r="E811" s="156"/>
      <c r="F811" s="156"/>
      <c r="G811" s="156"/>
      <c r="H811" s="156"/>
      <c r="I811" s="156"/>
      <c r="J811" s="274"/>
    </row>
    <row r="812" spans="1:10" x14ac:dyDescent="0.25">
      <c r="A812" s="165" t="s">
        <v>6</v>
      </c>
      <c r="B812" s="269"/>
      <c r="C812" s="156"/>
      <c r="D812" s="156"/>
      <c r="E812" s="156"/>
      <c r="F812" s="156"/>
      <c r="G812" s="156"/>
      <c r="H812" s="156"/>
      <c r="I812" s="156"/>
      <c r="J812" s="274"/>
    </row>
    <row r="813" spans="1:10" x14ac:dyDescent="0.25">
      <c r="A813" s="165" t="s">
        <v>12</v>
      </c>
      <c r="B813" s="269"/>
      <c r="C813" s="156"/>
      <c r="D813" s="156"/>
      <c r="E813" s="156"/>
      <c r="F813" s="156"/>
      <c r="G813" s="156"/>
      <c r="H813" s="156"/>
      <c r="I813" s="156"/>
      <c r="J813" s="274"/>
    </row>
    <row r="814" spans="1:10" x14ac:dyDescent="0.25">
      <c r="A814" s="165" t="s">
        <v>7</v>
      </c>
      <c r="B814" s="269"/>
      <c r="C814" s="156"/>
      <c r="D814" s="156"/>
      <c r="E814" s="156"/>
      <c r="F814" s="156"/>
      <c r="G814" s="156"/>
      <c r="H814" s="156"/>
      <c r="I814" s="156"/>
      <c r="J814" s="274"/>
    </row>
    <row r="815" spans="1:10" x14ac:dyDescent="0.25">
      <c r="A815" s="165" t="s">
        <v>167</v>
      </c>
      <c r="B815" s="269"/>
      <c r="C815" s="156"/>
      <c r="D815" s="156"/>
      <c r="E815" s="156"/>
      <c r="F815" s="156"/>
      <c r="G815" s="156"/>
      <c r="H815" s="156"/>
      <c r="I815" s="156"/>
      <c r="J815" s="274"/>
    </row>
    <row r="816" spans="1:10" x14ac:dyDescent="0.25">
      <c r="A816" s="165" t="s">
        <v>168</v>
      </c>
      <c r="B816" s="269"/>
      <c r="C816" s="156"/>
      <c r="D816" s="156"/>
      <c r="E816" s="156"/>
      <c r="F816" s="156"/>
      <c r="G816" s="156"/>
      <c r="H816" s="156"/>
      <c r="I816" s="156"/>
      <c r="J816" s="274"/>
    </row>
    <row r="817" spans="1:10" x14ac:dyDescent="0.25">
      <c r="A817" s="165" t="s">
        <v>169</v>
      </c>
      <c r="B817" s="269"/>
      <c r="C817" s="156"/>
      <c r="D817" s="156"/>
      <c r="E817" s="156"/>
      <c r="F817" s="156"/>
      <c r="G817" s="156"/>
      <c r="H817" s="156"/>
      <c r="I817" s="156"/>
      <c r="J817" s="274"/>
    </row>
    <row r="818" spans="1:10" x14ac:dyDescent="0.25">
      <c r="A818" s="165" t="s">
        <v>27</v>
      </c>
      <c r="B818" s="269"/>
      <c r="C818" s="156"/>
      <c r="D818" s="156"/>
      <c r="E818" s="156"/>
      <c r="F818" s="156"/>
      <c r="G818" s="156"/>
      <c r="H818" s="156"/>
      <c r="I818" s="156"/>
      <c r="J818" s="274"/>
    </row>
    <row r="819" spans="1:10" x14ac:dyDescent="0.25">
      <c r="A819" s="165" t="s">
        <v>170</v>
      </c>
      <c r="B819" s="269"/>
      <c r="C819" s="156"/>
      <c r="D819" s="156"/>
      <c r="E819" s="156"/>
      <c r="F819" s="156"/>
      <c r="G819" s="156"/>
      <c r="H819" s="156"/>
      <c r="I819" s="156"/>
      <c r="J819" s="274"/>
    </row>
    <row r="820" spans="1:10" x14ac:dyDescent="0.25">
      <c r="A820" s="166"/>
      <c r="B820" s="154"/>
      <c r="C820" s="154"/>
      <c r="D820" s="154"/>
      <c r="E820" s="154"/>
      <c r="F820" s="154"/>
      <c r="G820" s="154"/>
      <c r="H820" s="154"/>
      <c r="I820" s="154"/>
      <c r="J820" s="154"/>
    </row>
    <row r="821" spans="1:10" x14ac:dyDescent="0.25">
      <c r="A821" s="241">
        <v>57</v>
      </c>
      <c r="B821" s="240"/>
      <c r="C821" s="162"/>
      <c r="D821" s="162"/>
      <c r="E821" s="162"/>
      <c r="F821" s="162"/>
      <c r="G821" s="162"/>
      <c r="H821" s="162"/>
      <c r="I821" s="162"/>
      <c r="J821" s="162"/>
    </row>
    <row r="822" spans="1:10" ht="71.25" x14ac:dyDescent="0.25">
      <c r="A822" s="164" t="s">
        <v>0</v>
      </c>
      <c r="B822" s="268"/>
      <c r="C822" s="155" t="s">
        <v>1</v>
      </c>
      <c r="D822" s="155"/>
      <c r="E822" s="155" t="s">
        <v>2</v>
      </c>
      <c r="F822" s="155"/>
      <c r="G822" s="155" t="s">
        <v>166</v>
      </c>
      <c r="H822" s="155"/>
      <c r="I822" s="155" t="s">
        <v>3</v>
      </c>
      <c r="J822" s="272"/>
    </row>
    <row r="823" spans="1:10" x14ac:dyDescent="0.25">
      <c r="A823" s="165" t="s">
        <v>4</v>
      </c>
      <c r="B823" s="269"/>
      <c r="C823" s="157" t="s">
        <v>5</v>
      </c>
      <c r="D823" s="157"/>
      <c r="E823" s="157" t="s">
        <v>6</v>
      </c>
      <c r="F823" s="157"/>
      <c r="G823" s="157" t="s">
        <v>12</v>
      </c>
      <c r="H823" s="157"/>
      <c r="I823" s="157" t="s">
        <v>7</v>
      </c>
      <c r="J823" s="273"/>
    </row>
    <row r="824" spans="1:10" x14ac:dyDescent="0.25">
      <c r="A824" s="165" t="s">
        <v>4</v>
      </c>
      <c r="B824" s="269"/>
      <c r="C824" s="156"/>
      <c r="D824" s="156"/>
      <c r="E824" s="156"/>
      <c r="F824" s="156"/>
      <c r="G824" s="156"/>
      <c r="H824" s="156"/>
      <c r="I824" s="156"/>
      <c r="J824" s="274"/>
    </row>
    <row r="825" spans="1:10" x14ac:dyDescent="0.25">
      <c r="A825" s="165" t="s">
        <v>5</v>
      </c>
      <c r="B825" s="269"/>
      <c r="C825" s="156"/>
      <c r="D825" s="156"/>
      <c r="E825" s="156"/>
      <c r="F825" s="156"/>
      <c r="G825" s="156"/>
      <c r="H825" s="156"/>
      <c r="I825" s="156"/>
      <c r="J825" s="274"/>
    </row>
    <row r="826" spans="1:10" x14ac:dyDescent="0.25">
      <c r="A826" s="165" t="s">
        <v>6</v>
      </c>
      <c r="B826" s="269"/>
      <c r="C826" s="156"/>
      <c r="D826" s="156"/>
      <c r="E826" s="156"/>
      <c r="F826" s="156"/>
      <c r="G826" s="156"/>
      <c r="H826" s="156"/>
      <c r="I826" s="156"/>
      <c r="J826" s="274"/>
    </row>
    <row r="827" spans="1:10" x14ac:dyDescent="0.25">
      <c r="A827" s="165" t="s">
        <v>12</v>
      </c>
      <c r="B827" s="269"/>
      <c r="C827" s="156"/>
      <c r="D827" s="156"/>
      <c r="E827" s="156"/>
      <c r="F827" s="156"/>
      <c r="G827" s="156"/>
      <c r="H827" s="156"/>
      <c r="I827" s="156"/>
      <c r="J827" s="274"/>
    </row>
    <row r="828" spans="1:10" x14ac:dyDescent="0.25">
      <c r="A828" s="165" t="s">
        <v>7</v>
      </c>
      <c r="B828" s="269"/>
      <c r="C828" s="156"/>
      <c r="D828" s="156"/>
      <c r="E828" s="156"/>
      <c r="F828" s="156"/>
      <c r="G828" s="156"/>
      <c r="H828" s="156"/>
      <c r="I828" s="156"/>
      <c r="J828" s="274"/>
    </row>
    <row r="829" spans="1:10" x14ac:dyDescent="0.25">
      <c r="A829" s="165" t="s">
        <v>167</v>
      </c>
      <c r="B829" s="269"/>
      <c r="C829" s="156"/>
      <c r="D829" s="156"/>
      <c r="E829" s="156"/>
      <c r="F829" s="156"/>
      <c r="G829" s="156"/>
      <c r="H829" s="156"/>
      <c r="I829" s="156"/>
      <c r="J829" s="274"/>
    </row>
    <row r="830" spans="1:10" x14ac:dyDescent="0.25">
      <c r="A830" s="165" t="s">
        <v>168</v>
      </c>
      <c r="B830" s="269"/>
      <c r="C830" s="156"/>
      <c r="D830" s="156"/>
      <c r="E830" s="156"/>
      <c r="F830" s="156"/>
      <c r="G830" s="156"/>
      <c r="H830" s="156"/>
      <c r="I830" s="156"/>
      <c r="J830" s="274"/>
    </row>
    <row r="831" spans="1:10" x14ac:dyDescent="0.25">
      <c r="A831" s="165" t="s">
        <v>169</v>
      </c>
      <c r="B831" s="269"/>
      <c r="C831" s="156"/>
      <c r="D831" s="156"/>
      <c r="E831" s="156"/>
      <c r="F831" s="156"/>
      <c r="G831" s="156"/>
      <c r="H831" s="156"/>
      <c r="I831" s="156"/>
      <c r="J831" s="274"/>
    </row>
    <row r="832" spans="1:10" x14ac:dyDescent="0.25">
      <c r="A832" s="165" t="s">
        <v>27</v>
      </c>
      <c r="B832" s="269"/>
      <c r="C832" s="156"/>
      <c r="D832" s="156"/>
      <c r="E832" s="156"/>
      <c r="F832" s="156"/>
      <c r="G832" s="156"/>
      <c r="H832" s="156"/>
      <c r="I832" s="156"/>
      <c r="J832" s="274"/>
    </row>
    <row r="833" spans="1:10" x14ac:dyDescent="0.25">
      <c r="A833" s="165" t="s">
        <v>170</v>
      </c>
      <c r="B833" s="269"/>
      <c r="C833" s="156"/>
      <c r="D833" s="156"/>
      <c r="E833" s="156"/>
      <c r="F833" s="156"/>
      <c r="G833" s="156"/>
      <c r="H833" s="156"/>
      <c r="I833" s="156"/>
      <c r="J833" s="274"/>
    </row>
    <row r="837" spans="1:10" x14ac:dyDescent="0.25">
      <c r="A837" s="241">
        <v>58</v>
      </c>
      <c r="B837" s="240"/>
      <c r="C837" s="162"/>
      <c r="D837" s="162"/>
      <c r="E837" s="162"/>
      <c r="F837" s="162"/>
      <c r="G837" s="162"/>
      <c r="H837" s="162"/>
      <c r="I837" s="162"/>
      <c r="J837" s="162"/>
    </row>
    <row r="838" spans="1:10" ht="71.25" x14ac:dyDescent="0.25">
      <c r="A838" s="164" t="s">
        <v>0</v>
      </c>
      <c r="B838" s="268"/>
      <c r="C838" s="155" t="s">
        <v>1</v>
      </c>
      <c r="D838" s="155"/>
      <c r="E838" s="155" t="s">
        <v>2</v>
      </c>
      <c r="F838" s="155"/>
      <c r="G838" s="155" t="s">
        <v>166</v>
      </c>
      <c r="H838" s="155"/>
      <c r="I838" s="155" t="s">
        <v>3</v>
      </c>
      <c r="J838" s="272"/>
    </row>
    <row r="839" spans="1:10" x14ac:dyDescent="0.25">
      <c r="A839" s="165" t="s">
        <v>4</v>
      </c>
      <c r="B839" s="269"/>
      <c r="C839" s="157" t="s">
        <v>5</v>
      </c>
      <c r="D839" s="157"/>
      <c r="E839" s="157" t="s">
        <v>6</v>
      </c>
      <c r="F839" s="157"/>
      <c r="G839" s="157" t="s">
        <v>12</v>
      </c>
      <c r="H839" s="157"/>
      <c r="I839" s="157" t="s">
        <v>7</v>
      </c>
      <c r="J839" s="273"/>
    </row>
    <row r="840" spans="1:10" x14ac:dyDescent="0.25">
      <c r="A840" s="165" t="s">
        <v>4</v>
      </c>
      <c r="B840" s="269"/>
      <c r="C840" s="156"/>
      <c r="D840" s="156"/>
      <c r="E840" s="156"/>
      <c r="F840" s="156"/>
      <c r="G840" s="156"/>
      <c r="H840" s="156"/>
      <c r="I840" s="156"/>
      <c r="J840" s="274"/>
    </row>
    <row r="841" spans="1:10" x14ac:dyDescent="0.25">
      <c r="A841" s="165" t="s">
        <v>5</v>
      </c>
      <c r="B841" s="269"/>
      <c r="C841" s="156"/>
      <c r="D841" s="156"/>
      <c r="E841" s="156"/>
      <c r="F841" s="156"/>
      <c r="G841" s="156"/>
      <c r="H841" s="156"/>
      <c r="I841" s="156"/>
      <c r="J841" s="274"/>
    </row>
    <row r="842" spans="1:10" x14ac:dyDescent="0.25">
      <c r="A842" s="165" t="s">
        <v>6</v>
      </c>
      <c r="B842" s="269"/>
      <c r="C842" s="156"/>
      <c r="D842" s="156"/>
      <c r="E842" s="156"/>
      <c r="F842" s="156"/>
      <c r="G842" s="156"/>
      <c r="H842" s="156"/>
      <c r="I842" s="156"/>
      <c r="J842" s="274"/>
    </row>
    <row r="843" spans="1:10" x14ac:dyDescent="0.25">
      <c r="A843" s="165" t="s">
        <v>12</v>
      </c>
      <c r="B843" s="269"/>
      <c r="C843" s="156"/>
      <c r="D843" s="156"/>
      <c r="E843" s="156"/>
      <c r="F843" s="156"/>
      <c r="G843" s="156"/>
      <c r="H843" s="156"/>
      <c r="I843" s="156"/>
      <c r="J843" s="274"/>
    </row>
    <row r="844" spans="1:10" x14ac:dyDescent="0.25">
      <c r="A844" s="165" t="s">
        <v>7</v>
      </c>
      <c r="B844" s="269"/>
      <c r="C844" s="156"/>
      <c r="D844" s="156"/>
      <c r="E844" s="156"/>
      <c r="F844" s="156"/>
      <c r="G844" s="156"/>
      <c r="H844" s="156"/>
      <c r="I844" s="156"/>
      <c r="J844" s="274"/>
    </row>
    <row r="845" spans="1:10" x14ac:dyDescent="0.25">
      <c r="A845" s="165" t="s">
        <v>167</v>
      </c>
      <c r="B845" s="269"/>
      <c r="C845" s="156"/>
      <c r="D845" s="156"/>
      <c r="E845" s="156"/>
      <c r="F845" s="156"/>
      <c r="G845" s="156"/>
      <c r="H845" s="156"/>
      <c r="I845" s="156"/>
      <c r="J845" s="274"/>
    </row>
    <row r="846" spans="1:10" x14ac:dyDescent="0.25">
      <c r="A846" s="165" t="s">
        <v>168</v>
      </c>
      <c r="B846" s="269"/>
      <c r="C846" s="156"/>
      <c r="D846" s="156"/>
      <c r="E846" s="156"/>
      <c r="F846" s="156"/>
      <c r="G846" s="156"/>
      <c r="H846" s="156"/>
      <c r="I846" s="156"/>
      <c r="J846" s="274"/>
    </row>
    <row r="847" spans="1:10" x14ac:dyDescent="0.25">
      <c r="A847" s="165" t="s">
        <v>169</v>
      </c>
      <c r="B847" s="269"/>
      <c r="C847" s="156"/>
      <c r="D847" s="156"/>
      <c r="E847" s="156"/>
      <c r="F847" s="156"/>
      <c r="G847" s="156"/>
      <c r="H847" s="156"/>
      <c r="I847" s="156"/>
      <c r="J847" s="274"/>
    </row>
    <row r="848" spans="1:10" x14ac:dyDescent="0.25">
      <c r="A848" s="165" t="s">
        <v>27</v>
      </c>
      <c r="B848" s="269"/>
      <c r="C848" s="156"/>
      <c r="D848" s="156"/>
      <c r="E848" s="156"/>
      <c r="F848" s="156"/>
      <c r="G848" s="156"/>
      <c r="H848" s="156"/>
      <c r="I848" s="156"/>
      <c r="J848" s="274"/>
    </row>
    <row r="849" spans="1:10" x14ac:dyDescent="0.25">
      <c r="A849" s="165" t="s">
        <v>170</v>
      </c>
      <c r="B849" s="269"/>
      <c r="C849" s="156"/>
      <c r="D849" s="156"/>
      <c r="E849" s="156"/>
      <c r="F849" s="156"/>
      <c r="G849" s="156"/>
      <c r="H849" s="156"/>
      <c r="I849" s="156"/>
      <c r="J849" s="274"/>
    </row>
    <row r="850" spans="1:10" x14ac:dyDescent="0.25">
      <c r="A850" s="166"/>
      <c r="B850" s="154"/>
      <c r="C850" s="154"/>
      <c r="D850" s="154"/>
      <c r="E850" s="154"/>
      <c r="F850" s="154"/>
      <c r="G850" s="154"/>
      <c r="H850" s="154"/>
      <c r="I850" s="154"/>
      <c r="J850" s="154"/>
    </row>
    <row r="851" spans="1:10" x14ac:dyDescent="0.25">
      <c r="A851" s="241">
        <v>59</v>
      </c>
      <c r="B851" s="240"/>
      <c r="C851" s="162"/>
      <c r="D851" s="162"/>
      <c r="E851" s="162"/>
      <c r="F851" s="162"/>
      <c r="G851" s="162"/>
      <c r="H851" s="162"/>
      <c r="I851" s="162"/>
      <c r="J851" s="162"/>
    </row>
    <row r="852" spans="1:10" ht="71.25" x14ac:dyDescent="0.25">
      <c r="A852" s="164" t="s">
        <v>0</v>
      </c>
      <c r="B852" s="268"/>
      <c r="C852" s="155" t="s">
        <v>1</v>
      </c>
      <c r="D852" s="155"/>
      <c r="E852" s="155" t="s">
        <v>2</v>
      </c>
      <c r="F852" s="155"/>
      <c r="G852" s="155" t="s">
        <v>166</v>
      </c>
      <c r="H852" s="155"/>
      <c r="I852" s="155" t="s">
        <v>3</v>
      </c>
      <c r="J852" s="272"/>
    </row>
    <row r="853" spans="1:10" x14ac:dyDescent="0.25">
      <c r="A853" s="165" t="s">
        <v>4</v>
      </c>
      <c r="B853" s="269"/>
      <c r="C853" s="157" t="s">
        <v>5</v>
      </c>
      <c r="D853" s="157"/>
      <c r="E853" s="157" t="s">
        <v>6</v>
      </c>
      <c r="F853" s="157"/>
      <c r="G853" s="157" t="s">
        <v>12</v>
      </c>
      <c r="H853" s="157"/>
      <c r="I853" s="157" t="s">
        <v>7</v>
      </c>
      <c r="J853" s="273"/>
    </row>
    <row r="854" spans="1:10" x14ac:dyDescent="0.25">
      <c r="A854" s="165" t="s">
        <v>4</v>
      </c>
      <c r="B854" s="269"/>
      <c r="C854" s="156"/>
      <c r="D854" s="156"/>
      <c r="E854" s="156"/>
      <c r="F854" s="156"/>
      <c r="G854" s="156"/>
      <c r="H854" s="156"/>
      <c r="I854" s="156"/>
      <c r="J854" s="274"/>
    </row>
    <row r="855" spans="1:10" x14ac:dyDescent="0.25">
      <c r="A855" s="165" t="s">
        <v>5</v>
      </c>
      <c r="B855" s="269"/>
      <c r="C855" s="156"/>
      <c r="D855" s="156"/>
      <c r="E855" s="156"/>
      <c r="F855" s="156"/>
      <c r="G855" s="156"/>
      <c r="H855" s="156"/>
      <c r="I855" s="156"/>
      <c r="J855" s="274"/>
    </row>
    <row r="856" spans="1:10" x14ac:dyDescent="0.25">
      <c r="A856" s="165" t="s">
        <v>6</v>
      </c>
      <c r="B856" s="269"/>
      <c r="C856" s="156"/>
      <c r="D856" s="156"/>
      <c r="E856" s="156"/>
      <c r="F856" s="156"/>
      <c r="G856" s="156"/>
      <c r="H856" s="156"/>
      <c r="I856" s="156"/>
      <c r="J856" s="274"/>
    </row>
    <row r="857" spans="1:10" x14ac:dyDescent="0.25">
      <c r="A857" s="165" t="s">
        <v>12</v>
      </c>
      <c r="B857" s="269"/>
      <c r="C857" s="156"/>
      <c r="D857" s="156"/>
      <c r="E857" s="156"/>
      <c r="F857" s="156"/>
      <c r="G857" s="156"/>
      <c r="H857" s="156"/>
      <c r="I857" s="156"/>
      <c r="J857" s="274"/>
    </row>
    <row r="858" spans="1:10" x14ac:dyDescent="0.25">
      <c r="A858" s="165" t="s">
        <v>7</v>
      </c>
      <c r="B858" s="269"/>
      <c r="C858" s="156"/>
      <c r="D858" s="156"/>
      <c r="E858" s="156"/>
      <c r="F858" s="156"/>
      <c r="G858" s="156"/>
      <c r="H858" s="156"/>
      <c r="I858" s="156"/>
      <c r="J858" s="274"/>
    </row>
    <row r="859" spans="1:10" x14ac:dyDescent="0.25">
      <c r="A859" s="165" t="s">
        <v>167</v>
      </c>
      <c r="B859" s="269"/>
      <c r="C859" s="156"/>
      <c r="D859" s="156"/>
      <c r="E859" s="156"/>
      <c r="F859" s="156"/>
      <c r="G859" s="156"/>
      <c r="H859" s="156"/>
      <c r="I859" s="156"/>
      <c r="J859" s="274"/>
    </row>
    <row r="860" spans="1:10" x14ac:dyDescent="0.25">
      <c r="A860" s="165" t="s">
        <v>168</v>
      </c>
      <c r="B860" s="269"/>
      <c r="C860" s="156"/>
      <c r="D860" s="156"/>
      <c r="E860" s="156"/>
      <c r="F860" s="156"/>
      <c r="G860" s="156"/>
      <c r="H860" s="156"/>
      <c r="I860" s="156"/>
      <c r="J860" s="274"/>
    </row>
    <row r="861" spans="1:10" x14ac:dyDescent="0.25">
      <c r="A861" s="165" t="s">
        <v>169</v>
      </c>
      <c r="B861" s="269"/>
      <c r="C861" s="156"/>
      <c r="D861" s="156"/>
      <c r="E861" s="156"/>
      <c r="F861" s="156"/>
      <c r="G861" s="156"/>
      <c r="H861" s="156"/>
      <c r="I861" s="156"/>
      <c r="J861" s="274"/>
    </row>
    <row r="862" spans="1:10" x14ac:dyDescent="0.25">
      <c r="A862" s="165" t="s">
        <v>27</v>
      </c>
      <c r="B862" s="269"/>
      <c r="C862" s="156"/>
      <c r="D862" s="156"/>
      <c r="E862" s="156"/>
      <c r="F862" s="156"/>
      <c r="G862" s="156"/>
      <c r="H862" s="156"/>
      <c r="I862" s="156"/>
      <c r="J862" s="274"/>
    </row>
    <row r="863" spans="1:10" x14ac:dyDescent="0.25">
      <c r="A863" s="165" t="s">
        <v>170</v>
      </c>
      <c r="B863" s="269"/>
      <c r="C863" s="156"/>
      <c r="D863" s="156"/>
      <c r="E863" s="156"/>
      <c r="F863" s="156"/>
      <c r="G863" s="156"/>
      <c r="H863" s="156"/>
      <c r="I863" s="156"/>
      <c r="J863" s="274"/>
    </row>
    <row r="864" spans="1:10" x14ac:dyDescent="0.25">
      <c r="A864" s="166"/>
      <c r="B864" s="154"/>
      <c r="C864" s="154"/>
      <c r="D864" s="154"/>
      <c r="E864" s="154"/>
      <c r="F864" s="154"/>
      <c r="G864" s="154"/>
      <c r="H864" s="154"/>
      <c r="I864" s="154"/>
      <c r="J864" s="154"/>
    </row>
    <row r="865" spans="1:10" x14ac:dyDescent="0.25">
      <c r="A865" s="241">
        <v>60</v>
      </c>
      <c r="B865" s="240"/>
      <c r="C865" s="162"/>
      <c r="D865" s="162"/>
      <c r="E865" s="162"/>
      <c r="F865" s="162"/>
      <c r="G865" s="162"/>
      <c r="H865" s="162"/>
      <c r="I865" s="162"/>
      <c r="J865" s="162"/>
    </row>
    <row r="866" spans="1:10" ht="71.25" x14ac:dyDescent="0.25">
      <c r="A866" s="164" t="s">
        <v>0</v>
      </c>
      <c r="B866" s="268"/>
      <c r="C866" s="155" t="s">
        <v>1</v>
      </c>
      <c r="D866" s="155"/>
      <c r="E866" s="155" t="s">
        <v>2</v>
      </c>
      <c r="F866" s="155"/>
      <c r="G866" s="155" t="s">
        <v>166</v>
      </c>
      <c r="H866" s="155"/>
      <c r="I866" s="155" t="s">
        <v>3</v>
      </c>
      <c r="J866" s="272"/>
    </row>
    <row r="867" spans="1:10" x14ac:dyDescent="0.25">
      <c r="A867" s="165" t="s">
        <v>4</v>
      </c>
      <c r="B867" s="269"/>
      <c r="C867" s="157" t="s">
        <v>5</v>
      </c>
      <c r="D867" s="157"/>
      <c r="E867" s="157" t="s">
        <v>6</v>
      </c>
      <c r="F867" s="157"/>
      <c r="G867" s="157" t="s">
        <v>12</v>
      </c>
      <c r="H867" s="157"/>
      <c r="I867" s="157" t="s">
        <v>7</v>
      </c>
      <c r="J867" s="273"/>
    </row>
    <row r="868" spans="1:10" x14ac:dyDescent="0.25">
      <c r="A868" s="165" t="s">
        <v>4</v>
      </c>
      <c r="B868" s="269"/>
      <c r="C868" s="156"/>
      <c r="D868" s="156"/>
      <c r="E868" s="156"/>
      <c r="F868" s="156"/>
      <c r="G868" s="156"/>
      <c r="H868" s="156"/>
      <c r="I868" s="156"/>
      <c r="J868" s="274"/>
    </row>
    <row r="869" spans="1:10" x14ac:dyDescent="0.25">
      <c r="A869" s="165" t="s">
        <v>5</v>
      </c>
      <c r="B869" s="269"/>
      <c r="C869" s="156"/>
      <c r="D869" s="156"/>
      <c r="E869" s="156"/>
      <c r="F869" s="156"/>
      <c r="G869" s="156"/>
      <c r="H869" s="156"/>
      <c r="I869" s="156"/>
      <c r="J869" s="274"/>
    </row>
    <row r="870" spans="1:10" x14ac:dyDescent="0.25">
      <c r="A870" s="165" t="s">
        <v>6</v>
      </c>
      <c r="B870" s="269"/>
      <c r="C870" s="156"/>
      <c r="D870" s="156"/>
      <c r="E870" s="156"/>
      <c r="F870" s="156"/>
      <c r="G870" s="156"/>
      <c r="H870" s="156"/>
      <c r="I870" s="156"/>
      <c r="J870" s="274"/>
    </row>
    <row r="871" spans="1:10" x14ac:dyDescent="0.25">
      <c r="A871" s="165" t="s">
        <v>12</v>
      </c>
      <c r="B871" s="269"/>
      <c r="C871" s="156"/>
      <c r="D871" s="156"/>
      <c r="E871" s="156"/>
      <c r="F871" s="156"/>
      <c r="G871" s="156"/>
      <c r="H871" s="156"/>
      <c r="I871" s="156"/>
      <c r="J871" s="274"/>
    </row>
    <row r="872" spans="1:10" x14ac:dyDescent="0.25">
      <c r="A872" s="165" t="s">
        <v>7</v>
      </c>
      <c r="B872" s="269"/>
      <c r="C872" s="156"/>
      <c r="D872" s="156"/>
      <c r="E872" s="156"/>
      <c r="F872" s="156"/>
      <c r="G872" s="156"/>
      <c r="H872" s="156"/>
      <c r="I872" s="156"/>
      <c r="J872" s="274"/>
    </row>
    <row r="873" spans="1:10" x14ac:dyDescent="0.25">
      <c r="A873" s="165" t="s">
        <v>167</v>
      </c>
      <c r="B873" s="269"/>
      <c r="C873" s="156"/>
      <c r="D873" s="156"/>
      <c r="E873" s="156"/>
      <c r="F873" s="156"/>
      <c r="G873" s="156"/>
      <c r="H873" s="156"/>
      <c r="I873" s="156"/>
      <c r="J873" s="274"/>
    </row>
    <row r="874" spans="1:10" x14ac:dyDescent="0.25">
      <c r="A874" s="165" t="s">
        <v>168</v>
      </c>
      <c r="B874" s="269"/>
      <c r="C874" s="156"/>
      <c r="D874" s="156"/>
      <c r="E874" s="156"/>
      <c r="F874" s="156"/>
      <c r="G874" s="156"/>
      <c r="H874" s="156"/>
      <c r="I874" s="156"/>
      <c r="J874" s="274"/>
    </row>
    <row r="875" spans="1:10" x14ac:dyDescent="0.25">
      <c r="A875" s="165" t="s">
        <v>169</v>
      </c>
      <c r="B875" s="269"/>
      <c r="C875" s="156"/>
      <c r="D875" s="156"/>
      <c r="E875" s="156"/>
      <c r="F875" s="156"/>
      <c r="G875" s="156"/>
      <c r="H875" s="156"/>
      <c r="I875" s="156"/>
      <c r="J875" s="274"/>
    </row>
    <row r="876" spans="1:10" x14ac:dyDescent="0.25">
      <c r="A876" s="165" t="s">
        <v>27</v>
      </c>
      <c r="B876" s="269"/>
      <c r="C876" s="156"/>
      <c r="D876" s="156"/>
      <c r="E876" s="156"/>
      <c r="F876" s="156"/>
      <c r="G876" s="156"/>
      <c r="H876" s="156"/>
      <c r="I876" s="156"/>
      <c r="J876" s="274"/>
    </row>
    <row r="877" spans="1:10" x14ac:dyDescent="0.25">
      <c r="A877" s="165" t="s">
        <v>170</v>
      </c>
      <c r="B877" s="269"/>
      <c r="C877" s="156"/>
      <c r="D877" s="156"/>
      <c r="E877" s="156"/>
      <c r="F877" s="156"/>
      <c r="G877" s="156"/>
      <c r="H877" s="156"/>
      <c r="I877" s="156"/>
      <c r="J877" s="274"/>
    </row>
    <row r="881" spans="1:10" x14ac:dyDescent="0.25">
      <c r="A881" s="241">
        <v>61</v>
      </c>
      <c r="B881" s="240"/>
      <c r="C881" s="162"/>
      <c r="D881" s="162"/>
      <c r="E881" s="162"/>
      <c r="F881" s="162"/>
      <c r="G881" s="162"/>
      <c r="H881" s="162"/>
      <c r="I881" s="162"/>
      <c r="J881" s="162"/>
    </row>
    <row r="882" spans="1:10" ht="71.25" x14ac:dyDescent="0.25">
      <c r="A882" s="164" t="s">
        <v>0</v>
      </c>
      <c r="B882" s="268"/>
      <c r="C882" s="155" t="s">
        <v>1</v>
      </c>
      <c r="D882" s="155"/>
      <c r="E882" s="155" t="s">
        <v>2</v>
      </c>
      <c r="F882" s="155"/>
      <c r="G882" s="155" t="s">
        <v>166</v>
      </c>
      <c r="H882" s="155"/>
      <c r="I882" s="155" t="s">
        <v>3</v>
      </c>
      <c r="J882" s="272"/>
    </row>
    <row r="883" spans="1:10" x14ac:dyDescent="0.25">
      <c r="A883" s="165" t="s">
        <v>4</v>
      </c>
      <c r="B883" s="269"/>
      <c r="C883" s="157" t="s">
        <v>5</v>
      </c>
      <c r="D883" s="157"/>
      <c r="E883" s="157" t="s">
        <v>6</v>
      </c>
      <c r="F883" s="157"/>
      <c r="G883" s="157" t="s">
        <v>12</v>
      </c>
      <c r="H883" s="157"/>
      <c r="I883" s="157" t="s">
        <v>7</v>
      </c>
      <c r="J883" s="273"/>
    </row>
    <row r="884" spans="1:10" x14ac:dyDescent="0.25">
      <c r="A884" s="165" t="s">
        <v>4</v>
      </c>
      <c r="B884" s="269"/>
      <c r="C884" s="156"/>
      <c r="D884" s="156"/>
      <c r="E884" s="156"/>
      <c r="F884" s="156"/>
      <c r="G884" s="156"/>
      <c r="H884" s="156"/>
      <c r="I884" s="156"/>
      <c r="J884" s="274"/>
    </row>
    <row r="885" spans="1:10" x14ac:dyDescent="0.25">
      <c r="A885" s="165" t="s">
        <v>5</v>
      </c>
      <c r="B885" s="269"/>
      <c r="C885" s="156"/>
      <c r="D885" s="156"/>
      <c r="E885" s="156"/>
      <c r="F885" s="156"/>
      <c r="G885" s="156"/>
      <c r="H885" s="156"/>
      <c r="I885" s="156"/>
      <c r="J885" s="274"/>
    </row>
    <row r="886" spans="1:10" x14ac:dyDescent="0.25">
      <c r="A886" s="165" t="s">
        <v>6</v>
      </c>
      <c r="B886" s="269"/>
      <c r="C886" s="156"/>
      <c r="D886" s="156"/>
      <c r="E886" s="156"/>
      <c r="F886" s="156"/>
      <c r="G886" s="156"/>
      <c r="H886" s="156"/>
      <c r="I886" s="156"/>
      <c r="J886" s="274"/>
    </row>
    <row r="887" spans="1:10" x14ac:dyDescent="0.25">
      <c r="A887" s="165" t="s">
        <v>12</v>
      </c>
      <c r="B887" s="269"/>
      <c r="C887" s="156"/>
      <c r="D887" s="156"/>
      <c r="E887" s="156"/>
      <c r="F887" s="156"/>
      <c r="G887" s="156"/>
      <c r="H887" s="156"/>
      <c r="I887" s="156"/>
      <c r="J887" s="274"/>
    </row>
    <row r="888" spans="1:10" x14ac:dyDescent="0.25">
      <c r="A888" s="165" t="s">
        <v>7</v>
      </c>
      <c r="B888" s="269"/>
      <c r="C888" s="156"/>
      <c r="D888" s="156"/>
      <c r="E888" s="156"/>
      <c r="F888" s="156"/>
      <c r="G888" s="156"/>
      <c r="H888" s="156"/>
      <c r="I888" s="156"/>
      <c r="J888" s="274"/>
    </row>
    <row r="889" spans="1:10" x14ac:dyDescent="0.25">
      <c r="A889" s="165" t="s">
        <v>167</v>
      </c>
      <c r="B889" s="269"/>
      <c r="C889" s="156"/>
      <c r="D889" s="156"/>
      <c r="E889" s="156"/>
      <c r="F889" s="156"/>
      <c r="G889" s="156"/>
      <c r="H889" s="156"/>
      <c r="I889" s="156"/>
      <c r="J889" s="274"/>
    </row>
    <row r="890" spans="1:10" x14ac:dyDescent="0.25">
      <c r="A890" s="165" t="s">
        <v>168</v>
      </c>
      <c r="B890" s="269"/>
      <c r="C890" s="156"/>
      <c r="D890" s="156"/>
      <c r="E890" s="156"/>
      <c r="F890" s="156"/>
      <c r="G890" s="156"/>
      <c r="H890" s="156"/>
      <c r="I890" s="156"/>
      <c r="J890" s="274"/>
    </row>
    <row r="891" spans="1:10" x14ac:dyDescent="0.25">
      <c r="A891" s="165" t="s">
        <v>169</v>
      </c>
      <c r="B891" s="269"/>
      <c r="C891" s="156"/>
      <c r="D891" s="156"/>
      <c r="E891" s="156"/>
      <c r="F891" s="156"/>
      <c r="G891" s="156"/>
      <c r="H891" s="156"/>
      <c r="I891" s="156"/>
      <c r="J891" s="274"/>
    </row>
    <row r="892" spans="1:10" x14ac:dyDescent="0.25">
      <c r="A892" s="165" t="s">
        <v>27</v>
      </c>
      <c r="B892" s="269"/>
      <c r="C892" s="156"/>
      <c r="D892" s="156"/>
      <c r="E892" s="156"/>
      <c r="F892" s="156"/>
      <c r="G892" s="156"/>
      <c r="H892" s="156"/>
      <c r="I892" s="156"/>
      <c r="J892" s="274"/>
    </row>
    <row r="893" spans="1:10" x14ac:dyDescent="0.25">
      <c r="A893" s="165" t="s">
        <v>170</v>
      </c>
      <c r="B893" s="269"/>
      <c r="C893" s="156"/>
      <c r="D893" s="156"/>
      <c r="E893" s="156"/>
      <c r="F893" s="156"/>
      <c r="G893" s="156"/>
      <c r="H893" s="156"/>
      <c r="I893" s="156"/>
      <c r="J893" s="274"/>
    </row>
    <row r="897" spans="1:10" x14ac:dyDescent="0.25">
      <c r="A897" s="549" t="s">
        <v>478</v>
      </c>
      <c r="B897" s="549" t="s">
        <v>195</v>
      </c>
      <c r="C897" s="549" t="s">
        <v>195</v>
      </c>
      <c r="D897" s="549" t="s">
        <v>195</v>
      </c>
      <c r="E897" s="549" t="s">
        <v>195</v>
      </c>
      <c r="F897" s="288"/>
      <c r="G897" s="288"/>
      <c r="H897" s="288"/>
      <c r="I897" s="288"/>
      <c r="J897" s="288"/>
    </row>
    <row r="898" spans="1:10" x14ac:dyDescent="0.25">
      <c r="A898" s="547" t="s">
        <v>0</v>
      </c>
      <c r="B898" s="547" t="s">
        <v>0</v>
      </c>
      <c r="C898" s="547" t="s">
        <v>1</v>
      </c>
      <c r="D898" s="547" t="s">
        <v>1</v>
      </c>
      <c r="E898" s="547" t="s">
        <v>2</v>
      </c>
      <c r="F898" s="547" t="s">
        <v>2</v>
      </c>
      <c r="G898" s="547" t="s">
        <v>196</v>
      </c>
      <c r="H898" s="547" t="s">
        <v>196</v>
      </c>
      <c r="I898" s="547" t="s">
        <v>3</v>
      </c>
      <c r="J898" s="547" t="s">
        <v>3</v>
      </c>
    </row>
    <row r="899" spans="1:10" x14ac:dyDescent="0.25">
      <c r="A899" s="548" t="s">
        <v>4</v>
      </c>
      <c r="B899" s="548" t="s">
        <v>4</v>
      </c>
      <c r="C899" s="548" t="s">
        <v>5</v>
      </c>
      <c r="D899" s="548" t="s">
        <v>5</v>
      </c>
      <c r="E899" s="548" t="s">
        <v>6</v>
      </c>
      <c r="F899" s="548" t="s">
        <v>6</v>
      </c>
      <c r="G899" s="548" t="s">
        <v>12</v>
      </c>
      <c r="H899" s="548" t="s">
        <v>12</v>
      </c>
      <c r="I899" s="548" t="s">
        <v>7</v>
      </c>
      <c r="J899" s="548" t="s">
        <v>7</v>
      </c>
    </row>
    <row r="900" spans="1:10" x14ac:dyDescent="0.25">
      <c r="A900" s="546" t="s">
        <v>4</v>
      </c>
      <c r="B900" s="546" t="s">
        <v>4</v>
      </c>
      <c r="C900" s="546" t="s">
        <v>144</v>
      </c>
      <c r="D900" s="546" t="s">
        <v>144</v>
      </c>
      <c r="E900" s="546" t="s">
        <v>210</v>
      </c>
      <c r="F900" s="546" t="s">
        <v>210</v>
      </c>
      <c r="G900" s="546" t="s">
        <v>143</v>
      </c>
      <c r="H900" s="546" t="s">
        <v>197</v>
      </c>
      <c r="I900" s="546" t="s">
        <v>198</v>
      </c>
      <c r="J900" s="546" t="s">
        <v>198</v>
      </c>
    </row>
    <row r="901" spans="1:10" x14ac:dyDescent="0.25">
      <c r="A901" s="546" t="s">
        <v>5</v>
      </c>
      <c r="B901" s="546" t="s">
        <v>5</v>
      </c>
      <c r="C901" s="546" t="s">
        <v>137</v>
      </c>
      <c r="D901" s="546" t="s">
        <v>137</v>
      </c>
      <c r="E901" s="546" t="s">
        <v>211</v>
      </c>
      <c r="F901" s="546" t="s">
        <v>211</v>
      </c>
      <c r="G901" s="546" t="s">
        <v>500</v>
      </c>
      <c r="H901" s="546" t="s">
        <v>212</v>
      </c>
      <c r="I901" s="546" t="s">
        <v>199</v>
      </c>
      <c r="J901" s="546" t="s">
        <v>199</v>
      </c>
    </row>
    <row r="902" spans="1:10" x14ac:dyDescent="0.25">
      <c r="A902" s="546" t="s">
        <v>6</v>
      </c>
      <c r="B902" s="546" t="s">
        <v>6</v>
      </c>
      <c r="C902" s="546" t="s">
        <v>209</v>
      </c>
      <c r="D902" s="546" t="s">
        <v>209</v>
      </c>
      <c r="E902" s="546" t="s">
        <v>213</v>
      </c>
      <c r="F902" s="546" t="s">
        <v>213</v>
      </c>
      <c r="G902" s="546" t="s">
        <v>501</v>
      </c>
      <c r="H902" s="546" t="s">
        <v>214</v>
      </c>
      <c r="I902" s="546" t="s">
        <v>199</v>
      </c>
      <c r="J902" s="546" t="s">
        <v>199</v>
      </c>
    </row>
    <row r="903" spans="1:10" x14ac:dyDescent="0.25">
      <c r="A903" s="546" t="s">
        <v>12</v>
      </c>
      <c r="B903" s="546" t="s">
        <v>12</v>
      </c>
      <c r="C903" s="546" t="s">
        <v>204</v>
      </c>
      <c r="D903" s="546" t="s">
        <v>204</v>
      </c>
      <c r="E903" s="546" t="s">
        <v>215</v>
      </c>
      <c r="F903" s="546" t="s">
        <v>215</v>
      </c>
      <c r="G903" s="546" t="s">
        <v>502</v>
      </c>
      <c r="H903" s="546" t="s">
        <v>216</v>
      </c>
      <c r="I903" s="546" t="s">
        <v>199</v>
      </c>
      <c r="J903" s="546" t="s">
        <v>199</v>
      </c>
    </row>
    <row r="904" spans="1:10" x14ac:dyDescent="0.25">
      <c r="A904" s="546" t="s">
        <v>7</v>
      </c>
      <c r="B904" s="546" t="s">
        <v>7</v>
      </c>
      <c r="C904" s="546" t="s">
        <v>206</v>
      </c>
      <c r="D904" s="546" t="s">
        <v>206</v>
      </c>
      <c r="E904" s="546" t="s">
        <v>217</v>
      </c>
      <c r="F904" s="546" t="s">
        <v>217</v>
      </c>
      <c r="G904" s="546" t="s">
        <v>503</v>
      </c>
      <c r="H904" s="546" t="s">
        <v>218</v>
      </c>
      <c r="I904" s="546" t="s">
        <v>199</v>
      </c>
      <c r="J904" s="546" t="s">
        <v>199</v>
      </c>
    </row>
    <row r="905" spans="1:10" x14ac:dyDescent="0.25">
      <c r="A905" s="546" t="s">
        <v>167</v>
      </c>
      <c r="B905" s="546" t="s">
        <v>167</v>
      </c>
      <c r="C905" s="546" t="s">
        <v>99</v>
      </c>
      <c r="D905" s="546" t="s">
        <v>99</v>
      </c>
      <c r="E905" s="546" t="s">
        <v>219</v>
      </c>
      <c r="F905" s="546" t="s">
        <v>219</v>
      </c>
      <c r="G905" s="546" t="s">
        <v>104</v>
      </c>
      <c r="H905" s="546" t="s">
        <v>104</v>
      </c>
      <c r="I905" s="546" t="s">
        <v>199</v>
      </c>
      <c r="J905" s="546" t="s">
        <v>199</v>
      </c>
    </row>
    <row r="906" spans="1:10" x14ac:dyDescent="0.25">
      <c r="A906" s="546" t="s">
        <v>168</v>
      </c>
      <c r="B906" s="546" t="s">
        <v>168</v>
      </c>
      <c r="C906" s="546" t="s">
        <v>205</v>
      </c>
      <c r="D906" s="546" t="s">
        <v>205</v>
      </c>
      <c r="E906" s="546" t="s">
        <v>79</v>
      </c>
      <c r="F906" s="546" t="s">
        <v>79</v>
      </c>
      <c r="G906" s="546" t="s">
        <v>200</v>
      </c>
      <c r="H906" s="546" t="s">
        <v>200</v>
      </c>
      <c r="I906" s="546" t="s">
        <v>199</v>
      </c>
      <c r="J906" s="546" t="s">
        <v>199</v>
      </c>
    </row>
    <row r="907" spans="1:10" x14ac:dyDescent="0.25">
      <c r="A907" s="546" t="s">
        <v>169</v>
      </c>
      <c r="B907" s="546" t="s">
        <v>169</v>
      </c>
      <c r="C907" s="546" t="s">
        <v>87</v>
      </c>
      <c r="D907" s="546" t="s">
        <v>87</v>
      </c>
      <c r="E907" s="546" t="s">
        <v>220</v>
      </c>
      <c r="F907" s="546" t="s">
        <v>220</v>
      </c>
      <c r="G907" s="546" t="s">
        <v>504</v>
      </c>
      <c r="H907" s="546" t="s">
        <v>221</v>
      </c>
      <c r="I907" s="546" t="s">
        <v>199</v>
      </c>
      <c r="J907" s="546" t="s">
        <v>199</v>
      </c>
    </row>
    <row r="908" spans="1:10" x14ac:dyDescent="0.25">
      <c r="A908" s="546" t="s">
        <v>27</v>
      </c>
      <c r="B908" s="546" t="s">
        <v>27</v>
      </c>
      <c r="C908" s="546" t="s">
        <v>207</v>
      </c>
      <c r="D908" s="546" t="s">
        <v>207</v>
      </c>
      <c r="E908" s="546" t="s">
        <v>201</v>
      </c>
      <c r="F908" s="546" t="s">
        <v>201</v>
      </c>
      <c r="G908" s="546" t="s">
        <v>202</v>
      </c>
      <c r="H908" s="546" t="s">
        <v>202</v>
      </c>
      <c r="I908" s="546" t="s">
        <v>199</v>
      </c>
      <c r="J908" s="546" t="s">
        <v>199</v>
      </c>
    </row>
    <row r="909" spans="1:10" x14ac:dyDescent="0.25">
      <c r="A909" s="546" t="s">
        <v>170</v>
      </c>
      <c r="B909" s="546" t="s">
        <v>170</v>
      </c>
      <c r="C909" s="546" t="s">
        <v>208</v>
      </c>
      <c r="D909" s="546" t="s">
        <v>208</v>
      </c>
      <c r="E909" s="546" t="s">
        <v>222</v>
      </c>
      <c r="F909" s="546" t="s">
        <v>222</v>
      </c>
      <c r="G909" s="546" t="s">
        <v>200</v>
      </c>
      <c r="H909" s="546" t="s">
        <v>200</v>
      </c>
      <c r="I909" s="546" t="s">
        <v>199</v>
      </c>
      <c r="J909" s="546" t="s">
        <v>199</v>
      </c>
    </row>
    <row r="910" spans="1:10" x14ac:dyDescent="0.25">
      <c r="A910" s="161"/>
      <c r="B910" s="162"/>
      <c r="C910" s="162"/>
      <c r="D910" s="162"/>
      <c r="E910" s="162"/>
      <c r="F910" s="162"/>
      <c r="G910" s="162"/>
      <c r="H910" s="162"/>
      <c r="I910" s="162"/>
      <c r="J910" s="162"/>
    </row>
    <row r="911" spans="1:10" x14ac:dyDescent="0.25">
      <c r="A911" s="241">
        <v>63</v>
      </c>
      <c r="B911" s="240"/>
      <c r="C911" s="154"/>
      <c r="D911" s="154"/>
      <c r="E911" s="154"/>
      <c r="F911" s="154"/>
      <c r="G911" s="154"/>
      <c r="H911" s="154"/>
      <c r="I911" s="154"/>
      <c r="J911" s="154"/>
    </row>
    <row r="912" spans="1:10" ht="71.25" x14ac:dyDescent="0.25">
      <c r="A912" s="164" t="s">
        <v>0</v>
      </c>
      <c r="B912" s="268"/>
      <c r="C912" s="155" t="s">
        <v>1</v>
      </c>
      <c r="D912" s="155"/>
      <c r="E912" s="155" t="s">
        <v>2</v>
      </c>
      <c r="F912" s="155"/>
      <c r="G912" s="155" t="s">
        <v>166</v>
      </c>
      <c r="H912" s="155"/>
      <c r="I912" s="155" t="s">
        <v>3</v>
      </c>
      <c r="J912" s="272"/>
    </row>
    <row r="913" spans="1:10" x14ac:dyDescent="0.25">
      <c r="A913" s="165" t="s">
        <v>4</v>
      </c>
      <c r="B913" s="269"/>
      <c r="C913" s="157" t="s">
        <v>5</v>
      </c>
      <c r="D913" s="157"/>
      <c r="E913" s="157" t="s">
        <v>6</v>
      </c>
      <c r="F913" s="157"/>
      <c r="G913" s="157" t="s">
        <v>12</v>
      </c>
      <c r="H913" s="157"/>
      <c r="I913" s="157" t="s">
        <v>7</v>
      </c>
      <c r="J913" s="273"/>
    </row>
    <row r="914" spans="1:10" ht="24" x14ac:dyDescent="0.25">
      <c r="A914" s="165" t="s">
        <v>4</v>
      </c>
      <c r="B914" s="269"/>
      <c r="C914" s="156" t="s">
        <v>144</v>
      </c>
      <c r="D914" s="156"/>
      <c r="E914" s="156"/>
      <c r="F914" s="156"/>
      <c r="G914" s="156"/>
      <c r="H914" s="156"/>
      <c r="I914" s="156"/>
      <c r="J914" s="274"/>
    </row>
    <row r="915" spans="1:10" ht="24" x14ac:dyDescent="0.25">
      <c r="A915" s="165" t="s">
        <v>5</v>
      </c>
      <c r="B915" s="269"/>
      <c r="C915" s="156" t="s">
        <v>137</v>
      </c>
      <c r="D915" s="156"/>
      <c r="E915" s="156"/>
      <c r="F915" s="156"/>
      <c r="G915" s="156"/>
      <c r="H915" s="156"/>
      <c r="I915" s="156"/>
      <c r="J915" s="274"/>
    </row>
    <row r="916" spans="1:10" x14ac:dyDescent="0.25">
      <c r="A916" s="165" t="s">
        <v>6</v>
      </c>
      <c r="B916" s="269"/>
      <c r="C916" s="156" t="s">
        <v>132</v>
      </c>
      <c r="D916" s="156"/>
      <c r="E916" s="156">
        <v>1.1000000000000001</v>
      </c>
      <c r="F916" s="156"/>
      <c r="G916" s="156"/>
      <c r="H916" s="156"/>
      <c r="I916" s="156"/>
      <c r="J916" s="274"/>
    </row>
    <row r="917" spans="1:10" x14ac:dyDescent="0.25">
      <c r="A917" s="165" t="s">
        <v>12</v>
      </c>
      <c r="B917" s="269"/>
      <c r="C917" s="156" t="s">
        <v>123</v>
      </c>
      <c r="D917" s="156"/>
      <c r="E917" s="156"/>
      <c r="F917" s="156"/>
      <c r="G917" s="156"/>
      <c r="H917" s="156"/>
      <c r="I917" s="156"/>
      <c r="J917" s="274"/>
    </row>
    <row r="918" spans="1:10" ht="24" x14ac:dyDescent="0.25">
      <c r="A918" s="165" t="s">
        <v>7</v>
      </c>
      <c r="B918" s="269"/>
      <c r="C918" s="156" t="s">
        <v>118</v>
      </c>
      <c r="D918" s="156"/>
      <c r="E918" s="156"/>
      <c r="F918" s="156"/>
      <c r="G918" s="156"/>
      <c r="H918" s="156"/>
      <c r="I918" s="156"/>
      <c r="J918" s="274"/>
    </row>
    <row r="919" spans="1:10" x14ac:dyDescent="0.25">
      <c r="A919" s="165" t="s">
        <v>167</v>
      </c>
      <c r="B919" s="269"/>
      <c r="C919" s="156" t="s">
        <v>110</v>
      </c>
      <c r="D919" s="156"/>
      <c r="E919" s="156"/>
      <c r="F919" s="156"/>
      <c r="G919" s="156"/>
      <c r="H919" s="156"/>
      <c r="I919" s="156"/>
      <c r="J919" s="274"/>
    </row>
    <row r="920" spans="1:10" ht="24" x14ac:dyDescent="0.25">
      <c r="A920" s="165" t="s">
        <v>168</v>
      </c>
      <c r="B920" s="269"/>
      <c r="C920" s="156" t="s">
        <v>107</v>
      </c>
      <c r="D920" s="156"/>
      <c r="E920" s="156">
        <v>0.03</v>
      </c>
      <c r="F920" s="156"/>
      <c r="G920" s="156"/>
      <c r="H920" s="156"/>
      <c r="I920" s="156"/>
      <c r="J920" s="274"/>
    </row>
    <row r="921" spans="1:10" ht="24" x14ac:dyDescent="0.25">
      <c r="A921" s="165" t="s">
        <v>169</v>
      </c>
      <c r="B921" s="269"/>
      <c r="C921" s="156" t="s">
        <v>99</v>
      </c>
      <c r="D921" s="156"/>
      <c r="E921" s="156"/>
      <c r="F921" s="156"/>
      <c r="G921" s="156"/>
      <c r="H921" s="156"/>
      <c r="I921" s="156"/>
      <c r="J921" s="274"/>
    </row>
    <row r="922" spans="1:10" x14ac:dyDescent="0.25">
      <c r="A922" s="165" t="s">
        <v>27</v>
      </c>
      <c r="B922" s="269"/>
      <c r="C922" s="156" t="s">
        <v>93</v>
      </c>
      <c r="D922" s="156"/>
      <c r="E922" s="156"/>
      <c r="F922" s="156"/>
      <c r="G922" s="156"/>
      <c r="H922" s="156"/>
      <c r="I922" s="156"/>
      <c r="J922" s="274"/>
    </row>
    <row r="923" spans="1:10" ht="24" x14ac:dyDescent="0.25">
      <c r="A923" s="165" t="s">
        <v>170</v>
      </c>
      <c r="B923" s="269"/>
      <c r="C923" s="156" t="s">
        <v>87</v>
      </c>
      <c r="D923" s="156"/>
      <c r="E923" s="156"/>
      <c r="F923" s="156"/>
      <c r="G923" s="156"/>
      <c r="H923" s="156"/>
      <c r="I923" s="156"/>
      <c r="J923" s="274"/>
    </row>
    <row r="924" spans="1:10" x14ac:dyDescent="0.25">
      <c r="A924" s="161"/>
      <c r="B924" s="162"/>
      <c r="C924" s="162"/>
      <c r="D924" s="162"/>
      <c r="E924" s="162"/>
      <c r="F924" s="162"/>
      <c r="G924" s="162"/>
      <c r="H924" s="162"/>
      <c r="I924" s="162"/>
      <c r="J924" s="162"/>
    </row>
    <row r="925" spans="1:10" x14ac:dyDescent="0.25">
      <c r="A925" s="241">
        <v>64</v>
      </c>
      <c r="B925" s="240"/>
      <c r="C925" s="154"/>
      <c r="D925" s="154"/>
      <c r="E925" s="154"/>
      <c r="F925" s="154"/>
      <c r="G925" s="154"/>
      <c r="H925" s="154"/>
      <c r="I925" s="154"/>
      <c r="J925" s="154"/>
    </row>
    <row r="926" spans="1:10" ht="71.25" x14ac:dyDescent="0.25">
      <c r="A926" s="164" t="s">
        <v>0</v>
      </c>
      <c r="B926" s="268"/>
      <c r="C926" s="155" t="s">
        <v>1</v>
      </c>
      <c r="D926" s="155"/>
      <c r="E926" s="155" t="s">
        <v>2</v>
      </c>
      <c r="F926" s="155"/>
      <c r="G926" s="155" t="s">
        <v>166</v>
      </c>
      <c r="H926" s="155"/>
      <c r="I926" s="155" t="s">
        <v>3</v>
      </c>
      <c r="J926" s="272"/>
    </row>
    <row r="927" spans="1:10" x14ac:dyDescent="0.25">
      <c r="A927" s="165" t="s">
        <v>4</v>
      </c>
      <c r="B927" s="269"/>
      <c r="C927" s="157" t="s">
        <v>5</v>
      </c>
      <c r="D927" s="157"/>
      <c r="E927" s="157" t="s">
        <v>6</v>
      </c>
      <c r="F927" s="157"/>
      <c r="G927" s="157" t="s">
        <v>12</v>
      </c>
      <c r="H927" s="157"/>
      <c r="I927" s="157" t="s">
        <v>7</v>
      </c>
      <c r="J927" s="273"/>
    </row>
    <row r="928" spans="1:10" x14ac:dyDescent="0.25">
      <c r="A928" s="165"/>
      <c r="B928" s="269"/>
      <c r="C928" s="156"/>
      <c r="D928" s="156"/>
      <c r="E928" s="156"/>
      <c r="F928" s="156"/>
      <c r="G928" s="156"/>
      <c r="H928" s="156"/>
      <c r="I928" s="156"/>
      <c r="J928" s="274"/>
    </row>
    <row r="929" spans="1:10" x14ac:dyDescent="0.25">
      <c r="A929" s="165"/>
      <c r="B929" s="269"/>
      <c r="C929" s="156"/>
      <c r="D929" s="156"/>
      <c r="E929" s="156"/>
      <c r="F929" s="156"/>
      <c r="G929" s="156"/>
      <c r="H929" s="156"/>
      <c r="I929" s="156"/>
      <c r="J929" s="274"/>
    </row>
    <row r="930" spans="1:10" x14ac:dyDescent="0.25">
      <c r="A930" s="165"/>
      <c r="B930" s="269"/>
      <c r="C930" s="156"/>
      <c r="D930" s="156"/>
      <c r="E930" s="156"/>
      <c r="F930" s="156"/>
      <c r="G930" s="156"/>
      <c r="H930" s="156"/>
      <c r="I930" s="156"/>
      <c r="J930" s="274"/>
    </row>
    <row r="931" spans="1:10" x14ac:dyDescent="0.25">
      <c r="A931" s="165"/>
      <c r="B931" s="269"/>
      <c r="C931" s="156"/>
      <c r="D931" s="156"/>
      <c r="E931" s="156"/>
      <c r="F931" s="156"/>
      <c r="G931" s="156"/>
      <c r="H931" s="156"/>
      <c r="I931" s="156"/>
      <c r="J931" s="274"/>
    </row>
    <row r="932" spans="1:10" x14ac:dyDescent="0.25">
      <c r="A932" s="165"/>
      <c r="B932" s="269"/>
      <c r="C932" s="156"/>
      <c r="D932" s="156"/>
      <c r="E932" s="156"/>
      <c r="F932" s="156"/>
      <c r="G932" s="156"/>
      <c r="H932" s="156"/>
      <c r="I932" s="156"/>
      <c r="J932" s="274"/>
    </row>
    <row r="933" spans="1:10" x14ac:dyDescent="0.25">
      <c r="A933" s="165"/>
      <c r="B933" s="269"/>
      <c r="C933" s="156"/>
      <c r="D933" s="156"/>
      <c r="E933" s="156"/>
      <c r="F933" s="156"/>
      <c r="G933" s="156"/>
      <c r="H933" s="156"/>
      <c r="I933" s="156"/>
      <c r="J933" s="274"/>
    </row>
    <row r="934" spans="1:10" x14ac:dyDescent="0.25">
      <c r="A934" s="165"/>
      <c r="B934" s="269"/>
      <c r="C934" s="156"/>
      <c r="D934" s="156"/>
      <c r="E934" s="156"/>
      <c r="F934" s="156"/>
      <c r="G934" s="156"/>
      <c r="H934" s="156"/>
      <c r="I934" s="156"/>
      <c r="J934" s="274"/>
    </row>
    <row r="935" spans="1:10" x14ac:dyDescent="0.25">
      <c r="A935" s="165"/>
      <c r="B935" s="269"/>
      <c r="C935" s="156"/>
      <c r="D935" s="156"/>
      <c r="E935" s="156"/>
      <c r="F935" s="156"/>
      <c r="G935" s="156"/>
      <c r="H935" s="156"/>
      <c r="I935" s="156"/>
      <c r="J935" s="274"/>
    </row>
    <row r="936" spans="1:10" x14ac:dyDescent="0.25">
      <c r="A936" s="165"/>
      <c r="B936" s="269"/>
      <c r="C936" s="156"/>
      <c r="D936" s="156"/>
      <c r="E936" s="156"/>
      <c r="F936" s="156"/>
      <c r="G936" s="156"/>
      <c r="H936" s="156"/>
      <c r="I936" s="156"/>
      <c r="J936" s="274"/>
    </row>
    <row r="937" spans="1:10" x14ac:dyDescent="0.25">
      <c r="A937" s="165"/>
      <c r="B937" s="269"/>
      <c r="C937" s="156"/>
      <c r="D937" s="156"/>
      <c r="E937" s="156"/>
      <c r="F937" s="156"/>
      <c r="G937" s="156"/>
      <c r="H937" s="156"/>
      <c r="I937" s="156"/>
      <c r="J937" s="274"/>
    </row>
    <row r="938" spans="1:10" x14ac:dyDescent="0.25">
      <c r="A938" s="282"/>
      <c r="B938" s="274"/>
      <c r="C938" s="274"/>
      <c r="D938" s="274"/>
      <c r="E938" s="274"/>
      <c r="F938" s="274"/>
      <c r="G938" s="274"/>
      <c r="H938" s="274"/>
      <c r="I938" s="274"/>
      <c r="J938" s="274"/>
    </row>
    <row r="939" spans="1:10" x14ac:dyDescent="0.25">
      <c r="A939" s="282"/>
      <c r="B939" s="274"/>
      <c r="C939" s="274"/>
      <c r="D939" s="274"/>
      <c r="E939" s="274"/>
      <c r="F939" s="274"/>
      <c r="G939" s="274"/>
      <c r="H939" s="274"/>
      <c r="I939" s="274"/>
      <c r="J939" s="274"/>
    </row>
    <row r="940" spans="1:10" x14ac:dyDescent="0.25">
      <c r="A940" s="161"/>
      <c r="B940" s="162"/>
      <c r="C940" s="162"/>
      <c r="D940" s="162"/>
      <c r="E940" s="162"/>
      <c r="F940" s="162"/>
      <c r="G940" s="162"/>
      <c r="H940" s="162"/>
      <c r="I940" s="162"/>
      <c r="J940" s="162"/>
    </row>
    <row r="941" spans="1:10" x14ac:dyDescent="0.25">
      <c r="A941" s="241">
        <v>65</v>
      </c>
      <c r="B941" s="240"/>
      <c r="C941" s="154"/>
      <c r="D941" s="154"/>
      <c r="E941" s="154"/>
      <c r="F941" s="154"/>
      <c r="G941" s="154"/>
      <c r="H941" s="154"/>
      <c r="I941" s="154"/>
      <c r="J941" s="154"/>
    </row>
    <row r="942" spans="1:10" ht="71.25" x14ac:dyDescent="0.25">
      <c r="A942" s="164" t="s">
        <v>0</v>
      </c>
      <c r="B942" s="268"/>
      <c r="C942" s="155" t="s">
        <v>1</v>
      </c>
      <c r="D942" s="155"/>
      <c r="E942" s="155" t="s">
        <v>2</v>
      </c>
      <c r="F942" s="155"/>
      <c r="G942" s="155" t="s">
        <v>166</v>
      </c>
      <c r="H942" s="155"/>
      <c r="I942" s="155" t="s">
        <v>3</v>
      </c>
      <c r="J942" s="272"/>
    </row>
    <row r="943" spans="1:10" x14ac:dyDescent="0.25">
      <c r="A943" s="165" t="s">
        <v>4</v>
      </c>
      <c r="B943" s="269"/>
      <c r="C943" s="157" t="s">
        <v>5</v>
      </c>
      <c r="D943" s="157"/>
      <c r="E943" s="157" t="s">
        <v>6</v>
      </c>
      <c r="F943" s="157"/>
      <c r="G943" s="157" t="s">
        <v>12</v>
      </c>
      <c r="H943" s="157"/>
      <c r="I943" s="157" t="s">
        <v>7</v>
      </c>
      <c r="J943" s="273"/>
    </row>
    <row r="944" spans="1:10" x14ac:dyDescent="0.25">
      <c r="A944" s="165" t="s">
        <v>4</v>
      </c>
      <c r="B944" s="269"/>
      <c r="C944" s="156"/>
      <c r="D944" s="156"/>
      <c r="E944" s="156"/>
      <c r="F944" s="156"/>
      <c r="G944" s="156"/>
      <c r="H944" s="156"/>
      <c r="I944" s="156"/>
      <c r="J944" s="274"/>
    </row>
    <row r="945" spans="1:10" x14ac:dyDescent="0.25">
      <c r="A945" s="165" t="s">
        <v>5</v>
      </c>
      <c r="B945" s="269"/>
      <c r="C945" s="156"/>
      <c r="D945" s="156"/>
      <c r="E945" s="156"/>
      <c r="F945" s="156"/>
      <c r="G945" s="156"/>
      <c r="H945" s="156"/>
      <c r="I945" s="156"/>
      <c r="J945" s="274"/>
    </row>
    <row r="946" spans="1:10" x14ac:dyDescent="0.25">
      <c r="A946" s="165" t="s">
        <v>6</v>
      </c>
      <c r="B946" s="269"/>
      <c r="C946" s="156"/>
      <c r="D946" s="156"/>
      <c r="E946" s="156"/>
      <c r="F946" s="156"/>
      <c r="G946" s="156"/>
      <c r="H946" s="156"/>
      <c r="I946" s="156"/>
      <c r="J946" s="274"/>
    </row>
    <row r="947" spans="1:10" x14ac:dyDescent="0.25">
      <c r="A947" s="165" t="s">
        <v>12</v>
      </c>
      <c r="B947" s="269"/>
      <c r="C947" s="156"/>
      <c r="D947" s="156"/>
      <c r="E947" s="156"/>
      <c r="F947" s="156"/>
      <c r="G947" s="156"/>
      <c r="H947" s="156"/>
      <c r="I947" s="156"/>
      <c r="J947" s="274"/>
    </row>
    <row r="948" spans="1:10" x14ac:dyDescent="0.25">
      <c r="A948" s="165" t="s">
        <v>7</v>
      </c>
      <c r="B948" s="269"/>
      <c r="C948" s="156"/>
      <c r="D948" s="156"/>
      <c r="E948" s="156"/>
      <c r="F948" s="156"/>
      <c r="G948" s="156"/>
      <c r="H948" s="156"/>
      <c r="I948" s="156"/>
      <c r="J948" s="274"/>
    </row>
    <row r="949" spans="1:10" x14ac:dyDescent="0.25">
      <c r="A949" s="165" t="s">
        <v>167</v>
      </c>
      <c r="B949" s="269"/>
      <c r="C949" s="156"/>
      <c r="D949" s="156"/>
      <c r="E949" s="156"/>
      <c r="F949" s="156"/>
      <c r="G949" s="156"/>
      <c r="H949" s="156"/>
      <c r="I949" s="156"/>
      <c r="J949" s="274"/>
    </row>
    <row r="950" spans="1:10" x14ac:dyDescent="0.25">
      <c r="A950" s="165" t="s">
        <v>168</v>
      </c>
      <c r="B950" s="269"/>
      <c r="C950" s="156"/>
      <c r="D950" s="156"/>
      <c r="E950" s="156"/>
      <c r="F950" s="156"/>
      <c r="G950" s="156"/>
      <c r="H950" s="156"/>
      <c r="I950" s="156"/>
      <c r="J950" s="274"/>
    </row>
    <row r="951" spans="1:10" x14ac:dyDescent="0.25">
      <c r="A951" s="165" t="s">
        <v>169</v>
      </c>
      <c r="B951" s="269"/>
      <c r="C951" s="156"/>
      <c r="D951" s="156"/>
      <c r="E951" s="156"/>
      <c r="F951" s="156"/>
      <c r="G951" s="156"/>
      <c r="H951" s="156"/>
      <c r="I951" s="156"/>
      <c r="J951" s="274"/>
    </row>
    <row r="952" spans="1:10" x14ac:dyDescent="0.25">
      <c r="A952" s="165" t="s">
        <v>27</v>
      </c>
      <c r="B952" s="269"/>
      <c r="C952" s="156"/>
      <c r="D952" s="156"/>
      <c r="E952" s="156"/>
      <c r="F952" s="156"/>
      <c r="G952" s="156"/>
      <c r="H952" s="156"/>
      <c r="I952" s="156"/>
      <c r="J952" s="274"/>
    </row>
    <row r="953" spans="1:10" x14ac:dyDescent="0.25">
      <c r="A953" s="165" t="s">
        <v>170</v>
      </c>
      <c r="B953" s="269"/>
      <c r="C953" s="156"/>
      <c r="D953" s="156"/>
      <c r="E953" s="156"/>
      <c r="F953" s="156"/>
      <c r="G953" s="156"/>
      <c r="H953" s="156"/>
      <c r="I953" s="156"/>
      <c r="J953" s="274"/>
    </row>
    <row r="954" spans="1:10" x14ac:dyDescent="0.25">
      <c r="A954" s="161"/>
      <c r="B954" s="162"/>
      <c r="C954" s="162"/>
      <c r="D954" s="162"/>
      <c r="E954" s="162"/>
      <c r="F954" s="162"/>
      <c r="G954" s="162"/>
      <c r="H954" s="162"/>
      <c r="I954" s="162"/>
      <c r="J954" s="162"/>
    </row>
    <row r="955" spans="1:10" x14ac:dyDescent="0.25">
      <c r="A955" s="241">
        <v>66</v>
      </c>
      <c r="B955" s="240"/>
      <c r="C955" s="154"/>
      <c r="D955" s="154"/>
      <c r="E955" s="154"/>
      <c r="F955" s="154"/>
      <c r="G955" s="154"/>
      <c r="H955" s="154"/>
      <c r="I955" s="154"/>
      <c r="J955" s="154"/>
    </row>
    <row r="956" spans="1:10" ht="71.25" x14ac:dyDescent="0.25">
      <c r="A956" s="164" t="s">
        <v>0</v>
      </c>
      <c r="B956" s="268"/>
      <c r="C956" s="155" t="s">
        <v>1</v>
      </c>
      <c r="D956" s="155"/>
      <c r="E956" s="155" t="s">
        <v>2</v>
      </c>
      <c r="F956" s="155"/>
      <c r="G956" s="155" t="s">
        <v>166</v>
      </c>
      <c r="H956" s="155"/>
      <c r="I956" s="155" t="s">
        <v>3</v>
      </c>
      <c r="J956" s="272"/>
    </row>
    <row r="957" spans="1:10" x14ac:dyDescent="0.25">
      <c r="A957" s="165" t="s">
        <v>4</v>
      </c>
      <c r="B957" s="269"/>
      <c r="C957" s="157" t="s">
        <v>5</v>
      </c>
      <c r="D957" s="157"/>
      <c r="E957" s="157" t="s">
        <v>6</v>
      </c>
      <c r="F957" s="157"/>
      <c r="G957" s="157" t="s">
        <v>12</v>
      </c>
      <c r="H957" s="157"/>
      <c r="I957" s="157" t="s">
        <v>7</v>
      </c>
      <c r="J957" s="273"/>
    </row>
    <row r="958" spans="1:10" x14ac:dyDescent="0.25">
      <c r="A958" s="165" t="s">
        <v>4</v>
      </c>
      <c r="B958" s="269"/>
      <c r="C958" s="156"/>
      <c r="D958" s="156"/>
      <c r="E958" s="156"/>
      <c r="F958" s="156"/>
      <c r="G958" s="156"/>
      <c r="H958" s="156"/>
      <c r="I958" s="156"/>
      <c r="J958" s="274"/>
    </row>
    <row r="959" spans="1:10" x14ac:dyDescent="0.25">
      <c r="A959" s="165" t="s">
        <v>5</v>
      </c>
      <c r="B959" s="269"/>
      <c r="C959" s="156"/>
      <c r="D959" s="156"/>
      <c r="E959" s="156"/>
      <c r="F959" s="156"/>
      <c r="G959" s="156"/>
      <c r="H959" s="156"/>
      <c r="I959" s="156"/>
      <c r="J959" s="274"/>
    </row>
    <row r="960" spans="1:10" x14ac:dyDescent="0.25">
      <c r="A960" s="165" t="s">
        <v>6</v>
      </c>
      <c r="B960" s="269"/>
      <c r="C960" s="156"/>
      <c r="D960" s="156"/>
      <c r="E960" s="156"/>
      <c r="F960" s="156"/>
      <c r="G960" s="156"/>
      <c r="H960" s="156"/>
      <c r="I960" s="156"/>
      <c r="J960" s="274"/>
    </row>
    <row r="961" spans="1:10" x14ac:dyDescent="0.25">
      <c r="A961" s="165" t="s">
        <v>12</v>
      </c>
      <c r="B961" s="269"/>
      <c r="C961" s="156"/>
      <c r="D961" s="156"/>
      <c r="E961" s="156"/>
      <c r="F961" s="156"/>
      <c r="G961" s="156"/>
      <c r="H961" s="156"/>
      <c r="I961" s="156"/>
      <c r="J961" s="274"/>
    </row>
    <row r="962" spans="1:10" x14ac:dyDescent="0.25">
      <c r="A962" s="165" t="s">
        <v>7</v>
      </c>
      <c r="B962" s="269"/>
      <c r="C962" s="156"/>
      <c r="D962" s="156"/>
      <c r="E962" s="156"/>
      <c r="F962" s="156"/>
      <c r="G962" s="156"/>
      <c r="H962" s="156"/>
      <c r="I962" s="156"/>
      <c r="J962" s="274"/>
    </row>
    <row r="963" spans="1:10" x14ac:dyDescent="0.25">
      <c r="A963" s="165" t="s">
        <v>167</v>
      </c>
      <c r="B963" s="269"/>
      <c r="C963" s="156"/>
      <c r="D963" s="156"/>
      <c r="E963" s="156"/>
      <c r="F963" s="156"/>
      <c r="G963" s="156"/>
      <c r="H963" s="156"/>
      <c r="I963" s="156"/>
      <c r="J963" s="274"/>
    </row>
    <row r="964" spans="1:10" x14ac:dyDescent="0.25">
      <c r="A964" s="165" t="s">
        <v>168</v>
      </c>
      <c r="B964" s="269"/>
      <c r="C964" s="156"/>
      <c r="D964" s="156"/>
      <c r="E964" s="156"/>
      <c r="F964" s="156"/>
      <c r="G964" s="156"/>
      <c r="H964" s="156"/>
      <c r="I964" s="156"/>
      <c r="J964" s="274"/>
    </row>
    <row r="965" spans="1:10" x14ac:dyDescent="0.25">
      <c r="A965" s="165" t="s">
        <v>169</v>
      </c>
      <c r="B965" s="269"/>
      <c r="C965" s="156"/>
      <c r="D965" s="156"/>
      <c r="E965" s="156"/>
      <c r="F965" s="156"/>
      <c r="G965" s="156"/>
      <c r="H965" s="156"/>
      <c r="I965" s="156"/>
      <c r="J965" s="274"/>
    </row>
    <row r="966" spans="1:10" x14ac:dyDescent="0.25">
      <c r="A966" s="165" t="s">
        <v>27</v>
      </c>
      <c r="B966" s="269"/>
      <c r="C966" s="156"/>
      <c r="D966" s="156"/>
      <c r="E966" s="156"/>
      <c r="F966" s="156"/>
      <c r="G966" s="156"/>
      <c r="H966" s="156"/>
      <c r="I966" s="156"/>
      <c r="J966" s="274"/>
    </row>
    <row r="967" spans="1:10" x14ac:dyDescent="0.25">
      <c r="A967" s="165" t="s">
        <v>170</v>
      </c>
      <c r="B967" s="269"/>
      <c r="C967" s="156"/>
      <c r="D967" s="156"/>
      <c r="E967" s="156"/>
      <c r="F967" s="156"/>
      <c r="G967" s="156"/>
      <c r="H967" s="156"/>
      <c r="I967" s="156"/>
      <c r="J967" s="274"/>
    </row>
    <row r="968" spans="1:10" x14ac:dyDescent="0.25">
      <c r="A968" s="161"/>
      <c r="B968" s="162"/>
      <c r="C968" s="162"/>
      <c r="D968" s="162"/>
      <c r="E968" s="162"/>
      <c r="F968" s="162"/>
      <c r="G968" s="162"/>
      <c r="H968" s="162"/>
      <c r="I968" s="162"/>
      <c r="J968" s="162"/>
    </row>
    <row r="969" spans="1:10" x14ac:dyDescent="0.25">
      <c r="A969" s="241">
        <v>67</v>
      </c>
      <c r="B969" s="240"/>
      <c r="C969" s="154"/>
      <c r="D969" s="154"/>
      <c r="E969" s="154"/>
      <c r="F969" s="154"/>
      <c r="G969" s="154"/>
      <c r="H969" s="154"/>
      <c r="I969" s="154"/>
      <c r="J969" s="154"/>
    </row>
    <row r="970" spans="1:10" ht="71.25" x14ac:dyDescent="0.25">
      <c r="A970" s="164" t="s">
        <v>0</v>
      </c>
      <c r="B970" s="268"/>
      <c r="C970" s="155" t="s">
        <v>1</v>
      </c>
      <c r="D970" s="155"/>
      <c r="E970" s="155" t="s">
        <v>2</v>
      </c>
      <c r="F970" s="155"/>
      <c r="G970" s="155" t="s">
        <v>166</v>
      </c>
      <c r="H970" s="155"/>
      <c r="I970" s="155" t="s">
        <v>3</v>
      </c>
      <c r="J970" s="272"/>
    </row>
    <row r="971" spans="1:10" x14ac:dyDescent="0.25">
      <c r="A971" s="165" t="s">
        <v>4</v>
      </c>
      <c r="B971" s="269"/>
      <c r="C971" s="157" t="s">
        <v>5</v>
      </c>
      <c r="D971" s="157"/>
      <c r="E971" s="157" t="s">
        <v>6</v>
      </c>
      <c r="F971" s="157"/>
      <c r="G971" s="157" t="s">
        <v>12</v>
      </c>
      <c r="H971" s="157"/>
      <c r="I971" s="157" t="s">
        <v>7</v>
      </c>
      <c r="J971" s="273"/>
    </row>
    <row r="972" spans="1:10" x14ac:dyDescent="0.25">
      <c r="A972" s="165" t="s">
        <v>4</v>
      </c>
      <c r="B972" s="269"/>
      <c r="C972" s="156"/>
      <c r="D972" s="156"/>
      <c r="E972" s="156"/>
      <c r="F972" s="156"/>
      <c r="G972" s="156"/>
      <c r="H972" s="156"/>
      <c r="I972" s="156"/>
      <c r="J972" s="274"/>
    </row>
    <row r="973" spans="1:10" x14ac:dyDescent="0.25">
      <c r="A973" s="165" t="s">
        <v>5</v>
      </c>
      <c r="B973" s="269"/>
      <c r="C973" s="156"/>
      <c r="D973" s="156"/>
      <c r="E973" s="156"/>
      <c r="F973" s="156"/>
      <c r="G973" s="156"/>
      <c r="H973" s="156"/>
      <c r="I973" s="156"/>
      <c r="J973" s="274"/>
    </row>
    <row r="974" spans="1:10" x14ac:dyDescent="0.25">
      <c r="A974" s="165" t="s">
        <v>6</v>
      </c>
      <c r="B974" s="269"/>
      <c r="C974" s="156"/>
      <c r="D974" s="156"/>
      <c r="E974" s="156"/>
      <c r="F974" s="156"/>
      <c r="G974" s="156"/>
      <c r="H974" s="156"/>
      <c r="I974" s="156"/>
      <c r="J974" s="274"/>
    </row>
    <row r="975" spans="1:10" x14ac:dyDescent="0.25">
      <c r="A975" s="165" t="s">
        <v>12</v>
      </c>
      <c r="B975" s="269"/>
      <c r="C975" s="156"/>
      <c r="D975" s="156"/>
      <c r="E975" s="156"/>
      <c r="F975" s="156"/>
      <c r="G975" s="156"/>
      <c r="H975" s="156"/>
      <c r="I975" s="156"/>
      <c r="J975" s="274"/>
    </row>
    <row r="976" spans="1:10" x14ac:dyDescent="0.25">
      <c r="A976" s="165" t="s">
        <v>7</v>
      </c>
      <c r="B976" s="269"/>
      <c r="C976" s="156"/>
      <c r="D976" s="156"/>
      <c r="E976" s="156"/>
      <c r="F976" s="156"/>
      <c r="G976" s="156"/>
      <c r="H976" s="156"/>
      <c r="I976" s="156"/>
      <c r="J976" s="274"/>
    </row>
    <row r="977" spans="1:10" x14ac:dyDescent="0.25">
      <c r="A977" s="165" t="s">
        <v>167</v>
      </c>
      <c r="B977" s="269"/>
      <c r="C977" s="156"/>
      <c r="D977" s="156"/>
      <c r="E977" s="156"/>
      <c r="F977" s="156"/>
      <c r="G977" s="156"/>
      <c r="H977" s="156"/>
      <c r="I977" s="156"/>
      <c r="J977" s="274"/>
    </row>
    <row r="978" spans="1:10" x14ac:dyDescent="0.25">
      <c r="A978" s="165" t="s">
        <v>168</v>
      </c>
      <c r="B978" s="269"/>
      <c r="C978" s="156"/>
      <c r="D978" s="156"/>
      <c r="E978" s="156"/>
      <c r="F978" s="156"/>
      <c r="G978" s="156"/>
      <c r="H978" s="156"/>
      <c r="I978" s="156"/>
      <c r="J978" s="274"/>
    </row>
    <row r="979" spans="1:10" x14ac:dyDescent="0.25">
      <c r="A979" s="165" t="s">
        <v>169</v>
      </c>
      <c r="B979" s="269"/>
      <c r="C979" s="156"/>
      <c r="D979" s="156"/>
      <c r="E979" s="156"/>
      <c r="F979" s="156"/>
      <c r="G979" s="156"/>
      <c r="H979" s="156"/>
      <c r="I979" s="156"/>
      <c r="J979" s="274"/>
    </row>
    <row r="980" spans="1:10" x14ac:dyDescent="0.25">
      <c r="A980" s="165" t="s">
        <v>27</v>
      </c>
      <c r="B980" s="269"/>
      <c r="C980" s="156"/>
      <c r="D980" s="156"/>
      <c r="E980" s="156"/>
      <c r="F980" s="156"/>
      <c r="G980" s="156"/>
      <c r="H980" s="156"/>
      <c r="I980" s="156"/>
      <c r="J980" s="274"/>
    </row>
    <row r="981" spans="1:10" x14ac:dyDescent="0.25">
      <c r="A981" s="165" t="s">
        <v>170</v>
      </c>
      <c r="B981" s="269"/>
      <c r="C981" s="156"/>
      <c r="D981" s="156"/>
      <c r="E981" s="156"/>
      <c r="F981" s="156"/>
      <c r="G981" s="156"/>
      <c r="H981" s="156"/>
      <c r="I981" s="156"/>
      <c r="J981" s="274"/>
    </row>
    <row r="982" spans="1:10" x14ac:dyDescent="0.25">
      <c r="A982" s="282"/>
      <c r="B982" s="274"/>
      <c r="C982" s="274"/>
      <c r="D982" s="274"/>
      <c r="E982" s="274"/>
      <c r="F982" s="274"/>
      <c r="G982" s="274"/>
      <c r="H982" s="274"/>
      <c r="I982" s="274"/>
      <c r="J982" s="274"/>
    </row>
    <row r="983" spans="1:10" x14ac:dyDescent="0.25">
      <c r="A983" s="282"/>
      <c r="B983" s="274"/>
      <c r="C983" s="274"/>
      <c r="D983" s="274"/>
      <c r="E983" s="274"/>
      <c r="F983" s="274"/>
      <c r="G983" s="274"/>
      <c r="H983" s="274"/>
      <c r="I983" s="274"/>
      <c r="J983" s="274"/>
    </row>
    <row r="984" spans="1:10" x14ac:dyDescent="0.25">
      <c r="A984" s="161"/>
      <c r="B984" s="162"/>
      <c r="C984" s="162"/>
      <c r="D984" s="162"/>
      <c r="E984" s="162"/>
      <c r="F984" s="162"/>
      <c r="G984" s="162"/>
      <c r="H984" s="162"/>
      <c r="I984" s="162"/>
      <c r="J984" s="162"/>
    </row>
    <row r="985" spans="1:10" x14ac:dyDescent="0.25">
      <c r="A985" s="241">
        <v>68</v>
      </c>
      <c r="B985" s="240"/>
      <c r="C985" s="154"/>
      <c r="D985" s="154"/>
      <c r="E985" s="154"/>
      <c r="F985" s="154"/>
      <c r="G985" s="154"/>
      <c r="H985" s="154"/>
      <c r="I985" s="154"/>
      <c r="J985" s="154"/>
    </row>
    <row r="986" spans="1:10" ht="71.25" x14ac:dyDescent="0.25">
      <c r="A986" s="164" t="s">
        <v>0</v>
      </c>
      <c r="B986" s="268"/>
      <c r="C986" s="155" t="s">
        <v>1</v>
      </c>
      <c r="D986" s="155"/>
      <c r="E986" s="155" t="s">
        <v>2</v>
      </c>
      <c r="F986" s="155"/>
      <c r="G986" s="155" t="s">
        <v>166</v>
      </c>
      <c r="H986" s="155"/>
      <c r="I986" s="155" t="s">
        <v>3</v>
      </c>
      <c r="J986" s="272"/>
    </row>
    <row r="987" spans="1:10" x14ac:dyDescent="0.25">
      <c r="A987" s="165" t="s">
        <v>4</v>
      </c>
      <c r="B987" s="269"/>
      <c r="C987" s="157" t="s">
        <v>5</v>
      </c>
      <c r="D987" s="157"/>
      <c r="E987" s="157" t="s">
        <v>6</v>
      </c>
      <c r="F987" s="157"/>
      <c r="G987" s="157" t="s">
        <v>12</v>
      </c>
      <c r="H987" s="157"/>
      <c r="I987" s="157" t="s">
        <v>7</v>
      </c>
      <c r="J987" s="273"/>
    </row>
    <row r="988" spans="1:10" x14ac:dyDescent="0.25">
      <c r="A988" s="165" t="s">
        <v>4</v>
      </c>
      <c r="B988" s="269"/>
      <c r="C988" s="156"/>
      <c r="D988" s="156"/>
      <c r="E988" s="156"/>
      <c r="F988" s="156"/>
      <c r="G988" s="156"/>
      <c r="H988" s="156"/>
      <c r="I988" s="156"/>
      <c r="J988" s="274"/>
    </row>
    <row r="989" spans="1:10" x14ac:dyDescent="0.25">
      <c r="A989" s="165" t="s">
        <v>5</v>
      </c>
      <c r="B989" s="269"/>
      <c r="C989" s="156"/>
      <c r="D989" s="156"/>
      <c r="E989" s="156"/>
      <c r="F989" s="156"/>
      <c r="G989" s="156"/>
      <c r="H989" s="156"/>
      <c r="I989" s="156"/>
      <c r="J989" s="274"/>
    </row>
    <row r="990" spans="1:10" x14ac:dyDescent="0.25">
      <c r="A990" s="165" t="s">
        <v>6</v>
      </c>
      <c r="B990" s="269"/>
      <c r="C990" s="156"/>
      <c r="D990" s="156"/>
      <c r="E990" s="156"/>
      <c r="F990" s="156"/>
      <c r="G990" s="156"/>
      <c r="H990" s="156"/>
      <c r="I990" s="156"/>
      <c r="J990" s="274"/>
    </row>
    <row r="991" spans="1:10" x14ac:dyDescent="0.25">
      <c r="A991" s="165" t="s">
        <v>12</v>
      </c>
      <c r="B991" s="269"/>
      <c r="C991" s="156"/>
      <c r="D991" s="156"/>
      <c r="E991" s="156"/>
      <c r="F991" s="156"/>
      <c r="G991" s="156"/>
      <c r="H991" s="156"/>
      <c r="I991" s="156"/>
      <c r="J991" s="274"/>
    </row>
    <row r="992" spans="1:10" x14ac:dyDescent="0.25">
      <c r="A992" s="165" t="s">
        <v>7</v>
      </c>
      <c r="B992" s="269"/>
      <c r="C992" s="156"/>
      <c r="D992" s="156"/>
      <c r="E992" s="156"/>
      <c r="F992" s="156"/>
      <c r="G992" s="156"/>
      <c r="H992" s="156"/>
      <c r="I992" s="156"/>
      <c r="J992" s="274"/>
    </row>
    <row r="993" spans="1:10" x14ac:dyDescent="0.25">
      <c r="A993" s="165" t="s">
        <v>167</v>
      </c>
      <c r="B993" s="269"/>
      <c r="C993" s="156"/>
      <c r="D993" s="156"/>
      <c r="E993" s="156"/>
      <c r="F993" s="156"/>
      <c r="G993" s="156"/>
      <c r="H993" s="156"/>
      <c r="I993" s="156"/>
      <c r="J993" s="274"/>
    </row>
    <row r="994" spans="1:10" x14ac:dyDescent="0.25">
      <c r="A994" s="165" t="s">
        <v>168</v>
      </c>
      <c r="B994" s="269"/>
      <c r="C994" s="156"/>
      <c r="D994" s="156"/>
      <c r="E994" s="156"/>
      <c r="F994" s="156"/>
      <c r="G994" s="156"/>
      <c r="H994" s="156"/>
      <c r="I994" s="156"/>
      <c r="J994" s="274"/>
    </row>
    <row r="995" spans="1:10" x14ac:dyDescent="0.25">
      <c r="A995" s="165" t="s">
        <v>169</v>
      </c>
      <c r="B995" s="269"/>
      <c r="C995" s="156"/>
      <c r="D995" s="156"/>
      <c r="E995" s="156"/>
      <c r="F995" s="156"/>
      <c r="G995" s="156"/>
      <c r="H995" s="156"/>
      <c r="I995" s="156"/>
      <c r="J995" s="274"/>
    </row>
    <row r="996" spans="1:10" x14ac:dyDescent="0.25">
      <c r="A996" s="165" t="s">
        <v>27</v>
      </c>
      <c r="B996" s="269"/>
      <c r="C996" s="156"/>
      <c r="D996" s="156"/>
      <c r="E996" s="156"/>
      <c r="F996" s="156"/>
      <c r="G996" s="156"/>
      <c r="H996" s="156"/>
      <c r="I996" s="156"/>
      <c r="J996" s="274"/>
    </row>
    <row r="997" spans="1:10" x14ac:dyDescent="0.25">
      <c r="A997" s="165" t="s">
        <v>170</v>
      </c>
      <c r="B997" s="269"/>
      <c r="C997" s="156"/>
      <c r="D997" s="156"/>
      <c r="E997" s="156"/>
      <c r="F997" s="156"/>
      <c r="G997" s="156"/>
      <c r="H997" s="156"/>
      <c r="I997" s="156"/>
      <c r="J997" s="274"/>
    </row>
    <row r="998" spans="1:10" x14ac:dyDescent="0.25">
      <c r="A998" s="161"/>
      <c r="B998" s="162"/>
      <c r="C998" s="162"/>
      <c r="D998" s="162"/>
      <c r="E998" s="162"/>
      <c r="F998" s="162"/>
      <c r="G998" s="162"/>
      <c r="H998" s="162"/>
      <c r="I998" s="162"/>
      <c r="J998" s="162"/>
    </row>
    <row r="999" spans="1:10" x14ac:dyDescent="0.25">
      <c r="A999" s="241">
        <v>69</v>
      </c>
      <c r="B999" s="240"/>
      <c r="C999" s="154"/>
      <c r="D999" s="154"/>
      <c r="E999" s="154"/>
      <c r="F999" s="154"/>
      <c r="G999" s="154"/>
      <c r="H999" s="154"/>
      <c r="I999" s="154"/>
      <c r="J999" s="154"/>
    </row>
    <row r="1000" spans="1:10" ht="71.25" x14ac:dyDescent="0.25">
      <c r="A1000" s="164" t="s">
        <v>0</v>
      </c>
      <c r="B1000" s="268"/>
      <c r="C1000" s="155" t="s">
        <v>1</v>
      </c>
      <c r="D1000" s="155"/>
      <c r="E1000" s="155" t="s">
        <v>2</v>
      </c>
      <c r="F1000" s="155"/>
      <c r="G1000" s="155" t="s">
        <v>166</v>
      </c>
      <c r="H1000" s="155"/>
      <c r="I1000" s="155" t="s">
        <v>3</v>
      </c>
      <c r="J1000" s="272"/>
    </row>
    <row r="1001" spans="1:10" x14ac:dyDescent="0.25">
      <c r="A1001" s="165" t="s">
        <v>4</v>
      </c>
      <c r="B1001" s="269"/>
      <c r="C1001" s="157" t="s">
        <v>5</v>
      </c>
      <c r="D1001" s="157"/>
      <c r="E1001" s="157" t="s">
        <v>6</v>
      </c>
      <c r="F1001" s="157"/>
      <c r="G1001" s="157" t="s">
        <v>12</v>
      </c>
      <c r="H1001" s="157"/>
      <c r="I1001" s="157" t="s">
        <v>7</v>
      </c>
      <c r="J1001" s="273"/>
    </row>
    <row r="1002" spans="1:10" x14ac:dyDescent="0.25">
      <c r="A1002" s="165" t="s">
        <v>4</v>
      </c>
      <c r="B1002" s="269"/>
      <c r="C1002" s="156"/>
      <c r="D1002" s="156"/>
      <c r="E1002" s="156"/>
      <c r="F1002" s="156"/>
      <c r="G1002" s="156"/>
      <c r="H1002" s="156"/>
      <c r="I1002" s="156"/>
      <c r="J1002" s="274"/>
    </row>
    <row r="1003" spans="1:10" x14ac:dyDescent="0.25">
      <c r="A1003" s="165" t="s">
        <v>5</v>
      </c>
      <c r="B1003" s="269"/>
      <c r="C1003" s="156"/>
      <c r="D1003" s="156"/>
      <c r="E1003" s="156"/>
      <c r="F1003" s="156"/>
      <c r="G1003" s="156"/>
      <c r="H1003" s="156"/>
      <c r="I1003" s="156"/>
      <c r="J1003" s="274"/>
    </row>
    <row r="1004" spans="1:10" x14ac:dyDescent="0.25">
      <c r="A1004" s="165" t="s">
        <v>6</v>
      </c>
      <c r="B1004" s="269"/>
      <c r="C1004" s="156"/>
      <c r="D1004" s="156"/>
      <c r="E1004" s="156"/>
      <c r="F1004" s="156"/>
      <c r="G1004" s="156"/>
      <c r="H1004" s="156"/>
      <c r="I1004" s="156"/>
      <c r="J1004" s="274"/>
    </row>
    <row r="1005" spans="1:10" x14ac:dyDescent="0.25">
      <c r="A1005" s="165" t="s">
        <v>12</v>
      </c>
      <c r="B1005" s="269"/>
      <c r="C1005" s="156"/>
      <c r="D1005" s="156"/>
      <c r="E1005" s="156"/>
      <c r="F1005" s="156"/>
      <c r="G1005" s="156"/>
      <c r="H1005" s="156"/>
      <c r="I1005" s="156"/>
      <c r="J1005" s="274"/>
    </row>
    <row r="1006" spans="1:10" x14ac:dyDescent="0.25">
      <c r="A1006" s="165" t="s">
        <v>7</v>
      </c>
      <c r="B1006" s="269"/>
      <c r="C1006" s="156"/>
      <c r="D1006" s="156"/>
      <c r="E1006" s="156"/>
      <c r="F1006" s="156"/>
      <c r="G1006" s="156"/>
      <c r="H1006" s="156"/>
      <c r="I1006" s="156"/>
      <c r="J1006" s="274"/>
    </row>
    <row r="1007" spans="1:10" x14ac:dyDescent="0.25">
      <c r="A1007" s="165" t="s">
        <v>167</v>
      </c>
      <c r="B1007" s="269"/>
      <c r="C1007" s="156"/>
      <c r="D1007" s="156"/>
      <c r="E1007" s="156"/>
      <c r="F1007" s="156"/>
      <c r="G1007" s="156"/>
      <c r="H1007" s="156"/>
      <c r="I1007" s="156"/>
      <c r="J1007" s="274"/>
    </row>
    <row r="1008" spans="1:10" x14ac:dyDescent="0.25">
      <c r="A1008" s="165" t="s">
        <v>168</v>
      </c>
      <c r="B1008" s="269"/>
      <c r="C1008" s="156"/>
      <c r="D1008" s="156"/>
      <c r="E1008" s="156"/>
      <c r="F1008" s="156"/>
      <c r="G1008" s="156"/>
      <c r="H1008" s="156"/>
      <c r="I1008" s="156"/>
      <c r="J1008" s="274"/>
    </row>
    <row r="1009" spans="1:10" x14ac:dyDescent="0.25">
      <c r="A1009" s="165" t="s">
        <v>169</v>
      </c>
      <c r="B1009" s="269"/>
      <c r="C1009" s="156"/>
      <c r="D1009" s="156"/>
      <c r="E1009" s="156"/>
      <c r="F1009" s="156"/>
      <c r="G1009" s="156"/>
      <c r="H1009" s="156"/>
      <c r="I1009" s="156"/>
      <c r="J1009" s="274"/>
    </row>
    <row r="1010" spans="1:10" x14ac:dyDescent="0.25">
      <c r="A1010" s="165" t="s">
        <v>27</v>
      </c>
      <c r="B1010" s="269"/>
      <c r="C1010" s="156"/>
      <c r="D1010" s="156"/>
      <c r="E1010" s="156"/>
      <c r="F1010" s="156"/>
      <c r="G1010" s="156"/>
      <c r="H1010" s="156"/>
      <c r="I1010" s="156"/>
      <c r="J1010" s="274"/>
    </row>
    <row r="1011" spans="1:10" x14ac:dyDescent="0.25">
      <c r="A1011" s="165" t="s">
        <v>170</v>
      </c>
      <c r="B1011" s="269"/>
      <c r="C1011" s="156"/>
      <c r="D1011" s="156"/>
      <c r="E1011" s="156"/>
      <c r="F1011" s="156"/>
      <c r="G1011" s="156"/>
      <c r="H1011" s="156"/>
      <c r="I1011" s="156"/>
      <c r="J1011" s="274"/>
    </row>
    <row r="1012" spans="1:10" x14ac:dyDescent="0.25">
      <c r="A1012" s="161"/>
      <c r="B1012" s="162"/>
      <c r="C1012" s="162"/>
      <c r="D1012" s="162"/>
      <c r="E1012" s="162"/>
      <c r="F1012" s="162"/>
      <c r="G1012" s="162"/>
      <c r="H1012" s="162"/>
      <c r="I1012" s="162"/>
      <c r="J1012" s="162"/>
    </row>
    <row r="1013" spans="1:10" x14ac:dyDescent="0.25">
      <c r="A1013" s="241">
        <v>70</v>
      </c>
      <c r="B1013" s="240"/>
      <c r="C1013" s="154"/>
      <c r="D1013" s="154"/>
      <c r="E1013" s="154"/>
      <c r="F1013" s="154"/>
      <c r="G1013" s="154"/>
      <c r="H1013" s="154"/>
      <c r="I1013" s="154"/>
      <c r="J1013" s="154"/>
    </row>
    <row r="1014" spans="1:10" ht="71.25" x14ac:dyDescent="0.25">
      <c r="A1014" s="164" t="s">
        <v>0</v>
      </c>
      <c r="B1014" s="268"/>
      <c r="C1014" s="155" t="s">
        <v>1</v>
      </c>
      <c r="D1014" s="155"/>
      <c r="E1014" s="155" t="s">
        <v>2</v>
      </c>
      <c r="F1014" s="155"/>
      <c r="G1014" s="155" t="s">
        <v>166</v>
      </c>
      <c r="H1014" s="155"/>
      <c r="I1014" s="155" t="s">
        <v>3</v>
      </c>
      <c r="J1014" s="272"/>
    </row>
    <row r="1015" spans="1:10" x14ac:dyDescent="0.25">
      <c r="A1015" s="165" t="s">
        <v>4</v>
      </c>
      <c r="B1015" s="269"/>
      <c r="C1015" s="157" t="s">
        <v>5</v>
      </c>
      <c r="D1015" s="157"/>
      <c r="E1015" s="157" t="s">
        <v>6</v>
      </c>
      <c r="F1015" s="157"/>
      <c r="G1015" s="157" t="s">
        <v>12</v>
      </c>
      <c r="H1015" s="157"/>
      <c r="I1015" s="157" t="s">
        <v>7</v>
      </c>
      <c r="J1015" s="273"/>
    </row>
    <row r="1016" spans="1:10" x14ac:dyDescent="0.25">
      <c r="A1016" s="165" t="s">
        <v>4</v>
      </c>
      <c r="B1016" s="269"/>
      <c r="C1016" s="156"/>
      <c r="D1016" s="156"/>
      <c r="E1016" s="156"/>
      <c r="F1016" s="156"/>
      <c r="G1016" s="156"/>
      <c r="H1016" s="156"/>
      <c r="I1016" s="156"/>
      <c r="J1016" s="274"/>
    </row>
    <row r="1017" spans="1:10" x14ac:dyDescent="0.25">
      <c r="A1017" s="165" t="s">
        <v>5</v>
      </c>
      <c r="B1017" s="269"/>
      <c r="C1017" s="156"/>
      <c r="D1017" s="156"/>
      <c r="E1017" s="156"/>
      <c r="F1017" s="156"/>
      <c r="G1017" s="156"/>
      <c r="H1017" s="156"/>
      <c r="I1017" s="156"/>
      <c r="J1017" s="274"/>
    </row>
    <row r="1018" spans="1:10" x14ac:dyDescent="0.25">
      <c r="A1018" s="165" t="s">
        <v>6</v>
      </c>
      <c r="B1018" s="269"/>
      <c r="C1018" s="156"/>
      <c r="D1018" s="156"/>
      <c r="E1018" s="156"/>
      <c r="F1018" s="156"/>
      <c r="G1018" s="156"/>
      <c r="H1018" s="156"/>
      <c r="I1018" s="156"/>
      <c r="J1018" s="274"/>
    </row>
    <row r="1019" spans="1:10" x14ac:dyDescent="0.25">
      <c r="A1019" s="165" t="s">
        <v>12</v>
      </c>
      <c r="B1019" s="269"/>
      <c r="C1019" s="156"/>
      <c r="D1019" s="156"/>
      <c r="E1019" s="156"/>
      <c r="F1019" s="156"/>
      <c r="G1019" s="156"/>
      <c r="H1019" s="156"/>
      <c r="I1019" s="156"/>
      <c r="J1019" s="274"/>
    </row>
    <row r="1020" spans="1:10" x14ac:dyDescent="0.25">
      <c r="A1020" s="165" t="s">
        <v>7</v>
      </c>
      <c r="B1020" s="269"/>
      <c r="C1020" s="156"/>
      <c r="D1020" s="156"/>
      <c r="E1020" s="156"/>
      <c r="F1020" s="156"/>
      <c r="G1020" s="156"/>
      <c r="H1020" s="156"/>
      <c r="I1020" s="156"/>
      <c r="J1020" s="274"/>
    </row>
    <row r="1021" spans="1:10" x14ac:dyDescent="0.25">
      <c r="A1021" s="165" t="s">
        <v>167</v>
      </c>
      <c r="B1021" s="269"/>
      <c r="C1021" s="156"/>
      <c r="D1021" s="156"/>
      <c r="E1021" s="156"/>
      <c r="F1021" s="156"/>
      <c r="G1021" s="156"/>
      <c r="H1021" s="156"/>
      <c r="I1021" s="156"/>
      <c r="J1021" s="274"/>
    </row>
    <row r="1022" spans="1:10" x14ac:dyDescent="0.25">
      <c r="A1022" s="165" t="s">
        <v>168</v>
      </c>
      <c r="B1022" s="269"/>
      <c r="C1022" s="156"/>
      <c r="D1022" s="156"/>
      <c r="E1022" s="156"/>
      <c r="F1022" s="156"/>
      <c r="G1022" s="156"/>
      <c r="H1022" s="156"/>
      <c r="I1022" s="156"/>
      <c r="J1022" s="274"/>
    </row>
    <row r="1023" spans="1:10" x14ac:dyDescent="0.25">
      <c r="A1023" s="165" t="s">
        <v>169</v>
      </c>
      <c r="B1023" s="269"/>
      <c r="C1023" s="156"/>
      <c r="D1023" s="156"/>
      <c r="E1023" s="156"/>
      <c r="F1023" s="156"/>
      <c r="G1023" s="156"/>
      <c r="H1023" s="156"/>
      <c r="I1023" s="156"/>
      <c r="J1023" s="274"/>
    </row>
    <row r="1024" spans="1:10" x14ac:dyDescent="0.25">
      <c r="A1024" s="165" t="s">
        <v>27</v>
      </c>
      <c r="B1024" s="269"/>
      <c r="C1024" s="156"/>
      <c r="D1024" s="156"/>
      <c r="E1024" s="156"/>
      <c r="F1024" s="156"/>
      <c r="G1024" s="156"/>
      <c r="H1024" s="156"/>
      <c r="I1024" s="156"/>
      <c r="J1024" s="274"/>
    </row>
    <row r="1025" spans="1:10" x14ac:dyDescent="0.25">
      <c r="A1025" s="165" t="s">
        <v>170</v>
      </c>
      <c r="B1025" s="269"/>
      <c r="C1025" s="156"/>
      <c r="D1025" s="156"/>
      <c r="E1025" s="156"/>
      <c r="F1025" s="156"/>
      <c r="G1025" s="156"/>
      <c r="H1025" s="156"/>
      <c r="I1025" s="156"/>
      <c r="J1025" s="274"/>
    </row>
    <row r="1026" spans="1:10" x14ac:dyDescent="0.25">
      <c r="A1026" s="282"/>
      <c r="B1026" s="274"/>
      <c r="C1026" s="274"/>
      <c r="D1026" s="274"/>
      <c r="E1026" s="274"/>
      <c r="F1026" s="274"/>
      <c r="G1026" s="274"/>
      <c r="H1026" s="274"/>
      <c r="I1026" s="274"/>
      <c r="J1026" s="274"/>
    </row>
    <row r="1027" spans="1:10" x14ac:dyDescent="0.25">
      <c r="A1027" s="282"/>
      <c r="B1027" s="274"/>
      <c r="C1027" s="274"/>
      <c r="D1027" s="274"/>
      <c r="E1027" s="274"/>
      <c r="F1027" s="274"/>
      <c r="G1027" s="274"/>
      <c r="H1027" s="274"/>
      <c r="I1027" s="274"/>
      <c r="J1027" s="274"/>
    </row>
    <row r="1028" spans="1:10" x14ac:dyDescent="0.25">
      <c r="A1028" s="161"/>
      <c r="B1028" s="162"/>
      <c r="C1028" s="162"/>
      <c r="D1028" s="162"/>
      <c r="E1028" s="162"/>
      <c r="F1028" s="162"/>
      <c r="G1028" s="162"/>
      <c r="H1028" s="162"/>
      <c r="I1028" s="162"/>
      <c r="J1028" s="162"/>
    </row>
    <row r="1029" spans="1:10" x14ac:dyDescent="0.25">
      <c r="A1029" s="241">
        <v>71</v>
      </c>
      <c r="B1029" s="240"/>
      <c r="C1029" s="154"/>
      <c r="D1029" s="154"/>
      <c r="E1029" s="154"/>
      <c r="F1029" s="154"/>
      <c r="G1029" s="154"/>
      <c r="H1029" s="154"/>
      <c r="I1029" s="154"/>
      <c r="J1029" s="154"/>
    </row>
    <row r="1030" spans="1:10" ht="71.25" x14ac:dyDescent="0.25">
      <c r="A1030" s="164" t="s">
        <v>0</v>
      </c>
      <c r="B1030" s="268"/>
      <c r="C1030" s="155" t="s">
        <v>1</v>
      </c>
      <c r="D1030" s="155"/>
      <c r="E1030" s="155" t="s">
        <v>2</v>
      </c>
      <c r="F1030" s="155"/>
      <c r="G1030" s="155" t="s">
        <v>166</v>
      </c>
      <c r="H1030" s="155"/>
      <c r="I1030" s="155" t="s">
        <v>3</v>
      </c>
      <c r="J1030" s="272"/>
    </row>
    <row r="1031" spans="1:10" x14ac:dyDescent="0.25">
      <c r="A1031" s="165" t="s">
        <v>4</v>
      </c>
      <c r="B1031" s="269"/>
      <c r="C1031" s="157" t="s">
        <v>5</v>
      </c>
      <c r="D1031" s="157"/>
      <c r="E1031" s="157" t="s">
        <v>6</v>
      </c>
      <c r="F1031" s="157"/>
      <c r="G1031" s="157" t="s">
        <v>12</v>
      </c>
      <c r="H1031" s="157"/>
      <c r="I1031" s="157" t="s">
        <v>7</v>
      </c>
      <c r="J1031" s="273"/>
    </row>
    <row r="1032" spans="1:10" x14ac:dyDescent="0.25">
      <c r="A1032" s="165" t="s">
        <v>4</v>
      </c>
      <c r="B1032" s="269"/>
      <c r="C1032" s="156"/>
      <c r="D1032" s="156"/>
      <c r="E1032" s="156"/>
      <c r="F1032" s="156"/>
      <c r="G1032" s="156"/>
      <c r="H1032" s="156"/>
      <c r="I1032" s="156"/>
      <c r="J1032" s="274"/>
    </row>
    <row r="1033" spans="1:10" x14ac:dyDescent="0.25">
      <c r="A1033" s="165" t="s">
        <v>5</v>
      </c>
      <c r="B1033" s="269"/>
      <c r="C1033" s="156"/>
      <c r="D1033" s="156"/>
      <c r="E1033" s="156"/>
      <c r="F1033" s="156"/>
      <c r="G1033" s="156"/>
      <c r="H1033" s="156"/>
      <c r="I1033" s="156"/>
      <c r="J1033" s="274"/>
    </row>
    <row r="1034" spans="1:10" x14ac:dyDescent="0.25">
      <c r="A1034" s="165" t="s">
        <v>6</v>
      </c>
      <c r="B1034" s="269"/>
      <c r="C1034" s="156"/>
      <c r="D1034" s="156"/>
      <c r="E1034" s="156"/>
      <c r="F1034" s="156"/>
      <c r="G1034" s="156"/>
      <c r="H1034" s="156"/>
      <c r="I1034" s="156"/>
      <c r="J1034" s="274"/>
    </row>
    <row r="1035" spans="1:10" x14ac:dyDescent="0.25">
      <c r="A1035" s="165" t="s">
        <v>12</v>
      </c>
      <c r="B1035" s="269"/>
      <c r="C1035" s="156"/>
      <c r="D1035" s="156"/>
      <c r="E1035" s="156"/>
      <c r="F1035" s="156"/>
      <c r="G1035" s="156"/>
      <c r="H1035" s="156"/>
      <c r="I1035" s="156"/>
      <c r="J1035" s="274"/>
    </row>
    <row r="1036" spans="1:10" x14ac:dyDescent="0.25">
      <c r="A1036" s="165" t="s">
        <v>7</v>
      </c>
      <c r="B1036" s="269"/>
      <c r="C1036" s="156"/>
      <c r="D1036" s="156"/>
      <c r="E1036" s="156"/>
      <c r="F1036" s="156"/>
      <c r="G1036" s="156"/>
      <c r="H1036" s="156"/>
      <c r="I1036" s="156"/>
      <c r="J1036" s="274"/>
    </row>
    <row r="1037" spans="1:10" x14ac:dyDescent="0.25">
      <c r="A1037" s="165" t="s">
        <v>167</v>
      </c>
      <c r="B1037" s="269"/>
      <c r="C1037" s="156"/>
      <c r="D1037" s="156"/>
      <c r="E1037" s="156"/>
      <c r="F1037" s="156"/>
      <c r="G1037" s="156"/>
      <c r="H1037" s="156"/>
      <c r="I1037" s="156"/>
      <c r="J1037" s="274"/>
    </row>
    <row r="1038" spans="1:10" x14ac:dyDescent="0.25">
      <c r="A1038" s="165" t="s">
        <v>168</v>
      </c>
      <c r="B1038" s="269"/>
      <c r="C1038" s="156"/>
      <c r="D1038" s="156"/>
      <c r="E1038" s="156"/>
      <c r="F1038" s="156"/>
      <c r="G1038" s="156"/>
      <c r="H1038" s="156"/>
      <c r="I1038" s="156"/>
      <c r="J1038" s="274"/>
    </row>
    <row r="1039" spans="1:10" x14ac:dyDescent="0.25">
      <c r="A1039" s="165" t="s">
        <v>169</v>
      </c>
      <c r="B1039" s="269"/>
      <c r="C1039" s="156"/>
      <c r="D1039" s="156"/>
      <c r="E1039" s="156"/>
      <c r="F1039" s="156"/>
      <c r="G1039" s="156"/>
      <c r="H1039" s="156"/>
      <c r="I1039" s="156"/>
      <c r="J1039" s="274"/>
    </row>
    <row r="1040" spans="1:10" x14ac:dyDescent="0.25">
      <c r="A1040" s="165" t="s">
        <v>27</v>
      </c>
      <c r="B1040" s="269"/>
      <c r="C1040" s="156"/>
      <c r="D1040" s="156"/>
      <c r="E1040" s="156"/>
      <c r="F1040" s="156"/>
      <c r="G1040" s="156"/>
      <c r="H1040" s="156"/>
      <c r="I1040" s="156"/>
      <c r="J1040" s="274"/>
    </row>
    <row r="1041" spans="1:10" x14ac:dyDescent="0.25">
      <c r="A1041" s="165" t="s">
        <v>170</v>
      </c>
      <c r="B1041" s="269"/>
      <c r="C1041" s="156"/>
      <c r="D1041" s="156"/>
      <c r="E1041" s="156"/>
      <c r="F1041" s="156"/>
      <c r="G1041" s="156"/>
      <c r="H1041" s="156"/>
      <c r="I1041" s="156"/>
      <c r="J1041" s="274"/>
    </row>
    <row r="1042" spans="1:10" x14ac:dyDescent="0.25">
      <c r="A1042" s="241"/>
      <c r="B1042" s="240"/>
      <c r="C1042" s="154"/>
      <c r="D1042" s="154"/>
      <c r="E1042" s="154"/>
      <c r="F1042" s="154"/>
      <c r="G1042" s="154"/>
      <c r="H1042" s="154"/>
      <c r="I1042" s="154"/>
      <c r="J1042" s="154"/>
    </row>
    <row r="1043" spans="1:10" x14ac:dyDescent="0.25">
      <c r="A1043" s="241">
        <v>72</v>
      </c>
      <c r="B1043" s="240"/>
      <c r="C1043" s="162"/>
      <c r="D1043" s="162"/>
      <c r="E1043" s="162"/>
      <c r="F1043" s="162"/>
      <c r="G1043" s="162"/>
      <c r="H1043" s="162"/>
      <c r="I1043" s="162"/>
      <c r="J1043" s="162"/>
    </row>
    <row r="1044" spans="1:10" ht="71.25" x14ac:dyDescent="0.25">
      <c r="A1044" s="164" t="s">
        <v>0</v>
      </c>
      <c r="B1044" s="268"/>
      <c r="C1044" s="155" t="s">
        <v>1</v>
      </c>
      <c r="D1044" s="155"/>
      <c r="E1044" s="155" t="s">
        <v>2</v>
      </c>
      <c r="F1044" s="155"/>
      <c r="G1044" s="155" t="s">
        <v>166</v>
      </c>
      <c r="H1044" s="155"/>
      <c r="I1044" s="155" t="s">
        <v>3</v>
      </c>
      <c r="J1044" s="272"/>
    </row>
    <row r="1045" spans="1:10" x14ac:dyDescent="0.25">
      <c r="A1045" s="165" t="s">
        <v>4</v>
      </c>
      <c r="B1045" s="269"/>
      <c r="C1045" s="157" t="s">
        <v>5</v>
      </c>
      <c r="D1045" s="157"/>
      <c r="E1045" s="157" t="s">
        <v>6</v>
      </c>
      <c r="F1045" s="157"/>
      <c r="G1045" s="157" t="s">
        <v>12</v>
      </c>
      <c r="H1045" s="157"/>
      <c r="I1045" s="157" t="s">
        <v>7</v>
      </c>
      <c r="J1045" s="273"/>
    </row>
    <row r="1046" spans="1:10" x14ac:dyDescent="0.25">
      <c r="A1046" s="165" t="s">
        <v>4</v>
      </c>
      <c r="B1046" s="269"/>
      <c r="C1046" s="156"/>
      <c r="D1046" s="156"/>
      <c r="E1046" s="156"/>
      <c r="F1046" s="156"/>
      <c r="G1046" s="156"/>
      <c r="H1046" s="156"/>
      <c r="I1046" s="156"/>
      <c r="J1046" s="274"/>
    </row>
    <row r="1047" spans="1:10" x14ac:dyDescent="0.25">
      <c r="A1047" s="165" t="s">
        <v>5</v>
      </c>
      <c r="B1047" s="269"/>
      <c r="C1047" s="156"/>
      <c r="D1047" s="156"/>
      <c r="E1047" s="156"/>
      <c r="F1047" s="156"/>
      <c r="G1047" s="156"/>
      <c r="H1047" s="156"/>
      <c r="I1047" s="156"/>
      <c r="J1047" s="274"/>
    </row>
    <row r="1048" spans="1:10" x14ac:dyDescent="0.25">
      <c r="A1048" s="165" t="s">
        <v>6</v>
      </c>
      <c r="B1048" s="269"/>
      <c r="C1048" s="156"/>
      <c r="D1048" s="156"/>
      <c r="E1048" s="156"/>
      <c r="F1048" s="156"/>
      <c r="G1048" s="156"/>
      <c r="H1048" s="156"/>
      <c r="I1048" s="156"/>
      <c r="J1048" s="274"/>
    </row>
    <row r="1049" spans="1:10" x14ac:dyDescent="0.25">
      <c r="A1049" s="165" t="s">
        <v>12</v>
      </c>
      <c r="B1049" s="269"/>
      <c r="C1049" s="156"/>
      <c r="D1049" s="156"/>
      <c r="E1049" s="156"/>
      <c r="F1049" s="156"/>
      <c r="G1049" s="156"/>
      <c r="H1049" s="156"/>
      <c r="I1049" s="156"/>
      <c r="J1049" s="274"/>
    </row>
    <row r="1050" spans="1:10" x14ac:dyDescent="0.25">
      <c r="A1050" s="165" t="s">
        <v>7</v>
      </c>
      <c r="B1050" s="269"/>
      <c r="C1050" s="158"/>
      <c r="D1050" s="158"/>
      <c r="E1050" s="156"/>
      <c r="F1050" s="156"/>
      <c r="G1050" s="156"/>
      <c r="H1050" s="156"/>
      <c r="I1050" s="156"/>
      <c r="J1050" s="274"/>
    </row>
    <row r="1051" spans="1:10" x14ac:dyDescent="0.25">
      <c r="A1051" s="165" t="s">
        <v>167</v>
      </c>
      <c r="B1051" s="269"/>
      <c r="C1051" s="156"/>
      <c r="D1051" s="156"/>
      <c r="E1051" s="156"/>
      <c r="F1051" s="156"/>
      <c r="G1051" s="156"/>
      <c r="H1051" s="156"/>
      <c r="I1051" s="156"/>
      <c r="J1051" s="274"/>
    </row>
    <row r="1052" spans="1:10" x14ac:dyDescent="0.25">
      <c r="A1052" s="165" t="s">
        <v>168</v>
      </c>
      <c r="B1052" s="269"/>
      <c r="C1052" s="156"/>
      <c r="D1052" s="156"/>
      <c r="E1052" s="156"/>
      <c r="F1052" s="156"/>
      <c r="G1052" s="156"/>
      <c r="H1052" s="156"/>
      <c r="I1052" s="156"/>
      <c r="J1052" s="274"/>
    </row>
    <row r="1053" spans="1:10" x14ac:dyDescent="0.25">
      <c r="A1053" s="165" t="s">
        <v>169</v>
      </c>
      <c r="B1053" s="269"/>
      <c r="C1053" s="156"/>
      <c r="D1053" s="156"/>
      <c r="E1053" s="156"/>
      <c r="F1053" s="156"/>
      <c r="G1053" s="156"/>
      <c r="H1053" s="156"/>
      <c r="I1053" s="156"/>
      <c r="J1053" s="274"/>
    </row>
    <row r="1054" spans="1:10" x14ac:dyDescent="0.25">
      <c r="A1054" s="165" t="s">
        <v>27</v>
      </c>
      <c r="B1054" s="269"/>
      <c r="C1054" s="156"/>
      <c r="D1054" s="156"/>
      <c r="E1054" s="156"/>
      <c r="F1054" s="156"/>
      <c r="G1054" s="156"/>
      <c r="H1054" s="156"/>
      <c r="I1054" s="156"/>
      <c r="J1054" s="274"/>
    </row>
    <row r="1055" spans="1:10" x14ac:dyDescent="0.25">
      <c r="A1055" s="165" t="s">
        <v>170</v>
      </c>
      <c r="B1055" s="269"/>
      <c r="C1055" s="156"/>
      <c r="D1055" s="156"/>
      <c r="E1055" s="156"/>
      <c r="F1055" s="156"/>
      <c r="G1055" s="156"/>
      <c r="H1055" s="156"/>
      <c r="I1055" s="156"/>
      <c r="J1055" s="274"/>
    </row>
    <row r="1056" spans="1:10" x14ac:dyDescent="0.25">
      <c r="A1056" s="166"/>
      <c r="B1056" s="154"/>
      <c r="C1056" s="154"/>
      <c r="D1056" s="154"/>
      <c r="E1056" s="154"/>
      <c r="F1056" s="154"/>
      <c r="G1056" s="154"/>
      <c r="H1056" s="154"/>
      <c r="I1056" s="154"/>
      <c r="J1056" s="154"/>
    </row>
    <row r="1057" spans="1:10" x14ac:dyDescent="0.25">
      <c r="A1057" s="241">
        <v>73</v>
      </c>
      <c r="B1057" s="240"/>
      <c r="C1057" s="162"/>
      <c r="D1057" s="162"/>
      <c r="E1057" s="162"/>
      <c r="F1057" s="162"/>
      <c r="G1057" s="162"/>
      <c r="H1057" s="162"/>
      <c r="I1057" s="162"/>
      <c r="J1057" s="162"/>
    </row>
    <row r="1058" spans="1:10" ht="71.25" x14ac:dyDescent="0.25">
      <c r="A1058" s="164" t="s">
        <v>0</v>
      </c>
      <c r="B1058" s="268"/>
      <c r="C1058" s="155" t="s">
        <v>1</v>
      </c>
      <c r="D1058" s="155"/>
      <c r="E1058" s="155" t="s">
        <v>2</v>
      </c>
      <c r="F1058" s="155"/>
      <c r="G1058" s="155" t="s">
        <v>166</v>
      </c>
      <c r="H1058" s="155"/>
      <c r="I1058" s="155" t="s">
        <v>3</v>
      </c>
      <c r="J1058" s="272"/>
    </row>
    <row r="1059" spans="1:10" x14ac:dyDescent="0.25">
      <c r="A1059" s="165" t="s">
        <v>4</v>
      </c>
      <c r="B1059" s="269"/>
      <c r="C1059" s="157" t="s">
        <v>5</v>
      </c>
      <c r="D1059" s="157"/>
      <c r="E1059" s="157" t="s">
        <v>6</v>
      </c>
      <c r="F1059" s="157"/>
      <c r="G1059" s="157" t="s">
        <v>12</v>
      </c>
      <c r="H1059" s="157"/>
      <c r="I1059" s="157" t="s">
        <v>7</v>
      </c>
      <c r="J1059" s="273"/>
    </row>
    <row r="1060" spans="1:10" x14ac:dyDescent="0.25">
      <c r="A1060" s="165" t="s">
        <v>4</v>
      </c>
      <c r="B1060" s="269"/>
      <c r="C1060" s="156"/>
      <c r="D1060" s="156"/>
      <c r="E1060" s="156"/>
      <c r="F1060" s="156"/>
      <c r="G1060" s="156"/>
      <c r="H1060" s="156"/>
      <c r="I1060" s="156"/>
      <c r="J1060" s="274"/>
    </row>
    <row r="1061" spans="1:10" x14ac:dyDescent="0.25">
      <c r="A1061" s="165" t="s">
        <v>5</v>
      </c>
      <c r="B1061" s="269"/>
      <c r="C1061" s="156"/>
      <c r="D1061" s="156"/>
      <c r="E1061" s="156"/>
      <c r="F1061" s="156"/>
      <c r="G1061" s="156"/>
      <c r="H1061" s="156"/>
      <c r="I1061" s="156"/>
      <c r="J1061" s="274"/>
    </row>
    <row r="1062" spans="1:10" x14ac:dyDescent="0.25">
      <c r="A1062" s="165" t="s">
        <v>6</v>
      </c>
      <c r="B1062" s="269"/>
      <c r="C1062" s="156"/>
      <c r="D1062" s="156"/>
      <c r="E1062" s="156"/>
      <c r="F1062" s="156"/>
      <c r="G1062" s="156"/>
      <c r="H1062" s="156"/>
      <c r="I1062" s="156"/>
      <c r="J1062" s="274"/>
    </row>
    <row r="1063" spans="1:10" x14ac:dyDescent="0.25">
      <c r="A1063" s="165" t="s">
        <v>12</v>
      </c>
      <c r="B1063" s="269"/>
      <c r="C1063" s="156"/>
      <c r="D1063" s="156"/>
      <c r="E1063" s="156"/>
      <c r="F1063" s="156"/>
      <c r="G1063" s="156"/>
      <c r="H1063" s="156"/>
      <c r="I1063" s="156"/>
      <c r="J1063" s="274"/>
    </row>
    <row r="1064" spans="1:10" x14ac:dyDescent="0.25">
      <c r="A1064" s="165" t="s">
        <v>7</v>
      </c>
      <c r="B1064" s="269"/>
      <c r="C1064" s="156"/>
      <c r="D1064" s="156"/>
      <c r="E1064" s="156"/>
      <c r="F1064" s="156"/>
      <c r="G1064" s="156"/>
      <c r="H1064" s="156"/>
      <c r="I1064" s="156"/>
      <c r="J1064" s="274"/>
    </row>
    <row r="1065" spans="1:10" x14ac:dyDescent="0.25">
      <c r="A1065" s="165" t="s">
        <v>167</v>
      </c>
      <c r="B1065" s="269"/>
      <c r="C1065" s="156"/>
      <c r="D1065" s="156"/>
      <c r="E1065" s="156"/>
      <c r="F1065" s="156"/>
      <c r="G1065" s="156"/>
      <c r="H1065" s="156"/>
      <c r="I1065" s="156"/>
      <c r="J1065" s="274"/>
    </row>
    <row r="1066" spans="1:10" x14ac:dyDescent="0.25">
      <c r="A1066" s="165" t="s">
        <v>168</v>
      </c>
      <c r="B1066" s="269"/>
      <c r="C1066" s="156"/>
      <c r="D1066" s="156"/>
      <c r="E1066" s="156"/>
      <c r="F1066" s="156"/>
      <c r="G1066" s="156"/>
      <c r="H1066" s="156"/>
      <c r="I1066" s="156"/>
      <c r="J1066" s="274"/>
    </row>
    <row r="1067" spans="1:10" x14ac:dyDescent="0.25">
      <c r="A1067" s="165" t="s">
        <v>169</v>
      </c>
      <c r="B1067" s="269"/>
      <c r="C1067" s="156"/>
      <c r="D1067" s="156"/>
      <c r="E1067" s="156"/>
      <c r="F1067" s="156"/>
      <c r="G1067" s="156"/>
      <c r="H1067" s="156"/>
      <c r="I1067" s="156"/>
      <c r="J1067" s="274"/>
    </row>
    <row r="1068" spans="1:10" x14ac:dyDescent="0.25">
      <c r="A1068" s="165" t="s">
        <v>27</v>
      </c>
      <c r="B1068" s="269"/>
      <c r="C1068" s="156"/>
      <c r="D1068" s="156"/>
      <c r="E1068" s="156"/>
      <c r="F1068" s="156"/>
      <c r="G1068" s="156"/>
      <c r="H1068" s="156"/>
      <c r="I1068" s="156"/>
      <c r="J1068" s="274"/>
    </row>
    <row r="1069" spans="1:10" x14ac:dyDescent="0.25">
      <c r="A1069" s="165" t="s">
        <v>170</v>
      </c>
      <c r="B1069" s="269"/>
      <c r="C1069" s="156"/>
      <c r="D1069" s="156"/>
      <c r="E1069" s="156"/>
      <c r="F1069" s="156"/>
      <c r="G1069" s="156"/>
      <c r="H1069" s="156"/>
      <c r="I1069" s="156"/>
      <c r="J1069" s="274"/>
    </row>
    <row r="1070" spans="1:10" x14ac:dyDescent="0.25">
      <c r="A1070" s="282"/>
      <c r="B1070" s="274"/>
      <c r="C1070" s="274"/>
      <c r="D1070" s="274"/>
      <c r="E1070" s="274"/>
      <c r="F1070" s="274"/>
      <c r="G1070" s="274"/>
      <c r="H1070" s="274"/>
      <c r="I1070" s="274"/>
      <c r="J1070" s="274"/>
    </row>
    <row r="1071" spans="1:10" x14ac:dyDescent="0.25">
      <c r="A1071" s="282"/>
      <c r="B1071" s="274"/>
      <c r="C1071" s="274"/>
      <c r="D1071" s="274"/>
      <c r="E1071" s="274"/>
      <c r="F1071" s="274"/>
      <c r="G1071" s="274"/>
      <c r="H1071" s="274"/>
      <c r="I1071" s="274"/>
      <c r="J1071" s="274"/>
    </row>
    <row r="1072" spans="1:10" x14ac:dyDescent="0.25">
      <c r="A1072" s="166"/>
      <c r="B1072" s="154"/>
      <c r="C1072" s="154"/>
      <c r="D1072" s="154"/>
      <c r="E1072" s="154"/>
      <c r="F1072" s="154"/>
      <c r="G1072" s="154"/>
      <c r="H1072" s="154"/>
      <c r="I1072" s="154"/>
      <c r="J1072" s="154"/>
    </row>
    <row r="1073" spans="1:10" x14ac:dyDescent="0.25">
      <c r="A1073" s="241">
        <v>74</v>
      </c>
      <c r="B1073" s="240"/>
      <c r="C1073" s="162"/>
      <c r="D1073" s="162"/>
      <c r="E1073" s="162"/>
      <c r="F1073" s="162"/>
      <c r="G1073" s="162"/>
      <c r="H1073" s="162"/>
      <c r="I1073" s="162"/>
      <c r="J1073" s="162"/>
    </row>
    <row r="1074" spans="1:10" ht="71.25" x14ac:dyDescent="0.25">
      <c r="A1074" s="164" t="s">
        <v>0</v>
      </c>
      <c r="B1074" s="268"/>
      <c r="C1074" s="155" t="s">
        <v>1</v>
      </c>
      <c r="D1074" s="155"/>
      <c r="E1074" s="155" t="s">
        <v>2</v>
      </c>
      <c r="F1074" s="155"/>
      <c r="G1074" s="155" t="s">
        <v>166</v>
      </c>
      <c r="H1074" s="155"/>
      <c r="I1074" s="155" t="s">
        <v>3</v>
      </c>
      <c r="J1074" s="272"/>
    </row>
    <row r="1075" spans="1:10" x14ac:dyDescent="0.25">
      <c r="A1075" s="165" t="s">
        <v>4</v>
      </c>
      <c r="B1075" s="269"/>
      <c r="C1075" s="157" t="s">
        <v>5</v>
      </c>
      <c r="D1075" s="157"/>
      <c r="E1075" s="157" t="s">
        <v>6</v>
      </c>
      <c r="F1075" s="157"/>
      <c r="G1075" s="157" t="s">
        <v>12</v>
      </c>
      <c r="H1075" s="157"/>
      <c r="I1075" s="157" t="s">
        <v>7</v>
      </c>
      <c r="J1075" s="273"/>
    </row>
    <row r="1076" spans="1:10" x14ac:dyDescent="0.25">
      <c r="A1076" s="165" t="s">
        <v>4</v>
      </c>
      <c r="B1076" s="269"/>
      <c r="C1076" s="156"/>
      <c r="D1076" s="156"/>
      <c r="E1076" s="156"/>
      <c r="F1076" s="156"/>
      <c r="G1076" s="156"/>
      <c r="H1076" s="156"/>
      <c r="I1076" s="156"/>
      <c r="J1076" s="274"/>
    </row>
    <row r="1077" spans="1:10" x14ac:dyDescent="0.25">
      <c r="A1077" s="165" t="s">
        <v>5</v>
      </c>
      <c r="B1077" s="269"/>
      <c r="C1077" s="156"/>
      <c r="D1077" s="156"/>
      <c r="E1077" s="156"/>
      <c r="F1077" s="156"/>
      <c r="G1077" s="156"/>
      <c r="H1077" s="156"/>
      <c r="I1077" s="156"/>
      <c r="J1077" s="274"/>
    </row>
    <row r="1078" spans="1:10" x14ac:dyDescent="0.25">
      <c r="A1078" s="165" t="s">
        <v>6</v>
      </c>
      <c r="B1078" s="269"/>
      <c r="C1078" s="156"/>
      <c r="D1078" s="156"/>
      <c r="E1078" s="156"/>
      <c r="F1078" s="156"/>
      <c r="G1078" s="156"/>
      <c r="H1078" s="156"/>
      <c r="I1078" s="156"/>
      <c r="J1078" s="274"/>
    </row>
    <row r="1079" spans="1:10" x14ac:dyDescent="0.25">
      <c r="A1079" s="165" t="s">
        <v>12</v>
      </c>
      <c r="B1079" s="269"/>
      <c r="C1079" s="156"/>
      <c r="D1079" s="156"/>
      <c r="E1079" s="156"/>
      <c r="F1079" s="156"/>
      <c r="G1079" s="156"/>
      <c r="H1079" s="156"/>
      <c r="I1079" s="156"/>
      <c r="J1079" s="274"/>
    </row>
    <row r="1080" spans="1:10" x14ac:dyDescent="0.25">
      <c r="A1080" s="165" t="s">
        <v>7</v>
      </c>
      <c r="B1080" s="269"/>
      <c r="C1080" s="156"/>
      <c r="D1080" s="156"/>
      <c r="E1080" s="156"/>
      <c r="F1080" s="156"/>
      <c r="G1080" s="156"/>
      <c r="H1080" s="156"/>
      <c r="I1080" s="156"/>
      <c r="J1080" s="274"/>
    </row>
    <row r="1081" spans="1:10" x14ac:dyDescent="0.25">
      <c r="A1081" s="165" t="s">
        <v>167</v>
      </c>
      <c r="B1081" s="269"/>
      <c r="C1081" s="156"/>
      <c r="D1081" s="156"/>
      <c r="E1081" s="156"/>
      <c r="F1081" s="156"/>
      <c r="G1081" s="156"/>
      <c r="H1081" s="156"/>
      <c r="I1081" s="156"/>
      <c r="J1081" s="274"/>
    </row>
    <row r="1082" spans="1:10" x14ac:dyDescent="0.25">
      <c r="A1082" s="165" t="s">
        <v>168</v>
      </c>
      <c r="B1082" s="269"/>
      <c r="C1082" s="156"/>
      <c r="D1082" s="156"/>
      <c r="E1082" s="156"/>
      <c r="F1082" s="156"/>
      <c r="G1082" s="156"/>
      <c r="H1082" s="156"/>
      <c r="I1082" s="156"/>
      <c r="J1082" s="274"/>
    </row>
    <row r="1083" spans="1:10" x14ac:dyDescent="0.25">
      <c r="A1083" s="165" t="s">
        <v>169</v>
      </c>
      <c r="B1083" s="269"/>
      <c r="C1083" s="156"/>
      <c r="D1083" s="156"/>
      <c r="E1083" s="156"/>
      <c r="F1083" s="156"/>
      <c r="G1083" s="156"/>
      <c r="H1083" s="156"/>
      <c r="I1083" s="156"/>
      <c r="J1083" s="274"/>
    </row>
    <row r="1084" spans="1:10" x14ac:dyDescent="0.25">
      <c r="A1084" s="165" t="s">
        <v>27</v>
      </c>
      <c r="B1084" s="269"/>
      <c r="C1084" s="156"/>
      <c r="D1084" s="156"/>
      <c r="E1084" s="156"/>
      <c r="F1084" s="156"/>
      <c r="G1084" s="156"/>
      <c r="H1084" s="156"/>
      <c r="I1084" s="156"/>
      <c r="J1084" s="274"/>
    </row>
    <row r="1085" spans="1:10" x14ac:dyDescent="0.25">
      <c r="A1085" s="165" t="s">
        <v>170</v>
      </c>
      <c r="B1085" s="269"/>
      <c r="C1085" s="156"/>
      <c r="D1085" s="156"/>
      <c r="E1085" s="156"/>
      <c r="F1085" s="156"/>
      <c r="G1085" s="156"/>
      <c r="H1085" s="156"/>
      <c r="I1085" s="156"/>
      <c r="J1085" s="274"/>
    </row>
    <row r="1086" spans="1:10" x14ac:dyDescent="0.25">
      <c r="A1086" s="166"/>
      <c r="B1086" s="154"/>
      <c r="C1086" s="154"/>
      <c r="D1086" s="154"/>
      <c r="E1086" s="154"/>
      <c r="F1086" s="154"/>
      <c r="G1086" s="154"/>
      <c r="H1086" s="154"/>
      <c r="I1086" s="154"/>
      <c r="J1086" s="154"/>
    </row>
    <row r="1087" spans="1:10" x14ac:dyDescent="0.25">
      <c r="A1087" s="241">
        <v>75</v>
      </c>
      <c r="B1087" s="240"/>
      <c r="C1087" s="162"/>
      <c r="D1087" s="162"/>
      <c r="E1087" s="162"/>
      <c r="F1087" s="162"/>
      <c r="G1087" s="162"/>
      <c r="H1087" s="162"/>
      <c r="I1087" s="162"/>
      <c r="J1087" s="162"/>
    </row>
    <row r="1088" spans="1:10" ht="71.25" x14ac:dyDescent="0.25">
      <c r="A1088" s="164" t="s">
        <v>0</v>
      </c>
      <c r="B1088" s="268"/>
      <c r="C1088" s="155" t="s">
        <v>1</v>
      </c>
      <c r="D1088" s="155"/>
      <c r="E1088" s="155" t="s">
        <v>2</v>
      </c>
      <c r="F1088" s="155"/>
      <c r="G1088" s="155" t="s">
        <v>166</v>
      </c>
      <c r="H1088" s="155"/>
      <c r="I1088" s="155" t="s">
        <v>3</v>
      </c>
      <c r="J1088" s="272"/>
    </row>
    <row r="1089" spans="1:10" x14ac:dyDescent="0.25">
      <c r="A1089" s="165" t="s">
        <v>4</v>
      </c>
      <c r="B1089" s="269"/>
      <c r="C1089" s="157" t="s">
        <v>5</v>
      </c>
      <c r="D1089" s="157"/>
      <c r="E1089" s="157" t="s">
        <v>6</v>
      </c>
      <c r="F1089" s="157"/>
      <c r="G1089" s="157" t="s">
        <v>12</v>
      </c>
      <c r="H1089" s="157"/>
      <c r="I1089" s="157" t="s">
        <v>7</v>
      </c>
      <c r="J1089" s="273"/>
    </row>
    <row r="1090" spans="1:10" x14ac:dyDescent="0.25">
      <c r="A1090" s="165" t="s">
        <v>4</v>
      </c>
      <c r="B1090" s="269"/>
      <c r="C1090" s="156"/>
      <c r="D1090" s="156"/>
      <c r="E1090" s="156"/>
      <c r="F1090" s="156"/>
      <c r="G1090" s="156"/>
      <c r="H1090" s="156"/>
      <c r="I1090" s="156"/>
      <c r="J1090" s="274"/>
    </row>
    <row r="1091" spans="1:10" x14ac:dyDescent="0.25">
      <c r="A1091" s="165" t="s">
        <v>5</v>
      </c>
      <c r="B1091" s="269"/>
      <c r="C1091" s="156"/>
      <c r="D1091" s="156"/>
      <c r="E1091" s="156"/>
      <c r="F1091" s="156"/>
      <c r="G1091" s="156"/>
      <c r="H1091" s="156"/>
      <c r="I1091" s="156"/>
      <c r="J1091" s="274"/>
    </row>
    <row r="1092" spans="1:10" x14ac:dyDescent="0.25">
      <c r="A1092" s="165" t="s">
        <v>6</v>
      </c>
      <c r="B1092" s="269"/>
      <c r="C1092" s="156"/>
      <c r="D1092" s="156"/>
      <c r="E1092" s="156"/>
      <c r="F1092" s="156"/>
      <c r="G1092" s="156"/>
      <c r="H1092" s="156"/>
      <c r="I1092" s="156"/>
      <c r="J1092" s="274"/>
    </row>
    <row r="1093" spans="1:10" x14ac:dyDescent="0.25">
      <c r="A1093" s="165" t="s">
        <v>12</v>
      </c>
      <c r="B1093" s="269"/>
      <c r="C1093" s="156"/>
      <c r="D1093" s="156"/>
      <c r="E1093" s="156"/>
      <c r="F1093" s="156"/>
      <c r="G1093" s="156"/>
      <c r="H1093" s="156"/>
      <c r="I1093" s="156"/>
      <c r="J1093" s="274"/>
    </row>
    <row r="1094" spans="1:10" x14ac:dyDescent="0.25">
      <c r="A1094" s="165" t="s">
        <v>7</v>
      </c>
      <c r="B1094" s="269"/>
      <c r="C1094" s="156"/>
      <c r="D1094" s="156"/>
      <c r="E1094" s="156"/>
      <c r="F1094" s="156"/>
      <c r="G1094" s="156"/>
      <c r="H1094" s="156"/>
      <c r="I1094" s="156"/>
      <c r="J1094" s="274"/>
    </row>
    <row r="1095" spans="1:10" x14ac:dyDescent="0.25">
      <c r="A1095" s="165" t="s">
        <v>167</v>
      </c>
      <c r="B1095" s="269"/>
      <c r="C1095" s="156"/>
      <c r="D1095" s="156"/>
      <c r="E1095" s="156"/>
      <c r="F1095" s="156"/>
      <c r="G1095" s="156"/>
      <c r="H1095" s="156"/>
      <c r="I1095" s="156"/>
      <c r="J1095" s="274"/>
    </row>
    <row r="1096" spans="1:10" x14ac:dyDescent="0.25">
      <c r="A1096" s="165" t="s">
        <v>168</v>
      </c>
      <c r="B1096" s="269"/>
      <c r="C1096" s="156"/>
      <c r="D1096" s="156"/>
      <c r="E1096" s="156"/>
      <c r="F1096" s="156"/>
      <c r="G1096" s="156"/>
      <c r="H1096" s="156"/>
      <c r="I1096" s="156"/>
      <c r="J1096" s="274"/>
    </row>
    <row r="1097" spans="1:10" x14ac:dyDescent="0.25">
      <c r="A1097" s="165" t="s">
        <v>169</v>
      </c>
      <c r="B1097" s="269"/>
      <c r="C1097" s="156"/>
      <c r="D1097" s="156"/>
      <c r="E1097" s="156"/>
      <c r="F1097" s="156"/>
      <c r="G1097" s="156"/>
      <c r="H1097" s="156"/>
      <c r="I1097" s="156"/>
      <c r="J1097" s="274"/>
    </row>
    <row r="1098" spans="1:10" x14ac:dyDescent="0.25">
      <c r="A1098" s="165" t="s">
        <v>27</v>
      </c>
      <c r="B1098" s="269"/>
      <c r="C1098" s="156"/>
      <c r="D1098" s="156"/>
      <c r="E1098" s="156"/>
      <c r="F1098" s="156"/>
      <c r="G1098" s="156"/>
      <c r="H1098" s="156"/>
      <c r="I1098" s="156"/>
      <c r="J1098" s="274"/>
    </row>
    <row r="1099" spans="1:10" x14ac:dyDescent="0.25">
      <c r="A1099" s="165" t="s">
        <v>170</v>
      </c>
      <c r="B1099" s="269"/>
      <c r="C1099" s="156"/>
      <c r="D1099" s="156"/>
      <c r="E1099" s="156"/>
      <c r="F1099" s="156"/>
      <c r="G1099" s="156"/>
      <c r="H1099" s="156"/>
      <c r="I1099" s="156"/>
      <c r="J1099" s="274"/>
    </row>
    <row r="1100" spans="1:10" x14ac:dyDescent="0.25">
      <c r="A1100" s="166"/>
      <c r="B1100" s="154"/>
      <c r="C1100" s="154"/>
      <c r="D1100" s="154"/>
      <c r="E1100" s="154"/>
      <c r="F1100" s="154"/>
      <c r="G1100" s="154"/>
      <c r="H1100" s="154"/>
      <c r="I1100" s="154"/>
      <c r="J1100" s="154"/>
    </row>
    <row r="1101" spans="1:10" x14ac:dyDescent="0.25">
      <c r="A1101" s="241">
        <v>76</v>
      </c>
      <c r="B1101" s="240"/>
      <c r="C1101" s="162"/>
      <c r="D1101" s="162"/>
      <c r="E1101" s="162"/>
      <c r="F1101" s="162"/>
      <c r="G1101" s="162"/>
      <c r="H1101" s="162"/>
      <c r="I1101" s="162"/>
      <c r="J1101" s="162"/>
    </row>
    <row r="1102" spans="1:10" ht="71.25" x14ac:dyDescent="0.25">
      <c r="A1102" s="164" t="s">
        <v>0</v>
      </c>
      <c r="B1102" s="268"/>
      <c r="C1102" s="155" t="s">
        <v>1</v>
      </c>
      <c r="D1102" s="155"/>
      <c r="E1102" s="155" t="s">
        <v>2</v>
      </c>
      <c r="F1102" s="155"/>
      <c r="G1102" s="155" t="s">
        <v>166</v>
      </c>
      <c r="H1102" s="155"/>
      <c r="I1102" s="155" t="s">
        <v>3</v>
      </c>
      <c r="J1102" s="272"/>
    </row>
    <row r="1103" spans="1:10" x14ac:dyDescent="0.25">
      <c r="A1103" s="165" t="s">
        <v>4</v>
      </c>
      <c r="B1103" s="269"/>
      <c r="C1103" s="157" t="s">
        <v>5</v>
      </c>
      <c r="D1103" s="157"/>
      <c r="E1103" s="157" t="s">
        <v>6</v>
      </c>
      <c r="F1103" s="157"/>
      <c r="G1103" s="157" t="s">
        <v>12</v>
      </c>
      <c r="H1103" s="157"/>
      <c r="I1103" s="157" t="s">
        <v>7</v>
      </c>
      <c r="J1103" s="273"/>
    </row>
    <row r="1104" spans="1:10" x14ac:dyDescent="0.25">
      <c r="A1104" s="165" t="s">
        <v>4</v>
      </c>
      <c r="B1104" s="269"/>
      <c r="C1104" s="156"/>
      <c r="D1104" s="156"/>
      <c r="E1104" s="156"/>
      <c r="F1104" s="156"/>
      <c r="G1104" s="156"/>
      <c r="H1104" s="156"/>
      <c r="I1104" s="156"/>
      <c r="J1104" s="274"/>
    </row>
    <row r="1105" spans="1:10" x14ac:dyDescent="0.25">
      <c r="A1105" s="165" t="s">
        <v>5</v>
      </c>
      <c r="B1105" s="269"/>
      <c r="C1105" s="156"/>
      <c r="D1105" s="156"/>
      <c r="E1105" s="156"/>
      <c r="F1105" s="156"/>
      <c r="G1105" s="156"/>
      <c r="H1105" s="156"/>
      <c r="I1105" s="156"/>
      <c r="J1105" s="274"/>
    </row>
    <row r="1106" spans="1:10" x14ac:dyDescent="0.25">
      <c r="A1106" s="165" t="s">
        <v>6</v>
      </c>
      <c r="B1106" s="269"/>
      <c r="C1106" s="156"/>
      <c r="D1106" s="156"/>
      <c r="E1106" s="156"/>
      <c r="F1106" s="156"/>
      <c r="G1106" s="156"/>
      <c r="H1106" s="156"/>
      <c r="I1106" s="156"/>
      <c r="J1106" s="274"/>
    </row>
    <row r="1107" spans="1:10" x14ac:dyDescent="0.25">
      <c r="A1107" s="165" t="s">
        <v>12</v>
      </c>
      <c r="B1107" s="269"/>
      <c r="C1107" s="156"/>
      <c r="D1107" s="156"/>
      <c r="E1107" s="156"/>
      <c r="F1107" s="156"/>
      <c r="G1107" s="156"/>
      <c r="H1107" s="156"/>
      <c r="I1107" s="156"/>
      <c r="J1107" s="274"/>
    </row>
    <row r="1108" spans="1:10" x14ac:dyDescent="0.25">
      <c r="A1108" s="165" t="s">
        <v>7</v>
      </c>
      <c r="B1108" s="269"/>
      <c r="C1108" s="156"/>
      <c r="D1108" s="156"/>
      <c r="E1108" s="156"/>
      <c r="F1108" s="156"/>
      <c r="G1108" s="156"/>
      <c r="H1108" s="156"/>
      <c r="I1108" s="156"/>
      <c r="J1108" s="274"/>
    </row>
    <row r="1109" spans="1:10" x14ac:dyDescent="0.25">
      <c r="A1109" s="165" t="s">
        <v>167</v>
      </c>
      <c r="B1109" s="269"/>
      <c r="C1109" s="156"/>
      <c r="D1109" s="156"/>
      <c r="E1109" s="156"/>
      <c r="F1109" s="156"/>
      <c r="G1109" s="156"/>
      <c r="H1109" s="156"/>
      <c r="I1109" s="156"/>
      <c r="J1109" s="274"/>
    </row>
    <row r="1110" spans="1:10" x14ac:dyDescent="0.25">
      <c r="A1110" s="165" t="s">
        <v>168</v>
      </c>
      <c r="B1110" s="269"/>
      <c r="C1110" s="156"/>
      <c r="D1110" s="156"/>
      <c r="E1110" s="156"/>
      <c r="F1110" s="156"/>
      <c r="G1110" s="156"/>
      <c r="H1110" s="156"/>
      <c r="I1110" s="156"/>
      <c r="J1110" s="274"/>
    </row>
    <row r="1111" spans="1:10" x14ac:dyDescent="0.25">
      <c r="A1111" s="165" t="s">
        <v>169</v>
      </c>
      <c r="B1111" s="269"/>
      <c r="C1111" s="156"/>
      <c r="D1111" s="156"/>
      <c r="E1111" s="156"/>
      <c r="F1111" s="156"/>
      <c r="G1111" s="156"/>
      <c r="H1111" s="156"/>
      <c r="I1111" s="156"/>
      <c r="J1111" s="274"/>
    </row>
    <row r="1112" spans="1:10" x14ac:dyDescent="0.25">
      <c r="A1112" s="165" t="s">
        <v>27</v>
      </c>
      <c r="B1112" s="269"/>
      <c r="C1112" s="156"/>
      <c r="D1112" s="156"/>
      <c r="E1112" s="156"/>
      <c r="F1112" s="156"/>
      <c r="G1112" s="156"/>
      <c r="H1112" s="156"/>
      <c r="I1112" s="156"/>
      <c r="J1112" s="274"/>
    </row>
    <row r="1113" spans="1:10" x14ac:dyDescent="0.25">
      <c r="A1113" s="165" t="s">
        <v>170</v>
      </c>
      <c r="B1113" s="269"/>
      <c r="C1113" s="156"/>
      <c r="D1113" s="156"/>
      <c r="E1113" s="156"/>
      <c r="F1113" s="156"/>
      <c r="G1113" s="156"/>
      <c r="H1113" s="156"/>
      <c r="I1113" s="156"/>
      <c r="J1113" s="274"/>
    </row>
    <row r="1114" spans="1:10" x14ac:dyDescent="0.25">
      <c r="A1114" s="282"/>
      <c r="B1114" s="274"/>
      <c r="C1114" s="274"/>
      <c r="D1114" s="274"/>
      <c r="E1114" s="274"/>
      <c r="F1114" s="274"/>
      <c r="G1114" s="274"/>
      <c r="H1114" s="274"/>
      <c r="I1114" s="274"/>
      <c r="J1114" s="274"/>
    </row>
    <row r="1115" spans="1:10" x14ac:dyDescent="0.25">
      <c r="A1115" s="282"/>
      <c r="B1115" s="274"/>
      <c r="C1115" s="274"/>
      <c r="D1115" s="274"/>
      <c r="E1115" s="274"/>
      <c r="F1115" s="274"/>
      <c r="G1115" s="274"/>
      <c r="H1115" s="274"/>
      <c r="I1115" s="274"/>
      <c r="J1115" s="274"/>
    </row>
    <row r="1116" spans="1:10" x14ac:dyDescent="0.25">
      <c r="A1116" s="166"/>
      <c r="B1116" s="154"/>
      <c r="C1116" s="154"/>
      <c r="D1116" s="154"/>
      <c r="E1116" s="154"/>
      <c r="F1116" s="154"/>
      <c r="G1116" s="154"/>
      <c r="H1116" s="154"/>
      <c r="I1116" s="154"/>
      <c r="J1116" s="154"/>
    </row>
    <row r="1117" spans="1:10" x14ac:dyDescent="0.25">
      <c r="A1117" s="241">
        <v>77</v>
      </c>
      <c r="B1117" s="240"/>
      <c r="C1117" s="162"/>
      <c r="D1117" s="162"/>
      <c r="E1117" s="162"/>
      <c r="F1117" s="162"/>
      <c r="G1117" s="162"/>
      <c r="H1117" s="162"/>
      <c r="I1117" s="162"/>
      <c r="J1117" s="162"/>
    </row>
    <row r="1118" spans="1:10" ht="71.25" x14ac:dyDescent="0.25">
      <c r="A1118" s="164" t="s">
        <v>0</v>
      </c>
      <c r="B1118" s="268"/>
      <c r="C1118" s="155" t="s">
        <v>1</v>
      </c>
      <c r="D1118" s="155"/>
      <c r="E1118" s="155" t="s">
        <v>2</v>
      </c>
      <c r="F1118" s="155"/>
      <c r="G1118" s="155" t="s">
        <v>166</v>
      </c>
      <c r="H1118" s="155"/>
      <c r="I1118" s="155" t="s">
        <v>3</v>
      </c>
      <c r="J1118" s="272"/>
    </row>
    <row r="1119" spans="1:10" x14ac:dyDescent="0.25">
      <c r="A1119" s="165" t="s">
        <v>4</v>
      </c>
      <c r="B1119" s="269"/>
      <c r="C1119" s="157" t="s">
        <v>5</v>
      </c>
      <c r="D1119" s="157"/>
      <c r="E1119" s="157" t="s">
        <v>6</v>
      </c>
      <c r="F1119" s="157"/>
      <c r="G1119" s="157" t="s">
        <v>12</v>
      </c>
      <c r="H1119" s="157"/>
      <c r="I1119" s="157" t="s">
        <v>7</v>
      </c>
      <c r="J1119" s="273"/>
    </row>
    <row r="1120" spans="1:10" x14ac:dyDescent="0.25">
      <c r="A1120" s="165" t="s">
        <v>4</v>
      </c>
      <c r="B1120" s="269"/>
      <c r="C1120" s="156"/>
      <c r="D1120" s="156"/>
      <c r="E1120" s="156"/>
      <c r="F1120" s="156"/>
      <c r="G1120" s="156"/>
      <c r="H1120" s="156"/>
      <c r="I1120" s="156"/>
      <c r="J1120" s="274"/>
    </row>
    <row r="1121" spans="1:10" x14ac:dyDescent="0.25">
      <c r="A1121" s="165" t="s">
        <v>5</v>
      </c>
      <c r="B1121" s="269"/>
      <c r="C1121" s="156"/>
      <c r="D1121" s="156"/>
      <c r="E1121" s="156"/>
      <c r="F1121" s="156"/>
      <c r="G1121" s="156"/>
      <c r="H1121" s="156"/>
      <c r="I1121" s="156"/>
      <c r="J1121" s="274"/>
    </row>
    <row r="1122" spans="1:10" x14ac:dyDescent="0.25">
      <c r="A1122" s="165" t="s">
        <v>6</v>
      </c>
      <c r="B1122" s="269"/>
      <c r="C1122" s="156"/>
      <c r="D1122" s="156"/>
      <c r="E1122" s="156"/>
      <c r="F1122" s="156"/>
      <c r="G1122" s="156"/>
      <c r="H1122" s="156"/>
      <c r="I1122" s="156"/>
      <c r="J1122" s="274"/>
    </row>
    <row r="1123" spans="1:10" x14ac:dyDescent="0.25">
      <c r="A1123" s="165" t="s">
        <v>12</v>
      </c>
      <c r="B1123" s="269"/>
      <c r="C1123" s="156"/>
      <c r="D1123" s="156"/>
      <c r="E1123" s="156"/>
      <c r="F1123" s="156"/>
      <c r="G1123" s="156"/>
      <c r="H1123" s="156"/>
      <c r="I1123" s="156"/>
      <c r="J1123" s="274"/>
    </row>
    <row r="1124" spans="1:10" x14ac:dyDescent="0.25">
      <c r="A1124" s="165" t="s">
        <v>7</v>
      </c>
      <c r="B1124" s="269"/>
      <c r="C1124" s="156"/>
      <c r="D1124" s="156"/>
      <c r="E1124" s="156"/>
      <c r="F1124" s="156"/>
      <c r="G1124" s="156"/>
      <c r="H1124" s="156"/>
      <c r="I1124" s="156"/>
      <c r="J1124" s="274"/>
    </row>
    <row r="1125" spans="1:10" x14ac:dyDescent="0.25">
      <c r="A1125" s="165" t="s">
        <v>167</v>
      </c>
      <c r="B1125" s="269"/>
      <c r="C1125" s="156"/>
      <c r="D1125" s="156"/>
      <c r="E1125" s="156"/>
      <c r="F1125" s="156"/>
      <c r="G1125" s="156"/>
      <c r="H1125" s="156"/>
      <c r="I1125" s="156"/>
      <c r="J1125" s="274"/>
    </row>
    <row r="1126" spans="1:10" x14ac:dyDescent="0.25">
      <c r="A1126" s="165" t="s">
        <v>168</v>
      </c>
      <c r="B1126" s="269"/>
      <c r="C1126" s="156"/>
      <c r="D1126" s="156"/>
      <c r="E1126" s="156"/>
      <c r="F1126" s="156"/>
      <c r="G1126" s="156"/>
      <c r="H1126" s="156"/>
      <c r="I1126" s="156"/>
      <c r="J1126" s="274"/>
    </row>
    <row r="1127" spans="1:10" x14ac:dyDescent="0.25">
      <c r="A1127" s="165" t="s">
        <v>169</v>
      </c>
      <c r="B1127" s="269"/>
      <c r="C1127" s="156"/>
      <c r="D1127" s="156"/>
      <c r="E1127" s="156"/>
      <c r="F1127" s="156"/>
      <c r="G1127" s="156"/>
      <c r="H1127" s="156"/>
      <c r="I1127" s="156"/>
      <c r="J1127" s="274"/>
    </row>
    <row r="1128" spans="1:10" x14ac:dyDescent="0.25">
      <c r="A1128" s="165" t="s">
        <v>27</v>
      </c>
      <c r="B1128" s="269"/>
      <c r="C1128" s="156"/>
      <c r="D1128" s="156"/>
      <c r="E1128" s="156"/>
      <c r="F1128" s="156"/>
      <c r="G1128" s="156"/>
      <c r="H1128" s="156"/>
      <c r="I1128" s="156"/>
      <c r="J1128" s="274"/>
    </row>
    <row r="1129" spans="1:10" x14ac:dyDescent="0.25">
      <c r="A1129" s="165" t="s">
        <v>170</v>
      </c>
      <c r="B1129" s="269"/>
      <c r="C1129" s="156"/>
      <c r="D1129" s="156"/>
      <c r="E1129" s="156"/>
      <c r="F1129" s="156"/>
      <c r="G1129" s="156"/>
      <c r="H1129" s="156"/>
      <c r="I1129" s="156"/>
      <c r="J1129" s="274"/>
    </row>
    <row r="1130" spans="1:10" x14ac:dyDescent="0.25">
      <c r="A1130" s="166"/>
      <c r="B1130" s="154"/>
      <c r="C1130" s="154"/>
      <c r="D1130" s="154"/>
      <c r="E1130" s="154"/>
      <c r="F1130" s="154"/>
      <c r="G1130" s="154"/>
      <c r="H1130" s="154"/>
      <c r="I1130" s="154"/>
      <c r="J1130" s="154"/>
    </row>
    <row r="1131" spans="1:10" x14ac:dyDescent="0.25">
      <c r="A1131" s="241">
        <v>78</v>
      </c>
      <c r="B1131" s="240"/>
      <c r="C1131" s="162"/>
      <c r="D1131" s="162"/>
      <c r="E1131" s="162"/>
      <c r="F1131" s="162"/>
      <c r="G1131" s="162"/>
      <c r="H1131" s="162"/>
      <c r="I1131" s="162"/>
      <c r="J1131" s="162"/>
    </row>
    <row r="1132" spans="1:10" ht="71.25" x14ac:dyDescent="0.25">
      <c r="A1132" s="164" t="s">
        <v>0</v>
      </c>
      <c r="B1132" s="268"/>
      <c r="C1132" s="155" t="s">
        <v>1</v>
      </c>
      <c r="D1132" s="155"/>
      <c r="E1132" s="155" t="s">
        <v>2</v>
      </c>
      <c r="F1132" s="155"/>
      <c r="G1132" s="155" t="s">
        <v>166</v>
      </c>
      <c r="H1132" s="155"/>
      <c r="I1132" s="155" t="s">
        <v>3</v>
      </c>
      <c r="J1132" s="272"/>
    </row>
    <row r="1133" spans="1:10" x14ac:dyDescent="0.25">
      <c r="A1133" s="165" t="s">
        <v>4</v>
      </c>
      <c r="B1133" s="269"/>
      <c r="C1133" s="157" t="s">
        <v>5</v>
      </c>
      <c r="D1133" s="157"/>
      <c r="E1133" s="157" t="s">
        <v>6</v>
      </c>
      <c r="F1133" s="157"/>
      <c r="G1133" s="157" t="s">
        <v>12</v>
      </c>
      <c r="H1133" s="157"/>
      <c r="I1133" s="157" t="s">
        <v>7</v>
      </c>
      <c r="J1133" s="273"/>
    </row>
    <row r="1134" spans="1:10" x14ac:dyDescent="0.25">
      <c r="A1134" s="165" t="s">
        <v>4</v>
      </c>
      <c r="B1134" s="269"/>
      <c r="C1134" s="156"/>
      <c r="D1134" s="156"/>
      <c r="E1134" s="156"/>
      <c r="F1134" s="156"/>
      <c r="G1134" s="156"/>
      <c r="H1134" s="156"/>
      <c r="I1134" s="156"/>
      <c r="J1134" s="274"/>
    </row>
    <row r="1135" spans="1:10" x14ac:dyDescent="0.25">
      <c r="A1135" s="165" t="s">
        <v>5</v>
      </c>
      <c r="B1135" s="269"/>
      <c r="C1135" s="156"/>
      <c r="D1135" s="156"/>
      <c r="E1135" s="156"/>
      <c r="F1135" s="156"/>
      <c r="G1135" s="156"/>
      <c r="H1135" s="156"/>
      <c r="I1135" s="156"/>
      <c r="J1135" s="274"/>
    </row>
    <row r="1136" spans="1:10" x14ac:dyDescent="0.25">
      <c r="A1136" s="165" t="s">
        <v>6</v>
      </c>
      <c r="B1136" s="269"/>
      <c r="C1136" s="156"/>
      <c r="D1136" s="156"/>
      <c r="E1136" s="156"/>
      <c r="F1136" s="156"/>
      <c r="G1136" s="156"/>
      <c r="H1136" s="156"/>
      <c r="I1136" s="156"/>
      <c r="J1136" s="274"/>
    </row>
    <row r="1137" spans="1:10" x14ac:dyDescent="0.25">
      <c r="A1137" s="165" t="s">
        <v>12</v>
      </c>
      <c r="B1137" s="269"/>
      <c r="C1137" s="156"/>
      <c r="D1137" s="156"/>
      <c r="E1137" s="156"/>
      <c r="F1137" s="156"/>
      <c r="G1137" s="156"/>
      <c r="H1137" s="156"/>
      <c r="I1137" s="156"/>
      <c r="J1137" s="274"/>
    </row>
    <row r="1138" spans="1:10" x14ac:dyDescent="0.25">
      <c r="A1138" s="165" t="s">
        <v>7</v>
      </c>
      <c r="B1138" s="269"/>
      <c r="C1138" s="156"/>
      <c r="D1138" s="156"/>
      <c r="E1138" s="156"/>
      <c r="F1138" s="156"/>
      <c r="G1138" s="156"/>
      <c r="H1138" s="156"/>
      <c r="I1138" s="156"/>
      <c r="J1138" s="274"/>
    </row>
    <row r="1139" spans="1:10" x14ac:dyDescent="0.25">
      <c r="A1139" s="165" t="s">
        <v>167</v>
      </c>
      <c r="B1139" s="269"/>
      <c r="C1139" s="156"/>
      <c r="D1139" s="156"/>
      <c r="E1139" s="156"/>
      <c r="F1139" s="156"/>
      <c r="G1139" s="156"/>
      <c r="H1139" s="156"/>
      <c r="I1139" s="156"/>
      <c r="J1139" s="274"/>
    </row>
    <row r="1140" spans="1:10" x14ac:dyDescent="0.25">
      <c r="A1140" s="165" t="s">
        <v>168</v>
      </c>
      <c r="B1140" s="269"/>
      <c r="C1140" s="156"/>
      <c r="D1140" s="156"/>
      <c r="E1140" s="156"/>
      <c r="F1140" s="156"/>
      <c r="G1140" s="156"/>
      <c r="H1140" s="156"/>
      <c r="I1140" s="156"/>
      <c r="J1140" s="274"/>
    </row>
    <row r="1141" spans="1:10" x14ac:dyDescent="0.25">
      <c r="A1141" s="165" t="s">
        <v>169</v>
      </c>
      <c r="B1141" s="269"/>
      <c r="C1141" s="156"/>
      <c r="D1141" s="156"/>
      <c r="E1141" s="156"/>
      <c r="F1141" s="156"/>
      <c r="G1141" s="156"/>
      <c r="H1141" s="156"/>
      <c r="I1141" s="156"/>
      <c r="J1141" s="274"/>
    </row>
    <row r="1142" spans="1:10" x14ac:dyDescent="0.25">
      <c r="A1142" s="165" t="s">
        <v>27</v>
      </c>
      <c r="B1142" s="269"/>
      <c r="C1142" s="156"/>
      <c r="D1142" s="156"/>
      <c r="E1142" s="156"/>
      <c r="F1142" s="156"/>
      <c r="G1142" s="156"/>
      <c r="H1142" s="156"/>
      <c r="I1142" s="156"/>
      <c r="J1142" s="274"/>
    </row>
    <row r="1143" spans="1:10" x14ac:dyDescent="0.25">
      <c r="A1143" s="165" t="s">
        <v>170</v>
      </c>
      <c r="B1143" s="269"/>
      <c r="C1143" s="156"/>
      <c r="D1143" s="156"/>
      <c r="E1143" s="156"/>
      <c r="F1143" s="156"/>
      <c r="G1143" s="156"/>
      <c r="H1143" s="156"/>
      <c r="I1143" s="156"/>
      <c r="J1143" s="274"/>
    </row>
    <row r="1144" spans="1:10" x14ac:dyDescent="0.25">
      <c r="A1144" s="166"/>
      <c r="B1144" s="154"/>
      <c r="C1144" s="154"/>
      <c r="D1144" s="154"/>
      <c r="E1144" s="154"/>
      <c r="F1144" s="154"/>
      <c r="G1144" s="154"/>
      <c r="H1144" s="154"/>
      <c r="I1144" s="154"/>
      <c r="J1144" s="154"/>
    </row>
    <row r="1145" spans="1:10" x14ac:dyDescent="0.25">
      <c r="A1145" s="241">
        <v>79</v>
      </c>
      <c r="B1145" s="240"/>
      <c r="C1145" s="162"/>
      <c r="D1145" s="162"/>
      <c r="E1145" s="162"/>
      <c r="F1145" s="162"/>
      <c r="G1145" s="162"/>
      <c r="H1145" s="162"/>
      <c r="I1145" s="162"/>
      <c r="J1145" s="162"/>
    </row>
    <row r="1146" spans="1:10" ht="71.25" x14ac:dyDescent="0.25">
      <c r="A1146" s="164" t="s">
        <v>0</v>
      </c>
      <c r="B1146" s="268"/>
      <c r="C1146" s="155" t="s">
        <v>1</v>
      </c>
      <c r="D1146" s="155"/>
      <c r="E1146" s="155" t="s">
        <v>2</v>
      </c>
      <c r="F1146" s="155"/>
      <c r="G1146" s="155" t="s">
        <v>166</v>
      </c>
      <c r="H1146" s="155"/>
      <c r="I1146" s="155" t="s">
        <v>3</v>
      </c>
      <c r="J1146" s="272"/>
    </row>
    <row r="1147" spans="1:10" x14ac:dyDescent="0.25">
      <c r="A1147" s="165" t="s">
        <v>4</v>
      </c>
      <c r="B1147" s="269"/>
      <c r="C1147" s="157" t="s">
        <v>5</v>
      </c>
      <c r="D1147" s="157"/>
      <c r="E1147" s="157" t="s">
        <v>6</v>
      </c>
      <c r="F1147" s="157"/>
      <c r="G1147" s="157" t="s">
        <v>12</v>
      </c>
      <c r="H1147" s="157"/>
      <c r="I1147" s="157" t="s">
        <v>7</v>
      </c>
      <c r="J1147" s="273"/>
    </row>
    <row r="1148" spans="1:10" x14ac:dyDescent="0.25">
      <c r="A1148" s="165" t="s">
        <v>4</v>
      </c>
      <c r="B1148" s="269"/>
      <c r="C1148" s="156"/>
      <c r="D1148" s="156"/>
      <c r="E1148" s="156"/>
      <c r="F1148" s="156"/>
      <c r="G1148" s="156"/>
      <c r="H1148" s="156"/>
      <c r="I1148" s="156"/>
      <c r="J1148" s="274"/>
    </row>
    <row r="1149" spans="1:10" x14ac:dyDescent="0.25">
      <c r="A1149" s="165" t="s">
        <v>5</v>
      </c>
      <c r="B1149" s="269"/>
      <c r="C1149" s="156"/>
      <c r="D1149" s="156"/>
      <c r="E1149" s="156"/>
      <c r="F1149" s="156"/>
      <c r="G1149" s="156"/>
      <c r="H1149" s="156"/>
      <c r="I1149" s="156"/>
      <c r="J1149" s="274"/>
    </row>
    <row r="1150" spans="1:10" x14ac:dyDescent="0.25">
      <c r="A1150" s="165" t="s">
        <v>6</v>
      </c>
      <c r="B1150" s="269"/>
      <c r="C1150" s="156"/>
      <c r="D1150" s="156"/>
      <c r="E1150" s="156"/>
      <c r="F1150" s="156"/>
      <c r="G1150" s="156"/>
      <c r="H1150" s="156"/>
      <c r="I1150" s="156"/>
      <c r="J1150" s="274"/>
    </row>
    <row r="1151" spans="1:10" x14ac:dyDescent="0.25">
      <c r="A1151" s="165" t="s">
        <v>12</v>
      </c>
      <c r="B1151" s="269"/>
      <c r="C1151" s="156"/>
      <c r="D1151" s="156"/>
      <c r="E1151" s="156"/>
      <c r="F1151" s="156"/>
      <c r="G1151" s="156"/>
      <c r="H1151" s="156"/>
      <c r="I1151" s="156"/>
      <c r="J1151" s="274"/>
    </row>
    <row r="1152" spans="1:10" x14ac:dyDescent="0.25">
      <c r="A1152" s="165" t="s">
        <v>7</v>
      </c>
      <c r="B1152" s="269"/>
      <c r="C1152" s="156"/>
      <c r="D1152" s="156"/>
      <c r="E1152" s="156"/>
      <c r="F1152" s="156"/>
      <c r="G1152" s="156"/>
      <c r="H1152" s="156"/>
      <c r="I1152" s="156"/>
      <c r="J1152" s="274"/>
    </row>
    <row r="1153" spans="1:10" x14ac:dyDescent="0.25">
      <c r="A1153" s="165" t="s">
        <v>167</v>
      </c>
      <c r="B1153" s="269"/>
      <c r="C1153" s="156"/>
      <c r="D1153" s="156"/>
      <c r="E1153" s="156"/>
      <c r="F1153" s="156"/>
      <c r="G1153" s="156"/>
      <c r="H1153" s="156"/>
      <c r="I1153" s="156"/>
      <c r="J1153" s="274"/>
    </row>
    <row r="1154" spans="1:10" x14ac:dyDescent="0.25">
      <c r="A1154" s="165" t="s">
        <v>168</v>
      </c>
      <c r="B1154" s="269"/>
      <c r="C1154" s="156"/>
      <c r="D1154" s="156"/>
      <c r="E1154" s="156"/>
      <c r="F1154" s="156"/>
      <c r="G1154" s="156"/>
      <c r="H1154" s="156"/>
      <c r="I1154" s="156"/>
      <c r="J1154" s="274"/>
    </row>
    <row r="1155" spans="1:10" x14ac:dyDescent="0.25">
      <c r="A1155" s="165" t="s">
        <v>169</v>
      </c>
      <c r="B1155" s="269"/>
      <c r="C1155" s="156"/>
      <c r="D1155" s="156"/>
      <c r="E1155" s="156"/>
      <c r="F1155" s="156"/>
      <c r="G1155" s="156"/>
      <c r="H1155" s="156"/>
      <c r="I1155" s="156"/>
      <c r="J1155" s="274"/>
    </row>
    <row r="1156" spans="1:10" x14ac:dyDescent="0.25">
      <c r="A1156" s="165" t="s">
        <v>27</v>
      </c>
      <c r="B1156" s="269"/>
      <c r="C1156" s="156"/>
      <c r="D1156" s="156"/>
      <c r="E1156" s="156"/>
      <c r="F1156" s="156"/>
      <c r="G1156" s="156"/>
      <c r="H1156" s="156"/>
      <c r="I1156" s="156"/>
      <c r="J1156" s="274"/>
    </row>
    <row r="1157" spans="1:10" x14ac:dyDescent="0.25">
      <c r="A1157" s="165" t="s">
        <v>170</v>
      </c>
      <c r="B1157" s="269"/>
      <c r="C1157" s="156"/>
      <c r="D1157" s="156"/>
      <c r="E1157" s="156"/>
      <c r="F1157" s="156"/>
      <c r="G1157" s="156"/>
      <c r="H1157" s="156"/>
      <c r="I1157" s="156"/>
      <c r="J1157" s="274"/>
    </row>
    <row r="1158" spans="1:10" x14ac:dyDescent="0.25">
      <c r="A1158" s="282"/>
      <c r="B1158" s="274"/>
      <c r="C1158" s="274"/>
      <c r="D1158" s="274"/>
      <c r="E1158" s="274"/>
      <c r="F1158" s="274"/>
      <c r="G1158" s="274"/>
      <c r="H1158" s="274"/>
      <c r="I1158" s="274"/>
      <c r="J1158" s="274"/>
    </row>
    <row r="1159" spans="1:10" x14ac:dyDescent="0.25">
      <c r="A1159" s="282"/>
      <c r="B1159" s="274"/>
      <c r="C1159" s="274"/>
      <c r="D1159" s="274"/>
      <c r="E1159" s="274"/>
      <c r="F1159" s="274"/>
      <c r="G1159" s="274"/>
      <c r="H1159" s="274"/>
      <c r="I1159" s="274"/>
      <c r="J1159" s="274"/>
    </row>
    <row r="1160" spans="1:10" x14ac:dyDescent="0.25">
      <c r="A1160" s="166"/>
      <c r="B1160" s="154"/>
      <c r="C1160" s="154"/>
      <c r="D1160" s="154"/>
      <c r="E1160" s="154"/>
      <c r="F1160" s="154"/>
      <c r="G1160" s="154"/>
      <c r="H1160" s="154"/>
      <c r="I1160" s="154"/>
      <c r="J1160" s="154"/>
    </row>
    <row r="1161" spans="1:10" x14ac:dyDescent="0.25">
      <c r="A1161" s="241">
        <v>80</v>
      </c>
      <c r="B1161" s="240"/>
      <c r="C1161" s="162"/>
      <c r="D1161" s="162"/>
      <c r="E1161" s="162"/>
      <c r="F1161" s="162"/>
      <c r="G1161" s="162"/>
      <c r="H1161" s="162"/>
      <c r="I1161" s="162"/>
      <c r="J1161" s="162"/>
    </row>
    <row r="1162" spans="1:10" ht="71.25" x14ac:dyDescent="0.25">
      <c r="A1162" s="164" t="s">
        <v>0</v>
      </c>
      <c r="B1162" s="268"/>
      <c r="C1162" s="155" t="s">
        <v>1</v>
      </c>
      <c r="D1162" s="155"/>
      <c r="E1162" s="155" t="s">
        <v>2</v>
      </c>
      <c r="F1162" s="155"/>
      <c r="G1162" s="155" t="s">
        <v>166</v>
      </c>
      <c r="H1162" s="155"/>
      <c r="I1162" s="155" t="s">
        <v>3</v>
      </c>
      <c r="J1162" s="272"/>
    </row>
    <row r="1163" spans="1:10" x14ac:dyDescent="0.25">
      <c r="A1163" s="165" t="s">
        <v>4</v>
      </c>
      <c r="B1163" s="269"/>
      <c r="C1163" s="157" t="s">
        <v>5</v>
      </c>
      <c r="D1163" s="157"/>
      <c r="E1163" s="157" t="s">
        <v>6</v>
      </c>
      <c r="F1163" s="157"/>
      <c r="G1163" s="157" t="s">
        <v>12</v>
      </c>
      <c r="H1163" s="157"/>
      <c r="I1163" s="157" t="s">
        <v>7</v>
      </c>
      <c r="J1163" s="273"/>
    </row>
    <row r="1164" spans="1:10" x14ac:dyDescent="0.25">
      <c r="A1164" s="165" t="s">
        <v>4</v>
      </c>
      <c r="B1164" s="269"/>
      <c r="C1164" s="156"/>
      <c r="D1164" s="156"/>
      <c r="E1164" s="156"/>
      <c r="F1164" s="156"/>
      <c r="G1164" s="156"/>
      <c r="H1164" s="156"/>
      <c r="I1164" s="156"/>
      <c r="J1164" s="274"/>
    </row>
    <row r="1165" spans="1:10" x14ac:dyDescent="0.25">
      <c r="A1165" s="165" t="s">
        <v>5</v>
      </c>
      <c r="B1165" s="269"/>
      <c r="C1165" s="156"/>
      <c r="D1165" s="156"/>
      <c r="E1165" s="156"/>
      <c r="F1165" s="156"/>
      <c r="G1165" s="156"/>
      <c r="H1165" s="156"/>
      <c r="I1165" s="156"/>
      <c r="J1165" s="274"/>
    </row>
    <row r="1166" spans="1:10" x14ac:dyDescent="0.25">
      <c r="A1166" s="165" t="s">
        <v>6</v>
      </c>
      <c r="B1166" s="269"/>
      <c r="C1166" s="156"/>
      <c r="D1166" s="156"/>
      <c r="E1166" s="156"/>
      <c r="F1166" s="156"/>
      <c r="G1166" s="156"/>
      <c r="H1166" s="156"/>
      <c r="I1166" s="156"/>
      <c r="J1166" s="274"/>
    </row>
    <row r="1167" spans="1:10" x14ac:dyDescent="0.25">
      <c r="A1167" s="165" t="s">
        <v>12</v>
      </c>
      <c r="B1167" s="269"/>
      <c r="C1167" s="156"/>
      <c r="D1167" s="156"/>
      <c r="E1167" s="156"/>
      <c r="F1167" s="156"/>
      <c r="G1167" s="156"/>
      <c r="H1167" s="156"/>
      <c r="I1167" s="156"/>
      <c r="J1167" s="274"/>
    </row>
    <row r="1168" spans="1:10" x14ac:dyDescent="0.25">
      <c r="A1168" s="165" t="s">
        <v>7</v>
      </c>
      <c r="B1168" s="269"/>
      <c r="C1168" s="156"/>
      <c r="D1168" s="156"/>
      <c r="E1168" s="156"/>
      <c r="F1168" s="156"/>
      <c r="G1168" s="156"/>
      <c r="H1168" s="156"/>
      <c r="I1168" s="156"/>
      <c r="J1168" s="274"/>
    </row>
    <row r="1169" spans="1:10" x14ac:dyDescent="0.25">
      <c r="A1169" s="165" t="s">
        <v>167</v>
      </c>
      <c r="B1169" s="269"/>
      <c r="C1169" s="156"/>
      <c r="D1169" s="156"/>
      <c r="E1169" s="156"/>
      <c r="F1169" s="156"/>
      <c r="G1169" s="156"/>
      <c r="H1169" s="156"/>
      <c r="I1169" s="156"/>
      <c r="J1169" s="274"/>
    </row>
    <row r="1170" spans="1:10" x14ac:dyDescent="0.25">
      <c r="A1170" s="165" t="s">
        <v>168</v>
      </c>
      <c r="B1170" s="269"/>
      <c r="C1170" s="156"/>
      <c r="D1170" s="156"/>
      <c r="E1170" s="156"/>
      <c r="F1170" s="156"/>
      <c r="G1170" s="156"/>
      <c r="H1170" s="156"/>
      <c r="I1170" s="156"/>
      <c r="J1170" s="274"/>
    </row>
    <row r="1171" spans="1:10" x14ac:dyDescent="0.25">
      <c r="A1171" s="165" t="s">
        <v>169</v>
      </c>
      <c r="B1171" s="269"/>
      <c r="C1171" s="156"/>
      <c r="D1171" s="156"/>
      <c r="E1171" s="156"/>
      <c r="F1171" s="156"/>
      <c r="G1171" s="156"/>
      <c r="H1171" s="156"/>
      <c r="I1171" s="156"/>
      <c r="J1171" s="274"/>
    </row>
    <row r="1172" spans="1:10" x14ac:dyDescent="0.25">
      <c r="A1172" s="165" t="s">
        <v>27</v>
      </c>
      <c r="B1172" s="269"/>
      <c r="C1172" s="156"/>
      <c r="D1172" s="156"/>
      <c r="E1172" s="156"/>
      <c r="F1172" s="156"/>
      <c r="G1172" s="156"/>
      <c r="H1172" s="156"/>
      <c r="I1172" s="156"/>
      <c r="J1172" s="274"/>
    </row>
    <row r="1173" spans="1:10" x14ac:dyDescent="0.25">
      <c r="A1173" s="165" t="s">
        <v>170</v>
      </c>
      <c r="B1173" s="269"/>
      <c r="C1173" s="156"/>
      <c r="D1173" s="156"/>
      <c r="E1173" s="156"/>
      <c r="F1173" s="156"/>
      <c r="G1173" s="156"/>
      <c r="H1173" s="156"/>
      <c r="I1173" s="156"/>
      <c r="J1173" s="274"/>
    </row>
    <row r="1174" spans="1:10" x14ac:dyDescent="0.25">
      <c r="A1174" s="166"/>
      <c r="B1174" s="154"/>
      <c r="C1174" s="154"/>
      <c r="D1174" s="154"/>
      <c r="E1174" s="154"/>
      <c r="F1174" s="154"/>
      <c r="G1174" s="154"/>
      <c r="H1174" s="154"/>
      <c r="I1174" s="154"/>
      <c r="J1174" s="154"/>
    </row>
    <row r="1175" spans="1:10" x14ac:dyDescent="0.25">
      <c r="A1175" s="241">
        <v>81</v>
      </c>
      <c r="B1175" s="240"/>
      <c r="C1175" s="162"/>
      <c r="D1175" s="162"/>
      <c r="E1175" s="162"/>
      <c r="F1175" s="162"/>
      <c r="G1175" s="162"/>
      <c r="H1175" s="162"/>
      <c r="I1175" s="162"/>
      <c r="J1175" s="162"/>
    </row>
    <row r="1176" spans="1:10" ht="71.25" x14ac:dyDescent="0.25">
      <c r="A1176" s="164" t="s">
        <v>0</v>
      </c>
      <c r="B1176" s="268"/>
      <c r="C1176" s="155" t="s">
        <v>1</v>
      </c>
      <c r="D1176" s="155"/>
      <c r="E1176" s="155" t="s">
        <v>2</v>
      </c>
      <c r="F1176" s="155"/>
      <c r="G1176" s="155" t="s">
        <v>166</v>
      </c>
      <c r="H1176" s="155"/>
      <c r="I1176" s="155" t="s">
        <v>3</v>
      </c>
      <c r="J1176" s="272"/>
    </row>
    <row r="1177" spans="1:10" x14ac:dyDescent="0.25">
      <c r="A1177" s="165" t="s">
        <v>4</v>
      </c>
      <c r="B1177" s="269"/>
      <c r="C1177" s="157" t="s">
        <v>5</v>
      </c>
      <c r="D1177" s="157"/>
      <c r="E1177" s="157" t="s">
        <v>6</v>
      </c>
      <c r="F1177" s="157"/>
      <c r="G1177" s="157" t="s">
        <v>12</v>
      </c>
      <c r="H1177" s="157"/>
      <c r="I1177" s="157" t="s">
        <v>7</v>
      </c>
      <c r="J1177" s="273"/>
    </row>
    <row r="1178" spans="1:10" x14ac:dyDescent="0.25">
      <c r="A1178" s="165" t="s">
        <v>4</v>
      </c>
      <c r="B1178" s="269"/>
      <c r="C1178" s="156"/>
      <c r="D1178" s="156"/>
      <c r="E1178" s="156"/>
      <c r="F1178" s="156"/>
      <c r="G1178" s="156"/>
      <c r="H1178" s="156"/>
      <c r="I1178" s="156"/>
      <c r="J1178" s="274"/>
    </row>
    <row r="1179" spans="1:10" x14ac:dyDescent="0.25">
      <c r="A1179" s="165" t="s">
        <v>5</v>
      </c>
      <c r="B1179" s="269"/>
      <c r="C1179" s="156"/>
      <c r="D1179" s="156"/>
      <c r="E1179" s="156"/>
      <c r="F1179" s="156"/>
      <c r="G1179" s="156"/>
      <c r="H1179" s="156"/>
      <c r="I1179" s="156"/>
      <c r="J1179" s="274"/>
    </row>
    <row r="1180" spans="1:10" x14ac:dyDescent="0.25">
      <c r="A1180" s="165" t="s">
        <v>6</v>
      </c>
      <c r="B1180" s="269"/>
      <c r="C1180" s="156"/>
      <c r="D1180" s="156"/>
      <c r="E1180" s="156"/>
      <c r="F1180" s="156"/>
      <c r="G1180" s="156"/>
      <c r="H1180" s="156"/>
      <c r="I1180" s="156"/>
      <c r="J1180" s="274"/>
    </row>
    <row r="1181" spans="1:10" x14ac:dyDescent="0.25">
      <c r="A1181" s="165" t="s">
        <v>12</v>
      </c>
      <c r="B1181" s="269"/>
      <c r="C1181" s="156"/>
      <c r="D1181" s="156"/>
      <c r="E1181" s="156"/>
      <c r="F1181" s="156"/>
      <c r="G1181" s="156"/>
      <c r="H1181" s="156"/>
      <c r="I1181" s="156"/>
      <c r="J1181" s="274"/>
    </row>
    <row r="1182" spans="1:10" x14ac:dyDescent="0.25">
      <c r="A1182" s="165" t="s">
        <v>7</v>
      </c>
      <c r="B1182" s="269"/>
      <c r="C1182" s="156"/>
      <c r="D1182" s="156"/>
      <c r="E1182" s="156"/>
      <c r="F1182" s="156"/>
      <c r="G1182" s="156"/>
      <c r="H1182" s="156"/>
      <c r="I1182" s="156"/>
      <c r="J1182" s="274"/>
    </row>
    <row r="1183" spans="1:10" x14ac:dyDescent="0.25">
      <c r="A1183" s="165" t="s">
        <v>167</v>
      </c>
      <c r="B1183" s="269"/>
      <c r="C1183" s="156"/>
      <c r="D1183" s="156"/>
      <c r="E1183" s="156"/>
      <c r="F1183" s="156"/>
      <c r="G1183" s="156"/>
      <c r="H1183" s="156"/>
      <c r="I1183" s="156"/>
      <c r="J1183" s="274"/>
    </row>
    <row r="1184" spans="1:10" x14ac:dyDescent="0.25">
      <c r="A1184" s="165" t="s">
        <v>168</v>
      </c>
      <c r="B1184" s="269"/>
      <c r="C1184" s="156"/>
      <c r="D1184" s="156"/>
      <c r="E1184" s="156"/>
      <c r="F1184" s="156"/>
      <c r="G1184" s="156"/>
      <c r="H1184" s="156"/>
      <c r="I1184" s="156"/>
      <c r="J1184" s="274"/>
    </row>
    <row r="1185" spans="1:10" x14ac:dyDescent="0.25">
      <c r="A1185" s="165" t="s">
        <v>169</v>
      </c>
      <c r="B1185" s="269"/>
      <c r="C1185" s="156"/>
      <c r="D1185" s="156"/>
      <c r="E1185" s="156"/>
      <c r="F1185" s="156"/>
      <c r="G1185" s="156"/>
      <c r="H1185" s="156"/>
      <c r="I1185" s="156"/>
      <c r="J1185" s="274"/>
    </row>
    <row r="1186" spans="1:10" x14ac:dyDescent="0.25">
      <c r="A1186" s="165" t="s">
        <v>27</v>
      </c>
      <c r="B1186" s="269"/>
      <c r="C1186" s="156"/>
      <c r="D1186" s="156"/>
      <c r="E1186" s="156"/>
      <c r="F1186" s="156"/>
      <c r="G1186" s="156"/>
      <c r="H1186" s="156"/>
      <c r="I1186" s="156"/>
      <c r="J1186" s="274"/>
    </row>
    <row r="1187" spans="1:10" x14ac:dyDescent="0.25">
      <c r="A1187" s="165" t="s">
        <v>170</v>
      </c>
      <c r="B1187" s="269"/>
      <c r="C1187" s="156"/>
      <c r="D1187" s="156"/>
      <c r="E1187" s="156"/>
      <c r="F1187" s="156"/>
      <c r="G1187" s="156"/>
      <c r="H1187" s="156"/>
      <c r="I1187" s="156"/>
      <c r="J1187" s="274"/>
    </row>
    <row r="1188" spans="1:10" x14ac:dyDescent="0.25">
      <c r="A1188" s="166"/>
      <c r="B1188" s="154"/>
      <c r="C1188" s="154"/>
      <c r="D1188" s="154"/>
      <c r="E1188" s="154"/>
      <c r="F1188" s="154"/>
      <c r="G1188" s="154"/>
      <c r="H1188" s="154"/>
      <c r="I1188" s="154"/>
      <c r="J1188" s="154"/>
    </row>
    <row r="1189" spans="1:10" x14ac:dyDescent="0.25">
      <c r="A1189" s="241">
        <v>82</v>
      </c>
      <c r="B1189" s="240"/>
      <c r="C1189" s="162"/>
      <c r="D1189" s="162"/>
      <c r="E1189" s="162"/>
      <c r="F1189" s="162"/>
      <c r="G1189" s="162"/>
      <c r="H1189" s="162"/>
      <c r="I1189" s="162"/>
      <c r="J1189" s="162"/>
    </row>
    <row r="1190" spans="1:10" ht="71.25" x14ac:dyDescent="0.25">
      <c r="A1190" s="164" t="s">
        <v>0</v>
      </c>
      <c r="B1190" s="268"/>
      <c r="C1190" s="155" t="s">
        <v>1</v>
      </c>
      <c r="D1190" s="155"/>
      <c r="E1190" s="155" t="s">
        <v>2</v>
      </c>
      <c r="F1190" s="155"/>
      <c r="G1190" s="155" t="s">
        <v>166</v>
      </c>
      <c r="H1190" s="155"/>
      <c r="I1190" s="155" t="s">
        <v>3</v>
      </c>
      <c r="J1190" s="272"/>
    </row>
    <row r="1191" spans="1:10" x14ac:dyDescent="0.25">
      <c r="A1191" s="165" t="s">
        <v>4</v>
      </c>
      <c r="B1191" s="269"/>
      <c r="C1191" s="157" t="s">
        <v>5</v>
      </c>
      <c r="D1191" s="157"/>
      <c r="E1191" s="157" t="s">
        <v>6</v>
      </c>
      <c r="F1191" s="157"/>
      <c r="G1191" s="157" t="s">
        <v>12</v>
      </c>
      <c r="H1191" s="157"/>
      <c r="I1191" s="157" t="s">
        <v>7</v>
      </c>
      <c r="J1191" s="273"/>
    </row>
    <row r="1192" spans="1:10" x14ac:dyDescent="0.25">
      <c r="A1192" s="165" t="s">
        <v>4</v>
      </c>
      <c r="B1192" s="269"/>
      <c r="C1192" s="156"/>
      <c r="D1192" s="156"/>
      <c r="E1192" s="156"/>
      <c r="F1192" s="156"/>
      <c r="G1192" s="156"/>
      <c r="H1192" s="156"/>
      <c r="I1192" s="156"/>
      <c r="J1192" s="274"/>
    </row>
    <row r="1193" spans="1:10" x14ac:dyDescent="0.25">
      <c r="A1193" s="165" t="s">
        <v>5</v>
      </c>
      <c r="B1193" s="269"/>
      <c r="C1193" s="156"/>
      <c r="D1193" s="156"/>
      <c r="E1193" s="156"/>
      <c r="F1193" s="156"/>
      <c r="G1193" s="156"/>
      <c r="H1193" s="156"/>
      <c r="I1193" s="156"/>
      <c r="J1193" s="274"/>
    </row>
    <row r="1194" spans="1:10" x14ac:dyDescent="0.25">
      <c r="A1194" s="165" t="s">
        <v>6</v>
      </c>
      <c r="B1194" s="269"/>
      <c r="C1194" s="156"/>
      <c r="D1194" s="156"/>
      <c r="E1194" s="156"/>
      <c r="F1194" s="156"/>
      <c r="G1194" s="156"/>
      <c r="H1194" s="156"/>
      <c r="I1194" s="156"/>
      <c r="J1194" s="274"/>
    </row>
    <row r="1195" spans="1:10" x14ac:dyDescent="0.25">
      <c r="A1195" s="165" t="s">
        <v>12</v>
      </c>
      <c r="B1195" s="269"/>
      <c r="C1195" s="156"/>
      <c r="D1195" s="156"/>
      <c r="E1195" s="156"/>
      <c r="F1195" s="156"/>
      <c r="G1195" s="156"/>
      <c r="H1195" s="156"/>
      <c r="I1195" s="156"/>
      <c r="J1195" s="274"/>
    </row>
    <row r="1196" spans="1:10" x14ac:dyDescent="0.25">
      <c r="A1196" s="165" t="s">
        <v>7</v>
      </c>
      <c r="B1196" s="269"/>
      <c r="C1196" s="156"/>
      <c r="D1196" s="156"/>
      <c r="E1196" s="156"/>
      <c r="F1196" s="156"/>
      <c r="G1196" s="156"/>
      <c r="H1196" s="156"/>
      <c r="I1196" s="156"/>
      <c r="J1196" s="274"/>
    </row>
    <row r="1197" spans="1:10" x14ac:dyDescent="0.25">
      <c r="A1197" s="165" t="s">
        <v>167</v>
      </c>
      <c r="B1197" s="269"/>
      <c r="C1197" s="156"/>
      <c r="D1197" s="156"/>
      <c r="E1197" s="156"/>
      <c r="F1197" s="156"/>
      <c r="G1197" s="156"/>
      <c r="H1197" s="156"/>
      <c r="I1197" s="156"/>
      <c r="J1197" s="274"/>
    </row>
    <row r="1198" spans="1:10" x14ac:dyDescent="0.25">
      <c r="A1198" s="165" t="s">
        <v>168</v>
      </c>
      <c r="B1198" s="269"/>
      <c r="C1198" s="156"/>
      <c r="D1198" s="156"/>
      <c r="E1198" s="156"/>
      <c r="F1198" s="156"/>
      <c r="G1198" s="156"/>
      <c r="H1198" s="156"/>
      <c r="I1198" s="156"/>
      <c r="J1198" s="274"/>
    </row>
    <row r="1199" spans="1:10" x14ac:dyDescent="0.25">
      <c r="A1199" s="165" t="s">
        <v>169</v>
      </c>
      <c r="B1199" s="269"/>
      <c r="C1199" s="156"/>
      <c r="D1199" s="156"/>
      <c r="E1199" s="156"/>
      <c r="F1199" s="156"/>
      <c r="G1199" s="156"/>
      <c r="H1199" s="156"/>
      <c r="I1199" s="156"/>
      <c r="J1199" s="274"/>
    </row>
    <row r="1200" spans="1:10" x14ac:dyDescent="0.25">
      <c r="A1200" s="165" t="s">
        <v>27</v>
      </c>
      <c r="B1200" s="269"/>
      <c r="C1200" s="156"/>
      <c r="D1200" s="156"/>
      <c r="E1200" s="156"/>
      <c r="F1200" s="156"/>
      <c r="G1200" s="156"/>
      <c r="H1200" s="156"/>
      <c r="I1200" s="156"/>
      <c r="J1200" s="274"/>
    </row>
    <row r="1201" spans="1:10" x14ac:dyDescent="0.25">
      <c r="A1201" s="165" t="s">
        <v>170</v>
      </c>
      <c r="B1201" s="269"/>
      <c r="C1201" s="156"/>
      <c r="D1201" s="156"/>
      <c r="E1201" s="156"/>
      <c r="F1201" s="156"/>
      <c r="G1201" s="156"/>
      <c r="H1201" s="156"/>
      <c r="I1201" s="156"/>
      <c r="J1201" s="274"/>
    </row>
    <row r="1202" spans="1:10" x14ac:dyDescent="0.25">
      <c r="A1202" s="282"/>
      <c r="B1202" s="274"/>
      <c r="C1202" s="274"/>
      <c r="D1202" s="274"/>
      <c r="E1202" s="274"/>
      <c r="F1202" s="274"/>
      <c r="G1202" s="274"/>
      <c r="H1202" s="274"/>
      <c r="I1202" s="274"/>
      <c r="J1202" s="274"/>
    </row>
    <row r="1203" spans="1:10" x14ac:dyDescent="0.25">
      <c r="A1203" s="282"/>
      <c r="B1203" s="274"/>
      <c r="C1203" s="274"/>
      <c r="D1203" s="274"/>
      <c r="E1203" s="274"/>
      <c r="F1203" s="274"/>
      <c r="G1203" s="274"/>
      <c r="H1203" s="274"/>
      <c r="I1203" s="274"/>
      <c r="J1203" s="274"/>
    </row>
    <row r="1204" spans="1:10" x14ac:dyDescent="0.25">
      <c r="A1204" s="166"/>
      <c r="B1204" s="154"/>
      <c r="C1204" s="154"/>
      <c r="D1204" s="154"/>
      <c r="E1204" s="154"/>
      <c r="F1204" s="154"/>
      <c r="G1204" s="154"/>
      <c r="H1204" s="154"/>
      <c r="I1204" s="154"/>
      <c r="J1204" s="154"/>
    </row>
    <row r="1205" spans="1:10" x14ac:dyDescent="0.25">
      <c r="A1205" s="241">
        <v>83</v>
      </c>
      <c r="B1205" s="240"/>
      <c r="C1205" s="162"/>
      <c r="D1205" s="162"/>
      <c r="E1205" s="162"/>
      <c r="F1205" s="162"/>
      <c r="G1205" s="162"/>
      <c r="H1205" s="162"/>
      <c r="I1205" s="162"/>
      <c r="J1205" s="162"/>
    </row>
    <row r="1206" spans="1:10" ht="71.25" x14ac:dyDescent="0.25">
      <c r="A1206" s="164" t="s">
        <v>0</v>
      </c>
      <c r="B1206" s="268"/>
      <c r="C1206" s="155" t="s">
        <v>1</v>
      </c>
      <c r="D1206" s="155"/>
      <c r="E1206" s="155" t="s">
        <v>2</v>
      </c>
      <c r="F1206" s="155"/>
      <c r="G1206" s="155" t="s">
        <v>166</v>
      </c>
      <c r="H1206" s="155"/>
      <c r="I1206" s="155" t="s">
        <v>3</v>
      </c>
      <c r="J1206" s="272"/>
    </row>
    <row r="1207" spans="1:10" x14ac:dyDescent="0.25">
      <c r="A1207" s="165" t="s">
        <v>4</v>
      </c>
      <c r="B1207" s="269"/>
      <c r="C1207" s="157" t="s">
        <v>5</v>
      </c>
      <c r="D1207" s="157"/>
      <c r="E1207" s="157" t="s">
        <v>6</v>
      </c>
      <c r="F1207" s="157"/>
      <c r="G1207" s="157" t="s">
        <v>12</v>
      </c>
      <c r="H1207" s="157"/>
      <c r="I1207" s="157" t="s">
        <v>7</v>
      </c>
      <c r="J1207" s="273"/>
    </row>
    <row r="1208" spans="1:10" x14ac:dyDescent="0.25">
      <c r="A1208" s="165" t="s">
        <v>4</v>
      </c>
      <c r="B1208" s="269"/>
      <c r="C1208" s="156"/>
      <c r="D1208" s="156"/>
      <c r="E1208" s="156"/>
      <c r="F1208" s="156"/>
      <c r="G1208" s="156"/>
      <c r="H1208" s="156"/>
      <c r="I1208" s="156"/>
      <c r="J1208" s="274"/>
    </row>
    <row r="1209" spans="1:10" x14ac:dyDescent="0.25">
      <c r="A1209" s="165" t="s">
        <v>5</v>
      </c>
      <c r="B1209" s="269"/>
      <c r="C1209" s="156"/>
      <c r="D1209" s="156"/>
      <c r="E1209" s="156"/>
      <c r="F1209" s="156"/>
      <c r="G1209" s="156"/>
      <c r="H1209" s="156"/>
      <c r="I1209" s="156"/>
      <c r="J1209" s="274"/>
    </row>
    <row r="1210" spans="1:10" x14ac:dyDescent="0.25">
      <c r="A1210" s="165" t="s">
        <v>6</v>
      </c>
      <c r="B1210" s="269"/>
      <c r="C1210" s="156"/>
      <c r="D1210" s="156"/>
      <c r="E1210" s="156"/>
      <c r="F1210" s="156"/>
      <c r="G1210" s="156"/>
      <c r="H1210" s="156"/>
      <c r="I1210" s="156"/>
      <c r="J1210" s="274"/>
    </row>
    <row r="1211" spans="1:10" x14ac:dyDescent="0.25">
      <c r="A1211" s="165" t="s">
        <v>12</v>
      </c>
      <c r="B1211" s="269"/>
      <c r="C1211" s="156"/>
      <c r="D1211" s="156"/>
      <c r="E1211" s="156"/>
      <c r="F1211" s="156"/>
      <c r="G1211" s="156"/>
      <c r="H1211" s="156"/>
      <c r="I1211" s="156"/>
      <c r="J1211" s="274"/>
    </row>
    <row r="1212" spans="1:10" x14ac:dyDescent="0.25">
      <c r="A1212" s="165" t="s">
        <v>7</v>
      </c>
      <c r="B1212" s="269"/>
      <c r="C1212" s="156"/>
      <c r="D1212" s="156"/>
      <c r="E1212" s="156"/>
      <c r="F1212" s="156"/>
      <c r="G1212" s="156"/>
      <c r="H1212" s="156"/>
      <c r="I1212" s="156"/>
      <c r="J1212" s="274"/>
    </row>
    <row r="1213" spans="1:10" x14ac:dyDescent="0.25">
      <c r="A1213" s="165" t="s">
        <v>167</v>
      </c>
      <c r="B1213" s="269"/>
      <c r="C1213" s="156"/>
      <c r="D1213" s="156"/>
      <c r="E1213" s="156"/>
      <c r="F1213" s="156"/>
      <c r="G1213" s="156"/>
      <c r="H1213" s="156"/>
      <c r="I1213" s="156"/>
      <c r="J1213" s="274"/>
    </row>
    <row r="1214" spans="1:10" x14ac:dyDescent="0.25">
      <c r="A1214" s="165" t="s">
        <v>168</v>
      </c>
      <c r="B1214" s="269"/>
      <c r="C1214" s="156"/>
      <c r="D1214" s="156"/>
      <c r="E1214" s="156"/>
      <c r="F1214" s="156"/>
      <c r="G1214" s="156"/>
      <c r="H1214" s="156"/>
      <c r="I1214" s="156"/>
      <c r="J1214" s="274"/>
    </row>
    <row r="1215" spans="1:10" x14ac:dyDescent="0.25">
      <c r="A1215" s="165" t="s">
        <v>169</v>
      </c>
      <c r="B1215" s="269"/>
      <c r="C1215" s="156"/>
      <c r="D1215" s="156"/>
      <c r="E1215" s="156"/>
      <c r="F1215" s="156"/>
      <c r="G1215" s="156"/>
      <c r="H1215" s="156"/>
      <c r="I1215" s="156"/>
      <c r="J1215" s="274"/>
    </row>
    <row r="1216" spans="1:10" x14ac:dyDescent="0.25">
      <c r="A1216" s="165" t="s">
        <v>27</v>
      </c>
      <c r="B1216" s="269"/>
      <c r="C1216" s="156"/>
      <c r="D1216" s="156"/>
      <c r="E1216" s="156"/>
      <c r="F1216" s="156"/>
      <c r="G1216" s="156"/>
      <c r="H1216" s="156"/>
      <c r="I1216" s="156"/>
      <c r="J1216" s="274"/>
    </row>
    <row r="1217" spans="1:10" x14ac:dyDescent="0.25">
      <c r="A1217" s="165" t="s">
        <v>170</v>
      </c>
      <c r="B1217" s="269"/>
      <c r="C1217" s="156"/>
      <c r="D1217" s="156"/>
      <c r="E1217" s="156"/>
      <c r="F1217" s="156"/>
      <c r="G1217" s="156"/>
      <c r="H1217" s="156"/>
      <c r="I1217" s="156"/>
      <c r="J1217" s="274"/>
    </row>
    <row r="1218" spans="1:10" x14ac:dyDescent="0.25">
      <c r="A1218" s="166"/>
      <c r="B1218" s="154"/>
      <c r="C1218" s="154"/>
      <c r="D1218" s="154"/>
      <c r="E1218" s="154"/>
      <c r="F1218" s="154"/>
      <c r="G1218" s="154"/>
      <c r="H1218" s="154"/>
      <c r="I1218" s="154"/>
      <c r="J1218" s="154"/>
    </row>
    <row r="1219" spans="1:10" x14ac:dyDescent="0.25">
      <c r="A1219" s="241">
        <v>84</v>
      </c>
      <c r="B1219" s="240"/>
      <c r="C1219" s="162"/>
      <c r="D1219" s="162"/>
      <c r="E1219" s="162"/>
      <c r="F1219" s="162"/>
      <c r="G1219" s="162"/>
      <c r="H1219" s="162"/>
      <c r="I1219" s="162"/>
      <c r="J1219" s="162"/>
    </row>
    <row r="1220" spans="1:10" ht="71.25" x14ac:dyDescent="0.25">
      <c r="A1220" s="164" t="s">
        <v>0</v>
      </c>
      <c r="B1220" s="268"/>
      <c r="C1220" s="155" t="s">
        <v>1</v>
      </c>
      <c r="D1220" s="155"/>
      <c r="E1220" s="155" t="s">
        <v>2</v>
      </c>
      <c r="F1220" s="155"/>
      <c r="G1220" s="155" t="s">
        <v>166</v>
      </c>
      <c r="H1220" s="155"/>
      <c r="I1220" s="155" t="s">
        <v>3</v>
      </c>
      <c r="J1220" s="272"/>
    </row>
    <row r="1221" spans="1:10" x14ac:dyDescent="0.25">
      <c r="A1221" s="165" t="s">
        <v>4</v>
      </c>
      <c r="B1221" s="269"/>
      <c r="C1221" s="157" t="s">
        <v>5</v>
      </c>
      <c r="D1221" s="157"/>
      <c r="E1221" s="157" t="s">
        <v>6</v>
      </c>
      <c r="F1221" s="157"/>
      <c r="G1221" s="157" t="s">
        <v>12</v>
      </c>
      <c r="H1221" s="157"/>
      <c r="I1221" s="157" t="s">
        <v>7</v>
      </c>
      <c r="J1221" s="273"/>
    </row>
    <row r="1222" spans="1:10" x14ac:dyDescent="0.25">
      <c r="A1222" s="165" t="s">
        <v>4</v>
      </c>
      <c r="B1222" s="269"/>
      <c r="C1222" s="156"/>
      <c r="D1222" s="156"/>
      <c r="E1222" s="156"/>
      <c r="F1222" s="156"/>
      <c r="G1222" s="156"/>
      <c r="H1222" s="156"/>
      <c r="I1222" s="156"/>
      <c r="J1222" s="274"/>
    </row>
    <row r="1223" spans="1:10" x14ac:dyDescent="0.25">
      <c r="A1223" s="165" t="s">
        <v>5</v>
      </c>
      <c r="B1223" s="269"/>
      <c r="C1223" s="156"/>
      <c r="D1223" s="156"/>
      <c r="E1223" s="156"/>
      <c r="F1223" s="156"/>
      <c r="G1223" s="156"/>
      <c r="H1223" s="156"/>
      <c r="I1223" s="156"/>
      <c r="J1223" s="274"/>
    </row>
    <row r="1224" spans="1:10" x14ac:dyDescent="0.25">
      <c r="A1224" s="165" t="s">
        <v>6</v>
      </c>
      <c r="B1224" s="269"/>
      <c r="C1224" s="156"/>
      <c r="D1224" s="156"/>
      <c r="E1224" s="156"/>
      <c r="F1224" s="156"/>
      <c r="G1224" s="156"/>
      <c r="H1224" s="156"/>
      <c r="I1224" s="156"/>
      <c r="J1224" s="274"/>
    </row>
    <row r="1225" spans="1:10" x14ac:dyDescent="0.25">
      <c r="A1225" s="165" t="s">
        <v>12</v>
      </c>
      <c r="B1225" s="269"/>
      <c r="C1225" s="156"/>
      <c r="D1225" s="156"/>
      <c r="E1225" s="156"/>
      <c r="F1225" s="156"/>
      <c r="G1225" s="156"/>
      <c r="H1225" s="156"/>
      <c r="I1225" s="156"/>
      <c r="J1225" s="274"/>
    </row>
    <row r="1226" spans="1:10" x14ac:dyDescent="0.25">
      <c r="A1226" s="165" t="s">
        <v>7</v>
      </c>
      <c r="B1226" s="269"/>
      <c r="C1226" s="156"/>
      <c r="D1226" s="156"/>
      <c r="E1226" s="156"/>
      <c r="F1226" s="156"/>
      <c r="G1226" s="156"/>
      <c r="H1226" s="156"/>
      <c r="I1226" s="156"/>
      <c r="J1226" s="274"/>
    </row>
    <row r="1227" spans="1:10" x14ac:dyDescent="0.25">
      <c r="A1227" s="165" t="s">
        <v>167</v>
      </c>
      <c r="B1227" s="269"/>
      <c r="C1227" s="156"/>
      <c r="D1227" s="156"/>
      <c r="E1227" s="156"/>
      <c r="F1227" s="156"/>
      <c r="G1227" s="156"/>
      <c r="H1227" s="156"/>
      <c r="I1227" s="156"/>
      <c r="J1227" s="274"/>
    </row>
    <row r="1228" spans="1:10" x14ac:dyDescent="0.25">
      <c r="A1228" s="165" t="s">
        <v>168</v>
      </c>
      <c r="B1228" s="269"/>
      <c r="C1228" s="156"/>
      <c r="D1228" s="156"/>
      <c r="E1228" s="156"/>
      <c r="F1228" s="156"/>
      <c r="G1228" s="156"/>
      <c r="H1228" s="156"/>
      <c r="I1228" s="156"/>
      <c r="J1228" s="274"/>
    </row>
    <row r="1229" spans="1:10" x14ac:dyDescent="0.25">
      <c r="A1229" s="165" t="s">
        <v>169</v>
      </c>
      <c r="B1229" s="269"/>
      <c r="C1229" s="156"/>
      <c r="D1229" s="156"/>
      <c r="E1229" s="156"/>
      <c r="F1229" s="156"/>
      <c r="G1229" s="156"/>
      <c r="H1229" s="156"/>
      <c r="I1229" s="156"/>
      <c r="J1229" s="274"/>
    </row>
    <row r="1230" spans="1:10" x14ac:dyDescent="0.25">
      <c r="A1230" s="165" t="s">
        <v>27</v>
      </c>
      <c r="B1230" s="269"/>
      <c r="C1230" s="156"/>
      <c r="D1230" s="156"/>
      <c r="E1230" s="156"/>
      <c r="F1230" s="156"/>
      <c r="G1230" s="156"/>
      <c r="H1230" s="156"/>
      <c r="I1230" s="156"/>
      <c r="J1230" s="274"/>
    </row>
    <row r="1231" spans="1:10" x14ac:dyDescent="0.25">
      <c r="A1231" s="165" t="s">
        <v>170</v>
      </c>
      <c r="B1231" s="269"/>
      <c r="C1231" s="156"/>
      <c r="D1231" s="156"/>
      <c r="E1231" s="156"/>
      <c r="F1231" s="156"/>
      <c r="G1231" s="156"/>
      <c r="H1231" s="156"/>
      <c r="I1231" s="156"/>
      <c r="J1231" s="274"/>
    </row>
    <row r="1232" spans="1:10" x14ac:dyDescent="0.25">
      <c r="A1232" s="166"/>
      <c r="B1232" s="154"/>
      <c r="C1232" s="154"/>
      <c r="D1232" s="154"/>
      <c r="E1232" s="154"/>
      <c r="F1232" s="154"/>
      <c r="G1232" s="154"/>
      <c r="H1232" s="154"/>
      <c r="I1232" s="154"/>
      <c r="J1232" s="154"/>
    </row>
    <row r="1233" spans="1:10" x14ac:dyDescent="0.25">
      <c r="A1233" s="241">
        <v>85</v>
      </c>
      <c r="B1233" s="240"/>
      <c r="C1233" s="162"/>
      <c r="D1233" s="162"/>
      <c r="E1233" s="162"/>
      <c r="F1233" s="162"/>
      <c r="G1233" s="162"/>
      <c r="H1233" s="162"/>
      <c r="I1233" s="162"/>
      <c r="J1233" s="162"/>
    </row>
    <row r="1234" spans="1:10" ht="71.25" x14ac:dyDescent="0.25">
      <c r="A1234" s="164" t="s">
        <v>0</v>
      </c>
      <c r="B1234" s="268"/>
      <c r="C1234" s="155" t="s">
        <v>1</v>
      </c>
      <c r="D1234" s="155"/>
      <c r="E1234" s="155" t="s">
        <v>2</v>
      </c>
      <c r="F1234" s="155"/>
      <c r="G1234" s="155" t="s">
        <v>166</v>
      </c>
      <c r="H1234" s="155"/>
      <c r="I1234" s="155" t="s">
        <v>3</v>
      </c>
      <c r="J1234" s="272"/>
    </row>
    <row r="1235" spans="1:10" x14ac:dyDescent="0.25">
      <c r="A1235" s="165" t="s">
        <v>4</v>
      </c>
      <c r="B1235" s="269"/>
      <c r="C1235" s="157" t="s">
        <v>5</v>
      </c>
      <c r="D1235" s="157"/>
      <c r="E1235" s="157" t="s">
        <v>6</v>
      </c>
      <c r="F1235" s="157"/>
      <c r="G1235" s="157" t="s">
        <v>12</v>
      </c>
      <c r="H1235" s="157"/>
      <c r="I1235" s="157" t="s">
        <v>7</v>
      </c>
      <c r="J1235" s="273"/>
    </row>
    <row r="1236" spans="1:10" x14ac:dyDescent="0.25">
      <c r="A1236" s="165" t="s">
        <v>4</v>
      </c>
      <c r="B1236" s="269"/>
      <c r="C1236" s="156"/>
      <c r="D1236" s="156"/>
      <c r="E1236" s="156"/>
      <c r="F1236" s="156"/>
      <c r="G1236" s="156"/>
      <c r="H1236" s="156"/>
      <c r="I1236" s="156"/>
      <c r="J1236" s="274"/>
    </row>
    <row r="1237" spans="1:10" x14ac:dyDescent="0.25">
      <c r="A1237" s="165" t="s">
        <v>5</v>
      </c>
      <c r="B1237" s="269"/>
      <c r="C1237" s="156"/>
      <c r="D1237" s="156"/>
      <c r="E1237" s="156"/>
      <c r="F1237" s="156"/>
      <c r="G1237" s="156"/>
      <c r="H1237" s="156"/>
      <c r="I1237" s="156"/>
      <c r="J1237" s="274"/>
    </row>
    <row r="1238" spans="1:10" x14ac:dyDescent="0.25">
      <c r="A1238" s="165" t="s">
        <v>6</v>
      </c>
      <c r="B1238" s="269"/>
      <c r="C1238" s="156"/>
      <c r="D1238" s="156"/>
      <c r="E1238" s="156"/>
      <c r="F1238" s="156"/>
      <c r="G1238" s="156"/>
      <c r="H1238" s="156"/>
      <c r="I1238" s="156"/>
      <c r="J1238" s="274"/>
    </row>
    <row r="1239" spans="1:10" x14ac:dyDescent="0.25">
      <c r="A1239" s="165" t="s">
        <v>12</v>
      </c>
      <c r="B1239" s="269"/>
      <c r="C1239" s="156"/>
      <c r="D1239" s="156"/>
      <c r="E1239" s="156"/>
      <c r="F1239" s="156"/>
      <c r="G1239" s="156"/>
      <c r="H1239" s="156"/>
      <c r="I1239" s="156"/>
      <c r="J1239" s="274"/>
    </row>
    <row r="1240" spans="1:10" x14ac:dyDescent="0.25">
      <c r="A1240" s="165" t="s">
        <v>7</v>
      </c>
      <c r="B1240" s="269"/>
      <c r="C1240" s="156"/>
      <c r="D1240" s="156"/>
      <c r="E1240" s="156"/>
      <c r="F1240" s="156"/>
      <c r="G1240" s="156"/>
      <c r="H1240" s="156"/>
      <c r="I1240" s="156"/>
      <c r="J1240" s="274"/>
    </row>
    <row r="1241" spans="1:10" x14ac:dyDescent="0.25">
      <c r="A1241" s="165" t="s">
        <v>167</v>
      </c>
      <c r="B1241" s="269"/>
      <c r="C1241" s="156"/>
      <c r="D1241" s="156"/>
      <c r="E1241" s="156"/>
      <c r="F1241" s="156"/>
      <c r="G1241" s="156"/>
      <c r="H1241" s="156"/>
      <c r="I1241" s="156"/>
      <c r="J1241" s="274"/>
    </row>
    <row r="1242" spans="1:10" x14ac:dyDescent="0.25">
      <c r="A1242" s="165" t="s">
        <v>168</v>
      </c>
      <c r="B1242" s="269"/>
      <c r="C1242" s="156"/>
      <c r="D1242" s="156"/>
      <c r="E1242" s="156"/>
      <c r="F1242" s="156"/>
      <c r="G1242" s="156"/>
      <c r="H1242" s="156"/>
      <c r="I1242" s="156"/>
      <c r="J1242" s="274"/>
    </row>
    <row r="1243" spans="1:10" x14ac:dyDescent="0.25">
      <c r="A1243" s="165" t="s">
        <v>169</v>
      </c>
      <c r="B1243" s="269"/>
      <c r="C1243" s="156"/>
      <c r="D1243" s="156"/>
      <c r="E1243" s="156"/>
      <c r="F1243" s="156"/>
      <c r="G1243" s="156"/>
      <c r="H1243" s="156"/>
      <c r="I1243" s="156"/>
      <c r="J1243" s="274"/>
    </row>
    <row r="1244" spans="1:10" x14ac:dyDescent="0.25">
      <c r="A1244" s="165" t="s">
        <v>27</v>
      </c>
      <c r="B1244" s="269"/>
      <c r="C1244" s="156"/>
      <c r="D1244" s="156"/>
      <c r="E1244" s="156"/>
      <c r="F1244" s="156"/>
      <c r="G1244" s="156"/>
      <c r="H1244" s="156"/>
      <c r="I1244" s="156"/>
      <c r="J1244" s="274"/>
    </row>
    <row r="1245" spans="1:10" x14ac:dyDescent="0.25">
      <c r="A1245" s="165" t="s">
        <v>170</v>
      </c>
      <c r="B1245" s="269"/>
      <c r="C1245" s="156"/>
      <c r="D1245" s="156"/>
      <c r="E1245" s="156"/>
      <c r="F1245" s="156"/>
      <c r="G1245" s="156"/>
      <c r="H1245" s="156"/>
      <c r="I1245" s="156"/>
      <c r="J1245" s="274"/>
    </row>
    <row r="1246" spans="1:10" x14ac:dyDescent="0.25">
      <c r="A1246" s="282"/>
      <c r="B1246" s="274"/>
      <c r="C1246" s="274"/>
      <c r="D1246" s="274"/>
      <c r="E1246" s="274"/>
      <c r="F1246" s="274"/>
      <c r="G1246" s="274"/>
      <c r="H1246" s="274"/>
      <c r="I1246" s="274"/>
      <c r="J1246" s="274"/>
    </row>
    <row r="1247" spans="1:10" x14ac:dyDescent="0.25">
      <c r="A1247" s="282"/>
      <c r="B1247" s="274"/>
      <c r="C1247" s="274"/>
      <c r="D1247" s="274"/>
      <c r="E1247" s="274"/>
      <c r="F1247" s="274"/>
      <c r="G1247" s="274"/>
      <c r="H1247" s="274"/>
      <c r="I1247" s="274"/>
      <c r="J1247" s="274"/>
    </row>
    <row r="1248" spans="1:10" x14ac:dyDescent="0.25">
      <c r="A1248" s="166"/>
      <c r="B1248" s="154"/>
      <c r="C1248" s="154"/>
      <c r="D1248" s="154"/>
      <c r="E1248" s="154"/>
      <c r="F1248" s="154"/>
      <c r="G1248" s="154"/>
      <c r="H1248" s="154"/>
      <c r="I1248" s="154"/>
      <c r="J1248" s="154"/>
    </row>
    <row r="1249" spans="1:10" x14ac:dyDescent="0.25">
      <c r="A1249" s="241">
        <v>86</v>
      </c>
      <c r="B1249" s="240"/>
      <c r="C1249" s="162"/>
      <c r="D1249" s="162"/>
      <c r="E1249" s="162"/>
      <c r="F1249" s="162"/>
      <c r="G1249" s="162"/>
      <c r="H1249" s="162"/>
      <c r="I1249" s="162"/>
      <c r="J1249" s="162"/>
    </row>
    <row r="1250" spans="1:10" ht="71.25" x14ac:dyDescent="0.25">
      <c r="A1250" s="164" t="s">
        <v>0</v>
      </c>
      <c r="B1250" s="268"/>
      <c r="C1250" s="155" t="s">
        <v>1</v>
      </c>
      <c r="D1250" s="155"/>
      <c r="E1250" s="155" t="s">
        <v>2</v>
      </c>
      <c r="F1250" s="155"/>
      <c r="G1250" s="155" t="s">
        <v>166</v>
      </c>
      <c r="H1250" s="155"/>
      <c r="I1250" s="155" t="s">
        <v>3</v>
      </c>
      <c r="J1250" s="272"/>
    </row>
    <row r="1251" spans="1:10" x14ac:dyDescent="0.25">
      <c r="A1251" s="165" t="s">
        <v>4</v>
      </c>
      <c r="B1251" s="269"/>
      <c r="C1251" s="157" t="s">
        <v>5</v>
      </c>
      <c r="D1251" s="157"/>
      <c r="E1251" s="157" t="s">
        <v>6</v>
      </c>
      <c r="F1251" s="157"/>
      <c r="G1251" s="157" t="s">
        <v>12</v>
      </c>
      <c r="H1251" s="157"/>
      <c r="I1251" s="157" t="s">
        <v>7</v>
      </c>
      <c r="J1251" s="273"/>
    </row>
    <row r="1252" spans="1:10" x14ac:dyDescent="0.25">
      <c r="A1252" s="165" t="s">
        <v>4</v>
      </c>
      <c r="B1252" s="269"/>
      <c r="C1252" s="156"/>
      <c r="D1252" s="156"/>
      <c r="E1252" s="156"/>
      <c r="F1252" s="156"/>
      <c r="G1252" s="156"/>
      <c r="H1252" s="156"/>
      <c r="I1252" s="156"/>
      <c r="J1252" s="274"/>
    </row>
    <row r="1253" spans="1:10" x14ac:dyDescent="0.25">
      <c r="A1253" s="165" t="s">
        <v>5</v>
      </c>
      <c r="B1253" s="269"/>
      <c r="C1253" s="156"/>
      <c r="D1253" s="156"/>
      <c r="E1253" s="156"/>
      <c r="F1253" s="156"/>
      <c r="G1253" s="156"/>
      <c r="H1253" s="156"/>
      <c r="I1253" s="156"/>
      <c r="J1253" s="274"/>
    </row>
    <row r="1254" spans="1:10" x14ac:dyDescent="0.25">
      <c r="A1254" s="165" t="s">
        <v>6</v>
      </c>
      <c r="B1254" s="269"/>
      <c r="C1254" s="156"/>
      <c r="D1254" s="156"/>
      <c r="E1254" s="156"/>
      <c r="F1254" s="156"/>
      <c r="G1254" s="156"/>
      <c r="H1254" s="156"/>
      <c r="I1254" s="156"/>
      <c r="J1254" s="274"/>
    </row>
    <row r="1255" spans="1:10" x14ac:dyDescent="0.25">
      <c r="A1255" s="165" t="s">
        <v>12</v>
      </c>
      <c r="B1255" s="269"/>
      <c r="C1255" s="156"/>
      <c r="D1255" s="156"/>
      <c r="E1255" s="156"/>
      <c r="F1255" s="156"/>
      <c r="G1255" s="156"/>
      <c r="H1255" s="156"/>
      <c r="I1255" s="156"/>
      <c r="J1255" s="274"/>
    </row>
    <row r="1256" spans="1:10" x14ac:dyDescent="0.25">
      <c r="A1256" s="165" t="s">
        <v>7</v>
      </c>
      <c r="B1256" s="269"/>
      <c r="C1256" s="156"/>
      <c r="D1256" s="156"/>
      <c r="E1256" s="156"/>
      <c r="F1256" s="156"/>
      <c r="G1256" s="156"/>
      <c r="H1256" s="156"/>
      <c r="I1256" s="156"/>
      <c r="J1256" s="274"/>
    </row>
    <row r="1257" spans="1:10" x14ac:dyDescent="0.25">
      <c r="A1257" s="165" t="s">
        <v>167</v>
      </c>
      <c r="B1257" s="269"/>
      <c r="C1257" s="156"/>
      <c r="D1257" s="156"/>
      <c r="E1257" s="156"/>
      <c r="F1257" s="156"/>
      <c r="G1257" s="156"/>
      <c r="H1257" s="156"/>
      <c r="I1257" s="156"/>
      <c r="J1257" s="274"/>
    </row>
    <row r="1258" spans="1:10" x14ac:dyDescent="0.25">
      <c r="A1258" s="165" t="s">
        <v>168</v>
      </c>
      <c r="B1258" s="269"/>
      <c r="C1258" s="156"/>
      <c r="D1258" s="156"/>
      <c r="E1258" s="156"/>
      <c r="F1258" s="156"/>
      <c r="G1258" s="156"/>
      <c r="H1258" s="156"/>
      <c r="I1258" s="156"/>
      <c r="J1258" s="274"/>
    </row>
    <row r="1259" spans="1:10" x14ac:dyDescent="0.25">
      <c r="A1259" s="165" t="s">
        <v>169</v>
      </c>
      <c r="B1259" s="269"/>
      <c r="C1259" s="156"/>
      <c r="D1259" s="156"/>
      <c r="E1259" s="156"/>
      <c r="F1259" s="156"/>
      <c r="G1259" s="156"/>
      <c r="H1259" s="156"/>
      <c r="I1259" s="156"/>
      <c r="J1259" s="274"/>
    </row>
    <row r="1260" spans="1:10" x14ac:dyDescent="0.25">
      <c r="A1260" s="165" t="s">
        <v>27</v>
      </c>
      <c r="B1260" s="269"/>
      <c r="C1260" s="156"/>
      <c r="D1260" s="156"/>
      <c r="E1260" s="156"/>
      <c r="F1260" s="156"/>
      <c r="G1260" s="156"/>
      <c r="H1260" s="156"/>
      <c r="I1260" s="156"/>
      <c r="J1260" s="274"/>
    </row>
    <row r="1261" spans="1:10" x14ac:dyDescent="0.25">
      <c r="A1261" s="165" t="s">
        <v>170</v>
      </c>
      <c r="B1261" s="269"/>
      <c r="C1261" s="156"/>
      <c r="D1261" s="156"/>
      <c r="E1261" s="156"/>
      <c r="F1261" s="156"/>
      <c r="G1261" s="156"/>
      <c r="H1261" s="156"/>
      <c r="I1261" s="156"/>
      <c r="J1261" s="274"/>
    </row>
    <row r="1262" spans="1:10" x14ac:dyDescent="0.25">
      <c r="A1262" s="166"/>
      <c r="B1262" s="154"/>
      <c r="C1262" s="154"/>
      <c r="D1262" s="154"/>
      <c r="E1262" s="154"/>
      <c r="F1262" s="154"/>
      <c r="G1262" s="154"/>
      <c r="H1262" s="154"/>
      <c r="I1262" s="154"/>
      <c r="J1262" s="154"/>
    </row>
    <row r="1263" spans="1:10" x14ac:dyDescent="0.25">
      <c r="A1263" s="241">
        <v>87</v>
      </c>
      <c r="B1263" s="240"/>
      <c r="C1263" s="162"/>
      <c r="D1263" s="162"/>
      <c r="E1263" s="162"/>
      <c r="F1263" s="162"/>
      <c r="G1263" s="162"/>
      <c r="H1263" s="162"/>
      <c r="I1263" s="162"/>
      <c r="J1263" s="162"/>
    </row>
    <row r="1264" spans="1:10" ht="71.25" x14ac:dyDescent="0.25">
      <c r="A1264" s="164" t="s">
        <v>0</v>
      </c>
      <c r="B1264" s="268"/>
      <c r="C1264" s="155" t="s">
        <v>1</v>
      </c>
      <c r="D1264" s="155"/>
      <c r="E1264" s="155" t="s">
        <v>2</v>
      </c>
      <c r="F1264" s="155"/>
      <c r="G1264" s="155" t="s">
        <v>166</v>
      </c>
      <c r="H1264" s="155"/>
      <c r="I1264" s="155" t="s">
        <v>3</v>
      </c>
      <c r="J1264" s="272"/>
    </row>
    <row r="1265" spans="1:10" x14ac:dyDescent="0.25">
      <c r="A1265" s="165" t="s">
        <v>4</v>
      </c>
      <c r="B1265" s="269"/>
      <c r="C1265" s="157" t="s">
        <v>5</v>
      </c>
      <c r="D1265" s="157"/>
      <c r="E1265" s="157" t="s">
        <v>6</v>
      </c>
      <c r="F1265" s="157"/>
      <c r="G1265" s="157" t="s">
        <v>12</v>
      </c>
      <c r="H1265" s="157"/>
      <c r="I1265" s="157" t="s">
        <v>7</v>
      </c>
      <c r="J1265" s="273"/>
    </row>
    <row r="1266" spans="1:10" x14ac:dyDescent="0.25">
      <c r="A1266" s="165" t="s">
        <v>4</v>
      </c>
      <c r="B1266" s="269"/>
      <c r="C1266" s="156"/>
      <c r="D1266" s="156"/>
      <c r="E1266" s="156"/>
      <c r="F1266" s="156"/>
      <c r="G1266" s="156"/>
      <c r="H1266" s="156"/>
      <c r="I1266" s="156"/>
      <c r="J1266" s="274"/>
    </row>
    <row r="1267" spans="1:10" x14ac:dyDescent="0.25">
      <c r="A1267" s="165" t="s">
        <v>5</v>
      </c>
      <c r="B1267" s="269"/>
      <c r="C1267" s="156"/>
      <c r="D1267" s="156"/>
      <c r="E1267" s="156"/>
      <c r="F1267" s="156"/>
      <c r="G1267" s="156"/>
      <c r="H1267" s="156"/>
      <c r="I1267" s="156"/>
      <c r="J1267" s="274"/>
    </row>
    <row r="1268" spans="1:10" x14ac:dyDescent="0.25">
      <c r="A1268" s="165" t="s">
        <v>6</v>
      </c>
      <c r="B1268" s="269"/>
      <c r="C1268" s="156"/>
      <c r="D1268" s="156"/>
      <c r="E1268" s="156"/>
      <c r="F1268" s="156"/>
      <c r="G1268" s="156"/>
      <c r="H1268" s="156"/>
      <c r="I1268" s="156"/>
      <c r="J1268" s="274"/>
    </row>
    <row r="1269" spans="1:10" x14ac:dyDescent="0.25">
      <c r="A1269" s="165" t="s">
        <v>12</v>
      </c>
      <c r="B1269" s="269"/>
      <c r="C1269" s="156"/>
      <c r="D1269" s="156"/>
      <c r="E1269" s="156"/>
      <c r="F1269" s="156"/>
      <c r="G1269" s="156"/>
      <c r="H1269" s="156"/>
      <c r="I1269" s="156"/>
      <c r="J1269" s="274"/>
    </row>
    <row r="1270" spans="1:10" x14ac:dyDescent="0.25">
      <c r="A1270" s="165" t="s">
        <v>7</v>
      </c>
      <c r="B1270" s="269"/>
      <c r="C1270" s="156"/>
      <c r="D1270" s="156"/>
      <c r="E1270" s="156"/>
      <c r="F1270" s="156"/>
      <c r="G1270" s="156"/>
      <c r="H1270" s="156"/>
      <c r="I1270" s="156"/>
      <c r="J1270" s="274"/>
    </row>
    <row r="1271" spans="1:10" x14ac:dyDescent="0.25">
      <c r="A1271" s="165" t="s">
        <v>167</v>
      </c>
      <c r="B1271" s="269"/>
      <c r="C1271" s="156"/>
      <c r="D1271" s="156"/>
      <c r="E1271" s="156"/>
      <c r="F1271" s="156"/>
      <c r="G1271" s="156"/>
      <c r="H1271" s="156"/>
      <c r="I1271" s="156"/>
      <c r="J1271" s="274"/>
    </row>
    <row r="1272" spans="1:10" x14ac:dyDescent="0.25">
      <c r="A1272" s="165" t="s">
        <v>168</v>
      </c>
      <c r="B1272" s="269"/>
      <c r="C1272" s="156"/>
      <c r="D1272" s="156"/>
      <c r="E1272" s="156"/>
      <c r="F1272" s="156"/>
      <c r="G1272" s="156"/>
      <c r="H1272" s="156"/>
      <c r="I1272" s="156"/>
      <c r="J1272" s="274"/>
    </row>
    <row r="1273" spans="1:10" x14ac:dyDescent="0.25">
      <c r="A1273" s="165" t="s">
        <v>169</v>
      </c>
      <c r="B1273" s="269"/>
      <c r="C1273" s="156"/>
      <c r="D1273" s="156"/>
      <c r="E1273" s="156"/>
      <c r="F1273" s="156"/>
      <c r="G1273" s="156"/>
      <c r="H1273" s="156"/>
      <c r="I1273" s="156"/>
      <c r="J1273" s="274"/>
    </row>
    <row r="1274" spans="1:10" x14ac:dyDescent="0.25">
      <c r="A1274" s="165" t="s">
        <v>27</v>
      </c>
      <c r="B1274" s="269"/>
      <c r="C1274" s="156"/>
      <c r="D1274" s="156"/>
      <c r="E1274" s="156"/>
      <c r="F1274" s="156"/>
      <c r="G1274" s="156"/>
      <c r="H1274" s="156"/>
      <c r="I1274" s="156"/>
      <c r="J1274" s="274"/>
    </row>
    <row r="1275" spans="1:10" x14ac:dyDescent="0.25">
      <c r="A1275" s="165" t="s">
        <v>170</v>
      </c>
      <c r="B1275" s="269"/>
      <c r="C1275" s="156"/>
      <c r="D1275" s="156"/>
      <c r="E1275" s="156"/>
      <c r="F1275" s="156"/>
      <c r="G1275" s="156"/>
      <c r="H1275" s="156"/>
      <c r="I1275" s="156"/>
      <c r="J1275" s="274"/>
    </row>
    <row r="1276" spans="1:10" x14ac:dyDescent="0.25">
      <c r="A1276" s="166"/>
      <c r="B1276" s="154"/>
      <c r="C1276" s="154"/>
      <c r="D1276" s="154"/>
      <c r="E1276" s="154"/>
      <c r="F1276" s="154"/>
      <c r="G1276" s="154"/>
      <c r="H1276" s="154"/>
      <c r="I1276" s="154"/>
      <c r="J1276" s="154"/>
    </row>
    <row r="1277" spans="1:10" x14ac:dyDescent="0.25">
      <c r="A1277" s="241">
        <v>88</v>
      </c>
      <c r="B1277" s="240"/>
      <c r="C1277" s="162"/>
      <c r="D1277" s="162"/>
      <c r="E1277" s="162"/>
      <c r="F1277" s="162"/>
      <c r="G1277" s="162"/>
      <c r="H1277" s="162"/>
      <c r="I1277" s="162"/>
      <c r="J1277" s="162"/>
    </row>
    <row r="1278" spans="1:10" ht="71.25" x14ac:dyDescent="0.25">
      <c r="A1278" s="164" t="s">
        <v>0</v>
      </c>
      <c r="B1278" s="268"/>
      <c r="C1278" s="155" t="s">
        <v>1</v>
      </c>
      <c r="D1278" s="155"/>
      <c r="E1278" s="155" t="s">
        <v>2</v>
      </c>
      <c r="F1278" s="155"/>
      <c r="G1278" s="155" t="s">
        <v>166</v>
      </c>
      <c r="H1278" s="155"/>
      <c r="I1278" s="155" t="s">
        <v>3</v>
      </c>
      <c r="J1278" s="272"/>
    </row>
    <row r="1279" spans="1:10" x14ac:dyDescent="0.25">
      <c r="A1279" s="165" t="s">
        <v>4</v>
      </c>
      <c r="B1279" s="269"/>
      <c r="C1279" s="157" t="s">
        <v>5</v>
      </c>
      <c r="D1279" s="157"/>
      <c r="E1279" s="157" t="s">
        <v>6</v>
      </c>
      <c r="F1279" s="157"/>
      <c r="G1279" s="157" t="s">
        <v>12</v>
      </c>
      <c r="H1279" s="157"/>
      <c r="I1279" s="157" t="s">
        <v>7</v>
      </c>
      <c r="J1279" s="273"/>
    </row>
    <row r="1280" spans="1:10" x14ac:dyDescent="0.25">
      <c r="A1280" s="165" t="s">
        <v>4</v>
      </c>
      <c r="B1280" s="269"/>
      <c r="C1280" s="156"/>
      <c r="D1280" s="156"/>
      <c r="E1280" s="156"/>
      <c r="F1280" s="156"/>
      <c r="G1280" s="156"/>
      <c r="H1280" s="156"/>
      <c r="I1280" s="156"/>
      <c r="J1280" s="274"/>
    </row>
    <row r="1281" spans="1:10" x14ac:dyDescent="0.25">
      <c r="A1281" s="165" t="s">
        <v>5</v>
      </c>
      <c r="B1281" s="269"/>
      <c r="C1281" s="156"/>
      <c r="D1281" s="156"/>
      <c r="E1281" s="156"/>
      <c r="F1281" s="156"/>
      <c r="G1281" s="156"/>
      <c r="H1281" s="156"/>
      <c r="I1281" s="156"/>
      <c r="J1281" s="274"/>
    </row>
    <row r="1282" spans="1:10" x14ac:dyDescent="0.25">
      <c r="A1282" s="165" t="s">
        <v>6</v>
      </c>
      <c r="B1282" s="269"/>
      <c r="C1282" s="156"/>
      <c r="D1282" s="156"/>
      <c r="E1282" s="156"/>
      <c r="F1282" s="156"/>
      <c r="G1282" s="156"/>
      <c r="H1282" s="156"/>
      <c r="I1282" s="156"/>
      <c r="J1282" s="274"/>
    </row>
    <row r="1283" spans="1:10" x14ac:dyDescent="0.25">
      <c r="A1283" s="165" t="s">
        <v>12</v>
      </c>
      <c r="B1283" s="269"/>
      <c r="C1283" s="156"/>
      <c r="D1283" s="156"/>
      <c r="E1283" s="156"/>
      <c r="F1283" s="156"/>
      <c r="G1283" s="156"/>
      <c r="H1283" s="156"/>
      <c r="I1283" s="156"/>
      <c r="J1283" s="274"/>
    </row>
    <row r="1284" spans="1:10" x14ac:dyDescent="0.25">
      <c r="A1284" s="165" t="s">
        <v>7</v>
      </c>
      <c r="B1284" s="269"/>
      <c r="C1284" s="156"/>
      <c r="D1284" s="156"/>
      <c r="E1284" s="156"/>
      <c r="F1284" s="156"/>
      <c r="G1284" s="156"/>
      <c r="H1284" s="156"/>
      <c r="I1284" s="156"/>
      <c r="J1284" s="274"/>
    </row>
    <row r="1285" spans="1:10" x14ac:dyDescent="0.25">
      <c r="A1285" s="165" t="s">
        <v>167</v>
      </c>
      <c r="B1285" s="269"/>
      <c r="C1285" s="156"/>
      <c r="D1285" s="156"/>
      <c r="E1285" s="156"/>
      <c r="F1285" s="156"/>
      <c r="G1285" s="156"/>
      <c r="H1285" s="156"/>
      <c r="I1285" s="156"/>
      <c r="J1285" s="274"/>
    </row>
    <row r="1286" spans="1:10" x14ac:dyDescent="0.25">
      <c r="A1286" s="165" t="s">
        <v>168</v>
      </c>
      <c r="B1286" s="269"/>
      <c r="C1286" s="156"/>
      <c r="D1286" s="156"/>
      <c r="E1286" s="156"/>
      <c r="F1286" s="156"/>
      <c r="G1286" s="156"/>
      <c r="H1286" s="156"/>
      <c r="I1286" s="156"/>
      <c r="J1286" s="274"/>
    </row>
    <row r="1287" spans="1:10" x14ac:dyDescent="0.25">
      <c r="A1287" s="165" t="s">
        <v>169</v>
      </c>
      <c r="B1287" s="269"/>
      <c r="C1287" s="156"/>
      <c r="D1287" s="156"/>
      <c r="E1287" s="156"/>
      <c r="F1287" s="156"/>
      <c r="G1287" s="156"/>
      <c r="H1287" s="156"/>
      <c r="I1287" s="156"/>
      <c r="J1287" s="274"/>
    </row>
    <row r="1288" spans="1:10" x14ac:dyDescent="0.25">
      <c r="A1288" s="165" t="s">
        <v>27</v>
      </c>
      <c r="B1288" s="269"/>
      <c r="C1288" s="156"/>
      <c r="D1288" s="156"/>
      <c r="E1288" s="156"/>
      <c r="F1288" s="156"/>
      <c r="G1288" s="156"/>
      <c r="H1288" s="156"/>
      <c r="I1288" s="156"/>
      <c r="J1288" s="274"/>
    </row>
    <row r="1289" spans="1:10" x14ac:dyDescent="0.25">
      <c r="A1289" s="165" t="s">
        <v>170</v>
      </c>
      <c r="B1289" s="269"/>
      <c r="C1289" s="156"/>
      <c r="D1289" s="156"/>
      <c r="E1289" s="156"/>
      <c r="F1289" s="156"/>
      <c r="G1289" s="156"/>
      <c r="H1289" s="156"/>
      <c r="I1289" s="156"/>
      <c r="J1289" s="274"/>
    </row>
    <row r="1293" spans="1:10" x14ac:dyDescent="0.25">
      <c r="A1293" s="241">
        <v>89</v>
      </c>
      <c r="B1293" s="240"/>
      <c r="C1293" s="162"/>
      <c r="D1293" s="162"/>
      <c r="E1293" s="162"/>
      <c r="F1293" s="162"/>
      <c r="G1293" s="162"/>
      <c r="H1293" s="162"/>
      <c r="I1293" s="162"/>
      <c r="J1293" s="162"/>
    </row>
    <row r="1294" spans="1:10" ht="71.25" x14ac:dyDescent="0.25">
      <c r="A1294" s="164" t="s">
        <v>0</v>
      </c>
      <c r="B1294" s="268"/>
      <c r="C1294" s="155" t="s">
        <v>1</v>
      </c>
      <c r="D1294" s="155"/>
      <c r="E1294" s="155" t="s">
        <v>2</v>
      </c>
      <c r="F1294" s="155"/>
      <c r="G1294" s="155" t="s">
        <v>166</v>
      </c>
      <c r="H1294" s="155"/>
      <c r="I1294" s="155" t="s">
        <v>3</v>
      </c>
      <c r="J1294" s="272"/>
    </row>
    <row r="1295" spans="1:10" x14ac:dyDescent="0.25">
      <c r="A1295" s="165" t="s">
        <v>4</v>
      </c>
      <c r="B1295" s="269"/>
      <c r="C1295" s="157" t="s">
        <v>5</v>
      </c>
      <c r="D1295" s="157"/>
      <c r="E1295" s="157" t="s">
        <v>6</v>
      </c>
      <c r="F1295" s="157"/>
      <c r="G1295" s="157" t="s">
        <v>12</v>
      </c>
      <c r="H1295" s="157"/>
      <c r="I1295" s="157" t="s">
        <v>7</v>
      </c>
      <c r="J1295" s="273"/>
    </row>
    <row r="1296" spans="1:10" x14ac:dyDescent="0.25">
      <c r="A1296" s="165" t="s">
        <v>4</v>
      </c>
      <c r="B1296" s="269"/>
      <c r="C1296" s="156"/>
      <c r="D1296" s="156"/>
      <c r="E1296" s="156"/>
      <c r="F1296" s="156"/>
      <c r="G1296" s="156"/>
      <c r="H1296" s="156"/>
      <c r="I1296" s="156"/>
      <c r="J1296" s="274"/>
    </row>
    <row r="1297" spans="1:10" x14ac:dyDescent="0.25">
      <c r="A1297" s="165" t="s">
        <v>5</v>
      </c>
      <c r="B1297" s="269"/>
      <c r="C1297" s="156"/>
      <c r="D1297" s="156"/>
      <c r="E1297" s="156"/>
      <c r="F1297" s="156"/>
      <c r="G1297" s="156"/>
      <c r="H1297" s="156"/>
      <c r="I1297" s="156"/>
      <c r="J1297" s="274"/>
    </row>
    <row r="1298" spans="1:10" x14ac:dyDescent="0.25">
      <c r="A1298" s="165" t="s">
        <v>6</v>
      </c>
      <c r="B1298" s="269"/>
      <c r="C1298" s="156"/>
      <c r="D1298" s="156"/>
      <c r="E1298" s="156"/>
      <c r="F1298" s="156"/>
      <c r="G1298" s="156"/>
      <c r="H1298" s="156"/>
      <c r="I1298" s="156"/>
      <c r="J1298" s="274"/>
    </row>
    <row r="1299" spans="1:10" x14ac:dyDescent="0.25">
      <c r="A1299" s="165" t="s">
        <v>12</v>
      </c>
      <c r="B1299" s="269"/>
      <c r="C1299" s="156"/>
      <c r="D1299" s="156"/>
      <c r="E1299" s="156"/>
      <c r="F1299" s="156"/>
      <c r="G1299" s="156"/>
      <c r="H1299" s="156"/>
      <c r="I1299" s="156"/>
      <c r="J1299" s="274"/>
    </row>
    <row r="1300" spans="1:10" x14ac:dyDescent="0.25">
      <c r="A1300" s="165" t="s">
        <v>7</v>
      </c>
      <c r="B1300" s="269"/>
      <c r="C1300" s="156"/>
      <c r="D1300" s="156"/>
      <c r="E1300" s="156"/>
      <c r="F1300" s="156"/>
      <c r="G1300" s="156"/>
      <c r="H1300" s="156"/>
      <c r="I1300" s="156"/>
      <c r="J1300" s="274"/>
    </row>
    <row r="1301" spans="1:10" x14ac:dyDescent="0.25">
      <c r="A1301" s="165" t="s">
        <v>167</v>
      </c>
      <c r="B1301" s="269"/>
      <c r="C1301" s="156"/>
      <c r="D1301" s="156"/>
      <c r="E1301" s="156"/>
      <c r="F1301" s="156"/>
      <c r="G1301" s="156"/>
      <c r="H1301" s="156"/>
      <c r="I1301" s="156"/>
      <c r="J1301" s="274"/>
    </row>
    <row r="1302" spans="1:10" x14ac:dyDescent="0.25">
      <c r="A1302" s="165" t="s">
        <v>168</v>
      </c>
      <c r="B1302" s="269"/>
      <c r="C1302" s="156"/>
      <c r="D1302" s="156"/>
      <c r="E1302" s="156"/>
      <c r="F1302" s="156"/>
      <c r="G1302" s="156"/>
      <c r="H1302" s="156"/>
      <c r="I1302" s="156"/>
      <c r="J1302" s="274"/>
    </row>
    <row r="1303" spans="1:10" x14ac:dyDescent="0.25">
      <c r="A1303" s="165" t="s">
        <v>169</v>
      </c>
      <c r="B1303" s="269"/>
      <c r="C1303" s="156"/>
      <c r="D1303" s="156"/>
      <c r="E1303" s="156"/>
      <c r="F1303" s="156"/>
      <c r="G1303" s="156"/>
      <c r="H1303" s="156"/>
      <c r="I1303" s="156"/>
      <c r="J1303" s="274"/>
    </row>
    <row r="1304" spans="1:10" x14ac:dyDescent="0.25">
      <c r="A1304" s="165" t="s">
        <v>27</v>
      </c>
      <c r="B1304" s="269"/>
      <c r="C1304" s="156"/>
      <c r="D1304" s="156"/>
      <c r="E1304" s="156"/>
      <c r="F1304" s="156"/>
      <c r="G1304" s="156"/>
      <c r="H1304" s="156"/>
      <c r="I1304" s="156"/>
      <c r="J1304" s="274"/>
    </row>
    <row r="1305" spans="1:10" x14ac:dyDescent="0.25">
      <c r="A1305" s="165" t="s">
        <v>170</v>
      </c>
      <c r="B1305" s="269"/>
      <c r="C1305" s="156"/>
      <c r="D1305" s="156"/>
      <c r="E1305" s="156"/>
      <c r="F1305" s="156"/>
      <c r="G1305" s="156"/>
      <c r="H1305" s="156"/>
      <c r="I1305" s="156"/>
      <c r="J1305" s="274"/>
    </row>
    <row r="1306" spans="1:10" x14ac:dyDescent="0.25">
      <c r="A1306" s="166"/>
      <c r="B1306" s="154"/>
      <c r="C1306" s="154"/>
      <c r="D1306" s="154"/>
      <c r="E1306" s="154"/>
      <c r="F1306" s="154"/>
      <c r="G1306" s="154"/>
      <c r="H1306" s="154"/>
      <c r="I1306" s="154"/>
      <c r="J1306" s="154"/>
    </row>
    <row r="1307" spans="1:10" x14ac:dyDescent="0.25">
      <c r="A1307" s="241">
        <v>90</v>
      </c>
      <c r="B1307" s="240"/>
      <c r="C1307" s="162"/>
      <c r="D1307" s="162"/>
      <c r="E1307" s="162"/>
      <c r="F1307" s="162"/>
      <c r="G1307" s="162"/>
      <c r="H1307" s="162"/>
      <c r="I1307" s="162"/>
      <c r="J1307" s="162"/>
    </row>
    <row r="1308" spans="1:10" ht="71.25" x14ac:dyDescent="0.25">
      <c r="A1308" s="164" t="s">
        <v>0</v>
      </c>
      <c r="B1308" s="268"/>
      <c r="C1308" s="155" t="s">
        <v>1</v>
      </c>
      <c r="D1308" s="155"/>
      <c r="E1308" s="155" t="s">
        <v>2</v>
      </c>
      <c r="F1308" s="155"/>
      <c r="G1308" s="155" t="s">
        <v>166</v>
      </c>
      <c r="H1308" s="155"/>
      <c r="I1308" s="155" t="s">
        <v>3</v>
      </c>
      <c r="J1308" s="272"/>
    </row>
    <row r="1309" spans="1:10" x14ac:dyDescent="0.25">
      <c r="A1309" s="165" t="s">
        <v>4</v>
      </c>
      <c r="B1309" s="269"/>
      <c r="C1309" s="157" t="s">
        <v>5</v>
      </c>
      <c r="D1309" s="157"/>
      <c r="E1309" s="157" t="s">
        <v>6</v>
      </c>
      <c r="F1309" s="157"/>
      <c r="G1309" s="157" t="s">
        <v>12</v>
      </c>
      <c r="H1309" s="157"/>
      <c r="I1309" s="157" t="s">
        <v>7</v>
      </c>
      <c r="J1309" s="273"/>
    </row>
    <row r="1310" spans="1:10" x14ac:dyDescent="0.25">
      <c r="A1310" s="165" t="s">
        <v>4</v>
      </c>
      <c r="B1310" s="269"/>
      <c r="C1310" s="156"/>
      <c r="D1310" s="156"/>
      <c r="E1310" s="156"/>
      <c r="F1310" s="156"/>
      <c r="G1310" s="156"/>
      <c r="H1310" s="156"/>
      <c r="I1310" s="156"/>
      <c r="J1310" s="274"/>
    </row>
    <row r="1311" spans="1:10" x14ac:dyDescent="0.25">
      <c r="A1311" s="165" t="s">
        <v>5</v>
      </c>
      <c r="B1311" s="269"/>
      <c r="C1311" s="156"/>
      <c r="D1311" s="156"/>
      <c r="E1311" s="156"/>
      <c r="F1311" s="156"/>
      <c r="G1311" s="156"/>
      <c r="H1311" s="156"/>
      <c r="I1311" s="156"/>
      <c r="J1311" s="274"/>
    </row>
    <row r="1312" spans="1:10" x14ac:dyDescent="0.25">
      <c r="A1312" s="165" t="s">
        <v>6</v>
      </c>
      <c r="B1312" s="269"/>
      <c r="C1312" s="156"/>
      <c r="D1312" s="156"/>
      <c r="E1312" s="156"/>
      <c r="F1312" s="156"/>
      <c r="G1312" s="156"/>
      <c r="H1312" s="156"/>
      <c r="I1312" s="156"/>
      <c r="J1312" s="274"/>
    </row>
    <row r="1313" spans="1:10" x14ac:dyDescent="0.25">
      <c r="A1313" s="165" t="s">
        <v>12</v>
      </c>
      <c r="B1313" s="269"/>
      <c r="C1313" s="156"/>
      <c r="D1313" s="156"/>
      <c r="E1313" s="156"/>
      <c r="F1313" s="156"/>
      <c r="G1313" s="156"/>
      <c r="H1313" s="156"/>
      <c r="I1313" s="156"/>
      <c r="J1313" s="274"/>
    </row>
    <row r="1314" spans="1:10" x14ac:dyDescent="0.25">
      <c r="A1314" s="165" t="s">
        <v>7</v>
      </c>
      <c r="B1314" s="269"/>
      <c r="C1314" s="156"/>
      <c r="D1314" s="156"/>
      <c r="E1314" s="156"/>
      <c r="F1314" s="156"/>
      <c r="G1314" s="156"/>
      <c r="H1314" s="156"/>
      <c r="I1314" s="156"/>
      <c r="J1314" s="274"/>
    </row>
    <row r="1315" spans="1:10" x14ac:dyDescent="0.25">
      <c r="A1315" s="165" t="s">
        <v>167</v>
      </c>
      <c r="B1315" s="269"/>
      <c r="C1315" s="156"/>
      <c r="D1315" s="156"/>
      <c r="E1315" s="156"/>
      <c r="F1315" s="156"/>
      <c r="G1315" s="156"/>
      <c r="H1315" s="156"/>
      <c r="I1315" s="156"/>
      <c r="J1315" s="274"/>
    </row>
    <row r="1316" spans="1:10" x14ac:dyDescent="0.25">
      <c r="A1316" s="165" t="s">
        <v>168</v>
      </c>
      <c r="B1316" s="269"/>
      <c r="C1316" s="156"/>
      <c r="D1316" s="156"/>
      <c r="E1316" s="156"/>
      <c r="F1316" s="156"/>
      <c r="G1316" s="156"/>
      <c r="H1316" s="156"/>
      <c r="I1316" s="156"/>
      <c r="J1316" s="274"/>
    </row>
    <row r="1317" spans="1:10" x14ac:dyDescent="0.25">
      <c r="A1317" s="165" t="s">
        <v>169</v>
      </c>
      <c r="B1317" s="269"/>
      <c r="C1317" s="156"/>
      <c r="D1317" s="156"/>
      <c r="E1317" s="156"/>
      <c r="F1317" s="156"/>
      <c r="G1317" s="156"/>
      <c r="H1317" s="156"/>
      <c r="I1317" s="156"/>
      <c r="J1317" s="274"/>
    </row>
    <row r="1318" spans="1:10" x14ac:dyDescent="0.25">
      <c r="A1318" s="165" t="s">
        <v>27</v>
      </c>
      <c r="B1318" s="269"/>
      <c r="C1318" s="156"/>
      <c r="D1318" s="156"/>
      <c r="E1318" s="156"/>
      <c r="F1318" s="156"/>
      <c r="G1318" s="156"/>
      <c r="H1318" s="156"/>
      <c r="I1318" s="156"/>
      <c r="J1318" s="274"/>
    </row>
    <row r="1319" spans="1:10" x14ac:dyDescent="0.25">
      <c r="A1319" s="165" t="s">
        <v>170</v>
      </c>
      <c r="B1319" s="269"/>
      <c r="C1319" s="156"/>
      <c r="D1319" s="156"/>
      <c r="E1319" s="156"/>
      <c r="F1319" s="156"/>
      <c r="G1319" s="156"/>
      <c r="H1319" s="156"/>
      <c r="I1319" s="156"/>
      <c r="J1319" s="274"/>
    </row>
    <row r="1320" spans="1:10" x14ac:dyDescent="0.25">
      <c r="A1320" s="166"/>
      <c r="B1320" s="154"/>
      <c r="C1320" s="154"/>
      <c r="D1320" s="154"/>
      <c r="E1320" s="154"/>
      <c r="F1320" s="154"/>
      <c r="G1320" s="154"/>
      <c r="H1320" s="154"/>
      <c r="I1320" s="154"/>
      <c r="J1320" s="154"/>
    </row>
    <row r="1321" spans="1:10" x14ac:dyDescent="0.25">
      <c r="A1321" s="241">
        <v>91</v>
      </c>
      <c r="B1321" s="240"/>
      <c r="C1321" s="162"/>
      <c r="D1321" s="162"/>
      <c r="E1321" s="162"/>
      <c r="F1321" s="162"/>
      <c r="G1321" s="162"/>
      <c r="H1321" s="162"/>
      <c r="I1321" s="162"/>
      <c r="J1321" s="162"/>
    </row>
    <row r="1322" spans="1:10" ht="71.25" x14ac:dyDescent="0.25">
      <c r="A1322" s="164" t="s">
        <v>0</v>
      </c>
      <c r="B1322" s="268"/>
      <c r="C1322" s="155" t="s">
        <v>1</v>
      </c>
      <c r="D1322" s="155"/>
      <c r="E1322" s="155" t="s">
        <v>2</v>
      </c>
      <c r="F1322" s="155"/>
      <c r="G1322" s="155" t="s">
        <v>166</v>
      </c>
      <c r="H1322" s="155"/>
      <c r="I1322" s="155" t="s">
        <v>3</v>
      </c>
      <c r="J1322" s="272"/>
    </row>
    <row r="1323" spans="1:10" x14ac:dyDescent="0.25">
      <c r="A1323" s="165" t="s">
        <v>4</v>
      </c>
      <c r="B1323" s="269"/>
      <c r="C1323" s="157" t="s">
        <v>5</v>
      </c>
      <c r="D1323" s="157"/>
      <c r="E1323" s="157" t="s">
        <v>6</v>
      </c>
      <c r="F1323" s="157"/>
      <c r="G1323" s="157" t="s">
        <v>12</v>
      </c>
      <c r="H1323" s="157"/>
      <c r="I1323" s="157" t="s">
        <v>7</v>
      </c>
      <c r="J1323" s="273"/>
    </row>
    <row r="1324" spans="1:10" x14ac:dyDescent="0.25">
      <c r="A1324" s="165" t="s">
        <v>4</v>
      </c>
      <c r="B1324" s="269"/>
      <c r="C1324" s="156"/>
      <c r="D1324" s="156"/>
      <c r="E1324" s="156"/>
      <c r="F1324" s="156"/>
      <c r="G1324" s="156"/>
      <c r="H1324" s="156"/>
      <c r="I1324" s="156"/>
      <c r="J1324" s="274"/>
    </row>
    <row r="1325" spans="1:10" x14ac:dyDescent="0.25">
      <c r="A1325" s="165" t="s">
        <v>5</v>
      </c>
      <c r="B1325" s="269"/>
      <c r="C1325" s="156"/>
      <c r="D1325" s="156"/>
      <c r="E1325" s="156"/>
      <c r="F1325" s="156"/>
      <c r="G1325" s="156"/>
      <c r="H1325" s="156"/>
      <c r="I1325" s="156"/>
      <c r="J1325" s="274"/>
    </row>
    <row r="1326" spans="1:10" x14ac:dyDescent="0.25">
      <c r="A1326" s="165" t="s">
        <v>6</v>
      </c>
      <c r="B1326" s="269"/>
      <c r="C1326" s="156"/>
      <c r="D1326" s="156"/>
      <c r="E1326" s="156"/>
      <c r="F1326" s="156"/>
      <c r="G1326" s="156"/>
      <c r="H1326" s="156"/>
      <c r="I1326" s="156"/>
      <c r="J1326" s="274"/>
    </row>
    <row r="1327" spans="1:10" x14ac:dyDescent="0.25">
      <c r="A1327" s="165" t="s">
        <v>12</v>
      </c>
      <c r="B1327" s="269"/>
      <c r="C1327" s="156"/>
      <c r="D1327" s="156"/>
      <c r="E1327" s="156"/>
      <c r="F1327" s="156"/>
      <c r="G1327" s="156"/>
      <c r="H1327" s="156"/>
      <c r="I1327" s="156"/>
      <c r="J1327" s="274"/>
    </row>
    <row r="1328" spans="1:10" x14ac:dyDescent="0.25">
      <c r="A1328" s="165" t="s">
        <v>7</v>
      </c>
      <c r="B1328" s="269"/>
      <c r="C1328" s="156"/>
      <c r="D1328" s="156"/>
      <c r="E1328" s="156"/>
      <c r="F1328" s="156"/>
      <c r="G1328" s="156"/>
      <c r="H1328" s="156"/>
      <c r="I1328" s="156"/>
      <c r="J1328" s="274"/>
    </row>
    <row r="1329" spans="1:10" x14ac:dyDescent="0.25">
      <c r="A1329" s="165" t="s">
        <v>167</v>
      </c>
      <c r="B1329" s="269"/>
      <c r="C1329" s="156"/>
      <c r="D1329" s="156"/>
      <c r="E1329" s="156"/>
      <c r="F1329" s="156"/>
      <c r="G1329" s="156"/>
      <c r="H1329" s="156"/>
      <c r="I1329" s="156"/>
      <c r="J1329" s="274"/>
    </row>
    <row r="1330" spans="1:10" x14ac:dyDescent="0.25">
      <c r="A1330" s="165" t="s">
        <v>168</v>
      </c>
      <c r="B1330" s="269"/>
      <c r="C1330" s="156"/>
      <c r="D1330" s="156"/>
      <c r="E1330" s="156"/>
      <c r="F1330" s="156"/>
      <c r="G1330" s="156"/>
      <c r="H1330" s="156"/>
      <c r="I1330" s="156"/>
      <c r="J1330" s="274"/>
    </row>
    <row r="1331" spans="1:10" x14ac:dyDescent="0.25">
      <c r="A1331" s="165" t="s">
        <v>169</v>
      </c>
      <c r="B1331" s="269"/>
      <c r="C1331" s="156"/>
      <c r="D1331" s="156"/>
      <c r="E1331" s="156"/>
      <c r="F1331" s="156"/>
      <c r="G1331" s="156"/>
      <c r="H1331" s="156"/>
      <c r="I1331" s="156"/>
      <c r="J1331" s="274"/>
    </row>
    <row r="1332" spans="1:10" x14ac:dyDescent="0.25">
      <c r="A1332" s="165" t="s">
        <v>27</v>
      </c>
      <c r="B1332" s="269"/>
      <c r="C1332" s="156"/>
      <c r="D1332" s="156"/>
      <c r="E1332" s="156"/>
      <c r="F1332" s="156"/>
      <c r="G1332" s="156"/>
      <c r="H1332" s="156"/>
      <c r="I1332" s="156"/>
      <c r="J1332" s="274"/>
    </row>
    <row r="1333" spans="1:10" x14ac:dyDescent="0.25">
      <c r="A1333" s="165" t="s">
        <v>170</v>
      </c>
      <c r="B1333" s="269"/>
      <c r="C1333" s="156"/>
      <c r="D1333" s="156"/>
      <c r="E1333" s="156"/>
      <c r="F1333" s="156"/>
      <c r="G1333" s="156"/>
      <c r="H1333" s="156"/>
      <c r="I1333" s="156"/>
      <c r="J1333" s="274"/>
    </row>
    <row r="1337" spans="1:10" x14ac:dyDescent="0.25">
      <c r="A1337" s="241">
        <v>92</v>
      </c>
      <c r="B1337" s="240"/>
      <c r="C1337" s="162"/>
      <c r="D1337" s="162"/>
      <c r="E1337" s="162"/>
      <c r="F1337" s="162"/>
      <c r="G1337" s="162"/>
      <c r="H1337" s="162"/>
      <c r="I1337" s="162"/>
      <c r="J1337" s="162"/>
    </row>
    <row r="1338" spans="1:10" ht="71.25" x14ac:dyDescent="0.25">
      <c r="A1338" s="164" t="s">
        <v>0</v>
      </c>
      <c r="B1338" s="268"/>
      <c r="C1338" s="155" t="s">
        <v>1</v>
      </c>
      <c r="D1338" s="155"/>
      <c r="E1338" s="155" t="s">
        <v>2</v>
      </c>
      <c r="F1338" s="155"/>
      <c r="G1338" s="155" t="s">
        <v>166</v>
      </c>
      <c r="H1338" s="155"/>
      <c r="I1338" s="155" t="s">
        <v>3</v>
      </c>
      <c r="J1338" s="272"/>
    </row>
    <row r="1339" spans="1:10" x14ac:dyDescent="0.25">
      <c r="A1339" s="165" t="s">
        <v>4</v>
      </c>
      <c r="B1339" s="269"/>
      <c r="C1339" s="157" t="s">
        <v>5</v>
      </c>
      <c r="D1339" s="157"/>
      <c r="E1339" s="157" t="s">
        <v>6</v>
      </c>
      <c r="F1339" s="157"/>
      <c r="G1339" s="157" t="s">
        <v>12</v>
      </c>
      <c r="H1339" s="157"/>
      <c r="I1339" s="157" t="s">
        <v>7</v>
      </c>
      <c r="J1339" s="273"/>
    </row>
    <row r="1340" spans="1:10" x14ac:dyDescent="0.25">
      <c r="A1340" s="165" t="s">
        <v>4</v>
      </c>
      <c r="B1340" s="269"/>
      <c r="C1340" s="156"/>
      <c r="D1340" s="156"/>
      <c r="E1340" s="156"/>
      <c r="F1340" s="156"/>
      <c r="G1340" s="156"/>
      <c r="H1340" s="156"/>
      <c r="I1340" s="156"/>
      <c r="J1340" s="274"/>
    </row>
    <row r="1341" spans="1:10" x14ac:dyDescent="0.25">
      <c r="A1341" s="165" t="s">
        <v>5</v>
      </c>
      <c r="B1341" s="269"/>
      <c r="C1341" s="156"/>
      <c r="D1341" s="156"/>
      <c r="E1341" s="156"/>
      <c r="F1341" s="156"/>
      <c r="G1341" s="156"/>
      <c r="H1341" s="156"/>
      <c r="I1341" s="156"/>
      <c r="J1341" s="274"/>
    </row>
    <row r="1342" spans="1:10" x14ac:dyDescent="0.25">
      <c r="A1342" s="165" t="s">
        <v>6</v>
      </c>
      <c r="B1342" s="269"/>
      <c r="C1342" s="156"/>
      <c r="D1342" s="156"/>
      <c r="E1342" s="156"/>
      <c r="F1342" s="156"/>
      <c r="G1342" s="156"/>
      <c r="H1342" s="156"/>
      <c r="I1342" s="156"/>
      <c r="J1342" s="274"/>
    </row>
    <row r="1343" spans="1:10" x14ac:dyDescent="0.25">
      <c r="A1343" s="165" t="s">
        <v>12</v>
      </c>
      <c r="B1343" s="269"/>
      <c r="C1343" s="156"/>
      <c r="D1343" s="156"/>
      <c r="E1343" s="156"/>
      <c r="F1343" s="156"/>
      <c r="G1343" s="156"/>
      <c r="H1343" s="156"/>
      <c r="I1343" s="156"/>
      <c r="J1343" s="274"/>
    </row>
    <row r="1344" spans="1:10" x14ac:dyDescent="0.25">
      <c r="A1344" s="165" t="s">
        <v>7</v>
      </c>
      <c r="B1344" s="269"/>
      <c r="C1344" s="156"/>
      <c r="D1344" s="156"/>
      <c r="E1344" s="156"/>
      <c r="F1344" s="156"/>
      <c r="G1344" s="156"/>
      <c r="H1344" s="156"/>
      <c r="I1344" s="156"/>
      <c r="J1344" s="274"/>
    </row>
    <row r="1345" spans="1:10" x14ac:dyDescent="0.25">
      <c r="A1345" s="165" t="s">
        <v>167</v>
      </c>
      <c r="B1345" s="269"/>
      <c r="C1345" s="156"/>
      <c r="D1345" s="156"/>
      <c r="E1345" s="156"/>
      <c r="F1345" s="156"/>
      <c r="G1345" s="156"/>
      <c r="H1345" s="156"/>
      <c r="I1345" s="156"/>
      <c r="J1345" s="274"/>
    </row>
    <row r="1346" spans="1:10" x14ac:dyDescent="0.25">
      <c r="A1346" s="165" t="s">
        <v>168</v>
      </c>
      <c r="B1346" s="269"/>
      <c r="C1346" s="156"/>
      <c r="D1346" s="156"/>
      <c r="E1346" s="156"/>
      <c r="F1346" s="156"/>
      <c r="G1346" s="156"/>
      <c r="H1346" s="156"/>
      <c r="I1346" s="156"/>
      <c r="J1346" s="274"/>
    </row>
    <row r="1347" spans="1:10" x14ac:dyDescent="0.25">
      <c r="A1347" s="165" t="s">
        <v>169</v>
      </c>
      <c r="B1347" s="269"/>
      <c r="C1347" s="156"/>
      <c r="D1347" s="156"/>
      <c r="E1347" s="156"/>
      <c r="F1347" s="156"/>
      <c r="G1347" s="156"/>
      <c r="H1347" s="156"/>
      <c r="I1347" s="156"/>
      <c r="J1347" s="274"/>
    </row>
    <row r="1348" spans="1:10" x14ac:dyDescent="0.25">
      <c r="A1348" s="165" t="s">
        <v>27</v>
      </c>
      <c r="B1348" s="269"/>
      <c r="C1348" s="156"/>
      <c r="D1348" s="156"/>
      <c r="E1348" s="156"/>
      <c r="F1348" s="156"/>
      <c r="G1348" s="156"/>
      <c r="H1348" s="156"/>
      <c r="I1348" s="156"/>
      <c r="J1348" s="274"/>
    </row>
    <row r="1349" spans="1:10" x14ac:dyDescent="0.25">
      <c r="A1349" s="165" t="s">
        <v>170</v>
      </c>
      <c r="B1349" s="269"/>
      <c r="C1349" s="156"/>
      <c r="D1349" s="156"/>
      <c r="E1349" s="156"/>
      <c r="F1349" s="156"/>
      <c r="G1349" s="156"/>
      <c r="H1349" s="156"/>
      <c r="I1349" s="156"/>
      <c r="J1349" s="274"/>
    </row>
    <row r="1350" spans="1:10" x14ac:dyDescent="0.25">
      <c r="A1350" s="166"/>
      <c r="B1350" s="154"/>
      <c r="C1350" s="154"/>
      <c r="D1350" s="154"/>
      <c r="E1350" s="154"/>
      <c r="F1350" s="154"/>
      <c r="G1350" s="154"/>
      <c r="H1350" s="154"/>
      <c r="I1350" s="154"/>
      <c r="J1350" s="154"/>
    </row>
    <row r="1351" spans="1:10" x14ac:dyDescent="0.25">
      <c r="A1351" s="241">
        <v>93</v>
      </c>
      <c r="B1351" s="240"/>
      <c r="C1351" s="162"/>
      <c r="D1351" s="162"/>
      <c r="E1351" s="162"/>
      <c r="F1351" s="162"/>
      <c r="G1351" s="162"/>
      <c r="H1351" s="162"/>
      <c r="I1351" s="162"/>
      <c r="J1351" s="162"/>
    </row>
    <row r="1352" spans="1:10" ht="71.25" x14ac:dyDescent="0.25">
      <c r="A1352" s="164" t="s">
        <v>0</v>
      </c>
      <c r="B1352" s="268"/>
      <c r="C1352" s="155" t="s">
        <v>1</v>
      </c>
      <c r="D1352" s="155"/>
      <c r="E1352" s="155" t="s">
        <v>2</v>
      </c>
      <c r="F1352" s="155"/>
      <c r="G1352" s="155" t="s">
        <v>166</v>
      </c>
      <c r="H1352" s="155"/>
      <c r="I1352" s="155" t="s">
        <v>3</v>
      </c>
      <c r="J1352" s="272"/>
    </row>
    <row r="1353" spans="1:10" x14ac:dyDescent="0.25">
      <c r="A1353" s="165" t="s">
        <v>4</v>
      </c>
      <c r="B1353" s="269"/>
      <c r="C1353" s="157" t="s">
        <v>5</v>
      </c>
      <c r="D1353" s="157"/>
      <c r="E1353" s="157" t="s">
        <v>6</v>
      </c>
      <c r="F1353" s="157"/>
      <c r="G1353" s="157" t="s">
        <v>12</v>
      </c>
      <c r="H1353" s="157"/>
      <c r="I1353" s="157" t="s">
        <v>7</v>
      </c>
      <c r="J1353" s="273"/>
    </row>
    <row r="1354" spans="1:10" x14ac:dyDescent="0.25">
      <c r="A1354" s="165" t="s">
        <v>4</v>
      </c>
      <c r="B1354" s="269"/>
      <c r="C1354" s="156"/>
      <c r="D1354" s="156"/>
      <c r="E1354" s="156"/>
      <c r="F1354" s="156"/>
      <c r="G1354" s="156"/>
      <c r="H1354" s="156"/>
      <c r="I1354" s="156"/>
      <c r="J1354" s="274"/>
    </row>
    <row r="1355" spans="1:10" x14ac:dyDescent="0.25">
      <c r="A1355" s="165" t="s">
        <v>5</v>
      </c>
      <c r="B1355" s="269"/>
      <c r="C1355" s="156"/>
      <c r="D1355" s="156"/>
      <c r="E1355" s="156"/>
      <c r="F1355" s="156"/>
      <c r="G1355" s="156"/>
      <c r="H1355" s="156"/>
      <c r="I1355" s="156"/>
      <c r="J1355" s="274"/>
    </row>
    <row r="1356" spans="1:10" x14ac:dyDescent="0.25">
      <c r="A1356" s="165" t="s">
        <v>6</v>
      </c>
      <c r="B1356" s="269"/>
      <c r="C1356" s="156"/>
      <c r="D1356" s="156"/>
      <c r="E1356" s="156"/>
      <c r="F1356" s="156"/>
      <c r="G1356" s="156"/>
      <c r="H1356" s="156"/>
      <c r="I1356" s="156"/>
      <c r="J1356" s="274"/>
    </row>
    <row r="1357" spans="1:10" x14ac:dyDescent="0.25">
      <c r="A1357" s="165" t="s">
        <v>12</v>
      </c>
      <c r="B1357" s="269"/>
      <c r="C1357" s="156"/>
      <c r="D1357" s="156"/>
      <c r="E1357" s="156"/>
      <c r="F1357" s="156"/>
      <c r="G1357" s="156"/>
      <c r="H1357" s="156"/>
      <c r="I1357" s="156"/>
      <c r="J1357" s="274"/>
    </row>
    <row r="1358" spans="1:10" x14ac:dyDescent="0.25">
      <c r="A1358" s="165" t="s">
        <v>7</v>
      </c>
      <c r="B1358" s="269"/>
      <c r="C1358" s="156"/>
      <c r="D1358" s="156"/>
      <c r="E1358" s="156"/>
      <c r="F1358" s="156"/>
      <c r="G1358" s="156"/>
      <c r="H1358" s="156"/>
      <c r="I1358" s="156"/>
      <c r="J1358" s="274"/>
    </row>
    <row r="1359" spans="1:10" x14ac:dyDescent="0.25">
      <c r="A1359" s="165" t="s">
        <v>167</v>
      </c>
      <c r="B1359" s="269"/>
      <c r="C1359" s="156"/>
      <c r="D1359" s="156"/>
      <c r="E1359" s="156"/>
      <c r="F1359" s="156"/>
      <c r="G1359" s="156"/>
      <c r="H1359" s="156"/>
      <c r="I1359" s="156"/>
      <c r="J1359" s="274"/>
    </row>
    <row r="1360" spans="1:10" x14ac:dyDescent="0.25">
      <c r="A1360" s="165" t="s">
        <v>168</v>
      </c>
      <c r="B1360" s="269"/>
      <c r="C1360" s="156"/>
      <c r="D1360" s="156"/>
      <c r="E1360" s="156"/>
      <c r="F1360" s="156"/>
      <c r="G1360" s="156"/>
      <c r="H1360" s="156"/>
      <c r="I1360" s="156"/>
      <c r="J1360" s="274"/>
    </row>
    <row r="1361" spans="1:10" x14ac:dyDescent="0.25">
      <c r="A1361" s="165" t="s">
        <v>169</v>
      </c>
      <c r="B1361" s="269"/>
      <c r="C1361" s="156"/>
      <c r="D1361" s="156"/>
      <c r="E1361" s="156"/>
      <c r="F1361" s="156"/>
      <c r="G1361" s="156"/>
      <c r="H1361" s="156"/>
      <c r="I1361" s="156"/>
      <c r="J1361" s="274"/>
    </row>
    <row r="1362" spans="1:10" x14ac:dyDescent="0.25">
      <c r="A1362" s="165" t="s">
        <v>27</v>
      </c>
      <c r="B1362" s="269"/>
      <c r="C1362" s="156"/>
      <c r="D1362" s="156"/>
      <c r="E1362" s="156"/>
      <c r="F1362" s="156"/>
      <c r="G1362" s="156"/>
      <c r="H1362" s="156"/>
      <c r="I1362" s="156"/>
      <c r="J1362" s="274"/>
    </row>
    <row r="1363" spans="1:10" x14ac:dyDescent="0.25">
      <c r="A1363" s="165" t="s">
        <v>170</v>
      </c>
      <c r="B1363" s="269"/>
      <c r="C1363" s="156"/>
      <c r="D1363" s="156"/>
      <c r="E1363" s="156"/>
      <c r="F1363" s="156"/>
      <c r="G1363" s="156"/>
      <c r="H1363" s="156"/>
      <c r="I1363" s="156"/>
      <c r="J1363" s="274"/>
    </row>
    <row r="1364" spans="1:10" x14ac:dyDescent="0.25">
      <c r="A1364" s="166"/>
      <c r="B1364" s="154"/>
      <c r="C1364" s="154"/>
      <c r="D1364" s="154"/>
      <c r="E1364" s="154"/>
      <c r="F1364" s="154"/>
      <c r="G1364" s="154"/>
      <c r="H1364" s="154"/>
      <c r="I1364" s="154"/>
      <c r="J1364" s="154"/>
    </row>
    <row r="1365" spans="1:10" x14ac:dyDescent="0.25">
      <c r="A1365" s="241">
        <v>94</v>
      </c>
      <c r="B1365" s="240"/>
      <c r="C1365" s="162"/>
      <c r="D1365" s="162"/>
      <c r="E1365" s="162"/>
      <c r="F1365" s="162"/>
      <c r="G1365" s="162"/>
      <c r="H1365" s="162"/>
      <c r="I1365" s="162"/>
      <c r="J1365" s="162"/>
    </row>
    <row r="1366" spans="1:10" ht="71.25" x14ac:dyDescent="0.25">
      <c r="A1366" s="164" t="s">
        <v>0</v>
      </c>
      <c r="B1366" s="268"/>
      <c r="C1366" s="155" t="s">
        <v>1</v>
      </c>
      <c r="D1366" s="155"/>
      <c r="E1366" s="155" t="s">
        <v>2</v>
      </c>
      <c r="F1366" s="155"/>
      <c r="G1366" s="155" t="s">
        <v>166</v>
      </c>
      <c r="H1366" s="155"/>
      <c r="I1366" s="155" t="s">
        <v>3</v>
      </c>
      <c r="J1366" s="272"/>
    </row>
    <row r="1367" spans="1:10" x14ac:dyDescent="0.25">
      <c r="A1367" s="165" t="s">
        <v>4</v>
      </c>
      <c r="B1367" s="269"/>
      <c r="C1367" s="157" t="s">
        <v>5</v>
      </c>
      <c r="D1367" s="157"/>
      <c r="E1367" s="157" t="s">
        <v>6</v>
      </c>
      <c r="F1367" s="157"/>
      <c r="G1367" s="157" t="s">
        <v>12</v>
      </c>
      <c r="H1367" s="157"/>
      <c r="I1367" s="157" t="s">
        <v>7</v>
      </c>
      <c r="J1367" s="273"/>
    </row>
    <row r="1368" spans="1:10" x14ac:dyDescent="0.25">
      <c r="A1368" s="165" t="s">
        <v>4</v>
      </c>
      <c r="B1368" s="269"/>
      <c r="C1368" s="156"/>
      <c r="D1368" s="156"/>
      <c r="E1368" s="156"/>
      <c r="F1368" s="156"/>
      <c r="G1368" s="156"/>
      <c r="H1368" s="156"/>
      <c r="I1368" s="156"/>
      <c r="J1368" s="274"/>
    </row>
    <row r="1369" spans="1:10" x14ac:dyDescent="0.25">
      <c r="A1369" s="165" t="s">
        <v>5</v>
      </c>
      <c r="B1369" s="269"/>
      <c r="C1369" s="156"/>
      <c r="D1369" s="156"/>
      <c r="E1369" s="156"/>
      <c r="F1369" s="156"/>
      <c r="G1369" s="156"/>
      <c r="H1369" s="156"/>
      <c r="I1369" s="156"/>
      <c r="J1369" s="274"/>
    </row>
    <row r="1370" spans="1:10" x14ac:dyDescent="0.25">
      <c r="A1370" s="165" t="s">
        <v>6</v>
      </c>
      <c r="B1370" s="269"/>
      <c r="C1370" s="156"/>
      <c r="D1370" s="156"/>
      <c r="E1370" s="156"/>
      <c r="F1370" s="156"/>
      <c r="G1370" s="156"/>
      <c r="H1370" s="156"/>
      <c r="I1370" s="156"/>
      <c r="J1370" s="274"/>
    </row>
    <row r="1371" spans="1:10" x14ac:dyDescent="0.25">
      <c r="A1371" s="165" t="s">
        <v>12</v>
      </c>
      <c r="B1371" s="269"/>
      <c r="C1371" s="156"/>
      <c r="D1371" s="156"/>
      <c r="E1371" s="156"/>
      <c r="F1371" s="156"/>
      <c r="G1371" s="156"/>
      <c r="H1371" s="156"/>
      <c r="I1371" s="156"/>
      <c r="J1371" s="274"/>
    </row>
    <row r="1372" spans="1:10" x14ac:dyDescent="0.25">
      <c r="A1372" s="165" t="s">
        <v>7</v>
      </c>
      <c r="B1372" s="269"/>
      <c r="C1372" s="156"/>
      <c r="D1372" s="156"/>
      <c r="E1372" s="156"/>
      <c r="F1372" s="156"/>
      <c r="G1372" s="156"/>
      <c r="H1372" s="156"/>
      <c r="I1372" s="156"/>
      <c r="J1372" s="274"/>
    </row>
    <row r="1373" spans="1:10" x14ac:dyDescent="0.25">
      <c r="A1373" s="165" t="s">
        <v>167</v>
      </c>
      <c r="B1373" s="269"/>
      <c r="C1373" s="156"/>
      <c r="D1373" s="156"/>
      <c r="E1373" s="156"/>
      <c r="F1373" s="156"/>
      <c r="G1373" s="156"/>
      <c r="H1373" s="156"/>
      <c r="I1373" s="156"/>
      <c r="J1373" s="274"/>
    </row>
    <row r="1374" spans="1:10" x14ac:dyDescent="0.25">
      <c r="A1374" s="165" t="s">
        <v>168</v>
      </c>
      <c r="B1374" s="269"/>
      <c r="C1374" s="156"/>
      <c r="D1374" s="156"/>
      <c r="E1374" s="156"/>
      <c r="F1374" s="156"/>
      <c r="G1374" s="156"/>
      <c r="H1374" s="156"/>
      <c r="I1374" s="156"/>
      <c r="J1374" s="274"/>
    </row>
    <row r="1375" spans="1:10" x14ac:dyDescent="0.25">
      <c r="A1375" s="165" t="s">
        <v>169</v>
      </c>
      <c r="B1375" s="269"/>
      <c r="C1375" s="156"/>
      <c r="D1375" s="156"/>
      <c r="E1375" s="156"/>
      <c r="F1375" s="156"/>
      <c r="G1375" s="156"/>
      <c r="H1375" s="156"/>
      <c r="I1375" s="156"/>
      <c r="J1375" s="274"/>
    </row>
    <row r="1376" spans="1:10" x14ac:dyDescent="0.25">
      <c r="A1376" s="165" t="s">
        <v>27</v>
      </c>
      <c r="B1376" s="269"/>
      <c r="C1376" s="156"/>
      <c r="D1376" s="156"/>
      <c r="E1376" s="156"/>
      <c r="F1376" s="156"/>
      <c r="G1376" s="156"/>
      <c r="H1376" s="156"/>
      <c r="I1376" s="156"/>
      <c r="J1376" s="274"/>
    </row>
    <row r="1377" spans="1:10" x14ac:dyDescent="0.25">
      <c r="A1377" s="165" t="s">
        <v>170</v>
      </c>
      <c r="B1377" s="269"/>
      <c r="C1377" s="156"/>
      <c r="D1377" s="156"/>
      <c r="E1377" s="156"/>
      <c r="F1377" s="156"/>
      <c r="G1377" s="156"/>
      <c r="H1377" s="156"/>
      <c r="I1377" s="156"/>
      <c r="J1377" s="274"/>
    </row>
    <row r="1381" spans="1:10" x14ac:dyDescent="0.25">
      <c r="A1381" s="241">
        <v>95</v>
      </c>
      <c r="B1381" s="240"/>
      <c r="C1381" s="162"/>
      <c r="D1381" s="162"/>
      <c r="E1381" s="162"/>
      <c r="F1381" s="162"/>
      <c r="G1381" s="162"/>
      <c r="H1381" s="162"/>
      <c r="I1381" s="162"/>
      <c r="J1381" s="162"/>
    </row>
    <row r="1382" spans="1:10" ht="71.25" x14ac:dyDescent="0.25">
      <c r="A1382" s="164" t="s">
        <v>0</v>
      </c>
      <c r="B1382" s="268"/>
      <c r="C1382" s="155" t="s">
        <v>1</v>
      </c>
      <c r="D1382" s="155"/>
      <c r="E1382" s="155" t="s">
        <v>2</v>
      </c>
      <c r="F1382" s="155"/>
      <c r="G1382" s="155" t="s">
        <v>166</v>
      </c>
      <c r="H1382" s="155"/>
      <c r="I1382" s="155" t="s">
        <v>3</v>
      </c>
      <c r="J1382" s="272"/>
    </row>
    <row r="1383" spans="1:10" x14ac:dyDescent="0.25">
      <c r="A1383" s="165" t="s">
        <v>4</v>
      </c>
      <c r="B1383" s="269"/>
      <c r="C1383" s="157" t="s">
        <v>5</v>
      </c>
      <c r="D1383" s="157"/>
      <c r="E1383" s="157" t="s">
        <v>6</v>
      </c>
      <c r="F1383" s="157"/>
      <c r="G1383" s="157" t="s">
        <v>12</v>
      </c>
      <c r="H1383" s="157"/>
      <c r="I1383" s="157" t="s">
        <v>7</v>
      </c>
      <c r="J1383" s="273"/>
    </row>
    <row r="1384" spans="1:10" x14ac:dyDescent="0.25">
      <c r="A1384" s="165" t="s">
        <v>4</v>
      </c>
      <c r="B1384" s="269"/>
      <c r="C1384" s="156"/>
      <c r="D1384" s="156"/>
      <c r="E1384" s="156"/>
      <c r="F1384" s="156"/>
      <c r="G1384" s="156"/>
      <c r="H1384" s="156"/>
      <c r="I1384" s="156"/>
      <c r="J1384" s="274"/>
    </row>
    <row r="1385" spans="1:10" x14ac:dyDescent="0.25">
      <c r="A1385" s="165" t="s">
        <v>5</v>
      </c>
      <c r="B1385" s="269"/>
      <c r="C1385" s="156"/>
      <c r="D1385" s="156"/>
      <c r="E1385" s="156"/>
      <c r="F1385" s="156"/>
      <c r="G1385" s="156"/>
      <c r="H1385" s="156"/>
      <c r="I1385" s="156"/>
      <c r="J1385" s="274"/>
    </row>
    <row r="1386" spans="1:10" x14ac:dyDescent="0.25">
      <c r="A1386" s="165" t="s">
        <v>6</v>
      </c>
      <c r="B1386" s="269"/>
      <c r="C1386" s="156"/>
      <c r="D1386" s="156"/>
      <c r="E1386" s="156"/>
      <c r="F1386" s="156"/>
      <c r="G1386" s="156"/>
      <c r="H1386" s="156"/>
      <c r="I1386" s="156"/>
      <c r="J1386" s="274"/>
    </row>
    <row r="1387" spans="1:10" x14ac:dyDescent="0.25">
      <c r="A1387" s="165" t="s">
        <v>12</v>
      </c>
      <c r="B1387" s="269"/>
      <c r="C1387" s="156"/>
      <c r="D1387" s="156"/>
      <c r="E1387" s="156"/>
      <c r="F1387" s="156"/>
      <c r="G1387" s="156"/>
      <c r="H1387" s="156"/>
      <c r="I1387" s="156"/>
      <c r="J1387" s="274"/>
    </row>
    <row r="1388" spans="1:10" x14ac:dyDescent="0.25">
      <c r="A1388" s="165" t="s">
        <v>7</v>
      </c>
      <c r="B1388" s="269"/>
      <c r="C1388" s="156"/>
      <c r="D1388" s="156"/>
      <c r="E1388" s="156"/>
      <c r="F1388" s="156"/>
      <c r="G1388" s="156"/>
      <c r="H1388" s="156"/>
      <c r="I1388" s="156"/>
      <c r="J1388" s="274"/>
    </row>
    <row r="1389" spans="1:10" x14ac:dyDescent="0.25">
      <c r="A1389" s="165" t="s">
        <v>167</v>
      </c>
      <c r="B1389" s="269"/>
      <c r="C1389" s="156"/>
      <c r="D1389" s="156"/>
      <c r="E1389" s="156"/>
      <c r="F1389" s="156"/>
      <c r="G1389" s="156"/>
      <c r="H1389" s="156"/>
      <c r="I1389" s="156"/>
      <c r="J1389" s="274"/>
    </row>
    <row r="1390" spans="1:10" x14ac:dyDescent="0.25">
      <c r="A1390" s="165" t="s">
        <v>168</v>
      </c>
      <c r="B1390" s="269"/>
      <c r="C1390" s="156"/>
      <c r="D1390" s="156"/>
      <c r="E1390" s="156"/>
      <c r="F1390" s="156"/>
      <c r="G1390" s="156"/>
      <c r="H1390" s="156"/>
      <c r="I1390" s="156"/>
      <c r="J1390" s="274"/>
    </row>
    <row r="1391" spans="1:10" x14ac:dyDescent="0.25">
      <c r="A1391" s="165" t="s">
        <v>169</v>
      </c>
      <c r="B1391" s="269"/>
      <c r="C1391" s="156"/>
      <c r="D1391" s="156"/>
      <c r="E1391" s="156"/>
      <c r="F1391" s="156"/>
      <c r="G1391" s="156"/>
      <c r="H1391" s="156"/>
      <c r="I1391" s="156"/>
      <c r="J1391" s="274"/>
    </row>
    <row r="1392" spans="1:10" x14ac:dyDescent="0.25">
      <c r="A1392" s="165" t="s">
        <v>27</v>
      </c>
      <c r="B1392" s="269"/>
      <c r="C1392" s="156"/>
      <c r="D1392" s="156"/>
      <c r="E1392" s="156"/>
      <c r="F1392" s="156"/>
      <c r="G1392" s="156"/>
      <c r="H1392" s="156"/>
      <c r="I1392" s="156"/>
      <c r="J1392" s="274"/>
    </row>
    <row r="1393" spans="1:10" x14ac:dyDescent="0.25">
      <c r="A1393" s="165" t="s">
        <v>170</v>
      </c>
      <c r="B1393" s="269"/>
      <c r="C1393" s="156"/>
      <c r="D1393" s="156"/>
      <c r="E1393" s="156"/>
      <c r="F1393" s="156"/>
      <c r="G1393" s="156"/>
      <c r="H1393" s="156"/>
      <c r="I1393" s="156"/>
      <c r="J1393" s="274"/>
    </row>
    <row r="1394" spans="1:10" x14ac:dyDescent="0.25">
      <c r="A1394" s="166"/>
      <c r="B1394" s="154"/>
      <c r="C1394" s="154"/>
      <c r="D1394" s="154"/>
      <c r="E1394" s="154"/>
      <c r="F1394" s="154"/>
      <c r="G1394" s="154"/>
      <c r="H1394" s="154"/>
      <c r="I1394" s="154"/>
      <c r="J1394" s="154"/>
    </row>
    <row r="1395" spans="1:10" x14ac:dyDescent="0.25">
      <c r="A1395" s="241">
        <v>96</v>
      </c>
      <c r="B1395" s="240"/>
      <c r="C1395" s="162"/>
      <c r="D1395" s="162"/>
      <c r="E1395" s="162"/>
      <c r="F1395" s="162"/>
      <c r="G1395" s="162"/>
      <c r="H1395" s="162"/>
      <c r="I1395" s="162"/>
      <c r="J1395" s="162"/>
    </row>
    <row r="1396" spans="1:10" ht="71.25" x14ac:dyDescent="0.25">
      <c r="A1396" s="164" t="s">
        <v>0</v>
      </c>
      <c r="B1396" s="268"/>
      <c r="C1396" s="155" t="s">
        <v>1</v>
      </c>
      <c r="D1396" s="155"/>
      <c r="E1396" s="155" t="s">
        <v>2</v>
      </c>
      <c r="F1396" s="155"/>
      <c r="G1396" s="155" t="s">
        <v>166</v>
      </c>
      <c r="H1396" s="155"/>
      <c r="I1396" s="155" t="s">
        <v>3</v>
      </c>
      <c r="J1396" s="272"/>
    </row>
    <row r="1397" spans="1:10" x14ac:dyDescent="0.25">
      <c r="A1397" s="165" t="s">
        <v>4</v>
      </c>
      <c r="B1397" s="269"/>
      <c r="C1397" s="157" t="s">
        <v>5</v>
      </c>
      <c r="D1397" s="157"/>
      <c r="E1397" s="157" t="s">
        <v>6</v>
      </c>
      <c r="F1397" s="157"/>
      <c r="G1397" s="157" t="s">
        <v>12</v>
      </c>
      <c r="H1397" s="157"/>
      <c r="I1397" s="157" t="s">
        <v>7</v>
      </c>
      <c r="J1397" s="273"/>
    </row>
    <row r="1398" spans="1:10" x14ac:dyDescent="0.25">
      <c r="A1398" s="165" t="s">
        <v>4</v>
      </c>
      <c r="B1398" s="269"/>
      <c r="C1398" s="156"/>
      <c r="D1398" s="156"/>
      <c r="E1398" s="156"/>
      <c r="F1398" s="156"/>
      <c r="G1398" s="156"/>
      <c r="H1398" s="156"/>
      <c r="I1398" s="156"/>
      <c r="J1398" s="274"/>
    </row>
    <row r="1399" spans="1:10" x14ac:dyDescent="0.25">
      <c r="A1399" s="165" t="s">
        <v>5</v>
      </c>
      <c r="B1399" s="269"/>
      <c r="C1399" s="156"/>
      <c r="D1399" s="156"/>
      <c r="E1399" s="156"/>
      <c r="F1399" s="156"/>
      <c r="G1399" s="156"/>
      <c r="H1399" s="156"/>
      <c r="I1399" s="156"/>
      <c r="J1399" s="274"/>
    </row>
    <row r="1400" spans="1:10" x14ac:dyDescent="0.25">
      <c r="A1400" s="165" t="s">
        <v>6</v>
      </c>
      <c r="B1400" s="269"/>
      <c r="C1400" s="156"/>
      <c r="D1400" s="156"/>
      <c r="E1400" s="156"/>
      <c r="F1400" s="156"/>
      <c r="G1400" s="156"/>
      <c r="H1400" s="156"/>
      <c r="I1400" s="156"/>
      <c r="J1400" s="274"/>
    </row>
    <row r="1401" spans="1:10" x14ac:dyDescent="0.25">
      <c r="A1401" s="165" t="s">
        <v>12</v>
      </c>
      <c r="B1401" s="269"/>
      <c r="C1401" s="156"/>
      <c r="D1401" s="156"/>
      <c r="E1401" s="156"/>
      <c r="F1401" s="156"/>
      <c r="G1401" s="156"/>
      <c r="H1401" s="156"/>
      <c r="I1401" s="156"/>
      <c r="J1401" s="274"/>
    </row>
    <row r="1402" spans="1:10" x14ac:dyDescent="0.25">
      <c r="A1402" s="165" t="s">
        <v>7</v>
      </c>
      <c r="B1402" s="269"/>
      <c r="C1402" s="156"/>
      <c r="D1402" s="156"/>
      <c r="E1402" s="156"/>
      <c r="F1402" s="156"/>
      <c r="G1402" s="156"/>
      <c r="H1402" s="156"/>
      <c r="I1402" s="156"/>
      <c r="J1402" s="274"/>
    </row>
    <row r="1403" spans="1:10" x14ac:dyDescent="0.25">
      <c r="A1403" s="165" t="s">
        <v>167</v>
      </c>
      <c r="B1403" s="269"/>
      <c r="C1403" s="156"/>
      <c r="D1403" s="156"/>
      <c r="E1403" s="156"/>
      <c r="F1403" s="156"/>
      <c r="G1403" s="156"/>
      <c r="H1403" s="156"/>
      <c r="I1403" s="156"/>
      <c r="J1403" s="274"/>
    </row>
    <row r="1404" spans="1:10" x14ac:dyDescent="0.25">
      <c r="A1404" s="165" t="s">
        <v>168</v>
      </c>
      <c r="B1404" s="269"/>
      <c r="C1404" s="156"/>
      <c r="D1404" s="156"/>
      <c r="E1404" s="156"/>
      <c r="F1404" s="156"/>
      <c r="G1404" s="156"/>
      <c r="H1404" s="156"/>
      <c r="I1404" s="156"/>
      <c r="J1404" s="274"/>
    </row>
    <row r="1405" spans="1:10" x14ac:dyDescent="0.25">
      <c r="A1405" s="165" t="s">
        <v>169</v>
      </c>
      <c r="B1405" s="269"/>
      <c r="C1405" s="156"/>
      <c r="D1405" s="156"/>
      <c r="E1405" s="156"/>
      <c r="F1405" s="156"/>
      <c r="G1405" s="156"/>
      <c r="H1405" s="156"/>
      <c r="I1405" s="156"/>
      <c r="J1405" s="274"/>
    </row>
    <row r="1406" spans="1:10" x14ac:dyDescent="0.25">
      <c r="A1406" s="165" t="s">
        <v>27</v>
      </c>
      <c r="B1406" s="269"/>
      <c r="C1406" s="156"/>
      <c r="D1406" s="156"/>
      <c r="E1406" s="156"/>
      <c r="F1406" s="156"/>
      <c r="G1406" s="156"/>
      <c r="H1406" s="156"/>
      <c r="I1406" s="156"/>
      <c r="J1406" s="274"/>
    </row>
    <row r="1407" spans="1:10" x14ac:dyDescent="0.25">
      <c r="A1407" s="165" t="s">
        <v>170</v>
      </c>
      <c r="B1407" s="269"/>
      <c r="C1407" s="156"/>
      <c r="D1407" s="156"/>
      <c r="E1407" s="156"/>
      <c r="F1407" s="156"/>
      <c r="G1407" s="156"/>
      <c r="H1407" s="156"/>
      <c r="I1407" s="156"/>
      <c r="J1407" s="274"/>
    </row>
    <row r="1408" spans="1:10" x14ac:dyDescent="0.25">
      <c r="A1408" s="166"/>
      <c r="B1408" s="154"/>
      <c r="C1408" s="154"/>
      <c r="D1408" s="154"/>
      <c r="E1408" s="154"/>
      <c r="F1408" s="154"/>
      <c r="G1408" s="154"/>
      <c r="H1408" s="154"/>
      <c r="I1408" s="154"/>
      <c r="J1408" s="154"/>
    </row>
    <row r="1409" spans="1:10" x14ac:dyDescent="0.25">
      <c r="A1409" s="241">
        <v>97</v>
      </c>
      <c r="B1409" s="240"/>
      <c r="C1409" s="162"/>
      <c r="D1409" s="162"/>
      <c r="E1409" s="162"/>
      <c r="F1409" s="162"/>
      <c r="G1409" s="162"/>
      <c r="H1409" s="162"/>
      <c r="I1409" s="162"/>
      <c r="J1409" s="162"/>
    </row>
    <row r="1410" spans="1:10" ht="71.25" x14ac:dyDescent="0.25">
      <c r="A1410" s="164" t="s">
        <v>0</v>
      </c>
      <c r="B1410" s="268"/>
      <c r="C1410" s="155" t="s">
        <v>1</v>
      </c>
      <c r="D1410" s="155"/>
      <c r="E1410" s="155" t="s">
        <v>2</v>
      </c>
      <c r="F1410" s="155"/>
      <c r="G1410" s="155" t="s">
        <v>166</v>
      </c>
      <c r="H1410" s="155"/>
      <c r="I1410" s="155" t="s">
        <v>3</v>
      </c>
      <c r="J1410" s="272"/>
    </row>
    <row r="1411" spans="1:10" x14ac:dyDescent="0.25">
      <c r="A1411" s="165" t="s">
        <v>4</v>
      </c>
      <c r="B1411" s="269"/>
      <c r="C1411" s="157" t="s">
        <v>5</v>
      </c>
      <c r="D1411" s="157"/>
      <c r="E1411" s="157" t="s">
        <v>6</v>
      </c>
      <c r="F1411" s="157"/>
      <c r="G1411" s="157" t="s">
        <v>12</v>
      </c>
      <c r="H1411" s="157"/>
      <c r="I1411" s="157" t="s">
        <v>7</v>
      </c>
      <c r="J1411" s="273"/>
    </row>
    <row r="1412" spans="1:10" x14ac:dyDescent="0.25">
      <c r="A1412" s="165" t="s">
        <v>4</v>
      </c>
      <c r="B1412" s="269"/>
      <c r="C1412" s="156"/>
      <c r="D1412" s="156"/>
      <c r="E1412" s="156"/>
      <c r="F1412" s="156"/>
      <c r="G1412" s="156"/>
      <c r="H1412" s="156"/>
      <c r="I1412" s="156"/>
      <c r="J1412" s="274"/>
    </row>
    <row r="1413" spans="1:10" x14ac:dyDescent="0.25">
      <c r="A1413" s="165" t="s">
        <v>5</v>
      </c>
      <c r="B1413" s="269"/>
      <c r="C1413" s="156"/>
      <c r="D1413" s="156"/>
      <c r="E1413" s="156"/>
      <c r="F1413" s="156"/>
      <c r="G1413" s="156"/>
      <c r="H1413" s="156"/>
      <c r="I1413" s="156"/>
      <c r="J1413" s="274"/>
    </row>
    <row r="1414" spans="1:10" x14ac:dyDescent="0.25">
      <c r="A1414" s="165" t="s">
        <v>6</v>
      </c>
      <c r="B1414" s="269"/>
      <c r="C1414" s="156"/>
      <c r="D1414" s="156"/>
      <c r="E1414" s="156"/>
      <c r="F1414" s="156"/>
      <c r="G1414" s="156"/>
      <c r="H1414" s="156"/>
      <c r="I1414" s="156"/>
      <c r="J1414" s="274"/>
    </row>
    <row r="1415" spans="1:10" x14ac:dyDescent="0.25">
      <c r="A1415" s="165" t="s">
        <v>12</v>
      </c>
      <c r="B1415" s="269"/>
      <c r="C1415" s="156"/>
      <c r="D1415" s="156"/>
      <c r="E1415" s="156"/>
      <c r="F1415" s="156"/>
      <c r="G1415" s="156"/>
      <c r="H1415" s="156"/>
      <c r="I1415" s="156"/>
      <c r="J1415" s="274"/>
    </row>
    <row r="1416" spans="1:10" x14ac:dyDescent="0.25">
      <c r="A1416" s="165" t="s">
        <v>7</v>
      </c>
      <c r="B1416" s="269"/>
      <c r="C1416" s="156"/>
      <c r="D1416" s="156"/>
      <c r="E1416" s="156"/>
      <c r="F1416" s="156"/>
      <c r="G1416" s="156"/>
      <c r="H1416" s="156"/>
      <c r="I1416" s="156"/>
      <c r="J1416" s="274"/>
    </row>
    <row r="1417" spans="1:10" x14ac:dyDescent="0.25">
      <c r="A1417" s="165" t="s">
        <v>167</v>
      </c>
      <c r="B1417" s="269"/>
      <c r="C1417" s="156"/>
      <c r="D1417" s="156"/>
      <c r="E1417" s="156"/>
      <c r="F1417" s="156"/>
      <c r="G1417" s="156"/>
      <c r="H1417" s="156"/>
      <c r="I1417" s="156"/>
      <c r="J1417" s="274"/>
    </row>
    <row r="1418" spans="1:10" x14ac:dyDescent="0.25">
      <c r="A1418" s="165" t="s">
        <v>168</v>
      </c>
      <c r="B1418" s="269"/>
      <c r="C1418" s="156"/>
      <c r="D1418" s="156"/>
      <c r="E1418" s="156"/>
      <c r="F1418" s="156"/>
      <c r="G1418" s="156"/>
      <c r="H1418" s="156"/>
      <c r="I1418" s="156"/>
      <c r="J1418" s="274"/>
    </row>
    <row r="1419" spans="1:10" x14ac:dyDescent="0.25">
      <c r="A1419" s="165" t="s">
        <v>169</v>
      </c>
      <c r="B1419" s="269"/>
      <c r="C1419" s="156"/>
      <c r="D1419" s="156"/>
      <c r="E1419" s="156"/>
      <c r="F1419" s="156"/>
      <c r="G1419" s="156"/>
      <c r="H1419" s="156"/>
      <c r="I1419" s="156"/>
      <c r="J1419" s="274"/>
    </row>
    <row r="1420" spans="1:10" x14ac:dyDescent="0.25">
      <c r="A1420" s="165" t="s">
        <v>27</v>
      </c>
      <c r="B1420" s="269"/>
      <c r="C1420" s="156"/>
      <c r="D1420" s="156"/>
      <c r="E1420" s="156"/>
      <c r="F1420" s="156"/>
      <c r="G1420" s="156"/>
      <c r="H1420" s="156"/>
      <c r="I1420" s="156"/>
      <c r="J1420" s="274"/>
    </row>
    <row r="1421" spans="1:10" x14ac:dyDescent="0.25">
      <c r="A1421" s="165" t="s">
        <v>170</v>
      </c>
      <c r="B1421" s="269"/>
      <c r="C1421" s="156"/>
      <c r="D1421" s="156"/>
      <c r="E1421" s="156"/>
      <c r="F1421" s="156"/>
      <c r="G1421" s="156"/>
      <c r="H1421" s="156"/>
      <c r="I1421" s="156"/>
      <c r="J1421" s="274"/>
    </row>
    <row r="1425" spans="1:10" x14ac:dyDescent="0.25">
      <c r="A1425" s="241">
        <v>98</v>
      </c>
      <c r="B1425" s="240"/>
      <c r="C1425" s="162"/>
      <c r="D1425" s="162"/>
      <c r="E1425" s="162"/>
      <c r="F1425" s="162"/>
      <c r="G1425" s="162"/>
      <c r="H1425" s="162"/>
      <c r="I1425" s="162"/>
      <c r="J1425" s="162"/>
    </row>
    <row r="1426" spans="1:10" ht="71.25" x14ac:dyDescent="0.25">
      <c r="A1426" s="164" t="s">
        <v>0</v>
      </c>
      <c r="B1426" s="268"/>
      <c r="C1426" s="155" t="s">
        <v>1</v>
      </c>
      <c r="D1426" s="155"/>
      <c r="E1426" s="155" t="s">
        <v>2</v>
      </c>
      <c r="F1426" s="155"/>
      <c r="G1426" s="155" t="s">
        <v>166</v>
      </c>
      <c r="H1426" s="155"/>
      <c r="I1426" s="155" t="s">
        <v>3</v>
      </c>
      <c r="J1426" s="272"/>
    </row>
    <row r="1427" spans="1:10" x14ac:dyDescent="0.25">
      <c r="A1427" s="165" t="s">
        <v>4</v>
      </c>
      <c r="B1427" s="269"/>
      <c r="C1427" s="157" t="s">
        <v>5</v>
      </c>
      <c r="D1427" s="157"/>
      <c r="E1427" s="157" t="s">
        <v>6</v>
      </c>
      <c r="F1427" s="157"/>
      <c r="G1427" s="157" t="s">
        <v>12</v>
      </c>
      <c r="H1427" s="157"/>
      <c r="I1427" s="157" t="s">
        <v>7</v>
      </c>
      <c r="J1427" s="273"/>
    </row>
    <row r="1428" spans="1:10" x14ac:dyDescent="0.25">
      <c r="A1428" s="165" t="s">
        <v>4</v>
      </c>
      <c r="B1428" s="269"/>
      <c r="C1428" s="156"/>
      <c r="D1428" s="156"/>
      <c r="E1428" s="156"/>
      <c r="F1428" s="156"/>
      <c r="G1428" s="156"/>
      <c r="H1428" s="156"/>
      <c r="I1428" s="156"/>
      <c r="J1428" s="274"/>
    </row>
    <row r="1429" spans="1:10" x14ac:dyDescent="0.25">
      <c r="A1429" s="165" t="s">
        <v>5</v>
      </c>
      <c r="B1429" s="269"/>
      <c r="C1429" s="156"/>
      <c r="D1429" s="156"/>
      <c r="E1429" s="156"/>
      <c r="F1429" s="156"/>
      <c r="G1429" s="156"/>
      <c r="H1429" s="156"/>
      <c r="I1429" s="156"/>
      <c r="J1429" s="274"/>
    </row>
    <row r="1430" spans="1:10" x14ac:dyDescent="0.25">
      <c r="A1430" s="165" t="s">
        <v>6</v>
      </c>
      <c r="B1430" s="269"/>
      <c r="C1430" s="156"/>
      <c r="D1430" s="156"/>
      <c r="E1430" s="156"/>
      <c r="F1430" s="156"/>
      <c r="G1430" s="156"/>
      <c r="H1430" s="156"/>
      <c r="I1430" s="156"/>
      <c r="J1430" s="274"/>
    </row>
    <row r="1431" spans="1:10" x14ac:dyDescent="0.25">
      <c r="A1431" s="165" t="s">
        <v>12</v>
      </c>
      <c r="B1431" s="269"/>
      <c r="C1431" s="156"/>
      <c r="D1431" s="156"/>
      <c r="E1431" s="156"/>
      <c r="F1431" s="156"/>
      <c r="G1431" s="156"/>
      <c r="H1431" s="156"/>
      <c r="I1431" s="156"/>
      <c r="J1431" s="274"/>
    </row>
    <row r="1432" spans="1:10" x14ac:dyDescent="0.25">
      <c r="A1432" s="165" t="s">
        <v>7</v>
      </c>
      <c r="B1432" s="269"/>
      <c r="C1432" s="156"/>
      <c r="D1432" s="156"/>
      <c r="E1432" s="156"/>
      <c r="F1432" s="156"/>
      <c r="G1432" s="156"/>
      <c r="H1432" s="156"/>
      <c r="I1432" s="156"/>
      <c r="J1432" s="274"/>
    </row>
    <row r="1433" spans="1:10" x14ac:dyDescent="0.25">
      <c r="A1433" s="165" t="s">
        <v>167</v>
      </c>
      <c r="B1433" s="269"/>
      <c r="C1433" s="156"/>
      <c r="D1433" s="156"/>
      <c r="E1433" s="156"/>
      <c r="F1433" s="156"/>
      <c r="G1433" s="156"/>
      <c r="H1433" s="156"/>
      <c r="I1433" s="156"/>
      <c r="J1433" s="274"/>
    </row>
    <row r="1434" spans="1:10" x14ac:dyDescent="0.25">
      <c r="A1434" s="165" t="s">
        <v>168</v>
      </c>
      <c r="B1434" s="269"/>
      <c r="C1434" s="156"/>
      <c r="D1434" s="156"/>
      <c r="E1434" s="156"/>
      <c r="F1434" s="156"/>
      <c r="G1434" s="156"/>
      <c r="H1434" s="156"/>
      <c r="I1434" s="156"/>
      <c r="J1434" s="274"/>
    </row>
    <row r="1435" spans="1:10" x14ac:dyDescent="0.25">
      <c r="A1435" s="165" t="s">
        <v>169</v>
      </c>
      <c r="B1435" s="269"/>
      <c r="C1435" s="156"/>
      <c r="D1435" s="156"/>
      <c r="E1435" s="156"/>
      <c r="F1435" s="156"/>
      <c r="G1435" s="156"/>
      <c r="H1435" s="156"/>
      <c r="I1435" s="156"/>
      <c r="J1435" s="274"/>
    </row>
    <row r="1436" spans="1:10" x14ac:dyDescent="0.25">
      <c r="A1436" s="165" t="s">
        <v>27</v>
      </c>
      <c r="B1436" s="269"/>
      <c r="C1436" s="156"/>
      <c r="D1436" s="156"/>
      <c r="E1436" s="156"/>
      <c r="F1436" s="156"/>
      <c r="G1436" s="156"/>
      <c r="H1436" s="156"/>
      <c r="I1436" s="156"/>
      <c r="J1436" s="274"/>
    </row>
    <row r="1437" spans="1:10" x14ac:dyDescent="0.25">
      <c r="A1437" s="165" t="s">
        <v>170</v>
      </c>
      <c r="B1437" s="269"/>
      <c r="C1437" s="156"/>
      <c r="D1437" s="156"/>
      <c r="E1437" s="156"/>
      <c r="F1437" s="156"/>
      <c r="G1437" s="156"/>
      <c r="H1437" s="156"/>
      <c r="I1437" s="156"/>
      <c r="J1437" s="274"/>
    </row>
    <row r="1438" spans="1:10" x14ac:dyDescent="0.25">
      <c r="A1438" s="166"/>
      <c r="B1438" s="154"/>
      <c r="C1438" s="154"/>
      <c r="D1438" s="154"/>
      <c r="E1438" s="154"/>
      <c r="F1438" s="154"/>
      <c r="G1438" s="154"/>
      <c r="H1438" s="154"/>
      <c r="I1438" s="154"/>
      <c r="J1438" s="154"/>
    </row>
    <row r="1439" spans="1:10" x14ac:dyDescent="0.25">
      <c r="A1439" s="241">
        <v>99</v>
      </c>
      <c r="B1439" s="240"/>
      <c r="C1439" s="162"/>
      <c r="D1439" s="162"/>
      <c r="E1439" s="162"/>
      <c r="F1439" s="162"/>
      <c r="G1439" s="162"/>
      <c r="H1439" s="162"/>
      <c r="I1439" s="162"/>
      <c r="J1439" s="162"/>
    </row>
    <row r="1440" spans="1:10" ht="71.25" x14ac:dyDescent="0.25">
      <c r="A1440" s="164" t="s">
        <v>0</v>
      </c>
      <c r="B1440" s="268"/>
      <c r="C1440" s="155" t="s">
        <v>1</v>
      </c>
      <c r="D1440" s="155"/>
      <c r="E1440" s="155" t="s">
        <v>2</v>
      </c>
      <c r="F1440" s="155"/>
      <c r="G1440" s="155" t="s">
        <v>166</v>
      </c>
      <c r="H1440" s="155"/>
      <c r="I1440" s="155" t="s">
        <v>3</v>
      </c>
      <c r="J1440" s="272"/>
    </row>
    <row r="1441" spans="1:10" x14ac:dyDescent="0.25">
      <c r="A1441" s="165" t="s">
        <v>4</v>
      </c>
      <c r="B1441" s="269"/>
      <c r="C1441" s="157" t="s">
        <v>5</v>
      </c>
      <c r="D1441" s="157"/>
      <c r="E1441" s="157" t="s">
        <v>6</v>
      </c>
      <c r="F1441" s="157"/>
      <c r="G1441" s="157" t="s">
        <v>12</v>
      </c>
      <c r="H1441" s="157"/>
      <c r="I1441" s="157" t="s">
        <v>7</v>
      </c>
      <c r="J1441" s="273"/>
    </row>
    <row r="1442" spans="1:10" x14ac:dyDescent="0.25">
      <c r="A1442" s="165" t="s">
        <v>4</v>
      </c>
      <c r="B1442" s="269"/>
      <c r="C1442" s="156"/>
      <c r="D1442" s="156"/>
      <c r="E1442" s="156"/>
      <c r="F1442" s="156"/>
      <c r="G1442" s="156"/>
      <c r="H1442" s="156"/>
      <c r="I1442" s="156"/>
      <c r="J1442" s="274"/>
    </row>
    <row r="1443" spans="1:10" x14ac:dyDescent="0.25">
      <c r="A1443" s="165" t="s">
        <v>5</v>
      </c>
      <c r="B1443" s="269"/>
      <c r="C1443" s="156"/>
      <c r="D1443" s="156"/>
      <c r="E1443" s="156"/>
      <c r="F1443" s="156"/>
      <c r="G1443" s="156"/>
      <c r="H1443" s="156"/>
      <c r="I1443" s="156"/>
      <c r="J1443" s="274"/>
    </row>
    <row r="1444" spans="1:10" x14ac:dyDescent="0.25">
      <c r="A1444" s="165" t="s">
        <v>6</v>
      </c>
      <c r="B1444" s="269"/>
      <c r="C1444" s="156"/>
      <c r="D1444" s="156"/>
      <c r="E1444" s="156"/>
      <c r="F1444" s="156"/>
      <c r="G1444" s="156"/>
      <c r="H1444" s="156"/>
      <c r="I1444" s="156"/>
      <c r="J1444" s="274"/>
    </row>
    <row r="1445" spans="1:10" x14ac:dyDescent="0.25">
      <c r="A1445" s="165" t="s">
        <v>12</v>
      </c>
      <c r="B1445" s="269"/>
      <c r="C1445" s="156"/>
      <c r="D1445" s="156"/>
      <c r="E1445" s="156"/>
      <c r="F1445" s="156"/>
      <c r="G1445" s="156"/>
      <c r="H1445" s="156"/>
      <c r="I1445" s="156"/>
      <c r="J1445" s="274"/>
    </row>
    <row r="1446" spans="1:10" x14ac:dyDescent="0.25">
      <c r="A1446" s="165" t="s">
        <v>7</v>
      </c>
      <c r="B1446" s="269"/>
      <c r="C1446" s="156"/>
      <c r="D1446" s="156"/>
      <c r="E1446" s="156"/>
      <c r="F1446" s="156"/>
      <c r="G1446" s="156"/>
      <c r="H1446" s="156"/>
      <c r="I1446" s="156"/>
      <c r="J1446" s="274"/>
    </row>
    <row r="1447" spans="1:10" x14ac:dyDescent="0.25">
      <c r="A1447" s="165" t="s">
        <v>167</v>
      </c>
      <c r="B1447" s="269"/>
      <c r="C1447" s="156"/>
      <c r="D1447" s="156"/>
      <c r="E1447" s="156"/>
      <c r="F1447" s="156"/>
      <c r="G1447" s="156"/>
      <c r="H1447" s="156"/>
      <c r="I1447" s="156"/>
      <c r="J1447" s="274"/>
    </row>
    <row r="1448" spans="1:10" x14ac:dyDescent="0.25">
      <c r="A1448" s="165" t="s">
        <v>168</v>
      </c>
      <c r="B1448" s="269"/>
      <c r="C1448" s="156"/>
      <c r="D1448" s="156"/>
      <c r="E1448" s="156"/>
      <c r="F1448" s="156"/>
      <c r="G1448" s="156"/>
      <c r="H1448" s="156"/>
      <c r="I1448" s="156"/>
      <c r="J1448" s="274"/>
    </row>
    <row r="1449" spans="1:10" x14ac:dyDescent="0.25">
      <c r="A1449" s="165" t="s">
        <v>169</v>
      </c>
      <c r="B1449" s="269"/>
      <c r="C1449" s="156"/>
      <c r="D1449" s="156"/>
      <c r="E1449" s="156"/>
      <c r="F1449" s="156"/>
      <c r="G1449" s="156"/>
      <c r="H1449" s="156"/>
      <c r="I1449" s="156"/>
      <c r="J1449" s="274"/>
    </row>
    <row r="1450" spans="1:10" x14ac:dyDescent="0.25">
      <c r="A1450" s="165" t="s">
        <v>27</v>
      </c>
      <c r="B1450" s="269"/>
      <c r="C1450" s="156"/>
      <c r="D1450" s="156"/>
      <c r="E1450" s="156"/>
      <c r="F1450" s="156"/>
      <c r="G1450" s="156"/>
      <c r="H1450" s="156"/>
      <c r="I1450" s="156"/>
      <c r="J1450" s="274"/>
    </row>
    <row r="1451" spans="1:10" x14ac:dyDescent="0.25">
      <c r="A1451" s="165" t="s">
        <v>170</v>
      </c>
      <c r="B1451" s="269"/>
      <c r="C1451" s="156"/>
      <c r="D1451" s="156"/>
      <c r="E1451" s="156"/>
      <c r="F1451" s="156"/>
      <c r="G1451" s="156"/>
      <c r="H1451" s="156"/>
      <c r="I1451" s="156"/>
      <c r="J1451" s="274"/>
    </row>
    <row r="1452" spans="1:10" x14ac:dyDescent="0.25">
      <c r="A1452" s="166"/>
      <c r="B1452" s="154"/>
      <c r="C1452" s="154"/>
      <c r="D1452" s="154"/>
      <c r="E1452" s="154"/>
      <c r="F1452" s="154"/>
      <c r="G1452" s="154"/>
      <c r="H1452" s="154"/>
      <c r="I1452" s="154"/>
      <c r="J1452" s="154"/>
    </row>
    <row r="1453" spans="1:10" x14ac:dyDescent="0.25">
      <c r="A1453" s="241">
        <v>100</v>
      </c>
      <c r="B1453" s="240"/>
      <c r="C1453" s="162"/>
      <c r="D1453" s="162"/>
      <c r="E1453" s="162"/>
      <c r="F1453" s="162"/>
      <c r="G1453" s="162"/>
      <c r="H1453" s="162"/>
      <c r="I1453" s="162"/>
      <c r="J1453" s="162"/>
    </row>
    <row r="1454" spans="1:10" ht="71.25" x14ac:dyDescent="0.25">
      <c r="A1454" s="164" t="s">
        <v>0</v>
      </c>
      <c r="B1454" s="268"/>
      <c r="C1454" s="155" t="s">
        <v>1</v>
      </c>
      <c r="D1454" s="155"/>
      <c r="E1454" s="155" t="s">
        <v>2</v>
      </c>
      <c r="F1454" s="155"/>
      <c r="G1454" s="155" t="s">
        <v>166</v>
      </c>
      <c r="H1454" s="155"/>
      <c r="I1454" s="155" t="s">
        <v>3</v>
      </c>
      <c r="J1454" s="272"/>
    </row>
    <row r="1455" spans="1:10" x14ac:dyDescent="0.25">
      <c r="A1455" s="165" t="s">
        <v>4</v>
      </c>
      <c r="B1455" s="269"/>
      <c r="C1455" s="157" t="s">
        <v>5</v>
      </c>
      <c r="D1455" s="157"/>
      <c r="E1455" s="157" t="s">
        <v>6</v>
      </c>
      <c r="F1455" s="157"/>
      <c r="G1455" s="157" t="s">
        <v>12</v>
      </c>
      <c r="H1455" s="157"/>
      <c r="I1455" s="157" t="s">
        <v>7</v>
      </c>
      <c r="J1455" s="273"/>
    </row>
    <row r="1456" spans="1:10" x14ac:dyDescent="0.25">
      <c r="A1456" s="165" t="s">
        <v>4</v>
      </c>
      <c r="B1456" s="269"/>
      <c r="C1456" s="156"/>
      <c r="D1456" s="156"/>
      <c r="E1456" s="156"/>
      <c r="F1456" s="156"/>
      <c r="G1456" s="156"/>
      <c r="H1456" s="156"/>
      <c r="I1456" s="156"/>
      <c r="J1456" s="274"/>
    </row>
    <row r="1457" spans="1:10" x14ac:dyDescent="0.25">
      <c r="A1457" s="165" t="s">
        <v>5</v>
      </c>
      <c r="B1457" s="269"/>
      <c r="C1457" s="156"/>
      <c r="D1457" s="156"/>
      <c r="E1457" s="156"/>
      <c r="F1457" s="156"/>
      <c r="G1457" s="156"/>
      <c r="H1457" s="156"/>
      <c r="I1457" s="156"/>
      <c r="J1457" s="274"/>
    </row>
    <row r="1458" spans="1:10" x14ac:dyDescent="0.25">
      <c r="A1458" s="165" t="s">
        <v>6</v>
      </c>
      <c r="B1458" s="269"/>
      <c r="C1458" s="156"/>
      <c r="D1458" s="156"/>
      <c r="E1458" s="156"/>
      <c r="F1458" s="156"/>
      <c r="G1458" s="156"/>
      <c r="H1458" s="156"/>
      <c r="I1458" s="156"/>
      <c r="J1458" s="274"/>
    </row>
    <row r="1459" spans="1:10" x14ac:dyDescent="0.25">
      <c r="A1459" s="165" t="s">
        <v>12</v>
      </c>
      <c r="B1459" s="269"/>
      <c r="C1459" s="156"/>
      <c r="D1459" s="156"/>
      <c r="E1459" s="156"/>
      <c r="F1459" s="156"/>
      <c r="G1459" s="156"/>
      <c r="H1459" s="156"/>
      <c r="I1459" s="156"/>
      <c r="J1459" s="274"/>
    </row>
    <row r="1460" spans="1:10" x14ac:dyDescent="0.25">
      <c r="A1460" s="165" t="s">
        <v>7</v>
      </c>
      <c r="B1460" s="269"/>
      <c r="C1460" s="156"/>
      <c r="D1460" s="156"/>
      <c r="E1460" s="156"/>
      <c r="F1460" s="156"/>
      <c r="G1460" s="156"/>
      <c r="H1460" s="156"/>
      <c r="I1460" s="156"/>
      <c r="J1460" s="274"/>
    </row>
    <row r="1461" spans="1:10" x14ac:dyDescent="0.25">
      <c r="A1461" s="165" t="s">
        <v>167</v>
      </c>
      <c r="B1461" s="269"/>
      <c r="C1461" s="156"/>
      <c r="D1461" s="156"/>
      <c r="E1461" s="156"/>
      <c r="F1461" s="156"/>
      <c r="G1461" s="156"/>
      <c r="H1461" s="156"/>
      <c r="I1461" s="156"/>
      <c r="J1461" s="274"/>
    </row>
    <row r="1462" spans="1:10" x14ac:dyDescent="0.25">
      <c r="A1462" s="165" t="s">
        <v>168</v>
      </c>
      <c r="B1462" s="269"/>
      <c r="C1462" s="156"/>
      <c r="D1462" s="156"/>
      <c r="E1462" s="156"/>
      <c r="F1462" s="156"/>
      <c r="G1462" s="156"/>
      <c r="H1462" s="156"/>
      <c r="I1462" s="156"/>
      <c r="J1462" s="274"/>
    </row>
    <row r="1463" spans="1:10" x14ac:dyDescent="0.25">
      <c r="A1463" s="165" t="s">
        <v>169</v>
      </c>
      <c r="B1463" s="269"/>
      <c r="C1463" s="156"/>
      <c r="D1463" s="156"/>
      <c r="E1463" s="156"/>
      <c r="F1463" s="156"/>
      <c r="G1463" s="156"/>
      <c r="H1463" s="156"/>
      <c r="I1463" s="156"/>
      <c r="J1463" s="274"/>
    </row>
    <row r="1464" spans="1:10" x14ac:dyDescent="0.25">
      <c r="A1464" s="165" t="s">
        <v>27</v>
      </c>
      <c r="B1464" s="269"/>
      <c r="C1464" s="156"/>
      <c r="D1464" s="156"/>
      <c r="E1464" s="156"/>
      <c r="F1464" s="156"/>
      <c r="G1464" s="156"/>
      <c r="H1464" s="156"/>
      <c r="I1464" s="156"/>
      <c r="J1464" s="274"/>
    </row>
    <row r="1465" spans="1:10" x14ac:dyDescent="0.25">
      <c r="A1465" s="165" t="s">
        <v>170</v>
      </c>
      <c r="B1465" s="269"/>
      <c r="C1465" s="156"/>
      <c r="D1465" s="156"/>
      <c r="E1465" s="156"/>
      <c r="F1465" s="156"/>
      <c r="G1465" s="156"/>
      <c r="H1465" s="156"/>
      <c r="I1465" s="156"/>
      <c r="J1465" s="274"/>
    </row>
  </sheetData>
  <mergeCells count="932">
    <mergeCell ref="I53:J53"/>
    <mergeCell ref="C54:D54"/>
    <mergeCell ref="I54:J54"/>
    <mergeCell ref="C49:D49"/>
    <mergeCell ref="I49:J49"/>
    <mergeCell ref="C50:D50"/>
    <mergeCell ref="I50:J50"/>
    <mergeCell ref="C51:D51"/>
    <mergeCell ref="I51:J51"/>
    <mergeCell ref="C52:D52"/>
    <mergeCell ref="I52:J52"/>
    <mergeCell ref="C31:D31"/>
    <mergeCell ref="I31:J31"/>
    <mergeCell ref="C32:D32"/>
    <mergeCell ref="I32:J32"/>
    <mergeCell ref="C56:D56"/>
    <mergeCell ref="I56:J56"/>
    <mergeCell ref="C57:D57"/>
    <mergeCell ref="I57:J57"/>
    <mergeCell ref="C33:D33"/>
    <mergeCell ref="I33:J33"/>
    <mergeCell ref="C34:D34"/>
    <mergeCell ref="I34:J34"/>
    <mergeCell ref="C35:D35"/>
    <mergeCell ref="I35:J35"/>
    <mergeCell ref="C46:D46"/>
    <mergeCell ref="A45:K45"/>
    <mergeCell ref="I46:J46"/>
    <mergeCell ref="C47:D47"/>
    <mergeCell ref="I47:J47"/>
    <mergeCell ref="C48:D48"/>
    <mergeCell ref="I48:J48"/>
    <mergeCell ref="C55:D55"/>
    <mergeCell ref="I55:J55"/>
    <mergeCell ref="C53:D53"/>
    <mergeCell ref="C41:D41"/>
    <mergeCell ref="I41:J41"/>
    <mergeCell ref="C36:D36"/>
    <mergeCell ref="I36:J36"/>
    <mergeCell ref="C37:D37"/>
    <mergeCell ref="I37:J37"/>
    <mergeCell ref="C38:D38"/>
    <mergeCell ref="I38:J38"/>
    <mergeCell ref="C39:D39"/>
    <mergeCell ref="I39:J39"/>
    <mergeCell ref="C40:D40"/>
    <mergeCell ref="I40:J40"/>
    <mergeCell ref="I4:J4"/>
    <mergeCell ref="C5:D5"/>
    <mergeCell ref="I5:J5"/>
    <mergeCell ref="C6:D6"/>
    <mergeCell ref="I6:J6"/>
    <mergeCell ref="C7:D7"/>
    <mergeCell ref="I7:J7"/>
    <mergeCell ref="C2:D2"/>
    <mergeCell ref="A1:K1"/>
    <mergeCell ref="I2:J2"/>
    <mergeCell ref="C3:D3"/>
    <mergeCell ref="I3:J3"/>
    <mergeCell ref="C4:D4"/>
    <mergeCell ref="C8:D8"/>
    <mergeCell ref="I8:J8"/>
    <mergeCell ref="C9:D9"/>
    <mergeCell ref="I9:J9"/>
    <mergeCell ref="C289:D289"/>
    <mergeCell ref="I289:J289"/>
    <mergeCell ref="C290:D290"/>
    <mergeCell ref="I290:J290"/>
    <mergeCell ref="C291:D291"/>
    <mergeCell ref="I291:J291"/>
    <mergeCell ref="C25:D25"/>
    <mergeCell ref="I25:J25"/>
    <mergeCell ref="C26:D26"/>
    <mergeCell ref="I26:J26"/>
    <mergeCell ref="C27:D27"/>
    <mergeCell ref="I27:J27"/>
    <mergeCell ref="C19:D19"/>
    <mergeCell ref="I19:J19"/>
    <mergeCell ref="C20:D20"/>
    <mergeCell ref="I20:J20"/>
    <mergeCell ref="C21:D21"/>
    <mergeCell ref="I21:J21"/>
    <mergeCell ref="C22:D22"/>
    <mergeCell ref="I22:J22"/>
    <mergeCell ref="C288:D288"/>
    <mergeCell ref="I288:J288"/>
    <mergeCell ref="C13:D13"/>
    <mergeCell ref="I13:J13"/>
    <mergeCell ref="C12:D12"/>
    <mergeCell ref="I12:J12"/>
    <mergeCell ref="C10:D10"/>
    <mergeCell ref="I10:J10"/>
    <mergeCell ref="C11:D11"/>
    <mergeCell ref="I11:J11"/>
    <mergeCell ref="C23:D23"/>
    <mergeCell ref="I23:J23"/>
    <mergeCell ref="C16:D16"/>
    <mergeCell ref="A15:K15"/>
    <mergeCell ref="I16:J16"/>
    <mergeCell ref="C17:D17"/>
    <mergeCell ref="I17:J17"/>
    <mergeCell ref="C18:D18"/>
    <mergeCell ref="I18:J18"/>
    <mergeCell ref="C24:D24"/>
    <mergeCell ref="I24:J24"/>
    <mergeCell ref="C30:D30"/>
    <mergeCell ref="A29:K29"/>
    <mergeCell ref="I30:J30"/>
    <mergeCell ref="C283:D283"/>
    <mergeCell ref="I283:J283"/>
    <mergeCell ref="C284:D284"/>
    <mergeCell ref="I284:J284"/>
    <mergeCell ref="C285:D285"/>
    <mergeCell ref="I285:J285"/>
    <mergeCell ref="C286:D286"/>
    <mergeCell ref="I286:J286"/>
    <mergeCell ref="C287:D287"/>
    <mergeCell ref="I287:J287"/>
    <mergeCell ref="C277:D277"/>
    <mergeCell ref="I277:J277"/>
    <mergeCell ref="A279:K279"/>
    <mergeCell ref="C280:D280"/>
    <mergeCell ref="I280:J280"/>
    <mergeCell ref="C281:D281"/>
    <mergeCell ref="I281:J281"/>
    <mergeCell ref="C282:D282"/>
    <mergeCell ref="I282:J282"/>
    <mergeCell ref="I442:J442"/>
    <mergeCell ref="A443:B443"/>
    <mergeCell ref="C443:D443"/>
    <mergeCell ref="E443:F443"/>
    <mergeCell ref="G443:H443"/>
    <mergeCell ref="I443:J443"/>
    <mergeCell ref="A441:E441"/>
    <mergeCell ref="A442:B442"/>
    <mergeCell ref="C442:D442"/>
    <mergeCell ref="E442:F442"/>
    <mergeCell ref="G442:H442"/>
    <mergeCell ref="I272:J272"/>
    <mergeCell ref="C273:D273"/>
    <mergeCell ref="I273:J273"/>
    <mergeCell ref="C274:D274"/>
    <mergeCell ref="I274:J274"/>
    <mergeCell ref="C275:D275"/>
    <mergeCell ref="I275:J275"/>
    <mergeCell ref="C276:D276"/>
    <mergeCell ref="I276:J276"/>
    <mergeCell ref="A265:K265"/>
    <mergeCell ref="A445:B445"/>
    <mergeCell ref="C445:D445"/>
    <mergeCell ref="E445:F445"/>
    <mergeCell ref="G445:H445"/>
    <mergeCell ref="I445:J445"/>
    <mergeCell ref="A444:B444"/>
    <mergeCell ref="C444:D444"/>
    <mergeCell ref="E444:F444"/>
    <mergeCell ref="G444:H444"/>
    <mergeCell ref="I444:J444"/>
    <mergeCell ref="C266:D266"/>
    <mergeCell ref="I266:J266"/>
    <mergeCell ref="C267:D267"/>
    <mergeCell ref="I267:J267"/>
    <mergeCell ref="C268:D268"/>
    <mergeCell ref="I268:J268"/>
    <mergeCell ref="C269:D269"/>
    <mergeCell ref="I269:J269"/>
    <mergeCell ref="C270:D270"/>
    <mergeCell ref="I270:J270"/>
    <mergeCell ref="C271:D271"/>
    <mergeCell ref="I271:J271"/>
    <mergeCell ref="C272:D272"/>
    <mergeCell ref="C257:D257"/>
    <mergeCell ref="I257:J257"/>
    <mergeCell ref="C258:D258"/>
    <mergeCell ref="I258:J258"/>
    <mergeCell ref="C259:D259"/>
    <mergeCell ref="I259:J259"/>
    <mergeCell ref="C260:D260"/>
    <mergeCell ref="I260:J260"/>
    <mergeCell ref="C261:D261"/>
    <mergeCell ref="I261:J261"/>
    <mergeCell ref="C250:D250"/>
    <mergeCell ref="I250:J250"/>
    <mergeCell ref="C251:D251"/>
    <mergeCell ref="A447:B447"/>
    <mergeCell ref="C447:D447"/>
    <mergeCell ref="E447:F447"/>
    <mergeCell ref="G447:H447"/>
    <mergeCell ref="I447:J447"/>
    <mergeCell ref="A446:B446"/>
    <mergeCell ref="C446:D446"/>
    <mergeCell ref="E446:F446"/>
    <mergeCell ref="G446:H446"/>
    <mergeCell ref="I446:J446"/>
    <mergeCell ref="I251:J251"/>
    <mergeCell ref="C252:D252"/>
    <mergeCell ref="I252:J252"/>
    <mergeCell ref="C253:D253"/>
    <mergeCell ref="I253:J253"/>
    <mergeCell ref="C254:D254"/>
    <mergeCell ref="I254:J254"/>
    <mergeCell ref="C255:D255"/>
    <mergeCell ref="I255:J255"/>
    <mergeCell ref="C256:D256"/>
    <mergeCell ref="I256:J256"/>
    <mergeCell ref="C244:D244"/>
    <mergeCell ref="I244:J244"/>
    <mergeCell ref="C245:D245"/>
    <mergeCell ref="I245:J245"/>
    <mergeCell ref="C246:D246"/>
    <mergeCell ref="I246:J246"/>
    <mergeCell ref="C247:D247"/>
    <mergeCell ref="I247:J247"/>
    <mergeCell ref="A249:K249"/>
    <mergeCell ref="C239:D239"/>
    <mergeCell ref="I239:J239"/>
    <mergeCell ref="C240:D240"/>
    <mergeCell ref="I240:J240"/>
    <mergeCell ref="C241:D241"/>
    <mergeCell ref="I241:J241"/>
    <mergeCell ref="C242:D242"/>
    <mergeCell ref="I242:J242"/>
    <mergeCell ref="C243:D243"/>
    <mergeCell ref="I243:J243"/>
    <mergeCell ref="A449:B449"/>
    <mergeCell ref="C449:D449"/>
    <mergeCell ref="E449:F449"/>
    <mergeCell ref="G449:H449"/>
    <mergeCell ref="I449:J449"/>
    <mergeCell ref="A448:B448"/>
    <mergeCell ref="C448:D448"/>
    <mergeCell ref="E448:F448"/>
    <mergeCell ref="G448:H448"/>
    <mergeCell ref="I448:J448"/>
    <mergeCell ref="C233:D233"/>
    <mergeCell ref="I233:J233"/>
    <mergeCell ref="A235:K235"/>
    <mergeCell ref="C236:D236"/>
    <mergeCell ref="I236:J236"/>
    <mergeCell ref="C237:D237"/>
    <mergeCell ref="I237:J237"/>
    <mergeCell ref="C238:D238"/>
    <mergeCell ref="I238:J238"/>
    <mergeCell ref="C226:D226"/>
    <mergeCell ref="A451:B451"/>
    <mergeCell ref="C451:D451"/>
    <mergeCell ref="E451:F451"/>
    <mergeCell ref="G451:H451"/>
    <mergeCell ref="I451:J451"/>
    <mergeCell ref="A450:B450"/>
    <mergeCell ref="C450:D450"/>
    <mergeCell ref="E450:F450"/>
    <mergeCell ref="G450:H450"/>
    <mergeCell ref="I450:J450"/>
    <mergeCell ref="I226:J226"/>
    <mergeCell ref="C227:D227"/>
    <mergeCell ref="I227:J227"/>
    <mergeCell ref="C228:D228"/>
    <mergeCell ref="I228:J228"/>
    <mergeCell ref="C229:D229"/>
    <mergeCell ref="I229:J229"/>
    <mergeCell ref="C230:D230"/>
    <mergeCell ref="I230:J230"/>
    <mergeCell ref="C231:D231"/>
    <mergeCell ref="I231:J231"/>
    <mergeCell ref="C232:D232"/>
    <mergeCell ref="I232:J232"/>
    <mergeCell ref="A221:K221"/>
    <mergeCell ref="C222:D222"/>
    <mergeCell ref="I222:J222"/>
    <mergeCell ref="C223:D223"/>
    <mergeCell ref="I223:J223"/>
    <mergeCell ref="C224:D224"/>
    <mergeCell ref="I224:J224"/>
    <mergeCell ref="C225:D225"/>
    <mergeCell ref="I225:J225"/>
    <mergeCell ref="C211:D211"/>
    <mergeCell ref="I211:J211"/>
    <mergeCell ref="A453:B453"/>
    <mergeCell ref="C453:D453"/>
    <mergeCell ref="E453:F453"/>
    <mergeCell ref="G453:H453"/>
    <mergeCell ref="I453:J453"/>
    <mergeCell ref="A452:B452"/>
    <mergeCell ref="C452:D452"/>
    <mergeCell ref="E452:F452"/>
    <mergeCell ref="G452:H452"/>
    <mergeCell ref="I452:J452"/>
    <mergeCell ref="C212:D212"/>
    <mergeCell ref="I212:J212"/>
    <mergeCell ref="C213:D213"/>
    <mergeCell ref="I213:J213"/>
    <mergeCell ref="C214:D214"/>
    <mergeCell ref="I214:J214"/>
    <mergeCell ref="C215:D215"/>
    <mergeCell ref="I215:J215"/>
    <mergeCell ref="C216:D216"/>
    <mergeCell ref="I216:J216"/>
    <mergeCell ref="C217:D217"/>
    <mergeCell ref="I217:J217"/>
    <mergeCell ref="C206:D206"/>
    <mergeCell ref="I206:J206"/>
    <mergeCell ref="C207:D207"/>
    <mergeCell ref="I207:J207"/>
    <mergeCell ref="C208:D208"/>
    <mergeCell ref="I208:J208"/>
    <mergeCell ref="C209:D209"/>
    <mergeCell ref="I209:J209"/>
    <mergeCell ref="C210:D210"/>
    <mergeCell ref="I210:J210"/>
    <mergeCell ref="C200:D200"/>
    <mergeCell ref="I200:J200"/>
    <mergeCell ref="C201:D201"/>
    <mergeCell ref="I201:J201"/>
    <mergeCell ref="C202:D202"/>
    <mergeCell ref="I202:J202"/>
    <mergeCell ref="C203:D203"/>
    <mergeCell ref="I203:J203"/>
    <mergeCell ref="A205:K205"/>
    <mergeCell ref="I898:J898"/>
    <mergeCell ref="A899:B899"/>
    <mergeCell ref="C899:D899"/>
    <mergeCell ref="E899:F899"/>
    <mergeCell ref="G899:H899"/>
    <mergeCell ref="I899:J899"/>
    <mergeCell ref="A897:E897"/>
    <mergeCell ref="A898:B898"/>
    <mergeCell ref="C898:D898"/>
    <mergeCell ref="E898:F898"/>
    <mergeCell ref="G898:H898"/>
    <mergeCell ref="I195:J195"/>
    <mergeCell ref="C196:D196"/>
    <mergeCell ref="I196:J196"/>
    <mergeCell ref="C197:D197"/>
    <mergeCell ref="I197:J197"/>
    <mergeCell ref="C198:D198"/>
    <mergeCell ref="I198:J198"/>
    <mergeCell ref="C199:D199"/>
    <mergeCell ref="I199:J199"/>
    <mergeCell ref="C187:D187"/>
    <mergeCell ref="A901:B901"/>
    <mergeCell ref="C901:D901"/>
    <mergeCell ref="E901:F901"/>
    <mergeCell ref="G901:H901"/>
    <mergeCell ref="I901:J901"/>
    <mergeCell ref="A900:B900"/>
    <mergeCell ref="C900:D900"/>
    <mergeCell ref="E900:F900"/>
    <mergeCell ref="G900:H900"/>
    <mergeCell ref="I900:J900"/>
    <mergeCell ref="I187:J187"/>
    <mergeCell ref="C188:D188"/>
    <mergeCell ref="I188:J188"/>
    <mergeCell ref="C189:D189"/>
    <mergeCell ref="I189:J189"/>
    <mergeCell ref="A191:K191"/>
    <mergeCell ref="C192:D192"/>
    <mergeCell ref="I192:J192"/>
    <mergeCell ref="C193:D193"/>
    <mergeCell ref="I193:J193"/>
    <mergeCell ref="C194:D194"/>
    <mergeCell ref="I194:J194"/>
    <mergeCell ref="C195:D195"/>
    <mergeCell ref="I182:J182"/>
    <mergeCell ref="C183:D183"/>
    <mergeCell ref="I183:J183"/>
    <mergeCell ref="C184:D184"/>
    <mergeCell ref="I184:J184"/>
    <mergeCell ref="C185:D185"/>
    <mergeCell ref="I185:J185"/>
    <mergeCell ref="C186:D186"/>
    <mergeCell ref="I186:J186"/>
    <mergeCell ref="C172:D172"/>
    <mergeCell ref="I172:J172"/>
    <mergeCell ref="A903:B903"/>
    <mergeCell ref="C903:D903"/>
    <mergeCell ref="E903:F903"/>
    <mergeCell ref="G903:H903"/>
    <mergeCell ref="I903:J903"/>
    <mergeCell ref="A902:B902"/>
    <mergeCell ref="C902:D902"/>
    <mergeCell ref="E902:F902"/>
    <mergeCell ref="G902:H902"/>
    <mergeCell ref="I902:J902"/>
    <mergeCell ref="C173:D173"/>
    <mergeCell ref="I173:J173"/>
    <mergeCell ref="A177:K177"/>
    <mergeCell ref="C178:D178"/>
    <mergeCell ref="I178:J178"/>
    <mergeCell ref="C179:D179"/>
    <mergeCell ref="I179:J179"/>
    <mergeCell ref="C180:D180"/>
    <mergeCell ref="I180:J180"/>
    <mergeCell ref="C181:D181"/>
    <mergeCell ref="I181:J181"/>
    <mergeCell ref="C182:D182"/>
    <mergeCell ref="C167:D167"/>
    <mergeCell ref="I167:J167"/>
    <mergeCell ref="C168:D168"/>
    <mergeCell ref="I168:J168"/>
    <mergeCell ref="C169:D169"/>
    <mergeCell ref="I169:J169"/>
    <mergeCell ref="C170:D170"/>
    <mergeCell ref="I170:J170"/>
    <mergeCell ref="C171:D171"/>
    <mergeCell ref="I171:J171"/>
    <mergeCell ref="C162:D162"/>
    <mergeCell ref="I162:J162"/>
    <mergeCell ref="C163:D163"/>
    <mergeCell ref="I163:J163"/>
    <mergeCell ref="C164:D164"/>
    <mergeCell ref="I164:J164"/>
    <mergeCell ref="C165:D165"/>
    <mergeCell ref="I165:J165"/>
    <mergeCell ref="C166:D166"/>
    <mergeCell ref="I166:J166"/>
    <mergeCell ref="A905:B905"/>
    <mergeCell ref="C905:D905"/>
    <mergeCell ref="E905:F905"/>
    <mergeCell ref="G905:H905"/>
    <mergeCell ref="I905:J905"/>
    <mergeCell ref="A904:B904"/>
    <mergeCell ref="C904:D904"/>
    <mergeCell ref="E904:F904"/>
    <mergeCell ref="G904:H904"/>
    <mergeCell ref="I904:J904"/>
    <mergeCell ref="C156:D156"/>
    <mergeCell ref="I156:J156"/>
    <mergeCell ref="C157:D157"/>
    <mergeCell ref="I157:J157"/>
    <mergeCell ref="C158:D158"/>
    <mergeCell ref="I158:J158"/>
    <mergeCell ref="C159:D159"/>
    <mergeCell ref="I159:J159"/>
    <mergeCell ref="A161:K161"/>
    <mergeCell ref="C149:D149"/>
    <mergeCell ref="A907:B907"/>
    <mergeCell ref="C907:D907"/>
    <mergeCell ref="E907:F907"/>
    <mergeCell ref="G907:H907"/>
    <mergeCell ref="I907:J907"/>
    <mergeCell ref="A906:B906"/>
    <mergeCell ref="C906:D906"/>
    <mergeCell ref="E906:F906"/>
    <mergeCell ref="G906:H906"/>
    <mergeCell ref="I906:J906"/>
    <mergeCell ref="I149:J149"/>
    <mergeCell ref="C150:D150"/>
    <mergeCell ref="I150:J150"/>
    <mergeCell ref="C151:D151"/>
    <mergeCell ref="I151:J151"/>
    <mergeCell ref="C152:D152"/>
    <mergeCell ref="I152:J152"/>
    <mergeCell ref="C153:D153"/>
    <mergeCell ref="I153:J153"/>
    <mergeCell ref="C154:D154"/>
    <mergeCell ref="I154:J154"/>
    <mergeCell ref="C155:D155"/>
    <mergeCell ref="I155:J155"/>
    <mergeCell ref="C143:D143"/>
    <mergeCell ref="I143:J143"/>
    <mergeCell ref="C144:D144"/>
    <mergeCell ref="I144:J144"/>
    <mergeCell ref="C145:D145"/>
    <mergeCell ref="I145:J145"/>
    <mergeCell ref="A147:K147"/>
    <mergeCell ref="C148:D148"/>
    <mergeCell ref="I148:J148"/>
    <mergeCell ref="C136:D136"/>
    <mergeCell ref="I136:J136"/>
    <mergeCell ref="A909:B909"/>
    <mergeCell ref="C909:D909"/>
    <mergeCell ref="E909:F909"/>
    <mergeCell ref="G909:H909"/>
    <mergeCell ref="I909:J909"/>
    <mergeCell ref="A908:B908"/>
    <mergeCell ref="C908:D908"/>
    <mergeCell ref="E908:F908"/>
    <mergeCell ref="G908:H908"/>
    <mergeCell ref="I908:J908"/>
    <mergeCell ref="C137:D137"/>
    <mergeCell ref="I137:J137"/>
    <mergeCell ref="C138:D138"/>
    <mergeCell ref="I138:J138"/>
    <mergeCell ref="C139:D139"/>
    <mergeCell ref="I139:J139"/>
    <mergeCell ref="C140:D140"/>
    <mergeCell ref="I140:J140"/>
    <mergeCell ref="C141:D141"/>
    <mergeCell ref="I141:J141"/>
    <mergeCell ref="C142:D142"/>
    <mergeCell ref="I142:J142"/>
    <mergeCell ref="C128:D128"/>
    <mergeCell ref="I128:J128"/>
    <mergeCell ref="C129:D129"/>
    <mergeCell ref="I129:J129"/>
    <mergeCell ref="A133:K133"/>
    <mergeCell ref="C134:D134"/>
    <mergeCell ref="I134:J134"/>
    <mergeCell ref="C135:D135"/>
    <mergeCell ref="I135:J135"/>
    <mergeCell ref="C121:D121"/>
    <mergeCell ref="I121:J121"/>
    <mergeCell ref="C122:D122"/>
    <mergeCell ref="A486:B486"/>
    <mergeCell ref="C486:D486"/>
    <mergeCell ref="E486:F486"/>
    <mergeCell ref="G486:H486"/>
    <mergeCell ref="I486:J486"/>
    <mergeCell ref="A487:B487"/>
    <mergeCell ref="C487:D487"/>
    <mergeCell ref="E487:F487"/>
    <mergeCell ref="G487:H487"/>
    <mergeCell ref="I487:J487"/>
    <mergeCell ref="I122:J122"/>
    <mergeCell ref="C123:D123"/>
    <mergeCell ref="I123:J123"/>
    <mergeCell ref="C124:D124"/>
    <mergeCell ref="I124:J124"/>
    <mergeCell ref="C125:D125"/>
    <mergeCell ref="I125:J125"/>
    <mergeCell ref="C126:D126"/>
    <mergeCell ref="I126:J126"/>
    <mergeCell ref="C127:D127"/>
    <mergeCell ref="I127:J127"/>
    <mergeCell ref="C115:D115"/>
    <mergeCell ref="I115:J115"/>
    <mergeCell ref="A117:K117"/>
    <mergeCell ref="C118:D118"/>
    <mergeCell ref="I118:J118"/>
    <mergeCell ref="C119:D119"/>
    <mergeCell ref="I119:J119"/>
    <mergeCell ref="C120:D120"/>
    <mergeCell ref="I120:J120"/>
    <mergeCell ref="C110:D110"/>
    <mergeCell ref="I110:J110"/>
    <mergeCell ref="C111:D111"/>
    <mergeCell ref="I111:J111"/>
    <mergeCell ref="C112:D112"/>
    <mergeCell ref="I112:J112"/>
    <mergeCell ref="C113:D113"/>
    <mergeCell ref="I113:J113"/>
    <mergeCell ref="C114:D114"/>
    <mergeCell ref="I114:J114"/>
    <mergeCell ref="A488:B488"/>
    <mergeCell ref="C488:D488"/>
    <mergeCell ref="E488:F488"/>
    <mergeCell ref="G488:H488"/>
    <mergeCell ref="I488:J488"/>
    <mergeCell ref="A489:B489"/>
    <mergeCell ref="C489:D489"/>
    <mergeCell ref="E489:F489"/>
    <mergeCell ref="G489:H489"/>
    <mergeCell ref="I489:J489"/>
    <mergeCell ref="I105:J105"/>
    <mergeCell ref="C106:D106"/>
    <mergeCell ref="I106:J106"/>
    <mergeCell ref="C107:D107"/>
    <mergeCell ref="I107:J107"/>
    <mergeCell ref="C108:D108"/>
    <mergeCell ref="I108:J108"/>
    <mergeCell ref="C109:D109"/>
    <mergeCell ref="I109:J109"/>
    <mergeCell ref="C97:D97"/>
    <mergeCell ref="A490:B490"/>
    <mergeCell ref="C490:D490"/>
    <mergeCell ref="E490:F490"/>
    <mergeCell ref="G490:H490"/>
    <mergeCell ref="I490:J490"/>
    <mergeCell ref="A491:B491"/>
    <mergeCell ref="C491:D491"/>
    <mergeCell ref="E491:F491"/>
    <mergeCell ref="G491:H491"/>
    <mergeCell ref="I491:J491"/>
    <mergeCell ref="I97:J97"/>
    <mergeCell ref="C98:D98"/>
    <mergeCell ref="I98:J98"/>
    <mergeCell ref="C99:D99"/>
    <mergeCell ref="I99:J99"/>
    <mergeCell ref="C100:D100"/>
    <mergeCell ref="I100:J100"/>
    <mergeCell ref="C101:D101"/>
    <mergeCell ref="I101:J101"/>
    <mergeCell ref="A103:K103"/>
    <mergeCell ref="C104:D104"/>
    <mergeCell ref="I104:J104"/>
    <mergeCell ref="C105:D105"/>
    <mergeCell ref="I92:J92"/>
    <mergeCell ref="C93:D93"/>
    <mergeCell ref="I93:J93"/>
    <mergeCell ref="C94:D94"/>
    <mergeCell ref="I94:J94"/>
    <mergeCell ref="C95:D95"/>
    <mergeCell ref="I95:J95"/>
    <mergeCell ref="C96:D96"/>
    <mergeCell ref="I96:J96"/>
    <mergeCell ref="C82:D82"/>
    <mergeCell ref="I82:J82"/>
    <mergeCell ref="A492:B492"/>
    <mergeCell ref="C492:D492"/>
    <mergeCell ref="E492:F492"/>
    <mergeCell ref="G492:H492"/>
    <mergeCell ref="I492:J492"/>
    <mergeCell ref="A493:B493"/>
    <mergeCell ref="C493:D493"/>
    <mergeCell ref="E493:F493"/>
    <mergeCell ref="G493:H493"/>
    <mergeCell ref="I493:J493"/>
    <mergeCell ref="C83:D83"/>
    <mergeCell ref="I83:J83"/>
    <mergeCell ref="C84:D84"/>
    <mergeCell ref="I84:J84"/>
    <mergeCell ref="C85:D85"/>
    <mergeCell ref="I85:J85"/>
    <mergeCell ref="A89:K89"/>
    <mergeCell ref="C90:D90"/>
    <mergeCell ref="I90:J90"/>
    <mergeCell ref="C91:D91"/>
    <mergeCell ref="I91:J91"/>
    <mergeCell ref="C92:D92"/>
    <mergeCell ref="I77:J77"/>
    <mergeCell ref="C78:D78"/>
    <mergeCell ref="I78:J78"/>
    <mergeCell ref="C79:D79"/>
    <mergeCell ref="I79:J79"/>
    <mergeCell ref="C80:D80"/>
    <mergeCell ref="I80:J80"/>
    <mergeCell ref="C81:D81"/>
    <mergeCell ref="I81:J81"/>
    <mergeCell ref="C69:D69"/>
    <mergeCell ref="I69:J69"/>
    <mergeCell ref="C70:D70"/>
    <mergeCell ref="A494:B494"/>
    <mergeCell ref="C494:D494"/>
    <mergeCell ref="E494:F494"/>
    <mergeCell ref="G494:H494"/>
    <mergeCell ref="I494:J494"/>
    <mergeCell ref="A495:B495"/>
    <mergeCell ref="C495:D495"/>
    <mergeCell ref="E495:F495"/>
    <mergeCell ref="G495:H495"/>
    <mergeCell ref="I495:J495"/>
    <mergeCell ref="I70:J70"/>
    <mergeCell ref="C71:D71"/>
    <mergeCell ref="I71:J71"/>
    <mergeCell ref="A73:K73"/>
    <mergeCell ref="C74:D74"/>
    <mergeCell ref="I74:J74"/>
    <mergeCell ref="C75:D75"/>
    <mergeCell ref="I75:J75"/>
    <mergeCell ref="C76:D76"/>
    <mergeCell ref="I76:J76"/>
    <mergeCell ref="C77:D77"/>
    <mergeCell ref="C64:D64"/>
    <mergeCell ref="I64:J64"/>
    <mergeCell ref="C65:D65"/>
    <mergeCell ref="I65:J65"/>
    <mergeCell ref="C66:D66"/>
    <mergeCell ref="I66:J66"/>
    <mergeCell ref="C67:D67"/>
    <mergeCell ref="I67:J67"/>
    <mergeCell ref="C68:D68"/>
    <mergeCell ref="I68:J68"/>
    <mergeCell ref="A59:K59"/>
    <mergeCell ref="C60:D60"/>
    <mergeCell ref="I60:J60"/>
    <mergeCell ref="C61:D61"/>
    <mergeCell ref="I61:J61"/>
    <mergeCell ref="C62:D62"/>
    <mergeCell ref="I62:J62"/>
    <mergeCell ref="C63:D63"/>
    <mergeCell ref="I63:J63"/>
    <mergeCell ref="A496:B496"/>
    <mergeCell ref="C496:D496"/>
    <mergeCell ref="E496:F496"/>
    <mergeCell ref="G496:H496"/>
    <mergeCell ref="I496:J496"/>
    <mergeCell ref="A497:B497"/>
    <mergeCell ref="C497:D497"/>
    <mergeCell ref="E497:F497"/>
    <mergeCell ref="G497:H497"/>
    <mergeCell ref="I497:J497"/>
    <mergeCell ref="A293:K293"/>
    <mergeCell ref="C294:D294"/>
    <mergeCell ref="I294:J294"/>
    <mergeCell ref="C295:D295"/>
    <mergeCell ref="I295:J295"/>
    <mergeCell ref="C296:D296"/>
    <mergeCell ref="I296:J296"/>
    <mergeCell ref="C297:D297"/>
    <mergeCell ref="I297:J297"/>
    <mergeCell ref="C298:D298"/>
    <mergeCell ref="I298:J298"/>
    <mergeCell ref="C299:D299"/>
    <mergeCell ref="I299:J299"/>
    <mergeCell ref="C300:D300"/>
    <mergeCell ref="I300:J300"/>
    <mergeCell ref="C301:D301"/>
    <mergeCell ref="I301:J301"/>
    <mergeCell ref="C302:D302"/>
    <mergeCell ref="I302:J302"/>
    <mergeCell ref="C303:D303"/>
    <mergeCell ref="I303:J303"/>
    <mergeCell ref="C304:D304"/>
    <mergeCell ref="I304:J304"/>
    <mergeCell ref="C305:D305"/>
    <mergeCell ref="I305:J305"/>
    <mergeCell ref="A309:K309"/>
    <mergeCell ref="C310:D310"/>
    <mergeCell ref="I310:J310"/>
    <mergeCell ref="C311:D311"/>
    <mergeCell ref="I311:J311"/>
    <mergeCell ref="C312:D312"/>
    <mergeCell ref="I312:J312"/>
    <mergeCell ref="C313:D313"/>
    <mergeCell ref="I313:J313"/>
    <mergeCell ref="C314:D314"/>
    <mergeCell ref="I314:J314"/>
    <mergeCell ref="C315:D315"/>
    <mergeCell ref="I315:J315"/>
    <mergeCell ref="C316:D316"/>
    <mergeCell ref="I316:J316"/>
    <mergeCell ref="C317:D317"/>
    <mergeCell ref="I317:J317"/>
    <mergeCell ref="C318:D318"/>
    <mergeCell ref="I318:J318"/>
    <mergeCell ref="C319:D319"/>
    <mergeCell ref="I319:J319"/>
    <mergeCell ref="C320:D320"/>
    <mergeCell ref="I320:J320"/>
    <mergeCell ref="C321:D321"/>
    <mergeCell ref="I321:J321"/>
    <mergeCell ref="A323:K323"/>
    <mergeCell ref="C324:D324"/>
    <mergeCell ref="I324:J324"/>
    <mergeCell ref="C325:D325"/>
    <mergeCell ref="I325:J325"/>
    <mergeCell ref="C326:D326"/>
    <mergeCell ref="I326:J326"/>
    <mergeCell ref="C327:D327"/>
    <mergeCell ref="I327:J327"/>
    <mergeCell ref="C328:D328"/>
    <mergeCell ref="I328:J328"/>
    <mergeCell ref="C329:D329"/>
    <mergeCell ref="I329:J329"/>
    <mergeCell ref="C330:D330"/>
    <mergeCell ref="I330:J330"/>
    <mergeCell ref="C331:D331"/>
    <mergeCell ref="I331:J331"/>
    <mergeCell ref="C332:D332"/>
    <mergeCell ref="I332:J332"/>
    <mergeCell ref="C333:D333"/>
    <mergeCell ref="I333:J333"/>
    <mergeCell ref="C334:D334"/>
    <mergeCell ref="I334:J334"/>
    <mergeCell ref="C335:D335"/>
    <mergeCell ref="I335:J335"/>
    <mergeCell ref="A337:K337"/>
    <mergeCell ref="C338:D338"/>
    <mergeCell ref="I338:J338"/>
    <mergeCell ref="C339:D339"/>
    <mergeCell ref="I339:J339"/>
    <mergeCell ref="C340:D340"/>
    <mergeCell ref="I340:J340"/>
    <mergeCell ref="C341:D341"/>
    <mergeCell ref="I341:J341"/>
    <mergeCell ref="C342:D342"/>
    <mergeCell ref="I342:J342"/>
    <mergeCell ref="C343:D343"/>
    <mergeCell ref="I343:J343"/>
    <mergeCell ref="C344:D344"/>
    <mergeCell ref="I344:J344"/>
    <mergeCell ref="C345:D345"/>
    <mergeCell ref="I345:J345"/>
    <mergeCell ref="C346:D346"/>
    <mergeCell ref="I346:J346"/>
    <mergeCell ref="C347:D347"/>
    <mergeCell ref="I347:J347"/>
    <mergeCell ref="C348:D348"/>
    <mergeCell ref="I348:J348"/>
    <mergeCell ref="C349:D349"/>
    <mergeCell ref="I349:J349"/>
    <mergeCell ref="A353:K353"/>
    <mergeCell ref="C354:D354"/>
    <mergeCell ref="I354:J354"/>
    <mergeCell ref="C355:D355"/>
    <mergeCell ref="I355:J355"/>
    <mergeCell ref="C356:D356"/>
    <mergeCell ref="I356:J356"/>
    <mergeCell ref="C357:D357"/>
    <mergeCell ref="I357:J357"/>
    <mergeCell ref="C358:D358"/>
    <mergeCell ref="I358:J358"/>
    <mergeCell ref="C359:D359"/>
    <mergeCell ref="I359:J359"/>
    <mergeCell ref="C360:D360"/>
    <mergeCell ref="I360:J360"/>
    <mergeCell ref="C361:D361"/>
    <mergeCell ref="I361:J361"/>
    <mergeCell ref="C362:D362"/>
    <mergeCell ref="I362:J362"/>
    <mergeCell ref="C363:D363"/>
    <mergeCell ref="I363:J363"/>
    <mergeCell ref="C364:D364"/>
    <mergeCell ref="I364:J364"/>
    <mergeCell ref="C365:D365"/>
    <mergeCell ref="I365:J365"/>
    <mergeCell ref="A367:K367"/>
    <mergeCell ref="C368:D368"/>
    <mergeCell ref="I368:J368"/>
    <mergeCell ref="C369:D369"/>
    <mergeCell ref="I369:J369"/>
    <mergeCell ref="C370:D370"/>
    <mergeCell ref="I370:J370"/>
    <mergeCell ref="C371:D371"/>
    <mergeCell ref="I371:J371"/>
    <mergeCell ref="C372:D372"/>
    <mergeCell ref="I372:J372"/>
    <mergeCell ref="C373:D373"/>
    <mergeCell ref="I373:J373"/>
    <mergeCell ref="C374:D374"/>
    <mergeCell ref="I374:J374"/>
    <mergeCell ref="C375:D375"/>
    <mergeCell ref="I375:J375"/>
    <mergeCell ref="C376:D376"/>
    <mergeCell ref="I376:J376"/>
    <mergeCell ref="C377:D377"/>
    <mergeCell ref="I377:J377"/>
    <mergeCell ref="C378:D378"/>
    <mergeCell ref="I378:J378"/>
    <mergeCell ref="C379:D379"/>
    <mergeCell ref="I379:J379"/>
    <mergeCell ref="A381:K381"/>
    <mergeCell ref="C382:D382"/>
    <mergeCell ref="I382:J382"/>
    <mergeCell ref="C383:D383"/>
    <mergeCell ref="I383:J383"/>
    <mergeCell ref="C384:D384"/>
    <mergeCell ref="I384:J384"/>
    <mergeCell ref="C385:D385"/>
    <mergeCell ref="I385:J385"/>
    <mergeCell ref="C386:D386"/>
    <mergeCell ref="I386:J386"/>
    <mergeCell ref="C387:D387"/>
    <mergeCell ref="I387:J387"/>
    <mergeCell ref="C388:D388"/>
    <mergeCell ref="I388:J388"/>
    <mergeCell ref="C389:D389"/>
    <mergeCell ref="I389:J389"/>
    <mergeCell ref="C390:D390"/>
    <mergeCell ref="I390:J390"/>
    <mergeCell ref="C391:D391"/>
    <mergeCell ref="I391:J391"/>
    <mergeCell ref="C392:D392"/>
    <mergeCell ref="I392:J392"/>
    <mergeCell ref="C393:D393"/>
    <mergeCell ref="I393:J393"/>
    <mergeCell ref="A397:K397"/>
    <mergeCell ref="C398:D398"/>
    <mergeCell ref="I398:J398"/>
    <mergeCell ref="C399:D399"/>
    <mergeCell ref="I399:J399"/>
    <mergeCell ref="C400:D400"/>
    <mergeCell ref="I400:J400"/>
    <mergeCell ref="C401:D401"/>
    <mergeCell ref="I401:J401"/>
    <mergeCell ref="C402:D402"/>
    <mergeCell ref="I402:J402"/>
    <mergeCell ref="C403:D403"/>
    <mergeCell ref="I403:J403"/>
    <mergeCell ref="C404:D404"/>
    <mergeCell ref="I404:J404"/>
    <mergeCell ref="C405:D405"/>
    <mergeCell ref="I405:J405"/>
    <mergeCell ref="C406:D406"/>
    <mergeCell ref="I406:J406"/>
    <mergeCell ref="C407:D407"/>
    <mergeCell ref="I407:J407"/>
    <mergeCell ref="C408:D408"/>
    <mergeCell ref="I408:J408"/>
    <mergeCell ref="C409:D409"/>
    <mergeCell ref="I409:J409"/>
    <mergeCell ref="A411:K411"/>
    <mergeCell ref="C412:D412"/>
    <mergeCell ref="I412:J412"/>
    <mergeCell ref="C413:D413"/>
    <mergeCell ref="I413:J413"/>
    <mergeCell ref="C414:D414"/>
    <mergeCell ref="I414:J414"/>
    <mergeCell ref="C415:D415"/>
    <mergeCell ref="I415:J415"/>
    <mergeCell ref="C416:D416"/>
    <mergeCell ref="I416:J416"/>
    <mergeCell ref="C417:D417"/>
    <mergeCell ref="I417:J417"/>
    <mergeCell ref="C418:D418"/>
    <mergeCell ref="I418:J418"/>
    <mergeCell ref="C419:D419"/>
    <mergeCell ref="I419:J419"/>
    <mergeCell ref="C420:D420"/>
    <mergeCell ref="I420:J420"/>
    <mergeCell ref="C421:D421"/>
    <mergeCell ref="I421:J421"/>
    <mergeCell ref="C422:D422"/>
    <mergeCell ref="I422:J422"/>
    <mergeCell ref="C423:D423"/>
    <mergeCell ref="I423:J423"/>
    <mergeCell ref="A425:K425"/>
    <mergeCell ref="C426:D426"/>
    <mergeCell ref="I426:J426"/>
    <mergeCell ref="C427:D427"/>
    <mergeCell ref="I427:J427"/>
    <mergeCell ref="C428:D428"/>
    <mergeCell ref="I428:J428"/>
    <mergeCell ref="C429:D429"/>
    <mergeCell ref="I429:J429"/>
    <mergeCell ref="C430:D430"/>
    <mergeCell ref="I430:J430"/>
    <mergeCell ref="C431:D431"/>
    <mergeCell ref="I431:J431"/>
    <mergeCell ref="C432:D432"/>
    <mergeCell ref="I432:J432"/>
    <mergeCell ref="C433:D433"/>
    <mergeCell ref="I433:J433"/>
    <mergeCell ref="C434:D434"/>
    <mergeCell ref="I434:J434"/>
    <mergeCell ref="C435:D435"/>
    <mergeCell ref="I435:J435"/>
    <mergeCell ref="C436:D436"/>
    <mergeCell ref="I436:J436"/>
    <mergeCell ref="C437:D437"/>
    <mergeCell ref="I437:J4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Y117"/>
  <sheetViews>
    <sheetView tabSelected="1" topLeftCell="A16" zoomScale="85" zoomScaleNormal="85" workbookViewId="0">
      <selection activeCell="U18" sqref="U18:W32"/>
    </sheetView>
  </sheetViews>
  <sheetFormatPr defaultRowHeight="15" x14ac:dyDescent="0.25"/>
  <cols>
    <col min="1" max="1" width="5" style="146" customWidth="1"/>
    <col min="2" max="2" width="9.140625" style="151"/>
    <col min="3" max="3" width="13" style="151" customWidth="1"/>
    <col min="4" max="4" width="15.7109375" style="151" customWidth="1"/>
    <col min="5" max="6" width="7.7109375" style="151" customWidth="1"/>
    <col min="7" max="7" width="9.28515625" style="151" customWidth="1"/>
    <col min="8" max="8" width="8.42578125" style="151" customWidth="1"/>
    <col min="9" max="9" width="10.5703125" style="145" customWidth="1"/>
    <col min="10" max="16" width="8.7109375" style="145" customWidth="1"/>
    <col min="17" max="17" width="11.7109375" style="145" customWidth="1"/>
    <col min="18" max="18" width="6.140625" style="145" customWidth="1"/>
    <col min="19" max="20" width="9.140625" style="145"/>
    <col min="21" max="21" width="19.85546875" style="145" customWidth="1"/>
    <col min="22" max="22" width="13.28515625" style="145" customWidth="1"/>
    <col min="23" max="23" width="14.140625" style="145" customWidth="1"/>
    <col min="24" max="24" width="7.5703125" style="145" customWidth="1"/>
    <col min="25" max="25" width="9.140625" style="145"/>
    <col min="26" max="26" width="6.85546875" style="145" customWidth="1"/>
    <col min="27" max="27" width="12.85546875" style="145" bestFit="1" customWidth="1"/>
    <col min="28" max="28" width="9.140625" style="145" customWidth="1"/>
    <col min="29" max="30" width="9.140625" style="145"/>
    <col min="31" max="31" width="9.7109375" style="145" customWidth="1"/>
    <col min="32" max="32" width="9.140625" style="145"/>
    <col min="33" max="33" width="20.140625" style="145" customWidth="1"/>
    <col min="34" max="34" width="13.28515625" style="145" customWidth="1"/>
    <col min="35" max="35" width="13.7109375" style="145" customWidth="1"/>
    <col min="36" max="42" width="9.140625" style="145"/>
    <col min="43" max="43" width="10.5703125" style="145" customWidth="1"/>
    <col min="44" max="51" width="9" style="145" customWidth="1"/>
    <col min="52" max="52" width="13.7109375" style="145" customWidth="1"/>
    <col min="53" max="60" width="14.28515625" style="145" customWidth="1"/>
    <col min="61" max="62" width="12" style="145" customWidth="1"/>
    <col min="63" max="63" width="10.5703125" style="145" customWidth="1"/>
    <col min="64" max="70" width="12" style="145" customWidth="1"/>
    <col min="71" max="71" width="15.85546875" style="145" customWidth="1"/>
    <col min="72" max="72" width="14.5703125" style="145" customWidth="1"/>
    <col min="73" max="73" width="13.42578125" style="145" customWidth="1"/>
    <col min="74" max="75" width="13.5703125" style="145" customWidth="1"/>
    <col min="76" max="76" width="6.5703125" style="145" customWidth="1"/>
    <col min="77" max="77" width="11.28515625" style="145" customWidth="1"/>
    <col min="78" max="78" width="7.7109375" style="145" customWidth="1"/>
    <col min="79" max="79" width="11.140625" style="145" customWidth="1"/>
    <col min="80" max="80" width="13.5703125" style="145" customWidth="1"/>
    <col min="81" max="81" width="7.7109375" style="145" customWidth="1"/>
    <col min="82" max="82" width="13.42578125" style="145" customWidth="1"/>
    <col min="83" max="87" width="14" style="145" customWidth="1"/>
    <col min="88" max="108" width="9.140625" style="145"/>
    <col min="109" max="110" width="14" style="145" customWidth="1"/>
    <col min="111" max="16384" width="9.140625" style="145"/>
  </cols>
  <sheetData>
    <row r="1" spans="1:103" ht="15.75" thickBot="1" x14ac:dyDescent="0.3"/>
    <row r="2" spans="1:103" ht="27" customHeight="1" thickTop="1" thickBot="1" x14ac:dyDescent="0.3">
      <c r="A2" s="283"/>
      <c r="B2" s="286"/>
      <c r="C2" s="286"/>
      <c r="D2" s="286"/>
      <c r="E2" s="286"/>
      <c r="F2" s="286"/>
      <c r="G2" s="286"/>
      <c r="H2" s="284"/>
      <c r="BY2" s="15"/>
      <c r="BZ2" s="234" t="s">
        <v>58</v>
      </c>
      <c r="CA2" s="235" t="s">
        <v>38</v>
      </c>
      <c r="CB2" s="235" t="s">
        <v>57</v>
      </c>
      <c r="CC2" s="235" t="s">
        <v>56</v>
      </c>
      <c r="CD2" s="235" t="s">
        <v>35</v>
      </c>
      <c r="CE2" s="235" t="s">
        <v>34</v>
      </c>
      <c r="CF2" s="329"/>
      <c r="CG2" s="329"/>
      <c r="CH2" s="329"/>
      <c r="CI2" s="329"/>
      <c r="CJ2" s="235" t="s">
        <v>33</v>
      </c>
      <c r="CK2" s="235" t="s">
        <v>32</v>
      </c>
      <c r="CL2" s="235" t="s">
        <v>31</v>
      </c>
      <c r="CM2" s="236" t="s">
        <v>30</v>
      </c>
      <c r="CN2" s="192"/>
      <c r="CO2" s="559" t="s">
        <v>451</v>
      </c>
      <c r="CP2" s="560"/>
      <c r="CQ2" s="560"/>
      <c r="CR2" s="560"/>
      <c r="CS2" s="560"/>
      <c r="CT2" s="560"/>
      <c r="CU2" s="560"/>
      <c r="CV2" s="560"/>
      <c r="CW2" s="561"/>
      <c r="CX2" s="562">
        <f>SUM(CG18:CG47)</f>
        <v>1987.9139399999999</v>
      </c>
      <c r="CY2" s="563"/>
    </row>
    <row r="3" spans="1:103" ht="27" customHeight="1" thickBot="1" x14ac:dyDescent="0.3">
      <c r="A3" s="283"/>
      <c r="B3" s="286"/>
      <c r="C3" s="286"/>
      <c r="D3" s="286"/>
      <c r="E3" s="286"/>
      <c r="F3" s="286"/>
      <c r="G3" s="286"/>
      <c r="H3" s="284"/>
      <c r="BY3" s="226" t="s">
        <v>53</v>
      </c>
      <c r="BZ3" s="237"/>
      <c r="CA3" s="237" t="s">
        <v>48</v>
      </c>
      <c r="CB3" s="237" t="s">
        <v>48</v>
      </c>
      <c r="CC3" s="237" t="s">
        <v>48</v>
      </c>
      <c r="CD3" s="237" t="s">
        <v>48</v>
      </c>
      <c r="CE3" s="237">
        <v>2.1</v>
      </c>
      <c r="CF3" s="330"/>
      <c r="CG3" s="330"/>
      <c r="CH3" s="330"/>
      <c r="CI3" s="330"/>
      <c r="CJ3" s="237">
        <v>1500</v>
      </c>
      <c r="CK3" s="237" t="s">
        <v>48</v>
      </c>
      <c r="CL3" s="237"/>
      <c r="CM3" s="237" t="s">
        <v>48</v>
      </c>
      <c r="CN3" s="277"/>
      <c r="CO3" s="555" t="s">
        <v>452</v>
      </c>
      <c r="CP3" s="556"/>
      <c r="CQ3" s="556"/>
      <c r="CR3" s="556"/>
      <c r="CS3" s="556"/>
      <c r="CT3" s="556"/>
      <c r="CU3" s="556"/>
      <c r="CV3" s="556"/>
      <c r="CW3" s="557"/>
      <c r="CX3" s="366" t="s">
        <v>48</v>
      </c>
      <c r="CY3" s="367" t="s">
        <v>48</v>
      </c>
    </row>
    <row r="4" spans="1:103" ht="27" customHeight="1" thickBot="1" x14ac:dyDescent="0.3">
      <c r="A4" s="283"/>
      <c r="B4" s="285"/>
      <c r="C4" s="285"/>
      <c r="D4" s="285"/>
      <c r="E4" s="285"/>
      <c r="F4" s="285"/>
      <c r="G4" s="285"/>
      <c r="H4" s="285"/>
      <c r="BY4" s="227" t="s">
        <v>52</v>
      </c>
      <c r="BZ4" s="52">
        <v>2</v>
      </c>
      <c r="CA4" s="52">
        <v>0.5</v>
      </c>
      <c r="CB4" s="52" t="s">
        <v>48</v>
      </c>
      <c r="CC4" s="52" t="s">
        <v>48</v>
      </c>
      <c r="CD4" s="52">
        <v>33</v>
      </c>
      <c r="CE4" s="52" t="s">
        <v>48</v>
      </c>
      <c r="CF4" s="331"/>
      <c r="CG4" s="331"/>
      <c r="CH4" s="331"/>
      <c r="CI4" s="331"/>
      <c r="CJ4" s="52" t="s">
        <v>48</v>
      </c>
      <c r="CK4" s="52">
        <v>20</v>
      </c>
      <c r="CL4" s="52">
        <v>32</v>
      </c>
      <c r="CM4" s="52">
        <v>55</v>
      </c>
      <c r="CN4" s="277"/>
      <c r="CO4" s="555" t="s">
        <v>453</v>
      </c>
      <c r="CP4" s="556"/>
      <c r="CQ4" s="556"/>
      <c r="CR4" s="556"/>
      <c r="CS4" s="556"/>
      <c r="CT4" s="556"/>
      <c r="CU4" s="556"/>
      <c r="CV4" s="556"/>
      <c r="CW4" s="557"/>
      <c r="CX4" s="368" t="s">
        <v>48</v>
      </c>
      <c r="CY4" s="369" t="s">
        <v>48</v>
      </c>
    </row>
    <row r="5" spans="1:103" ht="27" customHeight="1" thickBot="1" x14ac:dyDescent="0.3">
      <c r="BY5" s="232" t="s">
        <v>51</v>
      </c>
      <c r="BZ5" s="233">
        <v>5</v>
      </c>
      <c r="CA5" s="233">
        <v>1</v>
      </c>
      <c r="CB5" s="233" t="s">
        <v>48</v>
      </c>
      <c r="CC5" s="233" t="s">
        <v>48</v>
      </c>
      <c r="CD5" s="233">
        <v>66</v>
      </c>
      <c r="CE5" s="233" t="s">
        <v>48</v>
      </c>
      <c r="CF5" s="332"/>
      <c r="CG5" s="332"/>
      <c r="CH5" s="332"/>
      <c r="CI5" s="332"/>
      <c r="CJ5" s="233" t="s">
        <v>48</v>
      </c>
      <c r="CK5" s="233">
        <v>40</v>
      </c>
      <c r="CL5" s="233">
        <v>65</v>
      </c>
      <c r="CM5" s="233">
        <v>110</v>
      </c>
      <c r="CN5" s="277"/>
      <c r="CO5" s="555" t="s">
        <v>454</v>
      </c>
      <c r="CP5" s="556"/>
      <c r="CQ5" s="556"/>
      <c r="CR5" s="556"/>
      <c r="CS5" s="556"/>
      <c r="CT5" s="556"/>
      <c r="CU5" s="556"/>
      <c r="CV5" s="556"/>
      <c r="CW5" s="557"/>
      <c r="CX5" s="370" t="s">
        <v>48</v>
      </c>
      <c r="CY5" s="371" t="s">
        <v>48</v>
      </c>
    </row>
    <row r="6" spans="1:103" ht="27" customHeight="1" thickBot="1" x14ac:dyDescent="0.3">
      <c r="BY6" s="232" t="s">
        <v>50</v>
      </c>
      <c r="BZ6" s="233"/>
      <c r="CA6" s="233"/>
      <c r="CB6" s="233"/>
      <c r="CC6" s="233"/>
      <c r="CD6" s="233"/>
      <c r="CE6" s="233"/>
      <c r="CF6" s="332"/>
      <c r="CG6" s="332"/>
      <c r="CH6" s="332"/>
      <c r="CI6" s="332"/>
      <c r="CJ6" s="233"/>
      <c r="CK6" s="233"/>
      <c r="CL6" s="233"/>
      <c r="CM6" s="233"/>
      <c r="CN6" s="277"/>
      <c r="CO6" s="555" t="s">
        <v>455</v>
      </c>
      <c r="CP6" s="556"/>
      <c r="CQ6" s="556"/>
      <c r="CR6" s="556"/>
      <c r="CS6" s="556"/>
      <c r="CT6" s="556"/>
      <c r="CU6" s="556"/>
      <c r="CV6" s="556"/>
      <c r="CW6" s="557"/>
      <c r="CX6" s="370">
        <f>SUM(CG18,CG28)</f>
        <v>1987.9139399999999</v>
      </c>
      <c r="CY6" s="371" t="s">
        <v>48</v>
      </c>
    </row>
    <row r="7" spans="1:103" ht="27" customHeight="1" thickBot="1" x14ac:dyDescent="0.3">
      <c r="BY7" s="228" t="s">
        <v>49</v>
      </c>
      <c r="BZ7" s="143">
        <v>10</v>
      </c>
      <c r="CA7" s="143">
        <v>2</v>
      </c>
      <c r="CB7" s="143" t="s">
        <v>48</v>
      </c>
      <c r="CC7" s="143" t="s">
        <v>48</v>
      </c>
      <c r="CD7" s="143">
        <v>132</v>
      </c>
      <c r="CE7" s="143" t="s">
        <v>48</v>
      </c>
      <c r="CF7" s="333"/>
      <c r="CG7" s="333"/>
      <c r="CH7" s="333"/>
      <c r="CI7" s="333"/>
      <c r="CJ7" s="143" t="s">
        <v>48</v>
      </c>
      <c r="CK7" s="143">
        <v>80</v>
      </c>
      <c r="CL7" s="143">
        <v>130</v>
      </c>
      <c r="CM7" s="143">
        <v>220</v>
      </c>
      <c r="CN7" s="277"/>
      <c r="CO7" s="555" t="s">
        <v>456</v>
      </c>
      <c r="CP7" s="556"/>
      <c r="CQ7" s="556"/>
      <c r="CR7" s="556"/>
      <c r="CS7" s="556"/>
      <c r="CT7" s="556"/>
      <c r="CU7" s="556"/>
      <c r="CV7" s="556"/>
      <c r="CW7" s="557"/>
      <c r="CX7" s="370" t="s">
        <v>48</v>
      </c>
      <c r="CY7" s="371" t="s">
        <v>48</v>
      </c>
    </row>
    <row r="8" spans="1:103" ht="27" customHeight="1" thickBot="1" x14ac:dyDescent="0.3">
      <c r="BY8" s="227" t="s">
        <v>47</v>
      </c>
      <c r="BZ8" s="144"/>
      <c r="CA8" s="144"/>
      <c r="CB8" s="144"/>
      <c r="CC8" s="144"/>
      <c r="CD8" s="144"/>
      <c r="CE8" s="144"/>
      <c r="CF8" s="334"/>
      <c r="CG8" s="334"/>
      <c r="CH8" s="334"/>
      <c r="CI8" s="334"/>
      <c r="CJ8" s="144"/>
      <c r="CK8" s="144"/>
      <c r="CL8" s="144"/>
      <c r="CM8" s="144"/>
      <c r="CN8" s="277"/>
      <c r="CO8" s="555" t="s">
        <v>457</v>
      </c>
      <c r="CP8" s="556"/>
      <c r="CQ8" s="556"/>
      <c r="CR8" s="556"/>
      <c r="CS8" s="556"/>
      <c r="CT8" s="556"/>
      <c r="CU8" s="556"/>
      <c r="CV8" s="556"/>
      <c r="CW8" s="557"/>
      <c r="CX8" s="370" t="s">
        <v>48</v>
      </c>
      <c r="CY8" s="371" t="s">
        <v>48</v>
      </c>
    </row>
    <row r="9" spans="1:103" ht="27" customHeight="1" thickBot="1" x14ac:dyDescent="0.3">
      <c r="BY9" s="171"/>
      <c r="BZ9" s="171"/>
      <c r="CA9" s="171"/>
      <c r="CB9" s="171"/>
      <c r="CC9" s="171"/>
      <c r="CD9" s="171"/>
      <c r="CE9" s="171"/>
      <c r="CF9" s="171"/>
      <c r="CG9" s="171"/>
      <c r="CH9" s="171"/>
      <c r="CI9" s="171"/>
      <c r="CJ9" s="171"/>
      <c r="CK9" s="171"/>
      <c r="CL9" s="171"/>
      <c r="CM9" s="171"/>
      <c r="CN9" s="171"/>
    </row>
    <row r="10" spans="1:103" ht="27" customHeight="1" thickBot="1" x14ac:dyDescent="0.3">
      <c r="A10" s="259" t="s">
        <v>147</v>
      </c>
      <c r="B10" s="260" t="s">
        <v>146</v>
      </c>
      <c r="BY10" s="198" t="s">
        <v>40</v>
      </c>
      <c r="BZ10" s="197" t="s">
        <v>39</v>
      </c>
      <c r="CA10" s="193" t="s">
        <v>38</v>
      </c>
      <c r="CB10" s="193" t="s">
        <v>37</v>
      </c>
      <c r="CC10" s="193" t="s">
        <v>36</v>
      </c>
      <c r="CD10" s="193" t="s">
        <v>35</v>
      </c>
      <c r="CE10" s="193" t="s">
        <v>34</v>
      </c>
      <c r="CF10" s="335"/>
      <c r="CG10" s="335"/>
      <c r="CH10" s="335"/>
      <c r="CI10" s="335"/>
      <c r="CJ10" s="193" t="s">
        <v>33</v>
      </c>
      <c r="CK10" s="193" t="s">
        <v>32</v>
      </c>
      <c r="CL10" s="193" t="s">
        <v>31</v>
      </c>
      <c r="CM10" s="194" t="s">
        <v>30</v>
      </c>
      <c r="CN10" s="278"/>
      <c r="CO10" s="298"/>
      <c r="CV10" s="558" t="s">
        <v>458</v>
      </c>
      <c r="CW10" s="558"/>
      <c r="CX10" s="372">
        <f>SUM(CX3:CX8)</f>
        <v>1987.9139399999999</v>
      </c>
    </row>
    <row r="11" spans="1:103" ht="27" customHeight="1" thickBot="1" x14ac:dyDescent="0.3">
      <c r="A11" s="261" t="s">
        <v>141</v>
      </c>
      <c r="B11" s="262" t="s">
        <v>140</v>
      </c>
      <c r="G11" s="287"/>
      <c r="BY11" s="199" t="s">
        <v>178</v>
      </c>
      <c r="BZ11" s="213">
        <v>6.6</v>
      </c>
      <c r="CA11" s="214">
        <v>0.3</v>
      </c>
      <c r="CB11" s="214">
        <v>7.2</v>
      </c>
      <c r="CC11" s="214">
        <v>46</v>
      </c>
      <c r="CD11" s="214">
        <v>27</v>
      </c>
      <c r="CE11" s="214">
        <v>0.1</v>
      </c>
      <c r="CF11" s="214"/>
      <c r="CG11" s="214"/>
      <c r="CH11" s="214"/>
      <c r="CI11" s="214"/>
      <c r="CJ11" s="214">
        <v>1260</v>
      </c>
      <c r="CK11" s="214">
        <v>20</v>
      </c>
      <c r="CL11" s="214">
        <v>26</v>
      </c>
      <c r="CM11" s="215">
        <v>52</v>
      </c>
      <c r="CN11" s="279"/>
      <c r="CQ11" s="373"/>
    </row>
    <row r="12" spans="1:103" ht="16.5" thickBot="1" x14ac:dyDescent="0.3">
      <c r="A12" s="263" t="s">
        <v>135</v>
      </c>
      <c r="B12" s="264" t="s">
        <v>134</v>
      </c>
      <c r="BY12" s="195"/>
      <c r="BZ12" s="196"/>
      <c r="CA12" s="196"/>
      <c r="CB12" s="196"/>
      <c r="CC12" s="196"/>
      <c r="CD12" s="196"/>
      <c r="CE12" s="196"/>
      <c r="CF12" s="336"/>
      <c r="CG12" s="336"/>
      <c r="CH12" s="336"/>
      <c r="CI12" s="336"/>
      <c r="CJ12" s="196"/>
      <c r="CK12" s="196"/>
      <c r="CL12" s="196"/>
      <c r="CM12" s="216"/>
      <c r="CN12" s="280"/>
      <c r="CO12" s="53"/>
    </row>
    <row r="13" spans="1:103" ht="15.75" x14ac:dyDescent="0.25">
      <c r="A13" s="265" t="s">
        <v>126</v>
      </c>
      <c r="B13" s="266" t="s">
        <v>125</v>
      </c>
      <c r="BY13" s="200" t="s">
        <v>29</v>
      </c>
      <c r="BZ13" s="217">
        <v>1.5</v>
      </c>
      <c r="CA13" s="218">
        <v>0.05</v>
      </c>
      <c r="CB13" s="218">
        <v>3</v>
      </c>
      <c r="CC13" s="218">
        <v>46</v>
      </c>
      <c r="CD13" s="218">
        <v>8</v>
      </c>
      <c r="CE13" s="218">
        <v>0.05</v>
      </c>
      <c r="CF13" s="337"/>
      <c r="CG13" s="337"/>
      <c r="CH13" s="337"/>
      <c r="CI13" s="337"/>
      <c r="CJ13" s="218">
        <v>1260</v>
      </c>
      <c r="CK13" s="218">
        <v>6</v>
      </c>
      <c r="CL13" s="218">
        <v>6</v>
      </c>
      <c r="CM13" s="219">
        <v>28</v>
      </c>
      <c r="CN13" s="281"/>
      <c r="CO13" s="53"/>
    </row>
    <row r="14" spans="1:103" ht="16.5" thickBot="1" x14ac:dyDescent="0.3">
      <c r="A14" s="259"/>
      <c r="B14" s="267" t="s">
        <v>120</v>
      </c>
      <c r="BY14" s="201" t="s">
        <v>28</v>
      </c>
      <c r="BZ14" s="220">
        <v>2.2000000000000002</v>
      </c>
      <c r="CA14" s="221">
        <v>0.12</v>
      </c>
      <c r="CB14" s="221">
        <v>10</v>
      </c>
      <c r="CC14" s="221">
        <v>46</v>
      </c>
      <c r="CD14" s="221">
        <v>15</v>
      </c>
      <c r="CE14" s="221">
        <v>0.1</v>
      </c>
      <c r="CF14" s="338"/>
      <c r="CG14" s="338"/>
      <c r="CH14" s="338"/>
      <c r="CI14" s="338"/>
      <c r="CJ14" s="221">
        <v>1260</v>
      </c>
      <c r="CK14" s="221">
        <v>30</v>
      </c>
      <c r="CL14" s="221">
        <v>15</v>
      </c>
      <c r="CM14" s="222">
        <v>45</v>
      </c>
      <c r="CN14" s="281"/>
      <c r="CO14" s="53"/>
    </row>
    <row r="15" spans="1:103" x14ac:dyDescent="0.25">
      <c r="A15" s="146" t="s">
        <v>203</v>
      </c>
    </row>
    <row r="16" spans="1:103" ht="75.75" thickBot="1" x14ac:dyDescent="0.3">
      <c r="BK16" s="380"/>
      <c r="CK16" s="349" t="s">
        <v>446</v>
      </c>
      <c r="CL16" s="350">
        <v>359190.43900000001</v>
      </c>
    </row>
    <row r="17" spans="1:97" s="170" customFormat="1" ht="45.75" thickBot="1" x14ac:dyDescent="0.3">
      <c r="C17" s="147" t="s">
        <v>171</v>
      </c>
      <c r="D17" s="147" t="s">
        <v>152</v>
      </c>
      <c r="E17" s="148" t="s">
        <v>151</v>
      </c>
      <c r="F17" s="225" t="s">
        <v>175</v>
      </c>
      <c r="G17" s="149" t="s">
        <v>132</v>
      </c>
      <c r="H17" s="149" t="s">
        <v>110</v>
      </c>
      <c r="I17" s="149" t="s">
        <v>107</v>
      </c>
      <c r="J17" s="149" t="s">
        <v>93</v>
      </c>
      <c r="K17" s="149" t="s">
        <v>492</v>
      </c>
      <c r="L17" s="149" t="s">
        <v>80</v>
      </c>
      <c r="M17" s="150" t="s">
        <v>66</v>
      </c>
      <c r="N17" s="224" t="s">
        <v>180</v>
      </c>
      <c r="O17" s="381" t="s">
        <v>175</v>
      </c>
      <c r="P17" s="270"/>
      <c r="S17" s="181" t="s">
        <v>152</v>
      </c>
      <c r="T17" s="182" t="s">
        <v>151</v>
      </c>
      <c r="U17" s="183" t="s">
        <v>153</v>
      </c>
      <c r="V17" s="184" t="s">
        <v>149</v>
      </c>
      <c r="W17" s="185" t="s">
        <v>148</v>
      </c>
      <c r="X17" s="128"/>
      <c r="AA17" s="128" t="s">
        <v>174</v>
      </c>
      <c r="AB17" s="257" t="s">
        <v>173</v>
      </c>
      <c r="AE17" s="181" t="s">
        <v>152</v>
      </c>
      <c r="AF17" s="182" t="s">
        <v>151</v>
      </c>
      <c r="AG17" s="183" t="s">
        <v>172</v>
      </c>
      <c r="AH17" s="184" t="s">
        <v>149</v>
      </c>
      <c r="AI17" s="185" t="s">
        <v>148</v>
      </c>
      <c r="AL17" s="128" t="s">
        <v>174</v>
      </c>
      <c r="AM17" s="257" t="s">
        <v>173</v>
      </c>
      <c r="AN17" s="257"/>
      <c r="AQ17" s="190" t="s">
        <v>152</v>
      </c>
      <c r="AR17" s="191" t="s">
        <v>151</v>
      </c>
      <c r="AS17" s="189" t="s">
        <v>38</v>
      </c>
      <c r="AT17" s="189" t="s">
        <v>35</v>
      </c>
      <c r="AU17" s="188" t="s">
        <v>39</v>
      </c>
      <c r="AV17" s="189" t="s">
        <v>32</v>
      </c>
      <c r="AW17" s="189" t="s">
        <v>34</v>
      </c>
      <c r="AX17" s="189" t="s">
        <v>31</v>
      </c>
      <c r="AY17" s="189" t="s">
        <v>30</v>
      </c>
      <c r="AZ17" s="242" t="s">
        <v>43</v>
      </c>
      <c r="BA17" s="207" t="s">
        <v>148</v>
      </c>
      <c r="BB17" s="128"/>
      <c r="BC17" s="378" t="s">
        <v>461</v>
      </c>
      <c r="BD17" s="378" t="s">
        <v>462</v>
      </c>
      <c r="BE17" s="378" t="s">
        <v>463</v>
      </c>
      <c r="BF17" s="378" t="s">
        <v>464</v>
      </c>
      <c r="BG17" s="378" t="s">
        <v>465</v>
      </c>
      <c r="BH17" s="378" t="s">
        <v>466</v>
      </c>
      <c r="BI17" s="378" t="s">
        <v>467</v>
      </c>
      <c r="BJ17" s="377"/>
      <c r="BK17" s="379" t="s">
        <v>468</v>
      </c>
      <c r="BL17" s="378" t="s">
        <v>469</v>
      </c>
      <c r="BM17" s="378" t="s">
        <v>470</v>
      </c>
      <c r="BN17" s="378" t="s">
        <v>471</v>
      </c>
      <c r="BO17" s="378" t="s">
        <v>472</v>
      </c>
      <c r="BP17" s="378" t="s">
        <v>473</v>
      </c>
      <c r="BQ17" s="378" t="s">
        <v>474</v>
      </c>
      <c r="BR17" s="377"/>
      <c r="BS17" s="243" t="s">
        <v>43</v>
      </c>
      <c r="BT17" s="243" t="s">
        <v>179</v>
      </c>
      <c r="BU17" s="244" t="s">
        <v>176</v>
      </c>
      <c r="BV17" s="244" t="s">
        <v>177</v>
      </c>
      <c r="BW17" s="275"/>
      <c r="BX17" s="65"/>
      <c r="BY17" s="181" t="s">
        <v>152</v>
      </c>
      <c r="BZ17" s="182" t="s">
        <v>151</v>
      </c>
      <c r="CA17" s="182" t="s">
        <v>181</v>
      </c>
      <c r="CB17" s="230" t="s">
        <v>182</v>
      </c>
      <c r="CC17" s="230" t="s">
        <v>184</v>
      </c>
      <c r="CD17" s="230" t="s">
        <v>185</v>
      </c>
      <c r="CE17" s="231" t="s">
        <v>183</v>
      </c>
      <c r="CF17" s="339" t="s">
        <v>442</v>
      </c>
      <c r="CG17" s="340" t="s">
        <v>443</v>
      </c>
      <c r="CH17" s="340" t="s">
        <v>444</v>
      </c>
      <c r="CI17" s="341" t="s">
        <v>445</v>
      </c>
      <c r="CJ17" s="257" t="s">
        <v>188</v>
      </c>
      <c r="CK17" s="349" t="s">
        <v>447</v>
      </c>
      <c r="CL17" s="350">
        <f>SUM(CH18:CH39)</f>
        <v>4.4000000000000012</v>
      </c>
      <c r="CP17" s="229"/>
      <c r="CQ17" s="229"/>
      <c r="CR17" s="192"/>
      <c r="CS17" s="192"/>
    </row>
    <row r="18" spans="1:97" s="170" customFormat="1" ht="16.5" thickBot="1" x14ac:dyDescent="0.3">
      <c r="C18" s="172">
        <f>IF(ISBLANK(D18),"",COUNTA($D$18:D18))</f>
        <v>1</v>
      </c>
      <c r="D18" s="174" t="str">
        <f>Акт!C1</f>
        <v>01АХ.01</v>
      </c>
      <c r="E18" s="445" t="str">
        <f>Акт!B1</f>
        <v>0,0-0,2</v>
      </c>
      <c r="F18" s="172">
        <f>VLOOKUP("pH солевой вытяжки",Исх.данные!$C$4:$F$13,4,FALSE)</f>
        <v>6.6</v>
      </c>
      <c r="G18" s="172">
        <f>IF(OR(VLOOKUP("Кадмий",Исх.данные!$C$4:$F$13,4,FALSE)="менее 0.05",VLOOKUP("Кадмий",Исх.данные!$C$4:$F$13,4,FALSE)="менее 0.05 "),"0.05",VLOOKUP("Кадмий",Исх.данные!$C$4:$F$13,4,FALSE))</f>
        <v>0.7</v>
      </c>
      <c r="H18" s="172" t="str">
        <f>IF(OR(VLOOKUP("Медь",Исх.данные!$C$4:$F$13,4,FALSE)="менее 0.1",VLOOKUP("Медь",Исх.данные!$C$4:$F$13,4,FALSE)="менее 0.1 "),"0.1",VLOOKUP("Медь",Исх.данные!$C$4:$F$13,4,FALSE))</f>
        <v>35</v>
      </c>
      <c r="I18" s="172">
        <f>IF(OR(VLOOKUP("Мышьяк",Исх.данные!$C$4:$F$13,4,FALSE)="менее 0.1",VLOOKUP("Мышьяк",Исх.данные!$C$4:$F$13,4,FALSE)="менее 0.1 "),"0.1",VLOOKUP("Мышьяк",Исх.данные!$C$4:$F$13,4,FALSE))</f>
        <v>2</v>
      </c>
      <c r="J18" s="172" t="str">
        <f>VLOOKUP("Никель",Исх.данные!$C$4:$F$13,4,FALSE)</f>
        <v>21</v>
      </c>
      <c r="K18" s="172" t="str">
        <f>IF(OR(VLOOKUP("Ртуть",Исх.данные!$C$4:$F$13,4,FALSE)="менее 0.005",VLOOKUP("Ртуть",Исх.данные!$C$4:$F$13,4,FALSE)="менее 0.005 "),"0.005",VLOOKUP("Ртуть",Исх.данные!$C$4:$F$13,4,FALSE))</f>
        <v>0,2</v>
      </c>
      <c r="L18" s="172" t="str">
        <f>VLOOKUP("Свинец",Исх.данные!$C$4:$F$13,4,FALSE)</f>
        <v>31</v>
      </c>
      <c r="M18" s="172" t="str">
        <f>VLOOKUP("Цинк",Исх.данные!$C$4:$F$13,4,FALSE)</f>
        <v>380</v>
      </c>
      <c r="N18" s="152" t="str">
        <f>Акт!I1</f>
        <v>ПС</v>
      </c>
      <c r="O18" s="382">
        <f>VLOOKUP("pH солевой вытяжки",Исх.данные!$C$4:$F$13,4,FALSE)</f>
        <v>6.6</v>
      </c>
      <c r="P18" s="271"/>
      <c r="Q18" s="170">
        <f t="shared" ref="Q18:Q47" si="0">C18</f>
        <v>1</v>
      </c>
      <c r="S18" s="172" t="str">
        <f t="shared" ref="S18:S47" si="1">D18</f>
        <v>01АХ.01</v>
      </c>
      <c r="T18" s="173" t="str">
        <f t="shared" ref="T18:T47" si="2">E18</f>
        <v>0,0-0,2</v>
      </c>
      <c r="U18" s="173" t="str">
        <f t="shared" ref="U18:U38" si="3">IF(OR(AA18="более 2,0",AA18="более 2,0 "),"&gt;2",IF(OR(AA18="менее 0.005",AA18="менее 0.005 "),"&lt;0.005",CONCATENATE(AA18,AB18)))</f>
        <v>0,13± 0.04</v>
      </c>
      <c r="V18" s="186">
        <f>IFERROR(IF(OR(AA18="более 2.0 ",AA18="более 2.0"),"100",IF(IF(AA18="менее 0.005","нет",AA18/0.02)&gt;1,AA18/0.02,"нет")),"нет")</f>
        <v>6.5</v>
      </c>
      <c r="W18" s="174" t="str">
        <f>IF(V18="нет",$A$10,IF(V18&lt;2,$A$10,IF(U18="&lt;0.005",$A$10,IF((V18&lt;=5),$A$12,$A$13))))</f>
        <v>ЧО</v>
      </c>
      <c r="X18" s="223"/>
      <c r="AA18" s="172" t="str">
        <f>VLOOKUP("Бенз(а)пирен",Исх.данные!$C$4:$F$13,4,FALSE)</f>
        <v>0,13</v>
      </c>
      <c r="AB18" s="172" t="str">
        <f>VLOOKUP("Бенз(а)пирен",Исх.данные!$C$4:$H$13,5,FALSE)</f>
        <v>± 0.04</v>
      </c>
      <c r="AC18" s="170">
        <f t="shared" ref="AC18:AC47" si="4">C18</f>
        <v>1</v>
      </c>
      <c r="AE18" s="172" t="str">
        <f t="shared" ref="AE18:AE47" si="5">D18</f>
        <v>01АХ.01</v>
      </c>
      <c r="AF18" s="173" t="str">
        <f t="shared" ref="AF18:AF47" si="6">E18</f>
        <v>0,0-0,2</v>
      </c>
      <c r="AG18" s="173" t="str">
        <f t="shared" ref="AG18:AG38" si="7">IF(OR(AL18="менее 50.0",AL18="менее 50.0 "),"&lt;50",CONCATENATE(AL18,AM18))</f>
        <v>890± 220</v>
      </c>
      <c r="AH18" s="187" t="str">
        <f>IFERROR(IF(IF(AL18="менее 50,0","нет",AL18/1000)&gt;1,AL18/1000,"нет"),"нет")</f>
        <v>нет</v>
      </c>
      <c r="AI18" s="238" t="str">
        <f>IF(AH18="нет",$B$10,IF(AH18&lt;1,$B$10,IF((AH18&lt;=2),$B$11,IF((AH18&lt;=3),$B$12,IF((AH18&lt;=5),$B$13,$B$14)))))</f>
        <v>Допустимый</v>
      </c>
      <c r="AL18" s="172" t="str">
        <f>VLOOKUP("Нефтепродукты",Исх.данные!$C$4:$F$13,4,FALSE)</f>
        <v>890</v>
      </c>
      <c r="AM18" s="172" t="str">
        <f>VLOOKUP("Нефтепродукты",Исх.данные!$C$4:$H$13,5,FALSE)</f>
        <v>± 220</v>
      </c>
      <c r="AO18" s="170">
        <f t="shared" ref="AO18:AO47" si="8">C18</f>
        <v>1</v>
      </c>
      <c r="AQ18" s="209" t="str">
        <f t="shared" ref="AQ18:AQ47" si="9">D18</f>
        <v>01АХ.01</v>
      </c>
      <c r="AR18" s="210" t="str">
        <f t="shared" ref="AR18:AR47" si="10">E18</f>
        <v>0,0-0,2</v>
      </c>
      <c r="AS18" s="187">
        <f t="shared" ref="AS18:AS47" si="11">IFERROR(IF((IF(N18="ПС",G18/$CA$4,IF(O18&lt;5.5,G18/$CA$5,G18/$CA$7)))&lt;=1,"нет",IF(N18="ПС",G18/$CA$4,IF(O18&lt;5.5,G18/$CA$5,G18/$CA$7))),"ошибка")</f>
        <v>1.4</v>
      </c>
      <c r="AT18" s="187">
        <f t="shared" ref="AT18:AT47" si="12">IFERROR(IF((IF(N18="ПС",H18/$CD$4,IF(O18&lt;5.5,H18/$CD$5,H18/$CD$7)))&lt;=1,"нет",IF(N18="ПС",H18/$CD$4,IF(O18&lt;5.5,H18/$CD$5,H18/$CD$7))),"ошибка")</f>
        <v>1.0606060606060606</v>
      </c>
      <c r="AU18" s="205" t="str">
        <f t="shared" ref="AU18:AU47" si="13">IFERROR(IF((IF(N18="ПС",I18/$BZ$4,IF(O18&lt;5.5,I18/$BZ$5,I18/$BZ$7)))&lt;=1,"нет",IF(N18="ПС",I18/$BZ$4,IF(O18&lt;5.5,I18/$BZ$5,I18/$BZ$7))),"ошибка")</f>
        <v>нет</v>
      </c>
      <c r="AV18" s="187">
        <f t="shared" ref="AV18:AV47" si="14">IFERROR(IF((IF(N18="ПС",J18/$CK$4,IF(O18&lt;5.5,J18/$CK$5,J18/$CK$7)))&lt;=1,"нет",IF(N18="ПС",J18/$CK$4,IF(O18&lt;5.5,J18/$CK$5,J18/$CK$7))),"ошибка")</f>
        <v>1.05</v>
      </c>
      <c r="AW18" s="187" t="str">
        <f t="shared" ref="AW18:AW47" si="15">IFERROR(IF(K18/$CE$3&lt;=1,"нет",K18/$CE$3),"ошибка")</f>
        <v>нет</v>
      </c>
      <c r="AX18" s="187" t="str">
        <f t="shared" ref="AX18:AX47" si="16">IFERROR(IF((IF(N18="ПС",L18/$CL$4,IF(O18&lt;5.5,L18/$CL$5,L18/$CL$7)))&lt;=1,"нет",IF(N18="ПС",L18/$CL$4,IF(O18&lt;5.5,L18/$CL$5,L18/$CL$7))),"ошибка")</f>
        <v>нет</v>
      </c>
      <c r="AY18" s="208">
        <f t="shared" ref="AY18:AY47" si="17">IFERROR(IF((IF(N18="ПС",M18/$CM$4,IF(O18&lt;5.5,M18/$CM$5,M18/$CM$7)))&lt;=1,"нет",IF(N18="ПС",M18/$CM$4,IF(O18&lt;5.5,M18/$CM$5,M18/$CM$7))),"ошибка")</f>
        <v>6.9090909090909092</v>
      </c>
      <c r="AZ18" s="187">
        <f t="shared" ref="AZ18:AZ47" si="18">IF($AZ$17=$BS$17,BS18,BT18)</f>
        <v>10.17962962962963</v>
      </c>
      <c r="BA18" s="203" t="str">
        <f t="shared" ref="BA18:BA38" si="19">IF(AZ18="","",IF(AZ18&lt;16,$A$10,IF((AZ18&lt;=32),$A$11,IF((AZ18&lt;=128),$A$12,$A$13))))</f>
        <v>Д</v>
      </c>
      <c r="BB18" s="276"/>
      <c r="BC18" s="186">
        <f t="shared" ref="BC18:BC47" si="20">G18/$CA$11</f>
        <v>2.3333333333333335</v>
      </c>
      <c r="BD18" s="186">
        <f t="shared" ref="BD18:BD47" si="21">H18/$CD$11</f>
        <v>1.2962962962962963</v>
      </c>
      <c r="BE18" s="186">
        <f t="shared" ref="BE18:BE47" si="22">I18/$BZ$11</f>
        <v>0.30303030303030304</v>
      </c>
      <c r="BF18" s="186">
        <f t="shared" ref="BF18:BF47" si="23">J18/$CK$11</f>
        <v>1.05</v>
      </c>
      <c r="BG18" s="186">
        <f t="shared" ref="BG18:BG47" si="24">K18/$CE$11</f>
        <v>2</v>
      </c>
      <c r="BH18" s="186">
        <f t="shared" ref="BH18:BH47" si="25">L18/$CL$11</f>
        <v>1.1923076923076923</v>
      </c>
      <c r="BI18" s="186">
        <f t="shared" ref="BI18:BI47" si="26">M18/$CM$11</f>
        <v>7.3076923076923075</v>
      </c>
      <c r="BJ18" s="276"/>
      <c r="BK18" s="186">
        <f>IF($N18="ПС",$G18/$CA$13,$G18/$CA$14)</f>
        <v>13.999999999999998</v>
      </c>
      <c r="BL18" s="186">
        <f>IF($N18="ПС",$H18/$CD$13,$H18/$CD$14)</f>
        <v>4.375</v>
      </c>
      <c r="BM18" s="186">
        <f>IF($N18="ПС",$I18/$BZ$13,$I18/$BZ$14)</f>
        <v>1.3333333333333333</v>
      </c>
      <c r="BN18" s="186">
        <f>IF($N18="ПС",$J18/$CK$13,$J18/$CK$14)</f>
        <v>3.5</v>
      </c>
      <c r="BO18" s="186">
        <f>IF($N18="ПС",$K18/$CE$13,$K18/$CE$14)</f>
        <v>4</v>
      </c>
      <c r="BP18" s="186">
        <f>IF($N18="ПС",$L18/$CL$13,$L18/$CL$14)</f>
        <v>5.166666666666667</v>
      </c>
      <c r="BQ18" s="186">
        <f>IF($N18="ПС",$M18/$CM$13,$M18/$CM$14)</f>
        <v>13.571428571428571</v>
      </c>
      <c r="BR18" s="276"/>
      <c r="BS18" s="202">
        <f t="shared" ref="BS18:BS47" si="27">IF(D18="","",(IF(G18/$CA$11&gt;=1,(G18/$CA$11)-1)+IF(H18/$CD$11&gt;=1,(H18/$CD$11)-1)+IF(I18/$BZ$11&gt;=1,(I18/$BZ$11)-1)+IF(J18/$CK$11&gt;=1,(J18/$CK$11)-1)+IF(L18/$CL$11&gt;=1,(L18/$CL$11)-1)+IF(K18/$CE$11&gt;=1,(K18/$CE$11)-1)+IF(M18/$CM$11&gt;=1,(M18/$CM$11)-1))+1)</f>
        <v>10.17962962962963</v>
      </c>
      <c r="BT18" s="205">
        <f t="shared" ref="BT18:BT47" si="28">IF(BU18="","",IF(N18="ПС",BU18,BV18))</f>
        <v>39.946428571428569</v>
      </c>
      <c r="BU18" s="187">
        <f t="shared" ref="BU18:BU47" si="29">IF(D18="","",(IF(G18/$CA$13&gt;=1,(G18/$CA$13)-1)+IF(H18/$CD$13&gt;=1,(H18/$CD$13)-1)+IF(I18/$BZ$13&gt;=1,(I18/$BZ$13)-1)+IF(J18/$CK$13&gt;=1,(J18/$CK$13)-1)+IF(L18/$CL$13&gt;=1,(L18/$CL$13)-1)+IF(K18/$CE$13&gt;=1,(K18/$CE$13)-1)+IF(M18/$CM$13&gt;=1,(M18/$CM$13)-1))+1)</f>
        <v>39.946428571428569</v>
      </c>
      <c r="BV18" s="203">
        <f t="shared" ref="BV18:BV47" si="30">IF(D18="","",(IF(G18/$CA$14&gt;=1,(G18/$CA$14)-1)+IF(H18/$CD$14&gt;=1,(H18/$CD$14)-1)+IF(I18/$BZ$14&gt;=1,(I18/$BZ$14)-1)+IF(J18/$CK$14&gt;=1,(J18/$CK$14)-1)+IF(L18/$CL$14&gt;=1,(L18/$CL$14)-1)+IF(K18/$CE$14&gt;=1,(K18/$CE$14)-1)+IF(M18/$CM$14&gt;=1,(M18/$CM$14)-1))+1)</f>
        <v>16.677777777777777</v>
      </c>
      <c r="BW18" s="276"/>
      <c r="BX18" s="258">
        <f t="shared" ref="BX18:BX47" si="31">C18</f>
        <v>1</v>
      </c>
      <c r="BY18" s="172" t="str">
        <f t="shared" ref="BY18:BY47" si="32">D18</f>
        <v>01АХ.01</v>
      </c>
      <c r="BZ18" s="173" t="str">
        <f t="shared" ref="BZ18:BZ47" si="33">E18</f>
        <v>0,0-0,2</v>
      </c>
      <c r="CA18" s="173" t="str">
        <f>CONCATENATE("Зона"," ",MID(BY18,2,1))</f>
        <v>Зона 1</v>
      </c>
      <c r="CB18" s="187" t="str">
        <f t="shared" ref="CB18:CB47" si="34">BA18</f>
        <v>Д</v>
      </c>
      <c r="CC18" s="173" t="str">
        <f t="shared" ref="CC18:CC47" si="35">W18</f>
        <v>ЧО</v>
      </c>
      <c r="CD18" s="173" t="str">
        <f t="shared" ref="CD18:CD38" si="36">IF(OR((CB18=$A$13),(CC18=$A$13)),$A$13,IF(OR((CB18=$A$12),(CC18=$A$12)),$A$12,IF(OR((CB18=$A$11),(CC18=$A$11)),$A$11,$A$10)))</f>
        <v>ЧО</v>
      </c>
      <c r="CE18" s="238" t="str">
        <f t="shared" ref="CE18:CE46" si="37">AI18</f>
        <v>Допустимый</v>
      </c>
      <c r="CF18" s="342" t="s">
        <v>225</v>
      </c>
      <c r="CG18" s="343">
        <f>CI18*CH18</f>
        <v>552.45083999999997</v>
      </c>
      <c r="CH18" s="344">
        <v>0.2</v>
      </c>
      <c r="CI18" s="344">
        <v>2762.2541999999999</v>
      </c>
      <c r="CJ18" s="170" t="str">
        <f>RIGHT(BY18)</f>
        <v>1</v>
      </c>
      <c r="CP18" s="53"/>
      <c r="CQ18" s="53"/>
      <c r="CR18" s="53"/>
      <c r="CS18" s="53"/>
    </row>
    <row r="19" spans="1:97" s="170" customFormat="1" ht="16.5" thickBot="1" x14ac:dyDescent="0.3">
      <c r="C19" s="175">
        <f>IF(ISBLANK(D19),"",COUNTA($D$18:D19))</f>
        <v>2</v>
      </c>
      <c r="D19" s="174" t="str">
        <f>Акт!C2</f>
        <v>02АХ.01</v>
      </c>
      <c r="E19" s="445" t="str">
        <f>Акт!B2</f>
        <v>0,0-0,2</v>
      </c>
      <c r="F19" s="172">
        <f>VLOOKUP("pH солевой вытяжки",Исх.данные!$C$17:$F$27,4,FALSE)</f>
        <v>6.6</v>
      </c>
      <c r="G19" s="172">
        <f>IF(OR(VLOOKUP("Кадмий",Исх.данные!$C$17:$F$27,4,FALSE)="менее 0.05",VLOOKUP("Кадмий",Исх.данные!$C$17:$F$27,4,FALSE)="менее 0.05 "),"0.05",VLOOKUP("Кадмий",Исх.данные!$C$17:$F$27,4,FALSE))</f>
        <v>0.19</v>
      </c>
      <c r="H19" s="172">
        <f>IF(OR(VLOOKUP("Медь",Исх.данные!$C$17:$F$27,4,FALSE)="менее 0.1",VLOOKUP("Медь",Исх.данные!$C$17:$F$27,4,FALSE)="менее 0.1 "),"0.1",VLOOKUP("Медь",Исх.данные!$C$17:$F$27,4,FALSE))</f>
        <v>9.6999999999999993</v>
      </c>
      <c r="I19" s="172">
        <f>IF(OR(VLOOKUP("Мышьяк",Исх.данные!$C$17:$F$27,4,FALSE)="менее 0.1",VLOOKUP("Мышьяк",Исх.данные!$C$17:$F$27,4,FALSE)="менее 0.1 "),"0.1",VLOOKUP("Мышьяк",Исх.данные!$C$17:$F$27,4,FALSE))</f>
        <v>4.2</v>
      </c>
      <c r="J19" s="172" t="str">
        <f>VLOOKUP("Никель",Исх.данные!$C$17:$F$27,4,FALSE)</f>
        <v>12</v>
      </c>
      <c r="K19" s="172" t="str">
        <f>IF(OR(VLOOKUP("Ртуть",Исх.данные!$C$17:$F$27,4,FALSE)="менее 0.005",VLOOKUP("Ртуть",Исх.данные!$C$17:$F$27,4,FALSE)="менее 0.005 "),"0.005",VLOOKUP("Ртуть",Исх.данные!$C$17:$F$27,4,FALSE))</f>
        <v>0,047</v>
      </c>
      <c r="L19" s="172">
        <f>VLOOKUP("Свинец",Исх.данные!$C$17:$F$27,4,FALSE)</f>
        <v>8.8000000000000007</v>
      </c>
      <c r="M19" s="172" t="str">
        <f>VLOOKUP("Цинк",Исх.данные!$C$17:$F$27,4,FALSE)</f>
        <v>40</v>
      </c>
      <c r="N19" s="152" t="str">
        <f>Акт!I2</f>
        <v>ПС</v>
      </c>
      <c r="O19" s="382">
        <f>VLOOKUP("pH солевой вытяжки",Исх.данные!$C$17:$F$27,4,FALSE)</f>
        <v>6.6</v>
      </c>
      <c r="P19" s="212"/>
      <c r="Q19" s="170">
        <f t="shared" si="0"/>
        <v>2</v>
      </c>
      <c r="S19" s="175" t="str">
        <f t="shared" si="1"/>
        <v>02АХ.01</v>
      </c>
      <c r="T19" s="176" t="str">
        <f t="shared" si="2"/>
        <v>0,0-0,2</v>
      </c>
      <c r="U19" s="176" t="str">
        <f t="shared" si="3"/>
        <v>0,15± 0.04</v>
      </c>
      <c r="V19" s="186">
        <f t="shared" ref="V19:V47" si="38">IFERROR(IF(OR(AA19="более 2.0 ",AA19="более 2.0"),"100",IF(IF(AA19="менее 0.005","нет",AA19/0.02)&gt;1,AA19/0.02,"нет")),"нет")</f>
        <v>7.5</v>
      </c>
      <c r="W19" s="174" t="str">
        <f t="shared" ref="W19:W47" si="39">IF(V19="нет",$A$10,IF(V19&lt;2,$A$10,IF(U19="&lt;0.005",$A$10,IF((V19&lt;=5),$A$12,$A$13))))</f>
        <v>ЧО</v>
      </c>
      <c r="X19" s="223"/>
      <c r="AA19" s="172" t="str">
        <f>VLOOKUP("Бенз(а)пирен",Исх.данные!$C$17:$F$27,4,FALSE)</f>
        <v>0,15</v>
      </c>
      <c r="AB19" s="172" t="str">
        <f>VLOOKUP("Бенз(а)пирен",Исх.данные!$C$17:$H$27,5,FALSE)</f>
        <v>± 0.04</v>
      </c>
      <c r="AC19" s="170">
        <f t="shared" si="4"/>
        <v>2</v>
      </c>
      <c r="AE19" s="175" t="str">
        <f t="shared" si="5"/>
        <v>02АХ.01</v>
      </c>
      <c r="AF19" s="176" t="str">
        <f t="shared" si="6"/>
        <v>0,0-0,2</v>
      </c>
      <c r="AG19" s="176" t="str">
        <f t="shared" si="7"/>
        <v>130± 50</v>
      </c>
      <c r="AH19" s="187" t="str">
        <f t="shared" ref="AH19:AH47" si="40">IFERROR(IF(IF(AL19="менее 50,0","нет",AL19/1000)&gt;1,AL19/1000,"нет"),"нет")</f>
        <v>нет</v>
      </c>
      <c r="AI19" s="238" t="str">
        <f t="shared" ref="AI19:AI47" si="41">IF(AH19="нет",$B$10,IF(AH19&lt;1,$B$10,IF((AH19&lt;=2),$B$11,IF((AH19&lt;=3),$B$12,IF((AH19&lt;=5),$B$13,$B$14)))))</f>
        <v>Допустимый</v>
      </c>
      <c r="AL19" s="172" t="str">
        <f>VLOOKUP("Нефтепродукты",Исх.данные!$C$17:$F$27,4,FALSE)</f>
        <v>130</v>
      </c>
      <c r="AM19" s="172" t="str">
        <f>VLOOKUP("Нефтепродукты",Исх.данные!$C$17:$H$27,5,FALSE)</f>
        <v>± 50</v>
      </c>
      <c r="AO19" s="170">
        <f t="shared" si="8"/>
        <v>2</v>
      </c>
      <c r="AQ19" s="211" t="str">
        <f t="shared" si="9"/>
        <v>02АХ.01</v>
      </c>
      <c r="AR19" s="212" t="str">
        <f t="shared" si="10"/>
        <v>0,0-0,2</v>
      </c>
      <c r="AS19" s="187" t="str">
        <f t="shared" si="11"/>
        <v>нет</v>
      </c>
      <c r="AT19" s="187" t="str">
        <f t="shared" si="12"/>
        <v>нет</v>
      </c>
      <c r="AU19" s="205">
        <f>IFERROR(IF((IF(N19="ПС",I19/$BZ$4,IF(O19&lt;5.5,I19/$BZ$5,I19/$BZ$7)))&lt;=1,"нет",IF(N19="ПС",I19/$BZ$4,IF(O19&lt;5.5,I19/$BZ$5,I19/$BZ$7))),"ошибка")</f>
        <v>2.1</v>
      </c>
      <c r="AV19" s="187" t="str">
        <f t="shared" si="14"/>
        <v>нет</v>
      </c>
      <c r="AW19" s="187" t="str">
        <f t="shared" si="15"/>
        <v>нет</v>
      </c>
      <c r="AX19" s="187" t="str">
        <f t="shared" si="16"/>
        <v>нет</v>
      </c>
      <c r="AY19" s="208" t="str">
        <f t="shared" si="17"/>
        <v>нет</v>
      </c>
      <c r="AZ19" s="186">
        <f t="shared" si="18"/>
        <v>1</v>
      </c>
      <c r="BA19" s="204" t="str">
        <f t="shared" si="19"/>
        <v>Д</v>
      </c>
      <c r="BB19" s="276"/>
      <c r="BC19" s="186">
        <f t="shared" si="20"/>
        <v>0.63333333333333341</v>
      </c>
      <c r="BD19" s="186">
        <f t="shared" si="21"/>
        <v>0.35925925925925922</v>
      </c>
      <c r="BE19" s="186">
        <f t="shared" si="22"/>
        <v>0.63636363636363646</v>
      </c>
      <c r="BF19" s="186">
        <f t="shared" si="23"/>
        <v>0.6</v>
      </c>
      <c r="BG19" s="186">
        <f t="shared" si="24"/>
        <v>0.47</v>
      </c>
      <c r="BH19" s="186">
        <f t="shared" si="25"/>
        <v>0.33846153846153848</v>
      </c>
      <c r="BI19" s="186">
        <f t="shared" si="26"/>
        <v>0.76923076923076927</v>
      </c>
      <c r="BJ19" s="276"/>
      <c r="BK19" s="186">
        <f t="shared" ref="BK19:BK82" si="42">IF($N19="ПС",$G19/$CA$13,$G19/$CA$14)</f>
        <v>3.8</v>
      </c>
      <c r="BL19" s="186">
        <f t="shared" ref="BL19:BL82" si="43">IF($N19="ПС",$H19/$CD$13,$H19/$CD$14)</f>
        <v>1.2124999999999999</v>
      </c>
      <c r="BM19" s="186">
        <f t="shared" ref="BM19:BM82" si="44">IF($N19="ПС",$I19/$BZ$13,$I19/$BZ$14)</f>
        <v>2.8000000000000003</v>
      </c>
      <c r="BN19" s="186">
        <f t="shared" ref="BN19:BN82" si="45">IF($N19="ПС",$J19/$CK$13,$J19/$CK$14)</f>
        <v>2</v>
      </c>
      <c r="BO19" s="186">
        <f t="shared" ref="BO19:BO82" si="46">IF($N19="ПС",$K19/$CE$13,$K19/$CE$14)</f>
        <v>0.94</v>
      </c>
      <c r="BP19" s="186">
        <f t="shared" ref="BP19:BP82" si="47">IF($N19="ПС",$L19/$CL$13,$L19/$CL$14)</f>
        <v>1.4666666666666668</v>
      </c>
      <c r="BQ19" s="186">
        <f t="shared" ref="BQ19:BQ82" si="48">IF($N19="ПС",$M19/$CM$13,$M19/$CM$14)</f>
        <v>1.4285714285714286</v>
      </c>
      <c r="BR19" s="276"/>
      <c r="BS19" s="202">
        <f t="shared" si="27"/>
        <v>1</v>
      </c>
      <c r="BT19" s="206">
        <f t="shared" si="28"/>
        <v>7.7077380952380956</v>
      </c>
      <c r="BU19" s="187">
        <f t="shared" si="29"/>
        <v>7.7077380952380956</v>
      </c>
      <c r="BV19" s="203">
        <f t="shared" si="30"/>
        <v>2.4924242424242422</v>
      </c>
      <c r="BW19" s="276"/>
      <c r="BX19" s="258">
        <f t="shared" si="31"/>
        <v>2</v>
      </c>
      <c r="BY19" s="172" t="str">
        <f t="shared" si="32"/>
        <v>02АХ.01</v>
      </c>
      <c r="BZ19" s="176" t="str">
        <f t="shared" si="33"/>
        <v>0,0-0,2</v>
      </c>
      <c r="CA19" s="173" t="str">
        <f t="shared" ref="CA19:CA47" si="49">CONCATENATE("Зона"," ",MID(BY19,2,1))</f>
        <v>Зона 2</v>
      </c>
      <c r="CB19" s="186" t="str">
        <f t="shared" si="34"/>
        <v>Д</v>
      </c>
      <c r="CC19" s="176" t="str">
        <f t="shared" si="35"/>
        <v>ЧО</v>
      </c>
      <c r="CD19" s="176" t="str">
        <f t="shared" si="36"/>
        <v>ЧО</v>
      </c>
      <c r="CE19" s="239" t="str">
        <f t="shared" si="37"/>
        <v>Допустимый</v>
      </c>
      <c r="CF19" s="342" t="s">
        <v>225</v>
      </c>
      <c r="CG19" s="345" t="s">
        <v>48</v>
      </c>
      <c r="CH19" s="249">
        <v>0.2</v>
      </c>
      <c r="CI19" s="249">
        <v>14782.9773</v>
      </c>
      <c r="CJ19" s="170" t="str">
        <f t="shared" ref="CJ19:CJ47" si="50">RIGHT(BY19)</f>
        <v>1</v>
      </c>
      <c r="CK19" s="351" t="s">
        <v>448</v>
      </c>
      <c r="CP19" s="16"/>
      <c r="CQ19" s="16"/>
    </row>
    <row r="20" spans="1:97" s="170" customFormat="1" ht="16.5" thickBot="1" x14ac:dyDescent="0.3">
      <c r="C20" s="175">
        <f>IF(ISBLANK(D20),"",COUNTA($D$18:D20))</f>
        <v>3</v>
      </c>
      <c r="D20" s="174" t="str">
        <f>Акт!C3</f>
        <v>03АХ.01</v>
      </c>
      <c r="E20" s="445" t="str">
        <f>Акт!B3</f>
        <v>0,0-0,2</v>
      </c>
      <c r="F20" s="172">
        <f>VLOOKUP("pH солевой вытяжки",Исх.данные!$C$31:$F$41,4,FALSE)</f>
        <v>6.7</v>
      </c>
      <c r="G20" s="172">
        <f>IF(OR(VLOOKUP("Кадмий",Исх.данные!$C$31:$F$41,4,FALSE)="менее 0.05",VLOOKUP("Кадмий",Исх.данные!$C$31:$F$41,4,FALSE)="менее 0.05 "),"0.05",VLOOKUP("Кадмий",Исх.данные!$C$31:$F$41,4,FALSE))</f>
        <v>0.44</v>
      </c>
      <c r="H20" s="172" t="str">
        <f>IF(OR(VLOOKUP("Медь",Исх.данные!$C$31:$F$41,4,FALSE)="менее 0.1",VLOOKUP("Медь",Исх.данные!$C$31:$F$41,4,FALSE)="менее 0.1 "),"0.1",VLOOKUP("Медь",Исх.данные!$C$31:$F$41,4,FALSE))</f>
        <v>29</v>
      </c>
      <c r="I20" s="172">
        <f>IF(OR(VLOOKUP("Мышьяк",Исх.данные!$C$31:$F$41,4,FALSE)="менее 0.1",VLOOKUP("Мышьяк",Исх.данные!$C$31:$F$41,4,FALSE)="менее 0.1 "),"0.1",VLOOKUP("Мышьяк",Исх.данные!$C$31:$F$41,4,FALSE))</f>
        <v>0.24</v>
      </c>
      <c r="J20" s="172" t="str">
        <f>VLOOKUP("Никель",Исх.данные!$C$31:$F$41,4,FALSE)</f>
        <v>14</v>
      </c>
      <c r="K20" s="172" t="str">
        <f>IF(OR(VLOOKUP("Ртуть",Исх.данные!$C$31:$F$41,4,FALSE)="менее 0.005",VLOOKUP("Ртуть",Исх.данные!$C$31:$F$41,4,FALSE)="менее 0.005 "),"0.005",VLOOKUP("Ртуть",Исх.данные!$C$31:$F$41,4,FALSE))</f>
        <v>0,210</v>
      </c>
      <c r="L20" s="172" t="str">
        <f>VLOOKUP("Свинец",Исх.данные!$C$31:$F$41,4,FALSE)</f>
        <v>20</v>
      </c>
      <c r="M20" s="172" t="str">
        <f>VLOOKUP("Цинк",Исх.данные!$C$31:$F$41,4,FALSE)</f>
        <v>180</v>
      </c>
      <c r="N20" s="152" t="str">
        <f>Акт!I3</f>
        <v>ПС</v>
      </c>
      <c r="O20" s="382">
        <f>VLOOKUP("pH солевой вытяжки",Исх.данные!$C$31:$F$41,4,FALSE)</f>
        <v>6.7</v>
      </c>
      <c r="P20" s="212"/>
      <c r="Q20" s="170">
        <f t="shared" si="0"/>
        <v>3</v>
      </c>
      <c r="S20" s="175" t="str">
        <f t="shared" si="1"/>
        <v>03АХ.01</v>
      </c>
      <c r="T20" s="176" t="str">
        <f t="shared" si="2"/>
        <v>0,0-0,2</v>
      </c>
      <c r="U20" s="176" t="str">
        <f t="shared" si="3"/>
        <v>0,12± 0.03</v>
      </c>
      <c r="V20" s="186">
        <f t="shared" si="38"/>
        <v>6</v>
      </c>
      <c r="W20" s="174" t="str">
        <f t="shared" si="39"/>
        <v>ЧО</v>
      </c>
      <c r="X20" s="223"/>
      <c r="AA20" s="172">
        <f>VLOOKUP("Бенз(а)пирен",Исх.данные!$C$31:$F$41,4,FALSE)</f>
        <v>0.12</v>
      </c>
      <c r="AB20" s="172" t="str">
        <f>VLOOKUP("Бенз(а)пирен",Исх.данные!$C$31:$H$41,5,FALSE)</f>
        <v>± 0.03</v>
      </c>
      <c r="AC20" s="170">
        <f t="shared" si="4"/>
        <v>3</v>
      </c>
      <c r="AE20" s="175" t="str">
        <f t="shared" si="5"/>
        <v>03АХ.01</v>
      </c>
      <c r="AF20" s="176" t="str">
        <f t="shared" si="6"/>
        <v>0,0-0,2</v>
      </c>
      <c r="AG20" s="176" t="str">
        <f t="shared" si="7"/>
        <v>250± 60</v>
      </c>
      <c r="AH20" s="187" t="str">
        <f t="shared" si="40"/>
        <v>нет</v>
      </c>
      <c r="AI20" s="238" t="str">
        <f t="shared" si="41"/>
        <v>Допустимый</v>
      </c>
      <c r="AL20" s="172" t="str">
        <f>VLOOKUP("Нефтепродукты",Исх.данные!$C$31:$F$41,4,FALSE)</f>
        <v>250</v>
      </c>
      <c r="AM20" s="172" t="str">
        <f>VLOOKUP("Нефтепродукты",Исх.данные!$C$31:$H$41,5,FALSE)</f>
        <v>± 60</v>
      </c>
      <c r="AO20" s="170">
        <f t="shared" si="8"/>
        <v>3</v>
      </c>
      <c r="AQ20" s="211" t="str">
        <f t="shared" si="9"/>
        <v>03АХ.01</v>
      </c>
      <c r="AR20" s="212" t="str">
        <f t="shared" si="10"/>
        <v>0,0-0,2</v>
      </c>
      <c r="AS20" s="187" t="str">
        <f t="shared" si="11"/>
        <v>нет</v>
      </c>
      <c r="AT20" s="187" t="str">
        <f t="shared" si="12"/>
        <v>нет</v>
      </c>
      <c r="AU20" s="205" t="str">
        <f t="shared" si="13"/>
        <v>нет</v>
      </c>
      <c r="AV20" s="187" t="str">
        <f t="shared" si="14"/>
        <v>нет</v>
      </c>
      <c r="AW20" s="187" t="str">
        <f t="shared" si="15"/>
        <v>нет</v>
      </c>
      <c r="AX20" s="187" t="str">
        <f t="shared" si="16"/>
        <v>нет</v>
      </c>
      <c r="AY20" s="208">
        <f t="shared" si="17"/>
        <v>3.2727272727272729</v>
      </c>
      <c r="AZ20" s="186">
        <f t="shared" si="18"/>
        <v>5.1022792022792025</v>
      </c>
      <c r="BA20" s="204" t="str">
        <f t="shared" si="19"/>
        <v>Д</v>
      </c>
      <c r="BB20" s="276"/>
      <c r="BC20" s="186">
        <f t="shared" si="20"/>
        <v>1.4666666666666668</v>
      </c>
      <c r="BD20" s="186">
        <f t="shared" si="21"/>
        <v>1.0740740740740742</v>
      </c>
      <c r="BE20" s="186">
        <f t="shared" si="22"/>
        <v>3.6363636363636362E-2</v>
      </c>
      <c r="BF20" s="186">
        <f t="shared" si="23"/>
        <v>0.7</v>
      </c>
      <c r="BG20" s="186">
        <f t="shared" si="24"/>
        <v>2.0999999999999996</v>
      </c>
      <c r="BH20" s="186">
        <f t="shared" si="25"/>
        <v>0.76923076923076927</v>
      </c>
      <c r="BI20" s="186">
        <f t="shared" si="26"/>
        <v>3.4615384615384617</v>
      </c>
      <c r="BJ20" s="276"/>
      <c r="BK20" s="186">
        <f t="shared" si="42"/>
        <v>8.7999999999999989</v>
      </c>
      <c r="BL20" s="186">
        <f t="shared" si="43"/>
        <v>3.625</v>
      </c>
      <c r="BM20" s="186">
        <f t="shared" si="44"/>
        <v>0.16</v>
      </c>
      <c r="BN20" s="186">
        <f t="shared" si="45"/>
        <v>2.3333333333333335</v>
      </c>
      <c r="BO20" s="186">
        <f t="shared" si="46"/>
        <v>4.1999999999999993</v>
      </c>
      <c r="BP20" s="186">
        <f t="shared" si="47"/>
        <v>3.3333333333333335</v>
      </c>
      <c r="BQ20" s="186">
        <f t="shared" si="48"/>
        <v>6.4285714285714288</v>
      </c>
      <c r="BR20" s="276"/>
      <c r="BS20" s="202">
        <f t="shared" si="27"/>
        <v>5.1022792022792025</v>
      </c>
      <c r="BT20" s="206">
        <f t="shared" si="28"/>
        <v>23.720238095238095</v>
      </c>
      <c r="BU20" s="187">
        <f t="shared" si="29"/>
        <v>23.720238095238095</v>
      </c>
      <c r="BV20" s="203">
        <f t="shared" si="30"/>
        <v>9.0333333333333332</v>
      </c>
      <c r="BW20" s="276"/>
      <c r="BX20" s="258">
        <f t="shared" si="31"/>
        <v>3</v>
      </c>
      <c r="BY20" s="172" t="str">
        <f t="shared" si="32"/>
        <v>03АХ.01</v>
      </c>
      <c r="BZ20" s="176" t="str">
        <f t="shared" si="33"/>
        <v>0,0-0,2</v>
      </c>
      <c r="CA20" s="173" t="str">
        <f t="shared" si="49"/>
        <v>Зона 3</v>
      </c>
      <c r="CB20" s="186" t="str">
        <f t="shared" si="34"/>
        <v>Д</v>
      </c>
      <c r="CC20" s="176" t="str">
        <f t="shared" si="35"/>
        <v>ЧО</v>
      </c>
      <c r="CD20" s="176" t="str">
        <f t="shared" si="36"/>
        <v>ЧО</v>
      </c>
      <c r="CE20" s="239" t="str">
        <f t="shared" si="37"/>
        <v>Допустимый</v>
      </c>
      <c r="CF20" s="342" t="s">
        <v>225</v>
      </c>
      <c r="CG20" s="345" t="s">
        <v>48</v>
      </c>
      <c r="CH20" s="249">
        <v>0.2</v>
      </c>
      <c r="CI20" s="249">
        <v>12527.5833</v>
      </c>
      <c r="CJ20" s="170" t="str">
        <f t="shared" si="50"/>
        <v>1</v>
      </c>
      <c r="CP20" s="16"/>
      <c r="CQ20" s="16"/>
    </row>
    <row r="21" spans="1:97" s="170" customFormat="1" ht="16.5" thickBot="1" x14ac:dyDescent="0.3">
      <c r="C21" s="177">
        <f>IF(ISBLANK(D21),"",COUNTA($D$18:D21))</f>
        <v>4</v>
      </c>
      <c r="D21" s="174" t="str">
        <f>Акт!C4</f>
        <v>01АХ.02</v>
      </c>
      <c r="E21" s="445" t="str">
        <f>Акт!B4</f>
        <v>0,2-0,5</v>
      </c>
      <c r="F21" s="172">
        <f>VLOOKUP("pH солевой вытяжки",Исх.данные!$C$47:$F$57,4,FALSE)</f>
        <v>7.1</v>
      </c>
      <c r="G21" s="172">
        <f>IF(OR(VLOOKUP("Кадмий",Исх.данные!$C$47:$F$57,4,FALSE)="менее 0.05",VLOOKUP("Кадмий",Исх.данные!$C$47:$F$57,4,FALSE)="менее 0.05 "),"0.05",VLOOKUP("Кадмий",Исх.данные!$C$47:$F$57,4,FALSE))</f>
        <v>0.7</v>
      </c>
      <c r="H21" s="172" t="str">
        <f>IF(OR(VLOOKUP("Медь",Исх.данные!$C$47:$F$57,4,FALSE)="менее 0.1",VLOOKUP("Медь",Исх.данные!$C$47:$F$57,4,FALSE)="менее 0.1 "),"0.1",VLOOKUP("Медь",Исх.данные!$C$47:$F$57,4,FALSE))</f>
        <v>34</v>
      </c>
      <c r="I21" s="172" t="str">
        <f>IF(OR(VLOOKUP("Мышьяк",Исх.данные!$C$47:$F$57,4,FALSE)="менее 0.1",VLOOKUP("Мышьяк",Исх.данные!$C$47:$F$57,4,FALSE)="менее 0.1 "),"0.1",VLOOKUP("Мышьяк",Исх.данные!$C$47:$F$57,4,FALSE))</f>
        <v>8</v>
      </c>
      <c r="J21" s="172" t="str">
        <f>VLOOKUP("Никель",Исх.данные!$C$47:$F$57,4,FALSE)</f>
        <v>23</v>
      </c>
      <c r="K21" s="172" t="str">
        <f>IF(OR(VLOOKUP("Ртуть",Исх.данные!$C$47:$F$57,4,FALSE)="менее 0.005",VLOOKUP("Ртуть",Исх.данные!$C$47:$F$57,4,FALSE)="менее 0.005 "),"0.005",VLOOKUP("Ртуть",Исх.данные!$C$47:$F$57,4,FALSE))</f>
        <v>0,170</v>
      </c>
      <c r="L21" s="172" t="str">
        <f>VLOOKUP("Свинец",Исх.данные!$C$47:$F$57,4,FALSE)</f>
        <v>29</v>
      </c>
      <c r="M21" s="172" t="str">
        <f>VLOOKUP("Цинк",Исх.данные!$C$47:$F$57,4,FALSE)</f>
        <v>340</v>
      </c>
      <c r="N21" s="152" t="str">
        <f>Акт!I4</f>
        <v>ПС</v>
      </c>
      <c r="O21" s="382">
        <f>VLOOKUP("pH солевой вытяжки",Исх.данные!$C$47:$F$57,4,FALSE)</f>
        <v>7.1</v>
      </c>
      <c r="P21" s="212"/>
      <c r="Q21" s="170">
        <f t="shared" si="0"/>
        <v>4</v>
      </c>
      <c r="S21" s="175" t="str">
        <f t="shared" si="1"/>
        <v>01АХ.02</v>
      </c>
      <c r="T21" s="176" t="str">
        <f t="shared" si="2"/>
        <v>0,2-0,5</v>
      </c>
      <c r="U21" s="176" t="str">
        <f t="shared" si="3"/>
        <v>0,16± 0.04</v>
      </c>
      <c r="V21" s="186">
        <f t="shared" si="38"/>
        <v>8</v>
      </c>
      <c r="W21" s="174" t="str">
        <f t="shared" si="39"/>
        <v>ЧО</v>
      </c>
      <c r="X21" s="223"/>
      <c r="AA21" s="172">
        <f>VLOOKUP("Бенз(а)пирен",Исх.данные!$C$47:$F$57,4,FALSE)</f>
        <v>0.16</v>
      </c>
      <c r="AB21" s="172" t="str">
        <f>VLOOKUP("Бенз(а)пирен",Исх.данные!$C$47:$H$57,5,FALSE)</f>
        <v>± 0.04</v>
      </c>
      <c r="AC21" s="170">
        <f t="shared" si="4"/>
        <v>4</v>
      </c>
      <c r="AE21" s="175" t="str">
        <f t="shared" si="5"/>
        <v>01АХ.02</v>
      </c>
      <c r="AF21" s="176" t="str">
        <f t="shared" si="6"/>
        <v>0,2-0,5</v>
      </c>
      <c r="AG21" s="176" t="str">
        <f t="shared" si="7"/>
        <v>830± 210</v>
      </c>
      <c r="AH21" s="187" t="str">
        <f t="shared" si="40"/>
        <v>нет</v>
      </c>
      <c r="AI21" s="238" t="str">
        <f t="shared" si="41"/>
        <v>Допустимый</v>
      </c>
      <c r="AL21" s="172" t="str">
        <f>VLOOKUP("Нефтепродукты",Исх.данные!$C$47:$F$57,4,FALSE)</f>
        <v>830</v>
      </c>
      <c r="AM21" s="172" t="str">
        <f>VLOOKUP("Нефтепродукты",Исх.данные!$C$47:$H$57,5,FALSE)</f>
        <v>± 210</v>
      </c>
      <c r="AO21" s="170">
        <f t="shared" si="8"/>
        <v>4</v>
      </c>
      <c r="AQ21" s="211" t="str">
        <f t="shared" si="9"/>
        <v>01АХ.02</v>
      </c>
      <c r="AR21" s="212" t="str">
        <f t="shared" si="10"/>
        <v>0,2-0,5</v>
      </c>
      <c r="AS21" s="187">
        <f t="shared" si="11"/>
        <v>1.4</v>
      </c>
      <c r="AT21" s="187">
        <f t="shared" si="12"/>
        <v>1.0303030303030303</v>
      </c>
      <c r="AU21" s="205">
        <f t="shared" si="13"/>
        <v>4</v>
      </c>
      <c r="AV21" s="187">
        <f t="shared" si="14"/>
        <v>1.1499999999999999</v>
      </c>
      <c r="AW21" s="187" t="str">
        <f t="shared" si="15"/>
        <v>нет</v>
      </c>
      <c r="AX21" s="187" t="str">
        <f t="shared" si="16"/>
        <v>нет</v>
      </c>
      <c r="AY21" s="208">
        <f t="shared" si="17"/>
        <v>6.1818181818181817</v>
      </c>
      <c r="AZ21" s="186">
        <f t="shared" si="18"/>
        <v>9.3085599585599574</v>
      </c>
      <c r="BA21" s="204" t="str">
        <f t="shared" si="19"/>
        <v>Д</v>
      </c>
      <c r="BB21" s="276"/>
      <c r="BC21" s="186">
        <f t="shared" si="20"/>
        <v>2.3333333333333335</v>
      </c>
      <c r="BD21" s="186">
        <f t="shared" si="21"/>
        <v>1.2592592592592593</v>
      </c>
      <c r="BE21" s="186">
        <f t="shared" si="22"/>
        <v>1.2121212121212122</v>
      </c>
      <c r="BF21" s="186">
        <f t="shared" si="23"/>
        <v>1.1499999999999999</v>
      </c>
      <c r="BG21" s="186">
        <f t="shared" si="24"/>
        <v>1.7</v>
      </c>
      <c r="BH21" s="186">
        <f t="shared" si="25"/>
        <v>1.1153846153846154</v>
      </c>
      <c r="BI21" s="186">
        <f t="shared" si="26"/>
        <v>6.5384615384615383</v>
      </c>
      <c r="BJ21" s="276"/>
      <c r="BK21" s="186">
        <f t="shared" si="42"/>
        <v>13.999999999999998</v>
      </c>
      <c r="BL21" s="186">
        <f t="shared" si="43"/>
        <v>4.25</v>
      </c>
      <c r="BM21" s="186">
        <f t="shared" si="44"/>
        <v>5.333333333333333</v>
      </c>
      <c r="BN21" s="186">
        <f t="shared" si="45"/>
        <v>3.8333333333333335</v>
      </c>
      <c r="BO21" s="186">
        <f t="shared" si="46"/>
        <v>3.4</v>
      </c>
      <c r="BP21" s="186">
        <f t="shared" si="47"/>
        <v>4.833333333333333</v>
      </c>
      <c r="BQ21" s="186">
        <f t="shared" si="48"/>
        <v>12.142857142857142</v>
      </c>
      <c r="BR21" s="276"/>
      <c r="BS21" s="202">
        <f t="shared" si="27"/>
        <v>9.3085599585599574</v>
      </c>
      <c r="BT21" s="206">
        <f t="shared" si="28"/>
        <v>41.792857142857137</v>
      </c>
      <c r="BU21" s="187">
        <f t="shared" si="29"/>
        <v>41.792857142857137</v>
      </c>
      <c r="BV21" s="203">
        <f t="shared" si="30"/>
        <v>17.925252525252525</v>
      </c>
      <c r="BW21" s="276"/>
      <c r="BX21" s="258">
        <f t="shared" si="31"/>
        <v>4</v>
      </c>
      <c r="BY21" s="172" t="str">
        <f t="shared" si="32"/>
        <v>01АХ.02</v>
      </c>
      <c r="BZ21" s="176" t="str">
        <f t="shared" si="33"/>
        <v>0,2-0,5</v>
      </c>
      <c r="CA21" s="173" t="str">
        <f t="shared" si="49"/>
        <v>Зона 1</v>
      </c>
      <c r="CB21" s="186" t="str">
        <f t="shared" si="34"/>
        <v>Д</v>
      </c>
      <c r="CC21" s="176" t="str">
        <f t="shared" si="35"/>
        <v>ЧО</v>
      </c>
      <c r="CD21" s="176" t="str">
        <f t="shared" si="36"/>
        <v>ЧО</v>
      </c>
      <c r="CE21" s="239" t="str">
        <f t="shared" si="37"/>
        <v>Допустимый</v>
      </c>
      <c r="CF21" s="342" t="s">
        <v>225</v>
      </c>
      <c r="CG21" s="345" t="s">
        <v>48</v>
      </c>
      <c r="CH21" s="249">
        <v>0.2</v>
      </c>
      <c r="CI21" s="249">
        <v>13861.3316</v>
      </c>
      <c r="CJ21" s="170" t="str">
        <f t="shared" si="50"/>
        <v>2</v>
      </c>
      <c r="CK21" s="352" t="s">
        <v>126</v>
      </c>
      <c r="CL21" s="353" t="s">
        <v>223</v>
      </c>
      <c r="CP21" s="16"/>
      <c r="CQ21" s="16"/>
    </row>
    <row r="22" spans="1:97" s="170" customFormat="1" ht="16.5" thickBot="1" x14ac:dyDescent="0.3">
      <c r="C22" s="177">
        <f>IF(ISBLANK(D22),"",COUNTA($D$18:D22))</f>
        <v>5</v>
      </c>
      <c r="D22" s="174" t="str">
        <f>Акт!C5</f>
        <v>02АХ.02</v>
      </c>
      <c r="E22" s="445" t="str">
        <f>Акт!B5</f>
        <v>0,2-0,5</v>
      </c>
      <c r="F22" s="172">
        <f>VLOOKUP("pH солевой вытяжки",Исх.данные!$C$61:$F$71,4,FALSE)</f>
        <v>6.7</v>
      </c>
      <c r="G22" s="172">
        <f>IF(OR(VLOOKUP("Кадмий",Исх.данные!$C$61:$F$71,4,FALSE)="менее 0.05",VLOOKUP("Кадмий",Исх.данные!$C$61:$F$71,4,FALSE)="менее 0.05 "),"0.05",VLOOKUP("Кадмий",Исх.данные!$C$61:$F$71,4,FALSE))</f>
        <v>0.32</v>
      </c>
      <c r="H22" s="172" t="str">
        <f>IF(OR(VLOOKUP("Медь",Исх.данные!$C$61:$F$71,4,FALSE)="менее 0.1",VLOOKUP("Медь",Исх.данные!$C$61:$F$71,4,FALSE)="менее 0.1 "),"0.1",VLOOKUP("Медь",Исх.данные!$C$61:$F$71,4,FALSE))</f>
        <v>15</v>
      </c>
      <c r="I22" s="172" t="str">
        <f>IF(OR(VLOOKUP("Мышьяк",Исх.данные!$C$61:$F$71,4,FALSE)="менее 0.1",VLOOKUP("Мышьяк",Исх.данные!$C$61:$F$71,4,FALSE)="менее 0.1 "),"0.1",VLOOKUP("Мышьяк",Исх.данные!$C$61:$F$71,4,FALSE))</f>
        <v>8</v>
      </c>
      <c r="J22" s="172" t="str">
        <f>VLOOKUP("Никель",Исх.данные!$C$61:$F$71,4,FALSE)</f>
        <v>13</v>
      </c>
      <c r="K22" s="172" t="str">
        <f>IF(OR(VLOOKUP("Ртуть",Исх.данные!$C$61:$F$71,4,FALSE)="менее 0.005",VLOOKUP("Ртуть",Исх.данные!$C$61:$F$71,4,FALSE)="менее 0.005 "),"0.005",VLOOKUP("Ртуть",Исх.данные!$C$61:$F$71,4,FALSE))</f>
        <v>0,062</v>
      </c>
      <c r="L22" s="172" t="str">
        <f>VLOOKUP("Свинец",Исх.данные!$C$61:$F$71,4,FALSE)</f>
        <v>16</v>
      </c>
      <c r="M22" s="172" t="str">
        <f>VLOOKUP("Цинк",Исх.данные!$C$61:$F$71,4,FALSE)</f>
        <v>60</v>
      </c>
      <c r="N22" s="152" t="str">
        <f>Акт!I5</f>
        <v>ПС</v>
      </c>
      <c r="O22" s="382">
        <f>VLOOKUP("pH солевой вытяжки",Исх.данные!$C$61:$F$71,4,FALSE)</f>
        <v>6.7</v>
      </c>
      <c r="P22" s="212"/>
      <c r="Q22" s="170">
        <f t="shared" si="0"/>
        <v>5</v>
      </c>
      <c r="S22" s="175" t="str">
        <f t="shared" si="1"/>
        <v>02АХ.02</v>
      </c>
      <c r="T22" s="176" t="str">
        <f t="shared" si="2"/>
        <v>0,2-0,5</v>
      </c>
      <c r="U22" s="176" t="str">
        <f t="shared" si="3"/>
        <v>0,14± 0.04</v>
      </c>
      <c r="V22" s="186">
        <f t="shared" si="38"/>
        <v>7.0000000000000009</v>
      </c>
      <c r="W22" s="174" t="str">
        <f t="shared" si="39"/>
        <v>ЧО</v>
      </c>
      <c r="X22" s="223"/>
      <c r="AA22" s="172" t="str">
        <f>VLOOKUP("Бенз(а)пирен",Исх.данные!$C$61:$F$71,4,FALSE)</f>
        <v>0,14</v>
      </c>
      <c r="AB22" s="172" t="str">
        <f>VLOOKUP("Бенз(а)пирен",Исх.данные!$C$61:$H$71,5,FALSE)</f>
        <v>± 0.04</v>
      </c>
      <c r="AC22" s="170">
        <f t="shared" si="4"/>
        <v>5</v>
      </c>
      <c r="AE22" s="175" t="str">
        <f t="shared" si="5"/>
        <v>02АХ.02</v>
      </c>
      <c r="AF22" s="176" t="str">
        <f t="shared" si="6"/>
        <v>0,2-0,5</v>
      </c>
      <c r="AG22" s="176" t="str">
        <f t="shared" si="7"/>
        <v>110± 40</v>
      </c>
      <c r="AH22" s="187" t="str">
        <f t="shared" si="40"/>
        <v>нет</v>
      </c>
      <c r="AI22" s="238" t="str">
        <f t="shared" si="41"/>
        <v>Допустимый</v>
      </c>
      <c r="AL22" s="172" t="str">
        <f>VLOOKUP("Нефтепродукты",Исх.данные!$C$61:$F$71,4,FALSE)</f>
        <v>110</v>
      </c>
      <c r="AM22" s="172" t="str">
        <f>VLOOKUP("Нефтепродукты",Исх.данные!$C$61:$H$71,5,FALSE)</f>
        <v>± 40</v>
      </c>
      <c r="AO22" s="170">
        <f t="shared" si="8"/>
        <v>5</v>
      </c>
      <c r="AQ22" s="211" t="str">
        <f t="shared" si="9"/>
        <v>02АХ.02</v>
      </c>
      <c r="AR22" s="212" t="str">
        <f t="shared" si="10"/>
        <v>0,2-0,5</v>
      </c>
      <c r="AS22" s="187" t="str">
        <f t="shared" si="11"/>
        <v>нет</v>
      </c>
      <c r="AT22" s="187" t="str">
        <f t="shared" si="12"/>
        <v>нет</v>
      </c>
      <c r="AU22" s="205">
        <f t="shared" si="13"/>
        <v>4</v>
      </c>
      <c r="AV22" s="187" t="str">
        <f t="shared" si="14"/>
        <v>нет</v>
      </c>
      <c r="AW22" s="187" t="str">
        <f t="shared" si="15"/>
        <v>нет</v>
      </c>
      <c r="AX22" s="187" t="str">
        <f t="shared" si="16"/>
        <v>нет</v>
      </c>
      <c r="AY22" s="208">
        <f t="shared" si="17"/>
        <v>1.0909090909090908</v>
      </c>
      <c r="AZ22" s="186">
        <f t="shared" si="18"/>
        <v>1.4326340326340326</v>
      </c>
      <c r="BA22" s="204" t="str">
        <f t="shared" si="19"/>
        <v>Д</v>
      </c>
      <c r="BB22" s="276"/>
      <c r="BC22" s="186">
        <f t="shared" si="20"/>
        <v>1.0666666666666667</v>
      </c>
      <c r="BD22" s="186">
        <f t="shared" si="21"/>
        <v>0.55555555555555558</v>
      </c>
      <c r="BE22" s="186">
        <f t="shared" si="22"/>
        <v>1.2121212121212122</v>
      </c>
      <c r="BF22" s="186">
        <f t="shared" si="23"/>
        <v>0.65</v>
      </c>
      <c r="BG22" s="186">
        <f t="shared" si="24"/>
        <v>0.62</v>
      </c>
      <c r="BH22" s="186">
        <f t="shared" si="25"/>
        <v>0.61538461538461542</v>
      </c>
      <c r="BI22" s="186">
        <f t="shared" si="26"/>
        <v>1.1538461538461537</v>
      </c>
      <c r="BJ22" s="276"/>
      <c r="BK22" s="186">
        <f t="shared" si="42"/>
        <v>6.3999999999999995</v>
      </c>
      <c r="BL22" s="186">
        <f t="shared" si="43"/>
        <v>1.875</v>
      </c>
      <c r="BM22" s="186">
        <f t="shared" si="44"/>
        <v>5.333333333333333</v>
      </c>
      <c r="BN22" s="186">
        <f t="shared" si="45"/>
        <v>2.1666666666666665</v>
      </c>
      <c r="BO22" s="186">
        <f t="shared" si="46"/>
        <v>1.24</v>
      </c>
      <c r="BP22" s="186">
        <f t="shared" si="47"/>
        <v>2.6666666666666665</v>
      </c>
      <c r="BQ22" s="186">
        <f t="shared" si="48"/>
        <v>2.1428571428571428</v>
      </c>
      <c r="BR22" s="276"/>
      <c r="BS22" s="202">
        <f t="shared" si="27"/>
        <v>1.4326340326340326</v>
      </c>
      <c r="BT22" s="206">
        <f t="shared" si="28"/>
        <v>15.824523809523807</v>
      </c>
      <c r="BU22" s="187">
        <f t="shared" si="29"/>
        <v>15.824523809523807</v>
      </c>
      <c r="BV22" s="203">
        <f t="shared" si="30"/>
        <v>5.7030303030303022</v>
      </c>
      <c r="BW22" s="276"/>
      <c r="BX22" s="258">
        <f t="shared" si="31"/>
        <v>5</v>
      </c>
      <c r="BY22" s="172" t="str">
        <f t="shared" si="32"/>
        <v>02АХ.02</v>
      </c>
      <c r="BZ22" s="176" t="str">
        <f t="shared" si="33"/>
        <v>0,2-0,5</v>
      </c>
      <c r="CA22" s="173" t="str">
        <f t="shared" si="49"/>
        <v>Зона 2</v>
      </c>
      <c r="CB22" s="186" t="str">
        <f t="shared" si="34"/>
        <v>Д</v>
      </c>
      <c r="CC22" s="176" t="str">
        <f t="shared" si="35"/>
        <v>ЧО</v>
      </c>
      <c r="CD22" s="176" t="str">
        <f t="shared" si="36"/>
        <v>ЧО</v>
      </c>
      <c r="CE22" s="239" t="str">
        <f t="shared" si="37"/>
        <v>Допустимый</v>
      </c>
      <c r="CF22" s="342" t="s">
        <v>225</v>
      </c>
      <c r="CG22" s="345" t="s">
        <v>48</v>
      </c>
      <c r="CH22" s="249">
        <v>0.2</v>
      </c>
      <c r="CI22" s="249">
        <v>4813.6826000000001</v>
      </c>
      <c r="CJ22" s="170" t="str">
        <f t="shared" si="50"/>
        <v>2</v>
      </c>
      <c r="CK22" s="354" t="s">
        <v>126</v>
      </c>
      <c r="CL22" s="353" t="s">
        <v>225</v>
      </c>
      <c r="CP22" s="16"/>
      <c r="CQ22" s="16"/>
    </row>
    <row r="23" spans="1:97" s="170" customFormat="1" ht="16.5" thickBot="1" x14ac:dyDescent="0.3">
      <c r="A23" s="179"/>
      <c r="C23" s="175">
        <f>IF(ISBLANK(D23),"",COUNTA($D$18:D23))</f>
        <v>6</v>
      </c>
      <c r="D23" s="174" t="str">
        <f>Акт!C6</f>
        <v>03АХ.02</v>
      </c>
      <c r="E23" s="445" t="str">
        <f>Акт!B6</f>
        <v>0,2-0,5</v>
      </c>
      <c r="F23" s="172">
        <f>(VLOOKUP("pH солевой вытяжки",Исх.данные!$C$75:$F$85,4,FALSE))</f>
        <v>6.8</v>
      </c>
      <c r="G23" s="172">
        <f>IF(OR(VLOOKUP("Кадмий",Исх.данные!$C$75:$F$85,4,FALSE)="менее 0.05",VLOOKUP("Кадмий",Исх.данные!$C$75:$F$85,4,FALSE)="менее 0.05 "),"0.05",VLOOKUP("Кадмий",Исх.данные!$C$75:$F$85,4,FALSE))</f>
        <v>0.41</v>
      </c>
      <c r="H23" s="172" t="str">
        <f>IF(OR(VLOOKUP("Медь",Исх.данные!$C$75:$F$85,4,FALSE)="менее 0.1",VLOOKUP("Медь",Исх.данные!$C$75:$F$85,4,FALSE)="менее 0.1 "),"0.1",VLOOKUP("Медь",Исх.данные!$C$75:$F$85,4,FALSE))</f>
        <v>27</v>
      </c>
      <c r="I23" s="172" t="str">
        <f>IF(OR(VLOOKUP("Мышьяк",Исх.данные!$C$75:$F$85,4,FALSE)="менее 0.1",VLOOKUP("Мышьяк",Исх.данные!$C$75:$F$85,4,FALSE)="менее 0.1 "),"0.1",VLOOKUP("Мышьяк",Исх.данные!$C$75:$F$85,4,FALSE))</f>
        <v>5</v>
      </c>
      <c r="J23" s="172" t="str">
        <f>(VLOOKUP("Никель",Исх.данные!$C$75:$F$85,4,FALSE))</f>
        <v>14</v>
      </c>
      <c r="K23" s="172" t="str">
        <f>IF(OR(VLOOKUP("Ртуть",Исх.данные!$C$75:$F$85,4,FALSE)="менее 0.005",VLOOKUP("Ртуть",Исх.данные!$C$75:$F$85,4,FALSE)="менее 0.005 "),"0.005",VLOOKUP("Ртуть",Исх.данные!$C$75:$F$85,4,FALSE))</f>
        <v>0,170</v>
      </c>
      <c r="L23" s="172" t="str">
        <f>(VLOOKUP("Свинец",Исх.данные!$C$75:$F$85,4,FALSE))</f>
        <v>16</v>
      </c>
      <c r="M23" s="172" t="str">
        <f>(VLOOKUP("Цинк",Исх.данные!$C$75:$F$85,4,FALSE))</f>
        <v>190</v>
      </c>
      <c r="N23" s="152" t="str">
        <f>Акт!I6</f>
        <v>ПС</v>
      </c>
      <c r="O23" s="382">
        <f>(VLOOKUP("pH солевой вытяжки",Исх.данные!$C$75:$F$85,4,FALSE))</f>
        <v>6.8</v>
      </c>
      <c r="P23" s="212"/>
      <c r="Q23" s="170">
        <f t="shared" si="0"/>
        <v>6</v>
      </c>
      <c r="S23" s="175" t="str">
        <f t="shared" si="1"/>
        <v>03АХ.02</v>
      </c>
      <c r="T23" s="176" t="str">
        <f t="shared" si="2"/>
        <v>0,2-0,5</v>
      </c>
      <c r="U23" s="176" t="str">
        <f>IF(OR(AA23="более 2,0",AA23="более 2,0 "),"&gt;2",IF(OR(AA23="менее 0.005",AA23="менее 0.005 "),"&lt;0.005",CONCATENATE(AA23,AB23)))</f>
        <v>0,12± 0.03</v>
      </c>
      <c r="V23" s="186">
        <f t="shared" si="38"/>
        <v>6</v>
      </c>
      <c r="W23" s="174" t="str">
        <f t="shared" si="39"/>
        <v>ЧО</v>
      </c>
      <c r="X23" s="223"/>
      <c r="AA23" s="172">
        <f>(VLOOKUP("Бенз(а)пирен",Исх.данные!$C$75:$F$85,4,FALSE))</f>
        <v>0.12</v>
      </c>
      <c r="AB23" s="172" t="str">
        <f>(VLOOKUP("Бенз(а)пирен",Исх.данные!$C$75:$H$85,5,FALSE))</f>
        <v>± 0.03</v>
      </c>
      <c r="AC23" s="170">
        <f t="shared" si="4"/>
        <v>6</v>
      </c>
      <c r="AE23" s="175" t="str">
        <f t="shared" si="5"/>
        <v>03АХ.02</v>
      </c>
      <c r="AF23" s="176" t="str">
        <f t="shared" si="6"/>
        <v>0,2-0,5</v>
      </c>
      <c r="AG23" s="176" t="str">
        <f t="shared" si="7"/>
        <v>260± 70</v>
      </c>
      <c r="AH23" s="187" t="str">
        <f t="shared" si="40"/>
        <v>нет</v>
      </c>
      <c r="AI23" s="238" t="str">
        <f t="shared" si="41"/>
        <v>Допустимый</v>
      </c>
      <c r="AL23" s="172" t="str">
        <f>(VLOOKUP("Нефтепродукты",Исх.данные!$C$75:$F$85,4,FALSE))</f>
        <v>260</v>
      </c>
      <c r="AM23" s="172" t="str">
        <f>(VLOOKUP("Нефтепродукты",Исх.данные!$C$75:$H$85,5,FALSE))</f>
        <v>± 70</v>
      </c>
      <c r="AO23" s="170">
        <f t="shared" si="8"/>
        <v>6</v>
      </c>
      <c r="AQ23" s="211" t="str">
        <f t="shared" si="9"/>
        <v>03АХ.02</v>
      </c>
      <c r="AR23" s="212" t="str">
        <f t="shared" si="10"/>
        <v>0,2-0,5</v>
      </c>
      <c r="AS23" s="187" t="str">
        <f t="shared" si="11"/>
        <v>нет</v>
      </c>
      <c r="AT23" s="187" t="str">
        <f t="shared" si="12"/>
        <v>нет</v>
      </c>
      <c r="AU23" s="205">
        <f t="shared" si="13"/>
        <v>2.5</v>
      </c>
      <c r="AV23" s="187" t="str">
        <f t="shared" si="14"/>
        <v>нет</v>
      </c>
      <c r="AW23" s="187" t="str">
        <f t="shared" si="15"/>
        <v>нет</v>
      </c>
      <c r="AX23" s="187" t="str">
        <f t="shared" si="16"/>
        <v>нет</v>
      </c>
      <c r="AY23" s="208">
        <f t="shared" si="17"/>
        <v>3.4545454545454546</v>
      </c>
      <c r="AZ23" s="186">
        <f t="shared" si="18"/>
        <v>4.7205128205128206</v>
      </c>
      <c r="BA23" s="204" t="str">
        <f t="shared" si="19"/>
        <v>Д</v>
      </c>
      <c r="BB23" s="276"/>
      <c r="BC23" s="186">
        <f t="shared" si="20"/>
        <v>1.3666666666666667</v>
      </c>
      <c r="BD23" s="186">
        <f t="shared" si="21"/>
        <v>1</v>
      </c>
      <c r="BE23" s="186">
        <f t="shared" si="22"/>
        <v>0.75757575757575757</v>
      </c>
      <c r="BF23" s="186">
        <f t="shared" si="23"/>
        <v>0.7</v>
      </c>
      <c r="BG23" s="186">
        <f t="shared" si="24"/>
        <v>1.7</v>
      </c>
      <c r="BH23" s="186">
        <f t="shared" si="25"/>
        <v>0.61538461538461542</v>
      </c>
      <c r="BI23" s="186">
        <f t="shared" si="26"/>
        <v>3.6538461538461537</v>
      </c>
      <c r="BJ23" s="276"/>
      <c r="BK23" s="186">
        <f t="shared" si="42"/>
        <v>8.1999999999999993</v>
      </c>
      <c r="BL23" s="186">
        <f t="shared" si="43"/>
        <v>3.375</v>
      </c>
      <c r="BM23" s="186">
        <f t="shared" si="44"/>
        <v>3.3333333333333335</v>
      </c>
      <c r="BN23" s="186">
        <f t="shared" si="45"/>
        <v>2.3333333333333335</v>
      </c>
      <c r="BO23" s="186">
        <f t="shared" si="46"/>
        <v>3.4</v>
      </c>
      <c r="BP23" s="186">
        <f t="shared" si="47"/>
        <v>2.6666666666666665</v>
      </c>
      <c r="BQ23" s="186">
        <f t="shared" si="48"/>
        <v>6.7857142857142856</v>
      </c>
      <c r="BR23" s="276"/>
      <c r="BS23" s="202">
        <f t="shared" si="27"/>
        <v>4.7205128205128206</v>
      </c>
      <c r="BT23" s="206">
        <f t="shared" si="28"/>
        <v>24.094047619047618</v>
      </c>
      <c r="BU23" s="187">
        <f t="shared" si="29"/>
        <v>24.094047619047618</v>
      </c>
      <c r="BV23" s="203">
        <f t="shared" si="30"/>
        <v>9.4782828282828291</v>
      </c>
      <c r="BW23" s="276"/>
      <c r="BX23" s="258">
        <f t="shared" si="31"/>
        <v>6</v>
      </c>
      <c r="BY23" s="172" t="str">
        <f t="shared" si="32"/>
        <v>03АХ.02</v>
      </c>
      <c r="BZ23" s="176" t="str">
        <f t="shared" si="33"/>
        <v>0,2-0,5</v>
      </c>
      <c r="CA23" s="173" t="str">
        <f t="shared" si="49"/>
        <v>Зона 3</v>
      </c>
      <c r="CB23" s="186" t="str">
        <f t="shared" si="34"/>
        <v>Д</v>
      </c>
      <c r="CC23" s="176" t="str">
        <f t="shared" si="35"/>
        <v>ЧО</v>
      </c>
      <c r="CD23" s="176" t="str">
        <f t="shared" si="36"/>
        <v>ЧО</v>
      </c>
      <c r="CE23" s="239" t="str">
        <f t="shared" si="37"/>
        <v>Допустимый</v>
      </c>
      <c r="CF23" s="342" t="s">
        <v>225</v>
      </c>
      <c r="CG23" s="345" t="s">
        <v>48</v>
      </c>
      <c r="CH23" s="249">
        <v>0.2</v>
      </c>
      <c r="CI23" s="249">
        <v>14495.9401</v>
      </c>
      <c r="CJ23" s="170" t="str">
        <f t="shared" si="50"/>
        <v>2</v>
      </c>
      <c r="CK23" s="355" t="s">
        <v>135</v>
      </c>
      <c r="CL23" s="353" t="s">
        <v>223</v>
      </c>
      <c r="CP23" s="16"/>
      <c r="CQ23" s="16"/>
    </row>
    <row r="24" spans="1:97" s="170" customFormat="1" ht="16.5" thickBot="1" x14ac:dyDescent="0.3">
      <c r="A24" s="179"/>
      <c r="C24" s="175">
        <f>IF(ISBLANK(D24),"",COUNTA($D$18:D24))</f>
        <v>7</v>
      </c>
      <c r="D24" s="174" t="str">
        <f>Акт!C7</f>
        <v>01АХ.03</v>
      </c>
      <c r="E24" s="445" t="str">
        <f>Акт!B7</f>
        <v>0,5-1,0</v>
      </c>
      <c r="F24" s="172">
        <f>VLOOKUP("pH солевой вытяжки",Исх.данные!$C$92:$F$101,4,FALSE)</f>
        <v>7</v>
      </c>
      <c r="G24" s="172">
        <f>IF(OR(VLOOKUP("Кадмий",Исх.данные!$C$92:$F$101,4,FALSE)="менее 0.05",VLOOKUP("Кадмий",Исх.данные!$C$92:$F$101,4,FALSE)="менее 0.05 "),"0.05",VLOOKUP("Кадмий",Исх.данные!$C$92:$F$101,4,FALSE))</f>
        <v>0.6</v>
      </c>
      <c r="H24" s="172" t="str">
        <f>IF(OR(VLOOKUP("Медь",Исх.данные!$C$92:$F$101,4,FALSE)="менее 0.1",VLOOKUP("Медь",Исх.данные!$C$92:$F$101,4,FALSE)="менее 0.1 "),"0.1",VLOOKUP("Медь",Исх.данные!$C$92:$F$101,4,FALSE))</f>
        <v>33</v>
      </c>
      <c r="I24" s="172">
        <f>IF(OR(VLOOKUP("Мышьяк",Исх.данные!$C$92:$F$101,4,FALSE)="менее 0.1",VLOOKUP("Мышьяк",Исх.данные!$C$92:$F$101,4,FALSE)="менее 0.1 "),"0.1",VLOOKUP("Мышьяк",Исх.данные!$C$92:$F$101,4,FALSE))</f>
        <v>4.8</v>
      </c>
      <c r="J24" s="172" t="str">
        <f>VLOOKUP("Никель",Исх.данные!$C$92:$F$101,4,FALSE)</f>
        <v>20</v>
      </c>
      <c r="K24" s="172" t="str">
        <f>IF(OR(VLOOKUP("Ртуть",Исх.данные!$C$92:$F$101,4,FALSE)="менее 0.005",VLOOKUP("Ртуть",Исх.данные!$C$92:$F$101,4,FALSE)="менее 0.005 "),"0.005",VLOOKUP("Ртуть",Исх.данные!$C$92:$F$101,4,FALSE))</f>
        <v>0,150</v>
      </c>
      <c r="L24" s="172" t="str">
        <f>VLOOKUP("Свинец",Исх.данные!$C$92:$F$101,4,FALSE)</f>
        <v>30</v>
      </c>
      <c r="M24" s="172" t="str">
        <f>VLOOKUP("Цинк",Исх.данные!$C$92:$F$101,4,FALSE)</f>
        <v>370</v>
      </c>
      <c r="N24" s="152" t="str">
        <f>Акт!I7</f>
        <v>ПС</v>
      </c>
      <c r="O24" s="382">
        <f>VLOOKUP("pH солевой вытяжки",Исх.данные!$C$92:$F$101,4,FALSE)</f>
        <v>7</v>
      </c>
      <c r="P24" s="212"/>
      <c r="Q24" s="170">
        <f t="shared" si="0"/>
        <v>7</v>
      </c>
      <c r="S24" s="175" t="str">
        <f t="shared" si="1"/>
        <v>01АХ.03</v>
      </c>
      <c r="T24" s="176" t="str">
        <f t="shared" si="2"/>
        <v>0,5-1,0</v>
      </c>
      <c r="U24" s="176" t="str">
        <f t="shared" si="3"/>
        <v>0,34± 0.09</v>
      </c>
      <c r="V24" s="186">
        <f t="shared" si="38"/>
        <v>17</v>
      </c>
      <c r="W24" s="174" t="str">
        <f t="shared" si="39"/>
        <v>ЧО</v>
      </c>
      <c r="X24" s="223"/>
      <c r="AA24" s="172">
        <f>VLOOKUP("Бенз(а)пирен",Исх.данные!$C$92:$F$101,4,FALSE)</f>
        <v>0.34</v>
      </c>
      <c r="AB24" s="172" t="str">
        <f>VLOOKUP("Бенз(а)пирен",Исх.данные!$C$92:$H$101,5,FALSE)</f>
        <v>± 0.09</v>
      </c>
      <c r="AC24" s="170">
        <f t="shared" si="4"/>
        <v>7</v>
      </c>
      <c r="AE24" s="175" t="str">
        <f t="shared" si="5"/>
        <v>01АХ.03</v>
      </c>
      <c r="AF24" s="176" t="str">
        <f t="shared" si="6"/>
        <v>0,5-1,0</v>
      </c>
      <c r="AG24" s="176" t="str">
        <f t="shared" si="7"/>
        <v>2100± 500</v>
      </c>
      <c r="AH24" s="187">
        <f t="shared" si="40"/>
        <v>2.1</v>
      </c>
      <c r="AI24" s="238" t="str">
        <f t="shared" si="41"/>
        <v>Средний</v>
      </c>
      <c r="AL24" s="172" t="str">
        <f>VLOOKUP("Нефтепродукты",Исх.данные!$C$92:$F$101,4,FALSE)</f>
        <v>2100</v>
      </c>
      <c r="AM24" s="172" t="str">
        <f>VLOOKUP("Нефтепродукты",Исх.данные!$C$92:$H$101,5,FALSE)</f>
        <v>± 500</v>
      </c>
      <c r="AO24" s="170">
        <f t="shared" si="8"/>
        <v>7</v>
      </c>
      <c r="AQ24" s="211" t="str">
        <f t="shared" si="9"/>
        <v>01АХ.03</v>
      </c>
      <c r="AR24" s="212" t="str">
        <f t="shared" si="10"/>
        <v>0,5-1,0</v>
      </c>
      <c r="AS24" s="187">
        <f t="shared" si="11"/>
        <v>1.2</v>
      </c>
      <c r="AT24" s="187" t="str">
        <f t="shared" si="12"/>
        <v>нет</v>
      </c>
      <c r="AU24" s="205">
        <f t="shared" si="13"/>
        <v>2.4</v>
      </c>
      <c r="AV24" s="187" t="str">
        <f t="shared" si="14"/>
        <v>нет</v>
      </c>
      <c r="AW24" s="187" t="str">
        <f t="shared" si="15"/>
        <v>нет</v>
      </c>
      <c r="AX24" s="187" t="str">
        <f t="shared" si="16"/>
        <v>нет</v>
      </c>
      <c r="AY24" s="208">
        <f t="shared" si="17"/>
        <v>6.7272727272727275</v>
      </c>
      <c r="AZ24" s="186">
        <f t="shared" si="18"/>
        <v>8.9914529914529915</v>
      </c>
      <c r="BA24" s="204" t="str">
        <f t="shared" si="19"/>
        <v>Д</v>
      </c>
      <c r="BB24" s="276"/>
      <c r="BC24" s="186">
        <f t="shared" si="20"/>
        <v>2</v>
      </c>
      <c r="BD24" s="186">
        <f t="shared" si="21"/>
        <v>1.2222222222222223</v>
      </c>
      <c r="BE24" s="186">
        <f t="shared" si="22"/>
        <v>0.72727272727272729</v>
      </c>
      <c r="BF24" s="186">
        <f t="shared" si="23"/>
        <v>1</v>
      </c>
      <c r="BG24" s="186">
        <f t="shared" si="24"/>
        <v>1.4999999999999998</v>
      </c>
      <c r="BH24" s="186">
        <f t="shared" si="25"/>
        <v>1.1538461538461537</v>
      </c>
      <c r="BI24" s="186">
        <f t="shared" si="26"/>
        <v>7.115384615384615</v>
      </c>
      <c r="BJ24" s="276"/>
      <c r="BK24" s="186">
        <f t="shared" si="42"/>
        <v>11.999999999999998</v>
      </c>
      <c r="BL24" s="186">
        <f t="shared" si="43"/>
        <v>4.125</v>
      </c>
      <c r="BM24" s="186">
        <f t="shared" si="44"/>
        <v>3.1999999999999997</v>
      </c>
      <c r="BN24" s="186">
        <f t="shared" si="45"/>
        <v>3.3333333333333335</v>
      </c>
      <c r="BO24" s="186">
        <f t="shared" si="46"/>
        <v>2.9999999999999996</v>
      </c>
      <c r="BP24" s="186">
        <f t="shared" si="47"/>
        <v>5</v>
      </c>
      <c r="BQ24" s="186">
        <f t="shared" si="48"/>
        <v>13.214285714285714</v>
      </c>
      <c r="BR24" s="276"/>
      <c r="BS24" s="202">
        <f t="shared" si="27"/>
        <v>8.9914529914529915</v>
      </c>
      <c r="BT24" s="206">
        <f t="shared" si="28"/>
        <v>37.872619047619047</v>
      </c>
      <c r="BU24" s="187">
        <f t="shared" si="29"/>
        <v>37.872619047619047</v>
      </c>
      <c r="BV24" s="203">
        <f t="shared" si="30"/>
        <v>16.104040404040404</v>
      </c>
      <c r="BW24" s="276"/>
      <c r="BX24" s="258">
        <f t="shared" si="31"/>
        <v>7</v>
      </c>
      <c r="BY24" s="172" t="str">
        <f t="shared" si="32"/>
        <v>01АХ.03</v>
      </c>
      <c r="BZ24" s="176" t="str">
        <f t="shared" si="33"/>
        <v>0,5-1,0</v>
      </c>
      <c r="CA24" s="173" t="str">
        <f t="shared" si="49"/>
        <v>Зона 1</v>
      </c>
      <c r="CB24" s="186" t="str">
        <f t="shared" si="34"/>
        <v>Д</v>
      </c>
      <c r="CC24" s="176" t="str">
        <f t="shared" si="35"/>
        <v>ЧО</v>
      </c>
      <c r="CD24" s="176" t="str">
        <f t="shared" si="36"/>
        <v>ЧО</v>
      </c>
      <c r="CE24" s="239" t="str">
        <f t="shared" si="37"/>
        <v>Средний</v>
      </c>
      <c r="CF24" s="342" t="s">
        <v>225</v>
      </c>
      <c r="CG24" s="345" t="s">
        <v>48</v>
      </c>
      <c r="CH24" s="249">
        <v>0.2</v>
      </c>
      <c r="CI24" s="249">
        <v>6973.8770999999997</v>
      </c>
      <c r="CJ24" s="170" t="str">
        <f t="shared" si="50"/>
        <v>3</v>
      </c>
      <c r="CK24" s="356" t="s">
        <v>135</v>
      </c>
      <c r="CL24" s="353" t="s">
        <v>225</v>
      </c>
    </row>
    <row r="25" spans="1:97" s="170" customFormat="1" ht="16.5" thickBot="1" x14ac:dyDescent="0.3">
      <c r="A25" s="179"/>
      <c r="C25" s="175">
        <f>IF(ISBLANK(D25),"",COUNTA($D$18:D25))</f>
        <v>8</v>
      </c>
      <c r="D25" s="174" t="str">
        <f>Акт!C8</f>
        <v>02АХ.03</v>
      </c>
      <c r="E25" s="445" t="str">
        <f>Акт!B8</f>
        <v>0,5-1,0</v>
      </c>
      <c r="F25" s="172">
        <f>VLOOKUP("pH солевой вытяжки",Исх.данные!$C$105:$F$115,4,FALSE)</f>
        <v>7.1</v>
      </c>
      <c r="G25" s="172">
        <f>IF(OR(VLOOKUP("Кадмий",Исх.данные!$C$105:$F$115,4,FALSE)="менее 0.05",VLOOKUP("Кадмий",Исх.данные!$C$105:$F$115,4,FALSE)="менее 0.05 "),"0.05",VLOOKUP("Кадмий",Исх.данные!$C$105:$F$115,4,FALSE))</f>
        <v>0.31</v>
      </c>
      <c r="H25" s="172" t="str">
        <f>IF(OR(VLOOKUP("Медь",Исх.данные!$C$105:$F$115,4,FALSE)="менее 0.1",VLOOKUP("Медь",Исх.данные!$C$105:$F$115,4,FALSE)="менее 0.1 "),"0.1",VLOOKUP("Медь",Исх.данные!$C$105:$F$115,4,FALSE))</f>
        <v>21</v>
      </c>
      <c r="I25" s="172">
        <f>IF(OR(VLOOKUP("Мышьяк",Исх.данные!$C$105:$F$115,4,FALSE)="менее 0.1",VLOOKUP("Мышьяк",Исх.данные!$C$105:$F$115,4,FALSE)="менее 0.1 "),"0.1",VLOOKUP("Мышьяк",Исх.данные!$C$105:$F$115,4,FALSE))</f>
        <v>3.8</v>
      </c>
      <c r="J25" s="172" t="str">
        <f>VLOOKUP("Никель",Исх.данные!$C$105:$F$115,4,FALSE)</f>
        <v>16</v>
      </c>
      <c r="K25" s="172" t="str">
        <f>IF(OR(VLOOKUP("Ртуть",Исх.данные!$C$105:$F$115,4,FALSE)="менее 0.005",VLOOKUP("Ртуть",Исх.данные!$C$105:$F$115,4,FALSE)="менее 0.005 "),"0.005",VLOOKUP("Ртуть",Исх.данные!$C$105:$F$115,4,FALSE))</f>
        <v>0,090</v>
      </c>
      <c r="L25" s="172" t="str">
        <f>VLOOKUP("Свинец",Исх.данные!$C$105:$F$115,4,FALSE)</f>
        <v>16</v>
      </c>
      <c r="M25" s="172" t="str">
        <f>VLOOKUP("Цинк",Исх.данные!$C$105:$F$115,4,FALSE)</f>
        <v>67</v>
      </c>
      <c r="N25" s="152" t="str">
        <f>Акт!I8</f>
        <v>ПС</v>
      </c>
      <c r="O25" s="382">
        <f>VLOOKUP("pH солевой вытяжки",Исх.данные!$C$105:$F$115,4,FALSE)</f>
        <v>7.1</v>
      </c>
      <c r="P25" s="212"/>
      <c r="Q25" s="170">
        <f t="shared" si="0"/>
        <v>8</v>
      </c>
      <c r="S25" s="175" t="str">
        <f t="shared" si="1"/>
        <v>02АХ.03</v>
      </c>
      <c r="T25" s="176" t="str">
        <f t="shared" si="2"/>
        <v>0,5-1,0</v>
      </c>
      <c r="U25" s="176" t="str">
        <f t="shared" si="3"/>
        <v>0,17± 0.05</v>
      </c>
      <c r="V25" s="186">
        <f t="shared" si="38"/>
        <v>8.5</v>
      </c>
      <c r="W25" s="174" t="str">
        <f t="shared" si="39"/>
        <v>ЧО</v>
      </c>
      <c r="X25" s="223"/>
      <c r="AA25" s="172">
        <f>VLOOKUP("Бенз(а)пирен",Исх.данные!$C$105:$F$115,4,FALSE)</f>
        <v>0.17</v>
      </c>
      <c r="AB25" s="172" t="str">
        <f>VLOOKUP("Бенз(а)пирен",Исх.данные!$C$105:$H$115,5,FALSE)</f>
        <v>± 0.05</v>
      </c>
      <c r="AC25" s="170">
        <f t="shared" si="4"/>
        <v>8</v>
      </c>
      <c r="AE25" s="175" t="str">
        <f t="shared" si="5"/>
        <v>02АХ.03</v>
      </c>
      <c r="AF25" s="176" t="str">
        <f t="shared" si="6"/>
        <v>0,5-1,0</v>
      </c>
      <c r="AG25" s="176" t="str">
        <f t="shared" si="7"/>
        <v>130± 40</v>
      </c>
      <c r="AH25" s="187" t="str">
        <f t="shared" si="40"/>
        <v>нет</v>
      </c>
      <c r="AI25" s="238" t="str">
        <f t="shared" si="41"/>
        <v>Допустимый</v>
      </c>
      <c r="AL25" s="172" t="str">
        <f>VLOOKUP("Нефтепродукты",Исх.данные!$C$105:$F$115,4,FALSE)</f>
        <v>130</v>
      </c>
      <c r="AM25" s="172" t="str">
        <f>VLOOKUP("Нефтепродукты",Исх.данные!$C$105:$H$115,5,FALSE)</f>
        <v>± 40</v>
      </c>
      <c r="AO25" s="170">
        <f t="shared" si="8"/>
        <v>8</v>
      </c>
      <c r="AQ25" s="211" t="str">
        <f t="shared" si="9"/>
        <v>02АХ.03</v>
      </c>
      <c r="AR25" s="212" t="str">
        <f t="shared" si="10"/>
        <v>0,5-1,0</v>
      </c>
      <c r="AS25" s="187" t="str">
        <f t="shared" si="11"/>
        <v>нет</v>
      </c>
      <c r="AT25" s="187" t="str">
        <f t="shared" si="12"/>
        <v>нет</v>
      </c>
      <c r="AU25" s="205">
        <f t="shared" si="13"/>
        <v>1.9</v>
      </c>
      <c r="AV25" s="187" t="str">
        <f t="shared" si="14"/>
        <v>нет</v>
      </c>
      <c r="AW25" s="187" t="str">
        <f t="shared" si="15"/>
        <v>нет</v>
      </c>
      <c r="AX25" s="187" t="str">
        <f t="shared" si="16"/>
        <v>нет</v>
      </c>
      <c r="AY25" s="208">
        <f t="shared" si="17"/>
        <v>1.2181818181818183</v>
      </c>
      <c r="AZ25" s="186">
        <f t="shared" si="18"/>
        <v>1.321794871794872</v>
      </c>
      <c r="BA25" s="204" t="str">
        <f t="shared" si="19"/>
        <v>Д</v>
      </c>
      <c r="BB25" s="276"/>
      <c r="BC25" s="186">
        <f t="shared" si="20"/>
        <v>1.0333333333333334</v>
      </c>
      <c r="BD25" s="186">
        <f t="shared" si="21"/>
        <v>0.77777777777777779</v>
      </c>
      <c r="BE25" s="186">
        <f t="shared" si="22"/>
        <v>0.5757575757575758</v>
      </c>
      <c r="BF25" s="186">
        <f t="shared" si="23"/>
        <v>0.8</v>
      </c>
      <c r="BG25" s="186">
        <f t="shared" si="24"/>
        <v>0.89999999999999991</v>
      </c>
      <c r="BH25" s="186">
        <f t="shared" si="25"/>
        <v>0.61538461538461542</v>
      </c>
      <c r="BI25" s="186">
        <f t="shared" si="26"/>
        <v>1.2884615384615385</v>
      </c>
      <c r="BJ25" s="276"/>
      <c r="BK25" s="186">
        <f t="shared" si="42"/>
        <v>6.1999999999999993</v>
      </c>
      <c r="BL25" s="186">
        <f t="shared" si="43"/>
        <v>2.625</v>
      </c>
      <c r="BM25" s="186">
        <f t="shared" si="44"/>
        <v>2.5333333333333332</v>
      </c>
      <c r="BN25" s="186">
        <f t="shared" si="45"/>
        <v>2.6666666666666665</v>
      </c>
      <c r="BO25" s="186">
        <f t="shared" si="46"/>
        <v>1.7999999999999998</v>
      </c>
      <c r="BP25" s="186">
        <f t="shared" si="47"/>
        <v>2.6666666666666665</v>
      </c>
      <c r="BQ25" s="186">
        <f t="shared" si="48"/>
        <v>2.3928571428571428</v>
      </c>
      <c r="BR25" s="276"/>
      <c r="BS25" s="202">
        <f t="shared" si="27"/>
        <v>1.321794871794872</v>
      </c>
      <c r="BT25" s="206">
        <f t="shared" si="28"/>
        <v>14.884523809523806</v>
      </c>
      <c r="BU25" s="187">
        <f t="shared" si="29"/>
        <v>14.884523809523806</v>
      </c>
      <c r="BV25" s="203">
        <f t="shared" si="30"/>
        <v>4.2661616161616163</v>
      </c>
      <c r="BW25" s="276"/>
      <c r="BX25" s="258">
        <f t="shared" si="31"/>
        <v>8</v>
      </c>
      <c r="BY25" s="172" t="str">
        <f t="shared" si="32"/>
        <v>02АХ.03</v>
      </c>
      <c r="BZ25" s="176" t="str">
        <f t="shared" si="33"/>
        <v>0,5-1,0</v>
      </c>
      <c r="CA25" s="173" t="str">
        <f t="shared" si="49"/>
        <v>Зона 2</v>
      </c>
      <c r="CB25" s="186" t="str">
        <f t="shared" si="34"/>
        <v>Д</v>
      </c>
      <c r="CC25" s="176" t="str">
        <f t="shared" si="35"/>
        <v>ЧО</v>
      </c>
      <c r="CD25" s="176" t="str">
        <f t="shared" si="36"/>
        <v>ЧО</v>
      </c>
      <c r="CE25" s="239" t="str">
        <f t="shared" si="37"/>
        <v>Допустимый</v>
      </c>
      <c r="CF25" s="342" t="s">
        <v>225</v>
      </c>
      <c r="CG25" s="345" t="s">
        <v>48</v>
      </c>
      <c r="CH25" s="249">
        <v>0.2</v>
      </c>
      <c r="CI25" s="249">
        <v>23021.142500000002</v>
      </c>
      <c r="CJ25" s="170" t="str">
        <f t="shared" si="50"/>
        <v>3</v>
      </c>
      <c r="CK25" s="357" t="s">
        <v>141</v>
      </c>
      <c r="CL25" s="353" t="s">
        <v>225</v>
      </c>
    </row>
    <row r="26" spans="1:97" s="170" customFormat="1" ht="16.5" thickBot="1" x14ac:dyDescent="0.3">
      <c r="A26" s="179"/>
      <c r="C26" s="175">
        <f>IF(ISBLANK(D26),"",COUNTA($D$18:D26))</f>
        <v>9</v>
      </c>
      <c r="D26" s="174" t="str">
        <f>Акт!C9</f>
        <v>03АХ.03</v>
      </c>
      <c r="E26" s="445" t="str">
        <f>Акт!B9</f>
        <v>0,5-1,0</v>
      </c>
      <c r="F26" s="172">
        <f>VLOOKUP("pH солевой вытяжки",Исх.данные!$C$119:$F$129,4,FALSE)</f>
        <v>6.5</v>
      </c>
      <c r="G26" s="172">
        <f>IF(OR(VLOOKUP("Кадмий",Исх.данные!$C$119:$F$129,4,FALSE)="менее 0.05",VLOOKUP("Кадмий",Исх.данные!$C$119:$F$129,4,FALSE)="менее 0.05 "),"0.05",VLOOKUP("Кадмий",Исх.данные!$C$119:$F$129,4,FALSE))</f>
        <v>0.28000000000000003</v>
      </c>
      <c r="H26" s="172" t="str">
        <f>IF(OR(VLOOKUP("Медь",Исх.данные!$C$119:$F$129,4,FALSE)="менее 0.1",VLOOKUP("Медь",Исх.данные!$C$119:$F$129,4,FALSE)="менее 0.1 "),"0.1",VLOOKUP("Медь",Исх.данные!$C$119:$F$129,4,FALSE))</f>
        <v>22</v>
      </c>
      <c r="I26" s="172">
        <f>IF(OR(VLOOKUP("Мышьяк",Исх.данные!$C$119:$F$129,4,FALSE)="менее 0.1",VLOOKUP("Мышьяк",Исх.данные!$C$119:$F$129,4,FALSE)="менее 0.1 "),"0.1",VLOOKUP("Мышьяк",Исх.данные!$C$119:$F$129,4,FALSE))</f>
        <v>2.2000000000000002</v>
      </c>
      <c r="J26" s="172" t="str">
        <f>VLOOKUP("Никель",Исх.данные!$C$119:$F$129,4,FALSE)</f>
        <v>12</v>
      </c>
      <c r="K26" s="172" t="str">
        <f>IF(OR(VLOOKUP("Ртуть",Исх.данные!$C$119:$F$129,4,FALSE)="менее 0.005",VLOOKUP("Ртуть",Исх.данные!$C$119:$F$129,4,FALSE)="менее 0.005 "),"0.005",VLOOKUP("Ртуть",Исх.данные!$C$119:$F$129,4,FALSE))</f>
        <v>0,137</v>
      </c>
      <c r="L26" s="172" t="str">
        <f>VLOOKUP("Свинец",Исх.данные!$C$119:$F$129,4,FALSE)</f>
        <v>13</v>
      </c>
      <c r="M26" s="172" t="str">
        <f>VLOOKUP("Цинк",Исх.данные!$C$119:$F$129,4,FALSE)</f>
        <v>180</v>
      </c>
      <c r="N26" s="152" t="str">
        <f>Акт!I9</f>
        <v>ПС</v>
      </c>
      <c r="O26" s="382">
        <f>VLOOKUP("pH солевой вытяжки",Исх.данные!$C$119:$F$129,4,FALSE)</f>
        <v>6.5</v>
      </c>
      <c r="P26" s="212"/>
      <c r="Q26" s="170">
        <f t="shared" si="0"/>
        <v>9</v>
      </c>
      <c r="S26" s="175" t="str">
        <f t="shared" si="1"/>
        <v>03АХ.03</v>
      </c>
      <c r="T26" s="176" t="str">
        <f t="shared" si="2"/>
        <v>0,5-1,0</v>
      </c>
      <c r="U26" s="176" t="str">
        <f t="shared" si="3"/>
        <v>0,17± 0.05</v>
      </c>
      <c r="V26" s="186">
        <f t="shared" si="38"/>
        <v>8.5</v>
      </c>
      <c r="W26" s="174" t="str">
        <f t="shared" si="39"/>
        <v>ЧО</v>
      </c>
      <c r="X26" s="223"/>
      <c r="AA26" s="172" t="str">
        <f>VLOOKUP("Бенз(а)пирен",Исх.данные!$C$119:$F$129,4,FALSE)</f>
        <v>0,17</v>
      </c>
      <c r="AB26" s="172" t="str">
        <f>VLOOKUP("Бенз(а)пирен",Исх.данные!$C$119:$H$129,5,FALSE)</f>
        <v>± 0.05</v>
      </c>
      <c r="AC26" s="170">
        <f t="shared" si="4"/>
        <v>9</v>
      </c>
      <c r="AE26" s="175" t="str">
        <f t="shared" si="5"/>
        <v>03АХ.03</v>
      </c>
      <c r="AF26" s="176" t="str">
        <f t="shared" si="6"/>
        <v>0,5-1,0</v>
      </c>
      <c r="AG26" s="176" t="str">
        <f t="shared" si="7"/>
        <v>170± 40</v>
      </c>
      <c r="AH26" s="187" t="str">
        <f t="shared" si="40"/>
        <v>нет</v>
      </c>
      <c r="AI26" s="238" t="str">
        <f t="shared" si="41"/>
        <v>Допустимый</v>
      </c>
      <c r="AL26" s="172" t="str">
        <f>VLOOKUP("Нефтепродукты",Исх.данные!$C$119:$F$129,4,FALSE)</f>
        <v>170</v>
      </c>
      <c r="AM26" s="172" t="str">
        <f>VLOOKUP("Нефтепродукты",Исх.данные!$C$119:$H$129,5,FALSE)</f>
        <v>± 40</v>
      </c>
      <c r="AO26" s="170">
        <f t="shared" si="8"/>
        <v>9</v>
      </c>
      <c r="AQ26" s="211" t="str">
        <f t="shared" si="9"/>
        <v>03АХ.03</v>
      </c>
      <c r="AR26" s="212" t="str">
        <f t="shared" si="10"/>
        <v>0,5-1,0</v>
      </c>
      <c r="AS26" s="187" t="str">
        <f t="shared" si="11"/>
        <v>нет</v>
      </c>
      <c r="AT26" s="187" t="str">
        <f t="shared" si="12"/>
        <v>нет</v>
      </c>
      <c r="AU26" s="205">
        <f t="shared" si="13"/>
        <v>1.1000000000000001</v>
      </c>
      <c r="AV26" s="187" t="str">
        <f t="shared" si="14"/>
        <v>нет</v>
      </c>
      <c r="AW26" s="187" t="str">
        <f t="shared" si="15"/>
        <v>нет</v>
      </c>
      <c r="AX26" s="187" t="str">
        <f t="shared" si="16"/>
        <v>нет</v>
      </c>
      <c r="AY26" s="208">
        <f t="shared" si="17"/>
        <v>3.2727272727272729</v>
      </c>
      <c r="AZ26" s="186">
        <f t="shared" si="18"/>
        <v>3.8315384615384618</v>
      </c>
      <c r="BA26" s="204" t="str">
        <f t="shared" si="19"/>
        <v>Д</v>
      </c>
      <c r="BB26" s="276"/>
      <c r="BC26" s="186">
        <f t="shared" si="20"/>
        <v>0.93333333333333346</v>
      </c>
      <c r="BD26" s="186">
        <f t="shared" si="21"/>
        <v>0.81481481481481477</v>
      </c>
      <c r="BE26" s="186">
        <f t="shared" si="22"/>
        <v>0.33333333333333337</v>
      </c>
      <c r="BF26" s="186">
        <f t="shared" si="23"/>
        <v>0.6</v>
      </c>
      <c r="BG26" s="186">
        <f t="shared" si="24"/>
        <v>1.37</v>
      </c>
      <c r="BH26" s="186">
        <f t="shared" si="25"/>
        <v>0.5</v>
      </c>
      <c r="BI26" s="186">
        <f t="shared" si="26"/>
        <v>3.4615384615384617</v>
      </c>
      <c r="BJ26" s="276"/>
      <c r="BK26" s="186">
        <f t="shared" si="42"/>
        <v>5.6000000000000005</v>
      </c>
      <c r="BL26" s="186">
        <f t="shared" si="43"/>
        <v>2.75</v>
      </c>
      <c r="BM26" s="186">
        <f t="shared" si="44"/>
        <v>1.4666666666666668</v>
      </c>
      <c r="BN26" s="186">
        <f t="shared" si="45"/>
        <v>2</v>
      </c>
      <c r="BO26" s="186">
        <f t="shared" si="46"/>
        <v>2.74</v>
      </c>
      <c r="BP26" s="186">
        <f t="shared" si="47"/>
        <v>2.1666666666666665</v>
      </c>
      <c r="BQ26" s="186">
        <f t="shared" si="48"/>
        <v>6.4285714285714288</v>
      </c>
      <c r="BR26" s="276"/>
      <c r="BS26" s="202">
        <f t="shared" si="27"/>
        <v>3.8315384615384618</v>
      </c>
      <c r="BT26" s="206">
        <f t="shared" si="28"/>
        <v>17.151904761904763</v>
      </c>
      <c r="BU26" s="187">
        <f t="shared" si="29"/>
        <v>17.151904761904763</v>
      </c>
      <c r="BV26" s="203">
        <f t="shared" si="30"/>
        <v>6.17</v>
      </c>
      <c r="BW26" s="276"/>
      <c r="BX26" s="258">
        <f t="shared" si="31"/>
        <v>9</v>
      </c>
      <c r="BY26" s="172" t="str">
        <f t="shared" si="32"/>
        <v>03АХ.03</v>
      </c>
      <c r="BZ26" s="176" t="str">
        <f t="shared" si="33"/>
        <v>0,5-1,0</v>
      </c>
      <c r="CA26" s="173" t="str">
        <f t="shared" si="49"/>
        <v>Зона 3</v>
      </c>
      <c r="CB26" s="186" t="str">
        <f t="shared" si="34"/>
        <v>Д</v>
      </c>
      <c r="CC26" s="176" t="str">
        <f t="shared" si="35"/>
        <v>ЧО</v>
      </c>
      <c r="CD26" s="176" t="str">
        <f t="shared" si="36"/>
        <v>ЧО</v>
      </c>
      <c r="CE26" s="239" t="str">
        <f t="shared" si="37"/>
        <v>Допустимый</v>
      </c>
      <c r="CF26" s="342" t="s">
        <v>225</v>
      </c>
      <c r="CG26" s="345" t="s">
        <v>48</v>
      </c>
      <c r="CH26" s="249">
        <v>0.2</v>
      </c>
      <c r="CI26" s="249">
        <v>22424.472300000001</v>
      </c>
      <c r="CJ26" s="170" t="str">
        <f t="shared" si="50"/>
        <v>3</v>
      </c>
      <c r="CK26" s="358" t="s">
        <v>147</v>
      </c>
      <c r="CL26" s="353" t="s">
        <v>225</v>
      </c>
    </row>
    <row r="27" spans="1:97" s="170" customFormat="1" ht="16.5" thickBot="1" x14ac:dyDescent="0.3">
      <c r="A27" s="179"/>
      <c r="C27" s="175">
        <f>IF(ISBLANK(D27),"",COUNTA($D$18:D27))</f>
        <v>10</v>
      </c>
      <c r="D27" s="174" t="str">
        <f>Акт!C10</f>
        <v>01АХ.04</v>
      </c>
      <c r="E27" s="445" t="str">
        <f>Акт!B10</f>
        <v>1,0-2,0</v>
      </c>
      <c r="F27" s="172">
        <f>VLOOKUP("pH солевой вытяжки",Исх.данные!$C$135:$F$145,4,FALSE)</f>
        <v>6.7</v>
      </c>
      <c r="G27" s="172">
        <f>IF(OR(VLOOKUP("Кадмий",Исх.данные!$C$135:$F$145,4,FALSE)="менее 0.05",VLOOKUP("Кадмий",Исх.данные!$C$135:$F$145,4,FALSE)="менее 0.05 "),"0.05",VLOOKUP("Кадмий",Исх.данные!$C$135:$F$145,4,FALSE))</f>
        <v>0.19</v>
      </c>
      <c r="H27" s="172" t="str">
        <f>IF(OR(VLOOKUP("Медь",Исх.данные!$C$135:$F$145,4,FALSE)="менее 0.1",VLOOKUP("Медь",Исх.данные!$C$135:$F$145,4,FALSE)="менее 0.1 "),"0.1",VLOOKUP("Медь",Исх.данные!$C$135:$F$145,4,FALSE))</f>
        <v>13</v>
      </c>
      <c r="I27" s="172">
        <f>IF(OR(VLOOKUP("Мышьяк",Исх.данные!$C$135:$F$145,4,FALSE)="менее 0.1",VLOOKUP("Мышьяк",Исх.данные!$C$135:$F$145,4,FALSE)="менее 0.1 "),"0.1",VLOOKUP("Мышьяк",Исх.данные!$C$135:$F$145,4,FALSE))</f>
        <v>0.35</v>
      </c>
      <c r="J27" s="172" t="str">
        <f>VLOOKUP("Никель",Исх.данные!$C$135:$F$145,4,FALSE)</f>
        <v>9</v>
      </c>
      <c r="K27" s="172" t="str">
        <f>IF(OR(VLOOKUP("Ртуть",Исх.данные!$C$135:$F$145,4,FALSE)="менее 0.005",VLOOKUP("Ртуть",Исх.данные!$C$135:$F$145,4,FALSE)="менее 0.005 "),"0.005",VLOOKUP("Ртуть",Исх.данные!$C$135:$F$145,4,FALSE))</f>
        <v>0,123</v>
      </c>
      <c r="L27" s="172">
        <f>VLOOKUP("Свинец",Исх.данные!$C$135:$F$145,4,FALSE)</f>
        <v>10</v>
      </c>
      <c r="M27" s="172" t="str">
        <f>VLOOKUP("Цинк",Исх.данные!$C$135:$F$145,4,FALSE)</f>
        <v>29</v>
      </c>
      <c r="N27" s="152" t="str">
        <f>Акт!I10</f>
        <v>СГ</v>
      </c>
      <c r="O27" s="382">
        <f>VLOOKUP("pH солевой вытяжки",Исх.данные!$C$135:$F$145,4,FALSE)</f>
        <v>6.7</v>
      </c>
      <c r="P27" s="212"/>
      <c r="Q27" s="170">
        <f t="shared" si="0"/>
        <v>10</v>
      </c>
      <c r="S27" s="175" t="str">
        <f t="shared" si="1"/>
        <v>01АХ.04</v>
      </c>
      <c r="T27" s="176" t="str">
        <f t="shared" si="2"/>
        <v>1,0-2,0</v>
      </c>
      <c r="U27" s="176" t="str">
        <f t="shared" si="3"/>
        <v>0,081± 0.023</v>
      </c>
      <c r="V27" s="186">
        <f t="shared" si="38"/>
        <v>4.05</v>
      </c>
      <c r="W27" s="174" t="str">
        <f t="shared" si="39"/>
        <v>О</v>
      </c>
      <c r="X27" s="223"/>
      <c r="AA27" s="172">
        <f>VLOOKUP("Бенз(а)пирен",Исх.данные!$C$135:$F$145,4,FALSE)</f>
        <v>8.1000000000000003E-2</v>
      </c>
      <c r="AB27" s="172" t="str">
        <f>VLOOKUP("Бенз(а)пирен",Исх.данные!$C$135:$H$145,5,FALSE)</f>
        <v>± 0.023</v>
      </c>
      <c r="AC27" s="170">
        <f t="shared" si="4"/>
        <v>10</v>
      </c>
      <c r="AE27" s="175" t="str">
        <f t="shared" si="5"/>
        <v>01АХ.04</v>
      </c>
      <c r="AF27" s="176" t="str">
        <f t="shared" si="6"/>
        <v>1,0-2,0</v>
      </c>
      <c r="AG27" s="176" t="str">
        <f t="shared" si="7"/>
        <v>1600± 400</v>
      </c>
      <c r="AH27" s="187">
        <f t="shared" si="40"/>
        <v>1.6</v>
      </c>
      <c r="AI27" s="238" t="str">
        <f t="shared" si="41"/>
        <v>Низкий</v>
      </c>
      <c r="AL27" s="172" t="str">
        <f>VLOOKUP("Нефтепродукты",Исх.данные!$C$135:$F$145,4,FALSE)</f>
        <v>1600</v>
      </c>
      <c r="AM27" s="172" t="str">
        <f>VLOOKUP("Нефтепродукты",Исх.данные!$C$135:$H$145,5,FALSE)</f>
        <v>± 400</v>
      </c>
      <c r="AO27" s="170">
        <f t="shared" si="8"/>
        <v>10</v>
      </c>
      <c r="AQ27" s="211" t="str">
        <f t="shared" si="9"/>
        <v>01АХ.04</v>
      </c>
      <c r="AR27" s="212" t="str">
        <f t="shared" si="10"/>
        <v>1,0-2,0</v>
      </c>
      <c r="AS27" s="187" t="str">
        <f t="shared" si="11"/>
        <v>нет</v>
      </c>
      <c r="AT27" s="187" t="str">
        <f t="shared" si="12"/>
        <v>нет</v>
      </c>
      <c r="AU27" s="205" t="str">
        <f t="shared" si="13"/>
        <v>нет</v>
      </c>
      <c r="AV27" s="187" t="str">
        <f t="shared" si="14"/>
        <v>нет</v>
      </c>
      <c r="AW27" s="187" t="str">
        <f t="shared" si="15"/>
        <v>нет</v>
      </c>
      <c r="AX27" s="187" t="str">
        <f t="shared" si="16"/>
        <v>нет</v>
      </c>
      <c r="AY27" s="208" t="str">
        <f t="shared" si="17"/>
        <v>нет</v>
      </c>
      <c r="AZ27" s="186">
        <f t="shared" si="18"/>
        <v>1.23</v>
      </c>
      <c r="BA27" s="204" t="str">
        <f t="shared" si="19"/>
        <v>Д</v>
      </c>
      <c r="BB27" s="276"/>
      <c r="BC27" s="186">
        <f t="shared" si="20"/>
        <v>0.63333333333333341</v>
      </c>
      <c r="BD27" s="186">
        <f t="shared" si="21"/>
        <v>0.48148148148148145</v>
      </c>
      <c r="BE27" s="186">
        <f t="shared" si="22"/>
        <v>5.3030303030303032E-2</v>
      </c>
      <c r="BF27" s="186">
        <f t="shared" si="23"/>
        <v>0.45</v>
      </c>
      <c r="BG27" s="186">
        <f t="shared" si="24"/>
        <v>1.23</v>
      </c>
      <c r="BH27" s="186">
        <f t="shared" si="25"/>
        <v>0.38461538461538464</v>
      </c>
      <c r="BI27" s="186">
        <f t="shared" si="26"/>
        <v>0.55769230769230771</v>
      </c>
      <c r="BJ27" s="276"/>
      <c r="BK27" s="186">
        <f t="shared" si="42"/>
        <v>1.5833333333333335</v>
      </c>
      <c r="BL27" s="186">
        <f t="shared" si="43"/>
        <v>0.8666666666666667</v>
      </c>
      <c r="BM27" s="186">
        <f t="shared" si="44"/>
        <v>0.15909090909090906</v>
      </c>
      <c r="BN27" s="186">
        <f t="shared" si="45"/>
        <v>0.3</v>
      </c>
      <c r="BO27" s="186">
        <f t="shared" si="46"/>
        <v>1.23</v>
      </c>
      <c r="BP27" s="186">
        <f t="shared" si="47"/>
        <v>0.66666666666666663</v>
      </c>
      <c r="BQ27" s="186">
        <f t="shared" si="48"/>
        <v>0.64444444444444449</v>
      </c>
      <c r="BR27" s="276"/>
      <c r="BS27" s="202">
        <f t="shared" si="27"/>
        <v>1.23</v>
      </c>
      <c r="BT27" s="206">
        <f t="shared" si="28"/>
        <v>1.8133333333333335</v>
      </c>
      <c r="BU27" s="187">
        <f t="shared" si="29"/>
        <v>7.0873809523809523</v>
      </c>
      <c r="BV27" s="203">
        <f t="shared" si="30"/>
        <v>1.8133333333333335</v>
      </c>
      <c r="BW27" s="276"/>
      <c r="BX27" s="258">
        <f t="shared" si="31"/>
        <v>10</v>
      </c>
      <c r="BY27" s="172" t="str">
        <f t="shared" si="32"/>
        <v>01АХ.04</v>
      </c>
      <c r="BZ27" s="176" t="str">
        <f t="shared" si="33"/>
        <v>1,0-2,0</v>
      </c>
      <c r="CA27" s="173" t="str">
        <f t="shared" si="49"/>
        <v>Зона 1</v>
      </c>
      <c r="CB27" s="186" t="str">
        <f t="shared" si="34"/>
        <v>Д</v>
      </c>
      <c r="CC27" s="176" t="str">
        <f t="shared" si="35"/>
        <v>О</v>
      </c>
      <c r="CD27" s="176" t="str">
        <f t="shared" si="36"/>
        <v>О</v>
      </c>
      <c r="CE27" s="239" t="str">
        <f t="shared" si="37"/>
        <v>Низкий</v>
      </c>
      <c r="CF27" s="342" t="s">
        <v>225</v>
      </c>
      <c r="CG27" s="345" t="s">
        <v>48</v>
      </c>
      <c r="CH27" s="249">
        <v>0.2</v>
      </c>
      <c r="CI27" s="249">
        <v>14347.3097</v>
      </c>
      <c r="CJ27" s="170" t="str">
        <f t="shared" si="50"/>
        <v>4</v>
      </c>
      <c r="CK27" s="359" t="s">
        <v>224</v>
      </c>
      <c r="CL27" s="353" t="s">
        <v>225</v>
      </c>
    </row>
    <row r="28" spans="1:97" s="170" customFormat="1" ht="16.5" thickBot="1" x14ac:dyDescent="0.3">
      <c r="A28" s="179"/>
      <c r="C28" s="175">
        <f>IF(ISBLANK(D28),"",COUNTA($D$18:D28))</f>
        <v>11</v>
      </c>
      <c r="D28" s="174" t="str">
        <f>Акт!C11</f>
        <v>02АХ.04</v>
      </c>
      <c r="E28" s="445" t="str">
        <f>Акт!B11</f>
        <v>1,0-2,0</v>
      </c>
      <c r="F28" s="172">
        <f>VLOOKUP("pH солевой вытяжки",Исх.данные!$C$149:$F$159,4,FALSE)</f>
        <v>6.7</v>
      </c>
      <c r="G28" s="172">
        <f>IF(OR(VLOOKUP("Кадмий",Исх.данные!$C$149:$F$159,4,FALSE)="менее 0.05",VLOOKUP("Кадмий",Исх.данные!$C$149:$F$159,4,FALSE)="менее 0.05 "),"0.05",VLOOKUP("Кадмий",Исх.данные!$C$149:$F$159,4,FALSE))</f>
        <v>0.17</v>
      </c>
      <c r="H28" s="172" t="str">
        <f>IF(OR(VLOOKUP("Медь",Исх.данные!$C$149:$F$159,4,FALSE)="менее 0.1",VLOOKUP("Медь",Исх.данные!$C$149:$F$159,4,FALSE)="менее 0.1 "),"0.1",VLOOKUP("Медь",Исх.данные!$C$149:$F$159,4,FALSE))</f>
        <v>14</v>
      </c>
      <c r="I28" s="172">
        <f>IF(OR(VLOOKUP("Мышьяк",Исх.данные!$C$149:$F$159,4,FALSE)="менее 0.1",VLOOKUP("Мышьяк",Исх.данные!$C$149:$F$159,4,FALSE)="менее 0.1 "),"0.1",VLOOKUP("Мышьяк",Исх.данные!$C$149:$F$159,4,FALSE))</f>
        <v>0.7</v>
      </c>
      <c r="J28" s="172" t="str">
        <f>VLOOKUP("Никель",Исх.данные!$C$149:$F$159,4,FALSE)</f>
        <v>7</v>
      </c>
      <c r="K28" s="172" t="str">
        <f>IF(OR(VLOOKUP("Ртуть",Исх.данные!$C$149:$F$159,4,FALSE)="менее 0.005",VLOOKUP("Ртуть",Исх.данные!$C$149:$F$159,4,FALSE)="менее 0.005 "),"0.005",VLOOKUP("Ртуть",Исх.данные!$C$149:$F$159,4,FALSE))</f>
        <v>0,065</v>
      </c>
      <c r="L28" s="172">
        <f>VLOOKUP("Свинец",Исх.данные!$C$149:$F$159,4,FALSE)</f>
        <v>7.8</v>
      </c>
      <c r="M28" s="172" t="str">
        <f>VLOOKUP("Цинк",Исх.данные!$C$149:$F$159,4,FALSE)</f>
        <v>37</v>
      </c>
      <c r="N28" s="152" t="str">
        <f>Акт!I11</f>
        <v>СГ</v>
      </c>
      <c r="O28" s="382">
        <f>VLOOKUP("pH солевой вытяжки",Исх.данные!$C$149:$F$159,4,FALSE)</f>
        <v>6.7</v>
      </c>
      <c r="P28" s="212"/>
      <c r="Q28" s="170">
        <f t="shared" si="0"/>
        <v>11</v>
      </c>
      <c r="S28" s="175" t="str">
        <f t="shared" si="1"/>
        <v>02АХ.04</v>
      </c>
      <c r="T28" s="176" t="str">
        <f t="shared" si="2"/>
        <v>1,0-2,0</v>
      </c>
      <c r="U28" s="176" t="str">
        <f t="shared" si="3"/>
        <v>0,062± 0.017</v>
      </c>
      <c r="V28" s="186">
        <f t="shared" si="38"/>
        <v>3.1</v>
      </c>
      <c r="W28" s="174" t="str">
        <f t="shared" si="39"/>
        <v>О</v>
      </c>
      <c r="X28" s="223"/>
      <c r="AA28" s="172">
        <f>VLOOKUP("Бенз(а)пирен",Исх.данные!$C$149:$F$159,4,FALSE)</f>
        <v>6.2E-2</v>
      </c>
      <c r="AB28" s="172" t="str">
        <f>VLOOKUP("Бенз(а)пирен",Исх.данные!$C$149:$H$159,5,FALSE)</f>
        <v>± 0.017</v>
      </c>
      <c r="AC28" s="170">
        <f t="shared" si="4"/>
        <v>11</v>
      </c>
      <c r="AE28" s="175" t="str">
        <f t="shared" si="5"/>
        <v>02АХ.04</v>
      </c>
      <c r="AF28" s="176" t="str">
        <f t="shared" si="6"/>
        <v>1,0-2,0</v>
      </c>
      <c r="AG28" s="176" t="str">
        <f t="shared" si="7"/>
        <v>80± 30</v>
      </c>
      <c r="AH28" s="187" t="str">
        <f t="shared" si="40"/>
        <v>нет</v>
      </c>
      <c r="AI28" s="238" t="str">
        <f t="shared" si="41"/>
        <v>Допустимый</v>
      </c>
      <c r="AL28" s="172" t="str">
        <f>VLOOKUP("Нефтепродукты",Исх.данные!$C$149:$F$159,4,FALSE)</f>
        <v>80</v>
      </c>
      <c r="AM28" s="172" t="str">
        <f>VLOOKUP("Нефтепродукты",Исх.данные!$C$149:$H$159,5,FALSE)</f>
        <v>± 30</v>
      </c>
      <c r="AO28" s="170">
        <f t="shared" si="8"/>
        <v>11</v>
      </c>
      <c r="AQ28" s="211" t="str">
        <f t="shared" si="9"/>
        <v>02АХ.04</v>
      </c>
      <c r="AR28" s="212" t="str">
        <f t="shared" si="10"/>
        <v>1,0-2,0</v>
      </c>
      <c r="AS28" s="187" t="str">
        <f t="shared" si="11"/>
        <v>нет</v>
      </c>
      <c r="AT28" s="187" t="str">
        <f t="shared" si="12"/>
        <v>нет</v>
      </c>
      <c r="AU28" s="205" t="str">
        <f t="shared" si="13"/>
        <v>нет</v>
      </c>
      <c r="AV28" s="187" t="str">
        <f t="shared" si="14"/>
        <v>нет</v>
      </c>
      <c r="AW28" s="187" t="str">
        <f t="shared" si="15"/>
        <v>нет</v>
      </c>
      <c r="AX28" s="187" t="str">
        <f t="shared" si="16"/>
        <v>нет</v>
      </c>
      <c r="AY28" s="208" t="str">
        <f t="shared" si="17"/>
        <v>нет</v>
      </c>
      <c r="AZ28" s="186">
        <f t="shared" si="18"/>
        <v>1</v>
      </c>
      <c r="BA28" s="204" t="str">
        <f t="shared" si="19"/>
        <v>Д</v>
      </c>
      <c r="BB28" s="276"/>
      <c r="BC28" s="186">
        <f t="shared" si="20"/>
        <v>0.56666666666666676</v>
      </c>
      <c r="BD28" s="186">
        <f t="shared" si="21"/>
        <v>0.51851851851851849</v>
      </c>
      <c r="BE28" s="186">
        <f t="shared" si="22"/>
        <v>0.10606060606060606</v>
      </c>
      <c r="BF28" s="186">
        <f t="shared" si="23"/>
        <v>0.35</v>
      </c>
      <c r="BG28" s="186">
        <f t="shared" si="24"/>
        <v>0.65</v>
      </c>
      <c r="BH28" s="186">
        <f t="shared" si="25"/>
        <v>0.3</v>
      </c>
      <c r="BI28" s="186">
        <f t="shared" si="26"/>
        <v>0.71153846153846156</v>
      </c>
      <c r="BJ28" s="276"/>
      <c r="BK28" s="186">
        <f t="shared" si="42"/>
        <v>1.4166666666666667</v>
      </c>
      <c r="BL28" s="186">
        <f t="shared" si="43"/>
        <v>0.93333333333333335</v>
      </c>
      <c r="BM28" s="186">
        <f t="shared" si="44"/>
        <v>0.31818181818181812</v>
      </c>
      <c r="BN28" s="186">
        <f t="shared" si="45"/>
        <v>0.23333333333333334</v>
      </c>
      <c r="BO28" s="186">
        <f t="shared" si="46"/>
        <v>0.65</v>
      </c>
      <c r="BP28" s="186">
        <f t="shared" si="47"/>
        <v>0.52</v>
      </c>
      <c r="BQ28" s="186">
        <f t="shared" si="48"/>
        <v>0.82222222222222219</v>
      </c>
      <c r="BR28" s="276"/>
      <c r="BS28" s="202">
        <f t="shared" si="27"/>
        <v>1</v>
      </c>
      <c r="BT28" s="206">
        <f t="shared" si="28"/>
        <v>1.4166666666666667</v>
      </c>
      <c r="BU28" s="187">
        <f t="shared" si="29"/>
        <v>5.2380952380952372</v>
      </c>
      <c r="BV28" s="203">
        <f t="shared" si="30"/>
        <v>1.4166666666666667</v>
      </c>
      <c r="BW28" s="276"/>
      <c r="BX28" s="258">
        <f t="shared" si="31"/>
        <v>11</v>
      </c>
      <c r="BY28" s="172" t="str">
        <f t="shared" si="32"/>
        <v>02АХ.04</v>
      </c>
      <c r="BZ28" s="176" t="str">
        <f t="shared" si="33"/>
        <v>1,0-2,0</v>
      </c>
      <c r="CA28" s="173" t="str">
        <f t="shared" si="49"/>
        <v>Зона 2</v>
      </c>
      <c r="CB28" s="186" t="str">
        <f t="shared" si="34"/>
        <v>Д</v>
      </c>
      <c r="CC28" s="176" t="str">
        <f t="shared" si="35"/>
        <v>О</v>
      </c>
      <c r="CD28" s="176" t="str">
        <f t="shared" si="36"/>
        <v>О</v>
      </c>
      <c r="CE28" s="239" t="str">
        <f t="shared" si="37"/>
        <v>Допустимый</v>
      </c>
      <c r="CF28" s="342" t="s">
        <v>225</v>
      </c>
      <c r="CG28" s="343">
        <f>CI28*CH28</f>
        <v>1435.4630999999999</v>
      </c>
      <c r="CH28" s="249">
        <v>0.2</v>
      </c>
      <c r="CI28" s="249">
        <v>7177.3154999999997</v>
      </c>
      <c r="CJ28" s="170" t="str">
        <f t="shared" si="50"/>
        <v>4</v>
      </c>
    </row>
    <row r="29" spans="1:97" s="170" customFormat="1" ht="16.5" thickBot="1" x14ac:dyDescent="0.3">
      <c r="A29" s="179"/>
      <c r="C29" s="175">
        <f>IF(ISBLANK(D29),"",COUNTA($D$18:D29))</f>
        <v>12</v>
      </c>
      <c r="D29" s="174" t="str">
        <f>Акт!C12</f>
        <v>03АХ.04</v>
      </c>
      <c r="E29" s="445" t="str">
        <f>Акт!B12</f>
        <v>1,0-2,0</v>
      </c>
      <c r="F29" s="172">
        <f>VLOOKUP("pH солевой вытяжки",Исх.данные!$C$163:$F$173,4,FALSE)</f>
        <v>6.9</v>
      </c>
      <c r="G29" s="172">
        <f>IF(OR(VLOOKUP("Кадмий",Исх.данные!$C$163:$F$173,4,FALSE)="менее 0.05",VLOOKUP("Кадмий",Исх.данные!$C$163:$F$173,4,FALSE)="менее 0.05 "),"0.05",VLOOKUP("Кадмий",Исх.данные!$C$163:$F$173,4,FALSE))</f>
        <v>0.2</v>
      </c>
      <c r="H29" s="172" t="str">
        <f>IF(OR(VLOOKUP("Медь",Исх.данные!$C$163:$F$173,4,FALSE)="менее 0.1",VLOOKUP("Медь",Исх.данные!$C$163:$F$173,4,FALSE)="менее 0.1 "),"0.1",VLOOKUP("Медь",Исх.данные!$C$163:$F$173,4,FALSE))</f>
        <v>18</v>
      </c>
      <c r="I29" s="172">
        <f>IF(OR(VLOOKUP("Мышьяк",Исх.данные!$C$163:$F$173,4,FALSE)="менее 0.1",VLOOKUP("Мышьяк",Исх.данные!$C$163:$F$173,4,FALSE)="менее 0.1 "),"0.1",VLOOKUP("Мышьяк",Исх.данные!$C$163:$F$173,4,FALSE))</f>
        <v>0.37</v>
      </c>
      <c r="J29" s="172" t="str">
        <f>VLOOKUP("Никель",Исх.данные!$C$163:$F$173,4,FALSE)</f>
        <v>7</v>
      </c>
      <c r="K29" s="172" t="str">
        <f>IF(OR(VLOOKUP("Ртуть",Исх.данные!$C$163:$F$173,4,FALSE)="менее 0.005",VLOOKUP("Ртуть",Исх.данные!$C$163:$F$173,4,FALSE)="менее 0.005 "),"0.005",VLOOKUP("Ртуть",Исх.данные!$C$163:$F$173,4,FALSE))</f>
        <v>0,114</v>
      </c>
      <c r="L29" s="172" t="str">
        <f>VLOOKUP("Свинец",Исх.данные!$C$163:$F$173,4,FALSE)</f>
        <v>12</v>
      </c>
      <c r="M29" s="172" t="str">
        <f>VLOOKUP("Цинк",Исх.данные!$C$163:$F$173,4,FALSE)</f>
        <v>36</v>
      </c>
      <c r="N29" s="152" t="str">
        <f>Акт!I12</f>
        <v>СГ</v>
      </c>
      <c r="O29" s="382">
        <f>VLOOKUP("pH солевой вытяжки",Исх.данные!$C$163:$F$173,4,FALSE)</f>
        <v>6.9</v>
      </c>
      <c r="P29" s="212"/>
      <c r="Q29" s="170">
        <f t="shared" si="0"/>
        <v>12</v>
      </c>
      <c r="S29" s="175" t="str">
        <f t="shared" si="1"/>
        <v>03АХ.04</v>
      </c>
      <c r="T29" s="176" t="str">
        <f t="shared" si="2"/>
        <v>1,0-2,0</v>
      </c>
      <c r="U29" s="176" t="str">
        <f t="shared" si="3"/>
        <v>0,062± 0.017</v>
      </c>
      <c r="V29" s="186">
        <f t="shared" si="38"/>
        <v>3.1</v>
      </c>
      <c r="W29" s="174" t="str">
        <f t="shared" si="39"/>
        <v>О</v>
      </c>
      <c r="X29" s="223"/>
      <c r="AA29" s="172">
        <f>VLOOKUP("Бенз(а)пирен",Исх.данные!$C$163:$F$173,4,FALSE)</f>
        <v>6.2E-2</v>
      </c>
      <c r="AB29" s="172" t="str">
        <f>VLOOKUP("Бенз(а)пирен",Исх.данные!$C$163:$H$173,5,FALSE)</f>
        <v>± 0.017</v>
      </c>
      <c r="AC29" s="170">
        <f t="shared" si="4"/>
        <v>12</v>
      </c>
      <c r="AE29" s="175" t="str">
        <f t="shared" si="5"/>
        <v>03АХ.04</v>
      </c>
      <c r="AF29" s="176" t="str">
        <f t="shared" si="6"/>
        <v>1,0-2,0</v>
      </c>
      <c r="AG29" s="176" t="str">
        <f t="shared" si="7"/>
        <v>53± 19</v>
      </c>
      <c r="AH29" s="187" t="str">
        <f t="shared" si="40"/>
        <v>нет</v>
      </c>
      <c r="AI29" s="238" t="str">
        <f t="shared" si="41"/>
        <v>Допустимый</v>
      </c>
      <c r="AL29" s="172" t="str">
        <f>VLOOKUP("Нефтепродукты",Исх.данные!$C$163:$F$173,4,FALSE)</f>
        <v>53</v>
      </c>
      <c r="AM29" s="172" t="str">
        <f>VLOOKUP("Нефтепродукты",Исх.данные!$C$163:$H$173,5,FALSE)</f>
        <v>± 19</v>
      </c>
      <c r="AO29" s="170">
        <f t="shared" si="8"/>
        <v>12</v>
      </c>
      <c r="AQ29" s="211" t="str">
        <f t="shared" si="9"/>
        <v>03АХ.04</v>
      </c>
      <c r="AR29" s="212" t="str">
        <f t="shared" si="10"/>
        <v>1,0-2,0</v>
      </c>
      <c r="AS29" s="187" t="str">
        <f t="shared" si="11"/>
        <v>нет</v>
      </c>
      <c r="AT29" s="187" t="str">
        <f t="shared" si="12"/>
        <v>нет</v>
      </c>
      <c r="AU29" s="205" t="str">
        <f t="shared" si="13"/>
        <v>нет</v>
      </c>
      <c r="AV29" s="187" t="str">
        <f t="shared" si="14"/>
        <v>нет</v>
      </c>
      <c r="AW29" s="187" t="str">
        <f t="shared" si="15"/>
        <v>нет</v>
      </c>
      <c r="AX29" s="187" t="str">
        <f t="shared" si="16"/>
        <v>нет</v>
      </c>
      <c r="AY29" s="208" t="str">
        <f t="shared" si="17"/>
        <v>нет</v>
      </c>
      <c r="AZ29" s="186">
        <f t="shared" si="18"/>
        <v>1.1399999999999999</v>
      </c>
      <c r="BA29" s="204" t="str">
        <f t="shared" si="19"/>
        <v>Д</v>
      </c>
      <c r="BB29" s="276"/>
      <c r="BC29" s="186">
        <f t="shared" si="20"/>
        <v>0.66666666666666674</v>
      </c>
      <c r="BD29" s="186">
        <f t="shared" si="21"/>
        <v>0.66666666666666663</v>
      </c>
      <c r="BE29" s="186">
        <f t="shared" si="22"/>
        <v>5.6060606060606061E-2</v>
      </c>
      <c r="BF29" s="186">
        <f t="shared" si="23"/>
        <v>0.35</v>
      </c>
      <c r="BG29" s="186">
        <f t="shared" si="24"/>
        <v>1.1399999999999999</v>
      </c>
      <c r="BH29" s="186">
        <f t="shared" si="25"/>
        <v>0.46153846153846156</v>
      </c>
      <c r="BI29" s="186">
        <f t="shared" si="26"/>
        <v>0.69230769230769229</v>
      </c>
      <c r="BJ29" s="276"/>
      <c r="BK29" s="186">
        <f t="shared" si="42"/>
        <v>1.6666666666666667</v>
      </c>
      <c r="BL29" s="186">
        <f t="shared" si="43"/>
        <v>1.2</v>
      </c>
      <c r="BM29" s="186">
        <f t="shared" si="44"/>
        <v>0.16818181818181815</v>
      </c>
      <c r="BN29" s="186">
        <f t="shared" si="45"/>
        <v>0.23333333333333334</v>
      </c>
      <c r="BO29" s="186">
        <f t="shared" si="46"/>
        <v>1.1399999999999999</v>
      </c>
      <c r="BP29" s="186">
        <f t="shared" si="47"/>
        <v>0.8</v>
      </c>
      <c r="BQ29" s="186">
        <f t="shared" si="48"/>
        <v>0.8</v>
      </c>
      <c r="BR29" s="276"/>
      <c r="BS29" s="202">
        <f t="shared" si="27"/>
        <v>1.1399999999999999</v>
      </c>
      <c r="BT29" s="206">
        <f t="shared" si="28"/>
        <v>2.0066666666666668</v>
      </c>
      <c r="BU29" s="187">
        <f t="shared" si="29"/>
        <v>7.9823809523809528</v>
      </c>
      <c r="BV29" s="203">
        <f t="shared" si="30"/>
        <v>2.0066666666666668</v>
      </c>
      <c r="BW29" s="276"/>
      <c r="BX29" s="258">
        <f t="shared" si="31"/>
        <v>12</v>
      </c>
      <c r="BY29" s="172" t="str">
        <f t="shared" si="32"/>
        <v>03АХ.04</v>
      </c>
      <c r="BZ29" s="176" t="str">
        <f t="shared" si="33"/>
        <v>1,0-2,0</v>
      </c>
      <c r="CA29" s="173" t="str">
        <f t="shared" si="49"/>
        <v>Зона 3</v>
      </c>
      <c r="CB29" s="186" t="str">
        <f t="shared" si="34"/>
        <v>Д</v>
      </c>
      <c r="CC29" s="176" t="str">
        <f t="shared" si="35"/>
        <v>О</v>
      </c>
      <c r="CD29" s="176" t="str">
        <f t="shared" si="36"/>
        <v>О</v>
      </c>
      <c r="CE29" s="239" t="str">
        <f t="shared" si="37"/>
        <v>Допустимый</v>
      </c>
      <c r="CF29" s="342" t="s">
        <v>225</v>
      </c>
      <c r="CG29" s="345" t="s">
        <v>48</v>
      </c>
      <c r="CH29" s="249">
        <v>0.2</v>
      </c>
      <c r="CI29" s="249">
        <v>12319.466</v>
      </c>
      <c r="CJ29" s="170" t="str">
        <f t="shared" si="50"/>
        <v>4</v>
      </c>
      <c r="CK29" s="351" t="s">
        <v>449</v>
      </c>
    </row>
    <row r="30" spans="1:97" s="170" customFormat="1" ht="16.5" thickBot="1" x14ac:dyDescent="0.3">
      <c r="A30" s="179"/>
      <c r="C30" s="175">
        <f>IF(ISBLANK(D30),"",COUNTA($D$18:D30))</f>
        <v>13</v>
      </c>
      <c r="D30" s="174" t="str">
        <f>Акт!C13</f>
        <v>01АХ.05</v>
      </c>
      <c r="E30" s="445" t="str">
        <f>Акт!B13</f>
        <v>2,0-3,0</v>
      </c>
      <c r="F30" s="172">
        <f>VLOOKUP("pH солевой вытяжки",Исх.данные!$C$179:$F$189,4,FALSE)</f>
        <v>6.9</v>
      </c>
      <c r="G30" s="172">
        <f>IF(OR(VLOOKUP("Кадмий",Исх.данные!$C$179:$F$189,4,FALSE)="менее 0.05",VLOOKUP("Кадмий",Исх.данные!$C$179:$F$189,4,FALSE)="менее 0.05 "),"0.05",VLOOKUP("Кадмий",Исх.данные!$C$179:$F$189,4,FALSE))</f>
        <v>0.2</v>
      </c>
      <c r="H30" s="172" t="str">
        <f>IF(OR(VLOOKUP("Медь",Исх.данные!$C$179:$F$189,4,FALSE)="менее 0.1",VLOOKUP("Медь",Исх.данные!$C$179:$F$189,4,FALSE)="менее 0.1 "),"0.1",VLOOKUP("Медь",Исх.данные!$C$179:$F$189,4,FALSE))</f>
        <v>15</v>
      </c>
      <c r="I30" s="172">
        <f>IF(OR(VLOOKUP("Мышьяк",Исх.данные!$C$179:$F$189,4,FALSE)="менее 0.1",VLOOKUP("Мышьяк",Исх.данные!$C$179:$F$189,4,FALSE)="менее 0.1 "),"0.1",VLOOKUP("Мышьяк",Исх.данные!$C$179:$F$189,4,FALSE))</f>
        <v>0.9</v>
      </c>
      <c r="J30" s="172" t="str">
        <f>VLOOKUP("Никель",Исх.данные!$C$179:$F$189,4,FALSE)</f>
        <v>10</v>
      </c>
      <c r="K30" s="172" t="str">
        <f>IF(OR(VLOOKUP("Ртуть",Исх.данные!$C$179:$F$189,4,FALSE)="менее 0.005",VLOOKUP("Ртуть",Исх.данные!$C$179:$F$189,4,FALSE)="менее 0.005 "),"0.005",VLOOKUP("Ртуть",Исх.данные!$C$179:$F$189,4,FALSE))</f>
        <v>0,067</v>
      </c>
      <c r="L30" s="172">
        <f>VLOOKUP("Свинец",Исх.данные!$C$179:$F$189,4,FALSE)</f>
        <v>6.2</v>
      </c>
      <c r="M30" s="172" t="str">
        <f>VLOOKUP("Цинк",Исх.данные!$C$179:$F$189,4,FALSE)</f>
        <v>32</v>
      </c>
      <c r="N30" s="152" t="str">
        <f>Акт!I13</f>
        <v>СГ</v>
      </c>
      <c r="O30" s="382">
        <f>VLOOKUP("pH солевой вытяжки",Исх.данные!$C$179:$F$189,4,FALSE)</f>
        <v>6.9</v>
      </c>
      <c r="P30" s="212"/>
      <c r="Q30" s="170">
        <f t="shared" si="0"/>
        <v>13</v>
      </c>
      <c r="S30" s="175" t="str">
        <f t="shared" si="1"/>
        <v>01АХ.05</v>
      </c>
      <c r="T30" s="176" t="str">
        <f t="shared" si="2"/>
        <v>2,0-3,0</v>
      </c>
      <c r="U30" s="176" t="str">
        <f t="shared" si="3"/>
        <v>0,042± 0.012</v>
      </c>
      <c r="V30" s="186">
        <f t="shared" si="38"/>
        <v>2.1</v>
      </c>
      <c r="W30" s="174" t="str">
        <f t="shared" si="39"/>
        <v>О</v>
      </c>
      <c r="X30" s="223"/>
      <c r="AA30" s="172">
        <f>VLOOKUP("Бенз(а)пирен",Исх.данные!$C$179:$F$189,4,FALSE)</f>
        <v>4.2000000000000003E-2</v>
      </c>
      <c r="AB30" s="172" t="str">
        <f>VLOOKUP("Бенз(а)пирен",Исх.данные!$C$179:$H$189,5,FALSE)</f>
        <v>± 0.012</v>
      </c>
      <c r="AC30" s="170">
        <f t="shared" si="4"/>
        <v>13</v>
      </c>
      <c r="AE30" s="175" t="str">
        <f t="shared" si="5"/>
        <v>01АХ.05</v>
      </c>
      <c r="AF30" s="176" t="str">
        <f t="shared" si="6"/>
        <v>2,0-3,0</v>
      </c>
      <c r="AG30" s="176" t="str">
        <f t="shared" si="7"/>
        <v>460± 120</v>
      </c>
      <c r="AH30" s="187" t="str">
        <f t="shared" si="40"/>
        <v>нет</v>
      </c>
      <c r="AI30" s="238" t="str">
        <f t="shared" si="41"/>
        <v>Допустимый</v>
      </c>
      <c r="AL30" s="172" t="str">
        <f>VLOOKUP("Нефтепродукты",Исх.данные!$C$179:$F$189,4,FALSE)</f>
        <v>460</v>
      </c>
      <c r="AM30" s="172" t="str">
        <f>VLOOKUP("Нефтепродукты",Исх.данные!$C$179:$H$189,5,FALSE)</f>
        <v>± 120</v>
      </c>
      <c r="AO30" s="170">
        <f t="shared" si="8"/>
        <v>13</v>
      </c>
      <c r="AQ30" s="211" t="str">
        <f t="shared" si="9"/>
        <v>01АХ.05</v>
      </c>
      <c r="AR30" s="212" t="str">
        <f t="shared" si="10"/>
        <v>2,0-3,0</v>
      </c>
      <c r="AS30" s="187" t="str">
        <f t="shared" si="11"/>
        <v>нет</v>
      </c>
      <c r="AT30" s="187" t="str">
        <f t="shared" si="12"/>
        <v>нет</v>
      </c>
      <c r="AU30" s="205" t="str">
        <f t="shared" si="13"/>
        <v>нет</v>
      </c>
      <c r="AV30" s="187" t="str">
        <f t="shared" si="14"/>
        <v>нет</v>
      </c>
      <c r="AW30" s="187" t="str">
        <f t="shared" si="15"/>
        <v>нет</v>
      </c>
      <c r="AX30" s="187" t="str">
        <f t="shared" si="16"/>
        <v>нет</v>
      </c>
      <c r="AY30" s="208" t="str">
        <f t="shared" si="17"/>
        <v>нет</v>
      </c>
      <c r="AZ30" s="186">
        <f t="shared" si="18"/>
        <v>1</v>
      </c>
      <c r="BA30" s="204" t="str">
        <f t="shared" si="19"/>
        <v>Д</v>
      </c>
      <c r="BB30" s="276"/>
      <c r="BC30" s="186">
        <f t="shared" si="20"/>
        <v>0.66666666666666674</v>
      </c>
      <c r="BD30" s="186">
        <f t="shared" si="21"/>
        <v>0.55555555555555558</v>
      </c>
      <c r="BE30" s="186">
        <f t="shared" si="22"/>
        <v>0.13636363636363638</v>
      </c>
      <c r="BF30" s="186">
        <f t="shared" si="23"/>
        <v>0.5</v>
      </c>
      <c r="BG30" s="186">
        <f t="shared" si="24"/>
        <v>0.67</v>
      </c>
      <c r="BH30" s="186">
        <f t="shared" si="25"/>
        <v>0.23846153846153847</v>
      </c>
      <c r="BI30" s="186">
        <f t="shared" si="26"/>
        <v>0.61538461538461542</v>
      </c>
      <c r="BJ30" s="276"/>
      <c r="BK30" s="186">
        <f t="shared" si="42"/>
        <v>1.6666666666666667</v>
      </c>
      <c r="BL30" s="186">
        <f t="shared" si="43"/>
        <v>1</v>
      </c>
      <c r="BM30" s="186">
        <f t="shared" si="44"/>
        <v>0.40909090909090906</v>
      </c>
      <c r="BN30" s="186">
        <f t="shared" si="45"/>
        <v>0.33333333333333331</v>
      </c>
      <c r="BO30" s="186">
        <f t="shared" si="46"/>
        <v>0.67</v>
      </c>
      <c r="BP30" s="186">
        <f t="shared" si="47"/>
        <v>0.41333333333333333</v>
      </c>
      <c r="BQ30" s="186">
        <f t="shared" si="48"/>
        <v>0.71111111111111114</v>
      </c>
      <c r="BR30" s="276"/>
      <c r="BS30" s="202">
        <f t="shared" si="27"/>
        <v>1</v>
      </c>
      <c r="BT30" s="206">
        <f t="shared" si="28"/>
        <v>1.6666666666666667</v>
      </c>
      <c r="BU30" s="187">
        <f t="shared" si="29"/>
        <v>6.0578571428571433</v>
      </c>
      <c r="BV30" s="203">
        <f t="shared" si="30"/>
        <v>1.6666666666666667</v>
      </c>
      <c r="BW30" s="276"/>
      <c r="BX30" s="258">
        <f t="shared" si="31"/>
        <v>13</v>
      </c>
      <c r="BY30" s="172" t="str">
        <f t="shared" si="32"/>
        <v>01АХ.05</v>
      </c>
      <c r="BZ30" s="176" t="str">
        <f t="shared" si="33"/>
        <v>2,0-3,0</v>
      </c>
      <c r="CA30" s="173" t="str">
        <f t="shared" si="49"/>
        <v>Зона 1</v>
      </c>
      <c r="CB30" s="186" t="str">
        <f t="shared" si="34"/>
        <v>Д</v>
      </c>
      <c r="CC30" s="176" t="str">
        <f t="shared" si="35"/>
        <v>О</v>
      </c>
      <c r="CD30" s="176" t="str">
        <f t="shared" si="36"/>
        <v>О</v>
      </c>
      <c r="CE30" s="239" t="str">
        <f t="shared" si="37"/>
        <v>Допустимый</v>
      </c>
      <c r="CF30" s="342" t="s">
        <v>225</v>
      </c>
      <c r="CG30" s="345" t="s">
        <v>48</v>
      </c>
      <c r="CH30" s="249">
        <v>0.2</v>
      </c>
      <c r="CI30" s="249">
        <v>11443.637699999999</v>
      </c>
      <c r="CJ30" s="170" t="str">
        <f t="shared" si="50"/>
        <v>5</v>
      </c>
      <c r="CO30" s="53"/>
    </row>
    <row r="31" spans="1:97" s="170" customFormat="1" ht="26.25" thickBot="1" x14ac:dyDescent="0.3">
      <c r="A31" s="179"/>
      <c r="C31" s="175">
        <f>IF(ISBLANK(D31),"",COUNTA($D$18:D31))</f>
        <v>14</v>
      </c>
      <c r="D31" s="174" t="str">
        <f>Акт!C14</f>
        <v>02АХ.05</v>
      </c>
      <c r="E31" s="445" t="str">
        <f>Акт!B14</f>
        <v>2,0-3,0</v>
      </c>
      <c r="F31" s="172">
        <f>VLOOKUP("pH солевой вытяжки",Исх.данные!$C$193:$F$203,4,FALSE)</f>
        <v>6.5</v>
      </c>
      <c r="G31" s="172">
        <f>IF(OR(VLOOKUP("Кадмий",Исх.данные!$C$193:$F$203,4,FALSE)="менее 0.05",VLOOKUP("Кадмий",Исх.данные!$C$193:$F$203,4,FALSE)="менее 0.05 "),"0.05",VLOOKUP("Кадмий",Исх.данные!$C$193:$F$203,4,FALSE))</f>
        <v>0.14000000000000001</v>
      </c>
      <c r="H31" s="172" t="str">
        <f>IF(OR(VLOOKUP("Медь",Исх.данные!$C$193:$F$203,4,FALSE)="менее 0.1",VLOOKUP("Медь",Исх.данные!$C$193:$F$203,4,FALSE)="менее 0.1 "),"0.1",VLOOKUP("Медь",Исх.данные!$C$193:$F$203,4,FALSE))</f>
        <v>17</v>
      </c>
      <c r="I31" s="172">
        <f>IF(OR(VLOOKUP("Мышьяк",Исх.данные!$C$193:$F$203,4,FALSE)="менее 0.1",VLOOKUP("Мышьяк",Исх.данные!$C$193:$F$203,4,FALSE)="менее 0.1 "),"0.1",VLOOKUP("Мышьяк",Исх.данные!$C$193:$F$203,4,FALSE))</f>
        <v>0.6</v>
      </c>
      <c r="J31" s="172" t="str">
        <f>VLOOKUP("Никель",Исх.данные!$C$193:$F$203,4,FALSE)</f>
        <v>8</v>
      </c>
      <c r="K31" s="172" t="str">
        <f>IF(OR(VLOOKUP("Ртуть",Исх.данные!$C$193:$F$203,4,FALSE)="менее 0.005",VLOOKUP("Ртуть",Исх.данные!$C$193:$F$203,4,FALSE)="менее 0.005 "),"0.005",VLOOKUP("Ртуть",Исх.данные!$C$193:$F$203,4,FALSE))</f>
        <v>0,024</v>
      </c>
      <c r="L31" s="172" t="str">
        <f>VLOOKUP("Свинец",Исх.данные!$C$193:$F$203,4,FALSE)</f>
        <v>11</v>
      </c>
      <c r="M31" s="172" t="str">
        <f>VLOOKUP("Цинк",Исх.данные!$C$193:$F$203,4,FALSE)</f>
        <v>26</v>
      </c>
      <c r="N31" s="152" t="str">
        <f>Акт!I14</f>
        <v>СГ</v>
      </c>
      <c r="O31" s="382">
        <f>VLOOKUP("pH солевой вытяжки",Исх.данные!$C$193:$F$203,4,FALSE)</f>
        <v>6.5</v>
      </c>
      <c r="P31" s="212"/>
      <c r="Q31" s="170">
        <f t="shared" si="0"/>
        <v>14</v>
      </c>
      <c r="S31" s="175" t="str">
        <f t="shared" si="1"/>
        <v>02АХ.05</v>
      </c>
      <c r="T31" s="176" t="str">
        <f t="shared" si="2"/>
        <v>2,0-3,0</v>
      </c>
      <c r="U31" s="176" t="str">
        <f t="shared" si="3"/>
        <v>0,031± 0.009</v>
      </c>
      <c r="V31" s="186">
        <f t="shared" si="38"/>
        <v>1.55</v>
      </c>
      <c r="W31" s="174" t="str">
        <f t="shared" si="39"/>
        <v>Д</v>
      </c>
      <c r="X31" s="223"/>
      <c r="AA31" s="172">
        <f>VLOOKUP("Бенз(а)пирен",Исх.данные!$C$193:$F$203,4,FALSE)</f>
        <v>3.1E-2</v>
      </c>
      <c r="AB31" s="172" t="str">
        <f>VLOOKUP("Бенз(а)пирен",Исх.данные!$C$193:$H$203,5,FALSE)</f>
        <v>± 0.009</v>
      </c>
      <c r="AC31" s="170">
        <f t="shared" si="4"/>
        <v>14</v>
      </c>
      <c r="AE31" s="175" t="str">
        <f t="shared" si="5"/>
        <v>02АХ.05</v>
      </c>
      <c r="AF31" s="176" t="str">
        <f t="shared" si="6"/>
        <v>2,0-3,0</v>
      </c>
      <c r="AG31" s="176" t="str">
        <f t="shared" si="7"/>
        <v>50---</v>
      </c>
      <c r="AH31" s="187" t="str">
        <f t="shared" si="40"/>
        <v>нет</v>
      </c>
      <c r="AI31" s="238" t="str">
        <f t="shared" si="41"/>
        <v>Допустимый</v>
      </c>
      <c r="AL31" s="172">
        <f>VLOOKUP("Нефтепродукты",Исх.данные!$C$193:$F$203,4,FALSE)</f>
        <v>50</v>
      </c>
      <c r="AM31" s="172" t="str">
        <f>VLOOKUP("Нефтепродукты",Исх.данные!$C$193:$H$203,5,FALSE)</f>
        <v>---</v>
      </c>
      <c r="AO31" s="170">
        <f t="shared" si="8"/>
        <v>14</v>
      </c>
      <c r="AQ31" s="211" t="str">
        <f t="shared" si="9"/>
        <v>02АХ.05</v>
      </c>
      <c r="AR31" s="212" t="str">
        <f t="shared" si="10"/>
        <v>2,0-3,0</v>
      </c>
      <c r="AS31" s="187" t="str">
        <f t="shared" si="11"/>
        <v>нет</v>
      </c>
      <c r="AT31" s="187" t="str">
        <f t="shared" si="12"/>
        <v>нет</v>
      </c>
      <c r="AU31" s="205" t="str">
        <f t="shared" si="13"/>
        <v>нет</v>
      </c>
      <c r="AV31" s="187" t="str">
        <f t="shared" si="14"/>
        <v>нет</v>
      </c>
      <c r="AW31" s="187" t="str">
        <f t="shared" si="15"/>
        <v>нет</v>
      </c>
      <c r="AX31" s="187" t="str">
        <f t="shared" si="16"/>
        <v>нет</v>
      </c>
      <c r="AY31" s="208" t="str">
        <f t="shared" si="17"/>
        <v>нет</v>
      </c>
      <c r="AZ31" s="186">
        <f t="shared" si="18"/>
        <v>1</v>
      </c>
      <c r="BA31" s="204" t="str">
        <f t="shared" si="19"/>
        <v>Д</v>
      </c>
      <c r="BB31" s="276"/>
      <c r="BC31" s="186">
        <f t="shared" si="20"/>
        <v>0.46666666666666673</v>
      </c>
      <c r="BD31" s="186">
        <f t="shared" si="21"/>
        <v>0.62962962962962965</v>
      </c>
      <c r="BE31" s="186">
        <f t="shared" si="22"/>
        <v>9.0909090909090912E-2</v>
      </c>
      <c r="BF31" s="186">
        <f t="shared" si="23"/>
        <v>0.4</v>
      </c>
      <c r="BG31" s="186">
        <f t="shared" si="24"/>
        <v>0.24</v>
      </c>
      <c r="BH31" s="186">
        <f t="shared" si="25"/>
        <v>0.42307692307692307</v>
      </c>
      <c r="BI31" s="186">
        <f t="shared" si="26"/>
        <v>0.5</v>
      </c>
      <c r="BJ31" s="276"/>
      <c r="BK31" s="186">
        <f t="shared" si="42"/>
        <v>1.1666666666666667</v>
      </c>
      <c r="BL31" s="186">
        <f t="shared" si="43"/>
        <v>1.1333333333333333</v>
      </c>
      <c r="BM31" s="186">
        <f t="shared" si="44"/>
        <v>0.27272727272727271</v>
      </c>
      <c r="BN31" s="186">
        <f t="shared" si="45"/>
        <v>0.26666666666666666</v>
      </c>
      <c r="BO31" s="186">
        <f t="shared" si="46"/>
        <v>0.24</v>
      </c>
      <c r="BP31" s="186">
        <f t="shared" si="47"/>
        <v>0.73333333333333328</v>
      </c>
      <c r="BQ31" s="186">
        <f t="shared" si="48"/>
        <v>0.57777777777777772</v>
      </c>
      <c r="BR31" s="276"/>
      <c r="BS31" s="202">
        <f t="shared" si="27"/>
        <v>1</v>
      </c>
      <c r="BT31" s="206">
        <f t="shared" si="28"/>
        <v>1.3</v>
      </c>
      <c r="BU31" s="187">
        <f t="shared" si="29"/>
        <v>5.0916666666666668</v>
      </c>
      <c r="BV31" s="203">
        <f t="shared" si="30"/>
        <v>1.3</v>
      </c>
      <c r="BW31" s="276"/>
      <c r="BX31" s="258">
        <f t="shared" si="31"/>
        <v>14</v>
      </c>
      <c r="BY31" s="172" t="str">
        <f t="shared" si="32"/>
        <v>02АХ.05</v>
      </c>
      <c r="BZ31" s="176" t="str">
        <f t="shared" si="33"/>
        <v>2,0-3,0</v>
      </c>
      <c r="CA31" s="173" t="str">
        <f t="shared" si="49"/>
        <v>Зона 2</v>
      </c>
      <c r="CB31" s="186" t="str">
        <f t="shared" si="34"/>
        <v>Д</v>
      </c>
      <c r="CC31" s="176" t="str">
        <f t="shared" si="35"/>
        <v>Д</v>
      </c>
      <c r="CD31" s="176" t="str">
        <f t="shared" si="36"/>
        <v>Д</v>
      </c>
      <c r="CE31" s="239" t="str">
        <f t="shared" si="37"/>
        <v>Допустимый</v>
      </c>
      <c r="CF31" s="342" t="s">
        <v>225</v>
      </c>
      <c r="CG31" s="345" t="s">
        <v>48</v>
      </c>
      <c r="CH31" s="249">
        <v>0.2</v>
      </c>
      <c r="CI31" s="249">
        <v>15693.608</v>
      </c>
      <c r="CJ31" s="170" t="str">
        <f t="shared" si="50"/>
        <v>5</v>
      </c>
      <c r="CK31" s="360" t="s">
        <v>120</v>
      </c>
      <c r="CO31" s="53"/>
    </row>
    <row r="32" spans="1:97" s="170" customFormat="1" ht="16.5" thickBot="1" x14ac:dyDescent="0.3">
      <c r="A32" s="179"/>
      <c r="C32" s="175">
        <f>IF(ISBLANK(D32),"",COUNTA($D$18:D32))</f>
        <v>15</v>
      </c>
      <c r="D32" s="174" t="str">
        <f>Акт!C15</f>
        <v>03АХ.05</v>
      </c>
      <c r="E32" s="445" t="str">
        <f>Акт!B15</f>
        <v>2,0-3,0</v>
      </c>
      <c r="F32" s="172">
        <f>VLOOKUP("pH солевой вытяжки",Исх.данные!$C$207:$F$217,4,FALSE)</f>
        <v>7.3</v>
      </c>
      <c r="G32" s="172">
        <f>IF(OR(VLOOKUP("Кадмий",Исх.данные!$C$207:$F$217,4,FALSE)="менее 0.05",VLOOKUP("Кадмий",Исх.данные!$C$207:$F$217,4,FALSE)="менее 0.05 "),"0.05",VLOOKUP("Кадмий",Исх.данные!$C$207:$F$217,4,FALSE))</f>
        <v>0.1</v>
      </c>
      <c r="H32" s="172" t="str">
        <f>IF(OR(VLOOKUP("Медь",Исх.данные!$C$207:$F$217,4,FALSE)="менее 0.1",VLOOKUP("Медь",Исх.данные!$C$207:$F$217,4,FALSE)="менее 0.1 "),"0.1",VLOOKUP("Медь",Исх.данные!$C$207:$F$217,4,FALSE))</f>
        <v>15</v>
      </c>
      <c r="I32" s="172">
        <f>IF(OR(VLOOKUP("Мышьяк",Исх.данные!$C$207:$F$217,4,FALSE)="менее 0.1",VLOOKUP("Мышьяк",Исх.данные!$C$207:$F$217,4,FALSE)="менее 0.1 "),"0.1",VLOOKUP("Мышьяк",Исх.данные!$C$207:$F$217,4,FALSE))</f>
        <v>0.37</v>
      </c>
      <c r="J32" s="172" t="str">
        <f>VLOOKUP("Никель",Исх.данные!$C$207:$F$217,4,FALSE)</f>
        <v>10</v>
      </c>
      <c r="K32" s="172" t="str">
        <f>IF(OR(VLOOKUP("Ртуть",Исх.данные!$C$207:$F$217,4,FALSE)="менее 0.005",VLOOKUP("Ртуть",Исх.данные!$C$207:$F$217,4,FALSE)="менее 0.005 "),"0.005",VLOOKUP("Ртуть",Исх.данные!$C$207:$F$217,4,FALSE))</f>
        <v>0,054</v>
      </c>
      <c r="L32" s="172">
        <f>VLOOKUP("Свинец",Исх.данные!$C$207:$F$217,4,FALSE)</f>
        <v>8.1</v>
      </c>
      <c r="M32" s="172" t="str">
        <f>VLOOKUP("Цинк",Исх.данные!$C$207:$F$217,4,FALSE)</f>
        <v>25</v>
      </c>
      <c r="N32" s="152" t="str">
        <f>Акт!I15</f>
        <v>СГ</v>
      </c>
      <c r="O32" s="382">
        <f>VLOOKUP("pH солевой вытяжки",Исх.данные!$C$207:$F$217,4,FALSE)</f>
        <v>7.3</v>
      </c>
      <c r="P32" s="212"/>
      <c r="Q32" s="170">
        <f t="shared" si="0"/>
        <v>15</v>
      </c>
      <c r="S32" s="175" t="str">
        <f t="shared" si="1"/>
        <v>03АХ.05</v>
      </c>
      <c r="T32" s="176" t="str">
        <f t="shared" si="2"/>
        <v>2,0-3,0</v>
      </c>
      <c r="U32" s="176" t="str">
        <f t="shared" si="3"/>
        <v>0,027± 0.008</v>
      </c>
      <c r="V32" s="186">
        <f t="shared" si="38"/>
        <v>1.3499999999999999</v>
      </c>
      <c r="W32" s="174" t="str">
        <f t="shared" si="39"/>
        <v>Д</v>
      </c>
      <c r="X32" s="223"/>
      <c r="AA32" s="172">
        <f>VLOOKUP("Бенз(а)пирен",Исх.данные!$C$207:$F$217,4,FALSE)</f>
        <v>2.7E-2</v>
      </c>
      <c r="AB32" s="172" t="str">
        <f>VLOOKUP("Бенз(а)пирен",Исх.данные!$C$207:$H$217,5,FALSE)</f>
        <v>± 0.008</v>
      </c>
      <c r="AC32" s="170">
        <f t="shared" si="4"/>
        <v>15</v>
      </c>
      <c r="AE32" s="175" t="str">
        <f t="shared" si="5"/>
        <v>03АХ.05</v>
      </c>
      <c r="AF32" s="176" t="str">
        <f t="shared" si="6"/>
        <v>2,0-3,0</v>
      </c>
      <c r="AG32" s="176" t="str">
        <f t="shared" si="7"/>
        <v>50---</v>
      </c>
      <c r="AH32" s="187" t="str">
        <f t="shared" si="40"/>
        <v>нет</v>
      </c>
      <c r="AI32" s="238" t="str">
        <f t="shared" si="41"/>
        <v>Допустимый</v>
      </c>
      <c r="AL32" s="172">
        <f>VLOOKUP("Нефтепродукты",Исх.данные!$C$207:$F$217,4,FALSE)</f>
        <v>50</v>
      </c>
      <c r="AM32" s="172" t="str">
        <f>VLOOKUP("Нефтепродукты",Исх.данные!$C$207:$H$217,5,FALSE)</f>
        <v>---</v>
      </c>
      <c r="AO32" s="170">
        <f t="shared" si="8"/>
        <v>15</v>
      </c>
      <c r="AQ32" s="211" t="str">
        <f t="shared" si="9"/>
        <v>03АХ.05</v>
      </c>
      <c r="AR32" s="212" t="str">
        <f t="shared" si="10"/>
        <v>2,0-3,0</v>
      </c>
      <c r="AS32" s="187" t="str">
        <f t="shared" si="11"/>
        <v>нет</v>
      </c>
      <c r="AT32" s="187" t="str">
        <f t="shared" si="12"/>
        <v>нет</v>
      </c>
      <c r="AU32" s="205" t="str">
        <f t="shared" si="13"/>
        <v>нет</v>
      </c>
      <c r="AV32" s="187" t="str">
        <f t="shared" si="14"/>
        <v>нет</v>
      </c>
      <c r="AW32" s="187" t="str">
        <f t="shared" si="15"/>
        <v>нет</v>
      </c>
      <c r="AX32" s="187" t="str">
        <f t="shared" si="16"/>
        <v>нет</v>
      </c>
      <c r="AY32" s="208" t="str">
        <f t="shared" si="17"/>
        <v>нет</v>
      </c>
      <c r="AZ32" s="186">
        <f t="shared" si="18"/>
        <v>1</v>
      </c>
      <c r="BA32" s="204" t="str">
        <f t="shared" si="19"/>
        <v>Д</v>
      </c>
      <c r="BB32" s="276"/>
      <c r="BC32" s="186">
        <f t="shared" si="20"/>
        <v>0.33333333333333337</v>
      </c>
      <c r="BD32" s="186">
        <f t="shared" si="21"/>
        <v>0.55555555555555558</v>
      </c>
      <c r="BE32" s="186">
        <f t="shared" si="22"/>
        <v>5.6060606060606061E-2</v>
      </c>
      <c r="BF32" s="186">
        <f t="shared" si="23"/>
        <v>0.5</v>
      </c>
      <c r="BG32" s="186">
        <f t="shared" si="24"/>
        <v>0.53999999999999992</v>
      </c>
      <c r="BH32" s="186">
        <f t="shared" si="25"/>
        <v>0.31153846153846154</v>
      </c>
      <c r="BI32" s="186">
        <f t="shared" si="26"/>
        <v>0.48076923076923078</v>
      </c>
      <c r="BJ32" s="276"/>
      <c r="BK32" s="186">
        <f t="shared" si="42"/>
        <v>0.83333333333333337</v>
      </c>
      <c r="BL32" s="186">
        <f t="shared" si="43"/>
        <v>1</v>
      </c>
      <c r="BM32" s="186">
        <f t="shared" si="44"/>
        <v>0.16818181818181815</v>
      </c>
      <c r="BN32" s="186">
        <f t="shared" si="45"/>
        <v>0.33333333333333331</v>
      </c>
      <c r="BO32" s="186">
        <f t="shared" si="46"/>
        <v>0.53999999999999992</v>
      </c>
      <c r="BP32" s="186">
        <f t="shared" si="47"/>
        <v>0.53999999999999992</v>
      </c>
      <c r="BQ32" s="186">
        <f t="shared" si="48"/>
        <v>0.55555555555555558</v>
      </c>
      <c r="BR32" s="276"/>
      <c r="BS32" s="202">
        <f t="shared" si="27"/>
        <v>1</v>
      </c>
      <c r="BT32" s="206">
        <f t="shared" si="28"/>
        <v>1</v>
      </c>
      <c r="BU32" s="187">
        <f t="shared" si="29"/>
        <v>3.9716666666666667</v>
      </c>
      <c r="BV32" s="203">
        <f t="shared" si="30"/>
        <v>1</v>
      </c>
      <c r="BW32" s="276"/>
      <c r="BX32" s="258">
        <f t="shared" si="31"/>
        <v>15</v>
      </c>
      <c r="BY32" s="172" t="str">
        <f t="shared" si="32"/>
        <v>03АХ.05</v>
      </c>
      <c r="BZ32" s="176" t="str">
        <f t="shared" si="33"/>
        <v>2,0-3,0</v>
      </c>
      <c r="CA32" s="173" t="str">
        <f t="shared" si="49"/>
        <v>Зона 3</v>
      </c>
      <c r="CB32" s="186" t="str">
        <f t="shared" si="34"/>
        <v>Д</v>
      </c>
      <c r="CC32" s="176" t="str">
        <f t="shared" si="35"/>
        <v>Д</v>
      </c>
      <c r="CD32" s="176" t="str">
        <f t="shared" si="36"/>
        <v>Д</v>
      </c>
      <c r="CE32" s="239" t="str">
        <f t="shared" si="37"/>
        <v>Допустимый</v>
      </c>
      <c r="CF32" s="342" t="s">
        <v>225</v>
      </c>
      <c r="CG32" s="345" t="s">
        <v>48</v>
      </c>
      <c r="CH32" s="249">
        <v>0.2</v>
      </c>
      <c r="CI32" s="249">
        <v>10098.795599999999</v>
      </c>
      <c r="CJ32" s="170" t="str">
        <f t="shared" si="50"/>
        <v>5</v>
      </c>
      <c r="CK32" s="361" t="s">
        <v>125</v>
      </c>
      <c r="CO32" s="53"/>
    </row>
    <row r="33" spans="1:93" s="170" customFormat="1" ht="16.5" thickBot="1" x14ac:dyDescent="0.3">
      <c r="A33" s="179"/>
      <c r="C33" s="175">
        <f>IF(ISBLANK(D33),"",COUNTA($D$18:D33))</f>
        <v>16</v>
      </c>
      <c r="D33" s="174">
        <f>Акт!C16</f>
        <v>0</v>
      </c>
      <c r="E33" s="445">
        <f>Акт!B16</f>
        <v>0</v>
      </c>
      <c r="F33" s="172">
        <f>VLOOKUP("pH солевой вытяжки",Исх.данные!$C$223:$F$233,4,FALSE)</f>
        <v>0</v>
      </c>
      <c r="G33" s="172">
        <f>IF(OR(VLOOKUP("Кадмий",Исх.данные!$C$223:$F$233,4,FALSE)="менее 0.05",VLOOKUP("Кадмий",Исх.данные!$C$223:$F$233,4,FALSE)="менее 0.05 "),"0.05",VLOOKUP("Кадмий",Исх.данные!$C$223:$F$233,4,FALSE))</f>
        <v>0</v>
      </c>
      <c r="H33" s="172">
        <f>IF(OR(VLOOKUP("Медь",Исх.данные!$C$223:$F$233,4,FALSE)="менее 0.1",VLOOKUP("Медь",Исх.данные!$C$223:$F$233,4,FALSE)="менее 0.1 "),"0.1",VLOOKUP("Медь",Исх.данные!$C$223:$F$233,4,FALSE))</f>
        <v>0</v>
      </c>
      <c r="I33" s="172">
        <f>IF(OR(VLOOKUP("Мышьяк",Исх.данные!$C$223:$F$233,4,FALSE)="менее 0.1",VLOOKUP("Мышьяк",Исх.данные!$C$223:$F$233,4,FALSE)="менее 0.1 "),"0.1",VLOOKUP("Мышьяк",Исх.данные!$C$223:$F$233,4,FALSE))</f>
        <v>0</v>
      </c>
      <c r="J33" s="172">
        <f>VLOOKUP("Никель",Исх.данные!$C$223:$F$233,4,FALSE)</f>
        <v>0</v>
      </c>
      <c r="K33" s="172">
        <f>IF(OR(VLOOKUP("Ртуть",Исх.данные!$C$223:$F$233,4,FALSE)="менее 0.005",VLOOKUP("Ртуть",Исх.данные!$C$223:$F$233,4,FALSE)="менее 0.005 "),"0.005",VLOOKUP("Ртуть",Исх.данные!$C$223:$F$233,4,FALSE))</f>
        <v>0</v>
      </c>
      <c r="L33" s="172">
        <f>VLOOKUP("Свинец",Исх.данные!$C$223:$F$233,4,FALSE)</f>
        <v>0</v>
      </c>
      <c r="M33" s="172">
        <f>VLOOKUP("Цинк",Исх.данные!$C$223:$F$233,4,FALSE)</f>
        <v>0</v>
      </c>
      <c r="N33" s="152">
        <f>Акт!I16</f>
        <v>0</v>
      </c>
      <c r="O33" s="382">
        <f>VLOOKUP("pH солевой вытяжки",Исх.данные!$C$223:$F$233,4,FALSE)</f>
        <v>0</v>
      </c>
      <c r="P33" s="212"/>
      <c r="Q33" s="170">
        <f t="shared" si="0"/>
        <v>16</v>
      </c>
      <c r="S33" s="175">
        <f t="shared" si="1"/>
        <v>0</v>
      </c>
      <c r="T33" s="176">
        <f t="shared" si="2"/>
        <v>0</v>
      </c>
      <c r="U33" s="176" t="str">
        <f t="shared" si="3"/>
        <v>00</v>
      </c>
      <c r="V33" s="186" t="str">
        <f t="shared" si="38"/>
        <v>нет</v>
      </c>
      <c r="W33" s="174" t="str">
        <f t="shared" si="39"/>
        <v>Д</v>
      </c>
      <c r="X33" s="223"/>
      <c r="AA33" s="172">
        <f>VLOOKUP("Бенз(а)пирен",Исх.данные!$C$223:$F$233,4,FALSE)</f>
        <v>0</v>
      </c>
      <c r="AB33" s="172">
        <f>VLOOKUP("Бенз(а)пирен",Исх.данные!$C$223:$H$233,5,FALSE)</f>
        <v>0</v>
      </c>
      <c r="AC33" s="170">
        <f t="shared" si="4"/>
        <v>16</v>
      </c>
      <c r="AE33" s="175">
        <f t="shared" si="5"/>
        <v>0</v>
      </c>
      <c r="AF33" s="176">
        <f t="shared" si="6"/>
        <v>0</v>
      </c>
      <c r="AG33" s="176" t="str">
        <f t="shared" si="7"/>
        <v>00</v>
      </c>
      <c r="AH33" s="187" t="str">
        <f t="shared" si="40"/>
        <v>нет</v>
      </c>
      <c r="AI33" s="238" t="str">
        <f t="shared" si="41"/>
        <v>Допустимый</v>
      </c>
      <c r="AL33" s="172">
        <f>VLOOKUP("Нефтепродукты",Исх.данные!$C$223:$F$233,4,FALSE)</f>
        <v>0</v>
      </c>
      <c r="AM33" s="172">
        <f>VLOOKUP("Нефтепродукты",Исх.данные!$C$223:$H$233,5,FALSE)</f>
        <v>0</v>
      </c>
      <c r="AO33" s="170">
        <f t="shared" si="8"/>
        <v>16</v>
      </c>
      <c r="AQ33" s="211">
        <f t="shared" si="9"/>
        <v>0</v>
      </c>
      <c r="AR33" s="212">
        <f t="shared" si="10"/>
        <v>0</v>
      </c>
      <c r="AS33" s="187" t="str">
        <f t="shared" si="11"/>
        <v>нет</v>
      </c>
      <c r="AT33" s="187" t="str">
        <f t="shared" si="12"/>
        <v>нет</v>
      </c>
      <c r="AU33" s="205" t="str">
        <f t="shared" si="13"/>
        <v>нет</v>
      </c>
      <c r="AV33" s="187" t="str">
        <f t="shared" si="14"/>
        <v>нет</v>
      </c>
      <c r="AW33" s="187" t="str">
        <f t="shared" si="15"/>
        <v>нет</v>
      </c>
      <c r="AX33" s="187" t="str">
        <f t="shared" si="16"/>
        <v>нет</v>
      </c>
      <c r="AY33" s="208" t="str">
        <f t="shared" si="17"/>
        <v>нет</v>
      </c>
      <c r="AZ33" s="186">
        <f t="shared" si="18"/>
        <v>1</v>
      </c>
      <c r="BA33" s="204" t="str">
        <f t="shared" si="19"/>
        <v>Д</v>
      </c>
      <c r="BB33" s="276"/>
      <c r="BC33" s="186">
        <f t="shared" si="20"/>
        <v>0</v>
      </c>
      <c r="BD33" s="186">
        <f t="shared" si="21"/>
        <v>0</v>
      </c>
      <c r="BE33" s="186">
        <f t="shared" si="22"/>
        <v>0</v>
      </c>
      <c r="BF33" s="186">
        <f t="shared" si="23"/>
        <v>0</v>
      </c>
      <c r="BG33" s="186">
        <f t="shared" si="24"/>
        <v>0</v>
      </c>
      <c r="BH33" s="186">
        <f t="shared" si="25"/>
        <v>0</v>
      </c>
      <c r="BI33" s="186">
        <f t="shared" si="26"/>
        <v>0</v>
      </c>
      <c r="BJ33" s="276"/>
      <c r="BK33" s="186">
        <f t="shared" si="42"/>
        <v>0</v>
      </c>
      <c r="BL33" s="186">
        <f t="shared" si="43"/>
        <v>0</v>
      </c>
      <c r="BM33" s="186">
        <f t="shared" si="44"/>
        <v>0</v>
      </c>
      <c r="BN33" s="186">
        <f t="shared" si="45"/>
        <v>0</v>
      </c>
      <c r="BO33" s="186">
        <f t="shared" si="46"/>
        <v>0</v>
      </c>
      <c r="BP33" s="186">
        <f t="shared" si="47"/>
        <v>0</v>
      </c>
      <c r="BQ33" s="186">
        <f t="shared" si="48"/>
        <v>0</v>
      </c>
      <c r="BR33" s="276"/>
      <c r="BS33" s="202">
        <f t="shared" si="27"/>
        <v>1</v>
      </c>
      <c r="BT33" s="206">
        <f t="shared" si="28"/>
        <v>1</v>
      </c>
      <c r="BU33" s="187">
        <f t="shared" si="29"/>
        <v>1</v>
      </c>
      <c r="BV33" s="203">
        <f t="shared" si="30"/>
        <v>1</v>
      </c>
      <c r="BW33" s="276"/>
      <c r="BX33" s="258">
        <f t="shared" si="31"/>
        <v>16</v>
      </c>
      <c r="BY33" s="172">
        <f t="shared" si="32"/>
        <v>0</v>
      </c>
      <c r="BZ33" s="176">
        <f t="shared" si="33"/>
        <v>0</v>
      </c>
      <c r="CA33" s="173" t="str">
        <f t="shared" si="49"/>
        <v xml:space="preserve">Зона </v>
      </c>
      <c r="CB33" s="186" t="str">
        <f t="shared" si="34"/>
        <v>Д</v>
      </c>
      <c r="CC33" s="176" t="str">
        <f t="shared" si="35"/>
        <v>Д</v>
      </c>
      <c r="CD33" s="176" t="str">
        <f t="shared" si="36"/>
        <v>Д</v>
      </c>
      <c r="CE33" s="239" t="str">
        <f t="shared" si="37"/>
        <v>Допустимый</v>
      </c>
      <c r="CF33" s="342" t="s">
        <v>225</v>
      </c>
      <c r="CG33" s="345" t="s">
        <v>48</v>
      </c>
      <c r="CH33" s="249">
        <v>0.2</v>
      </c>
      <c r="CI33" s="249">
        <v>9506.0077999999994</v>
      </c>
      <c r="CJ33" s="170" t="str">
        <f t="shared" si="50"/>
        <v>0</v>
      </c>
      <c r="CK33" s="362" t="s">
        <v>134</v>
      </c>
      <c r="CO33" s="53"/>
    </row>
    <row r="34" spans="1:93" s="170" customFormat="1" ht="16.5" thickBot="1" x14ac:dyDescent="0.3">
      <c r="A34" s="179"/>
      <c r="C34" s="175">
        <f>IF(ISBLANK(D34),"",COUNTA($D$18:D34))</f>
        <v>17</v>
      </c>
      <c r="D34" s="174">
        <f>Акт!C17</f>
        <v>0</v>
      </c>
      <c r="E34" s="445">
        <f>Акт!B17</f>
        <v>0</v>
      </c>
      <c r="F34" s="172">
        <f>VLOOKUP("pH солевой вытяжки",Исх.данные!$C$237:$F$247,4,FALSE)</f>
        <v>6.7</v>
      </c>
      <c r="G34" s="172">
        <f>IF(OR(VLOOKUP("Кадмий",Исх.данные!$C$237:$F$247,4,FALSE)="менее 0.05",VLOOKUP("Кадмий",Исх.данные!$C$237:$F$247,4,FALSE)="менее 0.05 "),"0.05",VLOOKUP("Кадмий",Исх.данные!$C$237:$F$247,4,FALSE))</f>
        <v>0.14000000000000001</v>
      </c>
      <c r="H34" s="172">
        <f>IF(OR(VLOOKUP("Медь",Исх.данные!$C$237:$F$247,4,FALSE)="менее 0.1",VLOOKUP("Медь",Исх.данные!$C$237:$F$247,4,FALSE)="менее 0.1 "),"0.1",VLOOKUP("Медь",Исх.данные!$C$237:$F$247,4,FALSE))</f>
        <v>11.7</v>
      </c>
      <c r="I34" s="172">
        <f>IF(OR(VLOOKUP("Мышьяк",Исх.данные!$C$237:$F$247,4,FALSE)="менее 0.1",VLOOKUP("Мышьяк",Исх.данные!$C$237:$F$247,4,FALSE)="менее 0.1 "),"0.1",VLOOKUP("Мышьяк",Исх.данные!$C$237:$F$247,4,FALSE))</f>
        <v>0.9</v>
      </c>
      <c r="J34" s="172" t="str">
        <f>VLOOKUP("Никель",Исх.данные!$C$237:$F$247,4,FALSE)</f>
        <v>21</v>
      </c>
      <c r="K34" s="172" t="str">
        <f>IF(OR(VLOOKUP("Ртуть",Исх.данные!$C$237:$F$247,4,FALSE)="менее 0.005",VLOOKUP("Ртуть",Исх.данные!$C$237:$F$247,4,FALSE)="менее 0.005 "),"0.005",VLOOKUP("Ртуть",Исх.данные!$C$237:$F$247,4,FALSE))</f>
        <v>0,047</v>
      </c>
      <c r="L34" s="172" t="str">
        <f>VLOOKUP("Свинец",Исх.данные!$C$237:$F$247,4,FALSE)</f>
        <v>25</v>
      </c>
      <c r="M34" s="172" t="str">
        <f>VLOOKUP("Цинк",Исх.данные!$C$237:$F$247,4,FALSE)</f>
        <v>33</v>
      </c>
      <c r="N34" s="152">
        <f>Акт!I17</f>
        <v>0</v>
      </c>
      <c r="O34" s="382">
        <f>VLOOKUP("pH солевой вытяжки",Исх.данные!$C$237:$F$247,4,FALSE)</f>
        <v>6.7</v>
      </c>
      <c r="P34" s="212"/>
      <c r="Q34" s="170">
        <f t="shared" si="0"/>
        <v>17</v>
      </c>
      <c r="S34" s="175">
        <f t="shared" si="1"/>
        <v>0</v>
      </c>
      <c r="T34" s="176">
        <f t="shared" si="2"/>
        <v>0</v>
      </c>
      <c r="U34" s="176" t="str">
        <f t="shared" si="3"/>
        <v>0,018± 0,005</v>
      </c>
      <c r="V34" s="186" t="str">
        <f t="shared" si="38"/>
        <v>нет</v>
      </c>
      <c r="W34" s="174" t="str">
        <f t="shared" si="39"/>
        <v>Д</v>
      </c>
      <c r="X34" s="223"/>
      <c r="AA34" s="172">
        <f>VLOOKUP("Бенз(а)пирен",Исх.данные!$C$237:$F$247,4,FALSE)</f>
        <v>1.7999999999999999E-2</v>
      </c>
      <c r="AB34" s="172" t="str">
        <f>VLOOKUP("Бенз(а)пирен",Исх.данные!$C$237:$H$247,5,FALSE)</f>
        <v>± 0,005</v>
      </c>
      <c r="AC34" s="170">
        <f t="shared" si="4"/>
        <v>17</v>
      </c>
      <c r="AE34" s="175">
        <f t="shared" si="5"/>
        <v>0</v>
      </c>
      <c r="AF34" s="176">
        <f t="shared" si="6"/>
        <v>0</v>
      </c>
      <c r="AG34" s="176" t="str">
        <f t="shared" si="7"/>
        <v>330± 80</v>
      </c>
      <c r="AH34" s="187" t="str">
        <f t="shared" si="40"/>
        <v>нет</v>
      </c>
      <c r="AI34" s="238" t="str">
        <f t="shared" si="41"/>
        <v>Допустимый</v>
      </c>
      <c r="AL34" s="172" t="str">
        <f>VLOOKUP("Нефтепродукты",Исх.данные!$C$237:$F$247,4,FALSE)</f>
        <v>330</v>
      </c>
      <c r="AM34" s="172" t="str">
        <f>VLOOKUP("Нефтепродукты",Исх.данные!$C$237:$H$247,5,FALSE)</f>
        <v>± 80</v>
      </c>
      <c r="AO34" s="170">
        <f t="shared" si="8"/>
        <v>17</v>
      </c>
      <c r="AQ34" s="211">
        <f t="shared" si="9"/>
        <v>0</v>
      </c>
      <c r="AR34" s="212">
        <f t="shared" si="10"/>
        <v>0</v>
      </c>
      <c r="AS34" s="187" t="str">
        <f t="shared" si="11"/>
        <v>нет</v>
      </c>
      <c r="AT34" s="187" t="str">
        <f t="shared" si="12"/>
        <v>нет</v>
      </c>
      <c r="AU34" s="205" t="str">
        <f t="shared" si="13"/>
        <v>нет</v>
      </c>
      <c r="AV34" s="187" t="str">
        <f t="shared" si="14"/>
        <v>нет</v>
      </c>
      <c r="AW34" s="187" t="str">
        <f t="shared" si="15"/>
        <v>нет</v>
      </c>
      <c r="AX34" s="187" t="str">
        <f t="shared" si="16"/>
        <v>нет</v>
      </c>
      <c r="AY34" s="208" t="str">
        <f t="shared" si="17"/>
        <v>нет</v>
      </c>
      <c r="AZ34" s="186">
        <f t="shared" si="18"/>
        <v>1.05</v>
      </c>
      <c r="BA34" s="204" t="str">
        <f t="shared" si="19"/>
        <v>Д</v>
      </c>
      <c r="BB34" s="276"/>
      <c r="BC34" s="186">
        <f t="shared" si="20"/>
        <v>0.46666666666666673</v>
      </c>
      <c r="BD34" s="186">
        <f t="shared" si="21"/>
        <v>0.43333333333333329</v>
      </c>
      <c r="BE34" s="186">
        <f t="shared" si="22"/>
        <v>0.13636363636363638</v>
      </c>
      <c r="BF34" s="186">
        <f t="shared" si="23"/>
        <v>1.05</v>
      </c>
      <c r="BG34" s="186">
        <f t="shared" si="24"/>
        <v>0.47</v>
      </c>
      <c r="BH34" s="186">
        <f t="shared" si="25"/>
        <v>0.96153846153846156</v>
      </c>
      <c r="BI34" s="186">
        <f t="shared" si="26"/>
        <v>0.63461538461538458</v>
      </c>
      <c r="BJ34" s="276"/>
      <c r="BK34" s="186">
        <f t="shared" si="42"/>
        <v>1.1666666666666667</v>
      </c>
      <c r="BL34" s="186">
        <f t="shared" si="43"/>
        <v>0.77999999999999992</v>
      </c>
      <c r="BM34" s="186">
        <f t="shared" si="44"/>
        <v>0.40909090909090906</v>
      </c>
      <c r="BN34" s="186">
        <f t="shared" si="45"/>
        <v>0.7</v>
      </c>
      <c r="BO34" s="186">
        <f t="shared" si="46"/>
        <v>0.47</v>
      </c>
      <c r="BP34" s="186">
        <f t="shared" si="47"/>
        <v>1.6666666666666667</v>
      </c>
      <c r="BQ34" s="186">
        <f t="shared" si="48"/>
        <v>0.73333333333333328</v>
      </c>
      <c r="BR34" s="276"/>
      <c r="BS34" s="202">
        <f t="shared" si="27"/>
        <v>1.05</v>
      </c>
      <c r="BT34" s="206">
        <f t="shared" si="28"/>
        <v>1.8333333333333335</v>
      </c>
      <c r="BU34" s="187">
        <f t="shared" si="29"/>
        <v>9.107738095238096</v>
      </c>
      <c r="BV34" s="203">
        <f t="shared" si="30"/>
        <v>1.8333333333333335</v>
      </c>
      <c r="BW34" s="276"/>
      <c r="BX34" s="258">
        <f t="shared" si="31"/>
        <v>17</v>
      </c>
      <c r="BY34" s="172">
        <f t="shared" si="32"/>
        <v>0</v>
      </c>
      <c r="BZ34" s="176">
        <f t="shared" si="33"/>
        <v>0</v>
      </c>
      <c r="CA34" s="173" t="str">
        <f t="shared" si="49"/>
        <v xml:space="preserve">Зона </v>
      </c>
      <c r="CB34" s="186" t="str">
        <f t="shared" si="34"/>
        <v>Д</v>
      </c>
      <c r="CC34" s="176" t="str">
        <f t="shared" si="35"/>
        <v>Д</v>
      </c>
      <c r="CD34" s="176" t="str">
        <f t="shared" si="36"/>
        <v>Д</v>
      </c>
      <c r="CE34" s="239" t="str">
        <f t="shared" si="37"/>
        <v>Допустимый</v>
      </c>
      <c r="CF34" s="342" t="s">
        <v>225</v>
      </c>
      <c r="CG34" s="345" t="s">
        <v>48</v>
      </c>
      <c r="CH34" s="249">
        <v>0.2</v>
      </c>
      <c r="CI34" s="249">
        <v>6687.4178000000002</v>
      </c>
      <c r="CJ34" s="170" t="str">
        <f t="shared" si="50"/>
        <v>0</v>
      </c>
      <c r="CK34" s="363" t="s">
        <v>140</v>
      </c>
      <c r="CO34" s="53"/>
    </row>
    <row r="35" spans="1:93" s="170" customFormat="1" ht="26.25" thickBot="1" x14ac:dyDescent="0.3">
      <c r="A35" s="179"/>
      <c r="C35" s="175">
        <f>IF(ISBLANK(D35),"",COUNTA($D$18:D35))</f>
        <v>18</v>
      </c>
      <c r="D35" s="174">
        <f>Акт!C18</f>
        <v>0</v>
      </c>
      <c r="E35" s="445">
        <f>Акт!B18</f>
        <v>0</v>
      </c>
      <c r="F35" s="172">
        <f>VLOOKUP("pH солевой вытяжки",Исх.данные!$C$251:$F$261,4,FALSE)</f>
        <v>7.1</v>
      </c>
      <c r="G35" s="172">
        <f>IF(OR(VLOOKUP("Кадмий",Исх.данные!$C$251:$F$261,4,FALSE)="менее 0.05",VLOOKUP("Кадмий",Исх.данные!$C$251:$F$261,4,FALSE)="менее 0.05 "),"0.05",VLOOKUP("Кадмий",Исх.данные!$C$251:$F$261,4,FALSE))</f>
        <v>0.2</v>
      </c>
      <c r="H35" s="172" t="str">
        <f>IF(OR(VLOOKUP("Медь",Исх.данные!$C$251:$F$261,4,FALSE)="менее 0.1",VLOOKUP("Медь",Исх.данные!$C$251:$F$261,4,FALSE)="менее 0.1 "),"0.1",VLOOKUP("Медь",Исх.данные!$C$251:$F$261,4,FALSE))</f>
        <v>13</v>
      </c>
      <c r="I35" s="172">
        <f>IF(OR(VLOOKUP("Мышьяк",Исх.данные!$C$251:$F$261,4,FALSE)="менее 0.1",VLOOKUP("Мышьяк",Исх.данные!$C$251:$F$261,4,FALSE)="менее 0.1 "),"0.1",VLOOKUP("Мышьяк",Исх.данные!$C$251:$F$261,4,FALSE))</f>
        <v>1.3</v>
      </c>
      <c r="J35" s="172" t="str">
        <f>VLOOKUP("Никель",Исх.данные!$C$251:$F$261,4,FALSE)</f>
        <v>19</v>
      </c>
      <c r="K35" s="172" t="str">
        <f>IF(OR(VLOOKUP("Ртуть",Исх.данные!$C$251:$F$261,4,FALSE)="менее 0.005",VLOOKUP("Ртуть",Исх.данные!$C$251:$F$261,4,FALSE)="менее 0.005 "),"0.005",VLOOKUP("Ртуть",Исх.данные!$C$251:$F$261,4,FALSE))</f>
        <v>0,033</v>
      </c>
      <c r="L35" s="172" t="str">
        <f>VLOOKUP("Свинец",Исх.данные!$C$251:$F$261,4,FALSE)</f>
        <v>24</v>
      </c>
      <c r="M35" s="172" t="str">
        <f>VLOOKUP("Цинк",Исх.данные!$C$251:$F$261,4,FALSE)</f>
        <v>39</v>
      </c>
      <c r="N35" s="152">
        <f>Акт!I18</f>
        <v>0</v>
      </c>
      <c r="O35" s="382">
        <f>VLOOKUP("pH солевой вытяжки",Исх.данные!$C$251:$F$261,4,FALSE)</f>
        <v>7.1</v>
      </c>
      <c r="P35" s="212"/>
      <c r="Q35" s="170">
        <f t="shared" si="0"/>
        <v>18</v>
      </c>
      <c r="S35" s="175">
        <f t="shared" si="1"/>
        <v>0</v>
      </c>
      <c r="T35" s="176">
        <f t="shared" si="2"/>
        <v>0</v>
      </c>
      <c r="U35" s="176" t="str">
        <f t="shared" si="3"/>
        <v>0,011± 0,003</v>
      </c>
      <c r="V35" s="186" t="str">
        <f t="shared" si="38"/>
        <v>нет</v>
      </c>
      <c r="W35" s="174" t="str">
        <f t="shared" si="39"/>
        <v>Д</v>
      </c>
      <c r="X35" s="223"/>
      <c r="AA35" s="172">
        <f>VLOOKUP("Бенз(а)пирен",Исх.данные!$C$251:$F$261,4,FALSE)</f>
        <v>1.0999999999999999E-2</v>
      </c>
      <c r="AB35" s="172" t="str">
        <f>VLOOKUP("Бенз(а)пирен",Исх.данные!$C$251:$H$261,5,FALSE)</f>
        <v>± 0,003</v>
      </c>
      <c r="AC35" s="170">
        <f t="shared" si="4"/>
        <v>18</v>
      </c>
      <c r="AE35" s="175">
        <f t="shared" si="5"/>
        <v>0</v>
      </c>
      <c r="AF35" s="176">
        <f t="shared" si="6"/>
        <v>0</v>
      </c>
      <c r="AG35" s="176" t="str">
        <f t="shared" si="7"/>
        <v>100± 30</v>
      </c>
      <c r="AH35" s="187" t="str">
        <f t="shared" si="40"/>
        <v>нет</v>
      </c>
      <c r="AI35" s="238" t="str">
        <f t="shared" si="41"/>
        <v>Допустимый</v>
      </c>
      <c r="AL35" s="172" t="str">
        <f>VLOOKUP("Нефтепродукты",Исх.данные!$C$251:$F$261,4,FALSE)</f>
        <v>100</v>
      </c>
      <c r="AM35" s="172" t="str">
        <f>VLOOKUP("Нефтепродукты",Исх.данные!$C$251:$H$261,5,FALSE)</f>
        <v>± 30</v>
      </c>
      <c r="AO35" s="170">
        <f t="shared" si="8"/>
        <v>18</v>
      </c>
      <c r="AQ35" s="211">
        <f t="shared" si="9"/>
        <v>0</v>
      </c>
      <c r="AR35" s="212">
        <f t="shared" si="10"/>
        <v>0</v>
      </c>
      <c r="AS35" s="187" t="str">
        <f t="shared" si="11"/>
        <v>нет</v>
      </c>
      <c r="AT35" s="187" t="str">
        <f t="shared" si="12"/>
        <v>нет</v>
      </c>
      <c r="AU35" s="205" t="str">
        <f t="shared" si="13"/>
        <v>нет</v>
      </c>
      <c r="AV35" s="187" t="str">
        <f t="shared" si="14"/>
        <v>нет</v>
      </c>
      <c r="AW35" s="187" t="str">
        <f t="shared" si="15"/>
        <v>нет</v>
      </c>
      <c r="AX35" s="187" t="str">
        <f t="shared" si="16"/>
        <v>нет</v>
      </c>
      <c r="AY35" s="208" t="str">
        <f t="shared" si="17"/>
        <v>нет</v>
      </c>
      <c r="AZ35" s="186">
        <f t="shared" si="18"/>
        <v>1</v>
      </c>
      <c r="BA35" s="204" t="str">
        <f t="shared" si="19"/>
        <v>Д</v>
      </c>
      <c r="BB35" s="276"/>
      <c r="BC35" s="186">
        <f t="shared" si="20"/>
        <v>0.66666666666666674</v>
      </c>
      <c r="BD35" s="186">
        <f t="shared" si="21"/>
        <v>0.48148148148148145</v>
      </c>
      <c r="BE35" s="186">
        <f t="shared" si="22"/>
        <v>0.19696969696969699</v>
      </c>
      <c r="BF35" s="186">
        <f t="shared" si="23"/>
        <v>0.95</v>
      </c>
      <c r="BG35" s="186">
        <f t="shared" si="24"/>
        <v>0.33</v>
      </c>
      <c r="BH35" s="186">
        <f t="shared" si="25"/>
        <v>0.92307692307692313</v>
      </c>
      <c r="BI35" s="186">
        <f t="shared" si="26"/>
        <v>0.75</v>
      </c>
      <c r="BJ35" s="276"/>
      <c r="BK35" s="186">
        <f t="shared" si="42"/>
        <v>1.6666666666666667</v>
      </c>
      <c r="BL35" s="186">
        <f t="shared" si="43"/>
        <v>0.8666666666666667</v>
      </c>
      <c r="BM35" s="186">
        <f t="shared" si="44"/>
        <v>0.59090909090909083</v>
      </c>
      <c r="BN35" s="186">
        <f>IF($N35="ПС",$J35/$CK$13,$J35/$CK$14)</f>
        <v>0.6333333333333333</v>
      </c>
      <c r="BO35" s="186">
        <f t="shared" si="46"/>
        <v>0.33</v>
      </c>
      <c r="BP35" s="186">
        <f t="shared" si="47"/>
        <v>1.6</v>
      </c>
      <c r="BQ35" s="186">
        <f t="shared" si="48"/>
        <v>0.8666666666666667</v>
      </c>
      <c r="BR35" s="276"/>
      <c r="BS35" s="202">
        <f t="shared" si="27"/>
        <v>1</v>
      </c>
      <c r="BT35" s="206">
        <f t="shared" si="28"/>
        <v>2.2666666666666666</v>
      </c>
      <c r="BU35" s="187">
        <f t="shared" si="29"/>
        <v>10.184523809523808</v>
      </c>
      <c r="BV35" s="203">
        <f t="shared" si="30"/>
        <v>2.2666666666666666</v>
      </c>
      <c r="BW35" s="276"/>
      <c r="BX35" s="258">
        <f t="shared" si="31"/>
        <v>18</v>
      </c>
      <c r="BY35" s="172">
        <f t="shared" si="32"/>
        <v>0</v>
      </c>
      <c r="BZ35" s="176">
        <f t="shared" si="33"/>
        <v>0</v>
      </c>
      <c r="CA35" s="173" t="str">
        <f t="shared" si="49"/>
        <v xml:space="preserve">Зона </v>
      </c>
      <c r="CB35" s="186" t="str">
        <f t="shared" si="34"/>
        <v>Д</v>
      </c>
      <c r="CC35" s="176" t="str">
        <f t="shared" si="35"/>
        <v>Д</v>
      </c>
      <c r="CD35" s="176" t="str">
        <f t="shared" si="36"/>
        <v>Д</v>
      </c>
      <c r="CE35" s="239" t="str">
        <f t="shared" si="37"/>
        <v>Допустимый</v>
      </c>
      <c r="CF35" s="342" t="s">
        <v>225</v>
      </c>
      <c r="CG35" s="345" t="s">
        <v>48</v>
      </c>
      <c r="CH35" s="249">
        <v>0.2</v>
      </c>
      <c r="CI35" s="249">
        <v>11675.3015</v>
      </c>
      <c r="CJ35" s="170" t="str">
        <f t="shared" si="50"/>
        <v>0</v>
      </c>
      <c r="CK35" s="364" t="s">
        <v>146</v>
      </c>
      <c r="CO35" s="53"/>
    </row>
    <row r="36" spans="1:93" s="170" customFormat="1" ht="16.5" thickBot="1" x14ac:dyDescent="0.3">
      <c r="A36" s="179"/>
      <c r="C36" s="175">
        <f>IF(ISBLANK(D36),"",COUNTA($D$18:D36))</f>
        <v>19</v>
      </c>
      <c r="D36" s="174">
        <f>Акт!C19</f>
        <v>0</v>
      </c>
      <c r="E36" s="445">
        <f>Акт!B19</f>
        <v>0</v>
      </c>
      <c r="F36" s="172">
        <f>VLOOKUP("pH солевой вытяжки",Исх.данные!$C$267:$F$277,4,FALSE)</f>
        <v>7</v>
      </c>
      <c r="G36" s="172">
        <f>IF(OR(VLOOKUP("Кадмий",Исх.данные!$C$267:$F$277,4,FALSE)="менее 0.05",VLOOKUP("Кадмий",Исх.данные!$C$267:$F$277,4,FALSE)="менее 0.05 "),"0.05",VLOOKUP("Кадмий",Исх.данные!$C$267:$F$277,4,FALSE))</f>
        <v>0.11</v>
      </c>
      <c r="H36" s="172" t="str">
        <f>IF(OR(VLOOKUP("Медь",Исх.данные!$C$267:$F$277,4,FALSE)="менее 0.1",VLOOKUP("Медь",Исх.данные!$C$267:$F$277,4,FALSE)="менее 0.1 "),"0.1",VLOOKUP("Медь",Исх.данные!$C$267:$F$277,4,FALSE))</f>
        <v>20</v>
      </c>
      <c r="I36" s="172">
        <f>IF(OR(VLOOKUP("Мышьяк",Исх.данные!$C$267:$F$277,4,FALSE)="менее 0.1",VLOOKUP("Мышьяк",Исх.данные!$C$267:$F$277,4,FALSE)="менее 0.1 "),"0.1",VLOOKUP("Мышьяк",Исх.данные!$C$267:$F$277,4,FALSE))</f>
        <v>0.6</v>
      </c>
      <c r="J36" s="172" t="str">
        <f>VLOOKUP("Никель",Исх.данные!$C$267:$F$277,4,FALSE)</f>
        <v>20</v>
      </c>
      <c r="K36" s="172" t="str">
        <f>IF(OR(VLOOKUP("Ртуть",Исх.данные!$C$267:$F$277,4,FALSE)="менее 0.005",VLOOKUP("Ртуть",Исх.данные!$C$267:$F$277,4,FALSE)="менее 0.005 "),"0.005",VLOOKUP("Ртуть",Исх.данные!$C$267:$F$277,4,FALSE))</f>
        <v>0,070</v>
      </c>
      <c r="L36" s="172" t="str">
        <f>VLOOKUP("Свинец",Исх.данные!$C$267:$F$277,4,FALSE)</f>
        <v>23</v>
      </c>
      <c r="M36" s="172" t="str">
        <f>VLOOKUP("Цинк",Исх.данные!$C$267:$F$277,4,FALSE)</f>
        <v>38</v>
      </c>
      <c r="N36" s="152">
        <f>Акт!I19</f>
        <v>0</v>
      </c>
      <c r="O36" s="382">
        <f>VLOOKUP("pH солевой вытяжки",Исх.данные!$C$267:$F$277,4,FALSE)</f>
        <v>7</v>
      </c>
      <c r="P36" s="212"/>
      <c r="Q36" s="170">
        <f t="shared" si="0"/>
        <v>19</v>
      </c>
      <c r="S36" s="175">
        <f t="shared" si="1"/>
        <v>0</v>
      </c>
      <c r="T36" s="176">
        <f t="shared" si="2"/>
        <v>0</v>
      </c>
      <c r="U36" s="176" t="str">
        <f t="shared" si="3"/>
        <v>0,007± 0,0021</v>
      </c>
      <c r="V36" s="186" t="str">
        <f t="shared" si="38"/>
        <v>нет</v>
      </c>
      <c r="W36" s="174" t="str">
        <f t="shared" si="39"/>
        <v>Д</v>
      </c>
      <c r="X36" s="223"/>
      <c r="AA36" s="172">
        <f>VLOOKUP("Бенз(а)пирен",Исх.данные!$C$267:$F$277,4,FALSE)</f>
        <v>7.0000000000000001E-3</v>
      </c>
      <c r="AB36" s="172" t="str">
        <f>VLOOKUP("Бенз(а)пирен",Исх.данные!$C$267:$H$277,5,FALSE)</f>
        <v>± 0,0021</v>
      </c>
      <c r="AC36" s="170">
        <f t="shared" si="4"/>
        <v>19</v>
      </c>
      <c r="AE36" s="175">
        <f t="shared" si="5"/>
        <v>0</v>
      </c>
      <c r="AF36" s="176">
        <f t="shared" si="6"/>
        <v>0</v>
      </c>
      <c r="AG36" s="176" t="str">
        <f t="shared" si="7"/>
        <v>280± 70</v>
      </c>
      <c r="AH36" s="187" t="str">
        <f t="shared" si="40"/>
        <v>нет</v>
      </c>
      <c r="AI36" s="238" t="str">
        <f t="shared" si="41"/>
        <v>Допустимый</v>
      </c>
      <c r="AL36" s="172" t="str">
        <f>VLOOKUP("Нефтепродукты",Исх.данные!$C$267:$F$277,4,FALSE)</f>
        <v>280</v>
      </c>
      <c r="AM36" s="172" t="str">
        <f>VLOOKUP("Нефтепродукты",Исх.данные!$C$267:$H$277,5,FALSE)</f>
        <v>± 70</v>
      </c>
      <c r="AO36" s="170">
        <f t="shared" si="8"/>
        <v>19</v>
      </c>
      <c r="AQ36" s="211">
        <f t="shared" si="9"/>
        <v>0</v>
      </c>
      <c r="AR36" s="212">
        <f t="shared" si="10"/>
        <v>0</v>
      </c>
      <c r="AS36" s="187" t="str">
        <f t="shared" si="11"/>
        <v>нет</v>
      </c>
      <c r="AT36" s="187" t="str">
        <f t="shared" si="12"/>
        <v>нет</v>
      </c>
      <c r="AU36" s="205" t="str">
        <f t="shared" si="13"/>
        <v>нет</v>
      </c>
      <c r="AV36" s="187" t="str">
        <f t="shared" si="14"/>
        <v>нет</v>
      </c>
      <c r="AW36" s="187" t="str">
        <f t="shared" si="15"/>
        <v>нет</v>
      </c>
      <c r="AX36" s="187" t="str">
        <f t="shared" si="16"/>
        <v>нет</v>
      </c>
      <c r="AY36" s="208" t="str">
        <f t="shared" si="17"/>
        <v>нет</v>
      </c>
      <c r="AZ36" s="186">
        <f t="shared" si="18"/>
        <v>1</v>
      </c>
      <c r="BA36" s="204" t="str">
        <f t="shared" si="19"/>
        <v>Д</v>
      </c>
      <c r="BB36" s="276"/>
      <c r="BC36" s="186">
        <f t="shared" si="20"/>
        <v>0.3666666666666667</v>
      </c>
      <c r="BD36" s="186">
        <f t="shared" si="21"/>
        <v>0.7407407407407407</v>
      </c>
      <c r="BE36" s="186">
        <f t="shared" si="22"/>
        <v>9.0909090909090912E-2</v>
      </c>
      <c r="BF36" s="186">
        <f t="shared" si="23"/>
        <v>1</v>
      </c>
      <c r="BG36" s="186">
        <f t="shared" si="24"/>
        <v>0.70000000000000007</v>
      </c>
      <c r="BH36" s="186">
        <f t="shared" si="25"/>
        <v>0.88461538461538458</v>
      </c>
      <c r="BI36" s="186">
        <f t="shared" si="26"/>
        <v>0.73076923076923073</v>
      </c>
      <c r="BJ36" s="276"/>
      <c r="BK36" s="186">
        <f t="shared" si="42"/>
        <v>0.91666666666666674</v>
      </c>
      <c r="BL36" s="186">
        <f t="shared" si="43"/>
        <v>1.3333333333333333</v>
      </c>
      <c r="BM36" s="186">
        <f t="shared" si="44"/>
        <v>0.27272727272727271</v>
      </c>
      <c r="BN36" s="186">
        <f t="shared" si="45"/>
        <v>0.66666666666666663</v>
      </c>
      <c r="BO36" s="186">
        <f t="shared" si="46"/>
        <v>0.70000000000000007</v>
      </c>
      <c r="BP36" s="186">
        <f t="shared" si="47"/>
        <v>1.5333333333333334</v>
      </c>
      <c r="BQ36" s="186">
        <f t="shared" si="48"/>
        <v>0.84444444444444444</v>
      </c>
      <c r="BR36" s="276"/>
      <c r="BS36" s="202">
        <f t="shared" si="27"/>
        <v>1</v>
      </c>
      <c r="BT36" s="206">
        <f t="shared" si="28"/>
        <v>1.8666666666666667</v>
      </c>
      <c r="BU36" s="187">
        <f t="shared" si="29"/>
        <v>9.6238095238095251</v>
      </c>
      <c r="BV36" s="203">
        <f t="shared" si="30"/>
        <v>1.8666666666666667</v>
      </c>
      <c r="BW36" s="276"/>
      <c r="BX36" s="258">
        <f t="shared" si="31"/>
        <v>19</v>
      </c>
      <c r="BY36" s="172">
        <f t="shared" si="32"/>
        <v>0</v>
      </c>
      <c r="BZ36" s="176">
        <f t="shared" si="33"/>
        <v>0</v>
      </c>
      <c r="CA36" s="173" t="str">
        <f t="shared" si="49"/>
        <v xml:space="preserve">Зона </v>
      </c>
      <c r="CB36" s="186" t="str">
        <f t="shared" si="34"/>
        <v>Д</v>
      </c>
      <c r="CC36" s="176" t="str">
        <f t="shared" si="35"/>
        <v>Д</v>
      </c>
      <c r="CD36" s="176" t="str">
        <f t="shared" si="36"/>
        <v>Д</v>
      </c>
      <c r="CE36" s="239" t="str">
        <f t="shared" si="37"/>
        <v>Допустимый</v>
      </c>
      <c r="CF36" s="342" t="s">
        <v>225</v>
      </c>
      <c r="CG36" s="345" t="s">
        <v>48</v>
      </c>
      <c r="CH36" s="249">
        <v>0.2</v>
      </c>
      <c r="CI36" s="249">
        <v>14641.875599999999</v>
      </c>
      <c r="CJ36" s="170" t="str">
        <f t="shared" si="50"/>
        <v>0</v>
      </c>
      <c r="CO36" s="53"/>
    </row>
    <row r="37" spans="1:93" s="170" customFormat="1" ht="16.5" thickBot="1" x14ac:dyDescent="0.3">
      <c r="A37" s="179"/>
      <c r="C37" s="175">
        <f>IF(ISBLANK(D37),"",COUNTA($D$18:D37))</f>
        <v>20</v>
      </c>
      <c r="D37" s="174">
        <f>Акт!C20</f>
        <v>0</v>
      </c>
      <c r="E37" s="445">
        <f>Акт!B20</f>
        <v>0</v>
      </c>
      <c r="F37" s="172">
        <f>VLOOKUP("pH солевой вытяжки",Исх.данные!$C$281:$F$291,4,FALSE)</f>
        <v>6.9</v>
      </c>
      <c r="G37" s="172">
        <f>IF(OR(VLOOKUP("Кадмий",Исх.данные!$C$281:$F$291,4,FALSE)="менее 0.05",VLOOKUP("Кадмий",Исх.данные!$C$281:$F$291,4,FALSE)="менее 0.05 "),"0.05",VLOOKUP("Кадмий",Исх.данные!$C$281:$F$291,4,FALSE))</f>
        <v>0.18</v>
      </c>
      <c r="H37" s="172" t="str">
        <f>IF(OR(VLOOKUP("Медь",Исх.данные!$C$281:$F$291,4,FALSE)="менее 0.1",VLOOKUP("Медь",Исх.данные!$C$281:$F$291,4,FALSE)="менее 0.1 "),"0.1",VLOOKUP("Медь",Исх.данные!$C$281:$F$291,4,FALSE))</f>
        <v>13</v>
      </c>
      <c r="I37" s="172">
        <f>IF(OR(VLOOKUP("Мышьяк",Исх.данные!$C$281:$F$291,4,FALSE)="менее 0.1",VLOOKUP("Мышьяк",Исх.данные!$C$281:$F$291,4,FALSE)="менее 0.1 "),"0.1",VLOOKUP("Мышьяк",Исх.данные!$C$281:$F$291,4,FALSE))</f>
        <v>2.4</v>
      </c>
      <c r="J37" s="172" t="str">
        <f>VLOOKUP("Никель",Исх.данные!$C$281:$F$291,4,FALSE)</f>
        <v>15</v>
      </c>
      <c r="K37" s="172" t="str">
        <f>IF(OR(VLOOKUP("Ртуть",Исх.данные!$C$281:$F$291,4,FALSE)="менее 0.005",VLOOKUP("Ртуть",Исх.данные!$C$281:$F$291,4,FALSE)="менее 0.005 "),"0.005",VLOOKUP("Ртуть",Исх.данные!$C$281:$F$291,4,FALSE))</f>
        <v>0,032</v>
      </c>
      <c r="L37" s="172" t="str">
        <f>VLOOKUP("Свинец",Исх.данные!$C$281:$F$291,4,FALSE)</f>
        <v>25</v>
      </c>
      <c r="M37" s="172" t="str">
        <f>VLOOKUP("Цинк",Исх.данные!$C$281:$F$291,4,FALSE)</f>
        <v>22</v>
      </c>
      <c r="N37" s="152">
        <f>Акт!I20</f>
        <v>0</v>
      </c>
      <c r="O37" s="382">
        <f>VLOOKUP("pH солевой вытяжки",Исх.данные!$C$281:$F$291,4,FALSE)</f>
        <v>6.9</v>
      </c>
      <c r="P37" s="212"/>
      <c r="Q37" s="170">
        <f t="shared" si="0"/>
        <v>20</v>
      </c>
      <c r="S37" s="175">
        <f t="shared" si="1"/>
        <v>0</v>
      </c>
      <c r="T37" s="176">
        <f t="shared" si="2"/>
        <v>0</v>
      </c>
      <c r="U37" s="176" t="str">
        <f t="shared" si="3"/>
        <v>0,023± 0,007</v>
      </c>
      <c r="V37" s="186">
        <f t="shared" si="38"/>
        <v>1.1499999999999999</v>
      </c>
      <c r="W37" s="174" t="str">
        <f t="shared" si="39"/>
        <v>Д</v>
      </c>
      <c r="X37" s="223"/>
      <c r="AA37" s="172">
        <f>VLOOKUP("Бенз(а)пирен",Исх.данные!$C$281:$F$291,4,FALSE)</f>
        <v>2.3E-2</v>
      </c>
      <c r="AB37" s="172" t="str">
        <f>VLOOKUP("Бенз(а)пирен",Исх.данные!$C$281:$H$291,5,FALSE)</f>
        <v>± 0,007</v>
      </c>
      <c r="AC37" s="170">
        <f t="shared" si="4"/>
        <v>20</v>
      </c>
      <c r="AE37" s="175">
        <f t="shared" si="5"/>
        <v>0</v>
      </c>
      <c r="AF37" s="176">
        <f t="shared" si="6"/>
        <v>0</v>
      </c>
      <c r="AG37" s="176" t="str">
        <f t="shared" si="7"/>
        <v>140± 50</v>
      </c>
      <c r="AH37" s="187" t="str">
        <f t="shared" si="40"/>
        <v>нет</v>
      </c>
      <c r="AI37" s="238" t="str">
        <f t="shared" si="41"/>
        <v>Допустимый</v>
      </c>
      <c r="AL37" s="172" t="str">
        <f>VLOOKUP("Нефтепродукты",Исх.данные!$C$281:$F$291,4,FALSE)</f>
        <v>140</v>
      </c>
      <c r="AM37" s="172" t="str">
        <f>VLOOKUP("Нефтепродукты",Исх.данные!$C$281:$H$291,5,FALSE)</f>
        <v>± 50</v>
      </c>
      <c r="AO37" s="170">
        <f t="shared" si="8"/>
        <v>20</v>
      </c>
      <c r="AQ37" s="211">
        <f t="shared" si="9"/>
        <v>0</v>
      </c>
      <c r="AR37" s="212">
        <f t="shared" si="10"/>
        <v>0</v>
      </c>
      <c r="AS37" s="187" t="str">
        <f t="shared" si="11"/>
        <v>нет</v>
      </c>
      <c r="AT37" s="187" t="str">
        <f t="shared" si="12"/>
        <v>нет</v>
      </c>
      <c r="AU37" s="205" t="str">
        <f t="shared" si="13"/>
        <v>нет</v>
      </c>
      <c r="AV37" s="187" t="str">
        <f t="shared" si="14"/>
        <v>нет</v>
      </c>
      <c r="AW37" s="187" t="str">
        <f t="shared" si="15"/>
        <v>нет</v>
      </c>
      <c r="AX37" s="187" t="str">
        <f t="shared" si="16"/>
        <v>нет</v>
      </c>
      <c r="AY37" s="208" t="str">
        <f t="shared" si="17"/>
        <v>нет</v>
      </c>
      <c r="AZ37" s="186">
        <f t="shared" si="18"/>
        <v>1</v>
      </c>
      <c r="BA37" s="204" t="str">
        <f t="shared" si="19"/>
        <v>Д</v>
      </c>
      <c r="BB37" s="276"/>
      <c r="BC37" s="186">
        <f t="shared" si="20"/>
        <v>0.6</v>
      </c>
      <c r="BD37" s="186">
        <f t="shared" si="21"/>
        <v>0.48148148148148145</v>
      </c>
      <c r="BE37" s="186">
        <f t="shared" si="22"/>
        <v>0.36363636363636365</v>
      </c>
      <c r="BF37" s="186">
        <f t="shared" si="23"/>
        <v>0.75</v>
      </c>
      <c r="BG37" s="186">
        <f t="shared" si="24"/>
        <v>0.32</v>
      </c>
      <c r="BH37" s="186">
        <f t="shared" si="25"/>
        <v>0.96153846153846156</v>
      </c>
      <c r="BI37" s="186">
        <f t="shared" si="26"/>
        <v>0.42307692307692307</v>
      </c>
      <c r="BJ37" s="276"/>
      <c r="BK37" s="186">
        <f t="shared" si="42"/>
        <v>1.5</v>
      </c>
      <c r="BL37" s="186">
        <f t="shared" si="43"/>
        <v>0.8666666666666667</v>
      </c>
      <c r="BM37" s="186">
        <f t="shared" si="44"/>
        <v>1.0909090909090908</v>
      </c>
      <c r="BN37" s="186">
        <f t="shared" si="45"/>
        <v>0.5</v>
      </c>
      <c r="BO37" s="186">
        <f t="shared" si="46"/>
        <v>0.32</v>
      </c>
      <c r="BP37" s="186">
        <f t="shared" si="47"/>
        <v>1.6666666666666667</v>
      </c>
      <c r="BQ37" s="186">
        <f t="shared" si="48"/>
        <v>0.48888888888888887</v>
      </c>
      <c r="BR37" s="276"/>
      <c r="BS37" s="202">
        <f t="shared" si="27"/>
        <v>1</v>
      </c>
      <c r="BT37" s="206">
        <f t="shared" si="28"/>
        <v>2.2575757575757578</v>
      </c>
      <c r="BU37" s="187">
        <f t="shared" si="29"/>
        <v>9.4916666666666671</v>
      </c>
      <c r="BV37" s="203">
        <f t="shared" si="30"/>
        <v>2.2575757575757578</v>
      </c>
      <c r="BW37" s="276"/>
      <c r="BX37" s="258">
        <f t="shared" si="31"/>
        <v>20</v>
      </c>
      <c r="BY37" s="172">
        <f t="shared" si="32"/>
        <v>0</v>
      </c>
      <c r="BZ37" s="176">
        <f t="shared" si="33"/>
        <v>0</v>
      </c>
      <c r="CA37" s="173" t="str">
        <f t="shared" si="49"/>
        <v xml:space="preserve">Зона </v>
      </c>
      <c r="CB37" s="186" t="str">
        <f t="shared" si="34"/>
        <v>Д</v>
      </c>
      <c r="CC37" s="176" t="str">
        <f t="shared" si="35"/>
        <v>Д</v>
      </c>
      <c r="CD37" s="176" t="str">
        <f t="shared" si="36"/>
        <v>Д</v>
      </c>
      <c r="CE37" s="239" t="str">
        <f t="shared" si="37"/>
        <v>Допустимый</v>
      </c>
      <c r="CF37" s="342" t="s">
        <v>225</v>
      </c>
      <c r="CG37" s="345" t="s">
        <v>48</v>
      </c>
      <c r="CH37" s="249">
        <v>0.2</v>
      </c>
      <c r="CI37" s="249">
        <v>3668.4802</v>
      </c>
      <c r="CJ37" s="170" t="str">
        <f t="shared" si="50"/>
        <v>0</v>
      </c>
      <c r="CK37" s="351" t="s">
        <v>450</v>
      </c>
      <c r="CO37" s="53"/>
    </row>
    <row r="38" spans="1:93" s="170" customFormat="1" ht="16.5" thickBot="1" x14ac:dyDescent="0.3">
      <c r="A38" s="179"/>
      <c r="C38" s="175">
        <f>IF(ISBLANK(D38),"",COUNTA($D$18:D38))</f>
        <v>21</v>
      </c>
      <c r="D38" s="174">
        <f>Акт!C21</f>
        <v>0</v>
      </c>
      <c r="E38" s="445">
        <f>Акт!B21</f>
        <v>0</v>
      </c>
      <c r="F38" s="172">
        <f>VLOOKUP("pH солевой вытяжки",Исх.данные!$C$295:$F$305,4,FALSE)</f>
        <v>6.8</v>
      </c>
      <c r="G38" s="172">
        <f>IF(OR(VLOOKUP("Кадмий",Исх.данные!$C$295:$F$305,4,FALSE)="менее 0.05",VLOOKUP("Кадмий",Исх.данные!$C$295:$F$305,4,FALSE)="менее 0.05 "),"0.05",VLOOKUP("Кадмий",Исх.данные!$C$295:$F$305,4,FALSE))</f>
        <v>0.18</v>
      </c>
      <c r="H38" s="172" t="str">
        <f>IF(OR(VLOOKUP("Медь",Исх.данные!$C$295:$F$305,4,FALSE)="менее 0.1",VLOOKUP("Медь",Исх.данные!$C$295:$F$305,4,FALSE)="менее 0.1 "),"0.1",VLOOKUP("Медь",Исх.данные!$C$295:$F$305,4,FALSE))</f>
        <v>19</v>
      </c>
      <c r="I38" s="172">
        <f>IF(OR(VLOOKUP("Мышьяк",Исх.данные!$C$295:$F$305,4,FALSE)="менее 0.1",VLOOKUP("Мышьяк",Исх.данные!$C$295:$F$305,4,FALSE)="менее 0.1 "),"0.1",VLOOKUP("Мышьяк",Исх.данные!$C$295:$F$305,4,FALSE))</f>
        <v>1.9</v>
      </c>
      <c r="J38" s="172" t="str">
        <f>VLOOKUP("Никель",Исх.данные!$C$295:$F$305,4,FALSE)</f>
        <v>16</v>
      </c>
      <c r="K38" s="172" t="str">
        <f>IF(OR(VLOOKUP("Ртуть",Исх.данные!$C$295:$F$305,4,FALSE)="менее 0.005",VLOOKUP("Ртуть",Исх.данные!$C$295:$F$305,4,FALSE)="менее 0.005 "),"0.005",VLOOKUP("Ртуть",Исх.данные!$C$295:$F$305,4,FALSE))</f>
        <v>0,039</v>
      </c>
      <c r="L38" s="172" t="str">
        <f>VLOOKUP("Свинец",Исх.данные!$C$295:$F$305,4,FALSE)</f>
        <v>24</v>
      </c>
      <c r="M38" s="172" t="str">
        <f>VLOOKUP("Цинк",Исх.данные!$C$295:$F$305,4,FALSE)</f>
        <v>30</v>
      </c>
      <c r="N38" s="152">
        <f>Акт!I21</f>
        <v>0</v>
      </c>
      <c r="O38" s="382">
        <f>VLOOKUP("pH солевой вытяжки",Исх.данные!$C$295:$F$305,4,FALSE)</f>
        <v>6.8</v>
      </c>
      <c r="P38" s="212"/>
      <c r="Q38" s="170">
        <f t="shared" si="0"/>
        <v>21</v>
      </c>
      <c r="S38" s="175">
        <f t="shared" si="1"/>
        <v>0</v>
      </c>
      <c r="T38" s="176">
        <f t="shared" si="2"/>
        <v>0</v>
      </c>
      <c r="U38" s="176" t="str">
        <f t="shared" si="3"/>
        <v>0,01± 0,003</v>
      </c>
      <c r="V38" s="186" t="str">
        <f t="shared" si="38"/>
        <v>нет</v>
      </c>
      <c r="W38" s="174" t="str">
        <f t="shared" si="39"/>
        <v>Д</v>
      </c>
      <c r="X38" s="223"/>
      <c r="AA38" s="172">
        <f>VLOOKUP("Бенз(а)пирен",Исх.данные!$C$295:$F$305,4,FALSE)</f>
        <v>0.01</v>
      </c>
      <c r="AB38" s="172" t="str">
        <f>VLOOKUP("Бенз(а)пирен",Исх.данные!$C$295:$H$305,5,FALSE)</f>
        <v>± 0,003</v>
      </c>
      <c r="AC38" s="170">
        <f t="shared" si="4"/>
        <v>21</v>
      </c>
      <c r="AE38" s="175">
        <f t="shared" si="5"/>
        <v>0</v>
      </c>
      <c r="AF38" s="176">
        <f t="shared" si="6"/>
        <v>0</v>
      </c>
      <c r="AG38" s="176" t="str">
        <f t="shared" si="7"/>
        <v>66± 23</v>
      </c>
      <c r="AH38" s="187" t="str">
        <f t="shared" si="40"/>
        <v>нет</v>
      </c>
      <c r="AI38" s="238" t="str">
        <f t="shared" si="41"/>
        <v>Допустимый</v>
      </c>
      <c r="AL38" s="172" t="str">
        <f>VLOOKUP("Нефтепродукты",Исх.данные!$C$295:$F$305,4,FALSE)</f>
        <v>66</v>
      </c>
      <c r="AM38" s="172" t="str">
        <f>VLOOKUP("Нефтепродукты",Исх.данные!$C$295:$H$305,5,FALSE)</f>
        <v>± 23</v>
      </c>
      <c r="AO38" s="170">
        <f t="shared" si="8"/>
        <v>21</v>
      </c>
      <c r="AQ38" s="211">
        <f t="shared" si="9"/>
        <v>0</v>
      </c>
      <c r="AR38" s="212">
        <f t="shared" si="10"/>
        <v>0</v>
      </c>
      <c r="AS38" s="187" t="str">
        <f t="shared" si="11"/>
        <v>нет</v>
      </c>
      <c r="AT38" s="187" t="str">
        <f t="shared" si="12"/>
        <v>нет</v>
      </c>
      <c r="AU38" s="205" t="str">
        <f t="shared" si="13"/>
        <v>нет</v>
      </c>
      <c r="AV38" s="187" t="str">
        <f t="shared" si="14"/>
        <v>нет</v>
      </c>
      <c r="AW38" s="187" t="str">
        <f t="shared" si="15"/>
        <v>нет</v>
      </c>
      <c r="AX38" s="187" t="str">
        <f t="shared" si="16"/>
        <v>нет</v>
      </c>
      <c r="AY38" s="208" t="str">
        <f t="shared" si="17"/>
        <v>нет</v>
      </c>
      <c r="AZ38" s="186">
        <f t="shared" si="18"/>
        <v>1</v>
      </c>
      <c r="BA38" s="204" t="str">
        <f t="shared" si="19"/>
        <v>Д</v>
      </c>
      <c r="BB38" s="276"/>
      <c r="BC38" s="186">
        <f t="shared" si="20"/>
        <v>0.6</v>
      </c>
      <c r="BD38" s="186">
        <f t="shared" si="21"/>
        <v>0.70370370370370372</v>
      </c>
      <c r="BE38" s="186">
        <f t="shared" si="22"/>
        <v>0.2878787878787879</v>
      </c>
      <c r="BF38" s="186">
        <f t="shared" si="23"/>
        <v>0.8</v>
      </c>
      <c r="BG38" s="186">
        <f t="shared" si="24"/>
        <v>0.38999999999999996</v>
      </c>
      <c r="BH38" s="186">
        <f t="shared" si="25"/>
        <v>0.92307692307692313</v>
      </c>
      <c r="BI38" s="186">
        <f t="shared" si="26"/>
        <v>0.57692307692307687</v>
      </c>
      <c r="BJ38" s="276"/>
      <c r="BK38" s="186">
        <f t="shared" si="42"/>
        <v>1.5</v>
      </c>
      <c r="BL38" s="186">
        <f t="shared" si="43"/>
        <v>1.2666666666666666</v>
      </c>
      <c r="BM38" s="186">
        <f t="shared" si="44"/>
        <v>0.86363636363636354</v>
      </c>
      <c r="BN38" s="186">
        <f t="shared" si="45"/>
        <v>0.53333333333333333</v>
      </c>
      <c r="BO38" s="186">
        <f t="shared" si="46"/>
        <v>0.38999999999999996</v>
      </c>
      <c r="BP38" s="186">
        <f t="shared" si="47"/>
        <v>1.6</v>
      </c>
      <c r="BQ38" s="186">
        <f t="shared" si="48"/>
        <v>0.66666666666666663</v>
      </c>
      <c r="BR38" s="276"/>
      <c r="BS38" s="202">
        <f t="shared" si="27"/>
        <v>1</v>
      </c>
      <c r="BT38" s="206">
        <f t="shared" si="28"/>
        <v>2.3666666666666667</v>
      </c>
      <c r="BU38" s="187">
        <f t="shared" si="29"/>
        <v>9.9797619047619044</v>
      </c>
      <c r="BV38" s="203">
        <f t="shared" si="30"/>
        <v>2.3666666666666667</v>
      </c>
      <c r="BW38" s="276"/>
      <c r="BX38" s="258">
        <f t="shared" si="31"/>
        <v>21</v>
      </c>
      <c r="BY38" s="172">
        <f t="shared" si="32"/>
        <v>0</v>
      </c>
      <c r="BZ38" s="176">
        <f t="shared" si="33"/>
        <v>0</v>
      </c>
      <c r="CA38" s="173" t="str">
        <f t="shared" si="49"/>
        <v xml:space="preserve">Зона </v>
      </c>
      <c r="CB38" s="186" t="str">
        <f t="shared" si="34"/>
        <v>Д</v>
      </c>
      <c r="CC38" s="176" t="str">
        <f t="shared" si="35"/>
        <v>Д</v>
      </c>
      <c r="CD38" s="176" t="str">
        <f t="shared" si="36"/>
        <v>Д</v>
      </c>
      <c r="CE38" s="239" t="str">
        <f t="shared" si="37"/>
        <v>Допустимый</v>
      </c>
      <c r="CF38" s="342" t="s">
        <v>225</v>
      </c>
      <c r="CG38" s="345" t="s">
        <v>48</v>
      </c>
      <c r="CH38" s="249">
        <v>0.2</v>
      </c>
      <c r="CI38" s="249">
        <v>11126.863499999999</v>
      </c>
      <c r="CJ38" s="170" t="str">
        <f t="shared" si="50"/>
        <v>0</v>
      </c>
      <c r="CO38" s="53"/>
    </row>
    <row r="39" spans="1:93" s="171" customFormat="1" ht="16.5" thickBot="1" x14ac:dyDescent="0.3">
      <c r="A39" s="180"/>
      <c r="B39" s="178"/>
      <c r="C39" s="175">
        <f>IF(ISBLANK(D39),"",COUNTA($D$18:D39))</f>
        <v>22</v>
      </c>
      <c r="D39" s="174">
        <f>Акт!C22</f>
        <v>0</v>
      </c>
      <c r="E39" s="445">
        <f>Акт!B22</f>
        <v>0</v>
      </c>
      <c r="F39" s="172">
        <f>VLOOKUP("pH солевой вытяжки",Исх.данные!$C$311:$F$321,4,FALSE)</f>
        <v>7.2</v>
      </c>
      <c r="G39" s="172">
        <f>IF(OR(VLOOKUP("Кадмий",Исх.данные!$C$311:$F$321,4,FALSE)="менее 0.05",VLOOKUP("Кадмий",Исх.данные!$C$311:$F$321,4,FALSE)="менее 0.05 "),"0.05",VLOOKUP("Кадмий",Исх.данные!$C$311:$F$321,4,FALSE))</f>
        <v>0.1</v>
      </c>
      <c r="H39" s="172" t="str">
        <f>IF(OR(VLOOKUP("Медь",Исх.данные!$C$311:$F$321,4,FALSE)="менее 0.1",VLOOKUP("Медь",Исх.данные!$C$311:$F$321,4,FALSE)="менее 0.1 "),"0.1",VLOOKUP("Медь",Исх.данные!$C$311:$F$321,4,FALSE))</f>
        <v>13</v>
      </c>
      <c r="I39" s="172">
        <f>IF(OR(VLOOKUP("Мышьяк",Исх.данные!$C$311:$F$321,4,FALSE)="менее 0.1",VLOOKUP("Мышьяк",Исх.данные!$C$311:$F$321,4,FALSE)="менее 0.1 "),"0.1",VLOOKUP("Мышьяк",Исх.данные!$C$311:$F$321,4,FALSE))</f>
        <v>0.9</v>
      </c>
      <c r="J39" s="172" t="str">
        <f>VLOOKUP("Никель",Исх.данные!$C$311:$F$321,4,FALSE)</f>
        <v>18</v>
      </c>
      <c r="K39" s="172" t="str">
        <f>IF(OR(VLOOKUP("Ртуть",Исх.данные!$C$311:$F$321,4,FALSE)="менее 0.005",VLOOKUP("Ртуть",Исх.данные!$C$311:$F$321,4,FALSE)="менее 0.005 "),"0.005",VLOOKUP("Ртуть",Исх.данные!$C$311:$F$321,4,FALSE))</f>
        <v>0,051</v>
      </c>
      <c r="L39" s="172" t="str">
        <f>VLOOKUP("Свинец",Исх.данные!$C$311:$F$321,4,FALSE)</f>
        <v>22</v>
      </c>
      <c r="M39" s="172" t="str">
        <f>VLOOKUP("Цинк",Исх.данные!$C$311:$F$321,4,FALSE)</f>
        <v>28</v>
      </c>
      <c r="N39" s="152">
        <f>Акт!I22</f>
        <v>0</v>
      </c>
      <c r="O39" s="382">
        <f>VLOOKUP("pH солевой вытяжки",Исх.данные!$C$311:$F$321,4,FALSE)</f>
        <v>7.2</v>
      </c>
      <c r="P39" s="212"/>
      <c r="Q39" s="170">
        <f t="shared" si="0"/>
        <v>22</v>
      </c>
      <c r="R39" s="170"/>
      <c r="S39" s="175">
        <f t="shared" si="1"/>
        <v>0</v>
      </c>
      <c r="T39" s="176">
        <f t="shared" si="2"/>
        <v>0</v>
      </c>
      <c r="U39" s="176" t="str">
        <f t="shared" ref="U39:U43" si="51">IF(OR(AA39="более 2,0",AA39="более 2,0 "),"&gt;2",IF(OR(AA39="менее 0.005",AA39="менее 0.005 "),"&lt;0.005",CONCATENATE(AA39,AB39)))</f>
        <v>0,009± 0,003</v>
      </c>
      <c r="V39" s="186" t="str">
        <f t="shared" si="38"/>
        <v>нет</v>
      </c>
      <c r="W39" s="174" t="str">
        <f t="shared" si="39"/>
        <v>Д</v>
      </c>
      <c r="X39" s="223"/>
      <c r="Y39" s="170"/>
      <c r="Z39" s="170"/>
      <c r="AA39" s="172">
        <f>VLOOKUP("Бенз(а)пирен",Исх.данные!$C$311:$F$321,4,FALSE)</f>
        <v>8.9999999999999993E-3</v>
      </c>
      <c r="AB39" s="172" t="str">
        <f>VLOOKUP("Бенз(а)пирен",Исх.данные!$C$311:$H$321,5,FALSE)</f>
        <v>± 0,003</v>
      </c>
      <c r="AC39" s="170">
        <f t="shared" si="4"/>
        <v>22</v>
      </c>
      <c r="AD39" s="170"/>
      <c r="AE39" s="175">
        <f t="shared" si="5"/>
        <v>0</v>
      </c>
      <c r="AF39" s="176">
        <f t="shared" si="6"/>
        <v>0</v>
      </c>
      <c r="AG39" s="176" t="str">
        <f t="shared" ref="AG39:AG43" si="52">IF(OR(AL39="менее 50.0",AL39="менее 50.0 "),"&lt;50",CONCATENATE(AL39,AM39))</f>
        <v>390± 100</v>
      </c>
      <c r="AH39" s="187" t="str">
        <f t="shared" si="40"/>
        <v>нет</v>
      </c>
      <c r="AI39" s="238" t="str">
        <f t="shared" si="41"/>
        <v>Допустимый</v>
      </c>
      <c r="AJ39" s="170"/>
      <c r="AK39" s="170"/>
      <c r="AL39" s="172" t="str">
        <f>VLOOKUP("Нефтепродукты",Исх.данные!$C$311:$F$321,4,FALSE)</f>
        <v>390</v>
      </c>
      <c r="AM39" s="172" t="str">
        <f>VLOOKUP("Нефтепродукты",Исх.данные!$C$311:$H$321,5,FALSE)</f>
        <v>± 100</v>
      </c>
      <c r="AN39" s="170"/>
      <c r="AO39" s="170">
        <f t="shared" si="8"/>
        <v>22</v>
      </c>
      <c r="AP39" s="170"/>
      <c r="AQ39" s="211">
        <f t="shared" si="9"/>
        <v>0</v>
      </c>
      <c r="AR39" s="212">
        <f t="shared" si="10"/>
        <v>0</v>
      </c>
      <c r="AS39" s="187" t="str">
        <f t="shared" si="11"/>
        <v>нет</v>
      </c>
      <c r="AT39" s="187" t="str">
        <f t="shared" si="12"/>
        <v>нет</v>
      </c>
      <c r="AU39" s="205" t="str">
        <f t="shared" si="13"/>
        <v>нет</v>
      </c>
      <c r="AV39" s="187" t="str">
        <f t="shared" si="14"/>
        <v>нет</v>
      </c>
      <c r="AW39" s="187" t="str">
        <f t="shared" si="15"/>
        <v>нет</v>
      </c>
      <c r="AX39" s="187" t="str">
        <f t="shared" si="16"/>
        <v>нет</v>
      </c>
      <c r="AY39" s="208" t="str">
        <f t="shared" si="17"/>
        <v>нет</v>
      </c>
      <c r="AZ39" s="186">
        <f t="shared" si="18"/>
        <v>1</v>
      </c>
      <c r="BA39" s="204" t="str">
        <f t="shared" ref="BA39:BA46" si="53">IF(AZ39="","",IF(AZ39&lt;16,$A$10,IF((AZ39&lt;=32),$A$11,IF((AZ39&lt;=128),$A$12,$A$13))))</f>
        <v>Д</v>
      </c>
      <c r="BB39" s="276"/>
      <c r="BC39" s="186">
        <f t="shared" si="20"/>
        <v>0.33333333333333337</v>
      </c>
      <c r="BD39" s="186">
        <f t="shared" si="21"/>
        <v>0.48148148148148145</v>
      </c>
      <c r="BE39" s="186">
        <f t="shared" si="22"/>
        <v>0.13636363636363638</v>
      </c>
      <c r="BF39" s="186">
        <f t="shared" si="23"/>
        <v>0.9</v>
      </c>
      <c r="BG39" s="186">
        <f t="shared" si="24"/>
        <v>0.5099999999999999</v>
      </c>
      <c r="BH39" s="186">
        <f t="shared" si="25"/>
        <v>0.84615384615384615</v>
      </c>
      <c r="BI39" s="186">
        <f t="shared" si="26"/>
        <v>0.53846153846153844</v>
      </c>
      <c r="BJ39" s="276"/>
      <c r="BK39" s="186">
        <f t="shared" si="42"/>
        <v>0.83333333333333337</v>
      </c>
      <c r="BL39" s="186">
        <f t="shared" si="43"/>
        <v>0.8666666666666667</v>
      </c>
      <c r="BM39" s="186">
        <f t="shared" si="44"/>
        <v>0.40909090909090906</v>
      </c>
      <c r="BN39" s="186">
        <f t="shared" si="45"/>
        <v>0.6</v>
      </c>
      <c r="BO39" s="186">
        <f t="shared" si="46"/>
        <v>0.5099999999999999</v>
      </c>
      <c r="BP39" s="186">
        <f t="shared" si="47"/>
        <v>1.4666666666666666</v>
      </c>
      <c r="BQ39" s="186">
        <f t="shared" si="48"/>
        <v>0.62222222222222223</v>
      </c>
      <c r="BR39" s="276"/>
      <c r="BS39" s="202">
        <f t="shared" si="27"/>
        <v>1</v>
      </c>
      <c r="BT39" s="206">
        <f t="shared" si="28"/>
        <v>1.4666666666666666</v>
      </c>
      <c r="BU39" s="187">
        <f t="shared" si="29"/>
        <v>7.3116666666666656</v>
      </c>
      <c r="BV39" s="203">
        <f t="shared" si="30"/>
        <v>1.4666666666666666</v>
      </c>
      <c r="BW39" s="276"/>
      <c r="BX39" s="258">
        <f t="shared" si="31"/>
        <v>22</v>
      </c>
      <c r="BY39" s="172">
        <f t="shared" si="32"/>
        <v>0</v>
      </c>
      <c r="BZ39" s="176">
        <f t="shared" si="33"/>
        <v>0</v>
      </c>
      <c r="CA39" s="173" t="str">
        <f t="shared" si="49"/>
        <v xml:space="preserve">Зона </v>
      </c>
      <c r="CB39" s="186" t="str">
        <f t="shared" si="34"/>
        <v>Д</v>
      </c>
      <c r="CC39" s="176" t="str">
        <f t="shared" si="35"/>
        <v>Д</v>
      </c>
      <c r="CD39" s="176" t="str">
        <f t="shared" ref="CD39:CD46" si="54">IF(OR((CB39=$A$13),(CC39=$A$13)),$A$13,IF(OR((CB39=$A$12),(CC39=$A$12)),$A$12,IF(OR((CB39=$A$11),(CC39=$A$11)),$A$11,$A$10)))</f>
        <v>Д</v>
      </c>
      <c r="CE39" s="239" t="str">
        <f t="shared" si="37"/>
        <v>Допустимый</v>
      </c>
      <c r="CF39" s="346" t="s">
        <v>225</v>
      </c>
      <c r="CG39" s="347" t="s">
        <v>48</v>
      </c>
      <c r="CH39" s="348">
        <v>0.2</v>
      </c>
      <c r="CI39" s="348">
        <v>7875.3865999999998</v>
      </c>
      <c r="CJ39" s="170" t="str">
        <f t="shared" si="50"/>
        <v>0</v>
      </c>
      <c r="CK39" s="365" t="s">
        <v>225</v>
      </c>
    </row>
    <row r="40" spans="1:93" s="171" customFormat="1" ht="16.5" thickBot="1" x14ac:dyDescent="0.3">
      <c r="A40" s="180"/>
      <c r="B40" s="178"/>
      <c r="C40" s="175">
        <f>IF(ISBLANK(D40),"",COUNTA($D$18:D40))</f>
        <v>23</v>
      </c>
      <c r="D40" s="174">
        <f>Акт!C23</f>
        <v>0</v>
      </c>
      <c r="E40" s="445">
        <f>Акт!B23</f>
        <v>0</v>
      </c>
      <c r="F40" s="172">
        <f>VLOOKUP("pH солевой вытяжки",Исх.данные!$C$325:$F$335,4,FALSE)</f>
        <v>7.3</v>
      </c>
      <c r="G40" s="172">
        <f>IF(OR(VLOOKUP("Кадмий",Исх.данные!$C$325:$F$335,4,FALSE)="менее 0.05",VLOOKUP("Кадмий",Исх.данные!$C$325:$F$335,4,FALSE)="менее 0.05 "),"0.05",VLOOKUP("Кадмий",Исх.данные!$C$325:$F$335,4,FALSE))</f>
        <v>0.13</v>
      </c>
      <c r="H40" s="172" t="str">
        <f>IF(OR(VLOOKUP("Медь",Исх.данные!$C$325:$F$335,4,FALSE)="менее 0.1",VLOOKUP("Медь",Исх.данные!$C$325:$F$335,4,FALSE)="менее 0.1 "),"0.1",VLOOKUP("Медь",Исх.данные!$C$325:$F$335,4,FALSE))</f>
        <v>15</v>
      </c>
      <c r="I40" s="172">
        <f>IF(OR(VLOOKUP("Мышьяк",Исх.данные!$C$325:$F$335,4,FALSE)="менее 0.1",VLOOKUP("Мышьяк",Исх.данные!$C$325:$F$335,4,FALSE)="менее 0.1 "),"0.1",VLOOKUP("Мышьяк",Исх.данные!$C$325:$F$335,4,FALSE))</f>
        <v>2.1</v>
      </c>
      <c r="J40" s="172" t="str">
        <f>VLOOKUP("Никель",Исх.данные!$C$325:$F$335,4,FALSE)</f>
        <v>23</v>
      </c>
      <c r="K40" s="172" t="str">
        <f>IF(OR(VLOOKUP("Ртуть",Исх.данные!$C$325:$F$335,4,FALSE)="менее 0.005",VLOOKUP("Ртуть",Исх.данные!$C$325:$F$335,4,FALSE)="менее 0.005 "),"0.005",VLOOKUP("Ртуть",Исх.данные!$C$325:$F$335,4,FALSE))</f>
        <v>0,050</v>
      </c>
      <c r="L40" s="172" t="str">
        <f>VLOOKUP("Свинец",Исх.данные!$C$325:$F$335,4,FALSE)</f>
        <v>26</v>
      </c>
      <c r="M40" s="172" t="str">
        <f>VLOOKUP("Цинк",Исх.данные!$C$325:$F$335,4,FALSE)</f>
        <v>37</v>
      </c>
      <c r="N40" s="152">
        <f>Акт!I23</f>
        <v>0</v>
      </c>
      <c r="O40" s="382">
        <f>VLOOKUP("pH солевой вытяжки",Исх.данные!$C$325:$F$335,4,FALSE)</f>
        <v>7.3</v>
      </c>
      <c r="P40" s="212"/>
      <c r="Q40" s="170">
        <f t="shared" si="0"/>
        <v>23</v>
      </c>
      <c r="R40" s="170"/>
      <c r="S40" s="175">
        <f t="shared" si="1"/>
        <v>0</v>
      </c>
      <c r="T40" s="176">
        <f t="shared" si="2"/>
        <v>0</v>
      </c>
      <c r="U40" s="176" t="str">
        <f t="shared" si="51"/>
        <v>0,005---</v>
      </c>
      <c r="V40" s="186" t="str">
        <f t="shared" si="38"/>
        <v>нет</v>
      </c>
      <c r="W40" s="174" t="str">
        <f t="shared" si="39"/>
        <v>Д</v>
      </c>
      <c r="X40" s="223"/>
      <c r="Y40" s="170"/>
      <c r="Z40" s="170"/>
      <c r="AA40" s="172">
        <f>VLOOKUP("Бенз(а)пирен",Исх.данные!$C$325:$F$335,4,FALSE)</f>
        <v>5.0000000000000001E-3</v>
      </c>
      <c r="AB40" s="172" t="str">
        <f>VLOOKUP("Бенз(а)пирен",Исх.данные!$C$325:$H$335,5,FALSE)</f>
        <v>---</v>
      </c>
      <c r="AC40" s="170">
        <f t="shared" si="4"/>
        <v>23</v>
      </c>
      <c r="AD40" s="170"/>
      <c r="AE40" s="175">
        <f t="shared" si="5"/>
        <v>0</v>
      </c>
      <c r="AF40" s="176">
        <f t="shared" si="6"/>
        <v>0</v>
      </c>
      <c r="AG40" s="176" t="str">
        <f t="shared" si="52"/>
        <v>53± 19</v>
      </c>
      <c r="AH40" s="187" t="str">
        <f t="shared" si="40"/>
        <v>нет</v>
      </c>
      <c r="AI40" s="238" t="str">
        <f t="shared" si="41"/>
        <v>Допустимый</v>
      </c>
      <c r="AJ40" s="170"/>
      <c r="AK40" s="170"/>
      <c r="AL40" s="172" t="str">
        <f>VLOOKUP("Нефтепродукты",Исх.данные!$C$325:$F$335,4,FALSE)</f>
        <v>53</v>
      </c>
      <c r="AM40" s="172" t="str">
        <f>VLOOKUP("Нефтепродукты",Исх.данные!$C$325:$H$335,5,FALSE)</f>
        <v>± 19</v>
      </c>
      <c r="AN40" s="170"/>
      <c r="AO40" s="170">
        <f t="shared" si="8"/>
        <v>23</v>
      </c>
      <c r="AP40" s="170"/>
      <c r="AQ40" s="211">
        <f t="shared" si="9"/>
        <v>0</v>
      </c>
      <c r="AR40" s="212">
        <f t="shared" si="10"/>
        <v>0</v>
      </c>
      <c r="AS40" s="187" t="str">
        <f t="shared" si="11"/>
        <v>нет</v>
      </c>
      <c r="AT40" s="187" t="str">
        <f t="shared" si="12"/>
        <v>нет</v>
      </c>
      <c r="AU40" s="205" t="str">
        <f t="shared" si="13"/>
        <v>нет</v>
      </c>
      <c r="AV40" s="187" t="str">
        <f t="shared" si="14"/>
        <v>нет</v>
      </c>
      <c r="AW40" s="187" t="str">
        <f t="shared" si="15"/>
        <v>нет</v>
      </c>
      <c r="AX40" s="187" t="str">
        <f t="shared" si="16"/>
        <v>нет</v>
      </c>
      <c r="AY40" s="208" t="str">
        <f t="shared" si="17"/>
        <v>нет</v>
      </c>
      <c r="AZ40" s="186">
        <f t="shared" si="18"/>
        <v>1.1499999999999999</v>
      </c>
      <c r="BA40" s="204" t="str">
        <f t="shared" si="53"/>
        <v>Д</v>
      </c>
      <c r="BB40" s="276"/>
      <c r="BC40" s="186">
        <f t="shared" si="20"/>
        <v>0.43333333333333335</v>
      </c>
      <c r="BD40" s="186">
        <f t="shared" si="21"/>
        <v>0.55555555555555558</v>
      </c>
      <c r="BE40" s="186">
        <f t="shared" si="22"/>
        <v>0.31818181818181823</v>
      </c>
      <c r="BF40" s="186">
        <f t="shared" si="23"/>
        <v>1.1499999999999999</v>
      </c>
      <c r="BG40" s="186">
        <f t="shared" si="24"/>
        <v>0.5</v>
      </c>
      <c r="BH40" s="186">
        <f t="shared" si="25"/>
        <v>1</v>
      </c>
      <c r="BI40" s="186">
        <f t="shared" si="26"/>
        <v>0.71153846153846156</v>
      </c>
      <c r="BJ40" s="276"/>
      <c r="BK40" s="186">
        <f t="shared" si="42"/>
        <v>1.0833333333333335</v>
      </c>
      <c r="BL40" s="186">
        <f t="shared" si="43"/>
        <v>1</v>
      </c>
      <c r="BM40" s="186">
        <f t="shared" si="44"/>
        <v>0.95454545454545447</v>
      </c>
      <c r="BN40" s="186">
        <f t="shared" si="45"/>
        <v>0.76666666666666672</v>
      </c>
      <c r="BO40" s="186">
        <f t="shared" si="46"/>
        <v>0.5</v>
      </c>
      <c r="BP40" s="186">
        <f t="shared" si="47"/>
        <v>1.7333333333333334</v>
      </c>
      <c r="BQ40" s="186">
        <f t="shared" si="48"/>
        <v>0.82222222222222219</v>
      </c>
      <c r="BR40" s="276"/>
      <c r="BS40" s="202">
        <f t="shared" si="27"/>
        <v>1.1499999999999999</v>
      </c>
      <c r="BT40" s="206">
        <f t="shared" si="28"/>
        <v>1.8166666666666669</v>
      </c>
      <c r="BU40" s="187">
        <f t="shared" si="29"/>
        <v>10.363095238095239</v>
      </c>
      <c r="BV40" s="203">
        <f t="shared" si="30"/>
        <v>1.8166666666666669</v>
      </c>
      <c r="BW40" s="276"/>
      <c r="BX40" s="258">
        <f t="shared" si="31"/>
        <v>23</v>
      </c>
      <c r="BY40" s="172">
        <f t="shared" si="32"/>
        <v>0</v>
      </c>
      <c r="BZ40" s="176">
        <f t="shared" si="33"/>
        <v>0</v>
      </c>
      <c r="CA40" s="173" t="str">
        <f t="shared" si="49"/>
        <v xml:space="preserve">Зона </v>
      </c>
      <c r="CB40" s="186" t="str">
        <f t="shared" si="34"/>
        <v>Д</v>
      </c>
      <c r="CC40" s="176" t="str">
        <f t="shared" si="35"/>
        <v>Д</v>
      </c>
      <c r="CD40" s="176" t="str">
        <f t="shared" si="54"/>
        <v>Д</v>
      </c>
      <c r="CE40" s="239" t="str">
        <f t="shared" si="37"/>
        <v>Допустимый</v>
      </c>
      <c r="CF40" s="344"/>
      <c r="CG40" s="344"/>
      <c r="CH40" s="344"/>
      <c r="CI40" s="344"/>
      <c r="CJ40" s="170" t="str">
        <f t="shared" si="50"/>
        <v>0</v>
      </c>
    </row>
    <row r="41" spans="1:93" ht="16.5" thickBot="1" x14ac:dyDescent="0.3">
      <c r="C41" s="175">
        <f>IF(ISBLANK(D41),"",COUNTA($D$18:D41))</f>
        <v>24</v>
      </c>
      <c r="D41" s="174">
        <f>Акт!C24</f>
        <v>0</v>
      </c>
      <c r="E41" s="445">
        <f>Акт!B24</f>
        <v>0</v>
      </c>
      <c r="F41" s="172">
        <f>VLOOKUP("pH солевой вытяжки",Исх.данные!$C$339:$F$349,4,FALSE)</f>
        <v>7</v>
      </c>
      <c r="G41" s="172">
        <f>IF(OR(VLOOKUP("Кадмий",Исх.данные!$C$339:$F$349,4,FALSE)="менее 0.05",VLOOKUP("Кадмий",Исх.данные!$C$339:$F$349,4,FALSE)="менее 0.05 "),"0.05",VLOOKUP("Кадмий",Исх.данные!$C$339:$F$349,4,FALSE))</f>
        <v>0.17</v>
      </c>
      <c r="H41" s="172" t="str">
        <f>IF(OR(VLOOKUP("Медь",Исх.данные!$C$339:$F$349,4,FALSE)="менее 0.1",VLOOKUP("Медь",Исх.данные!$C$339:$F$349,4,FALSE)="менее 0.1 "),"0.1",VLOOKUP("Медь",Исх.данные!$C$339:$F$349,4,FALSE))</f>
        <v>17</v>
      </c>
      <c r="I41" s="172">
        <f>IF(OR(VLOOKUP("Мышьяк",Исх.данные!$C$339:$F$349,4,FALSE)="менее 0.1",VLOOKUP("Мышьяк",Исх.данные!$C$339:$F$349,4,FALSE)="менее 0.1 "),"0.1",VLOOKUP("Мышьяк",Исх.данные!$C$339:$F$349,4,FALSE))</f>
        <v>0.9</v>
      </c>
      <c r="J41" s="172" t="str">
        <f>VLOOKUP("Никель",Исх.данные!$C$339:$F$349,4,FALSE)</f>
        <v>17</v>
      </c>
      <c r="K41" s="172" t="str">
        <f>IF(OR(VLOOKUP("Ртуть",Исх.данные!$C$339:$F$349,4,FALSE)="менее 0.005",VLOOKUP("Ртуть",Исх.данные!$C$339:$F$349,4,FALSE)="менее 0.005 "),"0.005",VLOOKUP("Ртуть",Исх.данные!$C$339:$F$349,4,FALSE))</f>
        <v>0,041</v>
      </c>
      <c r="L41" s="172" t="str">
        <f>VLOOKUP("Свинец",Исх.данные!$C$339:$F$349,4,FALSE)</f>
        <v>23</v>
      </c>
      <c r="M41" s="172" t="str">
        <f>VLOOKUP("Цинк",Исх.данные!$C$339:$F$349,4,FALSE)</f>
        <v>24</v>
      </c>
      <c r="N41" s="152">
        <f>Акт!I24</f>
        <v>0</v>
      </c>
      <c r="O41" s="382">
        <f>VLOOKUP("pH солевой вытяжки",Исх.данные!$C$339:$F$349,4,FALSE)</f>
        <v>7</v>
      </c>
      <c r="P41" s="212"/>
      <c r="Q41" s="170">
        <f t="shared" si="0"/>
        <v>24</v>
      </c>
      <c r="R41" s="170"/>
      <c r="S41" s="175">
        <f t="shared" si="1"/>
        <v>0</v>
      </c>
      <c r="T41" s="176">
        <f t="shared" si="2"/>
        <v>0</v>
      </c>
      <c r="U41" s="176" t="str">
        <f t="shared" si="51"/>
        <v>0,005---</v>
      </c>
      <c r="V41" s="186" t="str">
        <f t="shared" si="38"/>
        <v>нет</v>
      </c>
      <c r="W41" s="174" t="str">
        <f t="shared" si="39"/>
        <v>Д</v>
      </c>
      <c r="X41" s="223"/>
      <c r="Y41" s="170"/>
      <c r="Z41" s="170"/>
      <c r="AA41" s="172">
        <f>VLOOKUP("Бенз(а)пирен",Исх.данные!$C$339:$F$349,4,FALSE)</f>
        <v>5.0000000000000001E-3</v>
      </c>
      <c r="AB41" s="172" t="str">
        <f>VLOOKUP("Бенз(а)пирен",Исх.данные!$C$339:$H$349,5,FALSE)</f>
        <v>---</v>
      </c>
      <c r="AC41" s="170">
        <f t="shared" si="4"/>
        <v>24</v>
      </c>
      <c r="AD41" s="170"/>
      <c r="AE41" s="175">
        <f t="shared" si="5"/>
        <v>0</v>
      </c>
      <c r="AF41" s="176">
        <f t="shared" si="6"/>
        <v>0</v>
      </c>
      <c r="AG41" s="176" t="str">
        <f t="shared" si="52"/>
        <v>50---</v>
      </c>
      <c r="AH41" s="187" t="str">
        <f t="shared" si="40"/>
        <v>нет</v>
      </c>
      <c r="AI41" s="238" t="str">
        <f t="shared" si="41"/>
        <v>Допустимый</v>
      </c>
      <c r="AJ41" s="170"/>
      <c r="AK41" s="170"/>
      <c r="AL41" s="172">
        <f>VLOOKUP("Нефтепродукты",Исх.данные!$C$339:$F$349,4,FALSE)</f>
        <v>50</v>
      </c>
      <c r="AM41" s="172" t="str">
        <f>VLOOKUP("Нефтепродукты",Исх.данные!$C$339:$H$349,5,FALSE)</f>
        <v>---</v>
      </c>
      <c r="AN41" s="170"/>
      <c r="AO41" s="170">
        <f t="shared" si="8"/>
        <v>24</v>
      </c>
      <c r="AP41" s="170"/>
      <c r="AQ41" s="211">
        <f t="shared" si="9"/>
        <v>0</v>
      </c>
      <c r="AR41" s="212">
        <f t="shared" si="10"/>
        <v>0</v>
      </c>
      <c r="AS41" s="187" t="str">
        <f t="shared" si="11"/>
        <v>нет</v>
      </c>
      <c r="AT41" s="187" t="str">
        <f t="shared" si="12"/>
        <v>нет</v>
      </c>
      <c r="AU41" s="205" t="str">
        <f t="shared" si="13"/>
        <v>нет</v>
      </c>
      <c r="AV41" s="187" t="str">
        <f t="shared" si="14"/>
        <v>нет</v>
      </c>
      <c r="AW41" s="187" t="str">
        <f t="shared" si="15"/>
        <v>нет</v>
      </c>
      <c r="AX41" s="187" t="str">
        <f t="shared" si="16"/>
        <v>нет</v>
      </c>
      <c r="AY41" s="208" t="str">
        <f t="shared" si="17"/>
        <v>нет</v>
      </c>
      <c r="AZ41" s="186">
        <f t="shared" si="18"/>
        <v>1</v>
      </c>
      <c r="BA41" s="204" t="str">
        <f t="shared" si="53"/>
        <v>Д</v>
      </c>
      <c r="BB41" s="276"/>
      <c r="BC41" s="186">
        <f t="shared" si="20"/>
        <v>0.56666666666666676</v>
      </c>
      <c r="BD41" s="186">
        <f t="shared" si="21"/>
        <v>0.62962962962962965</v>
      </c>
      <c r="BE41" s="186">
        <f t="shared" si="22"/>
        <v>0.13636363636363638</v>
      </c>
      <c r="BF41" s="186">
        <f t="shared" si="23"/>
        <v>0.85</v>
      </c>
      <c r="BG41" s="186">
        <f t="shared" si="24"/>
        <v>0.41</v>
      </c>
      <c r="BH41" s="186">
        <f t="shared" si="25"/>
        <v>0.88461538461538458</v>
      </c>
      <c r="BI41" s="186">
        <f t="shared" si="26"/>
        <v>0.46153846153846156</v>
      </c>
      <c r="BJ41" s="276"/>
      <c r="BK41" s="186">
        <f t="shared" si="42"/>
        <v>1.4166666666666667</v>
      </c>
      <c r="BL41" s="186">
        <f t="shared" si="43"/>
        <v>1.1333333333333333</v>
      </c>
      <c r="BM41" s="186">
        <f t="shared" si="44"/>
        <v>0.40909090909090906</v>
      </c>
      <c r="BN41" s="186">
        <f t="shared" si="45"/>
        <v>0.56666666666666665</v>
      </c>
      <c r="BO41" s="186">
        <f t="shared" si="46"/>
        <v>0.41</v>
      </c>
      <c r="BP41" s="186">
        <f t="shared" si="47"/>
        <v>1.5333333333333334</v>
      </c>
      <c r="BQ41" s="186">
        <f t="shared" si="48"/>
        <v>0.53333333333333333</v>
      </c>
      <c r="BR41" s="276"/>
      <c r="BS41" s="202">
        <f t="shared" si="27"/>
        <v>1</v>
      </c>
      <c r="BT41" s="206">
        <f t="shared" si="28"/>
        <v>2.0833333333333335</v>
      </c>
      <c r="BU41" s="187">
        <f t="shared" si="29"/>
        <v>9.1916666666666664</v>
      </c>
      <c r="BV41" s="203">
        <f t="shared" si="30"/>
        <v>2.0833333333333335</v>
      </c>
      <c r="BW41" s="276"/>
      <c r="BX41" s="258">
        <f t="shared" si="31"/>
        <v>24</v>
      </c>
      <c r="BY41" s="172">
        <f t="shared" si="32"/>
        <v>0</v>
      </c>
      <c r="BZ41" s="176">
        <f t="shared" si="33"/>
        <v>0</v>
      </c>
      <c r="CA41" s="173" t="str">
        <f t="shared" si="49"/>
        <v xml:space="preserve">Зона </v>
      </c>
      <c r="CB41" s="186" t="str">
        <f t="shared" si="34"/>
        <v>Д</v>
      </c>
      <c r="CC41" s="176" t="str">
        <f t="shared" si="35"/>
        <v>Д</v>
      </c>
      <c r="CD41" s="176" t="str">
        <f t="shared" si="54"/>
        <v>Д</v>
      </c>
      <c r="CE41" s="239" t="str">
        <f t="shared" si="37"/>
        <v>Допустимый</v>
      </c>
      <c r="CF41" s="249"/>
      <c r="CG41" s="249"/>
      <c r="CH41" s="249"/>
      <c r="CI41" s="249"/>
      <c r="CJ41" s="170" t="str">
        <f t="shared" si="50"/>
        <v>0</v>
      </c>
    </row>
    <row r="42" spans="1:93" ht="16.5" thickBot="1" x14ac:dyDescent="0.3">
      <c r="C42" s="175">
        <f>IF(ISBLANK(D42),"",COUNTA($D$18:D42))</f>
        <v>25</v>
      </c>
      <c r="D42" s="174">
        <f>Акт!C25</f>
        <v>0</v>
      </c>
      <c r="E42" s="445">
        <f>Акт!B25</f>
        <v>0</v>
      </c>
      <c r="F42" s="172">
        <f>VLOOKUP("pH солевой вытяжки",Исх.данные!$C$355:$F$365,4,FALSE)</f>
        <v>6.2</v>
      </c>
      <c r="G42" s="172">
        <f>IF(OR(VLOOKUP("Кадмий",Исх.данные!$C$355:$F$365,4,FALSE)="менее 0.05",VLOOKUP("Кадмий",Исх.данные!$C$355:$F$365,4,FALSE)="менее 0.05 "),"0.05",VLOOKUP("Кадмий",Исх.данные!$C$355:$F$365,4,FALSE))</f>
        <v>0.14000000000000001</v>
      </c>
      <c r="H42" s="172" t="str">
        <f>IF(OR(VLOOKUP("Медь",Исх.данные!$C$355:$F$365,4,FALSE)="менее 0.1",VLOOKUP("Медь",Исх.данные!$C$355:$F$365,4,FALSE)="менее 0.1 "),"0.1",VLOOKUP("Медь",Исх.данные!$C$355:$F$365,4,FALSE))</f>
        <v>13</v>
      </c>
      <c r="I42" s="172">
        <f>IF(OR(VLOOKUP("Мышьяк",Исх.данные!$C$355:$F$365,4,FALSE)="менее 0.1",VLOOKUP("Мышьяк",Исх.данные!$C$355:$F$365,4,FALSE)="менее 0.1 "),"0.1",VLOOKUP("Мышьяк",Исх.данные!$C$355:$F$365,4,FALSE))</f>
        <v>0.6</v>
      </c>
      <c r="J42" s="172">
        <f>VLOOKUP("Никель",Исх.данные!$C$355:$F$365,4,FALSE)</f>
        <v>3.5</v>
      </c>
      <c r="K42" s="172" t="str">
        <f>IF(OR(VLOOKUP("Ртуть",Исх.данные!$C$355:$F$365,4,FALSE)="менее 0.005",VLOOKUP("Ртуть",Исх.данные!$C$355:$F$365,4,FALSE)="менее 0.005 "),"0.005",VLOOKUP("Ртуть",Исх.данные!$C$355:$F$365,4,FALSE))</f>
        <v>0,0065</v>
      </c>
      <c r="L42" s="172" t="str">
        <f>VLOOKUP("Свинец",Исх.данные!$C$355:$F$365,4,FALSE)</f>
        <v>27</v>
      </c>
      <c r="M42" s="172" t="str">
        <f>VLOOKUP("Цинк",Исх.данные!$C$355:$F$365,4,FALSE)</f>
        <v>31</v>
      </c>
      <c r="N42" s="152" t="str">
        <f>Акт!I25</f>
        <v/>
      </c>
      <c r="O42" s="382">
        <f>VLOOKUP("pH солевой вытяжки",Исх.данные!$C$355:$F$365,4,FALSE)</f>
        <v>6.2</v>
      </c>
      <c r="P42" s="212"/>
      <c r="Q42" s="170">
        <f t="shared" si="0"/>
        <v>25</v>
      </c>
      <c r="R42" s="170"/>
      <c r="S42" s="175">
        <f t="shared" si="1"/>
        <v>0</v>
      </c>
      <c r="T42" s="176">
        <f t="shared" si="2"/>
        <v>0</v>
      </c>
      <c r="U42" s="176" t="str">
        <f t="shared" si="51"/>
        <v>0,005---</v>
      </c>
      <c r="V42" s="186" t="str">
        <f t="shared" si="38"/>
        <v>нет</v>
      </c>
      <c r="W42" s="174" t="str">
        <f t="shared" si="39"/>
        <v>Д</v>
      </c>
      <c r="X42" s="223"/>
      <c r="Y42" s="170"/>
      <c r="Z42" s="170"/>
      <c r="AA42" s="172">
        <f>VLOOKUP("Бенз(а)пирен",Исх.данные!$C$355:$F$365,4,FALSE)</f>
        <v>5.0000000000000001E-3</v>
      </c>
      <c r="AB42" s="172" t="str">
        <f>VLOOKUP("Бенз(а)пирен",Исх.данные!$C$355:$H$365,5,FALSE)</f>
        <v>---</v>
      </c>
      <c r="AC42" s="170">
        <f t="shared" si="4"/>
        <v>25</v>
      </c>
      <c r="AD42" s="170"/>
      <c r="AE42" s="175">
        <f t="shared" si="5"/>
        <v>0</v>
      </c>
      <c r="AF42" s="176">
        <f t="shared" si="6"/>
        <v>0</v>
      </c>
      <c r="AG42" s="176" t="str">
        <f t="shared" si="52"/>
        <v>50---</v>
      </c>
      <c r="AH42" s="187" t="str">
        <f t="shared" si="40"/>
        <v>нет</v>
      </c>
      <c r="AI42" s="238" t="str">
        <f t="shared" si="41"/>
        <v>Допустимый</v>
      </c>
      <c r="AJ42" s="170"/>
      <c r="AK42" s="170"/>
      <c r="AL42" s="172">
        <f>VLOOKUP("Нефтепродукты",Исх.данные!$C$355:$F$365,4,FALSE)</f>
        <v>50</v>
      </c>
      <c r="AM42" s="172" t="str">
        <f>VLOOKUP("Нефтепродукты",Исх.данные!$C$355:$H$365,5,FALSE)</f>
        <v>---</v>
      </c>
      <c r="AN42" s="170"/>
      <c r="AO42" s="170">
        <f t="shared" si="8"/>
        <v>25</v>
      </c>
      <c r="AP42" s="170"/>
      <c r="AQ42" s="211">
        <f t="shared" si="9"/>
        <v>0</v>
      </c>
      <c r="AR42" s="212">
        <f t="shared" si="10"/>
        <v>0</v>
      </c>
      <c r="AS42" s="187" t="str">
        <f t="shared" si="11"/>
        <v>нет</v>
      </c>
      <c r="AT42" s="187" t="str">
        <f t="shared" si="12"/>
        <v>нет</v>
      </c>
      <c r="AU42" s="205" t="str">
        <f t="shared" si="13"/>
        <v>нет</v>
      </c>
      <c r="AV42" s="187" t="str">
        <f t="shared" si="14"/>
        <v>нет</v>
      </c>
      <c r="AW42" s="187" t="str">
        <f t="shared" si="15"/>
        <v>нет</v>
      </c>
      <c r="AX42" s="187" t="str">
        <f t="shared" si="16"/>
        <v>нет</v>
      </c>
      <c r="AY42" s="208" t="str">
        <f t="shared" si="17"/>
        <v>нет</v>
      </c>
      <c r="AZ42" s="186">
        <f t="shared" si="18"/>
        <v>1.0384615384615385</v>
      </c>
      <c r="BA42" s="204" t="str">
        <f t="shared" si="53"/>
        <v>Д</v>
      </c>
      <c r="BB42" s="276"/>
      <c r="BC42" s="186">
        <f t="shared" si="20"/>
        <v>0.46666666666666673</v>
      </c>
      <c r="BD42" s="186">
        <f t="shared" si="21"/>
        <v>0.48148148148148145</v>
      </c>
      <c r="BE42" s="186">
        <f t="shared" si="22"/>
        <v>9.0909090909090912E-2</v>
      </c>
      <c r="BF42" s="186">
        <f t="shared" si="23"/>
        <v>0.17499999999999999</v>
      </c>
      <c r="BG42" s="186">
        <f t="shared" si="24"/>
        <v>6.4999999999999988E-2</v>
      </c>
      <c r="BH42" s="186">
        <f t="shared" si="25"/>
        <v>1.0384615384615385</v>
      </c>
      <c r="BI42" s="186">
        <f t="shared" si="26"/>
        <v>0.59615384615384615</v>
      </c>
      <c r="BJ42" s="276"/>
      <c r="BK42" s="186">
        <f t="shared" si="42"/>
        <v>1.1666666666666667</v>
      </c>
      <c r="BL42" s="186">
        <f t="shared" si="43"/>
        <v>0.8666666666666667</v>
      </c>
      <c r="BM42" s="186">
        <f t="shared" si="44"/>
        <v>0.27272727272727271</v>
      </c>
      <c r="BN42" s="186">
        <f t="shared" si="45"/>
        <v>0.11666666666666667</v>
      </c>
      <c r="BO42" s="186">
        <f t="shared" si="46"/>
        <v>6.4999999999999988E-2</v>
      </c>
      <c r="BP42" s="186">
        <f t="shared" si="47"/>
        <v>1.8</v>
      </c>
      <c r="BQ42" s="186">
        <f t="shared" si="48"/>
        <v>0.68888888888888888</v>
      </c>
      <c r="BR42" s="276"/>
      <c r="BS42" s="202">
        <f t="shared" si="27"/>
        <v>1.0384615384615385</v>
      </c>
      <c r="BT42" s="206">
        <f t="shared" si="28"/>
        <v>1.9666666666666668</v>
      </c>
      <c r="BU42" s="187">
        <f t="shared" si="29"/>
        <v>7.0321428571428584</v>
      </c>
      <c r="BV42" s="203">
        <f t="shared" si="30"/>
        <v>1.9666666666666668</v>
      </c>
      <c r="BW42" s="276"/>
      <c r="BX42" s="258">
        <f t="shared" si="31"/>
        <v>25</v>
      </c>
      <c r="BY42" s="172">
        <f t="shared" si="32"/>
        <v>0</v>
      </c>
      <c r="BZ42" s="176">
        <f t="shared" si="33"/>
        <v>0</v>
      </c>
      <c r="CA42" s="173" t="str">
        <f t="shared" si="49"/>
        <v xml:space="preserve">Зона </v>
      </c>
      <c r="CB42" s="186" t="str">
        <f t="shared" si="34"/>
        <v>Д</v>
      </c>
      <c r="CC42" s="176" t="str">
        <f t="shared" si="35"/>
        <v>Д</v>
      </c>
      <c r="CD42" s="176" t="str">
        <f t="shared" si="54"/>
        <v>Д</v>
      </c>
      <c r="CE42" s="239" t="str">
        <f t="shared" si="37"/>
        <v>Допустимый</v>
      </c>
      <c r="CF42" s="249"/>
      <c r="CG42" s="249"/>
      <c r="CH42" s="249"/>
      <c r="CI42" s="249"/>
      <c r="CJ42" s="170" t="str">
        <f t="shared" si="50"/>
        <v>0</v>
      </c>
    </row>
    <row r="43" spans="1:93" ht="16.5" thickBot="1" x14ac:dyDescent="0.3">
      <c r="C43" s="175">
        <f>IF(ISBLANK(D43),"",COUNTA($D$18:D43))</f>
        <v>26</v>
      </c>
      <c r="D43" s="174">
        <f>Акт!C26</f>
        <v>0</v>
      </c>
      <c r="E43" s="445">
        <f>Акт!B26</f>
        <v>0</v>
      </c>
      <c r="F43" s="172">
        <f>VLOOKUP("pH солевой вытяжки",Исх.данные!$C$369:$F$379,4,FALSE)</f>
        <v>6.2</v>
      </c>
      <c r="G43" s="172">
        <f>IF(OR(VLOOKUP("Кадмий",Исх.данные!$C$369:$F$379,4,FALSE)="менее 0.05",VLOOKUP("Кадмий",Исх.данные!$C$369:$F$379,4,FALSE)="менее 0.05 "),"0.05",VLOOKUP("Кадмий",Исх.данные!$C$369:$F$379,4,FALSE))</f>
        <v>0.14000000000000001</v>
      </c>
      <c r="H43" s="172" t="str">
        <f>IF(OR(VLOOKUP("Медь",Исх.данные!$C$369:$F$379,4,FALSE)="менее 0.1",VLOOKUP("Медь",Исх.данные!$C$369:$F$379,4,FALSE)="менее 0.1 "),"0.1",VLOOKUP("Медь",Исх.данные!$C$369:$F$379,4,FALSE))</f>
        <v>13</v>
      </c>
      <c r="I43" s="172">
        <f>IF(OR(VLOOKUP("Мышьяк",Исх.данные!$C$369:$F$379,4,FALSE)="менее 0.1",VLOOKUP("Мышьяк",Исх.данные!$C$369:$F$379,4,FALSE)="менее 0.1 "),"0.1",VLOOKUP("Мышьяк",Исх.данные!$C$369:$F$379,4,FALSE))</f>
        <v>0.6</v>
      </c>
      <c r="J43" s="172">
        <f>VLOOKUP("Никель",Исх.данные!$C$369:$F$379,4,FALSE)</f>
        <v>3.5</v>
      </c>
      <c r="K43" s="172" t="str">
        <f>IF(OR(VLOOKUP("Ртуть",Исх.данные!$C$369:$F$379,4,FALSE)="менее 0.005",VLOOKUP("Ртуть",Исх.данные!$C$369:$F$379,4,FALSE)="менее 0.005 "),"0.005",VLOOKUP("Ртуть",Исх.данные!$C$369:$F$379,4,FALSE))</f>
        <v>0,0065</v>
      </c>
      <c r="L43" s="172" t="str">
        <f>VLOOKUP("Свинец",Исх.данные!$C$369:$F$379,4,FALSE)</f>
        <v>27</v>
      </c>
      <c r="M43" s="172" t="str">
        <f>VLOOKUP("Цинк",Исх.данные!$C$369:$F$379,4,FALSE)</f>
        <v>31</v>
      </c>
      <c r="N43" s="152" t="str">
        <f>Акт!I26</f>
        <v/>
      </c>
      <c r="O43" s="382">
        <f>VLOOKUP("pH солевой вытяжки",Исх.данные!$C$369:$F$379,4,FALSE)</f>
        <v>6.2</v>
      </c>
      <c r="P43" s="212"/>
      <c r="Q43" s="170">
        <f t="shared" si="0"/>
        <v>26</v>
      </c>
      <c r="R43" s="170"/>
      <c r="S43" s="175">
        <f t="shared" si="1"/>
        <v>0</v>
      </c>
      <c r="T43" s="176">
        <f t="shared" si="2"/>
        <v>0</v>
      </c>
      <c r="U43" s="176" t="str">
        <f t="shared" si="51"/>
        <v>0,005---</v>
      </c>
      <c r="V43" s="186" t="str">
        <f t="shared" si="38"/>
        <v>нет</v>
      </c>
      <c r="W43" s="174" t="str">
        <f t="shared" si="39"/>
        <v>Д</v>
      </c>
      <c r="X43" s="223"/>
      <c r="Y43" s="170"/>
      <c r="Z43" s="170"/>
      <c r="AA43" s="172">
        <f>VLOOKUP("Бенз(а)пирен",Исх.данные!$C$369:$F$379,4,FALSE)</f>
        <v>5.0000000000000001E-3</v>
      </c>
      <c r="AB43" s="172" t="str">
        <f>VLOOKUP("Бенз(а)пирен",Исх.данные!$C$369:$H$379,5,FALSE)</f>
        <v>---</v>
      </c>
      <c r="AC43" s="170">
        <f t="shared" si="4"/>
        <v>26</v>
      </c>
      <c r="AD43" s="170"/>
      <c r="AE43" s="175">
        <f t="shared" si="5"/>
        <v>0</v>
      </c>
      <c r="AF43" s="176">
        <f t="shared" si="6"/>
        <v>0</v>
      </c>
      <c r="AG43" s="176" t="str">
        <f t="shared" si="52"/>
        <v>50---</v>
      </c>
      <c r="AH43" s="187" t="str">
        <f t="shared" si="40"/>
        <v>нет</v>
      </c>
      <c r="AI43" s="238" t="str">
        <f t="shared" si="41"/>
        <v>Допустимый</v>
      </c>
      <c r="AJ43" s="170"/>
      <c r="AK43" s="170"/>
      <c r="AL43" s="172">
        <f>VLOOKUP("Нефтепродукты",Исх.данные!$C$369:$F$379,4,FALSE)</f>
        <v>50</v>
      </c>
      <c r="AM43" s="172" t="str">
        <f>VLOOKUP("Нефтепродукты",Исх.данные!$C$369:$H$379,5,FALSE)</f>
        <v>---</v>
      </c>
      <c r="AN43" s="170"/>
      <c r="AO43" s="170">
        <f t="shared" si="8"/>
        <v>26</v>
      </c>
      <c r="AP43" s="170"/>
      <c r="AQ43" s="211">
        <f t="shared" si="9"/>
        <v>0</v>
      </c>
      <c r="AR43" s="212">
        <f t="shared" si="10"/>
        <v>0</v>
      </c>
      <c r="AS43" s="187" t="str">
        <f t="shared" si="11"/>
        <v>нет</v>
      </c>
      <c r="AT43" s="187" t="str">
        <f t="shared" si="12"/>
        <v>нет</v>
      </c>
      <c r="AU43" s="205" t="str">
        <f t="shared" si="13"/>
        <v>нет</v>
      </c>
      <c r="AV43" s="187" t="str">
        <f t="shared" si="14"/>
        <v>нет</v>
      </c>
      <c r="AW43" s="187" t="str">
        <f t="shared" si="15"/>
        <v>нет</v>
      </c>
      <c r="AX43" s="187" t="str">
        <f t="shared" si="16"/>
        <v>нет</v>
      </c>
      <c r="AY43" s="208" t="str">
        <f t="shared" si="17"/>
        <v>нет</v>
      </c>
      <c r="AZ43" s="186">
        <f t="shared" si="18"/>
        <v>1.0384615384615385</v>
      </c>
      <c r="BA43" s="204" t="str">
        <f t="shared" si="53"/>
        <v>Д</v>
      </c>
      <c r="BB43" s="276"/>
      <c r="BC43" s="186">
        <f t="shared" si="20"/>
        <v>0.46666666666666673</v>
      </c>
      <c r="BD43" s="186">
        <f t="shared" si="21"/>
        <v>0.48148148148148145</v>
      </c>
      <c r="BE43" s="186">
        <f t="shared" si="22"/>
        <v>9.0909090909090912E-2</v>
      </c>
      <c r="BF43" s="186">
        <f t="shared" si="23"/>
        <v>0.17499999999999999</v>
      </c>
      <c r="BG43" s="186">
        <f t="shared" si="24"/>
        <v>6.4999999999999988E-2</v>
      </c>
      <c r="BH43" s="186">
        <f t="shared" si="25"/>
        <v>1.0384615384615385</v>
      </c>
      <c r="BI43" s="186">
        <f t="shared" si="26"/>
        <v>0.59615384615384615</v>
      </c>
      <c r="BJ43" s="276"/>
      <c r="BK43" s="186">
        <f t="shared" si="42"/>
        <v>1.1666666666666667</v>
      </c>
      <c r="BL43" s="186">
        <f t="shared" si="43"/>
        <v>0.8666666666666667</v>
      </c>
      <c r="BM43" s="186">
        <f t="shared" si="44"/>
        <v>0.27272727272727271</v>
      </c>
      <c r="BN43" s="186">
        <f t="shared" si="45"/>
        <v>0.11666666666666667</v>
      </c>
      <c r="BO43" s="186">
        <f t="shared" si="46"/>
        <v>6.4999999999999988E-2</v>
      </c>
      <c r="BP43" s="186">
        <f t="shared" si="47"/>
        <v>1.8</v>
      </c>
      <c r="BQ43" s="186">
        <f t="shared" si="48"/>
        <v>0.68888888888888888</v>
      </c>
      <c r="BR43" s="276"/>
      <c r="BS43" s="202">
        <f t="shared" si="27"/>
        <v>1.0384615384615385</v>
      </c>
      <c r="BT43" s="206">
        <f t="shared" si="28"/>
        <v>1.9666666666666668</v>
      </c>
      <c r="BU43" s="187">
        <f t="shared" si="29"/>
        <v>7.0321428571428584</v>
      </c>
      <c r="BV43" s="203">
        <f t="shared" si="30"/>
        <v>1.9666666666666668</v>
      </c>
      <c r="BW43" s="276"/>
      <c r="BX43" s="258">
        <f t="shared" si="31"/>
        <v>26</v>
      </c>
      <c r="BY43" s="172">
        <f t="shared" si="32"/>
        <v>0</v>
      </c>
      <c r="BZ43" s="176">
        <f t="shared" si="33"/>
        <v>0</v>
      </c>
      <c r="CA43" s="173" t="str">
        <f t="shared" si="49"/>
        <v xml:space="preserve">Зона </v>
      </c>
      <c r="CB43" s="186" t="str">
        <f t="shared" si="34"/>
        <v>Д</v>
      </c>
      <c r="CC43" s="176" t="str">
        <f t="shared" si="35"/>
        <v>Д</v>
      </c>
      <c r="CD43" s="176" t="str">
        <f t="shared" si="54"/>
        <v>Д</v>
      </c>
      <c r="CE43" s="239" t="str">
        <f t="shared" si="37"/>
        <v>Допустимый</v>
      </c>
      <c r="CF43" s="249"/>
      <c r="CG43" s="249"/>
      <c r="CH43" s="249"/>
      <c r="CI43" s="249"/>
      <c r="CJ43" s="170" t="str">
        <f t="shared" si="50"/>
        <v>0</v>
      </c>
    </row>
    <row r="44" spans="1:93" ht="16.5" thickBot="1" x14ac:dyDescent="0.3">
      <c r="C44" s="175">
        <f>IF(ISBLANK(D44),"",COUNTA($D$18:D44))</f>
        <v>27</v>
      </c>
      <c r="D44" s="174">
        <f>Акт!C27</f>
        <v>0</v>
      </c>
      <c r="E44" s="445">
        <f>Акт!B27</f>
        <v>0</v>
      </c>
      <c r="F44" s="172">
        <f>VLOOKUP("pH солевой вытяжки",Исх.данные!$C$383:$F$393,4,FALSE)</f>
        <v>6.2</v>
      </c>
      <c r="G44" s="172">
        <f>IF(OR(VLOOKUP("Кадмий",Исх.данные!$C$383:$F$393,4,FALSE)="менее 0.05",VLOOKUP("Кадмий",Исх.данные!$C$383:$F$393,4,FALSE)="менее 0.05 "),"0.05",VLOOKUP("Кадмий",Исх.данные!$C$383:$F$393,4,FALSE))</f>
        <v>0.14000000000000001</v>
      </c>
      <c r="H44" s="172" t="str">
        <f>IF(OR(VLOOKUP("Медь",Исх.данные!$C$383:$F$393,4,FALSE)="менее 0.1",VLOOKUP("Медь",Исх.данные!$C$383:$F$393,4,FALSE)="менее 0.1 "),"0.1",VLOOKUP("Медь",Исх.данные!$C$383:$F$393,4,FALSE))</f>
        <v>13</v>
      </c>
      <c r="I44" s="172">
        <f>IF(OR(VLOOKUP("Мышьяк",Исх.данные!$C$383:$F$393,4,FALSE)="менее 0.1",VLOOKUP("Мышьяк",Исх.данные!$C$383:$F$393,4,FALSE)="менее 0.1 "),"0.1",VLOOKUP("Мышьяк",Исх.данные!$C$383:$F$393,4,FALSE))</f>
        <v>0.6</v>
      </c>
      <c r="J44" s="172">
        <f>VLOOKUP("Никель",Исх.данные!$C$383:$F$393,4,FALSE)</f>
        <v>3.5</v>
      </c>
      <c r="K44" s="172" t="str">
        <f>IF(OR(VLOOKUP("Ртуть",Исх.данные!$C$383:$F$393,4,FALSE)="менее 0.005",VLOOKUP("Ртуть",Исх.данные!$C$383:$F$393,4,FALSE)="менее 0.005 "),"0.005",VLOOKUP("Ртуть",Исх.данные!$C$383:$F$393,4,FALSE))</f>
        <v>0,0065</v>
      </c>
      <c r="L44" s="172" t="str">
        <f>VLOOKUP("Свинец",Исх.данные!$C$383:$F$393,4,FALSE)</f>
        <v>27</v>
      </c>
      <c r="M44" s="172" t="str">
        <f>VLOOKUP("Цинк",Исх.данные!$C$383:$F$393,4,FALSE)</f>
        <v>31</v>
      </c>
      <c r="N44" s="152" t="str">
        <f>Акт!I27</f>
        <v/>
      </c>
      <c r="O44" s="382">
        <f>VLOOKUP("pH солевой вытяжки",Исх.данные!$C$383:$F$393,4,FALSE)</f>
        <v>6.2</v>
      </c>
      <c r="P44" s="212"/>
      <c r="Q44" s="170">
        <f t="shared" si="0"/>
        <v>27</v>
      </c>
      <c r="R44" s="170"/>
      <c r="S44" s="175">
        <f t="shared" si="1"/>
        <v>0</v>
      </c>
      <c r="T44" s="176">
        <f t="shared" si="2"/>
        <v>0</v>
      </c>
      <c r="U44" s="176" t="str">
        <f>IF(OR(AA44="более 2,0",AA44="более 2,0 "),"&gt;2",IF(OR(AA44="менее 0.005",AA44="менее 0.005 "),"&lt;0.005",CONCATENATE(AA44,AB44)))</f>
        <v>0,005---</v>
      </c>
      <c r="V44" s="186" t="str">
        <f t="shared" si="38"/>
        <v>нет</v>
      </c>
      <c r="W44" s="174" t="str">
        <f t="shared" si="39"/>
        <v>Д</v>
      </c>
      <c r="X44" s="223"/>
      <c r="Y44" s="170"/>
      <c r="Z44" s="170"/>
      <c r="AA44" s="172">
        <f>VLOOKUP("Бенз(а)пирен",Исх.данные!$C$383:$F$393,4,FALSE)</f>
        <v>5.0000000000000001E-3</v>
      </c>
      <c r="AB44" s="172" t="str">
        <f>VLOOKUP("Бенз(а)пирен",Исх.данные!$C$383:$H$393,5,FALSE)</f>
        <v>---</v>
      </c>
      <c r="AC44" s="170">
        <f t="shared" si="4"/>
        <v>27</v>
      </c>
      <c r="AD44" s="170"/>
      <c r="AE44" s="175">
        <f t="shared" si="5"/>
        <v>0</v>
      </c>
      <c r="AF44" s="176">
        <f t="shared" si="6"/>
        <v>0</v>
      </c>
      <c r="AG44" s="176" t="str">
        <f>IF(OR(AL44="менее 50.0",AL44="менее 50.0 "),"&lt;50",CONCATENATE(AL44,AM44))</f>
        <v>50---</v>
      </c>
      <c r="AH44" s="187" t="str">
        <f t="shared" si="40"/>
        <v>нет</v>
      </c>
      <c r="AI44" s="238" t="str">
        <f t="shared" si="41"/>
        <v>Допустимый</v>
      </c>
      <c r="AJ44" s="170"/>
      <c r="AK44" s="170"/>
      <c r="AL44" s="172">
        <f>VLOOKUP("Нефтепродукты",Исх.данные!$C$383:$F$393,4,FALSE)</f>
        <v>50</v>
      </c>
      <c r="AM44" s="172" t="str">
        <f>VLOOKUP("Нефтепродукты",Исх.данные!$C$383:$H$393,5,FALSE)</f>
        <v>---</v>
      </c>
      <c r="AN44" s="170"/>
      <c r="AO44" s="170">
        <f t="shared" si="8"/>
        <v>27</v>
      </c>
      <c r="AP44" s="170"/>
      <c r="AQ44" s="211">
        <f t="shared" si="9"/>
        <v>0</v>
      </c>
      <c r="AR44" s="212">
        <f t="shared" si="10"/>
        <v>0</v>
      </c>
      <c r="AS44" s="187" t="str">
        <f t="shared" si="11"/>
        <v>нет</v>
      </c>
      <c r="AT44" s="187" t="str">
        <f t="shared" si="12"/>
        <v>нет</v>
      </c>
      <c r="AU44" s="205" t="str">
        <f t="shared" si="13"/>
        <v>нет</v>
      </c>
      <c r="AV44" s="187" t="str">
        <f t="shared" si="14"/>
        <v>нет</v>
      </c>
      <c r="AW44" s="187" t="str">
        <f t="shared" si="15"/>
        <v>нет</v>
      </c>
      <c r="AX44" s="187" t="str">
        <f t="shared" si="16"/>
        <v>нет</v>
      </c>
      <c r="AY44" s="208" t="str">
        <f t="shared" si="17"/>
        <v>нет</v>
      </c>
      <c r="AZ44" s="186">
        <f t="shared" si="18"/>
        <v>1.0384615384615385</v>
      </c>
      <c r="BA44" s="204" t="str">
        <f t="shared" si="53"/>
        <v>Д</v>
      </c>
      <c r="BB44" s="276"/>
      <c r="BC44" s="186">
        <f t="shared" si="20"/>
        <v>0.46666666666666673</v>
      </c>
      <c r="BD44" s="186">
        <f t="shared" si="21"/>
        <v>0.48148148148148145</v>
      </c>
      <c r="BE44" s="186">
        <f t="shared" si="22"/>
        <v>9.0909090909090912E-2</v>
      </c>
      <c r="BF44" s="186">
        <f t="shared" si="23"/>
        <v>0.17499999999999999</v>
      </c>
      <c r="BG44" s="186">
        <f t="shared" si="24"/>
        <v>6.4999999999999988E-2</v>
      </c>
      <c r="BH44" s="186">
        <f t="shared" si="25"/>
        <v>1.0384615384615385</v>
      </c>
      <c r="BI44" s="186">
        <f t="shared" si="26"/>
        <v>0.59615384615384615</v>
      </c>
      <c r="BJ44" s="276"/>
      <c r="BK44" s="186">
        <f t="shared" si="42"/>
        <v>1.1666666666666667</v>
      </c>
      <c r="BL44" s="186">
        <f t="shared" si="43"/>
        <v>0.8666666666666667</v>
      </c>
      <c r="BM44" s="186">
        <f t="shared" si="44"/>
        <v>0.27272727272727271</v>
      </c>
      <c r="BN44" s="186">
        <f t="shared" si="45"/>
        <v>0.11666666666666667</v>
      </c>
      <c r="BO44" s="186">
        <f t="shared" si="46"/>
        <v>6.4999999999999988E-2</v>
      </c>
      <c r="BP44" s="186">
        <f t="shared" si="47"/>
        <v>1.8</v>
      </c>
      <c r="BQ44" s="186">
        <f t="shared" si="48"/>
        <v>0.68888888888888888</v>
      </c>
      <c r="BR44" s="276"/>
      <c r="BS44" s="202">
        <f t="shared" si="27"/>
        <v>1.0384615384615385</v>
      </c>
      <c r="BT44" s="206">
        <f t="shared" si="28"/>
        <v>1.9666666666666668</v>
      </c>
      <c r="BU44" s="187">
        <f t="shared" si="29"/>
        <v>7.0321428571428584</v>
      </c>
      <c r="BV44" s="203">
        <f t="shared" si="30"/>
        <v>1.9666666666666668</v>
      </c>
      <c r="BW44" s="276"/>
      <c r="BX44" s="258">
        <f t="shared" si="31"/>
        <v>27</v>
      </c>
      <c r="BY44" s="172">
        <f t="shared" si="32"/>
        <v>0</v>
      </c>
      <c r="BZ44" s="176">
        <f t="shared" si="33"/>
        <v>0</v>
      </c>
      <c r="CA44" s="173" t="str">
        <f t="shared" si="49"/>
        <v xml:space="preserve">Зона </v>
      </c>
      <c r="CB44" s="186" t="str">
        <f t="shared" si="34"/>
        <v>Д</v>
      </c>
      <c r="CC44" s="176" t="str">
        <f t="shared" si="35"/>
        <v>Д</v>
      </c>
      <c r="CD44" s="176" t="str">
        <f t="shared" si="54"/>
        <v>Д</v>
      </c>
      <c r="CE44" s="239" t="str">
        <f t="shared" si="37"/>
        <v>Допустимый</v>
      </c>
      <c r="CF44" s="249"/>
      <c r="CG44" s="249"/>
      <c r="CH44" s="249"/>
      <c r="CI44" s="249"/>
      <c r="CJ44" s="170" t="str">
        <f t="shared" si="50"/>
        <v>0</v>
      </c>
    </row>
    <row r="45" spans="1:93" ht="16.5" thickBot="1" x14ac:dyDescent="0.3">
      <c r="C45" s="175">
        <f>IF(ISBLANK(D45),"",COUNTA($D$18:D45))</f>
        <v>28</v>
      </c>
      <c r="D45" s="174">
        <f>Акт!C28</f>
        <v>0</v>
      </c>
      <c r="E45" s="445">
        <f>Акт!B28</f>
        <v>0</v>
      </c>
      <c r="F45" s="172">
        <f>VLOOKUP("pH солевой вытяжки",Исх.данные!$C$399:$F$409,4,FALSE)</f>
        <v>6.2</v>
      </c>
      <c r="G45" s="172">
        <f>IF(OR(VLOOKUP("Кадмий",Исх.данные!$C$399:$F$409,4,FALSE)="менее 0.05",VLOOKUP("Кадмий",Исх.данные!$C$399:$F$409,4,FALSE)="менее 0.05 "),"0.05",VLOOKUP("Кадмий",Исх.данные!$C$399:$F$409,4,FALSE))</f>
        <v>0.14000000000000001</v>
      </c>
      <c r="H45" s="172" t="str">
        <f>IF(OR(VLOOKUP("Медь",Исх.данные!$C$399:$F$409,4,FALSE)="менее 0.1",VLOOKUP("Медь",Исх.данные!$C$399:$F$409,4,FALSE)="менее 0.1 "),"0.1",VLOOKUP("Медь",Исх.данные!$C$399:$F$409,4,FALSE))</f>
        <v>13</v>
      </c>
      <c r="I45" s="172">
        <f>IF(OR(VLOOKUP("Мышьяк",Исх.данные!$C$399:$F$409,4,FALSE)="менее 0.1",VLOOKUP("Мышьяк",Исх.данные!$C$399:$F$409,4,FALSE)="менее 0.1 "),"0.1",VLOOKUP("Мышьяк",Исх.данные!$C$399:$F$409,4,FALSE))</f>
        <v>0.6</v>
      </c>
      <c r="J45" s="172">
        <f>VLOOKUP("Никель",Исх.данные!$C$399:$F$409,4,FALSE)</f>
        <v>3.5</v>
      </c>
      <c r="K45" s="172" t="str">
        <f>IF(OR(VLOOKUP("Ртуть",Исх.данные!$C$399:$F$409,4,FALSE)="менее 0.005",VLOOKUP("Ртуть",Исх.данные!$C$399:$F$409,4,FALSE)="менее 0.005 "),"0.005",VLOOKUP("Ртуть",Исх.данные!$C$399:$F$409,4,FALSE))</f>
        <v>0,0065</v>
      </c>
      <c r="L45" s="172" t="str">
        <f>VLOOKUP("Свинец",Исх.данные!$C$399:$F$409,4,FALSE)</f>
        <v>27</v>
      </c>
      <c r="M45" s="172" t="str">
        <f>VLOOKUP("Цинк",Исх.данные!$C$399:$F$409,4,FALSE)</f>
        <v>31</v>
      </c>
      <c r="N45" s="152" t="str">
        <f>Акт!I28</f>
        <v/>
      </c>
      <c r="O45" s="382">
        <f>VLOOKUP("pH солевой вытяжки",Исх.данные!$C$399:$F$409,4,FALSE)</f>
        <v>6.2</v>
      </c>
      <c r="P45" s="212"/>
      <c r="Q45" s="170">
        <f t="shared" si="0"/>
        <v>28</v>
      </c>
      <c r="R45" s="170"/>
      <c r="S45" s="175">
        <f t="shared" si="1"/>
        <v>0</v>
      </c>
      <c r="T45" s="176">
        <f t="shared" si="2"/>
        <v>0</v>
      </c>
      <c r="U45" s="176" t="str">
        <f>IF(OR(AA45="более 2,0",AA45="более 2,0 "),"&gt;2",IF(OR(AA45="менее 0.005",AA45="менее 0.005 "),"&lt;0.005",CONCATENATE(AA45,AB45)))</f>
        <v>0,005---</v>
      </c>
      <c r="V45" s="186" t="str">
        <f t="shared" si="38"/>
        <v>нет</v>
      </c>
      <c r="W45" s="174" t="str">
        <f t="shared" si="39"/>
        <v>Д</v>
      </c>
      <c r="X45" s="223"/>
      <c r="Y45" s="170"/>
      <c r="Z45" s="170"/>
      <c r="AA45" s="172">
        <f>VLOOKUP("Бенз(а)пирен",Исх.данные!$C$399:$F$409,4,FALSE)</f>
        <v>5.0000000000000001E-3</v>
      </c>
      <c r="AB45" s="172" t="str">
        <f>VLOOKUP("Бенз(а)пирен",Исх.данные!$C$399:$H$409,5,FALSE)</f>
        <v>---</v>
      </c>
      <c r="AC45" s="170">
        <f t="shared" si="4"/>
        <v>28</v>
      </c>
      <c r="AD45" s="170"/>
      <c r="AE45" s="175">
        <f t="shared" si="5"/>
        <v>0</v>
      </c>
      <c r="AF45" s="176">
        <f t="shared" si="6"/>
        <v>0</v>
      </c>
      <c r="AG45" s="176" t="str">
        <f>IF(OR(AL45="менее 50.0",AL45="менее 50.0 "),"&lt;50",CONCATENATE(AL45,AM45))</f>
        <v>50---</v>
      </c>
      <c r="AH45" s="187" t="str">
        <f t="shared" si="40"/>
        <v>нет</v>
      </c>
      <c r="AI45" s="238" t="str">
        <f t="shared" si="41"/>
        <v>Допустимый</v>
      </c>
      <c r="AJ45" s="170"/>
      <c r="AK45" s="170"/>
      <c r="AL45" s="172">
        <f>VLOOKUP("Нефтепродукты",Исх.данные!$C$399:$F$409,4,FALSE)</f>
        <v>50</v>
      </c>
      <c r="AM45" s="172" t="str">
        <f>VLOOKUP("Нефтепродукты",Исх.данные!$C$399:$H$409,5,FALSE)</f>
        <v>---</v>
      </c>
      <c r="AN45" s="170"/>
      <c r="AO45" s="170">
        <f t="shared" si="8"/>
        <v>28</v>
      </c>
      <c r="AP45" s="170"/>
      <c r="AQ45" s="211">
        <f t="shared" si="9"/>
        <v>0</v>
      </c>
      <c r="AR45" s="212">
        <f t="shared" si="10"/>
        <v>0</v>
      </c>
      <c r="AS45" s="187" t="str">
        <f t="shared" si="11"/>
        <v>нет</v>
      </c>
      <c r="AT45" s="187" t="str">
        <f t="shared" si="12"/>
        <v>нет</v>
      </c>
      <c r="AU45" s="205" t="str">
        <f t="shared" si="13"/>
        <v>нет</v>
      </c>
      <c r="AV45" s="187" t="str">
        <f t="shared" si="14"/>
        <v>нет</v>
      </c>
      <c r="AW45" s="187" t="str">
        <f t="shared" si="15"/>
        <v>нет</v>
      </c>
      <c r="AX45" s="187" t="str">
        <f t="shared" si="16"/>
        <v>нет</v>
      </c>
      <c r="AY45" s="208" t="str">
        <f t="shared" si="17"/>
        <v>нет</v>
      </c>
      <c r="AZ45" s="186">
        <f t="shared" si="18"/>
        <v>1.0384615384615385</v>
      </c>
      <c r="BA45" s="204" t="str">
        <f t="shared" si="53"/>
        <v>Д</v>
      </c>
      <c r="BB45" s="276"/>
      <c r="BC45" s="186">
        <f t="shared" si="20"/>
        <v>0.46666666666666673</v>
      </c>
      <c r="BD45" s="186">
        <f t="shared" si="21"/>
        <v>0.48148148148148145</v>
      </c>
      <c r="BE45" s="186">
        <f t="shared" si="22"/>
        <v>9.0909090909090912E-2</v>
      </c>
      <c r="BF45" s="186">
        <f t="shared" si="23"/>
        <v>0.17499999999999999</v>
      </c>
      <c r="BG45" s="186">
        <f t="shared" si="24"/>
        <v>6.4999999999999988E-2</v>
      </c>
      <c r="BH45" s="186">
        <f t="shared" si="25"/>
        <v>1.0384615384615385</v>
      </c>
      <c r="BI45" s="186">
        <f t="shared" si="26"/>
        <v>0.59615384615384615</v>
      </c>
      <c r="BJ45" s="276"/>
      <c r="BK45" s="186">
        <f t="shared" si="42"/>
        <v>1.1666666666666667</v>
      </c>
      <c r="BL45" s="186">
        <f t="shared" si="43"/>
        <v>0.8666666666666667</v>
      </c>
      <c r="BM45" s="186">
        <f t="shared" si="44"/>
        <v>0.27272727272727271</v>
      </c>
      <c r="BN45" s="186">
        <f t="shared" si="45"/>
        <v>0.11666666666666667</v>
      </c>
      <c r="BO45" s="186">
        <f t="shared" si="46"/>
        <v>6.4999999999999988E-2</v>
      </c>
      <c r="BP45" s="186">
        <f t="shared" si="47"/>
        <v>1.8</v>
      </c>
      <c r="BQ45" s="186">
        <f t="shared" si="48"/>
        <v>0.68888888888888888</v>
      </c>
      <c r="BR45" s="276"/>
      <c r="BS45" s="202">
        <f t="shared" si="27"/>
        <v>1.0384615384615385</v>
      </c>
      <c r="BT45" s="206">
        <f t="shared" si="28"/>
        <v>1.9666666666666668</v>
      </c>
      <c r="BU45" s="187">
        <f t="shared" si="29"/>
        <v>7.0321428571428584</v>
      </c>
      <c r="BV45" s="203">
        <f t="shared" si="30"/>
        <v>1.9666666666666668</v>
      </c>
      <c r="BW45" s="276"/>
      <c r="BX45" s="258">
        <f t="shared" si="31"/>
        <v>28</v>
      </c>
      <c r="BY45" s="172">
        <f t="shared" si="32"/>
        <v>0</v>
      </c>
      <c r="BZ45" s="176">
        <f t="shared" si="33"/>
        <v>0</v>
      </c>
      <c r="CA45" s="173" t="str">
        <f t="shared" si="49"/>
        <v xml:space="preserve">Зона </v>
      </c>
      <c r="CB45" s="186" t="str">
        <f t="shared" si="34"/>
        <v>Д</v>
      </c>
      <c r="CC45" s="176" t="str">
        <f t="shared" si="35"/>
        <v>Д</v>
      </c>
      <c r="CD45" s="176" t="str">
        <f t="shared" si="54"/>
        <v>Д</v>
      </c>
      <c r="CE45" s="239" t="str">
        <f t="shared" si="37"/>
        <v>Допустимый</v>
      </c>
      <c r="CF45" s="249"/>
      <c r="CG45" s="249"/>
      <c r="CH45" s="249"/>
      <c r="CI45" s="249"/>
      <c r="CJ45" s="170" t="str">
        <f t="shared" si="50"/>
        <v>0</v>
      </c>
    </row>
    <row r="46" spans="1:93" ht="16.5" thickBot="1" x14ac:dyDescent="0.3">
      <c r="C46" s="175">
        <f>IF(ISBLANK(D46),"",COUNTA($D$18:D46))</f>
        <v>29</v>
      </c>
      <c r="D46" s="174">
        <f>Акт!C29</f>
        <v>0</v>
      </c>
      <c r="E46" s="445">
        <f>Акт!B29</f>
        <v>0</v>
      </c>
      <c r="F46" s="172">
        <f>VLOOKUP("pH солевой вытяжки",Исх.данные!$C$413:$F$423,4,FALSE)</f>
        <v>6.2</v>
      </c>
      <c r="G46" s="172">
        <f>IF(OR(VLOOKUP("Кадмий",Исх.данные!$C$413:$F$423,4,FALSE)="менее 0.05",VLOOKUP("Кадмий",Исх.данные!$C$413:$F$423,4,FALSE)="менее 0.05 "),"0.05",VLOOKUP("Кадмий",Исх.данные!$C$413:$F$423,4,FALSE))</f>
        <v>0.14000000000000001</v>
      </c>
      <c r="H46" s="172" t="str">
        <f>IF(OR(VLOOKUP("Медь",Исх.данные!$C$413:$F$423,4,FALSE)="менее 0.1",VLOOKUP("Медь",Исх.данные!$C$413:$F$423,4,FALSE)="менее 0.1 "),"0.1",VLOOKUP("Медь",Исх.данные!$C$413:$F$423,4,FALSE))</f>
        <v>13</v>
      </c>
      <c r="I46" s="172">
        <f>IF(OR(VLOOKUP("Мышьяк",Исх.данные!$C$413:$F$423,4,FALSE)="менее 0.1",VLOOKUP("Мышьяк",Исх.данные!$C$413:$F$423,4,FALSE)="менее 0.1 "),"0.1",VLOOKUP("Мышьяк",Исх.данные!$C$413:$F$423,4,FALSE))</f>
        <v>0.6</v>
      </c>
      <c r="J46" s="172">
        <f>VLOOKUP("Никель",Исх.данные!$C$413:$F$423,4,FALSE)</f>
        <v>3.5</v>
      </c>
      <c r="K46" s="172" t="str">
        <f>IF(OR(VLOOKUP("Ртуть",Исх.данные!$C$413:$F$423,4,FALSE)="менее 0.005",VLOOKUP("Ртуть",Исх.данные!$C$413:$F$423,4,FALSE)="менее 0.005 "),"0.005",VLOOKUP("Ртуть",Исх.данные!$C$413:$F$423,4,FALSE))</f>
        <v>0,0065</v>
      </c>
      <c r="L46" s="172" t="str">
        <f>VLOOKUP("Свинец",Исх.данные!$C$413:$F$423,4,FALSE)</f>
        <v>27</v>
      </c>
      <c r="M46" s="172" t="str">
        <f>VLOOKUP("Цинк",Исх.данные!$C$413:$F$423,4,FALSE)</f>
        <v>31</v>
      </c>
      <c r="N46" s="152" t="str">
        <f>Акт!I29</f>
        <v/>
      </c>
      <c r="O46" s="382">
        <f>VLOOKUP("pH солевой вытяжки",Исх.данные!$C$413:$F$423,4,FALSE)</f>
        <v>6.2</v>
      </c>
      <c r="P46" s="212"/>
      <c r="Q46" s="170">
        <f t="shared" si="0"/>
        <v>29</v>
      </c>
      <c r="R46" s="170"/>
      <c r="S46" s="175">
        <f t="shared" si="1"/>
        <v>0</v>
      </c>
      <c r="T46" s="176">
        <f t="shared" si="2"/>
        <v>0</v>
      </c>
      <c r="U46" s="176" t="str">
        <f>IF(OR(AA46="более 2,0",AA46="более 2,0 "),"&gt;2",IF(OR(AA46="менее 0.005",AA46="менее 0.005 "),"&lt;0.005",CONCATENATE(AA46,AB46)))</f>
        <v>0,005---</v>
      </c>
      <c r="V46" s="186" t="str">
        <f t="shared" si="38"/>
        <v>нет</v>
      </c>
      <c r="W46" s="174" t="str">
        <f t="shared" si="39"/>
        <v>Д</v>
      </c>
      <c r="X46" s="223"/>
      <c r="Y46" s="170"/>
      <c r="Z46" s="170"/>
      <c r="AA46" s="172">
        <f>VLOOKUP("Бенз(а)пирен",Исх.данные!$C$413:$F$423,4,FALSE)</f>
        <v>5.0000000000000001E-3</v>
      </c>
      <c r="AB46" s="172" t="str">
        <f>VLOOKUP("Бенз(а)пирен",Исх.данные!$C$413:$H$423,5,FALSE)</f>
        <v>---</v>
      </c>
      <c r="AC46" s="170">
        <f t="shared" si="4"/>
        <v>29</v>
      </c>
      <c r="AD46" s="170"/>
      <c r="AE46" s="175">
        <f t="shared" si="5"/>
        <v>0</v>
      </c>
      <c r="AF46" s="176">
        <f t="shared" si="6"/>
        <v>0</v>
      </c>
      <c r="AG46" s="176" t="str">
        <f>IF(OR(AL46="менее 50.0",AL46="менее 50.0 "),"&lt;50",CONCATENATE(AL46,AM46))</f>
        <v>50---</v>
      </c>
      <c r="AH46" s="187" t="str">
        <f t="shared" si="40"/>
        <v>нет</v>
      </c>
      <c r="AI46" s="238" t="str">
        <f t="shared" si="41"/>
        <v>Допустимый</v>
      </c>
      <c r="AJ46" s="170"/>
      <c r="AK46" s="170"/>
      <c r="AL46" s="172">
        <f>VLOOKUP("Нефтепродукты",Исх.данные!$C$413:$F$423,4,FALSE)</f>
        <v>50</v>
      </c>
      <c r="AM46" s="172" t="str">
        <f>VLOOKUP("Нефтепродукты",Исх.данные!$C$413:$H$423,5,FALSE)</f>
        <v>---</v>
      </c>
      <c r="AN46" s="170"/>
      <c r="AO46" s="170">
        <f t="shared" si="8"/>
        <v>29</v>
      </c>
      <c r="AP46" s="170"/>
      <c r="AQ46" s="211">
        <f t="shared" si="9"/>
        <v>0</v>
      </c>
      <c r="AR46" s="212">
        <f t="shared" si="10"/>
        <v>0</v>
      </c>
      <c r="AS46" s="187" t="str">
        <f t="shared" si="11"/>
        <v>нет</v>
      </c>
      <c r="AT46" s="187" t="str">
        <f t="shared" si="12"/>
        <v>нет</v>
      </c>
      <c r="AU46" s="205" t="str">
        <f t="shared" si="13"/>
        <v>нет</v>
      </c>
      <c r="AV46" s="187" t="str">
        <f t="shared" si="14"/>
        <v>нет</v>
      </c>
      <c r="AW46" s="187" t="str">
        <f t="shared" si="15"/>
        <v>нет</v>
      </c>
      <c r="AX46" s="187" t="str">
        <f t="shared" si="16"/>
        <v>нет</v>
      </c>
      <c r="AY46" s="208" t="str">
        <f t="shared" si="17"/>
        <v>нет</v>
      </c>
      <c r="AZ46" s="186">
        <f t="shared" si="18"/>
        <v>1.0384615384615385</v>
      </c>
      <c r="BA46" s="204" t="str">
        <f t="shared" si="53"/>
        <v>Д</v>
      </c>
      <c r="BB46" s="276"/>
      <c r="BC46" s="186">
        <f t="shared" si="20"/>
        <v>0.46666666666666673</v>
      </c>
      <c r="BD46" s="186">
        <f t="shared" si="21"/>
        <v>0.48148148148148145</v>
      </c>
      <c r="BE46" s="186">
        <f t="shared" si="22"/>
        <v>9.0909090909090912E-2</v>
      </c>
      <c r="BF46" s="186">
        <f t="shared" si="23"/>
        <v>0.17499999999999999</v>
      </c>
      <c r="BG46" s="186">
        <f t="shared" si="24"/>
        <v>6.4999999999999988E-2</v>
      </c>
      <c r="BH46" s="186">
        <f t="shared" si="25"/>
        <v>1.0384615384615385</v>
      </c>
      <c r="BI46" s="186">
        <f t="shared" si="26"/>
        <v>0.59615384615384615</v>
      </c>
      <c r="BJ46" s="276"/>
      <c r="BK46" s="186">
        <f t="shared" si="42"/>
        <v>1.1666666666666667</v>
      </c>
      <c r="BL46" s="186">
        <f t="shared" si="43"/>
        <v>0.8666666666666667</v>
      </c>
      <c r="BM46" s="186">
        <f t="shared" si="44"/>
        <v>0.27272727272727271</v>
      </c>
      <c r="BN46" s="186">
        <f t="shared" si="45"/>
        <v>0.11666666666666667</v>
      </c>
      <c r="BO46" s="186">
        <f t="shared" si="46"/>
        <v>6.4999999999999988E-2</v>
      </c>
      <c r="BP46" s="186">
        <f t="shared" si="47"/>
        <v>1.8</v>
      </c>
      <c r="BQ46" s="186">
        <f t="shared" si="48"/>
        <v>0.68888888888888888</v>
      </c>
      <c r="BR46" s="276"/>
      <c r="BS46" s="202">
        <f t="shared" si="27"/>
        <v>1.0384615384615385</v>
      </c>
      <c r="BT46" s="206">
        <f t="shared" si="28"/>
        <v>1.9666666666666668</v>
      </c>
      <c r="BU46" s="187">
        <f t="shared" si="29"/>
        <v>7.0321428571428584</v>
      </c>
      <c r="BV46" s="203">
        <f t="shared" si="30"/>
        <v>1.9666666666666668</v>
      </c>
      <c r="BW46" s="276"/>
      <c r="BX46" s="258">
        <f t="shared" si="31"/>
        <v>29</v>
      </c>
      <c r="BY46" s="172">
        <f t="shared" si="32"/>
        <v>0</v>
      </c>
      <c r="BZ46" s="176">
        <f t="shared" si="33"/>
        <v>0</v>
      </c>
      <c r="CA46" s="173" t="str">
        <f t="shared" si="49"/>
        <v xml:space="preserve">Зона </v>
      </c>
      <c r="CB46" s="186" t="str">
        <f t="shared" si="34"/>
        <v>Д</v>
      </c>
      <c r="CC46" s="176" t="str">
        <f t="shared" si="35"/>
        <v>Д</v>
      </c>
      <c r="CD46" s="176" t="str">
        <f t="shared" si="54"/>
        <v>Д</v>
      </c>
      <c r="CE46" s="239" t="str">
        <f t="shared" si="37"/>
        <v>Допустимый</v>
      </c>
      <c r="CF46" s="249"/>
      <c r="CG46" s="249"/>
      <c r="CH46" s="249"/>
      <c r="CI46" s="249"/>
      <c r="CJ46" s="170" t="str">
        <f t="shared" si="50"/>
        <v>0</v>
      </c>
    </row>
    <row r="47" spans="1:93" ht="16.5" thickBot="1" x14ac:dyDescent="0.3">
      <c r="C47" s="175">
        <f>IF(ISBLANK(D47),"",COUNTA($D$18:D47))</f>
        <v>30</v>
      </c>
      <c r="D47" s="174">
        <f>Акт!C30</f>
        <v>0</v>
      </c>
      <c r="E47" s="445">
        <f>Акт!B30</f>
        <v>0</v>
      </c>
      <c r="F47" s="172">
        <f>VLOOKUP("pH солевой вытяжки",Исх.данные!$C$427:$F$437,4,FALSE)</f>
        <v>6.2</v>
      </c>
      <c r="G47" s="172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47" s="172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47" s="172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47" s="172">
        <f>VLOOKUP("Никель",Исх.данные!$C$427:$F$437,4,FALSE)</f>
        <v>3.5</v>
      </c>
      <c r="K47" s="172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47" s="172" t="str">
        <f>VLOOKUP("Свинец",Исх.данные!$C$427:$F$437,4,FALSE)</f>
        <v>27</v>
      </c>
      <c r="M47" s="172" t="str">
        <f>VLOOKUP("Цинк",Исх.данные!$C$427:$F$437,4,FALSE)</f>
        <v>31</v>
      </c>
      <c r="N47" s="152" t="str">
        <f>Акт!I30</f>
        <v/>
      </c>
      <c r="O47" s="382">
        <f>VLOOKUP("pH солевой вытяжки",Исх.данные!$C$427:$F$437,4,FALSE)</f>
        <v>6.2</v>
      </c>
      <c r="P47" s="212"/>
      <c r="Q47" s="170">
        <f t="shared" si="0"/>
        <v>30</v>
      </c>
      <c r="R47" s="170"/>
      <c r="S47" s="175">
        <f t="shared" si="1"/>
        <v>0</v>
      </c>
      <c r="T47" s="176">
        <f t="shared" si="2"/>
        <v>0</v>
      </c>
      <c r="U47" s="176" t="str">
        <f t="shared" ref="U47" si="55">IF(OR(AA47="более 2,0",AA47="более 2,0 "),"&gt;2",IF(OR(AA47="менее 0.005",AA47="менее 0.005 "),"&lt;0.005",CONCATENATE(AA47,AB47)))</f>
        <v>0,005---</v>
      </c>
      <c r="V47" s="186" t="str">
        <f t="shared" si="38"/>
        <v>нет</v>
      </c>
      <c r="W47" s="174" t="str">
        <f t="shared" si="39"/>
        <v>Д</v>
      </c>
      <c r="X47" s="223"/>
      <c r="Y47" s="170"/>
      <c r="Z47" s="170"/>
      <c r="AA47" s="172">
        <f>VLOOKUP("Бенз(а)пирен",Исх.данные!$C$427:$F$437,4,FALSE)</f>
        <v>5.0000000000000001E-3</v>
      </c>
      <c r="AB47" s="172" t="str">
        <f>VLOOKUP("Бенз(а)пирен",Исх.данные!$C$427:$H$437,5,FALSE)</f>
        <v>---</v>
      </c>
      <c r="AC47" s="170">
        <f t="shared" si="4"/>
        <v>30</v>
      </c>
      <c r="AD47" s="170"/>
      <c r="AE47" s="175">
        <f t="shared" si="5"/>
        <v>0</v>
      </c>
      <c r="AF47" s="176">
        <f t="shared" si="6"/>
        <v>0</v>
      </c>
      <c r="AG47" s="176" t="str">
        <f t="shared" ref="AG47" si="56">IF(OR(AL47="менее 50.0",AL47="менее 50.0 "),"&lt;50",CONCATENATE(AL47,AM47))</f>
        <v>50---</v>
      </c>
      <c r="AH47" s="187" t="str">
        <f t="shared" si="40"/>
        <v>нет</v>
      </c>
      <c r="AI47" s="238" t="str">
        <f t="shared" si="41"/>
        <v>Допустимый</v>
      </c>
      <c r="AJ47" s="170"/>
      <c r="AK47" s="170"/>
      <c r="AL47" s="172">
        <f>VLOOKUP("Нефтепродукты",Исх.данные!$C$427:$F$437,4,FALSE)</f>
        <v>50</v>
      </c>
      <c r="AM47" s="172" t="str">
        <f>VLOOKUP("Нефтепродукты",Исх.данные!$C$427:$H$437,5,FALSE)</f>
        <v>---</v>
      </c>
      <c r="AN47" s="170"/>
      <c r="AO47" s="170">
        <f t="shared" si="8"/>
        <v>30</v>
      </c>
      <c r="AP47" s="170"/>
      <c r="AQ47" s="211">
        <f t="shared" si="9"/>
        <v>0</v>
      </c>
      <c r="AR47" s="212">
        <f t="shared" si="10"/>
        <v>0</v>
      </c>
      <c r="AS47" s="187" t="str">
        <f t="shared" si="11"/>
        <v>нет</v>
      </c>
      <c r="AT47" s="187" t="str">
        <f t="shared" si="12"/>
        <v>нет</v>
      </c>
      <c r="AU47" s="205" t="str">
        <f t="shared" si="13"/>
        <v>нет</v>
      </c>
      <c r="AV47" s="187" t="str">
        <f t="shared" si="14"/>
        <v>нет</v>
      </c>
      <c r="AW47" s="187" t="str">
        <f t="shared" si="15"/>
        <v>нет</v>
      </c>
      <c r="AX47" s="187" t="str">
        <f t="shared" si="16"/>
        <v>нет</v>
      </c>
      <c r="AY47" s="208" t="str">
        <f t="shared" si="17"/>
        <v>нет</v>
      </c>
      <c r="AZ47" s="186">
        <f t="shared" si="18"/>
        <v>1.0384615384615385</v>
      </c>
      <c r="BA47" s="204" t="str">
        <f t="shared" ref="BA47" si="57">IF(AZ47="","",IF(AZ47&lt;16,$A$10,IF((AZ47&lt;=32),$A$11,IF((AZ47&lt;=128),$A$12,$A$13))))</f>
        <v>Д</v>
      </c>
      <c r="BB47" s="276"/>
      <c r="BC47" s="186">
        <f t="shared" si="20"/>
        <v>0.46666666666666673</v>
      </c>
      <c r="BD47" s="186">
        <f t="shared" si="21"/>
        <v>0.48148148148148145</v>
      </c>
      <c r="BE47" s="186">
        <f t="shared" si="22"/>
        <v>9.0909090909090912E-2</v>
      </c>
      <c r="BF47" s="186">
        <f t="shared" si="23"/>
        <v>0.17499999999999999</v>
      </c>
      <c r="BG47" s="186">
        <f t="shared" si="24"/>
        <v>6.4999999999999988E-2</v>
      </c>
      <c r="BH47" s="186">
        <f t="shared" si="25"/>
        <v>1.0384615384615385</v>
      </c>
      <c r="BI47" s="186">
        <f t="shared" si="26"/>
        <v>0.59615384615384615</v>
      </c>
      <c r="BJ47" s="276"/>
      <c r="BK47" s="186">
        <f t="shared" si="42"/>
        <v>1.1666666666666667</v>
      </c>
      <c r="BL47" s="186">
        <f t="shared" si="43"/>
        <v>0.8666666666666667</v>
      </c>
      <c r="BM47" s="186">
        <f t="shared" si="44"/>
        <v>0.27272727272727271</v>
      </c>
      <c r="BN47" s="186">
        <f t="shared" si="45"/>
        <v>0.11666666666666667</v>
      </c>
      <c r="BO47" s="186">
        <f t="shared" si="46"/>
        <v>6.4999999999999988E-2</v>
      </c>
      <c r="BP47" s="186">
        <f t="shared" si="47"/>
        <v>1.8</v>
      </c>
      <c r="BQ47" s="186">
        <f t="shared" si="48"/>
        <v>0.68888888888888888</v>
      </c>
      <c r="BR47" s="276"/>
      <c r="BS47" s="202">
        <f t="shared" si="27"/>
        <v>1.0384615384615385</v>
      </c>
      <c r="BT47" s="206">
        <f t="shared" si="28"/>
        <v>1.9666666666666668</v>
      </c>
      <c r="BU47" s="187">
        <f t="shared" si="29"/>
        <v>7.0321428571428584</v>
      </c>
      <c r="BV47" s="203">
        <f t="shared" si="30"/>
        <v>1.9666666666666668</v>
      </c>
      <c r="BW47" s="276"/>
      <c r="BX47" s="258">
        <f t="shared" si="31"/>
        <v>30</v>
      </c>
      <c r="BY47" s="172">
        <f t="shared" si="32"/>
        <v>0</v>
      </c>
      <c r="BZ47" s="176">
        <f t="shared" si="33"/>
        <v>0</v>
      </c>
      <c r="CA47" s="173" t="str">
        <f t="shared" si="49"/>
        <v xml:space="preserve">Зона </v>
      </c>
      <c r="CB47" s="186" t="str">
        <f t="shared" si="34"/>
        <v>Д</v>
      </c>
      <c r="CC47" s="176" t="str">
        <f t="shared" si="35"/>
        <v>Д</v>
      </c>
      <c r="CD47" s="176" t="str">
        <f t="shared" ref="CD47" si="58">IF(OR((CB47=$A$13),(CC47=$A$13)),$A$13,IF(OR((CB47=$A$12),(CC47=$A$12)),$A$12,IF(OR((CB47=$A$11),(CC47=$A$11)),$A$11,$A$10)))</f>
        <v>Д</v>
      </c>
      <c r="CE47" s="239" t="str">
        <f t="shared" ref="CE47" si="59">AI47</f>
        <v>Допустимый</v>
      </c>
      <c r="CF47" s="249"/>
      <c r="CG47" s="249"/>
      <c r="CH47" s="249"/>
      <c r="CI47" s="249"/>
      <c r="CJ47" s="170" t="str">
        <f t="shared" si="50"/>
        <v>0</v>
      </c>
    </row>
    <row r="48" spans="1:93" s="413" customFormat="1" ht="16.5" thickBot="1" x14ac:dyDescent="0.3">
      <c r="A48" s="408"/>
      <c r="B48" s="383"/>
      <c r="C48" s="177">
        <f>IF(ISBLANK(D48),"",COUNTA($D$18:D48))</f>
        <v>31</v>
      </c>
      <c r="D48" s="409" t="str">
        <f>RIGHT(Исх.данные!A441,7)</f>
        <v>31</v>
      </c>
      <c r="E48" s="445">
        <f>Акт!B31</f>
        <v>0</v>
      </c>
      <c r="F48" s="410" t="e">
        <f>VLOOKUP("pH солевой вытяжки",Исх.данные!$C$444:$F$453,4,FALSE)</f>
        <v>#N/A</v>
      </c>
      <c r="G48" s="410" t="e">
        <f>IF(OR(VLOOKUP("Кадмий",Исх.данные!$C$444:$F$453,4,FALSE)="менее 0.05",VLOOKUP("Кадмий",Исх.данные!$C$444:$F$453,4,FALSE)="менее 0.05 "),"0.05",VLOOKUP("Кадмий",Исх.данные!$C$444:$F$453,4,FALSE))</f>
        <v>#N/A</v>
      </c>
      <c r="H48" s="410" t="e">
        <f>IF(OR(VLOOKUP("Медь",Исх.данные!$C$444:$F$453,4,FALSE)="менее 0.1",VLOOKUP("Медь",Исх.данные!$C$444:$F$453,4,FALSE)="менее 0.1 "),"0.1",VLOOKUP("Медь",Исх.данные!$C$444:$F$453,4,FALSE))</f>
        <v>#N/A</v>
      </c>
      <c r="I48" s="410" t="e">
        <f>IF(OR(VLOOKUP("Мышьяк",Исх.данные!$C$444:$F$453,4,FALSE)="менее 0.1",VLOOKUP("Мышьяк",Исх.данные!$C$444:$F$453,4,FALSE)="менее 0.1 "),"0.1",VLOOKUP("Мышьяк",Исх.данные!$C$444:$F$453,4,FALSE))</f>
        <v>#N/A</v>
      </c>
      <c r="J48" s="410" t="e">
        <f>VLOOKUP("Никель",Исх.данные!$C$444:$F$453,4,FALSE)</f>
        <v>#N/A</v>
      </c>
      <c r="K48" s="410" t="e">
        <f>IF(OR(VLOOKUP("Ртуть",Исх.данные!$C$444:$F$453,4,FALSE)="менее 0.005",VLOOKUP("Ртуть",Исх.данные!$C$444:$F$453,4,FALSE)="менее 0.005 "),"0.005",VLOOKUP("Ртуть",Исх.данные!$C$444:$F$453,4,FALSE))</f>
        <v>#N/A</v>
      </c>
      <c r="L48" s="410" t="e">
        <f>VLOOKUP("Свинец",Исх.данные!$C$444:$F$453,4,FALSE)</f>
        <v>#N/A</v>
      </c>
      <c r="M48" s="410" t="e">
        <f>VLOOKUP("Цинк",Исх.данные!$C$444:$F$453,4,FALSE)</f>
        <v>#N/A</v>
      </c>
      <c r="N48" s="411" t="e">
        <f>VLOOKUP(D48,Акт!$C$1:$I$30,7,FALSE)</f>
        <v>#N/A</v>
      </c>
      <c r="O48" s="382" t="e">
        <f>VLOOKUP("pH солевой вытяжки",Исх.данные!$C$444:$F$453,4,FALSE)</f>
        <v>#N/A</v>
      </c>
      <c r="P48" s="412"/>
      <c r="Q48" s="245">
        <f t="shared" ref="Q48:Q78" si="60">C48</f>
        <v>31</v>
      </c>
      <c r="S48" s="177" t="str">
        <f t="shared" ref="S48:S111" si="61">D48</f>
        <v>31</v>
      </c>
      <c r="T48" s="249">
        <f t="shared" ref="T48:T111" si="62">E48</f>
        <v>0</v>
      </c>
      <c r="U48" s="249" t="str">
        <f t="shared" ref="U48:U111" si="63">IF(OR(AA48="более 2,0",AA48="более 2,0 "),"&gt;2",IF(OR(AA48="менее 0.005",AA48="менее 0.005 "),"&lt;0.005",CONCATENATE(AA48,AB48)))</f>
        <v>0.076 +/- 0,021</v>
      </c>
      <c r="V48" s="345">
        <f t="shared" ref="V48:V111" si="64">IFERROR(IF(OR(AA48="более 2.0 ",AA48="более 2.0"),"100",IF(IF(AA48="менее 0.005","нет",AA48/0.02)&gt;1,AA48/0.02,"нет")),"нет")</f>
        <v>3.8</v>
      </c>
      <c r="W48" s="384" t="str">
        <f t="shared" ref="W48:W111" si="65">IF(V48="нет",$A$10,IF(V48&lt;2,$A$10,IF(U48="&lt;0.005",$A$10,IF((V48&lt;=5),$A$12,$A$13))))</f>
        <v>О</v>
      </c>
      <c r="X48" s="414"/>
      <c r="Y48" s="245"/>
      <c r="Z48" s="245"/>
      <c r="AA48" s="410" t="str">
        <f>VLOOKUP("Бенз(а)пирен",Исх.данные!$C$444:$F$453,4,FALSE)</f>
        <v xml:space="preserve">0.076 </v>
      </c>
      <c r="AB48" s="410" t="str">
        <f>VLOOKUP("Бенз(а)пирен",Исх.данные!$C$444:$H$453,5,FALSE)</f>
        <v>+/- 0,021</v>
      </c>
      <c r="AC48" s="245">
        <f t="shared" ref="AC48:AC111" si="66">C48</f>
        <v>31</v>
      </c>
      <c r="AD48" s="245"/>
      <c r="AE48" s="177" t="str">
        <f t="shared" ref="AE48:AE111" si="67">D48</f>
        <v>31</v>
      </c>
      <c r="AF48" s="249">
        <f t="shared" ref="AF48:AF111" si="68">E48</f>
        <v>0</v>
      </c>
      <c r="AG48" s="249" t="str">
        <f t="shared" ref="AG48:AG111" si="69">IF(OR(AL48="менее 50.0",AL48="менее 50.0 "),"&lt;50",CONCATENATE(AL48,AM48))</f>
        <v>910 ---</v>
      </c>
      <c r="AH48" s="415" t="str">
        <f t="shared" ref="AH48:AH111" si="70">IFERROR(IF(IF(AL48="менее 50,0","нет",AL48/1000)&gt;1,AL48/1000,"нет"),"нет")</f>
        <v>нет</v>
      </c>
      <c r="AI48" s="384" t="str">
        <f t="shared" ref="AI48:AI111" si="71">IF(AH48="нет",$B$10,IF(AH48&lt;1,$B$10,IF((AH48&lt;=2),$B$11,IF((AH48&lt;=3),$B$12,IF((AH48&lt;=5),$B$13,$B$14)))))</f>
        <v>Допустимый</v>
      </c>
      <c r="AJ48" s="245"/>
      <c r="AK48" s="245"/>
      <c r="AL48" s="410" t="str">
        <f>VLOOKUP("Нефтепродукты",Исх.данные!$C$444:$F$453,4,FALSE)</f>
        <v xml:space="preserve">910 </v>
      </c>
      <c r="AM48" s="410" t="str">
        <f>VLOOKUP("Нефтепродукты",Исх.данные!$C$427:$H$437,5,FALSE)</f>
        <v>---</v>
      </c>
      <c r="AN48" s="245"/>
      <c r="AO48" s="245">
        <f t="shared" ref="AO48:AO111" si="72">C48</f>
        <v>31</v>
      </c>
      <c r="AP48" s="245"/>
      <c r="AQ48" s="416" t="str">
        <f t="shared" ref="AQ48:AQ111" si="73">D48</f>
        <v>31</v>
      </c>
      <c r="AR48" s="412">
        <f t="shared" ref="AR48:AR111" si="74">E48</f>
        <v>0</v>
      </c>
      <c r="AS48" s="415" t="str">
        <f t="shared" ref="AS48:AS111" si="75">IFERROR(IF((IF(N48="ПС",G48/$CA$4,IF(O48&lt;5.5,G48/$CA$5,G48/$CA$7)))&lt;=1,"нет",IF(N48="ПС",G48/$CA$4,IF(O48&lt;5.5,G48/$CA$5,G48/$CA$7))),"ошибка")</f>
        <v>ошибка</v>
      </c>
      <c r="AT48" s="415" t="str">
        <f t="shared" ref="AT48:AT111" si="76">IFERROR(IF((IF(N48="ПС",H48/$CD$4,IF(O48&lt;5.5,H48/$CD$5,H48/$CD$7)))&lt;=1,"нет",IF(N48="ПС",H48/$CD$4,IF(O48&lt;5.5,H48/$CD$5,H48/$CD$7))),"ошибка")</f>
        <v>ошибка</v>
      </c>
      <c r="AU48" s="417" t="str">
        <f t="shared" ref="AU48:AU111" si="77">IFERROR(IF((IF(N48="ПС",I48/$BZ$4,IF(O48&lt;5.5,I48/$BZ$5,I48/$BZ$7)))&lt;=1,"нет",IF(N48="ПС",I48/$BZ$4,IF(O48&lt;5.5,I48/$BZ$5,I48/$BZ$7))),"ошибка")</f>
        <v>ошибка</v>
      </c>
      <c r="AV48" s="415" t="str">
        <f t="shared" ref="AV48:AV111" si="78">IFERROR(IF((IF(N48="ПС",J48/$CK$4,IF(O48&lt;5.5,J48/$CK$5,J48/$CK$7)))&lt;=1,"нет",IF(N48="ПС",J48/$CK$4,IF(O48&lt;5.5,J48/$CK$5,J48/$CK$7))),"ошибка")</f>
        <v>ошибка</v>
      </c>
      <c r="AW48" s="415" t="str">
        <f t="shared" ref="AW48:AW111" si="79">IFERROR(IF(K48/$CE$3&lt;=1,"нет",K48/$CE$3),"ошибка")</f>
        <v>ошибка</v>
      </c>
      <c r="AX48" s="415" t="str">
        <f t="shared" ref="AX48:AX111" si="80">IFERROR(IF((IF(N48="ПС",L48/$CL$4,IF(O48&lt;5.5,L48/$CL$5,L48/$CL$7)))&lt;=1,"нет",IF(N48="ПС",L48/$CL$4,IF(O48&lt;5.5,L48/$CL$5,L48/$CL$7))),"ошибка")</f>
        <v>ошибка</v>
      </c>
      <c r="AY48" s="418" t="str">
        <f t="shared" ref="AY48:AY111" si="81">IFERROR(IF((IF(N48="ПС",M48/$CM$4,IF(O48&lt;5.5,M48/$CM$5,M48/$CM$7)))&lt;=1,"нет",IF(N48="ПС",M48/$CM$4,IF(O48&lt;5.5,M48/$CM$5,M48/$CM$7))),"ошибка")</f>
        <v>ошибка</v>
      </c>
      <c r="AZ48" s="345" t="e">
        <f t="shared" ref="AZ48:AZ111" si="82">IF($AZ$17=$BS$17,BS48,BT48)</f>
        <v>#N/A</v>
      </c>
      <c r="BA48" s="419" t="e">
        <f t="shared" ref="BA48:BA111" si="83">IF(AZ48="","",IF(AZ48&lt;16,$A$10,IF((AZ48&lt;=32),$A$11,IF((AZ48&lt;=128),$A$12,$A$13))))</f>
        <v>#N/A</v>
      </c>
      <c r="BB48" s="420"/>
      <c r="BC48" s="345" t="e">
        <f t="shared" ref="BC48:BC111" si="84">G48/$CA$11</f>
        <v>#N/A</v>
      </c>
      <c r="BD48" s="345" t="e">
        <f t="shared" ref="BD48:BD111" si="85">H48/$CD$11</f>
        <v>#N/A</v>
      </c>
      <c r="BE48" s="345" t="e">
        <f t="shared" ref="BE48:BE111" si="86">I48/$BZ$11</f>
        <v>#N/A</v>
      </c>
      <c r="BF48" s="345" t="e">
        <f t="shared" ref="BF48:BF111" si="87">J48/$CK$11</f>
        <v>#N/A</v>
      </c>
      <c r="BG48" s="345" t="e">
        <f t="shared" ref="BG48:BG111" si="88">K48/$CE$11</f>
        <v>#N/A</v>
      </c>
      <c r="BH48" s="345" t="e">
        <f t="shared" ref="BH48:BH111" si="89">L48/$CL$11</f>
        <v>#N/A</v>
      </c>
      <c r="BI48" s="345" t="e">
        <f t="shared" ref="BI48:BI111" si="90">M48/$CM$11</f>
        <v>#N/A</v>
      </c>
      <c r="BJ48" s="420"/>
      <c r="BK48" s="345" t="e">
        <f t="shared" si="42"/>
        <v>#N/A</v>
      </c>
      <c r="BL48" s="345" t="e">
        <f t="shared" si="43"/>
        <v>#N/A</v>
      </c>
      <c r="BM48" s="345" t="e">
        <f t="shared" si="44"/>
        <v>#N/A</v>
      </c>
      <c r="BN48" s="345" t="e">
        <f t="shared" si="45"/>
        <v>#N/A</v>
      </c>
      <c r="BO48" s="345" t="e">
        <f t="shared" si="46"/>
        <v>#N/A</v>
      </c>
      <c r="BP48" s="345" t="e">
        <f t="shared" si="47"/>
        <v>#N/A</v>
      </c>
      <c r="BQ48" s="345" t="e">
        <f t="shared" si="48"/>
        <v>#N/A</v>
      </c>
      <c r="BR48" s="420"/>
      <c r="BS48" s="421" t="e">
        <f t="shared" ref="BS48:BS111" si="91">IF(D48="","",(IF(G48/$CA$11&gt;=1,(G48/$CA$11)-1)+IF(H48/$CD$11&gt;=1,(H48/$CD$11)-1)+IF(I48/$BZ$11&gt;=1,(I48/$BZ$11)-1)+IF(J48/$CK$11&gt;=1,(J48/$CK$11)-1)+IF(L48/$CL$11&gt;=1,(L48/$CL$11)-1)+IF(K48/$CE$11&gt;=1,(K48/$CE$11)-1)+IF(M48/$CM$11&gt;=1,(M48/$CM$11)-1))+1)</f>
        <v>#N/A</v>
      </c>
      <c r="BT48" s="422" t="e">
        <f t="shared" ref="BT48:BT111" si="92">IF(BU48="","",IF(N48="ПС",BU48,BV48))</f>
        <v>#N/A</v>
      </c>
      <c r="BU48" s="415" t="e">
        <f t="shared" ref="BU48:BU111" si="93">IF(D48="","",(IF(G48/$CA$13&gt;=1,(G48/$CA$13)-1)+IF(H48/$CD$13&gt;=1,(H48/$CD$13)-1)+IF(I48/$BZ$13&gt;=1,(I48/$BZ$13)-1)+IF(J48/$CK$13&gt;=1,(J48/$CK$13)-1)+IF(L48/$CL$13&gt;=1,(L48/$CL$13)-1)+IF(K48/$CE$13&gt;=1,(K48/$CE$13)-1)+IF(M48/$CM$13&gt;=1,(M48/$CM$13)-1))+1)</f>
        <v>#N/A</v>
      </c>
      <c r="BV48" s="423" t="e">
        <f t="shared" ref="BV48:BV111" si="94">IF(D48="","",(IF(G48/$CA$14&gt;=1,(G48/$CA$14)-1)+IF(H48/$CD$14&gt;=1,(H48/$CD$14)-1)+IF(I48/$BZ$14&gt;=1,(I48/$BZ$14)-1)+IF(J48/$CK$14&gt;=1,(J48/$CK$14)-1)+IF(L48/$CL$14&gt;=1,(L48/$CL$14)-1)+IF(K48/$CE$14&gt;=1,(K48/$CE$14)-1)+IF(M48/$CM$14&gt;=1,(M48/$CM$14)-1))+1)</f>
        <v>#N/A</v>
      </c>
      <c r="BY48" s="410" t="s">
        <v>164</v>
      </c>
      <c r="BZ48" s="424"/>
      <c r="CA48" s="424" t="str">
        <f>CONCATENATE("Зона"," ",MID(BY48,2,1))</f>
        <v>Зона 1</v>
      </c>
    </row>
    <row r="49" spans="1:79" s="413" customFormat="1" ht="16.5" thickBot="1" x14ac:dyDescent="0.3">
      <c r="A49" s="408"/>
      <c r="B49" s="286"/>
      <c r="C49" s="177">
        <f>IF(ISBLANK(D49),"",COUNTA($D$18:D49))</f>
        <v>32</v>
      </c>
      <c r="D49" s="409" t="str">
        <f>RIGHT(Исх.данные!A455,7)</f>
        <v>32</v>
      </c>
      <c r="E49" s="445">
        <f>Акт!B32</f>
        <v>0</v>
      </c>
      <c r="F49" s="410" t="e">
        <f>VLOOKUP("pH солевой вытяжки",Исх.данные!$C$458:$F$467,4,FALSE)</f>
        <v>#N/A</v>
      </c>
      <c r="G49" s="410">
        <f>IF(OR(VLOOKUP("Кадмий",Исх.данные!$C$458:$F$467,4,FALSE)="менее 0.05",VLOOKUP("Кадмий",Исх.данные!$C$458:$F$467,4,FALSE)="менее 0.05 "),"0.05",VLOOKUP("Кадмий",Исх.данные!$C$458:$F$467,4,FALSE))</f>
        <v>0</v>
      </c>
      <c r="H49" s="410">
        <f>IF(OR(VLOOKUP("Медь",Исх.данные!$C$458:$F$467,4,FALSE)="менее 0.1",VLOOKUP("Медь",Исх.данные!$C$458:$F$467,4,FALSE)="менее 0.1 "),"0.1",VLOOKUP("Медь",Исх.данные!$C$458:$F$467,4,FALSE))</f>
        <v>0</v>
      </c>
      <c r="I49" s="410">
        <f>IF(OR(VLOOKUP("Мышьяк",Исх.данные!$C$458:$F$467,4,FALSE)="менее 0.1",VLOOKUP("Мышьяк",Исх.данные!$C$458:$F$467,4,FALSE)="менее 0.1 "),"0.1",VLOOKUP("Мышьяк",Исх.данные!$C$458:$F$467,4,FALSE))</f>
        <v>0</v>
      </c>
      <c r="J49" s="410">
        <f>VLOOKUP("Никель",Исх.данные!$C$458:$F$467,4,FALSE)</f>
        <v>0</v>
      </c>
      <c r="K49" s="410" t="e">
        <f>IF(OR(VLOOKUP("Ртуть",Исх.данные!$C$458:$F$467,4,FALSE)="менее 0.005",VLOOKUP("Ртуть",Исх.данные!$C$458:$F$467,4,FALSE)="менее 0.005 "),"0.005",VLOOKUP("Ртуть",Исх.данные!$C$458:$F$467,4,FALSE))</f>
        <v>#N/A</v>
      </c>
      <c r="L49" s="410" t="e">
        <f>VLOOKUP("Свинец",Исх.данные!$C$458:$F$467,4,FALSE)</f>
        <v>#N/A</v>
      </c>
      <c r="M49" s="410" t="e">
        <f>VLOOKUP("Цинк",Исх.данные!$C$458:$F$467,4,FALSE)</f>
        <v>#N/A</v>
      </c>
      <c r="N49" s="411" t="e">
        <f>VLOOKUP(D49,Акт!$C$1:$I$30,7,FALSE)</f>
        <v>#N/A</v>
      </c>
      <c r="O49" s="382" t="e">
        <f>VLOOKUP("pH солевой вытяжки",Исх.данные!$C$458:$F$467,4,FALSE)</f>
        <v>#N/A</v>
      </c>
      <c r="P49" s="412"/>
      <c r="Q49" s="245">
        <f t="shared" si="60"/>
        <v>32</v>
      </c>
      <c r="S49" s="177" t="str">
        <f t="shared" si="61"/>
        <v>32</v>
      </c>
      <c r="T49" s="249">
        <f t="shared" si="62"/>
        <v>0</v>
      </c>
      <c r="U49" s="249" t="str">
        <f t="shared" si="63"/>
        <v>00</v>
      </c>
      <c r="V49" s="345" t="str">
        <f t="shared" si="64"/>
        <v>нет</v>
      </c>
      <c r="W49" s="384" t="str">
        <f t="shared" si="65"/>
        <v>Д</v>
      </c>
      <c r="X49" s="414"/>
      <c r="Y49" s="245"/>
      <c r="Z49" s="245"/>
      <c r="AA49" s="410">
        <f>VLOOKUP("Бенз(а)пирен",Исх.данные!$C$458:$F$467,4,FALSE)</f>
        <v>0</v>
      </c>
      <c r="AB49" s="410">
        <f>VLOOKUP("Бенз(а)пирен",Исх.данные!$C$458:$H$467,5,FALSE)</f>
        <v>0</v>
      </c>
      <c r="AC49" s="245">
        <f t="shared" si="66"/>
        <v>32</v>
      </c>
      <c r="AD49" s="245"/>
      <c r="AE49" s="177" t="str">
        <f t="shared" si="67"/>
        <v>32</v>
      </c>
      <c r="AF49" s="249">
        <f t="shared" si="68"/>
        <v>0</v>
      </c>
      <c r="AG49" s="249" t="str">
        <f t="shared" si="69"/>
        <v>00</v>
      </c>
      <c r="AH49" s="415" t="str">
        <f t="shared" si="70"/>
        <v>нет</v>
      </c>
      <c r="AI49" s="384" t="str">
        <f t="shared" si="71"/>
        <v>Допустимый</v>
      </c>
      <c r="AJ49" s="245"/>
      <c r="AK49" s="245"/>
      <c r="AL49" s="410">
        <f>VLOOKUP("Нефтепродукты",Исх.данные!$C$458:$F$467,4,FALSE)</f>
        <v>0</v>
      </c>
      <c r="AM49" s="410">
        <f>VLOOKUP("Нефтепродукты",Исх.данные!$C$458:$H$467,6,FALSE)</f>
        <v>0</v>
      </c>
      <c r="AN49" s="245"/>
      <c r="AO49" s="245">
        <f t="shared" si="72"/>
        <v>32</v>
      </c>
      <c r="AP49" s="245"/>
      <c r="AQ49" s="416" t="str">
        <f t="shared" si="73"/>
        <v>32</v>
      </c>
      <c r="AR49" s="412">
        <f t="shared" si="74"/>
        <v>0</v>
      </c>
      <c r="AS49" s="415" t="str">
        <f t="shared" si="75"/>
        <v>ошибка</v>
      </c>
      <c r="AT49" s="415" t="str">
        <f t="shared" si="76"/>
        <v>ошибка</v>
      </c>
      <c r="AU49" s="417" t="str">
        <f t="shared" si="77"/>
        <v>ошибка</v>
      </c>
      <c r="AV49" s="415" t="str">
        <f t="shared" si="78"/>
        <v>ошибка</v>
      </c>
      <c r="AW49" s="415" t="str">
        <f t="shared" si="79"/>
        <v>ошибка</v>
      </c>
      <c r="AX49" s="415" t="str">
        <f t="shared" si="80"/>
        <v>ошибка</v>
      </c>
      <c r="AY49" s="418" t="str">
        <f t="shared" si="81"/>
        <v>ошибка</v>
      </c>
      <c r="AZ49" s="345" t="e">
        <f t="shared" si="82"/>
        <v>#N/A</v>
      </c>
      <c r="BA49" s="419" t="e">
        <f t="shared" si="83"/>
        <v>#N/A</v>
      </c>
      <c r="BB49" s="420"/>
      <c r="BC49" s="345">
        <f t="shared" si="84"/>
        <v>0</v>
      </c>
      <c r="BD49" s="345">
        <f t="shared" si="85"/>
        <v>0</v>
      </c>
      <c r="BE49" s="345">
        <f t="shared" si="86"/>
        <v>0</v>
      </c>
      <c r="BF49" s="345">
        <f t="shared" si="87"/>
        <v>0</v>
      </c>
      <c r="BG49" s="345" t="e">
        <f t="shared" si="88"/>
        <v>#N/A</v>
      </c>
      <c r="BH49" s="345" t="e">
        <f t="shared" si="89"/>
        <v>#N/A</v>
      </c>
      <c r="BI49" s="345" t="e">
        <f t="shared" si="90"/>
        <v>#N/A</v>
      </c>
      <c r="BJ49" s="420"/>
      <c r="BK49" s="345" t="e">
        <f t="shared" si="42"/>
        <v>#N/A</v>
      </c>
      <c r="BL49" s="345" t="e">
        <f t="shared" si="43"/>
        <v>#N/A</v>
      </c>
      <c r="BM49" s="345" t="e">
        <f t="shared" si="44"/>
        <v>#N/A</v>
      </c>
      <c r="BN49" s="345" t="e">
        <f t="shared" si="45"/>
        <v>#N/A</v>
      </c>
      <c r="BO49" s="345" t="e">
        <f t="shared" si="46"/>
        <v>#N/A</v>
      </c>
      <c r="BP49" s="345" t="e">
        <f t="shared" si="47"/>
        <v>#N/A</v>
      </c>
      <c r="BQ49" s="345" t="e">
        <f t="shared" si="48"/>
        <v>#N/A</v>
      </c>
      <c r="BR49" s="420"/>
      <c r="BS49" s="421" t="e">
        <f t="shared" si="91"/>
        <v>#N/A</v>
      </c>
      <c r="BT49" s="422" t="e">
        <f t="shared" si="92"/>
        <v>#N/A</v>
      </c>
      <c r="BU49" s="415" t="e">
        <f t="shared" si="93"/>
        <v>#N/A</v>
      </c>
      <c r="BV49" s="423" t="e">
        <f t="shared" si="94"/>
        <v>#N/A</v>
      </c>
      <c r="BY49" s="177" t="s">
        <v>475</v>
      </c>
      <c r="CA49" s="424" t="str">
        <f>CONCATENATE("Зона"," ",MID(BY49,1,2))</f>
        <v>Зона 10</v>
      </c>
    </row>
    <row r="50" spans="1:79" s="413" customFormat="1" ht="16.5" thickBot="1" x14ac:dyDescent="0.3">
      <c r="A50" s="408"/>
      <c r="B50" s="286"/>
      <c r="C50" s="177">
        <f>IF(ISBLANK(D50),"",COUNTA($D$18:D50))</f>
        <v>33</v>
      </c>
      <c r="D50" s="409" t="str">
        <f>RIGHT(Исх.данные!A469,7)</f>
        <v>33</v>
      </c>
      <c r="E50" s="445">
        <f>Акт!B33</f>
        <v>0</v>
      </c>
      <c r="F50" s="410" t="e">
        <f>VLOOKUP("pH солевой вытяжки",Исх.данные!$C$472:$F$481,4,FALSE)</f>
        <v>#N/A</v>
      </c>
      <c r="G50" s="410" t="e">
        <f>IF(OR(VLOOKUP("Кадмий",Исх.данные!$C$472:$F$481,4,FALSE)="менее 0.05",VLOOKUP("Кадмий",Исх.данные!$C$472:$F$481,4,FALSE)="менее 0.05 "),"0.05",VLOOKUP("Кадмий",Исх.данные!$C$472:$F$481,4,FALSE))</f>
        <v>#N/A</v>
      </c>
      <c r="H50" s="410" t="e">
        <f>IF(OR(VLOOKUP("Медь",Исх.данные!$C$472:$F$481,4,FALSE)="менее 0.1",VLOOKUP("Медь",Исх.данные!$C$472:$F$481,4,FALSE)="менее 0.1 "),"0.1",VLOOKUP("Медь",Исх.данные!$C$472:$F$481,4,FALSE))</f>
        <v>#N/A</v>
      </c>
      <c r="I50" s="410" t="e">
        <f>IF(OR(VLOOKUP("Мышьяк",Исх.данные!$C$472:$F$481,4,FALSE)="менее 0.1",VLOOKUP("Мышьяк",Исх.данные!$C$472:$F$481,4,FALSE)="менее 0.1 "),"0.1",VLOOKUP("Мышьяк",Исх.данные!$C$472:$F$481,4,FALSE))</f>
        <v>#N/A</v>
      </c>
      <c r="J50" s="410" t="e">
        <f>VLOOKUP("Никель",Исх.данные!$C$472:$F$481,4,FALSE)</f>
        <v>#N/A</v>
      </c>
      <c r="K50" s="410" t="e">
        <f>IF(OR(VLOOKUP("Ртуть",Исх.данные!$C$472:$F$481,4,FALSE)="менее 0.005",VLOOKUP("Ртуть",Исх.данные!$C$472:$F$481,4,FALSE)="менее 0.005 "),"0.005",VLOOKUP("Ртуть",Исх.данные!$C$472:$F$481,4,FALSE))</f>
        <v>#N/A</v>
      </c>
      <c r="L50" s="410" t="e">
        <f>VLOOKUP("Свинец",Исх.данные!$C$472:$F$481,4,FALSE)</f>
        <v>#N/A</v>
      </c>
      <c r="M50" s="410" t="e">
        <f>VLOOKUP("Цинк",Исх.данные!$C$472:$F$481,4,FALSE)</f>
        <v>#N/A</v>
      </c>
      <c r="N50" s="411" t="e">
        <f>VLOOKUP(D50,Акт!$C$1:$I$30,7,FALSE)</f>
        <v>#N/A</v>
      </c>
      <c r="O50" s="382" t="e">
        <f>VLOOKUP("pH солевой вытяжки",Исх.данные!$C$472:$F$481,4,FALSE)</f>
        <v>#N/A</v>
      </c>
      <c r="P50" s="412"/>
      <c r="Q50" s="245">
        <f t="shared" si="60"/>
        <v>33</v>
      </c>
      <c r="S50" s="177" t="str">
        <f t="shared" si="61"/>
        <v>33</v>
      </c>
      <c r="T50" s="249">
        <f t="shared" si="62"/>
        <v>0</v>
      </c>
      <c r="U50" s="249" t="e">
        <f t="shared" si="63"/>
        <v>#N/A</v>
      </c>
      <c r="V50" s="345" t="str">
        <f t="shared" si="64"/>
        <v>нет</v>
      </c>
      <c r="W50" s="384" t="str">
        <f t="shared" si="65"/>
        <v>Д</v>
      </c>
      <c r="X50" s="414"/>
      <c r="Y50" s="245"/>
      <c r="Z50" s="245"/>
      <c r="AA50" s="410" t="e">
        <f>VLOOKUP("Бенз(а)пирен",Исх.данные!$C$472:$F$481,4,FALSE)</f>
        <v>#N/A</v>
      </c>
      <c r="AB50" s="410" t="e">
        <f>VLOOKUP("Бенз(а)пирен",Исх.данные!$C$472:$H$481,5,FALSE)</f>
        <v>#N/A</v>
      </c>
      <c r="AC50" s="245">
        <f t="shared" si="66"/>
        <v>33</v>
      </c>
      <c r="AD50" s="245"/>
      <c r="AE50" s="177" t="str">
        <f t="shared" si="67"/>
        <v>33</v>
      </c>
      <c r="AF50" s="249">
        <f t="shared" si="68"/>
        <v>0</v>
      </c>
      <c r="AG50" s="249" t="e">
        <f t="shared" si="69"/>
        <v>#N/A</v>
      </c>
      <c r="AH50" s="415" t="str">
        <f t="shared" si="70"/>
        <v>нет</v>
      </c>
      <c r="AI50" s="384" t="str">
        <f t="shared" si="71"/>
        <v>Допустимый</v>
      </c>
      <c r="AJ50" s="245"/>
      <c r="AK50" s="245"/>
      <c r="AL50" s="410" t="e">
        <f>VLOOKUP("Нефтепродукты",Исх.данные!$C$472:$F$481,4,FALSE)</f>
        <v>#N/A</v>
      </c>
      <c r="AM50" s="410" t="e">
        <f>VLOOKUP("Нефтепродукты",Исх.данные!$C$472:$H$481,6,FALSE)</f>
        <v>#N/A</v>
      </c>
      <c r="AN50" s="245"/>
      <c r="AO50" s="245">
        <f t="shared" si="72"/>
        <v>33</v>
      </c>
      <c r="AP50" s="245"/>
      <c r="AQ50" s="416" t="str">
        <f t="shared" si="73"/>
        <v>33</v>
      </c>
      <c r="AR50" s="412">
        <f t="shared" si="74"/>
        <v>0</v>
      </c>
      <c r="AS50" s="415" t="str">
        <f t="shared" si="75"/>
        <v>ошибка</v>
      </c>
      <c r="AT50" s="415" t="str">
        <f t="shared" si="76"/>
        <v>ошибка</v>
      </c>
      <c r="AU50" s="417" t="str">
        <f t="shared" si="77"/>
        <v>ошибка</v>
      </c>
      <c r="AV50" s="415" t="str">
        <f t="shared" si="78"/>
        <v>ошибка</v>
      </c>
      <c r="AW50" s="415" t="str">
        <f t="shared" si="79"/>
        <v>ошибка</v>
      </c>
      <c r="AX50" s="415" t="str">
        <f t="shared" si="80"/>
        <v>ошибка</v>
      </c>
      <c r="AY50" s="418" t="str">
        <f t="shared" si="81"/>
        <v>ошибка</v>
      </c>
      <c r="AZ50" s="345" t="e">
        <f t="shared" si="82"/>
        <v>#N/A</v>
      </c>
      <c r="BA50" s="419" t="e">
        <f t="shared" si="83"/>
        <v>#N/A</v>
      </c>
      <c r="BB50" s="420"/>
      <c r="BC50" s="345" t="e">
        <f t="shared" si="84"/>
        <v>#N/A</v>
      </c>
      <c r="BD50" s="345" t="e">
        <f t="shared" si="85"/>
        <v>#N/A</v>
      </c>
      <c r="BE50" s="345" t="e">
        <f t="shared" si="86"/>
        <v>#N/A</v>
      </c>
      <c r="BF50" s="345" t="e">
        <f t="shared" si="87"/>
        <v>#N/A</v>
      </c>
      <c r="BG50" s="345" t="e">
        <f t="shared" si="88"/>
        <v>#N/A</v>
      </c>
      <c r="BH50" s="345" t="e">
        <f t="shared" si="89"/>
        <v>#N/A</v>
      </c>
      <c r="BI50" s="345" t="e">
        <f t="shared" si="90"/>
        <v>#N/A</v>
      </c>
      <c r="BJ50" s="420"/>
      <c r="BK50" s="345" t="e">
        <f t="shared" si="42"/>
        <v>#N/A</v>
      </c>
      <c r="BL50" s="345" t="e">
        <f t="shared" si="43"/>
        <v>#N/A</v>
      </c>
      <c r="BM50" s="345" t="e">
        <f t="shared" si="44"/>
        <v>#N/A</v>
      </c>
      <c r="BN50" s="345" t="e">
        <f t="shared" si="45"/>
        <v>#N/A</v>
      </c>
      <c r="BO50" s="345" t="e">
        <f t="shared" si="46"/>
        <v>#N/A</v>
      </c>
      <c r="BP50" s="345" t="e">
        <f t="shared" si="47"/>
        <v>#N/A</v>
      </c>
      <c r="BQ50" s="345" t="e">
        <f t="shared" si="48"/>
        <v>#N/A</v>
      </c>
      <c r="BR50" s="420"/>
      <c r="BS50" s="421" t="e">
        <f t="shared" si="91"/>
        <v>#N/A</v>
      </c>
      <c r="BT50" s="422" t="e">
        <f t="shared" si="92"/>
        <v>#N/A</v>
      </c>
      <c r="BU50" s="415" t="e">
        <f t="shared" si="93"/>
        <v>#N/A</v>
      </c>
      <c r="BV50" s="423" t="e">
        <f t="shared" si="94"/>
        <v>#N/A</v>
      </c>
      <c r="BY50" s="177" t="s">
        <v>476</v>
      </c>
      <c r="CA50" s="424" t="str">
        <f>CONCATENATE("Зона"," ",MID(BY50,1,3))</f>
        <v>Зона 100</v>
      </c>
    </row>
    <row r="51" spans="1:79" s="413" customFormat="1" ht="16.5" thickBot="1" x14ac:dyDescent="0.3">
      <c r="A51" s="408"/>
      <c r="B51" s="286"/>
      <c r="C51" s="177">
        <f>IF(ISBLANK(D51),"",COUNTA($D$18:D51))</f>
        <v>34</v>
      </c>
      <c r="D51" s="409" t="str">
        <f>RIGHT(Исх.данные!A485,7)</f>
        <v>34</v>
      </c>
      <c r="E51" s="445">
        <f>Акт!B34</f>
        <v>0</v>
      </c>
      <c r="F51" s="410" t="e">
        <f>VLOOKUP("pH солевой вытяжки",Исх.данные!$C$488:$F$497,4,FALSE)</f>
        <v>#N/A</v>
      </c>
      <c r="G51" s="410" t="e">
        <f>IF(OR(VLOOKUP("Кадмий",Исх.данные!$C$488:$F$497,4,FALSE)="менее 0.05",VLOOKUP("Кадмий",Исх.данные!$C$488:$F$497,4,FALSE)="менее 0.05 "),"0.05",VLOOKUP("Кадмий",Исх.данные!$C$488:$F$497,4,FALSE))</f>
        <v>#N/A</v>
      </c>
      <c r="H51" s="410" t="e">
        <f>IF(OR(VLOOKUP("Медь",Исх.данные!$C$488:$F$497,4,FALSE)="менее 0.1",VLOOKUP("Медь",Исх.данные!$C$488:$F$497,4,FALSE)="менее 0.1 "),"0.1",VLOOKUP("Медь",Исх.данные!$C$488:$F$497,4,FALSE))</f>
        <v>#N/A</v>
      </c>
      <c r="I51" s="410" t="e">
        <f>IF(OR(VLOOKUP("Мышьяк",Исх.данные!$C$488:$F$497,4,FALSE)="менее 0.1",VLOOKUP("Мышьяк",Исх.данные!$C$488:$F$497,4,FALSE)="менее 0.1 "),"0.1",VLOOKUP("Мышьяк",Исх.данные!$C$488:$F$497,4,FALSE))</f>
        <v>#N/A</v>
      </c>
      <c r="J51" s="410" t="e">
        <f>VLOOKUP("Никель",Исх.данные!$C$488:$F$497,4,FALSE)</f>
        <v>#N/A</v>
      </c>
      <c r="K51" s="410" t="e">
        <f>IF(OR(VLOOKUP("Ртуть",Исх.данные!$C$488:$F$497,4,FALSE)="менее 0.005",VLOOKUP("Ртуть",Исх.данные!$C$488:$F$497,4,FALSE)="менее 0.005 "),"0.005",VLOOKUP("Ртуть",Исх.данные!$C$488:$F$497,4,FALSE))</f>
        <v>#N/A</v>
      </c>
      <c r="L51" s="410" t="e">
        <f>VLOOKUP("Свинец",Исх.данные!$C$488:$F$497,4,FALSE)</f>
        <v>#N/A</v>
      </c>
      <c r="M51" s="410" t="e">
        <f>VLOOKUP("Цинк",Исх.данные!$C$488:$F$497,4,FALSE)</f>
        <v>#N/A</v>
      </c>
      <c r="N51" s="411" t="e">
        <f>VLOOKUP(D51,Акт!$C$1:$I$30,7,FALSE)</f>
        <v>#N/A</v>
      </c>
      <c r="O51" s="382" t="e">
        <f>VLOOKUP("pH солевой вытяжки",Исх.данные!$C$488:$F$497,4,FALSE)</f>
        <v>#N/A</v>
      </c>
      <c r="P51" s="412"/>
      <c r="Q51" s="245">
        <f t="shared" si="60"/>
        <v>34</v>
      </c>
      <c r="S51" s="177" t="str">
        <f t="shared" si="61"/>
        <v>34</v>
      </c>
      <c r="T51" s="249">
        <f t="shared" si="62"/>
        <v>0</v>
      </c>
      <c r="U51" s="249" t="str">
        <f t="shared" si="63"/>
        <v>0.076 +/- 0,021</v>
      </c>
      <c r="V51" s="345">
        <f t="shared" si="64"/>
        <v>3.8</v>
      </c>
      <c r="W51" s="384" t="str">
        <f t="shared" si="65"/>
        <v>О</v>
      </c>
      <c r="X51" s="414"/>
      <c r="Y51" s="245"/>
      <c r="Z51" s="245"/>
      <c r="AA51" s="410" t="str">
        <f>VLOOKUP("Бенз(а)пирен",Исх.данные!$C$488:$F$497,4,FALSE)</f>
        <v xml:space="preserve">0.076 </v>
      </c>
      <c r="AB51" s="410" t="str">
        <f>VLOOKUP("Бенз(а)пирен",Исх.данные!$C$488:$H$497,5,FALSE)</f>
        <v>+/- 0,021</v>
      </c>
      <c r="AC51" s="245">
        <f t="shared" si="66"/>
        <v>34</v>
      </c>
      <c r="AD51" s="245"/>
      <c r="AE51" s="177" t="str">
        <f t="shared" si="67"/>
        <v>34</v>
      </c>
      <c r="AF51" s="249">
        <f t="shared" si="68"/>
        <v>0</v>
      </c>
      <c r="AG51" s="249" t="str">
        <f t="shared" si="69"/>
        <v>910 +/- 30</v>
      </c>
      <c r="AH51" s="415" t="str">
        <f t="shared" si="70"/>
        <v>нет</v>
      </c>
      <c r="AI51" s="384" t="str">
        <f t="shared" si="71"/>
        <v>Допустимый</v>
      </c>
      <c r="AJ51" s="245"/>
      <c r="AK51" s="245"/>
      <c r="AL51" s="410" t="str">
        <f>VLOOKUP("Нефтепродукты",Исх.данные!$C$488:$F$497,4,FALSE)</f>
        <v xml:space="preserve">910 </v>
      </c>
      <c r="AM51" s="410" t="str">
        <f>VLOOKUP("Нефтепродукты",Исх.данные!$C$488:$H$497,6,FALSE)</f>
        <v>+/- 30</v>
      </c>
      <c r="AN51" s="245"/>
      <c r="AO51" s="245">
        <f t="shared" si="72"/>
        <v>34</v>
      </c>
      <c r="AP51" s="245"/>
      <c r="AQ51" s="416" t="str">
        <f t="shared" si="73"/>
        <v>34</v>
      </c>
      <c r="AR51" s="412">
        <f t="shared" si="74"/>
        <v>0</v>
      </c>
      <c r="AS51" s="415" t="str">
        <f t="shared" si="75"/>
        <v>ошибка</v>
      </c>
      <c r="AT51" s="415" t="str">
        <f t="shared" si="76"/>
        <v>ошибка</v>
      </c>
      <c r="AU51" s="417" t="str">
        <f t="shared" si="77"/>
        <v>ошибка</v>
      </c>
      <c r="AV51" s="415" t="str">
        <f t="shared" si="78"/>
        <v>ошибка</v>
      </c>
      <c r="AW51" s="415" t="str">
        <f t="shared" si="79"/>
        <v>ошибка</v>
      </c>
      <c r="AX51" s="415" t="str">
        <f t="shared" si="80"/>
        <v>ошибка</v>
      </c>
      <c r="AY51" s="418" t="str">
        <f t="shared" si="81"/>
        <v>ошибка</v>
      </c>
      <c r="AZ51" s="345" t="e">
        <f t="shared" si="82"/>
        <v>#N/A</v>
      </c>
      <c r="BA51" s="419" t="e">
        <f t="shared" si="83"/>
        <v>#N/A</v>
      </c>
      <c r="BB51" s="420"/>
      <c r="BC51" s="345" t="e">
        <f t="shared" si="84"/>
        <v>#N/A</v>
      </c>
      <c r="BD51" s="345" t="e">
        <f t="shared" si="85"/>
        <v>#N/A</v>
      </c>
      <c r="BE51" s="345" t="e">
        <f t="shared" si="86"/>
        <v>#N/A</v>
      </c>
      <c r="BF51" s="345" t="e">
        <f t="shared" si="87"/>
        <v>#N/A</v>
      </c>
      <c r="BG51" s="345" t="e">
        <f t="shared" si="88"/>
        <v>#N/A</v>
      </c>
      <c r="BH51" s="345" t="e">
        <f t="shared" si="89"/>
        <v>#N/A</v>
      </c>
      <c r="BI51" s="345" t="e">
        <f t="shared" si="90"/>
        <v>#N/A</v>
      </c>
      <c r="BJ51" s="420"/>
      <c r="BK51" s="345" t="e">
        <f t="shared" si="42"/>
        <v>#N/A</v>
      </c>
      <c r="BL51" s="345" t="e">
        <f t="shared" si="43"/>
        <v>#N/A</v>
      </c>
      <c r="BM51" s="345" t="e">
        <f t="shared" si="44"/>
        <v>#N/A</v>
      </c>
      <c r="BN51" s="345" t="e">
        <f t="shared" si="45"/>
        <v>#N/A</v>
      </c>
      <c r="BO51" s="345" t="e">
        <f t="shared" si="46"/>
        <v>#N/A</v>
      </c>
      <c r="BP51" s="345" t="e">
        <f t="shared" si="47"/>
        <v>#N/A</v>
      </c>
      <c r="BQ51" s="345" t="e">
        <f t="shared" si="48"/>
        <v>#N/A</v>
      </c>
      <c r="BR51" s="420"/>
      <c r="BS51" s="421" t="e">
        <f t="shared" si="91"/>
        <v>#N/A</v>
      </c>
      <c r="BT51" s="422" t="e">
        <f t="shared" si="92"/>
        <v>#N/A</v>
      </c>
      <c r="BU51" s="415" t="e">
        <f t="shared" si="93"/>
        <v>#N/A</v>
      </c>
      <c r="BV51" s="423" t="e">
        <f t="shared" si="94"/>
        <v>#N/A</v>
      </c>
    </row>
    <row r="52" spans="1:79" s="413" customFormat="1" ht="16.5" thickBot="1" x14ac:dyDescent="0.3">
      <c r="A52" s="408"/>
      <c r="B52" s="286"/>
      <c r="C52" s="177">
        <f>IF(ISBLANK(D52),"",COUNTA($D$18:D52))</f>
        <v>35</v>
      </c>
      <c r="D52" s="409" t="str">
        <f>RIGHT(Исх.данные!A499,7)</f>
        <v>35</v>
      </c>
      <c r="E52" s="445">
        <f>Акт!B35</f>
        <v>0</v>
      </c>
      <c r="F52" s="410" t="e">
        <f>VLOOKUP("pH солевой вытяжки",Исх.данные!$C$502:$F$511,4,FALSE)</f>
        <v>#N/A</v>
      </c>
      <c r="G52" s="410" t="e">
        <f>IF(OR(VLOOKUP("Кадмий",Исх.данные!$C$502:$F$511,4,FALSE)="менее 0.05",VLOOKUP("Кадмий",Исх.данные!$C$502:$F$511,4,FALSE)="менее 0.05 "),"0.05",VLOOKUP("Кадмий",Исх.данные!$C$502:$F$511,4,FALSE))</f>
        <v>#N/A</v>
      </c>
      <c r="H52" s="410" t="e">
        <f>IF(OR(VLOOKUP("Медь",Исх.данные!$C$502:$F$511,4,FALSE)="менее 0.1",VLOOKUP("Медь",Исх.данные!$C$502:$F$511,4,FALSE)="менее 0.1 "),"0.1",VLOOKUP("Медь",Исх.данные!$C$502:$F$511,4,FALSE))</f>
        <v>#N/A</v>
      </c>
      <c r="I52" s="410" t="e">
        <f>IF(OR(VLOOKUP("Мышьяк",Исх.данные!$C$502:$F$511,4,FALSE)="менее 0.1",VLOOKUP("Мышьяк",Исх.данные!$C$502:$F$511,4,FALSE)="менее 0.1 "),"0.1",VLOOKUP("Мышьяк",Исх.данные!$C$502:$F$511,4,FALSE))</f>
        <v>#N/A</v>
      </c>
      <c r="J52" s="410" t="e">
        <f>VLOOKUP("Никель",Исх.данные!$C$502:$F$511,4,FALSE)</f>
        <v>#N/A</v>
      </c>
      <c r="K52" s="410" t="e">
        <f>IF(OR(VLOOKUP("Ртуть",Исх.данные!$C$502:$F$511,4,FALSE)="менее 0.005",VLOOKUP("Ртуть",Исх.данные!$C$502:$F$511,4,FALSE)="менее 0.005 "),"0.005",VLOOKUP("Ртуть",Исх.данные!$C$502:$F$511,4,FALSE))</f>
        <v>#N/A</v>
      </c>
      <c r="L52" s="410" t="e">
        <f>VLOOKUP("Свинец",Исх.данные!$C$502:$F$511,4,FALSE)</f>
        <v>#N/A</v>
      </c>
      <c r="M52" s="410" t="e">
        <f>VLOOKUP("Цинк",Исх.данные!$C$502:$F$511,4,FALSE)</f>
        <v>#N/A</v>
      </c>
      <c r="N52" s="411" t="e">
        <f>VLOOKUP(D52,Акт!$C$1:$I$30,7,FALSE)</f>
        <v>#N/A</v>
      </c>
      <c r="O52" s="382" t="e">
        <f>VLOOKUP("pH солевой вытяжки",Исх.данные!$C$502:$F$511,4,FALSE)</f>
        <v>#N/A</v>
      </c>
      <c r="P52" s="412"/>
      <c r="Q52" s="245">
        <f t="shared" si="60"/>
        <v>35</v>
      </c>
      <c r="S52" s="177" t="str">
        <f t="shared" si="61"/>
        <v>35</v>
      </c>
      <c r="T52" s="249">
        <f t="shared" si="62"/>
        <v>0</v>
      </c>
      <c r="U52" s="249" t="e">
        <f t="shared" si="63"/>
        <v>#N/A</v>
      </c>
      <c r="V52" s="345" t="str">
        <f t="shared" si="64"/>
        <v>нет</v>
      </c>
      <c r="W52" s="384" t="str">
        <f t="shared" si="65"/>
        <v>Д</v>
      </c>
      <c r="X52" s="414"/>
      <c r="Y52" s="245"/>
      <c r="Z52" s="245"/>
      <c r="AA52" s="410" t="e">
        <f>VLOOKUP("Бенз(а)пирен",Исх.данные!$C$502:$F$511,4,FALSE)</f>
        <v>#N/A</v>
      </c>
      <c r="AB52" s="410" t="e">
        <f>VLOOKUP("Бенз(а)пирен",Исх.данные!$C$502:$H$511,5,FALSE)</f>
        <v>#N/A</v>
      </c>
      <c r="AC52" s="245">
        <f t="shared" si="66"/>
        <v>35</v>
      </c>
      <c r="AD52" s="245"/>
      <c r="AE52" s="177" t="str">
        <f t="shared" si="67"/>
        <v>35</v>
      </c>
      <c r="AF52" s="249">
        <f t="shared" si="68"/>
        <v>0</v>
      </c>
      <c r="AG52" s="249" t="e">
        <f t="shared" si="69"/>
        <v>#N/A</v>
      </c>
      <c r="AH52" s="415" t="str">
        <f t="shared" si="70"/>
        <v>нет</v>
      </c>
      <c r="AI52" s="384" t="str">
        <f t="shared" si="71"/>
        <v>Допустимый</v>
      </c>
      <c r="AJ52" s="245"/>
      <c r="AK52" s="245"/>
      <c r="AL52" s="410" t="e">
        <f>VLOOKUP("Нефтепродукты",Исх.данные!$C$502:$F$511,4,FALSE)</f>
        <v>#N/A</v>
      </c>
      <c r="AM52" s="410" t="e">
        <f>VLOOKUP("Нефтепродукты",Исх.данные!$C$502:$H$511,6,FALSE)</f>
        <v>#N/A</v>
      </c>
      <c r="AN52" s="245"/>
      <c r="AO52" s="245">
        <f t="shared" si="72"/>
        <v>35</v>
      </c>
      <c r="AP52" s="245"/>
      <c r="AQ52" s="416" t="str">
        <f t="shared" si="73"/>
        <v>35</v>
      </c>
      <c r="AR52" s="412">
        <f t="shared" si="74"/>
        <v>0</v>
      </c>
      <c r="AS52" s="415" t="str">
        <f t="shared" si="75"/>
        <v>ошибка</v>
      </c>
      <c r="AT52" s="415" t="str">
        <f t="shared" si="76"/>
        <v>ошибка</v>
      </c>
      <c r="AU52" s="417" t="str">
        <f t="shared" si="77"/>
        <v>ошибка</v>
      </c>
      <c r="AV52" s="415" t="str">
        <f t="shared" si="78"/>
        <v>ошибка</v>
      </c>
      <c r="AW52" s="415" t="str">
        <f t="shared" si="79"/>
        <v>ошибка</v>
      </c>
      <c r="AX52" s="415" t="str">
        <f t="shared" si="80"/>
        <v>ошибка</v>
      </c>
      <c r="AY52" s="418" t="str">
        <f t="shared" si="81"/>
        <v>ошибка</v>
      </c>
      <c r="AZ52" s="345" t="e">
        <f t="shared" si="82"/>
        <v>#N/A</v>
      </c>
      <c r="BA52" s="419" t="e">
        <f t="shared" si="83"/>
        <v>#N/A</v>
      </c>
      <c r="BB52" s="420"/>
      <c r="BC52" s="345" t="e">
        <f t="shared" si="84"/>
        <v>#N/A</v>
      </c>
      <c r="BD52" s="345" t="e">
        <f t="shared" si="85"/>
        <v>#N/A</v>
      </c>
      <c r="BE52" s="345" t="e">
        <f t="shared" si="86"/>
        <v>#N/A</v>
      </c>
      <c r="BF52" s="345" t="e">
        <f t="shared" si="87"/>
        <v>#N/A</v>
      </c>
      <c r="BG52" s="345" t="e">
        <f t="shared" si="88"/>
        <v>#N/A</v>
      </c>
      <c r="BH52" s="345" t="e">
        <f t="shared" si="89"/>
        <v>#N/A</v>
      </c>
      <c r="BI52" s="345" t="e">
        <f t="shared" si="90"/>
        <v>#N/A</v>
      </c>
      <c r="BJ52" s="420"/>
      <c r="BK52" s="345" t="e">
        <f t="shared" si="42"/>
        <v>#N/A</v>
      </c>
      <c r="BL52" s="345" t="e">
        <f t="shared" si="43"/>
        <v>#N/A</v>
      </c>
      <c r="BM52" s="345" t="e">
        <f t="shared" si="44"/>
        <v>#N/A</v>
      </c>
      <c r="BN52" s="345" t="e">
        <f t="shared" si="45"/>
        <v>#N/A</v>
      </c>
      <c r="BO52" s="345" t="e">
        <f t="shared" si="46"/>
        <v>#N/A</v>
      </c>
      <c r="BP52" s="345" t="e">
        <f t="shared" si="47"/>
        <v>#N/A</v>
      </c>
      <c r="BQ52" s="345" t="e">
        <f t="shared" si="48"/>
        <v>#N/A</v>
      </c>
      <c r="BR52" s="420"/>
      <c r="BS52" s="421" t="e">
        <f t="shared" si="91"/>
        <v>#N/A</v>
      </c>
      <c r="BT52" s="422" t="e">
        <f t="shared" si="92"/>
        <v>#N/A</v>
      </c>
      <c r="BU52" s="415" t="e">
        <f t="shared" si="93"/>
        <v>#N/A</v>
      </c>
      <c r="BV52" s="423" t="e">
        <f t="shared" si="94"/>
        <v>#N/A</v>
      </c>
    </row>
    <row r="53" spans="1:79" s="413" customFormat="1" ht="16.5" thickBot="1" x14ac:dyDescent="0.3">
      <c r="A53" s="408"/>
      <c r="B53" s="293"/>
      <c r="C53" s="177">
        <f>IF(ISBLANK(D53),"",COUNTA($D$18:D53))</f>
        <v>36</v>
      </c>
      <c r="D53" s="409" t="str">
        <f>RIGHT(Исх.данные!A513,7)</f>
        <v>36</v>
      </c>
      <c r="E53" s="445">
        <f>Акт!B36</f>
        <v>0</v>
      </c>
      <c r="F53" s="410" t="e">
        <f>VLOOKUP("pH солевой вытяжки",Исх.данные!$C$516:$F$525,4,FALSE)</f>
        <v>#N/A</v>
      </c>
      <c r="G53" s="410" t="e">
        <f>IF(OR(VLOOKUP("Кадмий",Исх.данные!$C$516:$F$525,4,FALSE)="менее 0.05",VLOOKUP("Кадмий",Исх.данные!$C$516:$F$525,4,FALSE)="менее 0.05 "),"0.05",VLOOKUP("Кадмий",Исх.данные!$C$516:$F$525,4,FALSE))</f>
        <v>#N/A</v>
      </c>
      <c r="H53" s="410" t="e">
        <f>IF(OR(VLOOKUP("Медь",Исх.данные!$C$516:$F$525,4,FALSE)="менее 0.1",VLOOKUP("Медь",Исх.данные!$C$516:$F$525,4,FALSE)="менее 0.1 "),"0.1",VLOOKUP("Медь",Исх.данные!$C$516:$F$525,4,FALSE))</f>
        <v>#N/A</v>
      </c>
      <c r="I53" s="410" t="e">
        <f>IF(OR(VLOOKUP("Мышьяк",Исх.данные!$C$516:$F$525,4,FALSE)="менее 0.1",VLOOKUP("Мышьяк",Исх.данные!$C$516:$F$525,4,FALSE)="менее 0.1 "),"0.1",VLOOKUP("Мышьяк",Исх.данные!$C$516:$F$525,4,FALSE))</f>
        <v>#N/A</v>
      </c>
      <c r="J53" s="410" t="e">
        <f>VLOOKUP("Никель",Исх.данные!$C$516:$F$525,4,FALSE)</f>
        <v>#N/A</v>
      </c>
      <c r="K53" s="410" t="e">
        <f>IF(OR(VLOOKUP("Ртуть",Исх.данные!$C$516:$F$525,4,FALSE)="менее 0.005",VLOOKUP("Ртуть",Исх.данные!$C$516:$F$525,4,FALSE)="менее 0.005 "),"0.005",VLOOKUP("Ртуть",Исх.данные!$C$516:$F$525,4,FALSE))</f>
        <v>#N/A</v>
      </c>
      <c r="L53" s="410" t="e">
        <f>VLOOKUP("Свинец",Исх.данные!$C$516:$F$525,4,FALSE)</f>
        <v>#N/A</v>
      </c>
      <c r="M53" s="410" t="e">
        <f>VLOOKUP("Цинк",Исх.данные!$C$516:$F$525,4,FALSE)</f>
        <v>#N/A</v>
      </c>
      <c r="N53" s="411" t="e">
        <f>VLOOKUP(D53,Акт!$C$1:$I$30,7,FALSE)</f>
        <v>#N/A</v>
      </c>
      <c r="O53" s="382" t="e">
        <f>VLOOKUP("pH солевой вытяжки",Исх.данные!$C$516:$F$525,4,FALSE)</f>
        <v>#N/A</v>
      </c>
      <c r="P53" s="412"/>
      <c r="Q53" s="245">
        <f t="shared" si="60"/>
        <v>36</v>
      </c>
      <c r="S53" s="177" t="str">
        <f t="shared" si="61"/>
        <v>36</v>
      </c>
      <c r="T53" s="249">
        <f t="shared" si="62"/>
        <v>0</v>
      </c>
      <c r="U53" s="249" t="e">
        <f t="shared" si="63"/>
        <v>#N/A</v>
      </c>
      <c r="V53" s="345" t="str">
        <f t="shared" si="64"/>
        <v>нет</v>
      </c>
      <c r="W53" s="384" t="str">
        <f t="shared" si="65"/>
        <v>Д</v>
      </c>
      <c r="X53" s="414"/>
      <c r="Y53" s="245"/>
      <c r="Z53" s="245"/>
      <c r="AA53" s="410" t="e">
        <f>VLOOKUP("Бенз(а)пирен",Исх.данные!$C$516:$F$525,4,FALSE)</f>
        <v>#N/A</v>
      </c>
      <c r="AB53" s="410" t="e">
        <f>VLOOKUP("Бенз(а)пирен",Исх.данные!$C$516:$H$525,5,FALSE)</f>
        <v>#N/A</v>
      </c>
      <c r="AC53" s="245">
        <f t="shared" si="66"/>
        <v>36</v>
      </c>
      <c r="AD53" s="245"/>
      <c r="AE53" s="177" t="str">
        <f t="shared" si="67"/>
        <v>36</v>
      </c>
      <c r="AF53" s="249">
        <f t="shared" si="68"/>
        <v>0</v>
      </c>
      <c r="AG53" s="249" t="e">
        <f t="shared" si="69"/>
        <v>#N/A</v>
      </c>
      <c r="AH53" s="415" t="str">
        <f t="shared" si="70"/>
        <v>нет</v>
      </c>
      <c r="AI53" s="384" t="str">
        <f t="shared" si="71"/>
        <v>Допустимый</v>
      </c>
      <c r="AJ53" s="245"/>
      <c r="AK53" s="245"/>
      <c r="AL53" s="410" t="e">
        <f>VLOOKUP("Нефтепродукты",Исх.данные!$C$516:$F$525,4,FALSE)</f>
        <v>#N/A</v>
      </c>
      <c r="AM53" s="410" t="e">
        <f>VLOOKUP("Нефтепродукты",Исх.данные!$C$516:$H$525,6,FALSE)</f>
        <v>#N/A</v>
      </c>
      <c r="AN53" s="245"/>
      <c r="AO53" s="245">
        <f t="shared" si="72"/>
        <v>36</v>
      </c>
      <c r="AP53" s="245"/>
      <c r="AQ53" s="416" t="str">
        <f t="shared" si="73"/>
        <v>36</v>
      </c>
      <c r="AR53" s="412">
        <f t="shared" si="74"/>
        <v>0</v>
      </c>
      <c r="AS53" s="415" t="str">
        <f t="shared" si="75"/>
        <v>ошибка</v>
      </c>
      <c r="AT53" s="415" t="str">
        <f t="shared" si="76"/>
        <v>ошибка</v>
      </c>
      <c r="AU53" s="417" t="str">
        <f t="shared" si="77"/>
        <v>ошибка</v>
      </c>
      <c r="AV53" s="415" t="str">
        <f t="shared" si="78"/>
        <v>ошибка</v>
      </c>
      <c r="AW53" s="415" t="str">
        <f t="shared" si="79"/>
        <v>ошибка</v>
      </c>
      <c r="AX53" s="415" t="str">
        <f t="shared" si="80"/>
        <v>ошибка</v>
      </c>
      <c r="AY53" s="418" t="str">
        <f t="shared" si="81"/>
        <v>ошибка</v>
      </c>
      <c r="AZ53" s="345" t="e">
        <f t="shared" si="82"/>
        <v>#N/A</v>
      </c>
      <c r="BA53" s="419" t="e">
        <f t="shared" si="83"/>
        <v>#N/A</v>
      </c>
      <c r="BB53" s="420"/>
      <c r="BC53" s="345" t="e">
        <f t="shared" si="84"/>
        <v>#N/A</v>
      </c>
      <c r="BD53" s="345" t="e">
        <f t="shared" si="85"/>
        <v>#N/A</v>
      </c>
      <c r="BE53" s="345" t="e">
        <f t="shared" si="86"/>
        <v>#N/A</v>
      </c>
      <c r="BF53" s="345" t="e">
        <f t="shared" si="87"/>
        <v>#N/A</v>
      </c>
      <c r="BG53" s="345" t="e">
        <f t="shared" si="88"/>
        <v>#N/A</v>
      </c>
      <c r="BH53" s="345" t="e">
        <f t="shared" si="89"/>
        <v>#N/A</v>
      </c>
      <c r="BI53" s="345" t="e">
        <f t="shared" si="90"/>
        <v>#N/A</v>
      </c>
      <c r="BJ53" s="420"/>
      <c r="BK53" s="345" t="e">
        <f t="shared" si="42"/>
        <v>#N/A</v>
      </c>
      <c r="BL53" s="345" t="e">
        <f t="shared" si="43"/>
        <v>#N/A</v>
      </c>
      <c r="BM53" s="345" t="e">
        <f t="shared" si="44"/>
        <v>#N/A</v>
      </c>
      <c r="BN53" s="345" t="e">
        <f t="shared" si="45"/>
        <v>#N/A</v>
      </c>
      <c r="BO53" s="345" t="e">
        <f t="shared" si="46"/>
        <v>#N/A</v>
      </c>
      <c r="BP53" s="345" t="e">
        <f t="shared" si="47"/>
        <v>#N/A</v>
      </c>
      <c r="BQ53" s="345" t="e">
        <f t="shared" si="48"/>
        <v>#N/A</v>
      </c>
      <c r="BR53" s="420"/>
      <c r="BS53" s="421" t="e">
        <f t="shared" si="91"/>
        <v>#N/A</v>
      </c>
      <c r="BT53" s="422" t="e">
        <f t="shared" si="92"/>
        <v>#N/A</v>
      </c>
      <c r="BU53" s="415" t="e">
        <f t="shared" si="93"/>
        <v>#N/A</v>
      </c>
      <c r="BV53" s="423" t="e">
        <f t="shared" si="94"/>
        <v>#N/A</v>
      </c>
    </row>
    <row r="54" spans="1:79" s="413" customFormat="1" ht="16.5" thickBot="1" x14ac:dyDescent="0.3">
      <c r="A54" s="408"/>
      <c r="B54" s="293"/>
      <c r="C54" s="177">
        <f>IF(ISBLANK(D54),"",COUNTA($D$18:D54))</f>
        <v>37</v>
      </c>
      <c r="D54" s="409" t="str">
        <f>RIGHT(Исх.данные!A529,7)</f>
        <v>37</v>
      </c>
      <c r="E54" s="445">
        <f>Акт!B37</f>
        <v>0</v>
      </c>
      <c r="F54" s="410" t="e">
        <f>VLOOKUP("pH солевой вытяжки",Исх.данные!$C$532:$F$541,4,FALSE)</f>
        <v>#N/A</v>
      </c>
      <c r="G54" s="410" t="e">
        <f>IF(OR(VLOOKUP("Кадмий",Исх.данные!$C$532:$F$541,4,FALSE)="менее 0.05",VLOOKUP("Кадмий",Исх.данные!$C$532:$F$541,4,FALSE)="менее 0.05 "),"0.05",VLOOKUP("Кадмий",Исх.данные!$C$532:$F$541,4,FALSE))</f>
        <v>#N/A</v>
      </c>
      <c r="H54" s="410" t="e">
        <f>IF(OR(VLOOKUP("Медь",Исх.данные!$C$532:$F$541,4,FALSE)="менее 0.1",VLOOKUP("Медь",Исх.данные!$C$532:$F$541,4,FALSE)="менее 0.1 "),"0.1",VLOOKUP("Медь",Исх.данные!$C$532:$F$541,4,FALSE))</f>
        <v>#N/A</v>
      </c>
      <c r="I54" s="410" t="e">
        <f>IF(OR(VLOOKUP("Мышьяк",Исх.данные!$C$532:$F$541,4,FALSE)="менее 0.1",VLOOKUP("Мышьяк",Исх.данные!$C$532:$F$541,4,FALSE)="менее 0.1 "),"0.1",VLOOKUP("Мышьяк",Исх.данные!$C$532:$F$541,4,FALSE))</f>
        <v>#N/A</v>
      </c>
      <c r="J54" s="410" t="e">
        <f>VLOOKUP("Никель",Исх.данные!$C$532:$F$541,4,FALSE)</f>
        <v>#N/A</v>
      </c>
      <c r="K54" s="410" t="e">
        <f>IF(OR(VLOOKUP("Ртуть",Исх.данные!$C$532:$F$541,4,FALSE)="менее 0.005",VLOOKUP("Ртуть",Исх.данные!$C$532:$F$541,4,FALSE)="менее 0.005 "),"0.005",VLOOKUP("Ртуть",Исх.данные!$C$532:$F$541,4,FALSE))</f>
        <v>#N/A</v>
      </c>
      <c r="L54" s="410" t="e">
        <f>VLOOKUP("Свинец",Исх.данные!$C$532:$F$541,4,FALSE)</f>
        <v>#N/A</v>
      </c>
      <c r="M54" s="410" t="e">
        <f>VLOOKUP("Цинк",Исх.данные!$C$532:$F$541,4,FALSE)</f>
        <v>#N/A</v>
      </c>
      <c r="N54" s="411" t="e">
        <f>VLOOKUP(D54,Акт!$C$1:$I$30,7,FALSE)</f>
        <v>#N/A</v>
      </c>
      <c r="O54" s="382" t="e">
        <f>VLOOKUP("pH солевой вытяжки",Исх.данные!$C$532:$F$541,4,FALSE)</f>
        <v>#N/A</v>
      </c>
      <c r="P54" s="412"/>
      <c r="Q54" s="245">
        <f t="shared" si="60"/>
        <v>37</v>
      </c>
      <c r="S54" s="177" t="str">
        <f t="shared" si="61"/>
        <v>37</v>
      </c>
      <c r="T54" s="249">
        <f t="shared" si="62"/>
        <v>0</v>
      </c>
      <c r="U54" s="249" t="str">
        <f t="shared" si="63"/>
        <v>0,0051</v>
      </c>
      <c r="V54" s="345" t="str">
        <f t="shared" si="64"/>
        <v>нет</v>
      </c>
      <c r="W54" s="384" t="str">
        <f t="shared" si="65"/>
        <v>Д</v>
      </c>
      <c r="X54" s="414"/>
      <c r="Y54" s="245"/>
      <c r="Z54" s="245"/>
      <c r="AA54" s="410">
        <f>VLOOKUP("Бенз(а)пирен",Исх.данные!$C$427:$F$541,4,FALSE)</f>
        <v>5.0000000000000001E-3</v>
      </c>
      <c r="AB54" s="410" t="str">
        <f>VLOOKUP("Бенз(а)пирен",Исх.данные!$C$427:$H$541,6,FALSE)</f>
        <v>1</v>
      </c>
      <c r="AC54" s="245">
        <f t="shared" si="66"/>
        <v>37</v>
      </c>
      <c r="AD54" s="245"/>
      <c r="AE54" s="177" t="str">
        <f t="shared" si="67"/>
        <v>37</v>
      </c>
      <c r="AF54" s="249">
        <f t="shared" si="68"/>
        <v>0</v>
      </c>
      <c r="AG54" s="249" t="e">
        <f t="shared" si="69"/>
        <v>#N/A</v>
      </c>
      <c r="AH54" s="415" t="str">
        <f t="shared" si="70"/>
        <v>нет</v>
      </c>
      <c r="AI54" s="384" t="str">
        <f t="shared" si="71"/>
        <v>Допустимый</v>
      </c>
      <c r="AJ54" s="245"/>
      <c r="AK54" s="245"/>
      <c r="AL54" s="410" t="e">
        <f>VLOOKUP("Нефтепродукты",Исх.данные!$C$532:$F$541,4,FALSE)</f>
        <v>#N/A</v>
      </c>
      <c r="AM54" s="410" t="e">
        <f>VLOOKUP("Нефтепродукты",Исх.данные!$C$532:$H$541,6,FALSE)</f>
        <v>#N/A</v>
      </c>
      <c r="AN54" s="245"/>
      <c r="AO54" s="245">
        <f t="shared" si="72"/>
        <v>37</v>
      </c>
      <c r="AP54" s="245"/>
      <c r="AQ54" s="416" t="str">
        <f t="shared" si="73"/>
        <v>37</v>
      </c>
      <c r="AR54" s="412">
        <f t="shared" si="74"/>
        <v>0</v>
      </c>
      <c r="AS54" s="415" t="str">
        <f t="shared" si="75"/>
        <v>ошибка</v>
      </c>
      <c r="AT54" s="415" t="str">
        <f t="shared" si="76"/>
        <v>ошибка</v>
      </c>
      <c r="AU54" s="417" t="str">
        <f t="shared" si="77"/>
        <v>ошибка</v>
      </c>
      <c r="AV54" s="415" t="str">
        <f t="shared" si="78"/>
        <v>ошибка</v>
      </c>
      <c r="AW54" s="415" t="str">
        <f t="shared" si="79"/>
        <v>ошибка</v>
      </c>
      <c r="AX54" s="415" t="str">
        <f t="shared" si="80"/>
        <v>ошибка</v>
      </c>
      <c r="AY54" s="418" t="str">
        <f t="shared" si="81"/>
        <v>ошибка</v>
      </c>
      <c r="AZ54" s="345" t="e">
        <f t="shared" si="82"/>
        <v>#N/A</v>
      </c>
      <c r="BA54" s="419" t="e">
        <f t="shared" si="83"/>
        <v>#N/A</v>
      </c>
      <c r="BB54" s="420"/>
      <c r="BC54" s="345" t="e">
        <f t="shared" si="84"/>
        <v>#N/A</v>
      </c>
      <c r="BD54" s="345" t="e">
        <f t="shared" si="85"/>
        <v>#N/A</v>
      </c>
      <c r="BE54" s="345" t="e">
        <f t="shared" si="86"/>
        <v>#N/A</v>
      </c>
      <c r="BF54" s="345" t="e">
        <f t="shared" si="87"/>
        <v>#N/A</v>
      </c>
      <c r="BG54" s="345" t="e">
        <f t="shared" si="88"/>
        <v>#N/A</v>
      </c>
      <c r="BH54" s="345" t="e">
        <f t="shared" si="89"/>
        <v>#N/A</v>
      </c>
      <c r="BI54" s="345" t="e">
        <f t="shared" si="90"/>
        <v>#N/A</v>
      </c>
      <c r="BJ54" s="420"/>
      <c r="BK54" s="345" t="e">
        <f t="shared" si="42"/>
        <v>#N/A</v>
      </c>
      <c r="BL54" s="345" t="e">
        <f t="shared" si="43"/>
        <v>#N/A</v>
      </c>
      <c r="BM54" s="345" t="e">
        <f t="shared" si="44"/>
        <v>#N/A</v>
      </c>
      <c r="BN54" s="345" t="e">
        <f t="shared" si="45"/>
        <v>#N/A</v>
      </c>
      <c r="BO54" s="345" t="e">
        <f t="shared" si="46"/>
        <v>#N/A</v>
      </c>
      <c r="BP54" s="345" t="e">
        <f t="shared" si="47"/>
        <v>#N/A</v>
      </c>
      <c r="BQ54" s="345" t="e">
        <f t="shared" si="48"/>
        <v>#N/A</v>
      </c>
      <c r="BR54" s="420"/>
      <c r="BS54" s="421" t="e">
        <f t="shared" si="91"/>
        <v>#N/A</v>
      </c>
      <c r="BT54" s="422" t="e">
        <f t="shared" si="92"/>
        <v>#N/A</v>
      </c>
      <c r="BU54" s="415" t="e">
        <f t="shared" si="93"/>
        <v>#N/A</v>
      </c>
      <c r="BV54" s="423" t="e">
        <f t="shared" si="94"/>
        <v>#N/A</v>
      </c>
    </row>
    <row r="55" spans="1:79" s="413" customFormat="1" ht="16.5" thickBot="1" x14ac:dyDescent="0.3">
      <c r="A55" s="408"/>
      <c r="B55" s="293"/>
      <c r="C55" s="177">
        <f>IF(ISBLANK(D55),"",COUNTA($D$18:D55))</f>
        <v>38</v>
      </c>
      <c r="D55" s="409" t="str">
        <f>RIGHT(Исх.данные!A543,7)</f>
        <v>38</v>
      </c>
      <c r="E55" s="445">
        <f>Акт!B38</f>
        <v>0</v>
      </c>
      <c r="F55" s="410" t="e">
        <f>VLOOKUP("pH солевой вытяжки",Исх.данные!$C$546:$F$555,4,FALSE)</f>
        <v>#N/A</v>
      </c>
      <c r="G55" s="410" t="e">
        <f>IF(OR(VLOOKUP("Кадмий",Исх.данные!$C$546:$F$555,4,FALSE)="менее 0.05",VLOOKUP("Кадмий",Исх.данные!$C$546:$F$555,4,FALSE)="менее 0.05 "),"0.05",VLOOKUP("Кадмий",Исх.данные!$C$546:$F$555,4,FALSE))</f>
        <v>#N/A</v>
      </c>
      <c r="H55" s="410" t="e">
        <f>IF(OR(VLOOKUP("Медь",Исх.данные!$C$546:$F$555,4,FALSE)="менее 0.1",VLOOKUP("Медь",Исх.данные!$C$546:$F$555,4,FALSE)="менее 0.1 "),"0.1",VLOOKUP("Медь",Исх.данные!$C$546:$F$555,4,FALSE))</f>
        <v>#N/A</v>
      </c>
      <c r="I55" s="410" t="e">
        <f>IF(OR(VLOOKUP("Мышьяк",Исх.данные!$C$546:$F$555,4,FALSE)="менее 0.1",VLOOKUP("Мышьяк",Исх.данные!$C$546:$F$555,4,FALSE)="менее 0.1 "),"0.1",VLOOKUP("Мышьяк",Исх.данные!$C$546:$F$555,4,FALSE))</f>
        <v>#N/A</v>
      </c>
      <c r="J55" s="410" t="e">
        <f>VLOOKUP("Никель",Исх.данные!$C$546:$F$555,4,FALSE)</f>
        <v>#N/A</v>
      </c>
      <c r="K55" s="410" t="e">
        <f>IF(OR(VLOOKUP("Ртуть",Исх.данные!$C$546:$F$555,4,FALSE)="менее 0.005",VLOOKUP("Ртуть",Исх.данные!$C$546:$F$555,4,FALSE)="менее 0.005 "),"0.005",VLOOKUP("Ртуть",Исх.данные!$C$546:$F$555,4,FALSE))</f>
        <v>#N/A</v>
      </c>
      <c r="L55" s="410" t="e">
        <f>VLOOKUP("Свинец",Исх.данные!$C$546:$F$555,4,FALSE)</f>
        <v>#N/A</v>
      </c>
      <c r="M55" s="410" t="e">
        <f>VLOOKUP("Цинк",Исх.данные!$C$546:$F$555,4,FALSE)</f>
        <v>#N/A</v>
      </c>
      <c r="N55" s="411" t="e">
        <f>VLOOKUP(D55,Акт!$C$1:$I$30,7,FALSE)</f>
        <v>#N/A</v>
      </c>
      <c r="O55" s="382" t="e">
        <f>VLOOKUP("pH солевой вытяжки",Исх.данные!$C$546:$F$555,4,FALSE)</f>
        <v>#N/A</v>
      </c>
      <c r="P55" s="412"/>
      <c r="Q55" s="245">
        <f t="shared" si="60"/>
        <v>38</v>
      </c>
      <c r="S55" s="177" t="str">
        <f t="shared" si="61"/>
        <v>38</v>
      </c>
      <c r="T55" s="249">
        <f t="shared" si="62"/>
        <v>0</v>
      </c>
      <c r="U55" s="249" t="e">
        <f t="shared" si="63"/>
        <v>#N/A</v>
      </c>
      <c r="V55" s="345" t="str">
        <f t="shared" si="64"/>
        <v>нет</v>
      </c>
      <c r="W55" s="384" t="str">
        <f t="shared" si="65"/>
        <v>Д</v>
      </c>
      <c r="X55" s="414"/>
      <c r="Y55" s="245"/>
      <c r="Z55" s="245"/>
      <c r="AA55" s="410" t="e">
        <f>VLOOKUP("Бенз(а)пирен",Исх.данные!$C$546:$F$555,4,FALSE)</f>
        <v>#N/A</v>
      </c>
      <c r="AB55" s="410" t="e">
        <f>VLOOKUP("Бенз(а)пирен",Исх.данные!$C$546:$H$555,6,FALSE)</f>
        <v>#N/A</v>
      </c>
      <c r="AC55" s="245">
        <f t="shared" si="66"/>
        <v>38</v>
      </c>
      <c r="AD55" s="245"/>
      <c r="AE55" s="177" t="str">
        <f t="shared" si="67"/>
        <v>38</v>
      </c>
      <c r="AF55" s="249">
        <f t="shared" si="68"/>
        <v>0</v>
      </c>
      <c r="AG55" s="249" t="e">
        <f t="shared" si="69"/>
        <v>#N/A</v>
      </c>
      <c r="AH55" s="415" t="str">
        <f t="shared" si="70"/>
        <v>нет</v>
      </c>
      <c r="AI55" s="384" t="str">
        <f t="shared" si="71"/>
        <v>Допустимый</v>
      </c>
      <c r="AJ55" s="245"/>
      <c r="AK55" s="245"/>
      <c r="AL55" s="410" t="e">
        <f>VLOOKUP("Нефтепродукты",Исх.данные!$C$546:$F$555,4,FALSE)</f>
        <v>#N/A</v>
      </c>
      <c r="AM55" s="410" t="e">
        <f>VLOOKUP("Нефтепродукты",Исх.данные!$C$546:$H$555,6,FALSE)</f>
        <v>#N/A</v>
      </c>
      <c r="AN55" s="245"/>
      <c r="AO55" s="245">
        <f t="shared" si="72"/>
        <v>38</v>
      </c>
      <c r="AP55" s="245"/>
      <c r="AQ55" s="416" t="str">
        <f t="shared" si="73"/>
        <v>38</v>
      </c>
      <c r="AR55" s="412">
        <f t="shared" si="74"/>
        <v>0</v>
      </c>
      <c r="AS55" s="415" t="str">
        <f t="shared" si="75"/>
        <v>ошибка</v>
      </c>
      <c r="AT55" s="415" t="str">
        <f t="shared" si="76"/>
        <v>ошибка</v>
      </c>
      <c r="AU55" s="417" t="str">
        <f t="shared" si="77"/>
        <v>ошибка</v>
      </c>
      <c r="AV55" s="415" t="str">
        <f t="shared" si="78"/>
        <v>ошибка</v>
      </c>
      <c r="AW55" s="415" t="str">
        <f t="shared" si="79"/>
        <v>ошибка</v>
      </c>
      <c r="AX55" s="415" t="str">
        <f t="shared" si="80"/>
        <v>ошибка</v>
      </c>
      <c r="AY55" s="418" t="str">
        <f t="shared" si="81"/>
        <v>ошибка</v>
      </c>
      <c r="AZ55" s="345" t="e">
        <f t="shared" si="82"/>
        <v>#N/A</v>
      </c>
      <c r="BA55" s="419" t="e">
        <f t="shared" si="83"/>
        <v>#N/A</v>
      </c>
      <c r="BB55" s="420"/>
      <c r="BC55" s="345" t="e">
        <f t="shared" si="84"/>
        <v>#N/A</v>
      </c>
      <c r="BD55" s="345" t="e">
        <f t="shared" si="85"/>
        <v>#N/A</v>
      </c>
      <c r="BE55" s="345" t="e">
        <f t="shared" si="86"/>
        <v>#N/A</v>
      </c>
      <c r="BF55" s="345" t="e">
        <f t="shared" si="87"/>
        <v>#N/A</v>
      </c>
      <c r="BG55" s="345" t="e">
        <f t="shared" si="88"/>
        <v>#N/A</v>
      </c>
      <c r="BH55" s="345" t="e">
        <f t="shared" si="89"/>
        <v>#N/A</v>
      </c>
      <c r="BI55" s="345" t="e">
        <f t="shared" si="90"/>
        <v>#N/A</v>
      </c>
      <c r="BJ55" s="420"/>
      <c r="BK55" s="345" t="e">
        <f t="shared" si="42"/>
        <v>#N/A</v>
      </c>
      <c r="BL55" s="345" t="e">
        <f t="shared" si="43"/>
        <v>#N/A</v>
      </c>
      <c r="BM55" s="345" t="e">
        <f t="shared" si="44"/>
        <v>#N/A</v>
      </c>
      <c r="BN55" s="345" t="e">
        <f t="shared" si="45"/>
        <v>#N/A</v>
      </c>
      <c r="BO55" s="345" t="e">
        <f t="shared" si="46"/>
        <v>#N/A</v>
      </c>
      <c r="BP55" s="345" t="e">
        <f t="shared" si="47"/>
        <v>#N/A</v>
      </c>
      <c r="BQ55" s="345" t="e">
        <f t="shared" si="48"/>
        <v>#N/A</v>
      </c>
      <c r="BR55" s="420"/>
      <c r="BS55" s="421" t="e">
        <f t="shared" si="91"/>
        <v>#N/A</v>
      </c>
      <c r="BT55" s="422" t="e">
        <f t="shared" si="92"/>
        <v>#N/A</v>
      </c>
      <c r="BU55" s="415" t="e">
        <f t="shared" si="93"/>
        <v>#N/A</v>
      </c>
      <c r="BV55" s="423" t="e">
        <f t="shared" si="94"/>
        <v>#N/A</v>
      </c>
    </row>
    <row r="56" spans="1:79" s="413" customFormat="1" ht="16.5" thickBot="1" x14ac:dyDescent="0.3">
      <c r="A56" s="408"/>
      <c r="B56" s="293"/>
      <c r="C56" s="177">
        <f>IF(ISBLANK(D56),"",COUNTA($D$18:D56))</f>
        <v>39</v>
      </c>
      <c r="D56" s="409" t="str">
        <f>RIGHT(Исх.данные!A557,7)</f>
        <v>39</v>
      </c>
      <c r="E56" s="445">
        <f>Акт!B39</f>
        <v>0</v>
      </c>
      <c r="F56" s="410" t="e">
        <f>VLOOKUP("pH солевой вытяжки",Исх.данные!$C$560:$F$569,4,FALSE)</f>
        <v>#N/A</v>
      </c>
      <c r="G56" s="410" t="e">
        <f>IF(OR(VLOOKUP("Кадмий",Исх.данные!$C$560:$F$569,4,FALSE)="менее 0.05",VLOOKUP("Кадмий",Исх.данные!$C$560:$F$569,4,FALSE)="менее 0.05 "),"0.05",VLOOKUP("Кадмий",Исх.данные!$C$560:$F$569,4,FALSE))</f>
        <v>#N/A</v>
      </c>
      <c r="H56" s="410" t="e">
        <f>IF(OR(VLOOKUP("Медь",Исх.данные!$C$560:$F$569,4,FALSE)="менее 0.1",VLOOKUP("Медь",Исх.данные!$C$560:$F$569,4,FALSE)="менее 0.1 "),"0.1",VLOOKUP("Медь",Исх.данные!$C$560:$F$569,4,FALSE))</f>
        <v>#N/A</v>
      </c>
      <c r="I56" s="410" t="e">
        <f>IF(OR(VLOOKUP("Мышьяк",Исх.данные!$C$560:$F$569,4,FALSE)="менее 0.1",VLOOKUP("Мышьяк",Исх.данные!$C$560:$F$569,4,FALSE)="менее 0.1 "),"0.1",VLOOKUP("Мышьяк",Исх.данные!$C$560:$F$569,4,FALSE))</f>
        <v>#N/A</v>
      </c>
      <c r="J56" s="410" t="e">
        <f>VLOOKUP("Никель",Исх.данные!$C$560:$F$569,4,FALSE)</f>
        <v>#N/A</v>
      </c>
      <c r="K56" s="410" t="e">
        <f>IF(OR(VLOOKUP("Ртуть",Исх.данные!$C$560:$F$569,4,FALSE)="менее 0.005",VLOOKUP("Ртуть",Исх.данные!$C$560:$F$569,4,FALSE)="менее 0.005 "),"0.005",VLOOKUP("Ртуть",Исх.данные!$C$560:$F$569,4,FALSE))</f>
        <v>#N/A</v>
      </c>
      <c r="L56" s="410" t="e">
        <f>VLOOKUP("Свинец",Исх.данные!$C$560:$F$569,4,FALSE)</f>
        <v>#N/A</v>
      </c>
      <c r="M56" s="410" t="e">
        <f>VLOOKUP("Цинк",Исх.данные!$C$560:$F$569,4,FALSE)</f>
        <v>#N/A</v>
      </c>
      <c r="N56" s="411" t="e">
        <f>VLOOKUP(D56,Акт!$C$1:$I$30,7,FALSE)</f>
        <v>#N/A</v>
      </c>
      <c r="O56" s="382" t="e">
        <f>VLOOKUP("pH солевой вытяжки",Исх.данные!$C$560:$F$569,4,FALSE)</f>
        <v>#N/A</v>
      </c>
      <c r="P56" s="412"/>
      <c r="Q56" s="245">
        <f t="shared" si="60"/>
        <v>39</v>
      </c>
      <c r="S56" s="177" t="str">
        <f t="shared" si="61"/>
        <v>39</v>
      </c>
      <c r="T56" s="249">
        <f t="shared" si="62"/>
        <v>0</v>
      </c>
      <c r="U56" s="249" t="e">
        <f t="shared" si="63"/>
        <v>#N/A</v>
      </c>
      <c r="V56" s="345" t="str">
        <f t="shared" si="64"/>
        <v>нет</v>
      </c>
      <c r="W56" s="384" t="str">
        <f t="shared" si="65"/>
        <v>Д</v>
      </c>
      <c r="X56" s="414"/>
      <c r="Y56" s="245"/>
      <c r="Z56" s="245"/>
      <c r="AA56" s="410" t="e">
        <f>VLOOKUP("Бенз(а)пирен",Исх.данные!$C$560:$F$569,4,FALSE)</f>
        <v>#N/A</v>
      </c>
      <c r="AB56" s="410" t="e">
        <f>VLOOKUP("Бенз(а)пирен",Исх.данные!$C$560:$H$569,6,FALSE)</f>
        <v>#N/A</v>
      </c>
      <c r="AC56" s="245">
        <f t="shared" si="66"/>
        <v>39</v>
      </c>
      <c r="AD56" s="245"/>
      <c r="AE56" s="177" t="str">
        <f t="shared" si="67"/>
        <v>39</v>
      </c>
      <c r="AF56" s="249">
        <f t="shared" si="68"/>
        <v>0</v>
      </c>
      <c r="AG56" s="249" t="e">
        <f t="shared" si="69"/>
        <v>#N/A</v>
      </c>
      <c r="AH56" s="415" t="str">
        <f t="shared" si="70"/>
        <v>нет</v>
      </c>
      <c r="AI56" s="384" t="str">
        <f t="shared" si="71"/>
        <v>Допустимый</v>
      </c>
      <c r="AJ56" s="245"/>
      <c r="AK56" s="245"/>
      <c r="AL56" s="410" t="e">
        <f>VLOOKUP("Нефтепродукты",Исх.данные!$C$560:$F$569,4,FALSE)</f>
        <v>#N/A</v>
      </c>
      <c r="AM56" s="410" t="e">
        <f>VLOOKUP("Нефтепродукты",Исх.данные!$C$560:$H$569,6,FALSE)</f>
        <v>#N/A</v>
      </c>
      <c r="AN56" s="245"/>
      <c r="AO56" s="245">
        <f t="shared" si="72"/>
        <v>39</v>
      </c>
      <c r="AP56" s="245"/>
      <c r="AQ56" s="416" t="str">
        <f t="shared" si="73"/>
        <v>39</v>
      </c>
      <c r="AR56" s="412">
        <f t="shared" si="74"/>
        <v>0</v>
      </c>
      <c r="AS56" s="415" t="str">
        <f t="shared" si="75"/>
        <v>ошибка</v>
      </c>
      <c r="AT56" s="415" t="str">
        <f t="shared" si="76"/>
        <v>ошибка</v>
      </c>
      <c r="AU56" s="417" t="str">
        <f t="shared" si="77"/>
        <v>ошибка</v>
      </c>
      <c r="AV56" s="415" t="str">
        <f t="shared" si="78"/>
        <v>ошибка</v>
      </c>
      <c r="AW56" s="415" t="str">
        <f t="shared" si="79"/>
        <v>ошибка</v>
      </c>
      <c r="AX56" s="415" t="str">
        <f t="shared" si="80"/>
        <v>ошибка</v>
      </c>
      <c r="AY56" s="418" t="str">
        <f t="shared" si="81"/>
        <v>ошибка</v>
      </c>
      <c r="AZ56" s="345" t="e">
        <f t="shared" si="82"/>
        <v>#N/A</v>
      </c>
      <c r="BA56" s="419" t="e">
        <f t="shared" si="83"/>
        <v>#N/A</v>
      </c>
      <c r="BB56" s="420"/>
      <c r="BC56" s="345" t="e">
        <f t="shared" si="84"/>
        <v>#N/A</v>
      </c>
      <c r="BD56" s="345" t="e">
        <f t="shared" si="85"/>
        <v>#N/A</v>
      </c>
      <c r="BE56" s="345" t="e">
        <f t="shared" si="86"/>
        <v>#N/A</v>
      </c>
      <c r="BF56" s="345" t="e">
        <f t="shared" si="87"/>
        <v>#N/A</v>
      </c>
      <c r="BG56" s="345" t="e">
        <f t="shared" si="88"/>
        <v>#N/A</v>
      </c>
      <c r="BH56" s="345" t="e">
        <f t="shared" si="89"/>
        <v>#N/A</v>
      </c>
      <c r="BI56" s="345" t="e">
        <f t="shared" si="90"/>
        <v>#N/A</v>
      </c>
      <c r="BJ56" s="420"/>
      <c r="BK56" s="345" t="e">
        <f t="shared" si="42"/>
        <v>#N/A</v>
      </c>
      <c r="BL56" s="345" t="e">
        <f t="shared" si="43"/>
        <v>#N/A</v>
      </c>
      <c r="BM56" s="345" t="e">
        <f t="shared" si="44"/>
        <v>#N/A</v>
      </c>
      <c r="BN56" s="345" t="e">
        <f t="shared" si="45"/>
        <v>#N/A</v>
      </c>
      <c r="BO56" s="345" t="e">
        <f t="shared" si="46"/>
        <v>#N/A</v>
      </c>
      <c r="BP56" s="345" t="e">
        <f t="shared" si="47"/>
        <v>#N/A</v>
      </c>
      <c r="BQ56" s="345" t="e">
        <f t="shared" si="48"/>
        <v>#N/A</v>
      </c>
      <c r="BR56" s="420"/>
      <c r="BS56" s="421" t="e">
        <f t="shared" si="91"/>
        <v>#N/A</v>
      </c>
      <c r="BT56" s="422" t="e">
        <f t="shared" si="92"/>
        <v>#N/A</v>
      </c>
      <c r="BU56" s="415" t="e">
        <f t="shared" si="93"/>
        <v>#N/A</v>
      </c>
      <c r="BV56" s="423" t="e">
        <f t="shared" si="94"/>
        <v>#N/A</v>
      </c>
    </row>
    <row r="57" spans="1:79" s="413" customFormat="1" ht="16.5" thickBot="1" x14ac:dyDescent="0.3">
      <c r="A57" s="408"/>
      <c r="B57" s="293"/>
      <c r="C57" s="177">
        <f>IF(ISBLANK(D57),"",COUNTA($D$18:D57))</f>
        <v>40</v>
      </c>
      <c r="D57" s="409" t="str">
        <f>RIGHT(Исх.данные!A573,7)</f>
        <v>40</v>
      </c>
      <c r="E57" s="445">
        <f>Акт!B40</f>
        <v>0</v>
      </c>
      <c r="F57" s="410" t="e">
        <f>VLOOKUP("pH солевой вытяжки",Исх.данные!$C$576:$F$585,4,FALSE)</f>
        <v>#N/A</v>
      </c>
      <c r="G57" s="410" t="e">
        <f>IF(OR(VLOOKUP("Кадмий",Исх.данные!$C$576:$F$585,4,FALSE)="менее 0.05",VLOOKUP("Кадмий",Исх.данные!$C$576:$F$585,4,FALSE)="менее 0.05 "),"0.05",VLOOKUP("Кадмий",Исх.данные!$C$576:$F$585,4,FALSE))</f>
        <v>#N/A</v>
      </c>
      <c r="H57" s="410" t="e">
        <f>IF(OR(VLOOKUP("Медь",Исх.данные!$C$576:$F$585,4,FALSE)="менее 0.1",VLOOKUP("Медь",Исх.данные!$C$576:$F$585,4,FALSE)="менее 0.1 "),"0.1",VLOOKUP("Медь",Исх.данные!$C$576:$F$585,4,FALSE))</f>
        <v>#N/A</v>
      </c>
      <c r="I57" s="410" t="e">
        <f>IF(OR(VLOOKUP("Мышьяк",Исх.данные!$C$576:$F$585,4,FALSE)="менее 0.1",VLOOKUP("Мышьяк",Исх.данные!$C$576:$F$585,4,FALSE)="менее 0.1 "),"0.1",VLOOKUP("Мышьяк",Исх.данные!$C$576:$F$585,4,FALSE))</f>
        <v>#N/A</v>
      </c>
      <c r="J57" s="410" t="e">
        <f>VLOOKUP("Никель",Исх.данные!$C$576:$F$585,4,FALSE)</f>
        <v>#N/A</v>
      </c>
      <c r="K57" s="410" t="e">
        <f>IF(OR(VLOOKUP("Ртуть",Исх.данные!$C$576:$F$585,4,FALSE)="менее 0.005",VLOOKUP("Ртуть",Исх.данные!$C$576:$F$585,4,FALSE)="менее 0.005 "),"0.005",VLOOKUP("Ртуть",Исх.данные!$C$576:$F$585,4,FALSE))</f>
        <v>#N/A</v>
      </c>
      <c r="L57" s="410" t="e">
        <f>VLOOKUP("Свинец",Исх.данные!$C$576:$F$585,4,FALSE)</f>
        <v>#N/A</v>
      </c>
      <c r="M57" s="410" t="e">
        <f>VLOOKUP("Цинк",Исх.данные!$C$576:$F$585,4,FALSE)</f>
        <v>#N/A</v>
      </c>
      <c r="N57" s="411" t="e">
        <f>VLOOKUP(D57,Акт!$C$1:$I$30,7,FALSE)</f>
        <v>#N/A</v>
      </c>
      <c r="O57" s="382" t="e">
        <f>VLOOKUP("pH солевой вытяжки",Исх.данные!$C$576:$F$585,4,FALSE)</f>
        <v>#N/A</v>
      </c>
      <c r="P57" s="412"/>
      <c r="Q57" s="245">
        <f t="shared" si="60"/>
        <v>40</v>
      </c>
      <c r="S57" s="177" t="str">
        <f t="shared" si="61"/>
        <v>40</v>
      </c>
      <c r="T57" s="249">
        <f t="shared" si="62"/>
        <v>0</v>
      </c>
      <c r="U57" s="249" t="e">
        <f t="shared" si="63"/>
        <v>#N/A</v>
      </c>
      <c r="V57" s="345" t="str">
        <f t="shared" si="64"/>
        <v>нет</v>
      </c>
      <c r="W57" s="384" t="str">
        <f t="shared" si="65"/>
        <v>Д</v>
      </c>
      <c r="X57" s="414"/>
      <c r="Y57" s="245"/>
      <c r="Z57" s="245"/>
      <c r="AA57" s="410" t="e">
        <f>VLOOKUP("Бенз(а)пирен",Исх.данные!$C$576:$F$585,4,FALSE)</f>
        <v>#N/A</v>
      </c>
      <c r="AB57" s="410" t="e">
        <f>VLOOKUP("Бенз(а)пирен",Исх.данные!$C$576:$H$585,6,FALSE)</f>
        <v>#N/A</v>
      </c>
      <c r="AC57" s="245">
        <f t="shared" si="66"/>
        <v>40</v>
      </c>
      <c r="AD57" s="245"/>
      <c r="AE57" s="177" t="str">
        <f t="shared" si="67"/>
        <v>40</v>
      </c>
      <c r="AF57" s="249">
        <f t="shared" si="68"/>
        <v>0</v>
      </c>
      <c r="AG57" s="249" t="e">
        <f t="shared" si="69"/>
        <v>#N/A</v>
      </c>
      <c r="AH57" s="415" t="str">
        <f t="shared" si="70"/>
        <v>нет</v>
      </c>
      <c r="AI57" s="384" t="str">
        <f t="shared" si="71"/>
        <v>Допустимый</v>
      </c>
      <c r="AJ57" s="245"/>
      <c r="AK57" s="245"/>
      <c r="AL57" s="410" t="e">
        <f>VLOOKUP("Нефтепродукты",Исх.данные!$C$576:$F$585,4,FALSE)</f>
        <v>#N/A</v>
      </c>
      <c r="AM57" s="410" t="e">
        <f>VLOOKUP("Нефтепродукты",Исх.данные!$C$576:$H$585,6,FALSE)</f>
        <v>#N/A</v>
      </c>
      <c r="AN57" s="245"/>
      <c r="AO57" s="245">
        <f t="shared" si="72"/>
        <v>40</v>
      </c>
      <c r="AP57" s="245"/>
      <c r="AQ57" s="416" t="str">
        <f t="shared" si="73"/>
        <v>40</v>
      </c>
      <c r="AR57" s="412">
        <f t="shared" si="74"/>
        <v>0</v>
      </c>
      <c r="AS57" s="415" t="str">
        <f t="shared" si="75"/>
        <v>ошибка</v>
      </c>
      <c r="AT57" s="415" t="str">
        <f t="shared" si="76"/>
        <v>ошибка</v>
      </c>
      <c r="AU57" s="417" t="str">
        <f t="shared" si="77"/>
        <v>ошибка</v>
      </c>
      <c r="AV57" s="415" t="str">
        <f t="shared" si="78"/>
        <v>ошибка</v>
      </c>
      <c r="AW57" s="415" t="str">
        <f t="shared" si="79"/>
        <v>ошибка</v>
      </c>
      <c r="AX57" s="415" t="str">
        <f t="shared" si="80"/>
        <v>ошибка</v>
      </c>
      <c r="AY57" s="418" t="str">
        <f t="shared" si="81"/>
        <v>ошибка</v>
      </c>
      <c r="AZ57" s="345" t="e">
        <f t="shared" si="82"/>
        <v>#N/A</v>
      </c>
      <c r="BA57" s="419" t="e">
        <f t="shared" si="83"/>
        <v>#N/A</v>
      </c>
      <c r="BB57" s="420"/>
      <c r="BC57" s="345" t="e">
        <f t="shared" si="84"/>
        <v>#N/A</v>
      </c>
      <c r="BD57" s="345" t="e">
        <f t="shared" si="85"/>
        <v>#N/A</v>
      </c>
      <c r="BE57" s="345" t="e">
        <f t="shared" si="86"/>
        <v>#N/A</v>
      </c>
      <c r="BF57" s="345" t="e">
        <f t="shared" si="87"/>
        <v>#N/A</v>
      </c>
      <c r="BG57" s="345" t="e">
        <f t="shared" si="88"/>
        <v>#N/A</v>
      </c>
      <c r="BH57" s="345" t="e">
        <f t="shared" si="89"/>
        <v>#N/A</v>
      </c>
      <c r="BI57" s="345" t="e">
        <f t="shared" si="90"/>
        <v>#N/A</v>
      </c>
      <c r="BJ57" s="420"/>
      <c r="BK57" s="345" t="e">
        <f t="shared" si="42"/>
        <v>#N/A</v>
      </c>
      <c r="BL57" s="345" t="e">
        <f t="shared" si="43"/>
        <v>#N/A</v>
      </c>
      <c r="BM57" s="345" t="e">
        <f t="shared" si="44"/>
        <v>#N/A</v>
      </c>
      <c r="BN57" s="345" t="e">
        <f t="shared" si="45"/>
        <v>#N/A</v>
      </c>
      <c r="BO57" s="345" t="e">
        <f t="shared" si="46"/>
        <v>#N/A</v>
      </c>
      <c r="BP57" s="345" t="e">
        <f t="shared" si="47"/>
        <v>#N/A</v>
      </c>
      <c r="BQ57" s="345" t="e">
        <f t="shared" si="48"/>
        <v>#N/A</v>
      </c>
      <c r="BR57" s="420"/>
      <c r="BS57" s="421" t="e">
        <f t="shared" si="91"/>
        <v>#N/A</v>
      </c>
      <c r="BT57" s="422" t="e">
        <f t="shared" si="92"/>
        <v>#N/A</v>
      </c>
      <c r="BU57" s="415" t="e">
        <f t="shared" si="93"/>
        <v>#N/A</v>
      </c>
      <c r="BV57" s="423" t="e">
        <f t="shared" si="94"/>
        <v>#N/A</v>
      </c>
    </row>
    <row r="58" spans="1:79" ht="16.5" thickBot="1" x14ac:dyDescent="0.3">
      <c r="B58" s="293"/>
      <c r="C58" s="385">
        <f>IF(ISBLANK(D58),"",COUNTA($D$18:D58))</f>
        <v>41</v>
      </c>
      <c r="D58" s="386" t="str">
        <f>RIGHT(Исх.данные!A587,7)</f>
        <v>41</v>
      </c>
      <c r="E58" s="387" t="e">
        <f>VLOOKUP(D58,Акт!$C$1:$I$30,6,FALSE)</f>
        <v>#N/A</v>
      </c>
      <c r="F58" s="388">
        <f>VLOOKUP("pH солевой вытяжки",Исх.данные!$C$427:$F$437,4,FALSE)</f>
        <v>6.2</v>
      </c>
      <c r="G58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58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58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58" s="388">
        <f>VLOOKUP("Никель",Исх.данные!$C$427:$F$437,4,FALSE)</f>
        <v>3.5</v>
      </c>
      <c r="K58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58" s="388" t="str">
        <f>VLOOKUP("Свинец",Исх.данные!$C$427:$F$437,4,FALSE)</f>
        <v>27</v>
      </c>
      <c r="M58" s="388" t="str">
        <f>VLOOKUP("Цинк",Исх.данные!$C$427:$F$437,4,FALSE)</f>
        <v>31</v>
      </c>
      <c r="N58" s="389" t="e">
        <f>VLOOKUP(D58,Акт!$C$1:$I$30,7,FALSE)</f>
        <v>#N/A</v>
      </c>
      <c r="O58" s="390">
        <f>VLOOKUP("pH солевой вытяжки",Исх.данные!$C$427:$F$437,4,FALSE)</f>
        <v>6.2</v>
      </c>
      <c r="P58" s="391"/>
      <c r="Q58" s="392">
        <f t="shared" si="60"/>
        <v>41</v>
      </c>
      <c r="R58" s="393"/>
      <c r="S58" s="385" t="str">
        <f t="shared" si="61"/>
        <v>41</v>
      </c>
      <c r="T58" s="394" t="e">
        <f t="shared" si="62"/>
        <v>#N/A</v>
      </c>
      <c r="U58" s="394" t="str">
        <f t="shared" si="63"/>
        <v>0,0051</v>
      </c>
      <c r="V58" s="395" t="str">
        <f t="shared" si="64"/>
        <v>нет</v>
      </c>
      <c r="W58" s="396" t="str">
        <f t="shared" si="65"/>
        <v>Д</v>
      </c>
      <c r="X58" s="397"/>
      <c r="Y58" s="392"/>
      <c r="Z58" s="392"/>
      <c r="AA58" s="388">
        <f>VLOOKUP("Бенз(а)пирен",Исх.данные!$C$427:$F$437,4,FALSE)</f>
        <v>5.0000000000000001E-3</v>
      </c>
      <c r="AB58" s="388" t="str">
        <f>VLOOKUP("Бенз(а)пирен",Исх.данные!$C$427:$H$437,6,FALSE)</f>
        <v>1</v>
      </c>
      <c r="AC58" s="392">
        <f t="shared" si="66"/>
        <v>41</v>
      </c>
      <c r="AD58" s="392"/>
      <c r="AE58" s="385" t="str">
        <f t="shared" si="67"/>
        <v>41</v>
      </c>
      <c r="AF58" s="394" t="e">
        <f t="shared" si="68"/>
        <v>#N/A</v>
      </c>
      <c r="AG58" s="394" t="str">
        <f t="shared" si="69"/>
        <v>502</v>
      </c>
      <c r="AH58" s="398" t="str">
        <f t="shared" si="70"/>
        <v>нет</v>
      </c>
      <c r="AI58" s="399" t="str">
        <f t="shared" si="71"/>
        <v>Допустимый</v>
      </c>
      <c r="AJ58" s="392"/>
      <c r="AK58" s="392"/>
      <c r="AL58" s="388">
        <f>VLOOKUP("Нефтепродукты",Исх.данные!$C$427:$F$437,4,FALSE)</f>
        <v>50</v>
      </c>
      <c r="AM58" s="388" t="str">
        <f>VLOOKUP("Нефтепродукты",Исх.данные!$C$427:$H$437,6,FALSE)</f>
        <v>2</v>
      </c>
      <c r="AN58" s="392"/>
      <c r="AO58" s="392">
        <f t="shared" si="72"/>
        <v>41</v>
      </c>
      <c r="AP58" s="392"/>
      <c r="AQ58" s="400" t="str">
        <f t="shared" si="73"/>
        <v>41</v>
      </c>
      <c r="AR58" s="391" t="e">
        <f t="shared" si="74"/>
        <v>#N/A</v>
      </c>
      <c r="AS58" s="398" t="str">
        <f t="shared" si="75"/>
        <v>ошибка</v>
      </c>
      <c r="AT58" s="398" t="str">
        <f t="shared" si="76"/>
        <v>ошибка</v>
      </c>
      <c r="AU58" s="401" t="str">
        <f t="shared" si="77"/>
        <v>ошибка</v>
      </c>
      <c r="AV58" s="398" t="str">
        <f t="shared" si="78"/>
        <v>ошибка</v>
      </c>
      <c r="AW58" s="398" t="str">
        <f t="shared" si="79"/>
        <v>нет</v>
      </c>
      <c r="AX58" s="398" t="str">
        <f t="shared" si="80"/>
        <v>ошибка</v>
      </c>
      <c r="AY58" s="402" t="str">
        <f t="shared" si="81"/>
        <v>ошибка</v>
      </c>
      <c r="AZ58" s="395">
        <f t="shared" si="82"/>
        <v>1.0384615384615385</v>
      </c>
      <c r="BA58" s="403" t="str">
        <f t="shared" si="83"/>
        <v>Д</v>
      </c>
      <c r="BB58" s="404"/>
      <c r="BC58" s="395">
        <f t="shared" si="84"/>
        <v>0.46666666666666673</v>
      </c>
      <c r="BD58" s="395">
        <f t="shared" si="85"/>
        <v>0.48148148148148145</v>
      </c>
      <c r="BE58" s="395">
        <f t="shared" si="86"/>
        <v>9.0909090909090912E-2</v>
      </c>
      <c r="BF58" s="395">
        <f t="shared" si="87"/>
        <v>0.17499999999999999</v>
      </c>
      <c r="BG58" s="395">
        <f t="shared" si="88"/>
        <v>6.4999999999999988E-2</v>
      </c>
      <c r="BH58" s="395">
        <f t="shared" si="89"/>
        <v>1.0384615384615385</v>
      </c>
      <c r="BI58" s="395">
        <f t="shared" si="90"/>
        <v>0.59615384615384615</v>
      </c>
      <c r="BJ58" s="404"/>
      <c r="BK58" s="395" t="e">
        <f t="shared" si="42"/>
        <v>#N/A</v>
      </c>
      <c r="BL58" s="395" t="e">
        <f t="shared" si="43"/>
        <v>#N/A</v>
      </c>
      <c r="BM58" s="395" t="e">
        <f t="shared" si="44"/>
        <v>#N/A</v>
      </c>
      <c r="BN58" s="395" t="e">
        <f t="shared" si="45"/>
        <v>#N/A</v>
      </c>
      <c r="BO58" s="395" t="e">
        <f t="shared" si="46"/>
        <v>#N/A</v>
      </c>
      <c r="BP58" s="395" t="e">
        <f t="shared" si="47"/>
        <v>#N/A</v>
      </c>
      <c r="BQ58" s="395" t="e">
        <f t="shared" si="48"/>
        <v>#N/A</v>
      </c>
      <c r="BR58" s="404"/>
      <c r="BS58" s="405">
        <f t="shared" si="91"/>
        <v>1.0384615384615385</v>
      </c>
      <c r="BT58" s="406" t="e">
        <f t="shared" si="92"/>
        <v>#N/A</v>
      </c>
      <c r="BU58" s="398">
        <f t="shared" si="93"/>
        <v>7.0321428571428584</v>
      </c>
      <c r="BV58" s="407">
        <f t="shared" si="94"/>
        <v>1.9666666666666668</v>
      </c>
    </row>
    <row r="59" spans="1:79" ht="16.5" thickBot="1" x14ac:dyDescent="0.3">
      <c r="B59" s="293"/>
      <c r="C59" s="385">
        <f>IF(ISBLANK(D59),"",COUNTA($D$18:D59))</f>
        <v>42</v>
      </c>
      <c r="D59" s="386" t="str">
        <f>RIGHT(Исх.данные!A601,7)</f>
        <v>42</v>
      </c>
      <c r="E59" s="387" t="e">
        <f>VLOOKUP(D59,Акт!$C$1:$I$30,6,FALSE)</f>
        <v>#N/A</v>
      </c>
      <c r="F59" s="388">
        <f>VLOOKUP("pH солевой вытяжки",Исх.данные!$C$427:$F$437,4,FALSE)</f>
        <v>6.2</v>
      </c>
      <c r="G59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59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59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59" s="388">
        <f>VLOOKUP("Никель",Исх.данные!$C$427:$F$437,4,FALSE)</f>
        <v>3.5</v>
      </c>
      <c r="K59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59" s="388" t="str">
        <f>VLOOKUP("Свинец",Исх.данные!$C$427:$F$437,4,FALSE)</f>
        <v>27</v>
      </c>
      <c r="M59" s="388" t="str">
        <f>VLOOKUP("Цинк",Исх.данные!$C$427:$F$437,4,FALSE)</f>
        <v>31</v>
      </c>
      <c r="N59" s="389" t="e">
        <f>VLOOKUP(D59,Акт!$C$1:$I$30,7,FALSE)</f>
        <v>#N/A</v>
      </c>
      <c r="O59" s="390">
        <f>VLOOKUP("pH солевой вытяжки",Исх.данные!$C$427:$F$437,4,FALSE)</f>
        <v>6.2</v>
      </c>
      <c r="P59" s="391"/>
      <c r="Q59" s="392">
        <f t="shared" si="60"/>
        <v>42</v>
      </c>
      <c r="R59" s="393"/>
      <c r="S59" s="385" t="str">
        <f t="shared" si="61"/>
        <v>42</v>
      </c>
      <c r="T59" s="394" t="e">
        <f t="shared" si="62"/>
        <v>#N/A</v>
      </c>
      <c r="U59" s="394" t="str">
        <f t="shared" si="63"/>
        <v>0,0051</v>
      </c>
      <c r="V59" s="395" t="str">
        <f t="shared" si="64"/>
        <v>нет</v>
      </c>
      <c r="W59" s="396" t="str">
        <f t="shared" si="65"/>
        <v>Д</v>
      </c>
      <c r="X59" s="397"/>
      <c r="Y59" s="392"/>
      <c r="Z59" s="392"/>
      <c r="AA59" s="388">
        <f>VLOOKUP("Бенз(а)пирен",Исх.данные!$C$427:$F$437,4,FALSE)</f>
        <v>5.0000000000000001E-3</v>
      </c>
      <c r="AB59" s="388" t="str">
        <f>VLOOKUP("Бенз(а)пирен",Исх.данные!$C$427:$H$437,6,FALSE)</f>
        <v>1</v>
      </c>
      <c r="AC59" s="392">
        <f t="shared" si="66"/>
        <v>42</v>
      </c>
      <c r="AD59" s="392"/>
      <c r="AE59" s="385" t="str">
        <f t="shared" si="67"/>
        <v>42</v>
      </c>
      <c r="AF59" s="394" t="e">
        <f t="shared" si="68"/>
        <v>#N/A</v>
      </c>
      <c r="AG59" s="394" t="str">
        <f t="shared" si="69"/>
        <v>502</v>
      </c>
      <c r="AH59" s="398" t="str">
        <f t="shared" si="70"/>
        <v>нет</v>
      </c>
      <c r="AI59" s="399" t="str">
        <f t="shared" si="71"/>
        <v>Допустимый</v>
      </c>
      <c r="AJ59" s="392"/>
      <c r="AK59" s="392"/>
      <c r="AL59" s="388">
        <f>VLOOKUP("Нефтепродукты",Исх.данные!$C$427:$F$437,4,FALSE)</f>
        <v>50</v>
      </c>
      <c r="AM59" s="388" t="str">
        <f>VLOOKUP("Нефтепродукты",Исх.данные!$C$427:$H$437,6,FALSE)</f>
        <v>2</v>
      </c>
      <c r="AN59" s="392"/>
      <c r="AO59" s="392">
        <f t="shared" si="72"/>
        <v>42</v>
      </c>
      <c r="AP59" s="392"/>
      <c r="AQ59" s="400" t="str">
        <f t="shared" si="73"/>
        <v>42</v>
      </c>
      <c r="AR59" s="391" t="e">
        <f t="shared" si="74"/>
        <v>#N/A</v>
      </c>
      <c r="AS59" s="398" t="str">
        <f t="shared" si="75"/>
        <v>ошибка</v>
      </c>
      <c r="AT59" s="398" t="str">
        <f t="shared" si="76"/>
        <v>ошибка</v>
      </c>
      <c r="AU59" s="401" t="str">
        <f t="shared" si="77"/>
        <v>ошибка</v>
      </c>
      <c r="AV59" s="398" t="str">
        <f t="shared" si="78"/>
        <v>ошибка</v>
      </c>
      <c r="AW59" s="398" t="str">
        <f t="shared" si="79"/>
        <v>нет</v>
      </c>
      <c r="AX59" s="398" t="str">
        <f t="shared" si="80"/>
        <v>ошибка</v>
      </c>
      <c r="AY59" s="402" t="str">
        <f t="shared" si="81"/>
        <v>ошибка</v>
      </c>
      <c r="AZ59" s="395">
        <f t="shared" si="82"/>
        <v>1.0384615384615385</v>
      </c>
      <c r="BA59" s="403" t="str">
        <f t="shared" si="83"/>
        <v>Д</v>
      </c>
      <c r="BB59" s="404"/>
      <c r="BC59" s="395">
        <f t="shared" si="84"/>
        <v>0.46666666666666673</v>
      </c>
      <c r="BD59" s="395">
        <f t="shared" si="85"/>
        <v>0.48148148148148145</v>
      </c>
      <c r="BE59" s="395">
        <f t="shared" si="86"/>
        <v>9.0909090909090912E-2</v>
      </c>
      <c r="BF59" s="395">
        <f t="shared" si="87"/>
        <v>0.17499999999999999</v>
      </c>
      <c r="BG59" s="395">
        <f t="shared" si="88"/>
        <v>6.4999999999999988E-2</v>
      </c>
      <c r="BH59" s="395">
        <f t="shared" si="89"/>
        <v>1.0384615384615385</v>
      </c>
      <c r="BI59" s="395">
        <f t="shared" si="90"/>
        <v>0.59615384615384615</v>
      </c>
      <c r="BJ59" s="404"/>
      <c r="BK59" s="395" t="e">
        <f t="shared" si="42"/>
        <v>#N/A</v>
      </c>
      <c r="BL59" s="395" t="e">
        <f t="shared" si="43"/>
        <v>#N/A</v>
      </c>
      <c r="BM59" s="395" t="e">
        <f t="shared" si="44"/>
        <v>#N/A</v>
      </c>
      <c r="BN59" s="395" t="e">
        <f t="shared" si="45"/>
        <v>#N/A</v>
      </c>
      <c r="BO59" s="395" t="e">
        <f t="shared" si="46"/>
        <v>#N/A</v>
      </c>
      <c r="BP59" s="395" t="e">
        <f t="shared" si="47"/>
        <v>#N/A</v>
      </c>
      <c r="BQ59" s="395" t="e">
        <f t="shared" si="48"/>
        <v>#N/A</v>
      </c>
      <c r="BR59" s="404"/>
      <c r="BS59" s="405">
        <f t="shared" si="91"/>
        <v>1.0384615384615385</v>
      </c>
      <c r="BT59" s="406" t="e">
        <f t="shared" si="92"/>
        <v>#N/A</v>
      </c>
      <c r="BU59" s="398">
        <f t="shared" si="93"/>
        <v>7.0321428571428584</v>
      </c>
      <c r="BV59" s="407">
        <f t="shared" si="94"/>
        <v>1.9666666666666668</v>
      </c>
    </row>
    <row r="60" spans="1:79" ht="16.5" thickBot="1" x14ac:dyDescent="0.3">
      <c r="B60" s="293"/>
      <c r="C60" s="385">
        <f>IF(ISBLANK(D60),"",COUNTA($D$18:D60))</f>
        <v>43</v>
      </c>
      <c r="D60" s="386" t="str">
        <f>RIGHT(Исх.данные!A617,7)</f>
        <v>43</v>
      </c>
      <c r="E60" s="387" t="e">
        <f>VLOOKUP(D60,Акт!$C$1:$I$30,6,FALSE)</f>
        <v>#N/A</v>
      </c>
      <c r="F60" s="388">
        <f>VLOOKUP("pH солевой вытяжки",Исх.данные!$C$427:$F$437,4,FALSE)</f>
        <v>6.2</v>
      </c>
      <c r="G60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0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0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0" s="388">
        <f>VLOOKUP("Никель",Исх.данные!$C$427:$F$437,4,FALSE)</f>
        <v>3.5</v>
      </c>
      <c r="K60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0" s="388" t="str">
        <f>VLOOKUP("Свинец",Исх.данные!$C$427:$F$437,4,FALSE)</f>
        <v>27</v>
      </c>
      <c r="M60" s="388" t="str">
        <f>VLOOKUP("Цинк",Исх.данные!$C$427:$F$437,4,FALSE)</f>
        <v>31</v>
      </c>
      <c r="N60" s="389" t="e">
        <f>VLOOKUP(D60,Акт!$C$1:$I$30,7,FALSE)</f>
        <v>#N/A</v>
      </c>
      <c r="O60" s="390">
        <f>VLOOKUP("pH солевой вытяжки",Исх.данные!$C$427:$F$437,4,FALSE)</f>
        <v>6.2</v>
      </c>
      <c r="P60" s="391"/>
      <c r="Q60" s="392">
        <f t="shared" si="60"/>
        <v>43</v>
      </c>
      <c r="R60" s="393"/>
      <c r="S60" s="385" t="str">
        <f t="shared" si="61"/>
        <v>43</v>
      </c>
      <c r="T60" s="394" t="e">
        <f t="shared" si="62"/>
        <v>#N/A</v>
      </c>
      <c r="U60" s="394" t="str">
        <f t="shared" si="63"/>
        <v>0,0051</v>
      </c>
      <c r="V60" s="395" t="str">
        <f t="shared" si="64"/>
        <v>нет</v>
      </c>
      <c r="W60" s="396" t="str">
        <f t="shared" si="65"/>
        <v>Д</v>
      </c>
      <c r="X60" s="397"/>
      <c r="Y60" s="392"/>
      <c r="Z60" s="392"/>
      <c r="AA60" s="388">
        <f>VLOOKUP("Бенз(а)пирен",Исх.данные!$C$427:$F$437,4,FALSE)</f>
        <v>5.0000000000000001E-3</v>
      </c>
      <c r="AB60" s="388" t="str">
        <f>VLOOKUP("Бенз(а)пирен",Исх.данные!$C$427:$H$437,6,FALSE)</f>
        <v>1</v>
      </c>
      <c r="AC60" s="392">
        <f t="shared" si="66"/>
        <v>43</v>
      </c>
      <c r="AD60" s="392"/>
      <c r="AE60" s="385" t="str">
        <f t="shared" si="67"/>
        <v>43</v>
      </c>
      <c r="AF60" s="394" t="e">
        <f t="shared" si="68"/>
        <v>#N/A</v>
      </c>
      <c r="AG60" s="394" t="str">
        <f t="shared" si="69"/>
        <v>502</v>
      </c>
      <c r="AH60" s="398" t="str">
        <f t="shared" si="70"/>
        <v>нет</v>
      </c>
      <c r="AI60" s="399" t="str">
        <f t="shared" si="71"/>
        <v>Допустимый</v>
      </c>
      <c r="AJ60" s="392"/>
      <c r="AK60" s="392"/>
      <c r="AL60" s="388">
        <f>VLOOKUP("Нефтепродукты",Исх.данные!$C$427:$F$437,4,FALSE)</f>
        <v>50</v>
      </c>
      <c r="AM60" s="388" t="str">
        <f>VLOOKUP("Нефтепродукты",Исх.данные!$C$427:$H$437,6,FALSE)</f>
        <v>2</v>
      </c>
      <c r="AN60" s="392"/>
      <c r="AO60" s="392">
        <f t="shared" si="72"/>
        <v>43</v>
      </c>
      <c r="AP60" s="392"/>
      <c r="AQ60" s="400" t="str">
        <f t="shared" si="73"/>
        <v>43</v>
      </c>
      <c r="AR60" s="391" t="e">
        <f t="shared" si="74"/>
        <v>#N/A</v>
      </c>
      <c r="AS60" s="398" t="str">
        <f t="shared" si="75"/>
        <v>ошибка</v>
      </c>
      <c r="AT60" s="398" t="str">
        <f t="shared" si="76"/>
        <v>ошибка</v>
      </c>
      <c r="AU60" s="401" t="str">
        <f t="shared" si="77"/>
        <v>ошибка</v>
      </c>
      <c r="AV60" s="398" t="str">
        <f t="shared" si="78"/>
        <v>ошибка</v>
      </c>
      <c r="AW60" s="398" t="str">
        <f t="shared" si="79"/>
        <v>нет</v>
      </c>
      <c r="AX60" s="398" t="str">
        <f t="shared" si="80"/>
        <v>ошибка</v>
      </c>
      <c r="AY60" s="402" t="str">
        <f t="shared" si="81"/>
        <v>ошибка</v>
      </c>
      <c r="AZ60" s="395">
        <f t="shared" si="82"/>
        <v>1.0384615384615385</v>
      </c>
      <c r="BA60" s="403" t="str">
        <f t="shared" si="83"/>
        <v>Д</v>
      </c>
      <c r="BB60" s="404"/>
      <c r="BC60" s="395">
        <f t="shared" si="84"/>
        <v>0.46666666666666673</v>
      </c>
      <c r="BD60" s="395">
        <f t="shared" si="85"/>
        <v>0.48148148148148145</v>
      </c>
      <c r="BE60" s="395">
        <f t="shared" si="86"/>
        <v>9.0909090909090912E-2</v>
      </c>
      <c r="BF60" s="395">
        <f t="shared" si="87"/>
        <v>0.17499999999999999</v>
      </c>
      <c r="BG60" s="395">
        <f t="shared" si="88"/>
        <v>6.4999999999999988E-2</v>
      </c>
      <c r="BH60" s="395">
        <f t="shared" si="89"/>
        <v>1.0384615384615385</v>
      </c>
      <c r="BI60" s="395">
        <f t="shared" si="90"/>
        <v>0.59615384615384615</v>
      </c>
      <c r="BJ60" s="404"/>
      <c r="BK60" s="395" t="e">
        <f t="shared" si="42"/>
        <v>#N/A</v>
      </c>
      <c r="BL60" s="395" t="e">
        <f t="shared" si="43"/>
        <v>#N/A</v>
      </c>
      <c r="BM60" s="395" t="e">
        <f t="shared" si="44"/>
        <v>#N/A</v>
      </c>
      <c r="BN60" s="395" t="e">
        <f t="shared" si="45"/>
        <v>#N/A</v>
      </c>
      <c r="BO60" s="395" t="e">
        <f t="shared" si="46"/>
        <v>#N/A</v>
      </c>
      <c r="BP60" s="395" t="e">
        <f t="shared" si="47"/>
        <v>#N/A</v>
      </c>
      <c r="BQ60" s="395" t="e">
        <f t="shared" si="48"/>
        <v>#N/A</v>
      </c>
      <c r="BR60" s="404"/>
      <c r="BS60" s="405">
        <f t="shared" si="91"/>
        <v>1.0384615384615385</v>
      </c>
      <c r="BT60" s="406" t="e">
        <f t="shared" si="92"/>
        <v>#N/A</v>
      </c>
      <c r="BU60" s="398">
        <f t="shared" si="93"/>
        <v>7.0321428571428584</v>
      </c>
      <c r="BV60" s="407">
        <f t="shared" si="94"/>
        <v>1.9666666666666668</v>
      </c>
    </row>
    <row r="61" spans="1:79" ht="16.5" thickBot="1" x14ac:dyDescent="0.3">
      <c r="B61" s="293"/>
      <c r="C61" s="385">
        <f>IF(ISBLANK(D61),"",COUNTA($D$18:D61))</f>
        <v>44</v>
      </c>
      <c r="D61" s="386" t="str">
        <f>RIGHT(Исх.данные!A631,7)</f>
        <v>44</v>
      </c>
      <c r="E61" s="387" t="e">
        <f>VLOOKUP(D61,Акт!$C$1:$I$30,6,FALSE)</f>
        <v>#N/A</v>
      </c>
      <c r="F61" s="388">
        <f>VLOOKUP("pH солевой вытяжки",Исх.данные!$C$427:$F$437,4,FALSE)</f>
        <v>6.2</v>
      </c>
      <c r="G61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1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1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1" s="388">
        <f>VLOOKUP("Никель",Исх.данные!$C$427:$F$437,4,FALSE)</f>
        <v>3.5</v>
      </c>
      <c r="K61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1" s="388" t="str">
        <f>VLOOKUP("Свинец",Исх.данные!$C$427:$F$437,4,FALSE)</f>
        <v>27</v>
      </c>
      <c r="M61" s="388" t="str">
        <f>VLOOKUP("Цинк",Исх.данные!$C$427:$F$437,4,FALSE)</f>
        <v>31</v>
      </c>
      <c r="N61" s="389" t="e">
        <f>VLOOKUP(D61,Акт!$C$1:$I$30,7,FALSE)</f>
        <v>#N/A</v>
      </c>
      <c r="O61" s="390">
        <f>VLOOKUP("pH солевой вытяжки",Исх.данные!$C$427:$F$437,4,FALSE)</f>
        <v>6.2</v>
      </c>
      <c r="P61" s="391"/>
      <c r="Q61" s="392">
        <f t="shared" si="60"/>
        <v>44</v>
      </c>
      <c r="R61" s="393"/>
      <c r="S61" s="385" t="str">
        <f t="shared" si="61"/>
        <v>44</v>
      </c>
      <c r="T61" s="394" t="e">
        <f t="shared" si="62"/>
        <v>#N/A</v>
      </c>
      <c r="U61" s="394" t="str">
        <f t="shared" si="63"/>
        <v>0,0051</v>
      </c>
      <c r="V61" s="395" t="str">
        <f t="shared" si="64"/>
        <v>нет</v>
      </c>
      <c r="W61" s="396" t="str">
        <f t="shared" si="65"/>
        <v>Д</v>
      </c>
      <c r="X61" s="397"/>
      <c r="Y61" s="392"/>
      <c r="Z61" s="392"/>
      <c r="AA61" s="388">
        <f>VLOOKUP("Бенз(а)пирен",Исх.данные!$C$427:$F$437,4,FALSE)</f>
        <v>5.0000000000000001E-3</v>
      </c>
      <c r="AB61" s="388" t="str">
        <f>VLOOKUP("Бенз(а)пирен",Исх.данные!$C$427:$H$437,6,FALSE)</f>
        <v>1</v>
      </c>
      <c r="AC61" s="392">
        <f t="shared" si="66"/>
        <v>44</v>
      </c>
      <c r="AD61" s="392"/>
      <c r="AE61" s="385" t="str">
        <f t="shared" si="67"/>
        <v>44</v>
      </c>
      <c r="AF61" s="394" t="e">
        <f t="shared" si="68"/>
        <v>#N/A</v>
      </c>
      <c r="AG61" s="394" t="str">
        <f t="shared" si="69"/>
        <v>502</v>
      </c>
      <c r="AH61" s="398" t="str">
        <f t="shared" si="70"/>
        <v>нет</v>
      </c>
      <c r="AI61" s="399" t="str">
        <f t="shared" si="71"/>
        <v>Допустимый</v>
      </c>
      <c r="AJ61" s="392"/>
      <c r="AK61" s="392"/>
      <c r="AL61" s="388">
        <f>VLOOKUP("Нефтепродукты",Исх.данные!$C$427:$F$437,4,FALSE)</f>
        <v>50</v>
      </c>
      <c r="AM61" s="388" t="str">
        <f>VLOOKUP("Нефтепродукты",Исх.данные!$C$427:$H$437,6,FALSE)</f>
        <v>2</v>
      </c>
      <c r="AN61" s="392"/>
      <c r="AO61" s="392">
        <f t="shared" si="72"/>
        <v>44</v>
      </c>
      <c r="AP61" s="392"/>
      <c r="AQ61" s="400" t="str">
        <f t="shared" si="73"/>
        <v>44</v>
      </c>
      <c r="AR61" s="391" t="e">
        <f t="shared" si="74"/>
        <v>#N/A</v>
      </c>
      <c r="AS61" s="398" t="str">
        <f t="shared" si="75"/>
        <v>ошибка</v>
      </c>
      <c r="AT61" s="398" t="str">
        <f t="shared" si="76"/>
        <v>ошибка</v>
      </c>
      <c r="AU61" s="401" t="str">
        <f t="shared" si="77"/>
        <v>ошибка</v>
      </c>
      <c r="AV61" s="398" t="str">
        <f t="shared" si="78"/>
        <v>ошибка</v>
      </c>
      <c r="AW61" s="398" t="str">
        <f t="shared" si="79"/>
        <v>нет</v>
      </c>
      <c r="AX61" s="398" t="str">
        <f t="shared" si="80"/>
        <v>ошибка</v>
      </c>
      <c r="AY61" s="402" t="str">
        <f t="shared" si="81"/>
        <v>ошибка</v>
      </c>
      <c r="AZ61" s="395">
        <f t="shared" si="82"/>
        <v>1.0384615384615385</v>
      </c>
      <c r="BA61" s="403" t="str">
        <f t="shared" si="83"/>
        <v>Д</v>
      </c>
      <c r="BB61" s="404"/>
      <c r="BC61" s="395">
        <f t="shared" si="84"/>
        <v>0.46666666666666673</v>
      </c>
      <c r="BD61" s="395">
        <f t="shared" si="85"/>
        <v>0.48148148148148145</v>
      </c>
      <c r="BE61" s="395">
        <f t="shared" si="86"/>
        <v>9.0909090909090912E-2</v>
      </c>
      <c r="BF61" s="395">
        <f t="shared" si="87"/>
        <v>0.17499999999999999</v>
      </c>
      <c r="BG61" s="395">
        <f t="shared" si="88"/>
        <v>6.4999999999999988E-2</v>
      </c>
      <c r="BH61" s="395">
        <f t="shared" si="89"/>
        <v>1.0384615384615385</v>
      </c>
      <c r="BI61" s="395">
        <f t="shared" si="90"/>
        <v>0.59615384615384615</v>
      </c>
      <c r="BJ61" s="404"/>
      <c r="BK61" s="395" t="e">
        <f t="shared" si="42"/>
        <v>#N/A</v>
      </c>
      <c r="BL61" s="395" t="e">
        <f t="shared" si="43"/>
        <v>#N/A</v>
      </c>
      <c r="BM61" s="395" t="e">
        <f t="shared" si="44"/>
        <v>#N/A</v>
      </c>
      <c r="BN61" s="395" t="e">
        <f t="shared" si="45"/>
        <v>#N/A</v>
      </c>
      <c r="BO61" s="395" t="e">
        <f t="shared" si="46"/>
        <v>#N/A</v>
      </c>
      <c r="BP61" s="395" t="e">
        <f t="shared" si="47"/>
        <v>#N/A</v>
      </c>
      <c r="BQ61" s="395" t="e">
        <f t="shared" si="48"/>
        <v>#N/A</v>
      </c>
      <c r="BR61" s="404"/>
      <c r="BS61" s="405">
        <f t="shared" si="91"/>
        <v>1.0384615384615385</v>
      </c>
      <c r="BT61" s="406" t="e">
        <f t="shared" si="92"/>
        <v>#N/A</v>
      </c>
      <c r="BU61" s="398">
        <f t="shared" si="93"/>
        <v>7.0321428571428584</v>
      </c>
      <c r="BV61" s="407">
        <f t="shared" si="94"/>
        <v>1.9666666666666668</v>
      </c>
    </row>
    <row r="62" spans="1:79" ht="16.5" thickBot="1" x14ac:dyDescent="0.3">
      <c r="B62" s="293"/>
      <c r="C62" s="385">
        <f>IF(ISBLANK(D62),"",COUNTA($D$18:D62))</f>
        <v>45</v>
      </c>
      <c r="D62" s="386" t="str">
        <f>RIGHT(Исх.данные!A645,7)</f>
        <v>45</v>
      </c>
      <c r="E62" s="387" t="e">
        <f>VLOOKUP(D62,Акт!$C$1:$I$30,6,FALSE)</f>
        <v>#N/A</v>
      </c>
      <c r="F62" s="388">
        <f>VLOOKUP("pH солевой вытяжки",Исх.данные!$C$427:$F$437,4,FALSE)</f>
        <v>6.2</v>
      </c>
      <c r="G62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2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2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2" s="388">
        <f>VLOOKUP("Никель",Исх.данные!$C$427:$F$437,4,FALSE)</f>
        <v>3.5</v>
      </c>
      <c r="K62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2" s="388" t="str">
        <f>VLOOKUP("Свинец",Исх.данные!$C$427:$F$437,4,FALSE)</f>
        <v>27</v>
      </c>
      <c r="M62" s="388" t="str">
        <f>VLOOKUP("Цинк",Исх.данные!$C$427:$F$437,4,FALSE)</f>
        <v>31</v>
      </c>
      <c r="N62" s="389" t="e">
        <f>VLOOKUP(D62,Акт!$C$1:$I$30,7,FALSE)</f>
        <v>#N/A</v>
      </c>
      <c r="O62" s="390">
        <f>VLOOKUP("pH солевой вытяжки",Исх.данные!$C$427:$F$437,4,FALSE)</f>
        <v>6.2</v>
      </c>
      <c r="P62" s="391"/>
      <c r="Q62" s="392">
        <f t="shared" si="60"/>
        <v>45</v>
      </c>
      <c r="R62" s="393"/>
      <c r="S62" s="385" t="str">
        <f t="shared" si="61"/>
        <v>45</v>
      </c>
      <c r="T62" s="394" t="e">
        <f t="shared" si="62"/>
        <v>#N/A</v>
      </c>
      <c r="U62" s="394" t="str">
        <f t="shared" si="63"/>
        <v>0,0051</v>
      </c>
      <c r="V62" s="395" t="str">
        <f t="shared" si="64"/>
        <v>нет</v>
      </c>
      <c r="W62" s="396" t="str">
        <f t="shared" si="65"/>
        <v>Д</v>
      </c>
      <c r="X62" s="397"/>
      <c r="Y62" s="392"/>
      <c r="Z62" s="392"/>
      <c r="AA62" s="388">
        <f>VLOOKUP("Бенз(а)пирен",Исх.данные!$C$427:$F$437,4,FALSE)</f>
        <v>5.0000000000000001E-3</v>
      </c>
      <c r="AB62" s="388" t="str">
        <f>VLOOKUP("Бенз(а)пирен",Исх.данные!$C$427:$H$437,6,FALSE)</f>
        <v>1</v>
      </c>
      <c r="AC62" s="392">
        <f t="shared" si="66"/>
        <v>45</v>
      </c>
      <c r="AD62" s="392"/>
      <c r="AE62" s="385" t="str">
        <f t="shared" si="67"/>
        <v>45</v>
      </c>
      <c r="AF62" s="394" t="e">
        <f t="shared" si="68"/>
        <v>#N/A</v>
      </c>
      <c r="AG62" s="394" t="str">
        <f t="shared" si="69"/>
        <v>502</v>
      </c>
      <c r="AH62" s="398" t="str">
        <f t="shared" si="70"/>
        <v>нет</v>
      </c>
      <c r="AI62" s="399" t="str">
        <f t="shared" si="71"/>
        <v>Допустимый</v>
      </c>
      <c r="AJ62" s="392"/>
      <c r="AK62" s="392"/>
      <c r="AL62" s="388">
        <f>VLOOKUP("Нефтепродукты",Исх.данные!$C$427:$F$437,4,FALSE)</f>
        <v>50</v>
      </c>
      <c r="AM62" s="388" t="str">
        <f>VLOOKUP("Нефтепродукты",Исх.данные!$C$427:$H$437,6,FALSE)</f>
        <v>2</v>
      </c>
      <c r="AN62" s="392"/>
      <c r="AO62" s="392">
        <f t="shared" si="72"/>
        <v>45</v>
      </c>
      <c r="AP62" s="392"/>
      <c r="AQ62" s="400" t="str">
        <f t="shared" si="73"/>
        <v>45</v>
      </c>
      <c r="AR62" s="391" t="e">
        <f t="shared" si="74"/>
        <v>#N/A</v>
      </c>
      <c r="AS62" s="398" t="str">
        <f t="shared" si="75"/>
        <v>ошибка</v>
      </c>
      <c r="AT62" s="398" t="str">
        <f t="shared" si="76"/>
        <v>ошибка</v>
      </c>
      <c r="AU62" s="401" t="str">
        <f t="shared" si="77"/>
        <v>ошибка</v>
      </c>
      <c r="AV62" s="398" t="str">
        <f t="shared" si="78"/>
        <v>ошибка</v>
      </c>
      <c r="AW62" s="398" t="str">
        <f t="shared" si="79"/>
        <v>нет</v>
      </c>
      <c r="AX62" s="398" t="str">
        <f t="shared" si="80"/>
        <v>ошибка</v>
      </c>
      <c r="AY62" s="402" t="str">
        <f t="shared" si="81"/>
        <v>ошибка</v>
      </c>
      <c r="AZ62" s="395">
        <f t="shared" si="82"/>
        <v>1.0384615384615385</v>
      </c>
      <c r="BA62" s="403" t="str">
        <f t="shared" si="83"/>
        <v>Д</v>
      </c>
      <c r="BB62" s="404"/>
      <c r="BC62" s="395">
        <f t="shared" si="84"/>
        <v>0.46666666666666673</v>
      </c>
      <c r="BD62" s="395">
        <f t="shared" si="85"/>
        <v>0.48148148148148145</v>
      </c>
      <c r="BE62" s="395">
        <f t="shared" si="86"/>
        <v>9.0909090909090912E-2</v>
      </c>
      <c r="BF62" s="395">
        <f t="shared" si="87"/>
        <v>0.17499999999999999</v>
      </c>
      <c r="BG62" s="395">
        <f t="shared" si="88"/>
        <v>6.4999999999999988E-2</v>
      </c>
      <c r="BH62" s="395">
        <f t="shared" si="89"/>
        <v>1.0384615384615385</v>
      </c>
      <c r="BI62" s="395">
        <f t="shared" si="90"/>
        <v>0.59615384615384615</v>
      </c>
      <c r="BJ62" s="404"/>
      <c r="BK62" s="395" t="e">
        <f t="shared" si="42"/>
        <v>#N/A</v>
      </c>
      <c r="BL62" s="395" t="e">
        <f t="shared" si="43"/>
        <v>#N/A</v>
      </c>
      <c r="BM62" s="395" t="e">
        <f t="shared" si="44"/>
        <v>#N/A</v>
      </c>
      <c r="BN62" s="395" t="e">
        <f t="shared" si="45"/>
        <v>#N/A</v>
      </c>
      <c r="BO62" s="395" t="e">
        <f t="shared" si="46"/>
        <v>#N/A</v>
      </c>
      <c r="BP62" s="395" t="e">
        <f t="shared" si="47"/>
        <v>#N/A</v>
      </c>
      <c r="BQ62" s="395" t="e">
        <f t="shared" si="48"/>
        <v>#N/A</v>
      </c>
      <c r="BR62" s="404"/>
      <c r="BS62" s="405">
        <f t="shared" si="91"/>
        <v>1.0384615384615385</v>
      </c>
      <c r="BT62" s="406" t="e">
        <f t="shared" si="92"/>
        <v>#N/A</v>
      </c>
      <c r="BU62" s="398">
        <f t="shared" si="93"/>
        <v>7.0321428571428584</v>
      </c>
      <c r="BV62" s="407">
        <f t="shared" si="94"/>
        <v>1.9666666666666668</v>
      </c>
    </row>
    <row r="63" spans="1:79" ht="16.5" thickBot="1" x14ac:dyDescent="0.3">
      <c r="B63" s="293"/>
      <c r="C63" s="385">
        <f>IF(ISBLANK(D63),"",COUNTA($D$18:D63))</f>
        <v>46</v>
      </c>
      <c r="D63" s="386" t="str">
        <f>RIGHT(Исх.данные!A661,7)</f>
        <v>46</v>
      </c>
      <c r="E63" s="387" t="e">
        <f>VLOOKUP(D63,Акт!$C$1:$I$30,6,FALSE)</f>
        <v>#N/A</v>
      </c>
      <c r="F63" s="388">
        <f>VLOOKUP("pH солевой вытяжки",Исх.данные!$C$427:$F$437,4,FALSE)</f>
        <v>6.2</v>
      </c>
      <c r="G63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3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3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3" s="388">
        <f>VLOOKUP("Никель",Исх.данные!$C$427:$F$437,4,FALSE)</f>
        <v>3.5</v>
      </c>
      <c r="K63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3" s="388" t="str">
        <f>VLOOKUP("Свинец",Исх.данные!$C$427:$F$437,4,FALSE)</f>
        <v>27</v>
      </c>
      <c r="M63" s="388" t="str">
        <f>VLOOKUP("Цинк",Исх.данные!$C$427:$F$437,4,FALSE)</f>
        <v>31</v>
      </c>
      <c r="N63" s="389" t="e">
        <f>VLOOKUP(D63,Акт!$C$1:$I$30,7,FALSE)</f>
        <v>#N/A</v>
      </c>
      <c r="O63" s="390">
        <f>VLOOKUP("pH солевой вытяжки",Исх.данные!$C$427:$F$437,4,FALSE)</f>
        <v>6.2</v>
      </c>
      <c r="P63" s="391"/>
      <c r="Q63" s="392">
        <f t="shared" si="60"/>
        <v>46</v>
      </c>
      <c r="R63" s="393"/>
      <c r="S63" s="385" t="str">
        <f t="shared" si="61"/>
        <v>46</v>
      </c>
      <c r="T63" s="394" t="e">
        <f t="shared" si="62"/>
        <v>#N/A</v>
      </c>
      <c r="U63" s="394" t="str">
        <f t="shared" si="63"/>
        <v>0,0051</v>
      </c>
      <c r="V63" s="395" t="str">
        <f t="shared" si="64"/>
        <v>нет</v>
      </c>
      <c r="W63" s="396" t="str">
        <f t="shared" si="65"/>
        <v>Д</v>
      </c>
      <c r="X63" s="397"/>
      <c r="Y63" s="392"/>
      <c r="Z63" s="392"/>
      <c r="AA63" s="388">
        <f>VLOOKUP("Бенз(а)пирен",Исх.данные!$C$427:$F$437,4,FALSE)</f>
        <v>5.0000000000000001E-3</v>
      </c>
      <c r="AB63" s="388" t="str">
        <f>VLOOKUP("Бенз(а)пирен",Исх.данные!$C$427:$H$437,6,FALSE)</f>
        <v>1</v>
      </c>
      <c r="AC63" s="392">
        <f t="shared" si="66"/>
        <v>46</v>
      </c>
      <c r="AD63" s="392"/>
      <c r="AE63" s="385" t="str">
        <f t="shared" si="67"/>
        <v>46</v>
      </c>
      <c r="AF63" s="394" t="e">
        <f t="shared" si="68"/>
        <v>#N/A</v>
      </c>
      <c r="AG63" s="394" t="str">
        <f t="shared" si="69"/>
        <v>502</v>
      </c>
      <c r="AH63" s="398" t="str">
        <f t="shared" si="70"/>
        <v>нет</v>
      </c>
      <c r="AI63" s="399" t="str">
        <f t="shared" si="71"/>
        <v>Допустимый</v>
      </c>
      <c r="AJ63" s="392"/>
      <c r="AK63" s="392"/>
      <c r="AL63" s="388">
        <f>VLOOKUP("Нефтепродукты",Исх.данные!$C$427:$F$437,4,FALSE)</f>
        <v>50</v>
      </c>
      <c r="AM63" s="388" t="str">
        <f>VLOOKUP("Нефтепродукты",Исх.данные!$C$427:$H$437,6,FALSE)</f>
        <v>2</v>
      </c>
      <c r="AN63" s="392"/>
      <c r="AO63" s="392">
        <f t="shared" si="72"/>
        <v>46</v>
      </c>
      <c r="AP63" s="392"/>
      <c r="AQ63" s="400" t="str">
        <f t="shared" si="73"/>
        <v>46</v>
      </c>
      <c r="AR63" s="391" t="e">
        <f t="shared" si="74"/>
        <v>#N/A</v>
      </c>
      <c r="AS63" s="398" t="str">
        <f t="shared" si="75"/>
        <v>ошибка</v>
      </c>
      <c r="AT63" s="398" t="str">
        <f t="shared" si="76"/>
        <v>ошибка</v>
      </c>
      <c r="AU63" s="401" t="str">
        <f t="shared" si="77"/>
        <v>ошибка</v>
      </c>
      <c r="AV63" s="398" t="str">
        <f t="shared" si="78"/>
        <v>ошибка</v>
      </c>
      <c r="AW63" s="398" t="str">
        <f t="shared" si="79"/>
        <v>нет</v>
      </c>
      <c r="AX63" s="398" t="str">
        <f t="shared" si="80"/>
        <v>ошибка</v>
      </c>
      <c r="AY63" s="402" t="str">
        <f t="shared" si="81"/>
        <v>ошибка</v>
      </c>
      <c r="AZ63" s="395">
        <f t="shared" si="82"/>
        <v>1.0384615384615385</v>
      </c>
      <c r="BA63" s="403" t="str">
        <f t="shared" si="83"/>
        <v>Д</v>
      </c>
      <c r="BB63" s="404"/>
      <c r="BC63" s="395">
        <f t="shared" si="84"/>
        <v>0.46666666666666673</v>
      </c>
      <c r="BD63" s="395">
        <f t="shared" si="85"/>
        <v>0.48148148148148145</v>
      </c>
      <c r="BE63" s="395">
        <f t="shared" si="86"/>
        <v>9.0909090909090912E-2</v>
      </c>
      <c r="BF63" s="395">
        <f t="shared" si="87"/>
        <v>0.17499999999999999</v>
      </c>
      <c r="BG63" s="395">
        <f t="shared" si="88"/>
        <v>6.4999999999999988E-2</v>
      </c>
      <c r="BH63" s="395">
        <f t="shared" si="89"/>
        <v>1.0384615384615385</v>
      </c>
      <c r="BI63" s="395">
        <f t="shared" si="90"/>
        <v>0.59615384615384615</v>
      </c>
      <c r="BJ63" s="404"/>
      <c r="BK63" s="395" t="e">
        <f t="shared" si="42"/>
        <v>#N/A</v>
      </c>
      <c r="BL63" s="395" t="e">
        <f t="shared" si="43"/>
        <v>#N/A</v>
      </c>
      <c r="BM63" s="395" t="e">
        <f t="shared" si="44"/>
        <v>#N/A</v>
      </c>
      <c r="BN63" s="395" t="e">
        <f t="shared" si="45"/>
        <v>#N/A</v>
      </c>
      <c r="BO63" s="395" t="e">
        <f t="shared" si="46"/>
        <v>#N/A</v>
      </c>
      <c r="BP63" s="395" t="e">
        <f t="shared" si="47"/>
        <v>#N/A</v>
      </c>
      <c r="BQ63" s="395" t="e">
        <f t="shared" si="48"/>
        <v>#N/A</v>
      </c>
      <c r="BR63" s="404"/>
      <c r="BS63" s="405">
        <f t="shared" si="91"/>
        <v>1.0384615384615385</v>
      </c>
      <c r="BT63" s="406" t="e">
        <f t="shared" si="92"/>
        <v>#N/A</v>
      </c>
      <c r="BU63" s="398">
        <f t="shared" si="93"/>
        <v>7.0321428571428584</v>
      </c>
      <c r="BV63" s="407">
        <f t="shared" si="94"/>
        <v>1.9666666666666668</v>
      </c>
    </row>
    <row r="64" spans="1:79" ht="16.5" thickBot="1" x14ac:dyDescent="0.3">
      <c r="B64" s="293"/>
      <c r="C64" s="385">
        <f>IF(ISBLANK(D64),"",COUNTA($D$18:D64))</f>
        <v>47</v>
      </c>
      <c r="D64" s="386" t="str">
        <f>RIGHT(Исх.данные!A675,7)</f>
        <v>47</v>
      </c>
      <c r="E64" s="387" t="e">
        <f>VLOOKUP(D64,Акт!$C$1:$I$30,6,FALSE)</f>
        <v>#N/A</v>
      </c>
      <c r="F64" s="388">
        <f>VLOOKUP("pH солевой вытяжки",Исх.данные!$C$427:$F$437,4,FALSE)</f>
        <v>6.2</v>
      </c>
      <c r="G64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4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4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4" s="388">
        <f>VLOOKUP("Никель",Исх.данные!$C$427:$F$437,4,FALSE)</f>
        <v>3.5</v>
      </c>
      <c r="K64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4" s="388" t="str">
        <f>VLOOKUP("Свинец",Исх.данные!$C$427:$F$437,4,FALSE)</f>
        <v>27</v>
      </c>
      <c r="M64" s="388" t="str">
        <f>VLOOKUP("Цинк",Исх.данные!$C$427:$F$437,4,FALSE)</f>
        <v>31</v>
      </c>
      <c r="N64" s="389" t="e">
        <f>VLOOKUP(D64,Акт!$C$1:$I$30,7,FALSE)</f>
        <v>#N/A</v>
      </c>
      <c r="O64" s="390">
        <f>VLOOKUP("pH солевой вытяжки",Исх.данные!$C$427:$F$437,4,FALSE)</f>
        <v>6.2</v>
      </c>
      <c r="P64" s="391"/>
      <c r="Q64" s="392">
        <f t="shared" si="60"/>
        <v>47</v>
      </c>
      <c r="R64" s="393"/>
      <c r="S64" s="385" t="str">
        <f t="shared" si="61"/>
        <v>47</v>
      </c>
      <c r="T64" s="394" t="e">
        <f t="shared" si="62"/>
        <v>#N/A</v>
      </c>
      <c r="U64" s="394" t="str">
        <f t="shared" si="63"/>
        <v>0,0051</v>
      </c>
      <c r="V64" s="395" t="str">
        <f t="shared" si="64"/>
        <v>нет</v>
      </c>
      <c r="W64" s="396" t="str">
        <f t="shared" si="65"/>
        <v>Д</v>
      </c>
      <c r="X64" s="397"/>
      <c r="Y64" s="392"/>
      <c r="Z64" s="392"/>
      <c r="AA64" s="388">
        <f>VLOOKUP("Бенз(а)пирен",Исх.данные!$C$427:$F$437,4,FALSE)</f>
        <v>5.0000000000000001E-3</v>
      </c>
      <c r="AB64" s="388" t="str">
        <f>VLOOKUP("Бенз(а)пирен",Исх.данные!$C$427:$H$437,6,FALSE)</f>
        <v>1</v>
      </c>
      <c r="AC64" s="392">
        <f t="shared" si="66"/>
        <v>47</v>
      </c>
      <c r="AD64" s="392"/>
      <c r="AE64" s="385" t="str">
        <f t="shared" si="67"/>
        <v>47</v>
      </c>
      <c r="AF64" s="394" t="e">
        <f t="shared" si="68"/>
        <v>#N/A</v>
      </c>
      <c r="AG64" s="394" t="str">
        <f t="shared" si="69"/>
        <v>502</v>
      </c>
      <c r="AH64" s="398" t="str">
        <f t="shared" si="70"/>
        <v>нет</v>
      </c>
      <c r="AI64" s="399" t="str">
        <f t="shared" si="71"/>
        <v>Допустимый</v>
      </c>
      <c r="AJ64" s="392"/>
      <c r="AK64" s="392"/>
      <c r="AL64" s="388">
        <f>VLOOKUP("Нефтепродукты",Исх.данные!$C$427:$F$437,4,FALSE)</f>
        <v>50</v>
      </c>
      <c r="AM64" s="388" t="str">
        <f>VLOOKUP("Нефтепродукты",Исх.данные!$C$427:$H$437,6,FALSE)</f>
        <v>2</v>
      </c>
      <c r="AN64" s="392"/>
      <c r="AO64" s="392">
        <f t="shared" si="72"/>
        <v>47</v>
      </c>
      <c r="AP64" s="392"/>
      <c r="AQ64" s="400" t="str">
        <f t="shared" si="73"/>
        <v>47</v>
      </c>
      <c r="AR64" s="391" t="e">
        <f t="shared" si="74"/>
        <v>#N/A</v>
      </c>
      <c r="AS64" s="398" t="str">
        <f t="shared" si="75"/>
        <v>ошибка</v>
      </c>
      <c r="AT64" s="398" t="str">
        <f t="shared" si="76"/>
        <v>ошибка</v>
      </c>
      <c r="AU64" s="401" t="str">
        <f t="shared" si="77"/>
        <v>ошибка</v>
      </c>
      <c r="AV64" s="398" t="str">
        <f t="shared" si="78"/>
        <v>ошибка</v>
      </c>
      <c r="AW64" s="398" t="str">
        <f t="shared" si="79"/>
        <v>нет</v>
      </c>
      <c r="AX64" s="398" t="str">
        <f t="shared" si="80"/>
        <v>ошибка</v>
      </c>
      <c r="AY64" s="402" t="str">
        <f t="shared" si="81"/>
        <v>ошибка</v>
      </c>
      <c r="AZ64" s="395">
        <f t="shared" si="82"/>
        <v>1.0384615384615385</v>
      </c>
      <c r="BA64" s="403" t="str">
        <f t="shared" si="83"/>
        <v>Д</v>
      </c>
      <c r="BB64" s="404"/>
      <c r="BC64" s="395">
        <f t="shared" si="84"/>
        <v>0.46666666666666673</v>
      </c>
      <c r="BD64" s="395">
        <f t="shared" si="85"/>
        <v>0.48148148148148145</v>
      </c>
      <c r="BE64" s="395">
        <f t="shared" si="86"/>
        <v>9.0909090909090912E-2</v>
      </c>
      <c r="BF64" s="395">
        <f t="shared" si="87"/>
        <v>0.17499999999999999</v>
      </c>
      <c r="BG64" s="395">
        <f t="shared" si="88"/>
        <v>6.4999999999999988E-2</v>
      </c>
      <c r="BH64" s="395">
        <f t="shared" si="89"/>
        <v>1.0384615384615385</v>
      </c>
      <c r="BI64" s="395">
        <f t="shared" si="90"/>
        <v>0.59615384615384615</v>
      </c>
      <c r="BJ64" s="404"/>
      <c r="BK64" s="395" t="e">
        <f t="shared" si="42"/>
        <v>#N/A</v>
      </c>
      <c r="BL64" s="395" t="e">
        <f t="shared" si="43"/>
        <v>#N/A</v>
      </c>
      <c r="BM64" s="395" t="e">
        <f t="shared" si="44"/>
        <v>#N/A</v>
      </c>
      <c r="BN64" s="395" t="e">
        <f t="shared" si="45"/>
        <v>#N/A</v>
      </c>
      <c r="BO64" s="395" t="e">
        <f t="shared" si="46"/>
        <v>#N/A</v>
      </c>
      <c r="BP64" s="395" t="e">
        <f t="shared" si="47"/>
        <v>#N/A</v>
      </c>
      <c r="BQ64" s="395" t="e">
        <f t="shared" si="48"/>
        <v>#N/A</v>
      </c>
      <c r="BR64" s="404"/>
      <c r="BS64" s="405">
        <f t="shared" si="91"/>
        <v>1.0384615384615385</v>
      </c>
      <c r="BT64" s="406" t="e">
        <f t="shared" si="92"/>
        <v>#N/A</v>
      </c>
      <c r="BU64" s="398">
        <f t="shared" si="93"/>
        <v>7.0321428571428584</v>
      </c>
      <c r="BV64" s="407">
        <f t="shared" si="94"/>
        <v>1.9666666666666668</v>
      </c>
    </row>
    <row r="65" spans="2:74" ht="16.5" thickBot="1" x14ac:dyDescent="0.3">
      <c r="B65" s="293"/>
      <c r="C65" s="385">
        <f>IF(ISBLANK(D65),"",COUNTA($D$18:D65))</f>
        <v>48</v>
      </c>
      <c r="D65" s="386" t="str">
        <f>RIGHT(Исх.данные!A689,7)</f>
        <v>48</v>
      </c>
      <c r="E65" s="387" t="e">
        <f>VLOOKUP(D65,Акт!$C$1:$I$30,6,FALSE)</f>
        <v>#N/A</v>
      </c>
      <c r="F65" s="388">
        <f>VLOOKUP("pH солевой вытяжки",Исх.данные!$C$427:$F$437,4,FALSE)</f>
        <v>6.2</v>
      </c>
      <c r="G65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5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5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5" s="388">
        <f>VLOOKUP("Никель",Исх.данные!$C$427:$F$437,4,FALSE)</f>
        <v>3.5</v>
      </c>
      <c r="K65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5" s="388" t="str">
        <f>VLOOKUP("Свинец",Исх.данные!$C$427:$F$437,4,FALSE)</f>
        <v>27</v>
      </c>
      <c r="M65" s="388" t="str">
        <f>VLOOKUP("Цинк",Исх.данные!$C$427:$F$437,4,FALSE)</f>
        <v>31</v>
      </c>
      <c r="N65" s="389" t="e">
        <f>VLOOKUP(D65,Акт!$C$1:$I$30,7,FALSE)</f>
        <v>#N/A</v>
      </c>
      <c r="O65" s="390">
        <f>VLOOKUP("pH солевой вытяжки",Исх.данные!$C$427:$F$437,4,FALSE)</f>
        <v>6.2</v>
      </c>
      <c r="P65" s="391"/>
      <c r="Q65" s="392">
        <f t="shared" si="60"/>
        <v>48</v>
      </c>
      <c r="R65" s="393"/>
      <c r="S65" s="385" t="str">
        <f t="shared" si="61"/>
        <v>48</v>
      </c>
      <c r="T65" s="394" t="e">
        <f t="shared" si="62"/>
        <v>#N/A</v>
      </c>
      <c r="U65" s="394" t="str">
        <f t="shared" si="63"/>
        <v>0,0051</v>
      </c>
      <c r="V65" s="395" t="str">
        <f t="shared" si="64"/>
        <v>нет</v>
      </c>
      <c r="W65" s="396" t="str">
        <f t="shared" si="65"/>
        <v>Д</v>
      </c>
      <c r="X65" s="397"/>
      <c r="Y65" s="392"/>
      <c r="Z65" s="392"/>
      <c r="AA65" s="388">
        <f>VLOOKUP("Бенз(а)пирен",Исх.данные!$C$427:$F$437,4,FALSE)</f>
        <v>5.0000000000000001E-3</v>
      </c>
      <c r="AB65" s="388" t="str">
        <f>VLOOKUP("Бенз(а)пирен",Исх.данные!$C$427:$H$437,6,FALSE)</f>
        <v>1</v>
      </c>
      <c r="AC65" s="392">
        <f t="shared" si="66"/>
        <v>48</v>
      </c>
      <c r="AD65" s="392"/>
      <c r="AE65" s="385" t="str">
        <f t="shared" si="67"/>
        <v>48</v>
      </c>
      <c r="AF65" s="394" t="e">
        <f t="shared" si="68"/>
        <v>#N/A</v>
      </c>
      <c r="AG65" s="394" t="str">
        <f t="shared" si="69"/>
        <v>502</v>
      </c>
      <c r="AH65" s="398" t="str">
        <f t="shared" si="70"/>
        <v>нет</v>
      </c>
      <c r="AI65" s="399" t="str">
        <f t="shared" si="71"/>
        <v>Допустимый</v>
      </c>
      <c r="AJ65" s="392"/>
      <c r="AK65" s="392"/>
      <c r="AL65" s="388">
        <f>VLOOKUP("Нефтепродукты",Исх.данные!$C$427:$F$437,4,FALSE)</f>
        <v>50</v>
      </c>
      <c r="AM65" s="388" t="str">
        <f>VLOOKUP("Нефтепродукты",Исх.данные!$C$427:$H$437,6,FALSE)</f>
        <v>2</v>
      </c>
      <c r="AN65" s="392"/>
      <c r="AO65" s="392">
        <f t="shared" si="72"/>
        <v>48</v>
      </c>
      <c r="AP65" s="392"/>
      <c r="AQ65" s="400" t="str">
        <f t="shared" si="73"/>
        <v>48</v>
      </c>
      <c r="AR65" s="391" t="e">
        <f t="shared" si="74"/>
        <v>#N/A</v>
      </c>
      <c r="AS65" s="398" t="str">
        <f t="shared" si="75"/>
        <v>ошибка</v>
      </c>
      <c r="AT65" s="398" t="str">
        <f t="shared" si="76"/>
        <v>ошибка</v>
      </c>
      <c r="AU65" s="401" t="str">
        <f t="shared" si="77"/>
        <v>ошибка</v>
      </c>
      <c r="AV65" s="398" t="str">
        <f t="shared" si="78"/>
        <v>ошибка</v>
      </c>
      <c r="AW65" s="398" t="str">
        <f t="shared" si="79"/>
        <v>нет</v>
      </c>
      <c r="AX65" s="398" t="str">
        <f t="shared" si="80"/>
        <v>ошибка</v>
      </c>
      <c r="AY65" s="402" t="str">
        <f t="shared" si="81"/>
        <v>ошибка</v>
      </c>
      <c r="AZ65" s="395">
        <f t="shared" si="82"/>
        <v>1.0384615384615385</v>
      </c>
      <c r="BA65" s="403" t="str">
        <f t="shared" si="83"/>
        <v>Д</v>
      </c>
      <c r="BB65" s="404"/>
      <c r="BC65" s="395">
        <f t="shared" si="84"/>
        <v>0.46666666666666673</v>
      </c>
      <c r="BD65" s="395">
        <f t="shared" si="85"/>
        <v>0.48148148148148145</v>
      </c>
      <c r="BE65" s="395">
        <f t="shared" si="86"/>
        <v>9.0909090909090912E-2</v>
      </c>
      <c r="BF65" s="395">
        <f t="shared" si="87"/>
        <v>0.17499999999999999</v>
      </c>
      <c r="BG65" s="395">
        <f t="shared" si="88"/>
        <v>6.4999999999999988E-2</v>
      </c>
      <c r="BH65" s="395">
        <f t="shared" si="89"/>
        <v>1.0384615384615385</v>
      </c>
      <c r="BI65" s="395">
        <f t="shared" si="90"/>
        <v>0.59615384615384615</v>
      </c>
      <c r="BJ65" s="404"/>
      <c r="BK65" s="395" t="e">
        <f t="shared" si="42"/>
        <v>#N/A</v>
      </c>
      <c r="BL65" s="395" t="e">
        <f t="shared" si="43"/>
        <v>#N/A</v>
      </c>
      <c r="BM65" s="395" t="e">
        <f t="shared" si="44"/>
        <v>#N/A</v>
      </c>
      <c r="BN65" s="395" t="e">
        <f t="shared" si="45"/>
        <v>#N/A</v>
      </c>
      <c r="BO65" s="395" t="e">
        <f t="shared" si="46"/>
        <v>#N/A</v>
      </c>
      <c r="BP65" s="395" t="e">
        <f t="shared" si="47"/>
        <v>#N/A</v>
      </c>
      <c r="BQ65" s="395" t="e">
        <f t="shared" si="48"/>
        <v>#N/A</v>
      </c>
      <c r="BR65" s="404"/>
      <c r="BS65" s="405">
        <f t="shared" si="91"/>
        <v>1.0384615384615385</v>
      </c>
      <c r="BT65" s="406" t="e">
        <f t="shared" si="92"/>
        <v>#N/A</v>
      </c>
      <c r="BU65" s="398">
        <f t="shared" si="93"/>
        <v>7.0321428571428584</v>
      </c>
      <c r="BV65" s="407">
        <f t="shared" si="94"/>
        <v>1.9666666666666668</v>
      </c>
    </row>
    <row r="66" spans="2:74" ht="16.5" thickBot="1" x14ac:dyDescent="0.3">
      <c r="B66" s="293"/>
      <c r="C66" s="385">
        <f>IF(ISBLANK(D66),"",COUNTA($D$18:D66))</f>
        <v>49</v>
      </c>
      <c r="D66" s="386" t="str">
        <f>RIGHT(Исх.данные!A705,7)</f>
        <v>49</v>
      </c>
      <c r="E66" s="387" t="e">
        <f>VLOOKUP(D66,Акт!$C$1:$I$30,6,FALSE)</f>
        <v>#N/A</v>
      </c>
      <c r="F66" s="388">
        <f>VLOOKUP("pH солевой вытяжки",Исх.данные!$C$427:$F$437,4,FALSE)</f>
        <v>6.2</v>
      </c>
      <c r="G66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6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6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6" s="388">
        <f>VLOOKUP("Никель",Исх.данные!$C$427:$F$437,4,FALSE)</f>
        <v>3.5</v>
      </c>
      <c r="K66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6" s="388" t="str">
        <f>VLOOKUP("Свинец",Исх.данные!$C$427:$F$437,4,FALSE)</f>
        <v>27</v>
      </c>
      <c r="M66" s="388" t="str">
        <f>VLOOKUP("Цинк",Исх.данные!$C$427:$F$437,4,FALSE)</f>
        <v>31</v>
      </c>
      <c r="N66" s="389" t="e">
        <f>VLOOKUP(D66,Акт!$C$1:$I$30,7,FALSE)</f>
        <v>#N/A</v>
      </c>
      <c r="O66" s="390">
        <f>VLOOKUP("pH солевой вытяжки",Исх.данные!$C$427:$F$437,4,FALSE)</f>
        <v>6.2</v>
      </c>
      <c r="P66" s="391"/>
      <c r="Q66" s="392">
        <f t="shared" si="60"/>
        <v>49</v>
      </c>
      <c r="R66" s="393"/>
      <c r="S66" s="385" t="str">
        <f t="shared" si="61"/>
        <v>49</v>
      </c>
      <c r="T66" s="394" t="e">
        <f t="shared" si="62"/>
        <v>#N/A</v>
      </c>
      <c r="U66" s="394" t="str">
        <f t="shared" si="63"/>
        <v>0,0051</v>
      </c>
      <c r="V66" s="395" t="str">
        <f t="shared" si="64"/>
        <v>нет</v>
      </c>
      <c r="W66" s="396" t="str">
        <f t="shared" si="65"/>
        <v>Д</v>
      </c>
      <c r="X66" s="397"/>
      <c r="Y66" s="392"/>
      <c r="Z66" s="392"/>
      <c r="AA66" s="388">
        <f>VLOOKUP("Бенз(а)пирен",Исх.данные!$C$427:$F$437,4,FALSE)</f>
        <v>5.0000000000000001E-3</v>
      </c>
      <c r="AB66" s="388" t="str">
        <f>VLOOKUP("Бенз(а)пирен",Исх.данные!$C$427:$H$437,6,FALSE)</f>
        <v>1</v>
      </c>
      <c r="AC66" s="392">
        <f t="shared" si="66"/>
        <v>49</v>
      </c>
      <c r="AD66" s="392"/>
      <c r="AE66" s="385" t="str">
        <f t="shared" si="67"/>
        <v>49</v>
      </c>
      <c r="AF66" s="394" t="e">
        <f t="shared" si="68"/>
        <v>#N/A</v>
      </c>
      <c r="AG66" s="394" t="str">
        <f t="shared" si="69"/>
        <v>502</v>
      </c>
      <c r="AH66" s="398" t="str">
        <f t="shared" si="70"/>
        <v>нет</v>
      </c>
      <c r="AI66" s="399" t="str">
        <f t="shared" si="71"/>
        <v>Допустимый</v>
      </c>
      <c r="AJ66" s="392"/>
      <c r="AK66" s="392"/>
      <c r="AL66" s="388">
        <f>VLOOKUP("Нефтепродукты",Исх.данные!$C$427:$F$437,4,FALSE)</f>
        <v>50</v>
      </c>
      <c r="AM66" s="388" t="str">
        <f>VLOOKUP("Нефтепродукты",Исх.данные!$C$427:$H$437,6,FALSE)</f>
        <v>2</v>
      </c>
      <c r="AN66" s="392"/>
      <c r="AO66" s="392">
        <f t="shared" si="72"/>
        <v>49</v>
      </c>
      <c r="AP66" s="392"/>
      <c r="AQ66" s="400" t="str">
        <f t="shared" si="73"/>
        <v>49</v>
      </c>
      <c r="AR66" s="391" t="e">
        <f t="shared" si="74"/>
        <v>#N/A</v>
      </c>
      <c r="AS66" s="398" t="str">
        <f t="shared" si="75"/>
        <v>ошибка</v>
      </c>
      <c r="AT66" s="398" t="str">
        <f t="shared" si="76"/>
        <v>ошибка</v>
      </c>
      <c r="AU66" s="401" t="str">
        <f t="shared" si="77"/>
        <v>ошибка</v>
      </c>
      <c r="AV66" s="398" t="str">
        <f t="shared" si="78"/>
        <v>ошибка</v>
      </c>
      <c r="AW66" s="398" t="str">
        <f t="shared" si="79"/>
        <v>нет</v>
      </c>
      <c r="AX66" s="398" t="str">
        <f t="shared" si="80"/>
        <v>ошибка</v>
      </c>
      <c r="AY66" s="402" t="str">
        <f t="shared" si="81"/>
        <v>ошибка</v>
      </c>
      <c r="AZ66" s="395">
        <f t="shared" si="82"/>
        <v>1.0384615384615385</v>
      </c>
      <c r="BA66" s="403" t="str">
        <f t="shared" si="83"/>
        <v>Д</v>
      </c>
      <c r="BB66" s="404"/>
      <c r="BC66" s="395">
        <f t="shared" si="84"/>
        <v>0.46666666666666673</v>
      </c>
      <c r="BD66" s="395">
        <f t="shared" si="85"/>
        <v>0.48148148148148145</v>
      </c>
      <c r="BE66" s="395">
        <f t="shared" si="86"/>
        <v>9.0909090909090912E-2</v>
      </c>
      <c r="BF66" s="395">
        <f t="shared" si="87"/>
        <v>0.17499999999999999</v>
      </c>
      <c r="BG66" s="395">
        <f t="shared" si="88"/>
        <v>6.4999999999999988E-2</v>
      </c>
      <c r="BH66" s="395">
        <f t="shared" si="89"/>
        <v>1.0384615384615385</v>
      </c>
      <c r="BI66" s="395">
        <f t="shared" si="90"/>
        <v>0.59615384615384615</v>
      </c>
      <c r="BJ66" s="404"/>
      <c r="BK66" s="395" t="e">
        <f t="shared" si="42"/>
        <v>#N/A</v>
      </c>
      <c r="BL66" s="395" t="e">
        <f t="shared" si="43"/>
        <v>#N/A</v>
      </c>
      <c r="BM66" s="395" t="e">
        <f t="shared" si="44"/>
        <v>#N/A</v>
      </c>
      <c r="BN66" s="395" t="e">
        <f t="shared" si="45"/>
        <v>#N/A</v>
      </c>
      <c r="BO66" s="395" t="e">
        <f t="shared" si="46"/>
        <v>#N/A</v>
      </c>
      <c r="BP66" s="395" t="e">
        <f t="shared" si="47"/>
        <v>#N/A</v>
      </c>
      <c r="BQ66" s="395" t="e">
        <f t="shared" si="48"/>
        <v>#N/A</v>
      </c>
      <c r="BR66" s="404"/>
      <c r="BS66" s="405">
        <f t="shared" si="91"/>
        <v>1.0384615384615385</v>
      </c>
      <c r="BT66" s="406" t="e">
        <f t="shared" si="92"/>
        <v>#N/A</v>
      </c>
      <c r="BU66" s="398">
        <f t="shared" si="93"/>
        <v>7.0321428571428584</v>
      </c>
      <c r="BV66" s="407">
        <f t="shared" si="94"/>
        <v>1.9666666666666668</v>
      </c>
    </row>
    <row r="67" spans="2:74" ht="16.5" thickBot="1" x14ac:dyDescent="0.3">
      <c r="B67" s="293"/>
      <c r="C67" s="385">
        <f>IF(ISBLANK(D67),"",COUNTA($D$18:D67))</f>
        <v>50</v>
      </c>
      <c r="D67" s="386" t="str">
        <f>RIGHT(Исх.данные!A719,7)</f>
        <v>50</v>
      </c>
      <c r="E67" s="387" t="e">
        <f>VLOOKUP(D67,Акт!$C$1:$I$30,6,FALSE)</f>
        <v>#N/A</v>
      </c>
      <c r="F67" s="388">
        <f>VLOOKUP("pH солевой вытяжки",Исх.данные!$C$427:$F$437,4,FALSE)</f>
        <v>6.2</v>
      </c>
      <c r="G67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7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7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7" s="388">
        <f>VLOOKUP("Никель",Исх.данные!$C$427:$F$437,4,FALSE)</f>
        <v>3.5</v>
      </c>
      <c r="K67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7" s="388" t="str">
        <f>VLOOKUP("Свинец",Исх.данные!$C$427:$F$437,4,FALSE)</f>
        <v>27</v>
      </c>
      <c r="M67" s="388" t="str">
        <f>VLOOKUP("Цинк",Исх.данные!$C$427:$F$437,4,FALSE)</f>
        <v>31</v>
      </c>
      <c r="N67" s="389" t="e">
        <f>VLOOKUP(D67,Акт!$C$1:$I$30,7,FALSE)</f>
        <v>#N/A</v>
      </c>
      <c r="O67" s="390">
        <f>VLOOKUP("pH солевой вытяжки",Исх.данные!$C$427:$F$437,4,FALSE)</f>
        <v>6.2</v>
      </c>
      <c r="P67" s="391"/>
      <c r="Q67" s="392">
        <f t="shared" si="60"/>
        <v>50</v>
      </c>
      <c r="R67" s="393"/>
      <c r="S67" s="385" t="str">
        <f t="shared" si="61"/>
        <v>50</v>
      </c>
      <c r="T67" s="394" t="e">
        <f t="shared" si="62"/>
        <v>#N/A</v>
      </c>
      <c r="U67" s="394" t="str">
        <f t="shared" si="63"/>
        <v>0,0051</v>
      </c>
      <c r="V67" s="395" t="str">
        <f t="shared" si="64"/>
        <v>нет</v>
      </c>
      <c r="W67" s="396" t="str">
        <f t="shared" si="65"/>
        <v>Д</v>
      </c>
      <c r="X67" s="397"/>
      <c r="Y67" s="392"/>
      <c r="Z67" s="392"/>
      <c r="AA67" s="388">
        <f>VLOOKUP("Бенз(а)пирен",Исх.данные!$C$427:$F$437,4,FALSE)</f>
        <v>5.0000000000000001E-3</v>
      </c>
      <c r="AB67" s="388" t="str">
        <f>VLOOKUP("Бенз(а)пирен",Исх.данные!$C$427:$H$437,6,FALSE)</f>
        <v>1</v>
      </c>
      <c r="AC67" s="392">
        <f t="shared" si="66"/>
        <v>50</v>
      </c>
      <c r="AD67" s="392"/>
      <c r="AE67" s="385" t="str">
        <f t="shared" si="67"/>
        <v>50</v>
      </c>
      <c r="AF67" s="394" t="e">
        <f t="shared" si="68"/>
        <v>#N/A</v>
      </c>
      <c r="AG67" s="394" t="str">
        <f t="shared" si="69"/>
        <v>502</v>
      </c>
      <c r="AH67" s="398" t="str">
        <f t="shared" si="70"/>
        <v>нет</v>
      </c>
      <c r="AI67" s="399" t="str">
        <f t="shared" si="71"/>
        <v>Допустимый</v>
      </c>
      <c r="AJ67" s="392"/>
      <c r="AK67" s="392"/>
      <c r="AL67" s="388">
        <f>VLOOKUP("Нефтепродукты",Исх.данные!$C$427:$F$437,4,FALSE)</f>
        <v>50</v>
      </c>
      <c r="AM67" s="388" t="str">
        <f>VLOOKUP("Нефтепродукты",Исх.данные!$C$427:$H$437,6,FALSE)</f>
        <v>2</v>
      </c>
      <c r="AN67" s="392"/>
      <c r="AO67" s="392">
        <f t="shared" si="72"/>
        <v>50</v>
      </c>
      <c r="AP67" s="392"/>
      <c r="AQ67" s="400" t="str">
        <f t="shared" si="73"/>
        <v>50</v>
      </c>
      <c r="AR67" s="391" t="e">
        <f t="shared" si="74"/>
        <v>#N/A</v>
      </c>
      <c r="AS67" s="398" t="str">
        <f t="shared" si="75"/>
        <v>ошибка</v>
      </c>
      <c r="AT67" s="398" t="str">
        <f t="shared" si="76"/>
        <v>ошибка</v>
      </c>
      <c r="AU67" s="401" t="str">
        <f t="shared" si="77"/>
        <v>ошибка</v>
      </c>
      <c r="AV67" s="398" t="str">
        <f t="shared" si="78"/>
        <v>ошибка</v>
      </c>
      <c r="AW67" s="398" t="str">
        <f t="shared" si="79"/>
        <v>нет</v>
      </c>
      <c r="AX67" s="398" t="str">
        <f t="shared" si="80"/>
        <v>ошибка</v>
      </c>
      <c r="AY67" s="402" t="str">
        <f t="shared" si="81"/>
        <v>ошибка</v>
      </c>
      <c r="AZ67" s="395">
        <f t="shared" si="82"/>
        <v>1.0384615384615385</v>
      </c>
      <c r="BA67" s="403" t="str">
        <f t="shared" si="83"/>
        <v>Д</v>
      </c>
      <c r="BB67" s="404"/>
      <c r="BC67" s="395">
        <f t="shared" si="84"/>
        <v>0.46666666666666673</v>
      </c>
      <c r="BD67" s="395">
        <f t="shared" si="85"/>
        <v>0.48148148148148145</v>
      </c>
      <c r="BE67" s="395">
        <f t="shared" si="86"/>
        <v>9.0909090909090912E-2</v>
      </c>
      <c r="BF67" s="395">
        <f t="shared" si="87"/>
        <v>0.17499999999999999</v>
      </c>
      <c r="BG67" s="395">
        <f t="shared" si="88"/>
        <v>6.4999999999999988E-2</v>
      </c>
      <c r="BH67" s="395">
        <f t="shared" si="89"/>
        <v>1.0384615384615385</v>
      </c>
      <c r="BI67" s="395">
        <f t="shared" si="90"/>
        <v>0.59615384615384615</v>
      </c>
      <c r="BJ67" s="404"/>
      <c r="BK67" s="395" t="e">
        <f t="shared" si="42"/>
        <v>#N/A</v>
      </c>
      <c r="BL67" s="395" t="e">
        <f t="shared" si="43"/>
        <v>#N/A</v>
      </c>
      <c r="BM67" s="395" t="e">
        <f t="shared" si="44"/>
        <v>#N/A</v>
      </c>
      <c r="BN67" s="395" t="e">
        <f t="shared" si="45"/>
        <v>#N/A</v>
      </c>
      <c r="BO67" s="395" t="e">
        <f t="shared" si="46"/>
        <v>#N/A</v>
      </c>
      <c r="BP67" s="395" t="e">
        <f t="shared" si="47"/>
        <v>#N/A</v>
      </c>
      <c r="BQ67" s="395" t="e">
        <f t="shared" si="48"/>
        <v>#N/A</v>
      </c>
      <c r="BR67" s="404"/>
      <c r="BS67" s="405">
        <f t="shared" si="91"/>
        <v>1.0384615384615385</v>
      </c>
      <c r="BT67" s="406" t="e">
        <f t="shared" si="92"/>
        <v>#N/A</v>
      </c>
      <c r="BU67" s="398">
        <f t="shared" si="93"/>
        <v>7.0321428571428584</v>
      </c>
      <c r="BV67" s="407">
        <f t="shared" si="94"/>
        <v>1.9666666666666668</v>
      </c>
    </row>
    <row r="68" spans="2:74" ht="16.5" thickBot="1" x14ac:dyDescent="0.3">
      <c r="B68" s="293"/>
      <c r="C68" s="385">
        <f>IF(ISBLANK(D68),"",COUNTA($D$18:D68))</f>
        <v>51</v>
      </c>
      <c r="D68" s="386" t="str">
        <f>RIGHT(Исх.данные!A733,7)</f>
        <v>51</v>
      </c>
      <c r="E68" s="387" t="e">
        <f>VLOOKUP(D68,Акт!$C$1:$I$30,6,FALSE)</f>
        <v>#N/A</v>
      </c>
      <c r="F68" s="388">
        <f>VLOOKUP("pH солевой вытяжки",Исх.данные!$C$427:$F$437,4,FALSE)</f>
        <v>6.2</v>
      </c>
      <c r="G68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8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8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8" s="388">
        <f>VLOOKUP("Никель",Исх.данные!$C$427:$F$437,4,FALSE)</f>
        <v>3.5</v>
      </c>
      <c r="K68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8" s="388" t="str">
        <f>VLOOKUP("Свинец",Исх.данные!$C$427:$F$437,4,FALSE)</f>
        <v>27</v>
      </c>
      <c r="M68" s="388" t="str">
        <f>VLOOKUP("Цинк",Исх.данные!$C$427:$F$437,4,FALSE)</f>
        <v>31</v>
      </c>
      <c r="N68" s="389" t="e">
        <f>VLOOKUP(D68,Акт!$C$1:$I$30,7,FALSE)</f>
        <v>#N/A</v>
      </c>
      <c r="O68" s="390">
        <f>VLOOKUP("pH солевой вытяжки",Исх.данные!$C$427:$F$437,4,FALSE)</f>
        <v>6.2</v>
      </c>
      <c r="P68" s="391"/>
      <c r="Q68" s="392">
        <f t="shared" si="60"/>
        <v>51</v>
      </c>
      <c r="R68" s="393"/>
      <c r="S68" s="385" t="str">
        <f t="shared" si="61"/>
        <v>51</v>
      </c>
      <c r="T68" s="394" t="e">
        <f t="shared" si="62"/>
        <v>#N/A</v>
      </c>
      <c r="U68" s="394" t="str">
        <f t="shared" si="63"/>
        <v>0,0051</v>
      </c>
      <c r="V68" s="395" t="str">
        <f t="shared" si="64"/>
        <v>нет</v>
      </c>
      <c r="W68" s="396" t="str">
        <f t="shared" si="65"/>
        <v>Д</v>
      </c>
      <c r="X68" s="397"/>
      <c r="Y68" s="392"/>
      <c r="Z68" s="392"/>
      <c r="AA68" s="388">
        <f>VLOOKUP("Бенз(а)пирен",Исх.данные!$C$427:$F$437,4,FALSE)</f>
        <v>5.0000000000000001E-3</v>
      </c>
      <c r="AB68" s="388" t="str">
        <f>VLOOKUP("Бенз(а)пирен",Исх.данные!$C$427:$H$437,6,FALSE)</f>
        <v>1</v>
      </c>
      <c r="AC68" s="392">
        <f t="shared" si="66"/>
        <v>51</v>
      </c>
      <c r="AD68" s="392"/>
      <c r="AE68" s="385" t="str">
        <f t="shared" si="67"/>
        <v>51</v>
      </c>
      <c r="AF68" s="394" t="e">
        <f t="shared" si="68"/>
        <v>#N/A</v>
      </c>
      <c r="AG68" s="394" t="str">
        <f t="shared" si="69"/>
        <v>502</v>
      </c>
      <c r="AH68" s="398" t="str">
        <f t="shared" si="70"/>
        <v>нет</v>
      </c>
      <c r="AI68" s="399" t="str">
        <f t="shared" si="71"/>
        <v>Допустимый</v>
      </c>
      <c r="AJ68" s="392"/>
      <c r="AK68" s="392"/>
      <c r="AL68" s="388">
        <f>VLOOKUP("Нефтепродукты",Исх.данные!$C$427:$F$437,4,FALSE)</f>
        <v>50</v>
      </c>
      <c r="AM68" s="388" t="str">
        <f>VLOOKUP("Нефтепродукты",Исх.данные!$C$427:$H$437,6,FALSE)</f>
        <v>2</v>
      </c>
      <c r="AN68" s="392"/>
      <c r="AO68" s="392">
        <f t="shared" si="72"/>
        <v>51</v>
      </c>
      <c r="AP68" s="392"/>
      <c r="AQ68" s="400" t="str">
        <f t="shared" si="73"/>
        <v>51</v>
      </c>
      <c r="AR68" s="391" t="e">
        <f t="shared" si="74"/>
        <v>#N/A</v>
      </c>
      <c r="AS68" s="398" t="str">
        <f t="shared" si="75"/>
        <v>ошибка</v>
      </c>
      <c r="AT68" s="398" t="str">
        <f t="shared" si="76"/>
        <v>ошибка</v>
      </c>
      <c r="AU68" s="401" t="str">
        <f t="shared" si="77"/>
        <v>ошибка</v>
      </c>
      <c r="AV68" s="398" t="str">
        <f t="shared" si="78"/>
        <v>ошибка</v>
      </c>
      <c r="AW68" s="398" t="str">
        <f t="shared" si="79"/>
        <v>нет</v>
      </c>
      <c r="AX68" s="398" t="str">
        <f t="shared" si="80"/>
        <v>ошибка</v>
      </c>
      <c r="AY68" s="402" t="str">
        <f t="shared" si="81"/>
        <v>ошибка</v>
      </c>
      <c r="AZ68" s="395">
        <f t="shared" si="82"/>
        <v>1.0384615384615385</v>
      </c>
      <c r="BA68" s="403" t="str">
        <f t="shared" si="83"/>
        <v>Д</v>
      </c>
      <c r="BB68" s="404"/>
      <c r="BC68" s="395">
        <f t="shared" si="84"/>
        <v>0.46666666666666673</v>
      </c>
      <c r="BD68" s="395">
        <f t="shared" si="85"/>
        <v>0.48148148148148145</v>
      </c>
      <c r="BE68" s="395">
        <f t="shared" si="86"/>
        <v>9.0909090909090912E-2</v>
      </c>
      <c r="BF68" s="395">
        <f t="shared" si="87"/>
        <v>0.17499999999999999</v>
      </c>
      <c r="BG68" s="395">
        <f t="shared" si="88"/>
        <v>6.4999999999999988E-2</v>
      </c>
      <c r="BH68" s="395">
        <f t="shared" si="89"/>
        <v>1.0384615384615385</v>
      </c>
      <c r="BI68" s="395">
        <f t="shared" si="90"/>
        <v>0.59615384615384615</v>
      </c>
      <c r="BJ68" s="404"/>
      <c r="BK68" s="395" t="e">
        <f t="shared" si="42"/>
        <v>#N/A</v>
      </c>
      <c r="BL68" s="395" t="e">
        <f t="shared" si="43"/>
        <v>#N/A</v>
      </c>
      <c r="BM68" s="395" t="e">
        <f t="shared" si="44"/>
        <v>#N/A</v>
      </c>
      <c r="BN68" s="395" t="e">
        <f t="shared" si="45"/>
        <v>#N/A</v>
      </c>
      <c r="BO68" s="395" t="e">
        <f t="shared" si="46"/>
        <v>#N/A</v>
      </c>
      <c r="BP68" s="395" t="e">
        <f t="shared" si="47"/>
        <v>#N/A</v>
      </c>
      <c r="BQ68" s="395" t="e">
        <f t="shared" si="48"/>
        <v>#N/A</v>
      </c>
      <c r="BR68" s="404"/>
      <c r="BS68" s="405">
        <f t="shared" si="91"/>
        <v>1.0384615384615385</v>
      </c>
      <c r="BT68" s="406" t="e">
        <f t="shared" si="92"/>
        <v>#N/A</v>
      </c>
      <c r="BU68" s="398">
        <f t="shared" si="93"/>
        <v>7.0321428571428584</v>
      </c>
      <c r="BV68" s="407">
        <f t="shared" si="94"/>
        <v>1.9666666666666668</v>
      </c>
    </row>
    <row r="69" spans="2:74" ht="16.5" thickBot="1" x14ac:dyDescent="0.3">
      <c r="B69" s="293"/>
      <c r="C69" s="385">
        <f>IF(ISBLANK(D69),"",COUNTA($D$18:D69))</f>
        <v>52</v>
      </c>
      <c r="D69" s="386" t="str">
        <f>RIGHT(Исх.данные!A749,7)</f>
        <v>52</v>
      </c>
      <c r="E69" s="387" t="e">
        <f>VLOOKUP(D69,Акт!$C$1:$I$30,6,FALSE)</f>
        <v>#N/A</v>
      </c>
      <c r="F69" s="388">
        <f>VLOOKUP("pH солевой вытяжки",Исх.данные!$C$427:$F$437,4,FALSE)</f>
        <v>6.2</v>
      </c>
      <c r="G69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69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69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69" s="388">
        <f>VLOOKUP("Никель",Исх.данные!$C$427:$F$437,4,FALSE)</f>
        <v>3.5</v>
      </c>
      <c r="K69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69" s="388" t="str">
        <f>VLOOKUP("Свинец",Исх.данные!$C$427:$F$437,4,FALSE)</f>
        <v>27</v>
      </c>
      <c r="M69" s="388" t="str">
        <f>VLOOKUP("Цинк",Исх.данные!$C$427:$F$437,4,FALSE)</f>
        <v>31</v>
      </c>
      <c r="N69" s="389" t="e">
        <f>VLOOKUP(D69,Акт!$C$1:$I$30,7,FALSE)</f>
        <v>#N/A</v>
      </c>
      <c r="O69" s="390">
        <f>VLOOKUP("pH солевой вытяжки",Исх.данные!$C$427:$F$437,4,FALSE)</f>
        <v>6.2</v>
      </c>
      <c r="P69" s="391"/>
      <c r="Q69" s="392">
        <f t="shared" si="60"/>
        <v>52</v>
      </c>
      <c r="R69" s="393"/>
      <c r="S69" s="385" t="str">
        <f t="shared" si="61"/>
        <v>52</v>
      </c>
      <c r="T69" s="394" t="e">
        <f t="shared" si="62"/>
        <v>#N/A</v>
      </c>
      <c r="U69" s="394" t="str">
        <f t="shared" si="63"/>
        <v>0,0051</v>
      </c>
      <c r="V69" s="395" t="str">
        <f t="shared" si="64"/>
        <v>нет</v>
      </c>
      <c r="W69" s="396" t="str">
        <f t="shared" si="65"/>
        <v>Д</v>
      </c>
      <c r="X69" s="397"/>
      <c r="Y69" s="392"/>
      <c r="Z69" s="392"/>
      <c r="AA69" s="388">
        <f>VLOOKUP("Бенз(а)пирен",Исх.данные!$C$427:$F$437,4,FALSE)</f>
        <v>5.0000000000000001E-3</v>
      </c>
      <c r="AB69" s="388" t="str">
        <f>VLOOKUP("Бенз(а)пирен",Исх.данные!$C$427:$H$437,6,FALSE)</f>
        <v>1</v>
      </c>
      <c r="AC69" s="392">
        <f t="shared" si="66"/>
        <v>52</v>
      </c>
      <c r="AD69" s="392"/>
      <c r="AE69" s="385" t="str">
        <f t="shared" si="67"/>
        <v>52</v>
      </c>
      <c r="AF69" s="394" t="e">
        <f t="shared" si="68"/>
        <v>#N/A</v>
      </c>
      <c r="AG69" s="394" t="str">
        <f t="shared" si="69"/>
        <v>502</v>
      </c>
      <c r="AH69" s="398" t="str">
        <f t="shared" si="70"/>
        <v>нет</v>
      </c>
      <c r="AI69" s="399" t="str">
        <f t="shared" si="71"/>
        <v>Допустимый</v>
      </c>
      <c r="AJ69" s="392"/>
      <c r="AK69" s="392"/>
      <c r="AL69" s="388">
        <f>VLOOKUP("Нефтепродукты",Исх.данные!$C$427:$F$437,4,FALSE)</f>
        <v>50</v>
      </c>
      <c r="AM69" s="388" t="str">
        <f>VLOOKUP("Нефтепродукты",Исх.данные!$C$427:$H$437,6,FALSE)</f>
        <v>2</v>
      </c>
      <c r="AN69" s="392"/>
      <c r="AO69" s="392">
        <f t="shared" si="72"/>
        <v>52</v>
      </c>
      <c r="AP69" s="392"/>
      <c r="AQ69" s="400" t="str">
        <f t="shared" si="73"/>
        <v>52</v>
      </c>
      <c r="AR69" s="391" t="e">
        <f t="shared" si="74"/>
        <v>#N/A</v>
      </c>
      <c r="AS69" s="398" t="str">
        <f t="shared" si="75"/>
        <v>ошибка</v>
      </c>
      <c r="AT69" s="398" t="str">
        <f t="shared" si="76"/>
        <v>ошибка</v>
      </c>
      <c r="AU69" s="401" t="str">
        <f t="shared" si="77"/>
        <v>ошибка</v>
      </c>
      <c r="AV69" s="398" t="str">
        <f t="shared" si="78"/>
        <v>ошибка</v>
      </c>
      <c r="AW69" s="398" t="str">
        <f t="shared" si="79"/>
        <v>нет</v>
      </c>
      <c r="AX69" s="398" t="str">
        <f t="shared" si="80"/>
        <v>ошибка</v>
      </c>
      <c r="AY69" s="402" t="str">
        <f t="shared" si="81"/>
        <v>ошибка</v>
      </c>
      <c r="AZ69" s="395">
        <f t="shared" si="82"/>
        <v>1.0384615384615385</v>
      </c>
      <c r="BA69" s="403" t="str">
        <f t="shared" si="83"/>
        <v>Д</v>
      </c>
      <c r="BB69" s="404"/>
      <c r="BC69" s="395">
        <f t="shared" si="84"/>
        <v>0.46666666666666673</v>
      </c>
      <c r="BD69" s="395">
        <f t="shared" si="85"/>
        <v>0.48148148148148145</v>
      </c>
      <c r="BE69" s="395">
        <f t="shared" si="86"/>
        <v>9.0909090909090912E-2</v>
      </c>
      <c r="BF69" s="395">
        <f t="shared" si="87"/>
        <v>0.17499999999999999</v>
      </c>
      <c r="BG69" s="395">
        <f t="shared" si="88"/>
        <v>6.4999999999999988E-2</v>
      </c>
      <c r="BH69" s="395">
        <f t="shared" si="89"/>
        <v>1.0384615384615385</v>
      </c>
      <c r="BI69" s="395">
        <f t="shared" si="90"/>
        <v>0.59615384615384615</v>
      </c>
      <c r="BJ69" s="404"/>
      <c r="BK69" s="395" t="e">
        <f t="shared" si="42"/>
        <v>#N/A</v>
      </c>
      <c r="BL69" s="395" t="e">
        <f t="shared" si="43"/>
        <v>#N/A</v>
      </c>
      <c r="BM69" s="395" t="e">
        <f t="shared" si="44"/>
        <v>#N/A</v>
      </c>
      <c r="BN69" s="395" t="e">
        <f t="shared" si="45"/>
        <v>#N/A</v>
      </c>
      <c r="BO69" s="395" t="e">
        <f t="shared" si="46"/>
        <v>#N/A</v>
      </c>
      <c r="BP69" s="395" t="e">
        <f t="shared" si="47"/>
        <v>#N/A</v>
      </c>
      <c r="BQ69" s="395" t="e">
        <f t="shared" si="48"/>
        <v>#N/A</v>
      </c>
      <c r="BR69" s="404"/>
      <c r="BS69" s="405">
        <f t="shared" si="91"/>
        <v>1.0384615384615385</v>
      </c>
      <c r="BT69" s="406" t="e">
        <f t="shared" si="92"/>
        <v>#N/A</v>
      </c>
      <c r="BU69" s="398">
        <f t="shared" si="93"/>
        <v>7.0321428571428584</v>
      </c>
      <c r="BV69" s="407">
        <f t="shared" si="94"/>
        <v>1.9666666666666668</v>
      </c>
    </row>
    <row r="70" spans="2:74" ht="16.5" thickBot="1" x14ac:dyDescent="0.3">
      <c r="B70" s="293"/>
      <c r="C70" s="385">
        <f>IF(ISBLANK(D70),"",COUNTA($D$18:D70))</f>
        <v>53</v>
      </c>
      <c r="D70" s="386" t="str">
        <f>RIGHT(Исх.данные!A763,7)</f>
        <v>53</v>
      </c>
      <c r="E70" s="387" t="e">
        <f>VLOOKUP(D70,Акт!$C$1:$I$30,6,FALSE)</f>
        <v>#N/A</v>
      </c>
      <c r="F70" s="388">
        <f>VLOOKUP("pH солевой вытяжки",Исх.данные!$C$427:$F$437,4,FALSE)</f>
        <v>6.2</v>
      </c>
      <c r="G70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0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0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0" s="388">
        <f>VLOOKUP("Никель",Исх.данные!$C$427:$F$437,4,FALSE)</f>
        <v>3.5</v>
      </c>
      <c r="K70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0" s="388" t="str">
        <f>VLOOKUP("Свинец",Исх.данные!$C$427:$F$437,4,FALSE)</f>
        <v>27</v>
      </c>
      <c r="M70" s="388" t="str">
        <f>VLOOKUP("Цинк",Исх.данные!$C$427:$F$437,4,FALSE)</f>
        <v>31</v>
      </c>
      <c r="N70" s="389" t="e">
        <f>VLOOKUP(D70,Акт!$C$1:$I$30,7,FALSE)</f>
        <v>#N/A</v>
      </c>
      <c r="O70" s="390">
        <f>VLOOKUP("pH солевой вытяжки",Исх.данные!$C$427:$F$437,4,FALSE)</f>
        <v>6.2</v>
      </c>
      <c r="P70" s="391"/>
      <c r="Q70" s="392">
        <f t="shared" si="60"/>
        <v>53</v>
      </c>
      <c r="R70" s="393"/>
      <c r="S70" s="385" t="str">
        <f t="shared" si="61"/>
        <v>53</v>
      </c>
      <c r="T70" s="394" t="e">
        <f t="shared" si="62"/>
        <v>#N/A</v>
      </c>
      <c r="U70" s="394" t="str">
        <f t="shared" si="63"/>
        <v>0,0051</v>
      </c>
      <c r="V70" s="395" t="str">
        <f t="shared" si="64"/>
        <v>нет</v>
      </c>
      <c r="W70" s="396" t="str">
        <f t="shared" si="65"/>
        <v>Д</v>
      </c>
      <c r="X70" s="397"/>
      <c r="Y70" s="392"/>
      <c r="Z70" s="392"/>
      <c r="AA70" s="388">
        <f>VLOOKUP("Бенз(а)пирен",Исх.данные!$C$427:$F$437,4,FALSE)</f>
        <v>5.0000000000000001E-3</v>
      </c>
      <c r="AB70" s="388" t="str">
        <f>VLOOKUP("Бенз(а)пирен",Исх.данные!$C$427:$H$437,6,FALSE)</f>
        <v>1</v>
      </c>
      <c r="AC70" s="392">
        <f t="shared" si="66"/>
        <v>53</v>
      </c>
      <c r="AD70" s="392"/>
      <c r="AE70" s="385" t="str">
        <f t="shared" si="67"/>
        <v>53</v>
      </c>
      <c r="AF70" s="394" t="e">
        <f t="shared" si="68"/>
        <v>#N/A</v>
      </c>
      <c r="AG70" s="394" t="str">
        <f t="shared" si="69"/>
        <v>502</v>
      </c>
      <c r="AH70" s="398" t="str">
        <f t="shared" si="70"/>
        <v>нет</v>
      </c>
      <c r="AI70" s="399" t="str">
        <f t="shared" si="71"/>
        <v>Допустимый</v>
      </c>
      <c r="AJ70" s="392"/>
      <c r="AK70" s="392"/>
      <c r="AL70" s="388">
        <f>VLOOKUP("Нефтепродукты",Исх.данные!$C$427:$F$437,4,FALSE)</f>
        <v>50</v>
      </c>
      <c r="AM70" s="388" t="str">
        <f>VLOOKUP("Нефтепродукты",Исх.данные!$C$427:$H$437,6,FALSE)</f>
        <v>2</v>
      </c>
      <c r="AN70" s="392"/>
      <c r="AO70" s="392">
        <f t="shared" si="72"/>
        <v>53</v>
      </c>
      <c r="AP70" s="392"/>
      <c r="AQ70" s="400" t="str">
        <f t="shared" si="73"/>
        <v>53</v>
      </c>
      <c r="AR70" s="391" t="e">
        <f t="shared" si="74"/>
        <v>#N/A</v>
      </c>
      <c r="AS70" s="398" t="str">
        <f t="shared" si="75"/>
        <v>ошибка</v>
      </c>
      <c r="AT70" s="398" t="str">
        <f t="shared" si="76"/>
        <v>ошибка</v>
      </c>
      <c r="AU70" s="401" t="str">
        <f t="shared" si="77"/>
        <v>ошибка</v>
      </c>
      <c r="AV70" s="398" t="str">
        <f t="shared" si="78"/>
        <v>ошибка</v>
      </c>
      <c r="AW70" s="398" t="str">
        <f t="shared" si="79"/>
        <v>нет</v>
      </c>
      <c r="AX70" s="398" t="str">
        <f t="shared" si="80"/>
        <v>ошибка</v>
      </c>
      <c r="AY70" s="402" t="str">
        <f t="shared" si="81"/>
        <v>ошибка</v>
      </c>
      <c r="AZ70" s="395">
        <f t="shared" si="82"/>
        <v>1.0384615384615385</v>
      </c>
      <c r="BA70" s="403" t="str">
        <f t="shared" si="83"/>
        <v>Д</v>
      </c>
      <c r="BB70" s="404"/>
      <c r="BC70" s="395">
        <f t="shared" si="84"/>
        <v>0.46666666666666673</v>
      </c>
      <c r="BD70" s="395">
        <f t="shared" si="85"/>
        <v>0.48148148148148145</v>
      </c>
      <c r="BE70" s="395">
        <f t="shared" si="86"/>
        <v>9.0909090909090912E-2</v>
      </c>
      <c r="BF70" s="395">
        <f t="shared" si="87"/>
        <v>0.17499999999999999</v>
      </c>
      <c r="BG70" s="395">
        <f t="shared" si="88"/>
        <v>6.4999999999999988E-2</v>
      </c>
      <c r="BH70" s="395">
        <f t="shared" si="89"/>
        <v>1.0384615384615385</v>
      </c>
      <c r="BI70" s="395">
        <f t="shared" si="90"/>
        <v>0.59615384615384615</v>
      </c>
      <c r="BJ70" s="404"/>
      <c r="BK70" s="395" t="e">
        <f t="shared" si="42"/>
        <v>#N/A</v>
      </c>
      <c r="BL70" s="395" t="e">
        <f t="shared" si="43"/>
        <v>#N/A</v>
      </c>
      <c r="BM70" s="395" t="e">
        <f t="shared" si="44"/>
        <v>#N/A</v>
      </c>
      <c r="BN70" s="395" t="e">
        <f t="shared" si="45"/>
        <v>#N/A</v>
      </c>
      <c r="BO70" s="395" t="e">
        <f t="shared" si="46"/>
        <v>#N/A</v>
      </c>
      <c r="BP70" s="395" t="e">
        <f t="shared" si="47"/>
        <v>#N/A</v>
      </c>
      <c r="BQ70" s="395" t="e">
        <f t="shared" si="48"/>
        <v>#N/A</v>
      </c>
      <c r="BR70" s="404"/>
      <c r="BS70" s="405">
        <f t="shared" si="91"/>
        <v>1.0384615384615385</v>
      </c>
      <c r="BT70" s="406" t="e">
        <f t="shared" si="92"/>
        <v>#N/A</v>
      </c>
      <c r="BU70" s="398">
        <f t="shared" si="93"/>
        <v>7.0321428571428584</v>
      </c>
      <c r="BV70" s="407">
        <f t="shared" si="94"/>
        <v>1.9666666666666668</v>
      </c>
    </row>
    <row r="71" spans="2:74" ht="16.5" thickBot="1" x14ac:dyDescent="0.3">
      <c r="B71" s="293"/>
      <c r="C71" s="385">
        <f>IF(ISBLANK(D71),"",COUNTA($D$18:D71))</f>
        <v>54</v>
      </c>
      <c r="D71" s="386" t="str">
        <f>RIGHT(Исх.данные!A777,7)</f>
        <v>54</v>
      </c>
      <c r="E71" s="387" t="e">
        <f>VLOOKUP(D71,Акт!$C$1:$I$30,6,FALSE)</f>
        <v>#N/A</v>
      </c>
      <c r="F71" s="388">
        <f>VLOOKUP("pH солевой вытяжки",Исх.данные!$C$427:$F$437,4,FALSE)</f>
        <v>6.2</v>
      </c>
      <c r="G71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1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1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1" s="388">
        <f>VLOOKUP("Никель",Исх.данные!$C$427:$F$437,4,FALSE)</f>
        <v>3.5</v>
      </c>
      <c r="K71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1" s="388" t="str">
        <f>VLOOKUP("Свинец",Исх.данные!$C$427:$F$437,4,FALSE)</f>
        <v>27</v>
      </c>
      <c r="M71" s="388" t="str">
        <f>VLOOKUP("Цинк",Исх.данные!$C$427:$F$437,4,FALSE)</f>
        <v>31</v>
      </c>
      <c r="N71" s="389" t="e">
        <f>VLOOKUP(D71,Акт!$C$1:$I$30,7,FALSE)</f>
        <v>#N/A</v>
      </c>
      <c r="O71" s="390">
        <f>VLOOKUP("pH солевой вытяжки",Исх.данные!$C$427:$F$437,4,FALSE)</f>
        <v>6.2</v>
      </c>
      <c r="P71" s="391"/>
      <c r="Q71" s="392">
        <f t="shared" si="60"/>
        <v>54</v>
      </c>
      <c r="R71" s="393"/>
      <c r="S71" s="385" t="str">
        <f t="shared" si="61"/>
        <v>54</v>
      </c>
      <c r="T71" s="394" t="e">
        <f t="shared" si="62"/>
        <v>#N/A</v>
      </c>
      <c r="U71" s="394" t="str">
        <f t="shared" si="63"/>
        <v>0,0051</v>
      </c>
      <c r="V71" s="395" t="str">
        <f t="shared" si="64"/>
        <v>нет</v>
      </c>
      <c r="W71" s="396" t="str">
        <f t="shared" si="65"/>
        <v>Д</v>
      </c>
      <c r="X71" s="397"/>
      <c r="Y71" s="392"/>
      <c r="Z71" s="392"/>
      <c r="AA71" s="388">
        <f>VLOOKUP("Бенз(а)пирен",Исх.данные!$C$427:$F$437,4,FALSE)</f>
        <v>5.0000000000000001E-3</v>
      </c>
      <c r="AB71" s="388" t="str">
        <f>VLOOKUP("Бенз(а)пирен",Исх.данные!$C$427:$H$437,6,FALSE)</f>
        <v>1</v>
      </c>
      <c r="AC71" s="392">
        <f t="shared" si="66"/>
        <v>54</v>
      </c>
      <c r="AD71" s="392"/>
      <c r="AE71" s="385" t="str">
        <f t="shared" si="67"/>
        <v>54</v>
      </c>
      <c r="AF71" s="394" t="e">
        <f t="shared" si="68"/>
        <v>#N/A</v>
      </c>
      <c r="AG71" s="394" t="str">
        <f t="shared" si="69"/>
        <v>502</v>
      </c>
      <c r="AH71" s="398" t="str">
        <f t="shared" si="70"/>
        <v>нет</v>
      </c>
      <c r="AI71" s="399" t="str">
        <f t="shared" si="71"/>
        <v>Допустимый</v>
      </c>
      <c r="AJ71" s="392"/>
      <c r="AK71" s="392"/>
      <c r="AL71" s="388">
        <f>VLOOKUP("Нефтепродукты",Исх.данные!$C$427:$F$437,4,FALSE)</f>
        <v>50</v>
      </c>
      <c r="AM71" s="388" t="str">
        <f>VLOOKUP("Нефтепродукты",Исх.данные!$C$427:$H$437,6,FALSE)</f>
        <v>2</v>
      </c>
      <c r="AN71" s="392"/>
      <c r="AO71" s="392">
        <f t="shared" si="72"/>
        <v>54</v>
      </c>
      <c r="AP71" s="392"/>
      <c r="AQ71" s="400" t="str">
        <f t="shared" si="73"/>
        <v>54</v>
      </c>
      <c r="AR71" s="391" t="e">
        <f t="shared" si="74"/>
        <v>#N/A</v>
      </c>
      <c r="AS71" s="398" t="str">
        <f t="shared" si="75"/>
        <v>ошибка</v>
      </c>
      <c r="AT71" s="398" t="str">
        <f t="shared" si="76"/>
        <v>ошибка</v>
      </c>
      <c r="AU71" s="401" t="str">
        <f t="shared" si="77"/>
        <v>ошибка</v>
      </c>
      <c r="AV71" s="398" t="str">
        <f t="shared" si="78"/>
        <v>ошибка</v>
      </c>
      <c r="AW71" s="398" t="str">
        <f t="shared" si="79"/>
        <v>нет</v>
      </c>
      <c r="AX71" s="398" t="str">
        <f t="shared" si="80"/>
        <v>ошибка</v>
      </c>
      <c r="AY71" s="402" t="str">
        <f t="shared" si="81"/>
        <v>ошибка</v>
      </c>
      <c r="AZ71" s="395">
        <f t="shared" si="82"/>
        <v>1.0384615384615385</v>
      </c>
      <c r="BA71" s="403" t="str">
        <f t="shared" si="83"/>
        <v>Д</v>
      </c>
      <c r="BB71" s="404"/>
      <c r="BC71" s="395">
        <f t="shared" si="84"/>
        <v>0.46666666666666673</v>
      </c>
      <c r="BD71" s="395">
        <f t="shared" si="85"/>
        <v>0.48148148148148145</v>
      </c>
      <c r="BE71" s="395">
        <f t="shared" si="86"/>
        <v>9.0909090909090912E-2</v>
      </c>
      <c r="BF71" s="395">
        <f t="shared" si="87"/>
        <v>0.17499999999999999</v>
      </c>
      <c r="BG71" s="395">
        <f t="shared" si="88"/>
        <v>6.4999999999999988E-2</v>
      </c>
      <c r="BH71" s="395">
        <f t="shared" si="89"/>
        <v>1.0384615384615385</v>
      </c>
      <c r="BI71" s="395">
        <f t="shared" si="90"/>
        <v>0.59615384615384615</v>
      </c>
      <c r="BJ71" s="404"/>
      <c r="BK71" s="395" t="e">
        <f t="shared" si="42"/>
        <v>#N/A</v>
      </c>
      <c r="BL71" s="395" t="e">
        <f t="shared" si="43"/>
        <v>#N/A</v>
      </c>
      <c r="BM71" s="395" t="e">
        <f t="shared" si="44"/>
        <v>#N/A</v>
      </c>
      <c r="BN71" s="395" t="e">
        <f t="shared" si="45"/>
        <v>#N/A</v>
      </c>
      <c r="BO71" s="395" t="e">
        <f t="shared" si="46"/>
        <v>#N/A</v>
      </c>
      <c r="BP71" s="395" t="e">
        <f t="shared" si="47"/>
        <v>#N/A</v>
      </c>
      <c r="BQ71" s="395" t="e">
        <f t="shared" si="48"/>
        <v>#N/A</v>
      </c>
      <c r="BR71" s="404"/>
      <c r="BS71" s="405">
        <f t="shared" si="91"/>
        <v>1.0384615384615385</v>
      </c>
      <c r="BT71" s="406" t="e">
        <f t="shared" si="92"/>
        <v>#N/A</v>
      </c>
      <c r="BU71" s="398">
        <f t="shared" si="93"/>
        <v>7.0321428571428584</v>
      </c>
      <c r="BV71" s="407">
        <f t="shared" si="94"/>
        <v>1.9666666666666668</v>
      </c>
    </row>
    <row r="72" spans="2:74" ht="16.5" thickBot="1" x14ac:dyDescent="0.3">
      <c r="B72" s="293"/>
      <c r="C72" s="385">
        <f>IF(ISBLANK(D72),"",COUNTA($D$18:D72))</f>
        <v>55</v>
      </c>
      <c r="D72" s="386" t="str">
        <f>RIGHT(Исх.данные!A793,7)</f>
        <v>55</v>
      </c>
      <c r="E72" s="387" t="e">
        <f>VLOOKUP(D72,Акт!$C$1:$I$30,6,FALSE)</f>
        <v>#N/A</v>
      </c>
      <c r="F72" s="388">
        <f>VLOOKUP("pH солевой вытяжки",Исх.данные!$C$427:$F$437,4,FALSE)</f>
        <v>6.2</v>
      </c>
      <c r="G72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2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2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2" s="388">
        <f>VLOOKUP("Никель",Исх.данные!$C$427:$F$437,4,FALSE)</f>
        <v>3.5</v>
      </c>
      <c r="K72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2" s="388" t="str">
        <f>VLOOKUP("Свинец",Исх.данные!$C$427:$F$437,4,FALSE)</f>
        <v>27</v>
      </c>
      <c r="M72" s="388" t="str">
        <f>VLOOKUP("Цинк",Исх.данные!$C$427:$F$437,4,FALSE)</f>
        <v>31</v>
      </c>
      <c r="N72" s="389" t="e">
        <f>VLOOKUP(D72,Акт!$C$1:$I$30,7,FALSE)</f>
        <v>#N/A</v>
      </c>
      <c r="O72" s="390">
        <f>VLOOKUP("pH солевой вытяжки",Исх.данные!$C$427:$F$437,4,FALSE)</f>
        <v>6.2</v>
      </c>
      <c r="P72" s="391"/>
      <c r="Q72" s="392">
        <f t="shared" si="60"/>
        <v>55</v>
      </c>
      <c r="R72" s="393"/>
      <c r="S72" s="385" t="str">
        <f t="shared" si="61"/>
        <v>55</v>
      </c>
      <c r="T72" s="394" t="e">
        <f t="shared" si="62"/>
        <v>#N/A</v>
      </c>
      <c r="U72" s="394" t="str">
        <f t="shared" si="63"/>
        <v>0,0051</v>
      </c>
      <c r="V72" s="395" t="str">
        <f t="shared" si="64"/>
        <v>нет</v>
      </c>
      <c r="W72" s="396" t="str">
        <f t="shared" si="65"/>
        <v>Д</v>
      </c>
      <c r="X72" s="397"/>
      <c r="Y72" s="392"/>
      <c r="Z72" s="392"/>
      <c r="AA72" s="388">
        <f>VLOOKUP("Бенз(а)пирен",Исх.данные!$C$427:$F$437,4,FALSE)</f>
        <v>5.0000000000000001E-3</v>
      </c>
      <c r="AB72" s="388" t="str">
        <f>VLOOKUP("Бенз(а)пирен",Исх.данные!$C$427:$H$437,6,FALSE)</f>
        <v>1</v>
      </c>
      <c r="AC72" s="392">
        <f t="shared" si="66"/>
        <v>55</v>
      </c>
      <c r="AD72" s="392"/>
      <c r="AE72" s="385" t="str">
        <f t="shared" si="67"/>
        <v>55</v>
      </c>
      <c r="AF72" s="394" t="e">
        <f t="shared" si="68"/>
        <v>#N/A</v>
      </c>
      <c r="AG72" s="394" t="str">
        <f t="shared" si="69"/>
        <v>502</v>
      </c>
      <c r="AH72" s="398" t="str">
        <f t="shared" si="70"/>
        <v>нет</v>
      </c>
      <c r="AI72" s="399" t="str">
        <f t="shared" si="71"/>
        <v>Допустимый</v>
      </c>
      <c r="AJ72" s="392"/>
      <c r="AK72" s="392"/>
      <c r="AL72" s="388">
        <f>VLOOKUP("Нефтепродукты",Исх.данные!$C$427:$F$437,4,FALSE)</f>
        <v>50</v>
      </c>
      <c r="AM72" s="388" t="str">
        <f>VLOOKUP("Нефтепродукты",Исх.данные!$C$427:$H$437,6,FALSE)</f>
        <v>2</v>
      </c>
      <c r="AN72" s="392"/>
      <c r="AO72" s="392">
        <f t="shared" si="72"/>
        <v>55</v>
      </c>
      <c r="AP72" s="392"/>
      <c r="AQ72" s="400" t="str">
        <f t="shared" si="73"/>
        <v>55</v>
      </c>
      <c r="AR72" s="391" t="e">
        <f t="shared" si="74"/>
        <v>#N/A</v>
      </c>
      <c r="AS72" s="398" t="str">
        <f t="shared" si="75"/>
        <v>ошибка</v>
      </c>
      <c r="AT72" s="398" t="str">
        <f t="shared" si="76"/>
        <v>ошибка</v>
      </c>
      <c r="AU72" s="401" t="str">
        <f t="shared" si="77"/>
        <v>ошибка</v>
      </c>
      <c r="AV72" s="398" t="str">
        <f t="shared" si="78"/>
        <v>ошибка</v>
      </c>
      <c r="AW72" s="398" t="str">
        <f t="shared" si="79"/>
        <v>нет</v>
      </c>
      <c r="AX72" s="398" t="str">
        <f t="shared" si="80"/>
        <v>ошибка</v>
      </c>
      <c r="AY72" s="402" t="str">
        <f t="shared" si="81"/>
        <v>ошибка</v>
      </c>
      <c r="AZ72" s="395">
        <f t="shared" si="82"/>
        <v>1.0384615384615385</v>
      </c>
      <c r="BA72" s="403" t="str">
        <f t="shared" si="83"/>
        <v>Д</v>
      </c>
      <c r="BB72" s="404"/>
      <c r="BC72" s="395">
        <f t="shared" si="84"/>
        <v>0.46666666666666673</v>
      </c>
      <c r="BD72" s="395">
        <f t="shared" si="85"/>
        <v>0.48148148148148145</v>
      </c>
      <c r="BE72" s="395">
        <f t="shared" si="86"/>
        <v>9.0909090909090912E-2</v>
      </c>
      <c r="BF72" s="395">
        <f t="shared" si="87"/>
        <v>0.17499999999999999</v>
      </c>
      <c r="BG72" s="395">
        <f t="shared" si="88"/>
        <v>6.4999999999999988E-2</v>
      </c>
      <c r="BH72" s="395">
        <f t="shared" si="89"/>
        <v>1.0384615384615385</v>
      </c>
      <c r="BI72" s="395">
        <f t="shared" si="90"/>
        <v>0.59615384615384615</v>
      </c>
      <c r="BJ72" s="404"/>
      <c r="BK72" s="395" t="e">
        <f t="shared" si="42"/>
        <v>#N/A</v>
      </c>
      <c r="BL72" s="395" t="e">
        <f t="shared" si="43"/>
        <v>#N/A</v>
      </c>
      <c r="BM72" s="395" t="e">
        <f t="shared" si="44"/>
        <v>#N/A</v>
      </c>
      <c r="BN72" s="395" t="e">
        <f t="shared" si="45"/>
        <v>#N/A</v>
      </c>
      <c r="BO72" s="395" t="e">
        <f t="shared" si="46"/>
        <v>#N/A</v>
      </c>
      <c r="BP72" s="395" t="e">
        <f t="shared" si="47"/>
        <v>#N/A</v>
      </c>
      <c r="BQ72" s="395" t="e">
        <f t="shared" si="48"/>
        <v>#N/A</v>
      </c>
      <c r="BR72" s="404"/>
      <c r="BS72" s="405">
        <f t="shared" si="91"/>
        <v>1.0384615384615385</v>
      </c>
      <c r="BT72" s="406" t="e">
        <f t="shared" si="92"/>
        <v>#N/A</v>
      </c>
      <c r="BU72" s="398">
        <f t="shared" si="93"/>
        <v>7.0321428571428584</v>
      </c>
      <c r="BV72" s="407">
        <f t="shared" si="94"/>
        <v>1.9666666666666668</v>
      </c>
    </row>
    <row r="73" spans="2:74" ht="16.5" thickBot="1" x14ac:dyDescent="0.3">
      <c r="B73" s="383"/>
      <c r="C73" s="385">
        <f>IF(ISBLANK(D73),"",COUNTA($D$18:D73))</f>
        <v>56</v>
      </c>
      <c r="D73" s="386" t="str">
        <f>RIGHT(Исх.данные!A807,7)</f>
        <v>56</v>
      </c>
      <c r="E73" s="387" t="e">
        <f>VLOOKUP(D73,Акт!$C$1:$I$30,6,FALSE)</f>
        <v>#N/A</v>
      </c>
      <c r="F73" s="388">
        <f>VLOOKUP("pH солевой вытяжки",Исх.данные!$C$427:$F$437,4,FALSE)</f>
        <v>6.2</v>
      </c>
      <c r="G73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3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3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3" s="388">
        <f>VLOOKUP("Никель",Исх.данные!$C$427:$F$437,4,FALSE)</f>
        <v>3.5</v>
      </c>
      <c r="K73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3" s="388" t="str">
        <f>VLOOKUP("Свинец",Исх.данные!$C$427:$F$437,4,FALSE)</f>
        <v>27</v>
      </c>
      <c r="M73" s="388" t="str">
        <f>VLOOKUP("Цинк",Исх.данные!$C$427:$F$437,4,FALSE)</f>
        <v>31</v>
      </c>
      <c r="N73" s="389" t="e">
        <f>VLOOKUP(D73,Акт!$C$1:$I$30,7,FALSE)</f>
        <v>#N/A</v>
      </c>
      <c r="O73" s="390">
        <f>VLOOKUP("pH солевой вытяжки",Исх.данные!$C$427:$F$437,4,FALSE)</f>
        <v>6.2</v>
      </c>
      <c r="P73" s="391"/>
      <c r="Q73" s="392">
        <f t="shared" si="60"/>
        <v>56</v>
      </c>
      <c r="R73" s="393"/>
      <c r="S73" s="385" t="str">
        <f t="shared" si="61"/>
        <v>56</v>
      </c>
      <c r="T73" s="394" t="e">
        <f t="shared" si="62"/>
        <v>#N/A</v>
      </c>
      <c r="U73" s="394" t="str">
        <f t="shared" si="63"/>
        <v>0,0051</v>
      </c>
      <c r="V73" s="395" t="str">
        <f t="shared" si="64"/>
        <v>нет</v>
      </c>
      <c r="W73" s="396" t="str">
        <f t="shared" si="65"/>
        <v>Д</v>
      </c>
      <c r="X73" s="397"/>
      <c r="Y73" s="392"/>
      <c r="Z73" s="392"/>
      <c r="AA73" s="388">
        <f>VLOOKUP("Бенз(а)пирен",Исх.данные!$C$427:$F$437,4,FALSE)</f>
        <v>5.0000000000000001E-3</v>
      </c>
      <c r="AB73" s="388" t="str">
        <f>VLOOKUP("Бенз(а)пирен",Исх.данные!$C$427:$H$437,6,FALSE)</f>
        <v>1</v>
      </c>
      <c r="AC73" s="392">
        <f t="shared" si="66"/>
        <v>56</v>
      </c>
      <c r="AD73" s="392"/>
      <c r="AE73" s="385" t="str">
        <f t="shared" si="67"/>
        <v>56</v>
      </c>
      <c r="AF73" s="394" t="e">
        <f t="shared" si="68"/>
        <v>#N/A</v>
      </c>
      <c r="AG73" s="394" t="str">
        <f t="shared" si="69"/>
        <v>502</v>
      </c>
      <c r="AH73" s="398" t="str">
        <f t="shared" si="70"/>
        <v>нет</v>
      </c>
      <c r="AI73" s="399" t="str">
        <f t="shared" si="71"/>
        <v>Допустимый</v>
      </c>
      <c r="AJ73" s="392"/>
      <c r="AK73" s="392"/>
      <c r="AL73" s="388">
        <f>VLOOKUP("Нефтепродукты",Исх.данные!$C$427:$F$437,4,FALSE)</f>
        <v>50</v>
      </c>
      <c r="AM73" s="388" t="str">
        <f>VLOOKUP("Нефтепродукты",Исх.данные!$C$427:$H$437,6,FALSE)</f>
        <v>2</v>
      </c>
      <c r="AN73" s="392"/>
      <c r="AO73" s="392">
        <f t="shared" si="72"/>
        <v>56</v>
      </c>
      <c r="AP73" s="392"/>
      <c r="AQ73" s="400" t="str">
        <f t="shared" si="73"/>
        <v>56</v>
      </c>
      <c r="AR73" s="391" t="e">
        <f t="shared" si="74"/>
        <v>#N/A</v>
      </c>
      <c r="AS73" s="398" t="str">
        <f t="shared" si="75"/>
        <v>ошибка</v>
      </c>
      <c r="AT73" s="398" t="str">
        <f t="shared" si="76"/>
        <v>ошибка</v>
      </c>
      <c r="AU73" s="401" t="str">
        <f t="shared" si="77"/>
        <v>ошибка</v>
      </c>
      <c r="AV73" s="398" t="str">
        <f t="shared" si="78"/>
        <v>ошибка</v>
      </c>
      <c r="AW73" s="398" t="str">
        <f t="shared" si="79"/>
        <v>нет</v>
      </c>
      <c r="AX73" s="398" t="str">
        <f t="shared" si="80"/>
        <v>ошибка</v>
      </c>
      <c r="AY73" s="402" t="str">
        <f t="shared" si="81"/>
        <v>ошибка</v>
      </c>
      <c r="AZ73" s="395">
        <f t="shared" si="82"/>
        <v>1.0384615384615385</v>
      </c>
      <c r="BA73" s="403" t="str">
        <f t="shared" si="83"/>
        <v>Д</v>
      </c>
      <c r="BB73" s="404"/>
      <c r="BC73" s="395">
        <f t="shared" si="84"/>
        <v>0.46666666666666673</v>
      </c>
      <c r="BD73" s="395">
        <f t="shared" si="85"/>
        <v>0.48148148148148145</v>
      </c>
      <c r="BE73" s="395">
        <f t="shared" si="86"/>
        <v>9.0909090909090912E-2</v>
      </c>
      <c r="BF73" s="395">
        <f t="shared" si="87"/>
        <v>0.17499999999999999</v>
      </c>
      <c r="BG73" s="395">
        <f t="shared" si="88"/>
        <v>6.4999999999999988E-2</v>
      </c>
      <c r="BH73" s="395">
        <f t="shared" si="89"/>
        <v>1.0384615384615385</v>
      </c>
      <c r="BI73" s="395">
        <f t="shared" si="90"/>
        <v>0.59615384615384615</v>
      </c>
      <c r="BJ73" s="404"/>
      <c r="BK73" s="395" t="e">
        <f t="shared" si="42"/>
        <v>#N/A</v>
      </c>
      <c r="BL73" s="395" t="e">
        <f t="shared" si="43"/>
        <v>#N/A</v>
      </c>
      <c r="BM73" s="395" t="e">
        <f t="shared" si="44"/>
        <v>#N/A</v>
      </c>
      <c r="BN73" s="395" t="e">
        <f t="shared" si="45"/>
        <v>#N/A</v>
      </c>
      <c r="BO73" s="395" t="e">
        <f t="shared" si="46"/>
        <v>#N/A</v>
      </c>
      <c r="BP73" s="395" t="e">
        <f t="shared" si="47"/>
        <v>#N/A</v>
      </c>
      <c r="BQ73" s="395" t="e">
        <f t="shared" si="48"/>
        <v>#N/A</v>
      </c>
      <c r="BR73" s="404"/>
      <c r="BS73" s="405">
        <f t="shared" si="91"/>
        <v>1.0384615384615385</v>
      </c>
      <c r="BT73" s="406" t="e">
        <f t="shared" si="92"/>
        <v>#N/A</v>
      </c>
      <c r="BU73" s="398">
        <f t="shared" si="93"/>
        <v>7.0321428571428584</v>
      </c>
      <c r="BV73" s="407">
        <f t="shared" si="94"/>
        <v>1.9666666666666668</v>
      </c>
    </row>
    <row r="74" spans="2:74" ht="16.5" thickBot="1" x14ac:dyDescent="0.3">
      <c r="B74" s="286"/>
      <c r="C74" s="385">
        <f>IF(ISBLANK(D74),"",COUNTA($D$18:D74))</f>
        <v>57</v>
      </c>
      <c r="D74" s="386" t="str">
        <f>RIGHT(Исх.данные!A821,7)</f>
        <v>57</v>
      </c>
      <c r="E74" s="387" t="e">
        <f>VLOOKUP(D74,Акт!$C$1:$I$30,6,FALSE)</f>
        <v>#N/A</v>
      </c>
      <c r="F74" s="388">
        <f>VLOOKUP("pH солевой вытяжки",Исх.данные!$C$427:$F$437,4,FALSE)</f>
        <v>6.2</v>
      </c>
      <c r="G74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4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4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4" s="388">
        <f>VLOOKUP("Никель",Исх.данные!$C$427:$F$437,4,FALSE)</f>
        <v>3.5</v>
      </c>
      <c r="K74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4" s="388" t="str">
        <f>VLOOKUP("Свинец",Исх.данные!$C$427:$F$437,4,FALSE)</f>
        <v>27</v>
      </c>
      <c r="M74" s="388" t="str">
        <f>VLOOKUP("Цинк",Исх.данные!$C$427:$F$437,4,FALSE)</f>
        <v>31</v>
      </c>
      <c r="N74" s="389" t="e">
        <f>VLOOKUP(D74,Акт!$C$1:$I$30,7,FALSE)</f>
        <v>#N/A</v>
      </c>
      <c r="O74" s="390">
        <f>VLOOKUP("pH солевой вытяжки",Исх.данные!$C$427:$F$437,4,FALSE)</f>
        <v>6.2</v>
      </c>
      <c r="P74" s="391"/>
      <c r="Q74" s="392">
        <f t="shared" si="60"/>
        <v>57</v>
      </c>
      <c r="R74" s="393"/>
      <c r="S74" s="385" t="str">
        <f t="shared" si="61"/>
        <v>57</v>
      </c>
      <c r="T74" s="394" t="e">
        <f t="shared" si="62"/>
        <v>#N/A</v>
      </c>
      <c r="U74" s="394" t="str">
        <f t="shared" si="63"/>
        <v>0,0051</v>
      </c>
      <c r="V74" s="395" t="str">
        <f t="shared" si="64"/>
        <v>нет</v>
      </c>
      <c r="W74" s="396" t="str">
        <f t="shared" si="65"/>
        <v>Д</v>
      </c>
      <c r="X74" s="397"/>
      <c r="Y74" s="392"/>
      <c r="Z74" s="392"/>
      <c r="AA74" s="388">
        <f>VLOOKUP("Бенз(а)пирен",Исх.данные!$C$427:$F$437,4,FALSE)</f>
        <v>5.0000000000000001E-3</v>
      </c>
      <c r="AB74" s="388" t="str">
        <f>VLOOKUP("Бенз(а)пирен",Исх.данные!$C$427:$H$437,6,FALSE)</f>
        <v>1</v>
      </c>
      <c r="AC74" s="392">
        <f t="shared" si="66"/>
        <v>57</v>
      </c>
      <c r="AD74" s="392"/>
      <c r="AE74" s="385" t="str">
        <f t="shared" si="67"/>
        <v>57</v>
      </c>
      <c r="AF74" s="394" t="e">
        <f t="shared" si="68"/>
        <v>#N/A</v>
      </c>
      <c r="AG74" s="394" t="str">
        <f t="shared" si="69"/>
        <v>502</v>
      </c>
      <c r="AH74" s="398" t="str">
        <f t="shared" si="70"/>
        <v>нет</v>
      </c>
      <c r="AI74" s="399" t="str">
        <f t="shared" si="71"/>
        <v>Допустимый</v>
      </c>
      <c r="AJ74" s="392"/>
      <c r="AK74" s="392"/>
      <c r="AL74" s="388">
        <f>VLOOKUP("Нефтепродукты",Исх.данные!$C$427:$F$437,4,FALSE)</f>
        <v>50</v>
      </c>
      <c r="AM74" s="388" t="str">
        <f>VLOOKUP("Нефтепродукты",Исх.данные!$C$427:$H$437,6,FALSE)</f>
        <v>2</v>
      </c>
      <c r="AN74" s="392"/>
      <c r="AO74" s="392">
        <f t="shared" si="72"/>
        <v>57</v>
      </c>
      <c r="AP74" s="392"/>
      <c r="AQ74" s="400" t="str">
        <f t="shared" si="73"/>
        <v>57</v>
      </c>
      <c r="AR74" s="391" t="e">
        <f t="shared" si="74"/>
        <v>#N/A</v>
      </c>
      <c r="AS74" s="398" t="str">
        <f t="shared" si="75"/>
        <v>ошибка</v>
      </c>
      <c r="AT74" s="398" t="str">
        <f t="shared" si="76"/>
        <v>ошибка</v>
      </c>
      <c r="AU74" s="401" t="str">
        <f t="shared" si="77"/>
        <v>ошибка</v>
      </c>
      <c r="AV74" s="398" t="str">
        <f t="shared" si="78"/>
        <v>ошибка</v>
      </c>
      <c r="AW74" s="398" t="str">
        <f t="shared" si="79"/>
        <v>нет</v>
      </c>
      <c r="AX74" s="398" t="str">
        <f t="shared" si="80"/>
        <v>ошибка</v>
      </c>
      <c r="AY74" s="402" t="str">
        <f t="shared" si="81"/>
        <v>ошибка</v>
      </c>
      <c r="AZ74" s="395">
        <f t="shared" si="82"/>
        <v>1.0384615384615385</v>
      </c>
      <c r="BA74" s="403" t="str">
        <f t="shared" si="83"/>
        <v>Д</v>
      </c>
      <c r="BB74" s="404"/>
      <c r="BC74" s="395">
        <f t="shared" si="84"/>
        <v>0.46666666666666673</v>
      </c>
      <c r="BD74" s="395">
        <f t="shared" si="85"/>
        <v>0.48148148148148145</v>
      </c>
      <c r="BE74" s="395">
        <f t="shared" si="86"/>
        <v>9.0909090909090912E-2</v>
      </c>
      <c r="BF74" s="395">
        <f t="shared" si="87"/>
        <v>0.17499999999999999</v>
      </c>
      <c r="BG74" s="395">
        <f t="shared" si="88"/>
        <v>6.4999999999999988E-2</v>
      </c>
      <c r="BH74" s="395">
        <f t="shared" si="89"/>
        <v>1.0384615384615385</v>
      </c>
      <c r="BI74" s="395">
        <f t="shared" si="90"/>
        <v>0.59615384615384615</v>
      </c>
      <c r="BJ74" s="404"/>
      <c r="BK74" s="395" t="e">
        <f t="shared" si="42"/>
        <v>#N/A</v>
      </c>
      <c r="BL74" s="395" t="e">
        <f t="shared" si="43"/>
        <v>#N/A</v>
      </c>
      <c r="BM74" s="395" t="e">
        <f t="shared" si="44"/>
        <v>#N/A</v>
      </c>
      <c r="BN74" s="395" t="e">
        <f t="shared" si="45"/>
        <v>#N/A</v>
      </c>
      <c r="BO74" s="395" t="e">
        <f t="shared" si="46"/>
        <v>#N/A</v>
      </c>
      <c r="BP74" s="395" t="e">
        <f t="shared" si="47"/>
        <v>#N/A</v>
      </c>
      <c r="BQ74" s="395" t="e">
        <f t="shared" si="48"/>
        <v>#N/A</v>
      </c>
      <c r="BR74" s="404"/>
      <c r="BS74" s="405">
        <f t="shared" si="91"/>
        <v>1.0384615384615385</v>
      </c>
      <c r="BT74" s="406" t="e">
        <f t="shared" si="92"/>
        <v>#N/A</v>
      </c>
      <c r="BU74" s="398">
        <f t="shared" si="93"/>
        <v>7.0321428571428584</v>
      </c>
      <c r="BV74" s="407">
        <f t="shared" si="94"/>
        <v>1.9666666666666668</v>
      </c>
    </row>
    <row r="75" spans="2:74" ht="16.5" thickBot="1" x14ac:dyDescent="0.3">
      <c r="B75" s="286"/>
      <c r="C75" s="385">
        <f>IF(ISBLANK(D75),"",COUNTA($D$18:D75))</f>
        <v>58</v>
      </c>
      <c r="D75" s="386" t="str">
        <f>RIGHT(Исх.данные!A837,7)</f>
        <v>58</v>
      </c>
      <c r="E75" s="387" t="e">
        <f>VLOOKUP(D75,Акт!$C$1:$I$30,6,FALSE)</f>
        <v>#N/A</v>
      </c>
      <c r="F75" s="388">
        <f>VLOOKUP("pH солевой вытяжки",Исх.данные!$C$427:$F$437,4,FALSE)</f>
        <v>6.2</v>
      </c>
      <c r="G75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5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5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5" s="388">
        <f>VLOOKUP("Никель",Исх.данные!$C$427:$F$437,4,FALSE)</f>
        <v>3.5</v>
      </c>
      <c r="K75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5" s="388" t="str">
        <f>VLOOKUP("Свинец",Исх.данные!$C$427:$F$437,4,FALSE)</f>
        <v>27</v>
      </c>
      <c r="M75" s="388" t="str">
        <f>VLOOKUP("Цинк",Исх.данные!$C$427:$F$437,4,FALSE)</f>
        <v>31</v>
      </c>
      <c r="N75" s="389" t="e">
        <f>VLOOKUP(D75,Акт!$C$1:$I$30,7,FALSE)</f>
        <v>#N/A</v>
      </c>
      <c r="O75" s="390">
        <f>VLOOKUP("pH солевой вытяжки",Исх.данные!$C$427:$F$437,4,FALSE)</f>
        <v>6.2</v>
      </c>
      <c r="P75" s="391"/>
      <c r="Q75" s="392">
        <f t="shared" si="60"/>
        <v>58</v>
      </c>
      <c r="R75" s="393"/>
      <c r="S75" s="385" t="str">
        <f t="shared" si="61"/>
        <v>58</v>
      </c>
      <c r="T75" s="394" t="e">
        <f t="shared" si="62"/>
        <v>#N/A</v>
      </c>
      <c r="U75" s="394" t="str">
        <f t="shared" si="63"/>
        <v>0,0051</v>
      </c>
      <c r="V75" s="395" t="str">
        <f t="shared" si="64"/>
        <v>нет</v>
      </c>
      <c r="W75" s="396" t="str">
        <f t="shared" si="65"/>
        <v>Д</v>
      </c>
      <c r="X75" s="397"/>
      <c r="Y75" s="392"/>
      <c r="Z75" s="392"/>
      <c r="AA75" s="388">
        <f>VLOOKUP("Бенз(а)пирен",Исх.данные!$C$427:$F$437,4,FALSE)</f>
        <v>5.0000000000000001E-3</v>
      </c>
      <c r="AB75" s="388" t="str">
        <f>VLOOKUP("Бенз(а)пирен",Исх.данные!$C$427:$H$437,6,FALSE)</f>
        <v>1</v>
      </c>
      <c r="AC75" s="392">
        <f t="shared" si="66"/>
        <v>58</v>
      </c>
      <c r="AD75" s="392"/>
      <c r="AE75" s="385" t="str">
        <f t="shared" si="67"/>
        <v>58</v>
      </c>
      <c r="AF75" s="394" t="e">
        <f t="shared" si="68"/>
        <v>#N/A</v>
      </c>
      <c r="AG75" s="394" t="str">
        <f t="shared" si="69"/>
        <v>502</v>
      </c>
      <c r="AH75" s="398" t="str">
        <f t="shared" si="70"/>
        <v>нет</v>
      </c>
      <c r="AI75" s="399" t="str">
        <f t="shared" si="71"/>
        <v>Допустимый</v>
      </c>
      <c r="AJ75" s="392"/>
      <c r="AK75" s="392"/>
      <c r="AL75" s="388">
        <f>VLOOKUP("Нефтепродукты",Исх.данные!$C$427:$F$437,4,FALSE)</f>
        <v>50</v>
      </c>
      <c r="AM75" s="388" t="str">
        <f>VLOOKUP("Нефтепродукты",Исх.данные!$C$427:$H$437,6,FALSE)</f>
        <v>2</v>
      </c>
      <c r="AN75" s="392"/>
      <c r="AO75" s="392">
        <f t="shared" si="72"/>
        <v>58</v>
      </c>
      <c r="AP75" s="392"/>
      <c r="AQ75" s="400" t="str">
        <f t="shared" si="73"/>
        <v>58</v>
      </c>
      <c r="AR75" s="391" t="e">
        <f t="shared" si="74"/>
        <v>#N/A</v>
      </c>
      <c r="AS75" s="398" t="str">
        <f t="shared" si="75"/>
        <v>ошибка</v>
      </c>
      <c r="AT75" s="398" t="str">
        <f t="shared" si="76"/>
        <v>ошибка</v>
      </c>
      <c r="AU75" s="401" t="str">
        <f t="shared" si="77"/>
        <v>ошибка</v>
      </c>
      <c r="AV75" s="398" t="str">
        <f t="shared" si="78"/>
        <v>ошибка</v>
      </c>
      <c r="AW75" s="398" t="str">
        <f t="shared" si="79"/>
        <v>нет</v>
      </c>
      <c r="AX75" s="398" t="str">
        <f t="shared" si="80"/>
        <v>ошибка</v>
      </c>
      <c r="AY75" s="402" t="str">
        <f t="shared" si="81"/>
        <v>ошибка</v>
      </c>
      <c r="AZ75" s="395">
        <f t="shared" si="82"/>
        <v>1.0384615384615385</v>
      </c>
      <c r="BA75" s="403" t="str">
        <f t="shared" si="83"/>
        <v>Д</v>
      </c>
      <c r="BB75" s="404"/>
      <c r="BC75" s="395">
        <f t="shared" si="84"/>
        <v>0.46666666666666673</v>
      </c>
      <c r="BD75" s="395">
        <f t="shared" si="85"/>
        <v>0.48148148148148145</v>
      </c>
      <c r="BE75" s="395">
        <f t="shared" si="86"/>
        <v>9.0909090909090912E-2</v>
      </c>
      <c r="BF75" s="395">
        <f t="shared" si="87"/>
        <v>0.17499999999999999</v>
      </c>
      <c r="BG75" s="395">
        <f t="shared" si="88"/>
        <v>6.4999999999999988E-2</v>
      </c>
      <c r="BH75" s="395">
        <f t="shared" si="89"/>
        <v>1.0384615384615385</v>
      </c>
      <c r="BI75" s="395">
        <f t="shared" si="90"/>
        <v>0.59615384615384615</v>
      </c>
      <c r="BJ75" s="404"/>
      <c r="BK75" s="395" t="e">
        <f t="shared" si="42"/>
        <v>#N/A</v>
      </c>
      <c r="BL75" s="395" t="e">
        <f t="shared" si="43"/>
        <v>#N/A</v>
      </c>
      <c r="BM75" s="395" t="e">
        <f t="shared" si="44"/>
        <v>#N/A</v>
      </c>
      <c r="BN75" s="395" t="e">
        <f t="shared" si="45"/>
        <v>#N/A</v>
      </c>
      <c r="BO75" s="395" t="e">
        <f t="shared" si="46"/>
        <v>#N/A</v>
      </c>
      <c r="BP75" s="395" t="e">
        <f t="shared" si="47"/>
        <v>#N/A</v>
      </c>
      <c r="BQ75" s="395" t="e">
        <f t="shared" si="48"/>
        <v>#N/A</v>
      </c>
      <c r="BR75" s="404"/>
      <c r="BS75" s="405">
        <f t="shared" si="91"/>
        <v>1.0384615384615385</v>
      </c>
      <c r="BT75" s="406" t="e">
        <f t="shared" si="92"/>
        <v>#N/A</v>
      </c>
      <c r="BU75" s="398">
        <f t="shared" si="93"/>
        <v>7.0321428571428584</v>
      </c>
      <c r="BV75" s="407">
        <f t="shared" si="94"/>
        <v>1.9666666666666668</v>
      </c>
    </row>
    <row r="76" spans="2:74" ht="16.5" thickBot="1" x14ac:dyDescent="0.3">
      <c r="B76" s="286"/>
      <c r="C76" s="385">
        <f>IF(ISBLANK(D76),"",COUNTA($D$18:D76))</f>
        <v>59</v>
      </c>
      <c r="D76" s="386" t="str">
        <f>RIGHT(Исх.данные!A851,7)</f>
        <v>59</v>
      </c>
      <c r="E76" s="387" t="e">
        <f>VLOOKUP(D76,Акт!$C$1:$I$30,6,FALSE)</f>
        <v>#N/A</v>
      </c>
      <c r="F76" s="388">
        <f>VLOOKUP("pH солевой вытяжки",Исх.данные!$C$427:$F$437,4,FALSE)</f>
        <v>6.2</v>
      </c>
      <c r="G76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6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6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6" s="388">
        <f>VLOOKUP("Никель",Исх.данные!$C$427:$F$437,4,FALSE)</f>
        <v>3.5</v>
      </c>
      <c r="K76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6" s="388" t="str">
        <f>VLOOKUP("Свинец",Исх.данные!$C$427:$F$437,4,FALSE)</f>
        <v>27</v>
      </c>
      <c r="M76" s="388" t="str">
        <f>VLOOKUP("Цинк",Исх.данные!$C$427:$F$437,4,FALSE)</f>
        <v>31</v>
      </c>
      <c r="N76" s="389" t="e">
        <f>VLOOKUP(D76,Акт!$C$1:$I$30,7,FALSE)</f>
        <v>#N/A</v>
      </c>
      <c r="O76" s="390">
        <f>VLOOKUP("pH солевой вытяжки",Исх.данные!$C$427:$F$437,4,FALSE)</f>
        <v>6.2</v>
      </c>
      <c r="P76" s="391"/>
      <c r="Q76" s="392">
        <f t="shared" si="60"/>
        <v>59</v>
      </c>
      <c r="R76" s="393"/>
      <c r="S76" s="385" t="str">
        <f t="shared" si="61"/>
        <v>59</v>
      </c>
      <c r="T76" s="394" t="e">
        <f t="shared" si="62"/>
        <v>#N/A</v>
      </c>
      <c r="U76" s="394" t="str">
        <f t="shared" si="63"/>
        <v>0,0051</v>
      </c>
      <c r="V76" s="395" t="str">
        <f t="shared" si="64"/>
        <v>нет</v>
      </c>
      <c r="W76" s="396" t="str">
        <f t="shared" si="65"/>
        <v>Д</v>
      </c>
      <c r="X76" s="397"/>
      <c r="Y76" s="392"/>
      <c r="Z76" s="392"/>
      <c r="AA76" s="388">
        <f>VLOOKUP("Бенз(а)пирен",Исх.данные!$C$427:$F$437,4,FALSE)</f>
        <v>5.0000000000000001E-3</v>
      </c>
      <c r="AB76" s="388" t="str">
        <f>VLOOKUP("Бенз(а)пирен",Исх.данные!$C$427:$H$437,6,FALSE)</f>
        <v>1</v>
      </c>
      <c r="AC76" s="392">
        <f t="shared" si="66"/>
        <v>59</v>
      </c>
      <c r="AD76" s="392"/>
      <c r="AE76" s="385" t="str">
        <f t="shared" si="67"/>
        <v>59</v>
      </c>
      <c r="AF76" s="394" t="e">
        <f t="shared" si="68"/>
        <v>#N/A</v>
      </c>
      <c r="AG76" s="394" t="str">
        <f t="shared" si="69"/>
        <v>502</v>
      </c>
      <c r="AH76" s="398" t="str">
        <f t="shared" si="70"/>
        <v>нет</v>
      </c>
      <c r="AI76" s="399" t="str">
        <f t="shared" si="71"/>
        <v>Допустимый</v>
      </c>
      <c r="AJ76" s="392"/>
      <c r="AK76" s="392"/>
      <c r="AL76" s="388">
        <f>VLOOKUP("Нефтепродукты",Исх.данные!$C$427:$F$437,4,FALSE)</f>
        <v>50</v>
      </c>
      <c r="AM76" s="388" t="str">
        <f>VLOOKUP("Нефтепродукты",Исх.данные!$C$427:$H$437,6,FALSE)</f>
        <v>2</v>
      </c>
      <c r="AN76" s="392"/>
      <c r="AO76" s="392">
        <f t="shared" si="72"/>
        <v>59</v>
      </c>
      <c r="AP76" s="392"/>
      <c r="AQ76" s="400" t="str">
        <f t="shared" si="73"/>
        <v>59</v>
      </c>
      <c r="AR76" s="391" t="e">
        <f t="shared" si="74"/>
        <v>#N/A</v>
      </c>
      <c r="AS76" s="398" t="str">
        <f t="shared" si="75"/>
        <v>ошибка</v>
      </c>
      <c r="AT76" s="398" t="str">
        <f t="shared" si="76"/>
        <v>ошибка</v>
      </c>
      <c r="AU76" s="401" t="str">
        <f t="shared" si="77"/>
        <v>ошибка</v>
      </c>
      <c r="AV76" s="398" t="str">
        <f t="shared" si="78"/>
        <v>ошибка</v>
      </c>
      <c r="AW76" s="398" t="str">
        <f t="shared" si="79"/>
        <v>нет</v>
      </c>
      <c r="AX76" s="398" t="str">
        <f t="shared" si="80"/>
        <v>ошибка</v>
      </c>
      <c r="AY76" s="402" t="str">
        <f t="shared" si="81"/>
        <v>ошибка</v>
      </c>
      <c r="AZ76" s="395">
        <f t="shared" si="82"/>
        <v>1.0384615384615385</v>
      </c>
      <c r="BA76" s="403" t="str">
        <f t="shared" si="83"/>
        <v>Д</v>
      </c>
      <c r="BB76" s="404"/>
      <c r="BC76" s="395">
        <f t="shared" si="84"/>
        <v>0.46666666666666673</v>
      </c>
      <c r="BD76" s="395">
        <f t="shared" si="85"/>
        <v>0.48148148148148145</v>
      </c>
      <c r="BE76" s="395">
        <f t="shared" si="86"/>
        <v>9.0909090909090912E-2</v>
      </c>
      <c r="BF76" s="395">
        <f t="shared" si="87"/>
        <v>0.17499999999999999</v>
      </c>
      <c r="BG76" s="395">
        <f t="shared" si="88"/>
        <v>6.4999999999999988E-2</v>
      </c>
      <c r="BH76" s="395">
        <f t="shared" si="89"/>
        <v>1.0384615384615385</v>
      </c>
      <c r="BI76" s="395">
        <f t="shared" si="90"/>
        <v>0.59615384615384615</v>
      </c>
      <c r="BJ76" s="404"/>
      <c r="BK76" s="395" t="e">
        <f t="shared" si="42"/>
        <v>#N/A</v>
      </c>
      <c r="BL76" s="395" t="e">
        <f t="shared" si="43"/>
        <v>#N/A</v>
      </c>
      <c r="BM76" s="395" t="e">
        <f t="shared" si="44"/>
        <v>#N/A</v>
      </c>
      <c r="BN76" s="395" t="e">
        <f t="shared" si="45"/>
        <v>#N/A</v>
      </c>
      <c r="BO76" s="395" t="e">
        <f t="shared" si="46"/>
        <v>#N/A</v>
      </c>
      <c r="BP76" s="395" t="e">
        <f t="shared" si="47"/>
        <v>#N/A</v>
      </c>
      <c r="BQ76" s="395" t="e">
        <f t="shared" si="48"/>
        <v>#N/A</v>
      </c>
      <c r="BR76" s="404"/>
      <c r="BS76" s="405">
        <f t="shared" si="91"/>
        <v>1.0384615384615385</v>
      </c>
      <c r="BT76" s="406" t="e">
        <f t="shared" si="92"/>
        <v>#N/A</v>
      </c>
      <c r="BU76" s="398">
        <f t="shared" si="93"/>
        <v>7.0321428571428584</v>
      </c>
      <c r="BV76" s="407">
        <f t="shared" si="94"/>
        <v>1.9666666666666668</v>
      </c>
    </row>
    <row r="77" spans="2:74" ht="16.5" thickBot="1" x14ac:dyDescent="0.3">
      <c r="B77" s="286"/>
      <c r="C77" s="385">
        <f>IF(ISBLANK(D77),"",COUNTA($D$18:D77))</f>
        <v>60</v>
      </c>
      <c r="D77" s="386" t="str">
        <f>RIGHT(Исх.данные!A865,7)</f>
        <v>60</v>
      </c>
      <c r="E77" s="387" t="e">
        <f>VLOOKUP(D77,Акт!$C$1:$I$30,6,FALSE)</f>
        <v>#N/A</v>
      </c>
      <c r="F77" s="388">
        <f>VLOOKUP("pH солевой вытяжки",Исх.данные!$C$427:$F$437,4,FALSE)</f>
        <v>6.2</v>
      </c>
      <c r="G77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7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7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7" s="388">
        <f>VLOOKUP("Никель",Исх.данные!$C$427:$F$437,4,FALSE)</f>
        <v>3.5</v>
      </c>
      <c r="K77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7" s="388" t="str">
        <f>VLOOKUP("Свинец",Исх.данные!$C$427:$F$437,4,FALSE)</f>
        <v>27</v>
      </c>
      <c r="M77" s="388" t="str">
        <f>VLOOKUP("Цинк",Исх.данные!$C$427:$F$437,4,FALSE)</f>
        <v>31</v>
      </c>
      <c r="N77" s="389" t="e">
        <f>VLOOKUP(D77,Акт!$C$1:$I$30,7,FALSE)</f>
        <v>#N/A</v>
      </c>
      <c r="O77" s="390">
        <f>VLOOKUP("pH солевой вытяжки",Исх.данные!$C$427:$F$437,4,FALSE)</f>
        <v>6.2</v>
      </c>
      <c r="P77" s="391"/>
      <c r="Q77" s="392">
        <f t="shared" si="60"/>
        <v>60</v>
      </c>
      <c r="R77" s="393"/>
      <c r="S77" s="385" t="str">
        <f t="shared" si="61"/>
        <v>60</v>
      </c>
      <c r="T77" s="394" t="e">
        <f t="shared" si="62"/>
        <v>#N/A</v>
      </c>
      <c r="U77" s="394" t="str">
        <f t="shared" si="63"/>
        <v>0,0051</v>
      </c>
      <c r="V77" s="395" t="str">
        <f t="shared" si="64"/>
        <v>нет</v>
      </c>
      <c r="W77" s="396" t="str">
        <f t="shared" si="65"/>
        <v>Д</v>
      </c>
      <c r="X77" s="397"/>
      <c r="Y77" s="392"/>
      <c r="Z77" s="392"/>
      <c r="AA77" s="388">
        <f>VLOOKUP("Бенз(а)пирен",Исх.данные!$C$427:$F$437,4,FALSE)</f>
        <v>5.0000000000000001E-3</v>
      </c>
      <c r="AB77" s="388" t="str">
        <f>VLOOKUP("Бенз(а)пирен",Исх.данные!$C$427:$H$437,6,FALSE)</f>
        <v>1</v>
      </c>
      <c r="AC77" s="392">
        <f t="shared" si="66"/>
        <v>60</v>
      </c>
      <c r="AD77" s="392"/>
      <c r="AE77" s="385" t="str">
        <f t="shared" si="67"/>
        <v>60</v>
      </c>
      <c r="AF77" s="394" t="e">
        <f t="shared" si="68"/>
        <v>#N/A</v>
      </c>
      <c r="AG77" s="394" t="str">
        <f t="shared" si="69"/>
        <v>502</v>
      </c>
      <c r="AH77" s="398" t="str">
        <f t="shared" si="70"/>
        <v>нет</v>
      </c>
      <c r="AI77" s="399" t="str">
        <f t="shared" si="71"/>
        <v>Допустимый</v>
      </c>
      <c r="AJ77" s="392"/>
      <c r="AK77" s="392"/>
      <c r="AL77" s="388">
        <f>VLOOKUP("Нефтепродукты",Исх.данные!$C$427:$F$437,4,FALSE)</f>
        <v>50</v>
      </c>
      <c r="AM77" s="388" t="str">
        <f>VLOOKUP("Нефтепродукты",Исх.данные!$C$427:$H$437,6,FALSE)</f>
        <v>2</v>
      </c>
      <c r="AN77" s="392"/>
      <c r="AO77" s="392">
        <f t="shared" si="72"/>
        <v>60</v>
      </c>
      <c r="AP77" s="392"/>
      <c r="AQ77" s="400" t="str">
        <f t="shared" si="73"/>
        <v>60</v>
      </c>
      <c r="AR77" s="391" t="e">
        <f t="shared" si="74"/>
        <v>#N/A</v>
      </c>
      <c r="AS77" s="398" t="str">
        <f t="shared" si="75"/>
        <v>ошибка</v>
      </c>
      <c r="AT77" s="398" t="str">
        <f t="shared" si="76"/>
        <v>ошибка</v>
      </c>
      <c r="AU77" s="401" t="str">
        <f t="shared" si="77"/>
        <v>ошибка</v>
      </c>
      <c r="AV77" s="398" t="str">
        <f t="shared" si="78"/>
        <v>ошибка</v>
      </c>
      <c r="AW77" s="398" t="str">
        <f t="shared" si="79"/>
        <v>нет</v>
      </c>
      <c r="AX77" s="398" t="str">
        <f t="shared" si="80"/>
        <v>ошибка</v>
      </c>
      <c r="AY77" s="402" t="str">
        <f t="shared" si="81"/>
        <v>ошибка</v>
      </c>
      <c r="AZ77" s="395">
        <f t="shared" si="82"/>
        <v>1.0384615384615385</v>
      </c>
      <c r="BA77" s="403" t="str">
        <f t="shared" si="83"/>
        <v>Д</v>
      </c>
      <c r="BB77" s="404"/>
      <c r="BC77" s="395">
        <f t="shared" si="84"/>
        <v>0.46666666666666673</v>
      </c>
      <c r="BD77" s="395">
        <f t="shared" si="85"/>
        <v>0.48148148148148145</v>
      </c>
      <c r="BE77" s="395">
        <f t="shared" si="86"/>
        <v>9.0909090909090912E-2</v>
      </c>
      <c r="BF77" s="395">
        <f t="shared" si="87"/>
        <v>0.17499999999999999</v>
      </c>
      <c r="BG77" s="395">
        <f t="shared" si="88"/>
        <v>6.4999999999999988E-2</v>
      </c>
      <c r="BH77" s="395">
        <f t="shared" si="89"/>
        <v>1.0384615384615385</v>
      </c>
      <c r="BI77" s="395">
        <f t="shared" si="90"/>
        <v>0.59615384615384615</v>
      </c>
      <c r="BJ77" s="404"/>
      <c r="BK77" s="395" t="e">
        <f t="shared" si="42"/>
        <v>#N/A</v>
      </c>
      <c r="BL77" s="395" t="e">
        <f t="shared" si="43"/>
        <v>#N/A</v>
      </c>
      <c r="BM77" s="395" t="e">
        <f t="shared" si="44"/>
        <v>#N/A</v>
      </c>
      <c r="BN77" s="395" t="e">
        <f t="shared" si="45"/>
        <v>#N/A</v>
      </c>
      <c r="BO77" s="395" t="e">
        <f t="shared" si="46"/>
        <v>#N/A</v>
      </c>
      <c r="BP77" s="395" t="e">
        <f t="shared" si="47"/>
        <v>#N/A</v>
      </c>
      <c r="BQ77" s="395" t="e">
        <f t="shared" si="48"/>
        <v>#N/A</v>
      </c>
      <c r="BR77" s="404"/>
      <c r="BS77" s="405">
        <f t="shared" si="91"/>
        <v>1.0384615384615385</v>
      </c>
      <c r="BT77" s="406" t="e">
        <f t="shared" si="92"/>
        <v>#N/A</v>
      </c>
      <c r="BU77" s="398">
        <f t="shared" si="93"/>
        <v>7.0321428571428584</v>
      </c>
      <c r="BV77" s="407">
        <f t="shared" si="94"/>
        <v>1.9666666666666668</v>
      </c>
    </row>
    <row r="78" spans="2:74" ht="16.5" thickBot="1" x14ac:dyDescent="0.3">
      <c r="B78" s="285"/>
      <c r="C78" s="385">
        <f>IF(ISBLANK(D78),"",COUNTA($D$18:D78))</f>
        <v>61</v>
      </c>
      <c r="D78" s="386" t="str">
        <f>RIGHT(Исх.данные!A881,7)</f>
        <v>61</v>
      </c>
      <c r="E78" s="387" t="e">
        <f>VLOOKUP(D78,Акт!$C$1:$I$30,6,FALSE)</f>
        <v>#N/A</v>
      </c>
      <c r="F78" s="388">
        <f>VLOOKUP("pH солевой вытяжки",Исх.данные!$C$427:$F$437,4,FALSE)</f>
        <v>6.2</v>
      </c>
      <c r="G78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8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8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8" s="388">
        <f>VLOOKUP("Никель",Исх.данные!$C$427:$F$437,4,FALSE)</f>
        <v>3.5</v>
      </c>
      <c r="K78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8" s="388" t="str">
        <f>VLOOKUP("Свинец",Исх.данные!$C$427:$F$437,4,FALSE)</f>
        <v>27</v>
      </c>
      <c r="M78" s="388" t="str">
        <f>VLOOKUP("Цинк",Исх.данные!$C$427:$F$437,4,FALSE)</f>
        <v>31</v>
      </c>
      <c r="N78" s="389" t="e">
        <f>VLOOKUP(D78,Акт!$C$1:$I$30,7,FALSE)</f>
        <v>#N/A</v>
      </c>
      <c r="O78" s="390">
        <f>VLOOKUP("pH солевой вытяжки",Исх.данные!$C$427:$F$437,4,FALSE)</f>
        <v>6.2</v>
      </c>
      <c r="P78" s="391"/>
      <c r="Q78" s="392">
        <f t="shared" si="60"/>
        <v>61</v>
      </c>
      <c r="R78" s="393"/>
      <c r="S78" s="385" t="str">
        <f t="shared" si="61"/>
        <v>61</v>
      </c>
      <c r="T78" s="394" t="e">
        <f t="shared" si="62"/>
        <v>#N/A</v>
      </c>
      <c r="U78" s="394" t="str">
        <f t="shared" si="63"/>
        <v>0,0051</v>
      </c>
      <c r="V78" s="395" t="str">
        <f t="shared" si="64"/>
        <v>нет</v>
      </c>
      <c r="W78" s="396" t="str">
        <f t="shared" si="65"/>
        <v>Д</v>
      </c>
      <c r="X78" s="397"/>
      <c r="Y78" s="392"/>
      <c r="Z78" s="392"/>
      <c r="AA78" s="388">
        <f>VLOOKUP("Бенз(а)пирен",Исх.данные!$C$427:$F$437,4,FALSE)</f>
        <v>5.0000000000000001E-3</v>
      </c>
      <c r="AB78" s="388" t="str">
        <f>VLOOKUP("Бенз(а)пирен",Исх.данные!$C$427:$H$437,6,FALSE)</f>
        <v>1</v>
      </c>
      <c r="AC78" s="392">
        <f t="shared" si="66"/>
        <v>61</v>
      </c>
      <c r="AD78" s="392"/>
      <c r="AE78" s="385" t="str">
        <f t="shared" si="67"/>
        <v>61</v>
      </c>
      <c r="AF78" s="394" t="e">
        <f t="shared" si="68"/>
        <v>#N/A</v>
      </c>
      <c r="AG78" s="394" t="str">
        <f t="shared" si="69"/>
        <v>502</v>
      </c>
      <c r="AH78" s="398" t="str">
        <f t="shared" si="70"/>
        <v>нет</v>
      </c>
      <c r="AI78" s="399" t="str">
        <f t="shared" si="71"/>
        <v>Допустимый</v>
      </c>
      <c r="AJ78" s="392"/>
      <c r="AK78" s="392"/>
      <c r="AL78" s="388">
        <f>VLOOKUP("Нефтепродукты",Исх.данные!$C$427:$F$437,4,FALSE)</f>
        <v>50</v>
      </c>
      <c r="AM78" s="388" t="str">
        <f>VLOOKUP("Нефтепродукты",Исх.данные!$C$427:$H$437,6,FALSE)</f>
        <v>2</v>
      </c>
      <c r="AN78" s="392"/>
      <c r="AO78" s="392">
        <f t="shared" si="72"/>
        <v>61</v>
      </c>
      <c r="AP78" s="392"/>
      <c r="AQ78" s="400" t="str">
        <f t="shared" si="73"/>
        <v>61</v>
      </c>
      <c r="AR78" s="391" t="e">
        <f t="shared" si="74"/>
        <v>#N/A</v>
      </c>
      <c r="AS78" s="398" t="str">
        <f t="shared" si="75"/>
        <v>ошибка</v>
      </c>
      <c r="AT78" s="398" t="str">
        <f t="shared" si="76"/>
        <v>ошибка</v>
      </c>
      <c r="AU78" s="401" t="str">
        <f t="shared" si="77"/>
        <v>ошибка</v>
      </c>
      <c r="AV78" s="398" t="str">
        <f t="shared" si="78"/>
        <v>ошибка</v>
      </c>
      <c r="AW78" s="398" t="str">
        <f t="shared" si="79"/>
        <v>нет</v>
      </c>
      <c r="AX78" s="398" t="str">
        <f t="shared" si="80"/>
        <v>ошибка</v>
      </c>
      <c r="AY78" s="402" t="str">
        <f t="shared" si="81"/>
        <v>ошибка</v>
      </c>
      <c r="AZ78" s="395">
        <f t="shared" si="82"/>
        <v>1.0384615384615385</v>
      </c>
      <c r="BA78" s="403" t="str">
        <f t="shared" si="83"/>
        <v>Д</v>
      </c>
      <c r="BB78" s="404"/>
      <c r="BC78" s="395">
        <f t="shared" si="84"/>
        <v>0.46666666666666673</v>
      </c>
      <c r="BD78" s="395">
        <f t="shared" si="85"/>
        <v>0.48148148148148145</v>
      </c>
      <c r="BE78" s="395">
        <f t="shared" si="86"/>
        <v>9.0909090909090912E-2</v>
      </c>
      <c r="BF78" s="395">
        <f t="shared" si="87"/>
        <v>0.17499999999999999</v>
      </c>
      <c r="BG78" s="395">
        <f t="shared" si="88"/>
        <v>6.4999999999999988E-2</v>
      </c>
      <c r="BH78" s="395">
        <f t="shared" si="89"/>
        <v>1.0384615384615385</v>
      </c>
      <c r="BI78" s="395">
        <f t="shared" si="90"/>
        <v>0.59615384615384615</v>
      </c>
      <c r="BJ78" s="404"/>
      <c r="BK78" s="395" t="e">
        <f t="shared" si="42"/>
        <v>#N/A</v>
      </c>
      <c r="BL78" s="395" t="e">
        <f t="shared" si="43"/>
        <v>#N/A</v>
      </c>
      <c r="BM78" s="395" t="e">
        <f t="shared" si="44"/>
        <v>#N/A</v>
      </c>
      <c r="BN78" s="395" t="e">
        <f t="shared" si="45"/>
        <v>#N/A</v>
      </c>
      <c r="BO78" s="395" t="e">
        <f t="shared" si="46"/>
        <v>#N/A</v>
      </c>
      <c r="BP78" s="395" t="e">
        <f t="shared" si="47"/>
        <v>#N/A</v>
      </c>
      <c r="BQ78" s="395" t="e">
        <f t="shared" si="48"/>
        <v>#N/A</v>
      </c>
      <c r="BR78" s="404"/>
      <c r="BS78" s="405">
        <f t="shared" si="91"/>
        <v>1.0384615384615385</v>
      </c>
      <c r="BT78" s="406" t="e">
        <f t="shared" si="92"/>
        <v>#N/A</v>
      </c>
      <c r="BU78" s="398">
        <f t="shared" si="93"/>
        <v>7.0321428571428584</v>
      </c>
      <c r="BV78" s="407">
        <f t="shared" si="94"/>
        <v>1.9666666666666668</v>
      </c>
    </row>
    <row r="79" spans="2:74" ht="16.5" thickBot="1" x14ac:dyDescent="0.3">
      <c r="B79" s="285"/>
      <c r="C79" s="385">
        <f>IF(ISBLANK(D79),"",COUNTA($D$18:D79))</f>
        <v>62</v>
      </c>
      <c r="D79" s="386" t="str">
        <f>RIGHT(Исх.данные!A897,7)</f>
        <v>62</v>
      </c>
      <c r="E79" s="387" t="e">
        <f>VLOOKUP(D79,Акт!$C$1:$I$30,6,FALSE)</f>
        <v>#N/A</v>
      </c>
      <c r="F79" s="388">
        <f>VLOOKUP("pH солевой вытяжки",Исх.данные!$C$427:$F$437,4,FALSE)</f>
        <v>6.2</v>
      </c>
      <c r="G79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79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79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79" s="388">
        <f>VLOOKUP("Никель",Исх.данные!$C$427:$F$437,4,FALSE)</f>
        <v>3.5</v>
      </c>
      <c r="K79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79" s="388" t="str">
        <f>VLOOKUP("Свинец",Исх.данные!$C$427:$F$437,4,FALSE)</f>
        <v>27</v>
      </c>
      <c r="M79" s="388" t="str">
        <f>VLOOKUP("Цинк",Исх.данные!$C$427:$F$437,4,FALSE)</f>
        <v>31</v>
      </c>
      <c r="N79" s="389" t="e">
        <f>VLOOKUP(D79,Акт!$C$1:$I$30,7,FALSE)</f>
        <v>#N/A</v>
      </c>
      <c r="O79" s="390">
        <f>VLOOKUP("pH солевой вытяжки",Исх.данные!$C$427:$F$437,4,FALSE)</f>
        <v>6.2</v>
      </c>
      <c r="P79" s="391"/>
      <c r="Q79" s="392">
        <f t="shared" ref="Q79:Q117" si="95">C79</f>
        <v>62</v>
      </c>
      <c r="R79" s="393"/>
      <c r="S79" s="385" t="str">
        <f t="shared" si="61"/>
        <v>62</v>
      </c>
      <c r="T79" s="394" t="e">
        <f t="shared" si="62"/>
        <v>#N/A</v>
      </c>
      <c r="U79" s="394" t="str">
        <f t="shared" si="63"/>
        <v>0,0051</v>
      </c>
      <c r="V79" s="395" t="str">
        <f t="shared" si="64"/>
        <v>нет</v>
      </c>
      <c r="W79" s="396" t="str">
        <f t="shared" si="65"/>
        <v>Д</v>
      </c>
      <c r="X79" s="397"/>
      <c r="Y79" s="392"/>
      <c r="Z79" s="392"/>
      <c r="AA79" s="388">
        <f>VLOOKUP("Бенз(а)пирен",Исх.данные!$C$427:$F$437,4,FALSE)</f>
        <v>5.0000000000000001E-3</v>
      </c>
      <c r="AB79" s="388" t="str">
        <f>VLOOKUP("Бенз(а)пирен",Исх.данные!$C$427:$H$437,6,FALSE)</f>
        <v>1</v>
      </c>
      <c r="AC79" s="392">
        <f t="shared" si="66"/>
        <v>62</v>
      </c>
      <c r="AD79" s="392"/>
      <c r="AE79" s="385" t="str">
        <f t="shared" si="67"/>
        <v>62</v>
      </c>
      <c r="AF79" s="394" t="e">
        <f t="shared" si="68"/>
        <v>#N/A</v>
      </c>
      <c r="AG79" s="394" t="str">
        <f t="shared" si="69"/>
        <v>502</v>
      </c>
      <c r="AH79" s="398" t="str">
        <f t="shared" si="70"/>
        <v>нет</v>
      </c>
      <c r="AI79" s="399" t="str">
        <f t="shared" si="71"/>
        <v>Допустимый</v>
      </c>
      <c r="AJ79" s="392"/>
      <c r="AK79" s="392"/>
      <c r="AL79" s="388">
        <f>VLOOKUP("Нефтепродукты",Исх.данные!$C$427:$F$437,4,FALSE)</f>
        <v>50</v>
      </c>
      <c r="AM79" s="388" t="str">
        <f>VLOOKUP("Нефтепродукты",Исх.данные!$C$427:$H$437,6,FALSE)</f>
        <v>2</v>
      </c>
      <c r="AN79" s="392"/>
      <c r="AO79" s="392">
        <f t="shared" si="72"/>
        <v>62</v>
      </c>
      <c r="AP79" s="392"/>
      <c r="AQ79" s="400" t="str">
        <f t="shared" si="73"/>
        <v>62</v>
      </c>
      <c r="AR79" s="391" t="e">
        <f t="shared" si="74"/>
        <v>#N/A</v>
      </c>
      <c r="AS79" s="398" t="str">
        <f t="shared" si="75"/>
        <v>ошибка</v>
      </c>
      <c r="AT79" s="398" t="str">
        <f t="shared" si="76"/>
        <v>ошибка</v>
      </c>
      <c r="AU79" s="401" t="str">
        <f t="shared" si="77"/>
        <v>ошибка</v>
      </c>
      <c r="AV79" s="398" t="str">
        <f t="shared" si="78"/>
        <v>ошибка</v>
      </c>
      <c r="AW79" s="398" t="str">
        <f t="shared" si="79"/>
        <v>нет</v>
      </c>
      <c r="AX79" s="398" t="str">
        <f t="shared" si="80"/>
        <v>ошибка</v>
      </c>
      <c r="AY79" s="402" t="str">
        <f t="shared" si="81"/>
        <v>ошибка</v>
      </c>
      <c r="AZ79" s="395">
        <f t="shared" si="82"/>
        <v>1.0384615384615385</v>
      </c>
      <c r="BA79" s="403" t="str">
        <f t="shared" si="83"/>
        <v>Д</v>
      </c>
      <c r="BB79" s="404"/>
      <c r="BC79" s="395">
        <f t="shared" si="84"/>
        <v>0.46666666666666673</v>
      </c>
      <c r="BD79" s="395">
        <f t="shared" si="85"/>
        <v>0.48148148148148145</v>
      </c>
      <c r="BE79" s="395">
        <f t="shared" si="86"/>
        <v>9.0909090909090912E-2</v>
      </c>
      <c r="BF79" s="395">
        <f t="shared" si="87"/>
        <v>0.17499999999999999</v>
      </c>
      <c r="BG79" s="395">
        <f t="shared" si="88"/>
        <v>6.4999999999999988E-2</v>
      </c>
      <c r="BH79" s="395">
        <f t="shared" si="89"/>
        <v>1.0384615384615385</v>
      </c>
      <c r="BI79" s="395">
        <f t="shared" si="90"/>
        <v>0.59615384615384615</v>
      </c>
      <c r="BJ79" s="404"/>
      <c r="BK79" s="395" t="e">
        <f t="shared" si="42"/>
        <v>#N/A</v>
      </c>
      <c r="BL79" s="395" t="e">
        <f t="shared" si="43"/>
        <v>#N/A</v>
      </c>
      <c r="BM79" s="395" t="e">
        <f t="shared" si="44"/>
        <v>#N/A</v>
      </c>
      <c r="BN79" s="395" t="e">
        <f t="shared" si="45"/>
        <v>#N/A</v>
      </c>
      <c r="BO79" s="395" t="e">
        <f t="shared" si="46"/>
        <v>#N/A</v>
      </c>
      <c r="BP79" s="395" t="e">
        <f t="shared" si="47"/>
        <v>#N/A</v>
      </c>
      <c r="BQ79" s="395" t="e">
        <f t="shared" si="48"/>
        <v>#N/A</v>
      </c>
      <c r="BR79" s="404"/>
      <c r="BS79" s="405">
        <f t="shared" si="91"/>
        <v>1.0384615384615385</v>
      </c>
      <c r="BT79" s="406" t="e">
        <f t="shared" si="92"/>
        <v>#N/A</v>
      </c>
      <c r="BU79" s="398">
        <f t="shared" si="93"/>
        <v>7.0321428571428584</v>
      </c>
      <c r="BV79" s="407">
        <f t="shared" si="94"/>
        <v>1.9666666666666668</v>
      </c>
    </row>
    <row r="80" spans="2:74" ht="16.5" thickBot="1" x14ac:dyDescent="0.3">
      <c r="B80" s="285"/>
      <c r="C80" s="385">
        <f>IF(ISBLANK(D80),"",COUNTA($D$18:D80))</f>
        <v>63</v>
      </c>
      <c r="D80" s="386" t="str">
        <f>RIGHT(Исх.данные!A911,7)</f>
        <v>63</v>
      </c>
      <c r="E80" s="387" t="e">
        <f>VLOOKUP(D80,Акт!$C$1:$I$30,6,FALSE)</f>
        <v>#N/A</v>
      </c>
      <c r="F80" s="388">
        <f>VLOOKUP("pH солевой вытяжки",Исх.данные!$C$427:$F$437,4,FALSE)</f>
        <v>6.2</v>
      </c>
      <c r="G80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0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0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0" s="388">
        <f>VLOOKUP("Никель",Исх.данные!$C$427:$F$437,4,FALSE)</f>
        <v>3.5</v>
      </c>
      <c r="K80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0" s="388" t="str">
        <f>VLOOKUP("Свинец",Исх.данные!$C$427:$F$437,4,FALSE)</f>
        <v>27</v>
      </c>
      <c r="M80" s="388" t="str">
        <f>VLOOKUP("Цинк",Исх.данные!$C$427:$F$437,4,FALSE)</f>
        <v>31</v>
      </c>
      <c r="N80" s="389" t="e">
        <f>VLOOKUP(D80,Акт!$C$1:$I$30,7,FALSE)</f>
        <v>#N/A</v>
      </c>
      <c r="O80" s="390">
        <f>VLOOKUP("pH солевой вытяжки",Исх.данные!$C$427:$F$437,4,FALSE)</f>
        <v>6.2</v>
      </c>
      <c r="P80" s="391"/>
      <c r="Q80" s="392">
        <f t="shared" si="95"/>
        <v>63</v>
      </c>
      <c r="R80" s="393"/>
      <c r="S80" s="385" t="str">
        <f t="shared" si="61"/>
        <v>63</v>
      </c>
      <c r="T80" s="394" t="e">
        <f t="shared" si="62"/>
        <v>#N/A</v>
      </c>
      <c r="U80" s="394" t="str">
        <f t="shared" si="63"/>
        <v>0,0051</v>
      </c>
      <c r="V80" s="395" t="str">
        <f t="shared" si="64"/>
        <v>нет</v>
      </c>
      <c r="W80" s="396" t="str">
        <f t="shared" si="65"/>
        <v>Д</v>
      </c>
      <c r="X80" s="397"/>
      <c r="Y80" s="392"/>
      <c r="Z80" s="392"/>
      <c r="AA80" s="388">
        <f>VLOOKUP("Бенз(а)пирен",Исх.данные!$C$427:$F$437,4,FALSE)</f>
        <v>5.0000000000000001E-3</v>
      </c>
      <c r="AB80" s="388" t="str">
        <f>VLOOKUP("Бенз(а)пирен",Исх.данные!$C$427:$H$437,6,FALSE)</f>
        <v>1</v>
      </c>
      <c r="AC80" s="392">
        <f t="shared" si="66"/>
        <v>63</v>
      </c>
      <c r="AD80" s="392"/>
      <c r="AE80" s="385" t="str">
        <f t="shared" si="67"/>
        <v>63</v>
      </c>
      <c r="AF80" s="394" t="e">
        <f t="shared" si="68"/>
        <v>#N/A</v>
      </c>
      <c r="AG80" s="394" t="str">
        <f t="shared" si="69"/>
        <v>502</v>
      </c>
      <c r="AH80" s="398" t="str">
        <f t="shared" si="70"/>
        <v>нет</v>
      </c>
      <c r="AI80" s="399" t="str">
        <f t="shared" si="71"/>
        <v>Допустимый</v>
      </c>
      <c r="AJ80" s="392"/>
      <c r="AK80" s="392"/>
      <c r="AL80" s="388">
        <f>VLOOKUP("Нефтепродукты",Исх.данные!$C$427:$F$437,4,FALSE)</f>
        <v>50</v>
      </c>
      <c r="AM80" s="388" t="str">
        <f>VLOOKUP("Нефтепродукты",Исх.данные!$C$427:$H$437,6,FALSE)</f>
        <v>2</v>
      </c>
      <c r="AN80" s="392"/>
      <c r="AO80" s="392">
        <f t="shared" si="72"/>
        <v>63</v>
      </c>
      <c r="AP80" s="392"/>
      <c r="AQ80" s="400" t="str">
        <f t="shared" si="73"/>
        <v>63</v>
      </c>
      <c r="AR80" s="391" t="e">
        <f t="shared" si="74"/>
        <v>#N/A</v>
      </c>
      <c r="AS80" s="398" t="str">
        <f t="shared" si="75"/>
        <v>ошибка</v>
      </c>
      <c r="AT80" s="398" t="str">
        <f t="shared" si="76"/>
        <v>ошибка</v>
      </c>
      <c r="AU80" s="401" t="str">
        <f t="shared" si="77"/>
        <v>ошибка</v>
      </c>
      <c r="AV80" s="398" t="str">
        <f t="shared" si="78"/>
        <v>ошибка</v>
      </c>
      <c r="AW80" s="398" t="str">
        <f t="shared" si="79"/>
        <v>нет</v>
      </c>
      <c r="AX80" s="398" t="str">
        <f t="shared" si="80"/>
        <v>ошибка</v>
      </c>
      <c r="AY80" s="402" t="str">
        <f t="shared" si="81"/>
        <v>ошибка</v>
      </c>
      <c r="AZ80" s="395">
        <f t="shared" si="82"/>
        <v>1.0384615384615385</v>
      </c>
      <c r="BA80" s="403" t="str">
        <f t="shared" si="83"/>
        <v>Д</v>
      </c>
      <c r="BB80" s="404"/>
      <c r="BC80" s="395">
        <f t="shared" si="84"/>
        <v>0.46666666666666673</v>
      </c>
      <c r="BD80" s="395">
        <f t="shared" si="85"/>
        <v>0.48148148148148145</v>
      </c>
      <c r="BE80" s="395">
        <f t="shared" si="86"/>
        <v>9.0909090909090912E-2</v>
      </c>
      <c r="BF80" s="395">
        <f t="shared" si="87"/>
        <v>0.17499999999999999</v>
      </c>
      <c r="BG80" s="395">
        <f t="shared" si="88"/>
        <v>6.4999999999999988E-2</v>
      </c>
      <c r="BH80" s="395">
        <f t="shared" si="89"/>
        <v>1.0384615384615385</v>
      </c>
      <c r="BI80" s="395">
        <f t="shared" si="90"/>
        <v>0.59615384615384615</v>
      </c>
      <c r="BJ80" s="404"/>
      <c r="BK80" s="395" t="e">
        <f t="shared" si="42"/>
        <v>#N/A</v>
      </c>
      <c r="BL80" s="395" t="e">
        <f t="shared" si="43"/>
        <v>#N/A</v>
      </c>
      <c r="BM80" s="395" t="e">
        <f t="shared" si="44"/>
        <v>#N/A</v>
      </c>
      <c r="BN80" s="395" t="e">
        <f t="shared" si="45"/>
        <v>#N/A</v>
      </c>
      <c r="BO80" s="395" t="e">
        <f t="shared" si="46"/>
        <v>#N/A</v>
      </c>
      <c r="BP80" s="395" t="e">
        <f t="shared" si="47"/>
        <v>#N/A</v>
      </c>
      <c r="BQ80" s="395" t="e">
        <f t="shared" si="48"/>
        <v>#N/A</v>
      </c>
      <c r="BR80" s="404"/>
      <c r="BS80" s="405">
        <f t="shared" si="91"/>
        <v>1.0384615384615385</v>
      </c>
      <c r="BT80" s="406" t="e">
        <f t="shared" si="92"/>
        <v>#N/A</v>
      </c>
      <c r="BU80" s="398">
        <f t="shared" si="93"/>
        <v>7.0321428571428584</v>
      </c>
      <c r="BV80" s="407">
        <f t="shared" si="94"/>
        <v>1.9666666666666668</v>
      </c>
    </row>
    <row r="81" spans="2:74" ht="16.5" thickBot="1" x14ac:dyDescent="0.3">
      <c r="B81" s="285"/>
      <c r="C81" s="385">
        <f>IF(ISBLANK(D81),"",COUNTA($D$18:D81))</f>
        <v>64</v>
      </c>
      <c r="D81" s="386" t="str">
        <f>RIGHT(Исх.данные!A925,7)</f>
        <v>64</v>
      </c>
      <c r="E81" s="387" t="e">
        <f>VLOOKUP(D81,Акт!$C$1:$I$30,6,FALSE)</f>
        <v>#N/A</v>
      </c>
      <c r="F81" s="388">
        <f>VLOOKUP("pH солевой вытяжки",Исх.данные!$C$427:$F$437,4,FALSE)</f>
        <v>6.2</v>
      </c>
      <c r="G81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1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1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1" s="388">
        <f>VLOOKUP("Никель",Исх.данные!$C$427:$F$437,4,FALSE)</f>
        <v>3.5</v>
      </c>
      <c r="K81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1" s="388" t="str">
        <f>VLOOKUP("Свинец",Исх.данные!$C$427:$F$437,4,FALSE)</f>
        <v>27</v>
      </c>
      <c r="M81" s="388" t="str">
        <f>VLOOKUP("Цинк",Исх.данные!$C$427:$F$437,4,FALSE)</f>
        <v>31</v>
      </c>
      <c r="N81" s="389" t="e">
        <f>VLOOKUP(D81,Акт!$C$1:$I$30,7,FALSE)</f>
        <v>#N/A</v>
      </c>
      <c r="O81" s="390">
        <f>VLOOKUP("pH солевой вытяжки",Исх.данные!$C$427:$F$437,4,FALSE)</f>
        <v>6.2</v>
      </c>
      <c r="P81" s="391"/>
      <c r="Q81" s="392">
        <f t="shared" si="95"/>
        <v>64</v>
      </c>
      <c r="R81" s="393"/>
      <c r="S81" s="385" t="str">
        <f t="shared" si="61"/>
        <v>64</v>
      </c>
      <c r="T81" s="394" t="e">
        <f t="shared" si="62"/>
        <v>#N/A</v>
      </c>
      <c r="U81" s="394" t="str">
        <f t="shared" si="63"/>
        <v>0,0051</v>
      </c>
      <c r="V81" s="395" t="str">
        <f t="shared" si="64"/>
        <v>нет</v>
      </c>
      <c r="W81" s="396" t="str">
        <f t="shared" si="65"/>
        <v>Д</v>
      </c>
      <c r="X81" s="397"/>
      <c r="Y81" s="392"/>
      <c r="Z81" s="392"/>
      <c r="AA81" s="388">
        <f>VLOOKUP("Бенз(а)пирен",Исх.данные!$C$427:$F$437,4,FALSE)</f>
        <v>5.0000000000000001E-3</v>
      </c>
      <c r="AB81" s="388" t="str">
        <f>VLOOKUP("Бенз(а)пирен",Исх.данные!$C$427:$H$437,6,FALSE)</f>
        <v>1</v>
      </c>
      <c r="AC81" s="392">
        <f t="shared" si="66"/>
        <v>64</v>
      </c>
      <c r="AD81" s="392"/>
      <c r="AE81" s="385" t="str">
        <f t="shared" si="67"/>
        <v>64</v>
      </c>
      <c r="AF81" s="394" t="e">
        <f t="shared" si="68"/>
        <v>#N/A</v>
      </c>
      <c r="AG81" s="394" t="str">
        <f t="shared" si="69"/>
        <v>502</v>
      </c>
      <c r="AH81" s="398" t="str">
        <f t="shared" si="70"/>
        <v>нет</v>
      </c>
      <c r="AI81" s="399" t="str">
        <f t="shared" si="71"/>
        <v>Допустимый</v>
      </c>
      <c r="AJ81" s="392"/>
      <c r="AK81" s="392"/>
      <c r="AL81" s="388">
        <f>VLOOKUP("Нефтепродукты",Исх.данные!$C$427:$F$437,4,FALSE)</f>
        <v>50</v>
      </c>
      <c r="AM81" s="388" t="str">
        <f>VLOOKUP("Нефтепродукты",Исх.данные!$C$427:$H$437,6,FALSE)</f>
        <v>2</v>
      </c>
      <c r="AN81" s="392"/>
      <c r="AO81" s="392">
        <f t="shared" si="72"/>
        <v>64</v>
      </c>
      <c r="AP81" s="392"/>
      <c r="AQ81" s="400" t="str">
        <f t="shared" si="73"/>
        <v>64</v>
      </c>
      <c r="AR81" s="391" t="e">
        <f t="shared" si="74"/>
        <v>#N/A</v>
      </c>
      <c r="AS81" s="398" t="str">
        <f t="shared" si="75"/>
        <v>ошибка</v>
      </c>
      <c r="AT81" s="398" t="str">
        <f t="shared" si="76"/>
        <v>ошибка</v>
      </c>
      <c r="AU81" s="401" t="str">
        <f t="shared" si="77"/>
        <v>ошибка</v>
      </c>
      <c r="AV81" s="398" t="str">
        <f t="shared" si="78"/>
        <v>ошибка</v>
      </c>
      <c r="AW81" s="398" t="str">
        <f t="shared" si="79"/>
        <v>нет</v>
      </c>
      <c r="AX81" s="398" t="str">
        <f t="shared" si="80"/>
        <v>ошибка</v>
      </c>
      <c r="AY81" s="402" t="str">
        <f t="shared" si="81"/>
        <v>ошибка</v>
      </c>
      <c r="AZ81" s="395">
        <f t="shared" si="82"/>
        <v>1.0384615384615385</v>
      </c>
      <c r="BA81" s="403" t="str">
        <f t="shared" si="83"/>
        <v>Д</v>
      </c>
      <c r="BB81" s="404"/>
      <c r="BC81" s="395">
        <f t="shared" si="84"/>
        <v>0.46666666666666673</v>
      </c>
      <c r="BD81" s="395">
        <f t="shared" si="85"/>
        <v>0.48148148148148145</v>
      </c>
      <c r="BE81" s="395">
        <f t="shared" si="86"/>
        <v>9.0909090909090912E-2</v>
      </c>
      <c r="BF81" s="395">
        <f t="shared" si="87"/>
        <v>0.17499999999999999</v>
      </c>
      <c r="BG81" s="395">
        <f t="shared" si="88"/>
        <v>6.4999999999999988E-2</v>
      </c>
      <c r="BH81" s="395">
        <f t="shared" si="89"/>
        <v>1.0384615384615385</v>
      </c>
      <c r="BI81" s="395">
        <f t="shared" si="90"/>
        <v>0.59615384615384615</v>
      </c>
      <c r="BJ81" s="404"/>
      <c r="BK81" s="395" t="e">
        <f t="shared" si="42"/>
        <v>#N/A</v>
      </c>
      <c r="BL81" s="395" t="e">
        <f t="shared" si="43"/>
        <v>#N/A</v>
      </c>
      <c r="BM81" s="395" t="e">
        <f t="shared" si="44"/>
        <v>#N/A</v>
      </c>
      <c r="BN81" s="395" t="e">
        <f t="shared" si="45"/>
        <v>#N/A</v>
      </c>
      <c r="BO81" s="395" t="e">
        <f t="shared" si="46"/>
        <v>#N/A</v>
      </c>
      <c r="BP81" s="395" t="e">
        <f t="shared" si="47"/>
        <v>#N/A</v>
      </c>
      <c r="BQ81" s="395" t="e">
        <f t="shared" si="48"/>
        <v>#N/A</v>
      </c>
      <c r="BR81" s="404"/>
      <c r="BS81" s="405">
        <f t="shared" si="91"/>
        <v>1.0384615384615385</v>
      </c>
      <c r="BT81" s="406" t="e">
        <f t="shared" si="92"/>
        <v>#N/A</v>
      </c>
      <c r="BU81" s="398">
        <f t="shared" si="93"/>
        <v>7.0321428571428584</v>
      </c>
      <c r="BV81" s="407">
        <f t="shared" si="94"/>
        <v>1.9666666666666668</v>
      </c>
    </row>
    <row r="82" spans="2:74" ht="16.5" thickBot="1" x14ac:dyDescent="0.3">
      <c r="B82" s="285"/>
      <c r="C82" s="385">
        <f>IF(ISBLANK(D82),"",COUNTA($D$18:D82))</f>
        <v>65</v>
      </c>
      <c r="D82" s="386" t="str">
        <f>RIGHT(Исх.данные!A941,7)</f>
        <v>65</v>
      </c>
      <c r="E82" s="387" t="e">
        <f>VLOOKUP(D82,Акт!$C$1:$I$30,6,FALSE)</f>
        <v>#N/A</v>
      </c>
      <c r="F82" s="388">
        <f>VLOOKUP("pH солевой вытяжки",Исх.данные!$C$427:$F$437,4,FALSE)</f>
        <v>6.2</v>
      </c>
      <c r="G82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2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2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2" s="388">
        <f>VLOOKUP("Никель",Исх.данные!$C$427:$F$437,4,FALSE)</f>
        <v>3.5</v>
      </c>
      <c r="K82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2" s="388" t="str">
        <f>VLOOKUP("Свинец",Исх.данные!$C$427:$F$437,4,FALSE)</f>
        <v>27</v>
      </c>
      <c r="M82" s="388" t="str">
        <f>VLOOKUP("Цинк",Исх.данные!$C$427:$F$437,4,FALSE)</f>
        <v>31</v>
      </c>
      <c r="N82" s="389" t="e">
        <f>VLOOKUP(D82,Акт!$C$1:$I$30,7,FALSE)</f>
        <v>#N/A</v>
      </c>
      <c r="O82" s="390">
        <f>VLOOKUP("pH солевой вытяжки",Исх.данные!$C$427:$F$437,4,FALSE)</f>
        <v>6.2</v>
      </c>
      <c r="P82" s="391"/>
      <c r="Q82" s="392">
        <f t="shared" si="95"/>
        <v>65</v>
      </c>
      <c r="R82" s="393"/>
      <c r="S82" s="385" t="str">
        <f t="shared" si="61"/>
        <v>65</v>
      </c>
      <c r="T82" s="394" t="e">
        <f t="shared" si="62"/>
        <v>#N/A</v>
      </c>
      <c r="U82" s="394" t="str">
        <f t="shared" si="63"/>
        <v>0,0051</v>
      </c>
      <c r="V82" s="395" t="str">
        <f t="shared" si="64"/>
        <v>нет</v>
      </c>
      <c r="W82" s="396" t="str">
        <f t="shared" si="65"/>
        <v>Д</v>
      </c>
      <c r="X82" s="397"/>
      <c r="Y82" s="392"/>
      <c r="Z82" s="392"/>
      <c r="AA82" s="388">
        <f>VLOOKUP("Бенз(а)пирен",Исх.данные!$C$427:$F$437,4,FALSE)</f>
        <v>5.0000000000000001E-3</v>
      </c>
      <c r="AB82" s="388" t="str">
        <f>VLOOKUP("Бенз(а)пирен",Исх.данные!$C$427:$H$437,6,FALSE)</f>
        <v>1</v>
      </c>
      <c r="AC82" s="392">
        <f t="shared" si="66"/>
        <v>65</v>
      </c>
      <c r="AD82" s="392"/>
      <c r="AE82" s="385" t="str">
        <f t="shared" si="67"/>
        <v>65</v>
      </c>
      <c r="AF82" s="394" t="e">
        <f t="shared" si="68"/>
        <v>#N/A</v>
      </c>
      <c r="AG82" s="394" t="str">
        <f t="shared" si="69"/>
        <v>502</v>
      </c>
      <c r="AH82" s="398" t="str">
        <f t="shared" si="70"/>
        <v>нет</v>
      </c>
      <c r="AI82" s="399" t="str">
        <f t="shared" si="71"/>
        <v>Допустимый</v>
      </c>
      <c r="AJ82" s="392"/>
      <c r="AK82" s="392"/>
      <c r="AL82" s="388">
        <f>VLOOKUP("Нефтепродукты",Исх.данные!$C$427:$F$437,4,FALSE)</f>
        <v>50</v>
      </c>
      <c r="AM82" s="388" t="str">
        <f>VLOOKUP("Нефтепродукты",Исх.данные!$C$427:$H$437,6,FALSE)</f>
        <v>2</v>
      </c>
      <c r="AN82" s="392"/>
      <c r="AO82" s="392">
        <f t="shared" si="72"/>
        <v>65</v>
      </c>
      <c r="AP82" s="392"/>
      <c r="AQ82" s="400" t="str">
        <f t="shared" si="73"/>
        <v>65</v>
      </c>
      <c r="AR82" s="391" t="e">
        <f t="shared" si="74"/>
        <v>#N/A</v>
      </c>
      <c r="AS82" s="398" t="str">
        <f t="shared" si="75"/>
        <v>ошибка</v>
      </c>
      <c r="AT82" s="398" t="str">
        <f t="shared" si="76"/>
        <v>ошибка</v>
      </c>
      <c r="AU82" s="401" t="str">
        <f t="shared" si="77"/>
        <v>ошибка</v>
      </c>
      <c r="AV82" s="398" t="str">
        <f t="shared" si="78"/>
        <v>ошибка</v>
      </c>
      <c r="AW82" s="398" t="str">
        <f t="shared" si="79"/>
        <v>нет</v>
      </c>
      <c r="AX82" s="398" t="str">
        <f t="shared" si="80"/>
        <v>ошибка</v>
      </c>
      <c r="AY82" s="402" t="str">
        <f t="shared" si="81"/>
        <v>ошибка</v>
      </c>
      <c r="AZ82" s="395">
        <f t="shared" si="82"/>
        <v>1.0384615384615385</v>
      </c>
      <c r="BA82" s="403" t="str">
        <f t="shared" si="83"/>
        <v>Д</v>
      </c>
      <c r="BB82" s="404"/>
      <c r="BC82" s="395">
        <f t="shared" si="84"/>
        <v>0.46666666666666673</v>
      </c>
      <c r="BD82" s="395">
        <f t="shared" si="85"/>
        <v>0.48148148148148145</v>
      </c>
      <c r="BE82" s="395">
        <f t="shared" si="86"/>
        <v>9.0909090909090912E-2</v>
      </c>
      <c r="BF82" s="395">
        <f t="shared" si="87"/>
        <v>0.17499999999999999</v>
      </c>
      <c r="BG82" s="395">
        <f t="shared" si="88"/>
        <v>6.4999999999999988E-2</v>
      </c>
      <c r="BH82" s="395">
        <f t="shared" si="89"/>
        <v>1.0384615384615385</v>
      </c>
      <c r="BI82" s="395">
        <f t="shared" si="90"/>
        <v>0.59615384615384615</v>
      </c>
      <c r="BJ82" s="404"/>
      <c r="BK82" s="395" t="e">
        <f t="shared" si="42"/>
        <v>#N/A</v>
      </c>
      <c r="BL82" s="395" t="e">
        <f t="shared" si="43"/>
        <v>#N/A</v>
      </c>
      <c r="BM82" s="395" t="e">
        <f t="shared" si="44"/>
        <v>#N/A</v>
      </c>
      <c r="BN82" s="395" t="e">
        <f t="shared" si="45"/>
        <v>#N/A</v>
      </c>
      <c r="BO82" s="395" t="e">
        <f t="shared" si="46"/>
        <v>#N/A</v>
      </c>
      <c r="BP82" s="395" t="e">
        <f t="shared" si="47"/>
        <v>#N/A</v>
      </c>
      <c r="BQ82" s="395" t="e">
        <f t="shared" si="48"/>
        <v>#N/A</v>
      </c>
      <c r="BR82" s="404"/>
      <c r="BS82" s="405">
        <f t="shared" si="91"/>
        <v>1.0384615384615385</v>
      </c>
      <c r="BT82" s="406" t="e">
        <f t="shared" si="92"/>
        <v>#N/A</v>
      </c>
      <c r="BU82" s="398">
        <f t="shared" si="93"/>
        <v>7.0321428571428584</v>
      </c>
      <c r="BV82" s="407">
        <f t="shared" si="94"/>
        <v>1.9666666666666668</v>
      </c>
    </row>
    <row r="83" spans="2:74" ht="16.5" thickBot="1" x14ac:dyDescent="0.3">
      <c r="C83" s="385">
        <f>IF(ISBLANK(D83),"",COUNTA($D$18:D83))</f>
        <v>66</v>
      </c>
      <c r="D83" s="386" t="str">
        <f>RIGHT(Исх.данные!A955,7)</f>
        <v>66</v>
      </c>
      <c r="E83" s="387" t="e">
        <f>VLOOKUP(D83,Акт!$C$1:$I$30,6,FALSE)</f>
        <v>#N/A</v>
      </c>
      <c r="F83" s="388">
        <f>VLOOKUP("pH солевой вытяжки",Исх.данные!$C$427:$F$437,4,FALSE)</f>
        <v>6.2</v>
      </c>
      <c r="G83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3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3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3" s="388">
        <f>VLOOKUP("Никель",Исх.данные!$C$427:$F$437,4,FALSE)</f>
        <v>3.5</v>
      </c>
      <c r="K83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3" s="388" t="str">
        <f>VLOOKUP("Свинец",Исх.данные!$C$427:$F$437,4,FALSE)</f>
        <v>27</v>
      </c>
      <c r="M83" s="388" t="str">
        <f>VLOOKUP("Цинк",Исх.данные!$C$427:$F$437,4,FALSE)</f>
        <v>31</v>
      </c>
      <c r="N83" s="389" t="e">
        <f>VLOOKUP(D83,Акт!$C$1:$I$30,7,FALSE)</f>
        <v>#N/A</v>
      </c>
      <c r="O83" s="390">
        <f>VLOOKUP("pH солевой вытяжки",Исх.данные!$C$427:$F$437,4,FALSE)</f>
        <v>6.2</v>
      </c>
      <c r="P83" s="391"/>
      <c r="Q83" s="392">
        <f t="shared" si="95"/>
        <v>66</v>
      </c>
      <c r="R83" s="393"/>
      <c r="S83" s="385" t="str">
        <f t="shared" si="61"/>
        <v>66</v>
      </c>
      <c r="T83" s="394" t="e">
        <f t="shared" si="62"/>
        <v>#N/A</v>
      </c>
      <c r="U83" s="394" t="str">
        <f t="shared" si="63"/>
        <v>0,0051</v>
      </c>
      <c r="V83" s="395" t="str">
        <f t="shared" si="64"/>
        <v>нет</v>
      </c>
      <c r="W83" s="396" t="str">
        <f t="shared" si="65"/>
        <v>Д</v>
      </c>
      <c r="X83" s="397"/>
      <c r="Y83" s="392"/>
      <c r="Z83" s="392"/>
      <c r="AA83" s="388">
        <f>VLOOKUP("Бенз(а)пирен",Исх.данные!$C$427:$F$437,4,FALSE)</f>
        <v>5.0000000000000001E-3</v>
      </c>
      <c r="AB83" s="388" t="str">
        <f>VLOOKUP("Бенз(а)пирен",Исх.данные!$C$427:$H$437,6,FALSE)</f>
        <v>1</v>
      </c>
      <c r="AC83" s="392">
        <f t="shared" si="66"/>
        <v>66</v>
      </c>
      <c r="AD83" s="392"/>
      <c r="AE83" s="385" t="str">
        <f t="shared" si="67"/>
        <v>66</v>
      </c>
      <c r="AF83" s="394" t="e">
        <f t="shared" si="68"/>
        <v>#N/A</v>
      </c>
      <c r="AG83" s="394" t="str">
        <f t="shared" si="69"/>
        <v>502</v>
      </c>
      <c r="AH83" s="398" t="str">
        <f t="shared" si="70"/>
        <v>нет</v>
      </c>
      <c r="AI83" s="399" t="str">
        <f t="shared" si="71"/>
        <v>Допустимый</v>
      </c>
      <c r="AJ83" s="392"/>
      <c r="AK83" s="392"/>
      <c r="AL83" s="388">
        <f>VLOOKUP("Нефтепродукты",Исх.данные!$C$427:$F$437,4,FALSE)</f>
        <v>50</v>
      </c>
      <c r="AM83" s="388" t="str">
        <f>VLOOKUP("Нефтепродукты",Исх.данные!$C$427:$H$437,6,FALSE)</f>
        <v>2</v>
      </c>
      <c r="AN83" s="392"/>
      <c r="AO83" s="392">
        <f t="shared" si="72"/>
        <v>66</v>
      </c>
      <c r="AP83" s="392"/>
      <c r="AQ83" s="400" t="str">
        <f t="shared" si="73"/>
        <v>66</v>
      </c>
      <c r="AR83" s="391" t="e">
        <f t="shared" si="74"/>
        <v>#N/A</v>
      </c>
      <c r="AS83" s="398" t="str">
        <f t="shared" si="75"/>
        <v>ошибка</v>
      </c>
      <c r="AT83" s="398" t="str">
        <f t="shared" si="76"/>
        <v>ошибка</v>
      </c>
      <c r="AU83" s="401" t="str">
        <f t="shared" si="77"/>
        <v>ошибка</v>
      </c>
      <c r="AV83" s="398" t="str">
        <f t="shared" si="78"/>
        <v>ошибка</v>
      </c>
      <c r="AW83" s="398" t="str">
        <f t="shared" si="79"/>
        <v>нет</v>
      </c>
      <c r="AX83" s="398" t="str">
        <f t="shared" si="80"/>
        <v>ошибка</v>
      </c>
      <c r="AY83" s="402" t="str">
        <f t="shared" si="81"/>
        <v>ошибка</v>
      </c>
      <c r="AZ83" s="395">
        <f t="shared" si="82"/>
        <v>1.0384615384615385</v>
      </c>
      <c r="BA83" s="403" t="str">
        <f t="shared" si="83"/>
        <v>Д</v>
      </c>
      <c r="BB83" s="404"/>
      <c r="BC83" s="395">
        <f t="shared" si="84"/>
        <v>0.46666666666666673</v>
      </c>
      <c r="BD83" s="395">
        <f t="shared" si="85"/>
        <v>0.48148148148148145</v>
      </c>
      <c r="BE83" s="395">
        <f t="shared" si="86"/>
        <v>9.0909090909090912E-2</v>
      </c>
      <c r="BF83" s="395">
        <f t="shared" si="87"/>
        <v>0.17499999999999999</v>
      </c>
      <c r="BG83" s="395">
        <f t="shared" si="88"/>
        <v>6.4999999999999988E-2</v>
      </c>
      <c r="BH83" s="395">
        <f t="shared" si="89"/>
        <v>1.0384615384615385</v>
      </c>
      <c r="BI83" s="395">
        <f t="shared" si="90"/>
        <v>0.59615384615384615</v>
      </c>
      <c r="BJ83" s="404"/>
      <c r="BK83" s="395" t="e">
        <f t="shared" ref="BK83:BK117" si="96">IF($N83="ПС",$G83/$CA$13,$G83/$CA$14)</f>
        <v>#N/A</v>
      </c>
      <c r="BL83" s="395" t="e">
        <f t="shared" ref="BL83:BL117" si="97">IF($N83="ПС",$H83/$CD$13,$H83/$CD$14)</f>
        <v>#N/A</v>
      </c>
      <c r="BM83" s="395" t="e">
        <f t="shared" ref="BM83:BM117" si="98">IF($N83="ПС",$I83/$BZ$13,$I83/$BZ$14)</f>
        <v>#N/A</v>
      </c>
      <c r="BN83" s="395" t="e">
        <f t="shared" ref="BN83:BN117" si="99">IF($N83="ПС",$J83/$CK$13,$J83/$CK$14)</f>
        <v>#N/A</v>
      </c>
      <c r="BO83" s="395" t="e">
        <f t="shared" ref="BO83:BO117" si="100">IF($N83="ПС",$K83/$CE$13,$K83/$CE$14)</f>
        <v>#N/A</v>
      </c>
      <c r="BP83" s="395" t="e">
        <f t="shared" ref="BP83:BP117" si="101">IF($N83="ПС",$L83/$CL$13,$L83/$CL$14)</f>
        <v>#N/A</v>
      </c>
      <c r="BQ83" s="395" t="e">
        <f t="shared" ref="BQ83:BQ117" si="102">IF($N83="ПС",$M83/$CM$13,$M83/$CM$14)</f>
        <v>#N/A</v>
      </c>
      <c r="BR83" s="404"/>
      <c r="BS83" s="405">
        <f t="shared" si="91"/>
        <v>1.0384615384615385</v>
      </c>
      <c r="BT83" s="406" t="e">
        <f t="shared" si="92"/>
        <v>#N/A</v>
      </c>
      <c r="BU83" s="398">
        <f t="shared" si="93"/>
        <v>7.0321428571428584</v>
      </c>
      <c r="BV83" s="407">
        <f t="shared" si="94"/>
        <v>1.9666666666666668</v>
      </c>
    </row>
    <row r="84" spans="2:74" ht="16.5" thickBot="1" x14ac:dyDescent="0.3">
      <c r="C84" s="385">
        <f>IF(ISBLANK(D84),"",COUNTA($D$18:D84))</f>
        <v>67</v>
      </c>
      <c r="D84" s="386" t="str">
        <f>RIGHT(Исх.данные!A462,7)</f>
        <v>5</v>
      </c>
      <c r="E84" s="387" t="e">
        <f>VLOOKUP(D84,Акт!$C$1:$I$30,6,FALSE)</f>
        <v>#N/A</v>
      </c>
      <c r="F84" s="388">
        <f>VLOOKUP("pH солевой вытяжки",Исх.данные!$C$427:$F$437,4,FALSE)</f>
        <v>6.2</v>
      </c>
      <c r="G84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4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4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4" s="388">
        <f>VLOOKUP("Никель",Исх.данные!$C$427:$F$437,4,FALSE)</f>
        <v>3.5</v>
      </c>
      <c r="K84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4" s="388" t="str">
        <f>VLOOKUP("Свинец",Исх.данные!$C$427:$F$437,4,FALSE)</f>
        <v>27</v>
      </c>
      <c r="M84" s="388" t="str">
        <f>VLOOKUP("Цинк",Исх.данные!$C$427:$F$437,4,FALSE)</f>
        <v>31</v>
      </c>
      <c r="N84" s="389" t="e">
        <f>VLOOKUP(D84,Акт!$C$1:$I$30,7,FALSE)</f>
        <v>#N/A</v>
      </c>
      <c r="O84" s="390">
        <f>VLOOKUP("pH солевой вытяжки",Исх.данные!$C$427:$F$437,4,FALSE)</f>
        <v>6.2</v>
      </c>
      <c r="P84" s="391"/>
      <c r="Q84" s="392">
        <f t="shared" si="95"/>
        <v>67</v>
      </c>
      <c r="R84" s="393"/>
      <c r="S84" s="385" t="str">
        <f t="shared" si="61"/>
        <v>5</v>
      </c>
      <c r="T84" s="394" t="e">
        <f t="shared" si="62"/>
        <v>#N/A</v>
      </c>
      <c r="U84" s="394" t="str">
        <f t="shared" si="63"/>
        <v>0,0051</v>
      </c>
      <c r="V84" s="395" t="str">
        <f t="shared" si="64"/>
        <v>нет</v>
      </c>
      <c r="W84" s="396" t="str">
        <f t="shared" si="65"/>
        <v>Д</v>
      </c>
      <c r="X84" s="397"/>
      <c r="Y84" s="392"/>
      <c r="Z84" s="392"/>
      <c r="AA84" s="388">
        <f>VLOOKUP("Бенз(а)пирен",Исх.данные!$C$427:$F$437,4,FALSE)</f>
        <v>5.0000000000000001E-3</v>
      </c>
      <c r="AB84" s="388" t="str">
        <f>VLOOKUP("Бенз(а)пирен",Исх.данные!$C$427:$H$437,6,FALSE)</f>
        <v>1</v>
      </c>
      <c r="AC84" s="392">
        <f t="shared" si="66"/>
        <v>67</v>
      </c>
      <c r="AD84" s="392"/>
      <c r="AE84" s="385" t="str">
        <f t="shared" si="67"/>
        <v>5</v>
      </c>
      <c r="AF84" s="394" t="e">
        <f t="shared" si="68"/>
        <v>#N/A</v>
      </c>
      <c r="AG84" s="394" t="str">
        <f t="shared" si="69"/>
        <v>502</v>
      </c>
      <c r="AH84" s="398" t="str">
        <f t="shared" si="70"/>
        <v>нет</v>
      </c>
      <c r="AI84" s="399" t="str">
        <f t="shared" si="71"/>
        <v>Допустимый</v>
      </c>
      <c r="AJ84" s="392"/>
      <c r="AK84" s="392"/>
      <c r="AL84" s="388">
        <f>VLOOKUP("Нефтепродукты",Исх.данные!$C$427:$F$437,4,FALSE)</f>
        <v>50</v>
      </c>
      <c r="AM84" s="388" t="str">
        <f>VLOOKUP("Нефтепродукты",Исх.данные!$C$427:$H$437,6,FALSE)</f>
        <v>2</v>
      </c>
      <c r="AN84" s="392"/>
      <c r="AO84" s="392">
        <f t="shared" si="72"/>
        <v>67</v>
      </c>
      <c r="AP84" s="392"/>
      <c r="AQ84" s="400" t="str">
        <f t="shared" si="73"/>
        <v>5</v>
      </c>
      <c r="AR84" s="391" t="e">
        <f t="shared" si="74"/>
        <v>#N/A</v>
      </c>
      <c r="AS84" s="398" t="str">
        <f t="shared" si="75"/>
        <v>ошибка</v>
      </c>
      <c r="AT84" s="398" t="str">
        <f t="shared" si="76"/>
        <v>ошибка</v>
      </c>
      <c r="AU84" s="401" t="str">
        <f t="shared" si="77"/>
        <v>ошибка</v>
      </c>
      <c r="AV84" s="398" t="str">
        <f t="shared" si="78"/>
        <v>ошибка</v>
      </c>
      <c r="AW84" s="398" t="str">
        <f t="shared" si="79"/>
        <v>нет</v>
      </c>
      <c r="AX84" s="398" t="str">
        <f t="shared" si="80"/>
        <v>ошибка</v>
      </c>
      <c r="AY84" s="402" t="str">
        <f t="shared" si="81"/>
        <v>ошибка</v>
      </c>
      <c r="AZ84" s="395">
        <f t="shared" si="82"/>
        <v>1.0384615384615385</v>
      </c>
      <c r="BA84" s="403" t="str">
        <f t="shared" si="83"/>
        <v>Д</v>
      </c>
      <c r="BB84" s="404"/>
      <c r="BC84" s="395">
        <f t="shared" si="84"/>
        <v>0.46666666666666673</v>
      </c>
      <c r="BD84" s="395">
        <f t="shared" si="85"/>
        <v>0.48148148148148145</v>
      </c>
      <c r="BE84" s="395">
        <f t="shared" si="86"/>
        <v>9.0909090909090912E-2</v>
      </c>
      <c r="BF84" s="395">
        <f t="shared" si="87"/>
        <v>0.17499999999999999</v>
      </c>
      <c r="BG84" s="395">
        <f t="shared" si="88"/>
        <v>6.4999999999999988E-2</v>
      </c>
      <c r="BH84" s="395">
        <f t="shared" si="89"/>
        <v>1.0384615384615385</v>
      </c>
      <c r="BI84" s="395">
        <f t="shared" si="90"/>
        <v>0.59615384615384615</v>
      </c>
      <c r="BJ84" s="404"/>
      <c r="BK84" s="395" t="e">
        <f t="shared" si="96"/>
        <v>#N/A</v>
      </c>
      <c r="BL84" s="395" t="e">
        <f t="shared" si="97"/>
        <v>#N/A</v>
      </c>
      <c r="BM84" s="395" t="e">
        <f t="shared" si="98"/>
        <v>#N/A</v>
      </c>
      <c r="BN84" s="395" t="e">
        <f t="shared" si="99"/>
        <v>#N/A</v>
      </c>
      <c r="BO84" s="395" t="e">
        <f t="shared" si="100"/>
        <v>#N/A</v>
      </c>
      <c r="BP84" s="395" t="e">
        <f t="shared" si="101"/>
        <v>#N/A</v>
      </c>
      <c r="BQ84" s="395" t="e">
        <f t="shared" si="102"/>
        <v>#N/A</v>
      </c>
      <c r="BR84" s="404"/>
      <c r="BS84" s="405">
        <f t="shared" si="91"/>
        <v>1.0384615384615385</v>
      </c>
      <c r="BT84" s="406" t="e">
        <f t="shared" si="92"/>
        <v>#N/A</v>
      </c>
      <c r="BU84" s="398">
        <f t="shared" si="93"/>
        <v>7.0321428571428584</v>
      </c>
      <c r="BV84" s="407">
        <f t="shared" si="94"/>
        <v>1.9666666666666668</v>
      </c>
    </row>
    <row r="85" spans="2:74" ht="16.5" thickBot="1" x14ac:dyDescent="0.3">
      <c r="C85" s="385">
        <f>IF(ISBLANK(D85),"",COUNTA($D$18:D85))</f>
        <v>68</v>
      </c>
      <c r="D85" s="386" t="str">
        <f>RIGHT(Исх.данные!A463,7)</f>
        <v>6</v>
      </c>
      <c r="E85" s="387" t="e">
        <f>VLOOKUP(D85,Акт!$C$1:$I$30,6,FALSE)</f>
        <v>#N/A</v>
      </c>
      <c r="F85" s="388">
        <f>VLOOKUP("pH солевой вытяжки",Исх.данные!$C$427:$F$437,4,FALSE)</f>
        <v>6.2</v>
      </c>
      <c r="G85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5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5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5" s="388">
        <f>VLOOKUP("Никель",Исх.данные!$C$427:$F$437,4,FALSE)</f>
        <v>3.5</v>
      </c>
      <c r="K85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5" s="388" t="str">
        <f>VLOOKUP("Свинец",Исх.данные!$C$427:$F$437,4,FALSE)</f>
        <v>27</v>
      </c>
      <c r="M85" s="388" t="str">
        <f>VLOOKUP("Цинк",Исх.данные!$C$427:$F$437,4,FALSE)</f>
        <v>31</v>
      </c>
      <c r="N85" s="389" t="e">
        <f>VLOOKUP(D85,Акт!$C$1:$I$30,7,FALSE)</f>
        <v>#N/A</v>
      </c>
      <c r="O85" s="390">
        <f>VLOOKUP("pH солевой вытяжки",Исх.данные!$C$427:$F$437,4,FALSE)</f>
        <v>6.2</v>
      </c>
      <c r="P85" s="391"/>
      <c r="Q85" s="392">
        <f t="shared" si="95"/>
        <v>68</v>
      </c>
      <c r="R85" s="393"/>
      <c r="S85" s="385" t="str">
        <f t="shared" si="61"/>
        <v>6</v>
      </c>
      <c r="T85" s="394" t="e">
        <f t="shared" si="62"/>
        <v>#N/A</v>
      </c>
      <c r="U85" s="394" t="str">
        <f t="shared" si="63"/>
        <v>0,0051</v>
      </c>
      <c r="V85" s="395" t="str">
        <f t="shared" si="64"/>
        <v>нет</v>
      </c>
      <c r="W85" s="396" t="str">
        <f t="shared" si="65"/>
        <v>Д</v>
      </c>
      <c r="X85" s="397"/>
      <c r="Y85" s="392"/>
      <c r="Z85" s="392"/>
      <c r="AA85" s="388">
        <f>VLOOKUP("Бенз(а)пирен",Исх.данные!$C$427:$F$437,4,FALSE)</f>
        <v>5.0000000000000001E-3</v>
      </c>
      <c r="AB85" s="388" t="str">
        <f>VLOOKUP("Бенз(а)пирен",Исх.данные!$C$427:$H$437,6,FALSE)</f>
        <v>1</v>
      </c>
      <c r="AC85" s="392">
        <f t="shared" si="66"/>
        <v>68</v>
      </c>
      <c r="AD85" s="392"/>
      <c r="AE85" s="385" t="str">
        <f t="shared" si="67"/>
        <v>6</v>
      </c>
      <c r="AF85" s="394" t="e">
        <f t="shared" si="68"/>
        <v>#N/A</v>
      </c>
      <c r="AG85" s="394" t="str">
        <f t="shared" si="69"/>
        <v>502</v>
      </c>
      <c r="AH85" s="398" t="str">
        <f t="shared" si="70"/>
        <v>нет</v>
      </c>
      <c r="AI85" s="399" t="str">
        <f t="shared" si="71"/>
        <v>Допустимый</v>
      </c>
      <c r="AJ85" s="392"/>
      <c r="AK85" s="392"/>
      <c r="AL85" s="388">
        <f>VLOOKUP("Нефтепродукты",Исх.данные!$C$427:$F$437,4,FALSE)</f>
        <v>50</v>
      </c>
      <c r="AM85" s="388" t="str">
        <f>VLOOKUP("Нефтепродукты",Исх.данные!$C$427:$H$437,6,FALSE)</f>
        <v>2</v>
      </c>
      <c r="AN85" s="392"/>
      <c r="AO85" s="392">
        <f t="shared" si="72"/>
        <v>68</v>
      </c>
      <c r="AP85" s="392"/>
      <c r="AQ85" s="400" t="str">
        <f t="shared" si="73"/>
        <v>6</v>
      </c>
      <c r="AR85" s="391" t="e">
        <f t="shared" si="74"/>
        <v>#N/A</v>
      </c>
      <c r="AS85" s="398" t="str">
        <f t="shared" si="75"/>
        <v>ошибка</v>
      </c>
      <c r="AT85" s="398" t="str">
        <f t="shared" si="76"/>
        <v>ошибка</v>
      </c>
      <c r="AU85" s="401" t="str">
        <f t="shared" si="77"/>
        <v>ошибка</v>
      </c>
      <c r="AV85" s="398" t="str">
        <f t="shared" si="78"/>
        <v>ошибка</v>
      </c>
      <c r="AW85" s="398" t="str">
        <f t="shared" si="79"/>
        <v>нет</v>
      </c>
      <c r="AX85" s="398" t="str">
        <f t="shared" si="80"/>
        <v>ошибка</v>
      </c>
      <c r="AY85" s="402" t="str">
        <f t="shared" si="81"/>
        <v>ошибка</v>
      </c>
      <c r="AZ85" s="395">
        <f t="shared" si="82"/>
        <v>1.0384615384615385</v>
      </c>
      <c r="BA85" s="403" t="str">
        <f t="shared" si="83"/>
        <v>Д</v>
      </c>
      <c r="BB85" s="404"/>
      <c r="BC85" s="395">
        <f t="shared" si="84"/>
        <v>0.46666666666666673</v>
      </c>
      <c r="BD85" s="395">
        <f t="shared" si="85"/>
        <v>0.48148148148148145</v>
      </c>
      <c r="BE85" s="395">
        <f t="shared" si="86"/>
        <v>9.0909090909090912E-2</v>
      </c>
      <c r="BF85" s="395">
        <f t="shared" si="87"/>
        <v>0.17499999999999999</v>
      </c>
      <c r="BG85" s="395">
        <f t="shared" si="88"/>
        <v>6.4999999999999988E-2</v>
      </c>
      <c r="BH85" s="395">
        <f t="shared" si="89"/>
        <v>1.0384615384615385</v>
      </c>
      <c r="BI85" s="395">
        <f t="shared" si="90"/>
        <v>0.59615384615384615</v>
      </c>
      <c r="BJ85" s="404"/>
      <c r="BK85" s="395" t="e">
        <f t="shared" si="96"/>
        <v>#N/A</v>
      </c>
      <c r="BL85" s="395" t="e">
        <f t="shared" si="97"/>
        <v>#N/A</v>
      </c>
      <c r="BM85" s="395" t="e">
        <f t="shared" si="98"/>
        <v>#N/A</v>
      </c>
      <c r="BN85" s="395" t="e">
        <f t="shared" si="99"/>
        <v>#N/A</v>
      </c>
      <c r="BO85" s="395" t="e">
        <f t="shared" si="100"/>
        <v>#N/A</v>
      </c>
      <c r="BP85" s="395" t="e">
        <f t="shared" si="101"/>
        <v>#N/A</v>
      </c>
      <c r="BQ85" s="395" t="e">
        <f t="shared" si="102"/>
        <v>#N/A</v>
      </c>
      <c r="BR85" s="404"/>
      <c r="BS85" s="405">
        <f t="shared" si="91"/>
        <v>1.0384615384615385</v>
      </c>
      <c r="BT85" s="406" t="e">
        <f t="shared" si="92"/>
        <v>#N/A</v>
      </c>
      <c r="BU85" s="398">
        <f t="shared" si="93"/>
        <v>7.0321428571428584</v>
      </c>
      <c r="BV85" s="407">
        <f t="shared" si="94"/>
        <v>1.9666666666666668</v>
      </c>
    </row>
    <row r="86" spans="2:74" ht="16.5" thickBot="1" x14ac:dyDescent="0.3">
      <c r="C86" s="385">
        <f>IF(ISBLANK(D86),"",COUNTA($D$18:D86))</f>
        <v>69</v>
      </c>
      <c r="D86" s="386" t="str">
        <f>RIGHT(Исх.данные!A464,7)</f>
        <v>7</v>
      </c>
      <c r="E86" s="387" t="e">
        <f>VLOOKUP(D86,Акт!$C$1:$I$30,6,FALSE)</f>
        <v>#N/A</v>
      </c>
      <c r="F86" s="388">
        <f>VLOOKUP("pH солевой вытяжки",Исх.данные!$C$427:$F$437,4,FALSE)</f>
        <v>6.2</v>
      </c>
      <c r="G86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6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6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6" s="388">
        <f>VLOOKUP("Никель",Исх.данные!$C$427:$F$437,4,FALSE)</f>
        <v>3.5</v>
      </c>
      <c r="K86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6" s="388" t="str">
        <f>VLOOKUP("Свинец",Исх.данные!$C$427:$F$437,4,FALSE)</f>
        <v>27</v>
      </c>
      <c r="M86" s="388" t="str">
        <f>VLOOKUP("Цинк",Исх.данные!$C$427:$F$437,4,FALSE)</f>
        <v>31</v>
      </c>
      <c r="N86" s="389" t="e">
        <f>VLOOKUP(D86,Акт!$C$1:$I$30,7,FALSE)</f>
        <v>#N/A</v>
      </c>
      <c r="O86" s="390">
        <f>VLOOKUP("pH солевой вытяжки",Исх.данные!$C$427:$F$437,4,FALSE)</f>
        <v>6.2</v>
      </c>
      <c r="P86" s="391"/>
      <c r="Q86" s="392">
        <f t="shared" si="95"/>
        <v>69</v>
      </c>
      <c r="R86" s="393"/>
      <c r="S86" s="385" t="str">
        <f t="shared" si="61"/>
        <v>7</v>
      </c>
      <c r="T86" s="394" t="e">
        <f t="shared" si="62"/>
        <v>#N/A</v>
      </c>
      <c r="U86" s="394" t="str">
        <f t="shared" si="63"/>
        <v>0,0051</v>
      </c>
      <c r="V86" s="395" t="str">
        <f t="shared" si="64"/>
        <v>нет</v>
      </c>
      <c r="W86" s="396" t="str">
        <f t="shared" si="65"/>
        <v>Д</v>
      </c>
      <c r="X86" s="397"/>
      <c r="Y86" s="392"/>
      <c r="Z86" s="392"/>
      <c r="AA86" s="388">
        <f>VLOOKUP("Бенз(а)пирен",Исх.данные!$C$427:$F$437,4,FALSE)</f>
        <v>5.0000000000000001E-3</v>
      </c>
      <c r="AB86" s="388" t="str">
        <f>VLOOKUP("Бенз(а)пирен",Исх.данные!$C$427:$H$437,6,FALSE)</f>
        <v>1</v>
      </c>
      <c r="AC86" s="392">
        <f t="shared" si="66"/>
        <v>69</v>
      </c>
      <c r="AD86" s="392"/>
      <c r="AE86" s="385" t="str">
        <f t="shared" si="67"/>
        <v>7</v>
      </c>
      <c r="AF86" s="394" t="e">
        <f t="shared" si="68"/>
        <v>#N/A</v>
      </c>
      <c r="AG86" s="394" t="str">
        <f t="shared" si="69"/>
        <v>502</v>
      </c>
      <c r="AH86" s="398" t="str">
        <f t="shared" si="70"/>
        <v>нет</v>
      </c>
      <c r="AI86" s="399" t="str">
        <f t="shared" si="71"/>
        <v>Допустимый</v>
      </c>
      <c r="AJ86" s="392"/>
      <c r="AK86" s="392"/>
      <c r="AL86" s="388">
        <f>VLOOKUP("Нефтепродукты",Исх.данные!$C$427:$F$437,4,FALSE)</f>
        <v>50</v>
      </c>
      <c r="AM86" s="388" t="str">
        <f>VLOOKUP("Нефтепродукты",Исх.данные!$C$427:$H$437,6,FALSE)</f>
        <v>2</v>
      </c>
      <c r="AN86" s="392"/>
      <c r="AO86" s="392">
        <f t="shared" si="72"/>
        <v>69</v>
      </c>
      <c r="AP86" s="392"/>
      <c r="AQ86" s="400" t="str">
        <f t="shared" si="73"/>
        <v>7</v>
      </c>
      <c r="AR86" s="391" t="e">
        <f t="shared" si="74"/>
        <v>#N/A</v>
      </c>
      <c r="AS86" s="398" t="str">
        <f t="shared" si="75"/>
        <v>ошибка</v>
      </c>
      <c r="AT86" s="398" t="str">
        <f t="shared" si="76"/>
        <v>ошибка</v>
      </c>
      <c r="AU86" s="401" t="str">
        <f t="shared" si="77"/>
        <v>ошибка</v>
      </c>
      <c r="AV86" s="398" t="str">
        <f t="shared" si="78"/>
        <v>ошибка</v>
      </c>
      <c r="AW86" s="398" t="str">
        <f t="shared" si="79"/>
        <v>нет</v>
      </c>
      <c r="AX86" s="398" t="str">
        <f t="shared" si="80"/>
        <v>ошибка</v>
      </c>
      <c r="AY86" s="402" t="str">
        <f t="shared" si="81"/>
        <v>ошибка</v>
      </c>
      <c r="AZ86" s="395">
        <f t="shared" si="82"/>
        <v>1.0384615384615385</v>
      </c>
      <c r="BA86" s="403" t="str">
        <f t="shared" si="83"/>
        <v>Д</v>
      </c>
      <c r="BB86" s="404"/>
      <c r="BC86" s="395">
        <f t="shared" si="84"/>
        <v>0.46666666666666673</v>
      </c>
      <c r="BD86" s="395">
        <f t="shared" si="85"/>
        <v>0.48148148148148145</v>
      </c>
      <c r="BE86" s="395">
        <f t="shared" si="86"/>
        <v>9.0909090909090912E-2</v>
      </c>
      <c r="BF86" s="395">
        <f t="shared" si="87"/>
        <v>0.17499999999999999</v>
      </c>
      <c r="BG86" s="395">
        <f t="shared" si="88"/>
        <v>6.4999999999999988E-2</v>
      </c>
      <c r="BH86" s="395">
        <f t="shared" si="89"/>
        <v>1.0384615384615385</v>
      </c>
      <c r="BI86" s="395">
        <f t="shared" si="90"/>
        <v>0.59615384615384615</v>
      </c>
      <c r="BJ86" s="404"/>
      <c r="BK86" s="395" t="e">
        <f t="shared" si="96"/>
        <v>#N/A</v>
      </c>
      <c r="BL86" s="395" t="e">
        <f t="shared" si="97"/>
        <v>#N/A</v>
      </c>
      <c r="BM86" s="395" t="e">
        <f t="shared" si="98"/>
        <v>#N/A</v>
      </c>
      <c r="BN86" s="395" t="e">
        <f t="shared" si="99"/>
        <v>#N/A</v>
      </c>
      <c r="BO86" s="395" t="e">
        <f t="shared" si="100"/>
        <v>#N/A</v>
      </c>
      <c r="BP86" s="395" t="e">
        <f t="shared" si="101"/>
        <v>#N/A</v>
      </c>
      <c r="BQ86" s="395" t="e">
        <f t="shared" si="102"/>
        <v>#N/A</v>
      </c>
      <c r="BR86" s="404"/>
      <c r="BS86" s="405">
        <f t="shared" si="91"/>
        <v>1.0384615384615385</v>
      </c>
      <c r="BT86" s="406" t="e">
        <f t="shared" si="92"/>
        <v>#N/A</v>
      </c>
      <c r="BU86" s="398">
        <f t="shared" si="93"/>
        <v>7.0321428571428584</v>
      </c>
      <c r="BV86" s="407">
        <f t="shared" si="94"/>
        <v>1.9666666666666668</v>
      </c>
    </row>
    <row r="87" spans="2:74" ht="16.5" thickBot="1" x14ac:dyDescent="0.3">
      <c r="C87" s="385">
        <f>IF(ISBLANK(D87),"",COUNTA($D$18:D87))</f>
        <v>70</v>
      </c>
      <c r="D87" s="386" t="str">
        <f>RIGHT(Исх.данные!A465,7)</f>
        <v>8</v>
      </c>
      <c r="E87" s="387" t="e">
        <f>VLOOKUP(D87,Акт!$C$1:$I$30,6,FALSE)</f>
        <v>#N/A</v>
      </c>
      <c r="F87" s="388">
        <f>VLOOKUP("pH солевой вытяжки",Исх.данные!$C$427:$F$437,4,FALSE)</f>
        <v>6.2</v>
      </c>
      <c r="G87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7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7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7" s="388">
        <f>VLOOKUP("Никель",Исх.данные!$C$427:$F$437,4,FALSE)</f>
        <v>3.5</v>
      </c>
      <c r="K87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7" s="388" t="str">
        <f>VLOOKUP("Свинец",Исх.данные!$C$427:$F$437,4,FALSE)</f>
        <v>27</v>
      </c>
      <c r="M87" s="388" t="str">
        <f>VLOOKUP("Цинк",Исх.данные!$C$427:$F$437,4,FALSE)</f>
        <v>31</v>
      </c>
      <c r="N87" s="389" t="e">
        <f>VLOOKUP(D87,Акт!$C$1:$I$30,7,FALSE)</f>
        <v>#N/A</v>
      </c>
      <c r="O87" s="390">
        <f>VLOOKUP("pH солевой вытяжки",Исх.данные!$C$427:$F$437,4,FALSE)</f>
        <v>6.2</v>
      </c>
      <c r="P87" s="391"/>
      <c r="Q87" s="392">
        <f t="shared" si="95"/>
        <v>70</v>
      </c>
      <c r="R87" s="393"/>
      <c r="S87" s="385" t="str">
        <f t="shared" si="61"/>
        <v>8</v>
      </c>
      <c r="T87" s="394" t="e">
        <f t="shared" si="62"/>
        <v>#N/A</v>
      </c>
      <c r="U87" s="394" t="str">
        <f t="shared" si="63"/>
        <v>0,0051</v>
      </c>
      <c r="V87" s="395" t="str">
        <f t="shared" si="64"/>
        <v>нет</v>
      </c>
      <c r="W87" s="396" t="str">
        <f t="shared" si="65"/>
        <v>Д</v>
      </c>
      <c r="X87" s="397"/>
      <c r="Y87" s="392"/>
      <c r="Z87" s="392"/>
      <c r="AA87" s="388">
        <f>VLOOKUP("Бенз(а)пирен",Исх.данные!$C$427:$F$437,4,FALSE)</f>
        <v>5.0000000000000001E-3</v>
      </c>
      <c r="AB87" s="388" t="str">
        <f>VLOOKUP("Бенз(а)пирен",Исх.данные!$C$427:$H$437,6,FALSE)</f>
        <v>1</v>
      </c>
      <c r="AC87" s="392">
        <f t="shared" si="66"/>
        <v>70</v>
      </c>
      <c r="AD87" s="392"/>
      <c r="AE87" s="385" t="str">
        <f t="shared" si="67"/>
        <v>8</v>
      </c>
      <c r="AF87" s="394" t="e">
        <f t="shared" si="68"/>
        <v>#N/A</v>
      </c>
      <c r="AG87" s="394" t="str">
        <f t="shared" si="69"/>
        <v>502</v>
      </c>
      <c r="AH87" s="398" t="str">
        <f t="shared" si="70"/>
        <v>нет</v>
      </c>
      <c r="AI87" s="399" t="str">
        <f t="shared" si="71"/>
        <v>Допустимый</v>
      </c>
      <c r="AJ87" s="392"/>
      <c r="AK87" s="392"/>
      <c r="AL87" s="388">
        <f>VLOOKUP("Нефтепродукты",Исх.данные!$C$427:$F$437,4,FALSE)</f>
        <v>50</v>
      </c>
      <c r="AM87" s="388" t="str">
        <f>VLOOKUP("Нефтепродукты",Исх.данные!$C$427:$H$437,6,FALSE)</f>
        <v>2</v>
      </c>
      <c r="AN87" s="392"/>
      <c r="AO87" s="392">
        <f t="shared" si="72"/>
        <v>70</v>
      </c>
      <c r="AP87" s="392"/>
      <c r="AQ87" s="400" t="str">
        <f t="shared" si="73"/>
        <v>8</v>
      </c>
      <c r="AR87" s="391" t="e">
        <f t="shared" si="74"/>
        <v>#N/A</v>
      </c>
      <c r="AS87" s="398" t="str">
        <f t="shared" si="75"/>
        <v>ошибка</v>
      </c>
      <c r="AT87" s="398" t="str">
        <f t="shared" si="76"/>
        <v>ошибка</v>
      </c>
      <c r="AU87" s="401" t="str">
        <f t="shared" si="77"/>
        <v>ошибка</v>
      </c>
      <c r="AV87" s="398" t="str">
        <f t="shared" si="78"/>
        <v>ошибка</v>
      </c>
      <c r="AW87" s="398" t="str">
        <f t="shared" si="79"/>
        <v>нет</v>
      </c>
      <c r="AX87" s="398" t="str">
        <f t="shared" si="80"/>
        <v>ошибка</v>
      </c>
      <c r="AY87" s="402" t="str">
        <f t="shared" si="81"/>
        <v>ошибка</v>
      </c>
      <c r="AZ87" s="395">
        <f t="shared" si="82"/>
        <v>1.0384615384615385</v>
      </c>
      <c r="BA87" s="403" t="str">
        <f t="shared" si="83"/>
        <v>Д</v>
      </c>
      <c r="BB87" s="404"/>
      <c r="BC87" s="395">
        <f t="shared" si="84"/>
        <v>0.46666666666666673</v>
      </c>
      <c r="BD87" s="395">
        <f t="shared" si="85"/>
        <v>0.48148148148148145</v>
      </c>
      <c r="BE87" s="395">
        <f t="shared" si="86"/>
        <v>9.0909090909090912E-2</v>
      </c>
      <c r="BF87" s="395">
        <f t="shared" si="87"/>
        <v>0.17499999999999999</v>
      </c>
      <c r="BG87" s="395">
        <f t="shared" si="88"/>
        <v>6.4999999999999988E-2</v>
      </c>
      <c r="BH87" s="395">
        <f t="shared" si="89"/>
        <v>1.0384615384615385</v>
      </c>
      <c r="BI87" s="395">
        <f t="shared" si="90"/>
        <v>0.59615384615384615</v>
      </c>
      <c r="BJ87" s="404"/>
      <c r="BK87" s="395" t="e">
        <f t="shared" si="96"/>
        <v>#N/A</v>
      </c>
      <c r="BL87" s="395" t="e">
        <f t="shared" si="97"/>
        <v>#N/A</v>
      </c>
      <c r="BM87" s="395" t="e">
        <f t="shared" si="98"/>
        <v>#N/A</v>
      </c>
      <c r="BN87" s="395" t="e">
        <f t="shared" si="99"/>
        <v>#N/A</v>
      </c>
      <c r="BO87" s="395" t="e">
        <f t="shared" si="100"/>
        <v>#N/A</v>
      </c>
      <c r="BP87" s="395" t="e">
        <f t="shared" si="101"/>
        <v>#N/A</v>
      </c>
      <c r="BQ87" s="395" t="e">
        <f t="shared" si="102"/>
        <v>#N/A</v>
      </c>
      <c r="BR87" s="404"/>
      <c r="BS87" s="405">
        <f t="shared" si="91"/>
        <v>1.0384615384615385</v>
      </c>
      <c r="BT87" s="406" t="e">
        <f t="shared" si="92"/>
        <v>#N/A</v>
      </c>
      <c r="BU87" s="398">
        <f t="shared" si="93"/>
        <v>7.0321428571428584</v>
      </c>
      <c r="BV87" s="407">
        <f t="shared" si="94"/>
        <v>1.9666666666666668</v>
      </c>
    </row>
    <row r="88" spans="2:74" ht="16.5" thickBot="1" x14ac:dyDescent="0.3">
      <c r="C88" s="385">
        <f>IF(ISBLANK(D88),"",COUNTA($D$18:D88))</f>
        <v>71</v>
      </c>
      <c r="D88" s="386" t="str">
        <f>RIGHT(Исх.данные!A466,7)</f>
        <v>9</v>
      </c>
      <c r="E88" s="387" t="e">
        <f>VLOOKUP(D88,Акт!$C$1:$I$30,6,FALSE)</f>
        <v>#N/A</v>
      </c>
      <c r="F88" s="388">
        <f>VLOOKUP("pH солевой вытяжки",Исх.данные!$C$427:$F$437,4,FALSE)</f>
        <v>6.2</v>
      </c>
      <c r="G88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8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8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8" s="388">
        <f>VLOOKUP("Никель",Исх.данные!$C$427:$F$437,4,FALSE)</f>
        <v>3.5</v>
      </c>
      <c r="K88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8" s="388" t="str">
        <f>VLOOKUP("Свинец",Исх.данные!$C$427:$F$437,4,FALSE)</f>
        <v>27</v>
      </c>
      <c r="M88" s="388" t="str">
        <f>VLOOKUP("Цинк",Исх.данные!$C$427:$F$437,4,FALSE)</f>
        <v>31</v>
      </c>
      <c r="N88" s="389" t="e">
        <f>VLOOKUP(D88,Акт!$C$1:$I$30,7,FALSE)</f>
        <v>#N/A</v>
      </c>
      <c r="O88" s="390">
        <f>VLOOKUP("pH солевой вытяжки",Исх.данные!$C$427:$F$437,4,FALSE)</f>
        <v>6.2</v>
      </c>
      <c r="P88" s="391"/>
      <c r="Q88" s="392">
        <f t="shared" si="95"/>
        <v>71</v>
      </c>
      <c r="R88" s="393"/>
      <c r="S88" s="385" t="str">
        <f t="shared" si="61"/>
        <v>9</v>
      </c>
      <c r="T88" s="394" t="e">
        <f t="shared" si="62"/>
        <v>#N/A</v>
      </c>
      <c r="U88" s="394" t="str">
        <f t="shared" si="63"/>
        <v>0,0051</v>
      </c>
      <c r="V88" s="395" t="str">
        <f t="shared" si="64"/>
        <v>нет</v>
      </c>
      <c r="W88" s="396" t="str">
        <f t="shared" si="65"/>
        <v>Д</v>
      </c>
      <c r="X88" s="397"/>
      <c r="Y88" s="392"/>
      <c r="Z88" s="392"/>
      <c r="AA88" s="388">
        <f>VLOOKUP("Бенз(а)пирен",Исх.данные!$C$427:$F$437,4,FALSE)</f>
        <v>5.0000000000000001E-3</v>
      </c>
      <c r="AB88" s="388" t="str">
        <f>VLOOKUP("Бенз(а)пирен",Исх.данные!$C$427:$H$437,6,FALSE)</f>
        <v>1</v>
      </c>
      <c r="AC88" s="392">
        <f t="shared" si="66"/>
        <v>71</v>
      </c>
      <c r="AD88" s="392"/>
      <c r="AE88" s="385" t="str">
        <f t="shared" si="67"/>
        <v>9</v>
      </c>
      <c r="AF88" s="394" t="e">
        <f t="shared" si="68"/>
        <v>#N/A</v>
      </c>
      <c r="AG88" s="394" t="str">
        <f t="shared" si="69"/>
        <v>502</v>
      </c>
      <c r="AH88" s="398" t="str">
        <f t="shared" si="70"/>
        <v>нет</v>
      </c>
      <c r="AI88" s="399" t="str">
        <f t="shared" si="71"/>
        <v>Допустимый</v>
      </c>
      <c r="AJ88" s="392"/>
      <c r="AK88" s="392"/>
      <c r="AL88" s="388">
        <f>VLOOKUP("Нефтепродукты",Исх.данные!$C$427:$F$437,4,FALSE)</f>
        <v>50</v>
      </c>
      <c r="AM88" s="388" t="str">
        <f>VLOOKUP("Нефтепродукты",Исх.данные!$C$427:$H$437,6,FALSE)</f>
        <v>2</v>
      </c>
      <c r="AN88" s="392"/>
      <c r="AO88" s="392">
        <f t="shared" si="72"/>
        <v>71</v>
      </c>
      <c r="AP88" s="392"/>
      <c r="AQ88" s="400" t="str">
        <f t="shared" si="73"/>
        <v>9</v>
      </c>
      <c r="AR88" s="391" t="e">
        <f t="shared" si="74"/>
        <v>#N/A</v>
      </c>
      <c r="AS88" s="398" t="str">
        <f t="shared" si="75"/>
        <v>ошибка</v>
      </c>
      <c r="AT88" s="398" t="str">
        <f t="shared" si="76"/>
        <v>ошибка</v>
      </c>
      <c r="AU88" s="401" t="str">
        <f t="shared" si="77"/>
        <v>ошибка</v>
      </c>
      <c r="AV88" s="398" t="str">
        <f t="shared" si="78"/>
        <v>ошибка</v>
      </c>
      <c r="AW88" s="398" t="str">
        <f t="shared" si="79"/>
        <v>нет</v>
      </c>
      <c r="AX88" s="398" t="str">
        <f t="shared" si="80"/>
        <v>ошибка</v>
      </c>
      <c r="AY88" s="402" t="str">
        <f t="shared" si="81"/>
        <v>ошибка</v>
      </c>
      <c r="AZ88" s="395">
        <f t="shared" si="82"/>
        <v>1.0384615384615385</v>
      </c>
      <c r="BA88" s="403" t="str">
        <f t="shared" si="83"/>
        <v>Д</v>
      </c>
      <c r="BB88" s="404"/>
      <c r="BC88" s="395">
        <f t="shared" si="84"/>
        <v>0.46666666666666673</v>
      </c>
      <c r="BD88" s="395">
        <f t="shared" si="85"/>
        <v>0.48148148148148145</v>
      </c>
      <c r="BE88" s="395">
        <f t="shared" si="86"/>
        <v>9.0909090909090912E-2</v>
      </c>
      <c r="BF88" s="395">
        <f t="shared" si="87"/>
        <v>0.17499999999999999</v>
      </c>
      <c r="BG88" s="395">
        <f t="shared" si="88"/>
        <v>6.4999999999999988E-2</v>
      </c>
      <c r="BH88" s="395">
        <f t="shared" si="89"/>
        <v>1.0384615384615385</v>
      </c>
      <c r="BI88" s="395">
        <f t="shared" si="90"/>
        <v>0.59615384615384615</v>
      </c>
      <c r="BJ88" s="404"/>
      <c r="BK88" s="395" t="e">
        <f t="shared" si="96"/>
        <v>#N/A</v>
      </c>
      <c r="BL88" s="395" t="e">
        <f t="shared" si="97"/>
        <v>#N/A</v>
      </c>
      <c r="BM88" s="395" t="e">
        <f t="shared" si="98"/>
        <v>#N/A</v>
      </c>
      <c r="BN88" s="395" t="e">
        <f t="shared" si="99"/>
        <v>#N/A</v>
      </c>
      <c r="BO88" s="395" t="e">
        <f t="shared" si="100"/>
        <v>#N/A</v>
      </c>
      <c r="BP88" s="395" t="e">
        <f t="shared" si="101"/>
        <v>#N/A</v>
      </c>
      <c r="BQ88" s="395" t="e">
        <f t="shared" si="102"/>
        <v>#N/A</v>
      </c>
      <c r="BR88" s="404"/>
      <c r="BS88" s="405">
        <f t="shared" si="91"/>
        <v>1.0384615384615385</v>
      </c>
      <c r="BT88" s="406" t="e">
        <f t="shared" si="92"/>
        <v>#N/A</v>
      </c>
      <c r="BU88" s="398">
        <f t="shared" si="93"/>
        <v>7.0321428571428584</v>
      </c>
      <c r="BV88" s="407">
        <f t="shared" si="94"/>
        <v>1.9666666666666668</v>
      </c>
    </row>
    <row r="89" spans="2:74" ht="16.5" thickBot="1" x14ac:dyDescent="0.3">
      <c r="C89" s="385">
        <f>IF(ISBLANK(D89),"",COUNTA($D$18:D89))</f>
        <v>72</v>
      </c>
      <c r="D89" s="386" t="str">
        <f>RIGHT(Исх.данные!A467,7)</f>
        <v>10</v>
      </c>
      <c r="E89" s="387" t="e">
        <f>VLOOKUP(D89,Акт!$C$1:$I$30,6,FALSE)</f>
        <v>#N/A</v>
      </c>
      <c r="F89" s="388">
        <f>VLOOKUP("pH солевой вытяжки",Исх.данные!$C$427:$F$437,4,FALSE)</f>
        <v>6.2</v>
      </c>
      <c r="G89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89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89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89" s="388">
        <f>VLOOKUP("Никель",Исх.данные!$C$427:$F$437,4,FALSE)</f>
        <v>3.5</v>
      </c>
      <c r="K89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89" s="388" t="str">
        <f>VLOOKUP("Свинец",Исх.данные!$C$427:$F$437,4,FALSE)</f>
        <v>27</v>
      </c>
      <c r="M89" s="388" t="str">
        <f>VLOOKUP("Цинк",Исх.данные!$C$427:$F$437,4,FALSE)</f>
        <v>31</v>
      </c>
      <c r="N89" s="389" t="e">
        <f>VLOOKUP(D89,Акт!$C$1:$I$30,7,FALSE)</f>
        <v>#N/A</v>
      </c>
      <c r="O89" s="390">
        <f>VLOOKUP("pH солевой вытяжки",Исх.данные!$C$427:$F$437,4,FALSE)</f>
        <v>6.2</v>
      </c>
      <c r="P89" s="391"/>
      <c r="Q89" s="392">
        <f t="shared" si="95"/>
        <v>72</v>
      </c>
      <c r="R89" s="393"/>
      <c r="S89" s="385" t="str">
        <f t="shared" si="61"/>
        <v>10</v>
      </c>
      <c r="T89" s="394" t="e">
        <f t="shared" si="62"/>
        <v>#N/A</v>
      </c>
      <c r="U89" s="394" t="str">
        <f t="shared" si="63"/>
        <v>0,0051</v>
      </c>
      <c r="V89" s="395" t="str">
        <f t="shared" si="64"/>
        <v>нет</v>
      </c>
      <c r="W89" s="396" t="str">
        <f t="shared" si="65"/>
        <v>Д</v>
      </c>
      <c r="X89" s="397"/>
      <c r="Y89" s="392"/>
      <c r="Z89" s="392"/>
      <c r="AA89" s="388">
        <f>VLOOKUP("Бенз(а)пирен",Исх.данные!$C$427:$F$437,4,FALSE)</f>
        <v>5.0000000000000001E-3</v>
      </c>
      <c r="AB89" s="388" t="str">
        <f>VLOOKUP("Бенз(а)пирен",Исх.данные!$C$427:$H$437,6,FALSE)</f>
        <v>1</v>
      </c>
      <c r="AC89" s="392">
        <f t="shared" si="66"/>
        <v>72</v>
      </c>
      <c r="AD89" s="392"/>
      <c r="AE89" s="385" t="str">
        <f t="shared" si="67"/>
        <v>10</v>
      </c>
      <c r="AF89" s="394" t="e">
        <f t="shared" si="68"/>
        <v>#N/A</v>
      </c>
      <c r="AG89" s="394" t="str">
        <f t="shared" si="69"/>
        <v>502</v>
      </c>
      <c r="AH89" s="398" t="str">
        <f t="shared" si="70"/>
        <v>нет</v>
      </c>
      <c r="AI89" s="399" t="str">
        <f t="shared" si="71"/>
        <v>Допустимый</v>
      </c>
      <c r="AJ89" s="392"/>
      <c r="AK89" s="392"/>
      <c r="AL89" s="388">
        <f>VLOOKUP("Нефтепродукты",Исх.данные!$C$427:$F$437,4,FALSE)</f>
        <v>50</v>
      </c>
      <c r="AM89" s="388" t="str">
        <f>VLOOKUP("Нефтепродукты",Исх.данные!$C$427:$H$437,6,FALSE)</f>
        <v>2</v>
      </c>
      <c r="AN89" s="392"/>
      <c r="AO89" s="392">
        <f t="shared" si="72"/>
        <v>72</v>
      </c>
      <c r="AP89" s="392"/>
      <c r="AQ89" s="400" t="str">
        <f t="shared" si="73"/>
        <v>10</v>
      </c>
      <c r="AR89" s="391" t="e">
        <f t="shared" si="74"/>
        <v>#N/A</v>
      </c>
      <c r="AS89" s="398" t="str">
        <f t="shared" si="75"/>
        <v>ошибка</v>
      </c>
      <c r="AT89" s="398" t="str">
        <f t="shared" si="76"/>
        <v>ошибка</v>
      </c>
      <c r="AU89" s="401" t="str">
        <f t="shared" si="77"/>
        <v>ошибка</v>
      </c>
      <c r="AV89" s="398" t="str">
        <f t="shared" si="78"/>
        <v>ошибка</v>
      </c>
      <c r="AW89" s="398" t="str">
        <f t="shared" si="79"/>
        <v>нет</v>
      </c>
      <c r="AX89" s="398" t="str">
        <f t="shared" si="80"/>
        <v>ошибка</v>
      </c>
      <c r="AY89" s="402" t="str">
        <f t="shared" si="81"/>
        <v>ошибка</v>
      </c>
      <c r="AZ89" s="395">
        <f t="shared" si="82"/>
        <v>1.0384615384615385</v>
      </c>
      <c r="BA89" s="403" t="str">
        <f t="shared" si="83"/>
        <v>Д</v>
      </c>
      <c r="BB89" s="404"/>
      <c r="BC89" s="395">
        <f t="shared" si="84"/>
        <v>0.46666666666666673</v>
      </c>
      <c r="BD89" s="395">
        <f t="shared" si="85"/>
        <v>0.48148148148148145</v>
      </c>
      <c r="BE89" s="395">
        <f t="shared" si="86"/>
        <v>9.0909090909090912E-2</v>
      </c>
      <c r="BF89" s="395">
        <f t="shared" si="87"/>
        <v>0.17499999999999999</v>
      </c>
      <c r="BG89" s="395">
        <f t="shared" si="88"/>
        <v>6.4999999999999988E-2</v>
      </c>
      <c r="BH89" s="395">
        <f t="shared" si="89"/>
        <v>1.0384615384615385</v>
      </c>
      <c r="BI89" s="395">
        <f t="shared" si="90"/>
        <v>0.59615384615384615</v>
      </c>
      <c r="BJ89" s="404"/>
      <c r="BK89" s="395" t="e">
        <f t="shared" si="96"/>
        <v>#N/A</v>
      </c>
      <c r="BL89" s="395" t="e">
        <f t="shared" si="97"/>
        <v>#N/A</v>
      </c>
      <c r="BM89" s="395" t="e">
        <f t="shared" si="98"/>
        <v>#N/A</v>
      </c>
      <c r="BN89" s="395" t="e">
        <f t="shared" si="99"/>
        <v>#N/A</v>
      </c>
      <c r="BO89" s="395" t="e">
        <f t="shared" si="100"/>
        <v>#N/A</v>
      </c>
      <c r="BP89" s="395" t="e">
        <f t="shared" si="101"/>
        <v>#N/A</v>
      </c>
      <c r="BQ89" s="395" t="e">
        <f t="shared" si="102"/>
        <v>#N/A</v>
      </c>
      <c r="BR89" s="404"/>
      <c r="BS89" s="405">
        <f t="shared" si="91"/>
        <v>1.0384615384615385</v>
      </c>
      <c r="BT89" s="406" t="e">
        <f t="shared" si="92"/>
        <v>#N/A</v>
      </c>
      <c r="BU89" s="398">
        <f t="shared" si="93"/>
        <v>7.0321428571428584</v>
      </c>
      <c r="BV89" s="407">
        <f t="shared" si="94"/>
        <v>1.9666666666666668</v>
      </c>
    </row>
    <row r="90" spans="2:74" ht="16.5" thickBot="1" x14ac:dyDescent="0.3">
      <c r="C90" s="385">
        <f>IF(ISBLANK(D90),"",COUNTA($D$18:D90))</f>
        <v>73</v>
      </c>
      <c r="D90" s="386" t="str">
        <f>RIGHT(Исх.данные!A468,7)</f>
        <v/>
      </c>
      <c r="E90" s="387" t="e">
        <f>VLOOKUP(D90,Акт!$C$1:$I$30,6,FALSE)</f>
        <v>#N/A</v>
      </c>
      <c r="F90" s="388">
        <f>VLOOKUP("pH солевой вытяжки",Исх.данные!$C$427:$F$437,4,FALSE)</f>
        <v>6.2</v>
      </c>
      <c r="G90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0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0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0" s="388">
        <f>VLOOKUP("Никель",Исх.данные!$C$427:$F$437,4,FALSE)</f>
        <v>3.5</v>
      </c>
      <c r="K90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0" s="388" t="str">
        <f>VLOOKUP("Свинец",Исх.данные!$C$427:$F$437,4,FALSE)</f>
        <v>27</v>
      </c>
      <c r="M90" s="388" t="str">
        <f>VLOOKUP("Цинк",Исх.данные!$C$427:$F$437,4,FALSE)</f>
        <v>31</v>
      </c>
      <c r="N90" s="389" t="e">
        <f>VLOOKUP(D90,Акт!$C$1:$I$30,7,FALSE)</f>
        <v>#N/A</v>
      </c>
      <c r="O90" s="390">
        <f>VLOOKUP("pH солевой вытяжки",Исх.данные!$C$427:$F$437,4,FALSE)</f>
        <v>6.2</v>
      </c>
      <c r="P90" s="391"/>
      <c r="Q90" s="392">
        <f t="shared" si="95"/>
        <v>73</v>
      </c>
      <c r="R90" s="393"/>
      <c r="S90" s="385" t="str">
        <f t="shared" si="61"/>
        <v/>
      </c>
      <c r="T90" s="394" t="e">
        <f t="shared" si="62"/>
        <v>#N/A</v>
      </c>
      <c r="U90" s="394" t="str">
        <f t="shared" si="63"/>
        <v>0,0051</v>
      </c>
      <c r="V90" s="395" t="str">
        <f t="shared" si="64"/>
        <v>нет</v>
      </c>
      <c r="W90" s="396" t="str">
        <f t="shared" si="65"/>
        <v>Д</v>
      </c>
      <c r="X90" s="397"/>
      <c r="Y90" s="392"/>
      <c r="Z90" s="392"/>
      <c r="AA90" s="388">
        <f>VLOOKUP("Бенз(а)пирен",Исх.данные!$C$427:$F$437,4,FALSE)</f>
        <v>5.0000000000000001E-3</v>
      </c>
      <c r="AB90" s="388" t="str">
        <f>VLOOKUP("Бенз(а)пирен",Исх.данные!$C$427:$H$437,6,FALSE)</f>
        <v>1</v>
      </c>
      <c r="AC90" s="392">
        <f t="shared" si="66"/>
        <v>73</v>
      </c>
      <c r="AD90" s="392"/>
      <c r="AE90" s="385" t="str">
        <f t="shared" si="67"/>
        <v/>
      </c>
      <c r="AF90" s="394" t="e">
        <f t="shared" si="68"/>
        <v>#N/A</v>
      </c>
      <c r="AG90" s="394" t="str">
        <f t="shared" si="69"/>
        <v>502</v>
      </c>
      <c r="AH90" s="398" t="str">
        <f t="shared" si="70"/>
        <v>нет</v>
      </c>
      <c r="AI90" s="399" t="str">
        <f t="shared" si="71"/>
        <v>Допустимый</v>
      </c>
      <c r="AJ90" s="392"/>
      <c r="AK90" s="392"/>
      <c r="AL90" s="388">
        <f>VLOOKUP("Нефтепродукты",Исх.данные!$C$427:$F$437,4,FALSE)</f>
        <v>50</v>
      </c>
      <c r="AM90" s="388" t="str">
        <f>VLOOKUP("Нефтепродукты",Исх.данные!$C$427:$H$437,6,FALSE)</f>
        <v>2</v>
      </c>
      <c r="AN90" s="392"/>
      <c r="AO90" s="392">
        <f t="shared" si="72"/>
        <v>73</v>
      </c>
      <c r="AP90" s="392"/>
      <c r="AQ90" s="400" t="str">
        <f t="shared" si="73"/>
        <v/>
      </c>
      <c r="AR90" s="391" t="e">
        <f t="shared" si="74"/>
        <v>#N/A</v>
      </c>
      <c r="AS90" s="398" t="str">
        <f t="shared" si="75"/>
        <v>ошибка</v>
      </c>
      <c r="AT90" s="398" t="str">
        <f t="shared" si="76"/>
        <v>ошибка</v>
      </c>
      <c r="AU90" s="401" t="str">
        <f t="shared" si="77"/>
        <v>ошибка</v>
      </c>
      <c r="AV90" s="398" t="str">
        <f t="shared" si="78"/>
        <v>ошибка</v>
      </c>
      <c r="AW90" s="398" t="str">
        <f t="shared" si="79"/>
        <v>нет</v>
      </c>
      <c r="AX90" s="398" t="str">
        <f t="shared" si="80"/>
        <v>ошибка</v>
      </c>
      <c r="AY90" s="402" t="str">
        <f t="shared" si="81"/>
        <v>ошибка</v>
      </c>
      <c r="AZ90" s="395" t="str">
        <f t="shared" si="82"/>
        <v/>
      </c>
      <c r="BA90" s="403" t="str">
        <f t="shared" si="83"/>
        <v/>
      </c>
      <c r="BB90" s="404"/>
      <c r="BC90" s="395">
        <f t="shared" si="84"/>
        <v>0.46666666666666673</v>
      </c>
      <c r="BD90" s="395">
        <f t="shared" si="85"/>
        <v>0.48148148148148145</v>
      </c>
      <c r="BE90" s="395">
        <f t="shared" si="86"/>
        <v>9.0909090909090912E-2</v>
      </c>
      <c r="BF90" s="395">
        <f t="shared" si="87"/>
        <v>0.17499999999999999</v>
      </c>
      <c r="BG90" s="395">
        <f t="shared" si="88"/>
        <v>6.4999999999999988E-2</v>
      </c>
      <c r="BH90" s="395">
        <f t="shared" si="89"/>
        <v>1.0384615384615385</v>
      </c>
      <c r="BI90" s="395">
        <f t="shared" si="90"/>
        <v>0.59615384615384615</v>
      </c>
      <c r="BJ90" s="404"/>
      <c r="BK90" s="395" t="e">
        <f t="shared" si="96"/>
        <v>#N/A</v>
      </c>
      <c r="BL90" s="395" t="e">
        <f t="shared" si="97"/>
        <v>#N/A</v>
      </c>
      <c r="BM90" s="395" t="e">
        <f t="shared" si="98"/>
        <v>#N/A</v>
      </c>
      <c r="BN90" s="395" t="e">
        <f t="shared" si="99"/>
        <v>#N/A</v>
      </c>
      <c r="BO90" s="395" t="e">
        <f t="shared" si="100"/>
        <v>#N/A</v>
      </c>
      <c r="BP90" s="395" t="e">
        <f t="shared" si="101"/>
        <v>#N/A</v>
      </c>
      <c r="BQ90" s="395" t="e">
        <f t="shared" si="102"/>
        <v>#N/A</v>
      </c>
      <c r="BR90" s="404"/>
      <c r="BS90" s="405" t="str">
        <f t="shared" si="91"/>
        <v/>
      </c>
      <c r="BT90" s="406" t="str">
        <f t="shared" si="92"/>
        <v/>
      </c>
      <c r="BU90" s="398" t="str">
        <f t="shared" si="93"/>
        <v/>
      </c>
      <c r="BV90" s="407" t="str">
        <f t="shared" si="94"/>
        <v/>
      </c>
    </row>
    <row r="91" spans="2:74" ht="16.5" thickBot="1" x14ac:dyDescent="0.3">
      <c r="C91" s="385">
        <f>IF(ISBLANK(D91),"",COUNTA($D$18:D91))</f>
        <v>74</v>
      </c>
      <c r="D91" s="386" t="str">
        <f>RIGHT(Исх.данные!A469,7)</f>
        <v>33</v>
      </c>
      <c r="E91" s="387" t="e">
        <f>VLOOKUP(D91,Акт!$C$1:$I$30,6,FALSE)</f>
        <v>#N/A</v>
      </c>
      <c r="F91" s="388">
        <f>VLOOKUP("pH солевой вытяжки",Исх.данные!$C$427:$F$437,4,FALSE)</f>
        <v>6.2</v>
      </c>
      <c r="G91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1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1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1" s="388">
        <f>VLOOKUP("Никель",Исх.данные!$C$427:$F$437,4,FALSE)</f>
        <v>3.5</v>
      </c>
      <c r="K91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1" s="388" t="str">
        <f>VLOOKUP("Свинец",Исх.данные!$C$427:$F$437,4,FALSE)</f>
        <v>27</v>
      </c>
      <c r="M91" s="388" t="str">
        <f>VLOOKUP("Цинк",Исх.данные!$C$427:$F$437,4,FALSE)</f>
        <v>31</v>
      </c>
      <c r="N91" s="389" t="e">
        <f>VLOOKUP(D91,Акт!$C$1:$I$30,7,FALSE)</f>
        <v>#N/A</v>
      </c>
      <c r="O91" s="390">
        <f>VLOOKUP("pH солевой вытяжки",Исх.данные!$C$427:$F$437,4,FALSE)</f>
        <v>6.2</v>
      </c>
      <c r="P91" s="391"/>
      <c r="Q91" s="392">
        <f t="shared" si="95"/>
        <v>74</v>
      </c>
      <c r="R91" s="393"/>
      <c r="S91" s="385" t="str">
        <f t="shared" si="61"/>
        <v>33</v>
      </c>
      <c r="T91" s="394" t="e">
        <f t="shared" si="62"/>
        <v>#N/A</v>
      </c>
      <c r="U91" s="394" t="str">
        <f t="shared" si="63"/>
        <v>0,0051</v>
      </c>
      <c r="V91" s="395" t="str">
        <f t="shared" si="64"/>
        <v>нет</v>
      </c>
      <c r="W91" s="396" t="str">
        <f t="shared" si="65"/>
        <v>Д</v>
      </c>
      <c r="X91" s="397"/>
      <c r="Y91" s="392"/>
      <c r="Z91" s="392"/>
      <c r="AA91" s="388">
        <f>VLOOKUP("Бенз(а)пирен",Исх.данные!$C$427:$F$437,4,FALSE)</f>
        <v>5.0000000000000001E-3</v>
      </c>
      <c r="AB91" s="388" t="str">
        <f>VLOOKUP("Бенз(а)пирен",Исх.данные!$C$427:$H$437,6,FALSE)</f>
        <v>1</v>
      </c>
      <c r="AC91" s="392">
        <f t="shared" si="66"/>
        <v>74</v>
      </c>
      <c r="AD91" s="392"/>
      <c r="AE91" s="385" t="str">
        <f t="shared" si="67"/>
        <v>33</v>
      </c>
      <c r="AF91" s="394" t="e">
        <f t="shared" si="68"/>
        <v>#N/A</v>
      </c>
      <c r="AG91" s="394" t="str">
        <f t="shared" si="69"/>
        <v>502</v>
      </c>
      <c r="AH91" s="398" t="str">
        <f t="shared" si="70"/>
        <v>нет</v>
      </c>
      <c r="AI91" s="399" t="str">
        <f t="shared" si="71"/>
        <v>Допустимый</v>
      </c>
      <c r="AJ91" s="392"/>
      <c r="AK91" s="392"/>
      <c r="AL91" s="388">
        <f>VLOOKUP("Нефтепродукты",Исх.данные!$C$427:$F$437,4,FALSE)</f>
        <v>50</v>
      </c>
      <c r="AM91" s="388" t="str">
        <f>VLOOKUP("Нефтепродукты",Исх.данные!$C$427:$H$437,6,FALSE)</f>
        <v>2</v>
      </c>
      <c r="AN91" s="392"/>
      <c r="AO91" s="392">
        <f t="shared" si="72"/>
        <v>74</v>
      </c>
      <c r="AP91" s="392"/>
      <c r="AQ91" s="400" t="str">
        <f t="shared" si="73"/>
        <v>33</v>
      </c>
      <c r="AR91" s="391" t="e">
        <f t="shared" si="74"/>
        <v>#N/A</v>
      </c>
      <c r="AS91" s="398" t="str">
        <f t="shared" si="75"/>
        <v>ошибка</v>
      </c>
      <c r="AT91" s="398" t="str">
        <f t="shared" si="76"/>
        <v>ошибка</v>
      </c>
      <c r="AU91" s="401" t="str">
        <f t="shared" si="77"/>
        <v>ошибка</v>
      </c>
      <c r="AV91" s="398" t="str">
        <f t="shared" si="78"/>
        <v>ошибка</v>
      </c>
      <c r="AW91" s="398" t="str">
        <f t="shared" si="79"/>
        <v>нет</v>
      </c>
      <c r="AX91" s="398" t="str">
        <f t="shared" si="80"/>
        <v>ошибка</v>
      </c>
      <c r="AY91" s="402" t="str">
        <f t="shared" si="81"/>
        <v>ошибка</v>
      </c>
      <c r="AZ91" s="395">
        <f t="shared" si="82"/>
        <v>1.0384615384615385</v>
      </c>
      <c r="BA91" s="403" t="str">
        <f t="shared" si="83"/>
        <v>Д</v>
      </c>
      <c r="BB91" s="404"/>
      <c r="BC91" s="395">
        <f t="shared" si="84"/>
        <v>0.46666666666666673</v>
      </c>
      <c r="BD91" s="395">
        <f t="shared" si="85"/>
        <v>0.48148148148148145</v>
      </c>
      <c r="BE91" s="395">
        <f t="shared" si="86"/>
        <v>9.0909090909090912E-2</v>
      </c>
      <c r="BF91" s="395">
        <f t="shared" si="87"/>
        <v>0.17499999999999999</v>
      </c>
      <c r="BG91" s="395">
        <f t="shared" si="88"/>
        <v>6.4999999999999988E-2</v>
      </c>
      <c r="BH91" s="395">
        <f t="shared" si="89"/>
        <v>1.0384615384615385</v>
      </c>
      <c r="BI91" s="395">
        <f t="shared" si="90"/>
        <v>0.59615384615384615</v>
      </c>
      <c r="BJ91" s="404"/>
      <c r="BK91" s="395" t="e">
        <f t="shared" si="96"/>
        <v>#N/A</v>
      </c>
      <c r="BL91" s="395" t="e">
        <f t="shared" si="97"/>
        <v>#N/A</v>
      </c>
      <c r="BM91" s="395" t="e">
        <f t="shared" si="98"/>
        <v>#N/A</v>
      </c>
      <c r="BN91" s="395" t="e">
        <f t="shared" si="99"/>
        <v>#N/A</v>
      </c>
      <c r="BO91" s="395" t="e">
        <f t="shared" si="100"/>
        <v>#N/A</v>
      </c>
      <c r="BP91" s="395" t="e">
        <f t="shared" si="101"/>
        <v>#N/A</v>
      </c>
      <c r="BQ91" s="395" t="e">
        <f t="shared" si="102"/>
        <v>#N/A</v>
      </c>
      <c r="BR91" s="404"/>
      <c r="BS91" s="405">
        <f t="shared" si="91"/>
        <v>1.0384615384615385</v>
      </c>
      <c r="BT91" s="406" t="e">
        <f t="shared" si="92"/>
        <v>#N/A</v>
      </c>
      <c r="BU91" s="398">
        <f t="shared" si="93"/>
        <v>7.0321428571428584</v>
      </c>
      <c r="BV91" s="407">
        <f t="shared" si="94"/>
        <v>1.9666666666666668</v>
      </c>
    </row>
    <row r="92" spans="2:74" ht="16.5" thickBot="1" x14ac:dyDescent="0.3">
      <c r="C92" s="385">
        <f>IF(ISBLANK(D92),"",COUNTA($D$18:D92))</f>
        <v>75</v>
      </c>
      <c r="D92" s="386" t="str">
        <f>RIGHT(Исх.данные!A470,7)</f>
        <v>№ п/п</v>
      </c>
      <c r="E92" s="387" t="e">
        <f>VLOOKUP(D92,Акт!$C$1:$I$30,6,FALSE)</f>
        <v>#N/A</v>
      </c>
      <c r="F92" s="388">
        <f>VLOOKUP("pH солевой вытяжки",Исх.данные!$C$427:$F$437,4,FALSE)</f>
        <v>6.2</v>
      </c>
      <c r="G92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2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2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2" s="388">
        <f>VLOOKUP("Никель",Исх.данные!$C$427:$F$437,4,FALSE)</f>
        <v>3.5</v>
      </c>
      <c r="K92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2" s="388" t="str">
        <f>VLOOKUP("Свинец",Исх.данные!$C$427:$F$437,4,FALSE)</f>
        <v>27</v>
      </c>
      <c r="M92" s="388" t="str">
        <f>VLOOKUP("Цинк",Исх.данные!$C$427:$F$437,4,FALSE)</f>
        <v>31</v>
      </c>
      <c r="N92" s="389" t="e">
        <f>VLOOKUP(D92,Акт!$C$1:$I$30,7,FALSE)</f>
        <v>#N/A</v>
      </c>
      <c r="O92" s="390">
        <f>VLOOKUP("pH солевой вытяжки",Исх.данные!$C$427:$F$437,4,FALSE)</f>
        <v>6.2</v>
      </c>
      <c r="P92" s="391"/>
      <c r="Q92" s="392">
        <f t="shared" si="95"/>
        <v>75</v>
      </c>
      <c r="R92" s="393"/>
      <c r="S92" s="385" t="str">
        <f t="shared" si="61"/>
        <v>№ п/п</v>
      </c>
      <c r="T92" s="394" t="e">
        <f t="shared" si="62"/>
        <v>#N/A</v>
      </c>
      <c r="U92" s="394" t="str">
        <f t="shared" si="63"/>
        <v>0,0051</v>
      </c>
      <c r="V92" s="395" t="str">
        <f t="shared" si="64"/>
        <v>нет</v>
      </c>
      <c r="W92" s="396" t="str">
        <f t="shared" si="65"/>
        <v>Д</v>
      </c>
      <c r="X92" s="397"/>
      <c r="Y92" s="392"/>
      <c r="Z92" s="392"/>
      <c r="AA92" s="388">
        <f>VLOOKUP("Бенз(а)пирен",Исх.данные!$C$427:$F$437,4,FALSE)</f>
        <v>5.0000000000000001E-3</v>
      </c>
      <c r="AB92" s="388" t="str">
        <f>VLOOKUP("Бенз(а)пирен",Исх.данные!$C$427:$H$437,6,FALSE)</f>
        <v>1</v>
      </c>
      <c r="AC92" s="392">
        <f t="shared" si="66"/>
        <v>75</v>
      </c>
      <c r="AD92" s="392"/>
      <c r="AE92" s="385" t="str">
        <f t="shared" si="67"/>
        <v>№ п/п</v>
      </c>
      <c r="AF92" s="394" t="e">
        <f t="shared" si="68"/>
        <v>#N/A</v>
      </c>
      <c r="AG92" s="394" t="str">
        <f t="shared" si="69"/>
        <v>502</v>
      </c>
      <c r="AH92" s="398" t="str">
        <f t="shared" si="70"/>
        <v>нет</v>
      </c>
      <c r="AI92" s="399" t="str">
        <f t="shared" si="71"/>
        <v>Допустимый</v>
      </c>
      <c r="AJ92" s="392"/>
      <c r="AK92" s="392"/>
      <c r="AL92" s="388">
        <f>VLOOKUP("Нефтепродукты",Исх.данные!$C$427:$F$437,4,FALSE)</f>
        <v>50</v>
      </c>
      <c r="AM92" s="388" t="str">
        <f>VLOOKUP("Нефтепродукты",Исх.данные!$C$427:$H$437,6,FALSE)</f>
        <v>2</v>
      </c>
      <c r="AN92" s="392"/>
      <c r="AO92" s="392">
        <f t="shared" si="72"/>
        <v>75</v>
      </c>
      <c r="AP92" s="392"/>
      <c r="AQ92" s="400" t="str">
        <f t="shared" si="73"/>
        <v>№ п/п</v>
      </c>
      <c r="AR92" s="391" t="e">
        <f t="shared" si="74"/>
        <v>#N/A</v>
      </c>
      <c r="AS92" s="398" t="str">
        <f t="shared" si="75"/>
        <v>ошибка</v>
      </c>
      <c r="AT92" s="398" t="str">
        <f t="shared" si="76"/>
        <v>ошибка</v>
      </c>
      <c r="AU92" s="401" t="str">
        <f t="shared" si="77"/>
        <v>ошибка</v>
      </c>
      <c r="AV92" s="398" t="str">
        <f t="shared" si="78"/>
        <v>ошибка</v>
      </c>
      <c r="AW92" s="398" t="str">
        <f t="shared" si="79"/>
        <v>нет</v>
      </c>
      <c r="AX92" s="398" t="str">
        <f t="shared" si="80"/>
        <v>ошибка</v>
      </c>
      <c r="AY92" s="402" t="str">
        <f t="shared" si="81"/>
        <v>ошибка</v>
      </c>
      <c r="AZ92" s="395">
        <f t="shared" si="82"/>
        <v>1.0384615384615385</v>
      </c>
      <c r="BA92" s="403" t="str">
        <f t="shared" si="83"/>
        <v>Д</v>
      </c>
      <c r="BB92" s="404"/>
      <c r="BC92" s="395">
        <f t="shared" si="84"/>
        <v>0.46666666666666673</v>
      </c>
      <c r="BD92" s="395">
        <f t="shared" si="85"/>
        <v>0.48148148148148145</v>
      </c>
      <c r="BE92" s="395">
        <f t="shared" si="86"/>
        <v>9.0909090909090912E-2</v>
      </c>
      <c r="BF92" s="395">
        <f t="shared" si="87"/>
        <v>0.17499999999999999</v>
      </c>
      <c r="BG92" s="395">
        <f t="shared" si="88"/>
        <v>6.4999999999999988E-2</v>
      </c>
      <c r="BH92" s="395">
        <f t="shared" si="89"/>
        <v>1.0384615384615385</v>
      </c>
      <c r="BI92" s="395">
        <f t="shared" si="90"/>
        <v>0.59615384615384615</v>
      </c>
      <c r="BJ92" s="404"/>
      <c r="BK92" s="395" t="e">
        <f t="shared" si="96"/>
        <v>#N/A</v>
      </c>
      <c r="BL92" s="395" t="e">
        <f t="shared" si="97"/>
        <v>#N/A</v>
      </c>
      <c r="BM92" s="395" t="e">
        <f t="shared" si="98"/>
        <v>#N/A</v>
      </c>
      <c r="BN92" s="395" t="e">
        <f t="shared" si="99"/>
        <v>#N/A</v>
      </c>
      <c r="BO92" s="395" t="e">
        <f t="shared" si="100"/>
        <v>#N/A</v>
      </c>
      <c r="BP92" s="395" t="e">
        <f t="shared" si="101"/>
        <v>#N/A</v>
      </c>
      <c r="BQ92" s="395" t="e">
        <f t="shared" si="102"/>
        <v>#N/A</v>
      </c>
      <c r="BR92" s="404"/>
      <c r="BS92" s="405">
        <f t="shared" si="91"/>
        <v>1.0384615384615385</v>
      </c>
      <c r="BT92" s="406" t="e">
        <f t="shared" si="92"/>
        <v>#N/A</v>
      </c>
      <c r="BU92" s="398">
        <f t="shared" si="93"/>
        <v>7.0321428571428584</v>
      </c>
      <c r="BV92" s="407">
        <f t="shared" si="94"/>
        <v>1.9666666666666668</v>
      </c>
    </row>
    <row r="93" spans="2:74" ht="16.5" thickBot="1" x14ac:dyDescent="0.3">
      <c r="C93" s="385">
        <f>IF(ISBLANK(D93),"",COUNTA($D$18:D93))</f>
        <v>76</v>
      </c>
      <c r="D93" s="386" t="str">
        <f>RIGHT(Исх.данные!A471,7)</f>
        <v>1</v>
      </c>
      <c r="E93" s="387" t="e">
        <f>VLOOKUP(D93,Акт!$C$1:$I$30,6,FALSE)</f>
        <v>#N/A</v>
      </c>
      <c r="F93" s="388">
        <f>VLOOKUP("pH солевой вытяжки",Исх.данные!$C$427:$F$437,4,FALSE)</f>
        <v>6.2</v>
      </c>
      <c r="G93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3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3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3" s="388">
        <f>VLOOKUP("Никель",Исх.данные!$C$427:$F$437,4,FALSE)</f>
        <v>3.5</v>
      </c>
      <c r="K93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3" s="388" t="str">
        <f>VLOOKUP("Свинец",Исх.данные!$C$427:$F$437,4,FALSE)</f>
        <v>27</v>
      </c>
      <c r="M93" s="388" t="str">
        <f>VLOOKUP("Цинк",Исх.данные!$C$427:$F$437,4,FALSE)</f>
        <v>31</v>
      </c>
      <c r="N93" s="389" t="e">
        <f>VLOOKUP(D93,Акт!$C$1:$I$30,7,FALSE)</f>
        <v>#N/A</v>
      </c>
      <c r="O93" s="390">
        <f>VLOOKUP("pH солевой вытяжки",Исх.данные!$C$427:$F$437,4,FALSE)</f>
        <v>6.2</v>
      </c>
      <c r="P93" s="391"/>
      <c r="Q93" s="392">
        <f t="shared" si="95"/>
        <v>76</v>
      </c>
      <c r="R93" s="393"/>
      <c r="S93" s="385" t="str">
        <f t="shared" si="61"/>
        <v>1</v>
      </c>
      <c r="T93" s="394" t="e">
        <f t="shared" si="62"/>
        <v>#N/A</v>
      </c>
      <c r="U93" s="394" t="str">
        <f t="shared" si="63"/>
        <v>0,0051</v>
      </c>
      <c r="V93" s="395" t="str">
        <f t="shared" si="64"/>
        <v>нет</v>
      </c>
      <c r="W93" s="396" t="str">
        <f t="shared" si="65"/>
        <v>Д</v>
      </c>
      <c r="X93" s="397"/>
      <c r="Y93" s="392"/>
      <c r="Z93" s="392"/>
      <c r="AA93" s="388">
        <f>VLOOKUP("Бенз(а)пирен",Исх.данные!$C$427:$F$437,4,FALSE)</f>
        <v>5.0000000000000001E-3</v>
      </c>
      <c r="AB93" s="388" t="str">
        <f>VLOOKUP("Бенз(а)пирен",Исх.данные!$C$427:$H$437,6,FALSE)</f>
        <v>1</v>
      </c>
      <c r="AC93" s="392">
        <f t="shared" si="66"/>
        <v>76</v>
      </c>
      <c r="AD93" s="392"/>
      <c r="AE93" s="385" t="str">
        <f t="shared" si="67"/>
        <v>1</v>
      </c>
      <c r="AF93" s="394" t="e">
        <f t="shared" si="68"/>
        <v>#N/A</v>
      </c>
      <c r="AG93" s="394" t="str">
        <f t="shared" si="69"/>
        <v>502</v>
      </c>
      <c r="AH93" s="398" t="str">
        <f t="shared" si="70"/>
        <v>нет</v>
      </c>
      <c r="AI93" s="399" t="str">
        <f t="shared" si="71"/>
        <v>Допустимый</v>
      </c>
      <c r="AJ93" s="392"/>
      <c r="AK93" s="392"/>
      <c r="AL93" s="388">
        <f>VLOOKUP("Нефтепродукты",Исх.данные!$C$427:$F$437,4,FALSE)</f>
        <v>50</v>
      </c>
      <c r="AM93" s="388" t="str">
        <f>VLOOKUP("Нефтепродукты",Исх.данные!$C$427:$H$437,6,FALSE)</f>
        <v>2</v>
      </c>
      <c r="AN93" s="392"/>
      <c r="AO93" s="392">
        <f t="shared" si="72"/>
        <v>76</v>
      </c>
      <c r="AP93" s="392"/>
      <c r="AQ93" s="400" t="str">
        <f t="shared" si="73"/>
        <v>1</v>
      </c>
      <c r="AR93" s="391" t="e">
        <f t="shared" si="74"/>
        <v>#N/A</v>
      </c>
      <c r="AS93" s="398" t="str">
        <f t="shared" si="75"/>
        <v>ошибка</v>
      </c>
      <c r="AT93" s="398" t="str">
        <f t="shared" si="76"/>
        <v>ошибка</v>
      </c>
      <c r="AU93" s="401" t="str">
        <f t="shared" si="77"/>
        <v>ошибка</v>
      </c>
      <c r="AV93" s="398" t="str">
        <f t="shared" si="78"/>
        <v>ошибка</v>
      </c>
      <c r="AW93" s="398" t="str">
        <f t="shared" si="79"/>
        <v>нет</v>
      </c>
      <c r="AX93" s="398" t="str">
        <f t="shared" si="80"/>
        <v>ошибка</v>
      </c>
      <c r="AY93" s="402" t="str">
        <f t="shared" si="81"/>
        <v>ошибка</v>
      </c>
      <c r="AZ93" s="395">
        <f t="shared" si="82"/>
        <v>1.0384615384615385</v>
      </c>
      <c r="BA93" s="403" t="str">
        <f t="shared" si="83"/>
        <v>Д</v>
      </c>
      <c r="BB93" s="404"/>
      <c r="BC93" s="395">
        <f t="shared" si="84"/>
        <v>0.46666666666666673</v>
      </c>
      <c r="BD93" s="395">
        <f t="shared" si="85"/>
        <v>0.48148148148148145</v>
      </c>
      <c r="BE93" s="395">
        <f t="shared" si="86"/>
        <v>9.0909090909090912E-2</v>
      </c>
      <c r="BF93" s="395">
        <f t="shared" si="87"/>
        <v>0.17499999999999999</v>
      </c>
      <c r="BG93" s="395">
        <f t="shared" si="88"/>
        <v>6.4999999999999988E-2</v>
      </c>
      <c r="BH93" s="395">
        <f t="shared" si="89"/>
        <v>1.0384615384615385</v>
      </c>
      <c r="BI93" s="395">
        <f t="shared" si="90"/>
        <v>0.59615384615384615</v>
      </c>
      <c r="BJ93" s="404"/>
      <c r="BK93" s="395" t="e">
        <f t="shared" si="96"/>
        <v>#N/A</v>
      </c>
      <c r="BL93" s="395" t="e">
        <f t="shared" si="97"/>
        <v>#N/A</v>
      </c>
      <c r="BM93" s="395" t="e">
        <f t="shared" si="98"/>
        <v>#N/A</v>
      </c>
      <c r="BN93" s="395" t="e">
        <f t="shared" si="99"/>
        <v>#N/A</v>
      </c>
      <c r="BO93" s="395" t="e">
        <f t="shared" si="100"/>
        <v>#N/A</v>
      </c>
      <c r="BP93" s="395" t="e">
        <f t="shared" si="101"/>
        <v>#N/A</v>
      </c>
      <c r="BQ93" s="395" t="e">
        <f t="shared" si="102"/>
        <v>#N/A</v>
      </c>
      <c r="BR93" s="404"/>
      <c r="BS93" s="405">
        <f t="shared" si="91"/>
        <v>1.0384615384615385</v>
      </c>
      <c r="BT93" s="406" t="e">
        <f t="shared" si="92"/>
        <v>#N/A</v>
      </c>
      <c r="BU93" s="398">
        <f t="shared" si="93"/>
        <v>7.0321428571428584</v>
      </c>
      <c r="BV93" s="407">
        <f t="shared" si="94"/>
        <v>1.9666666666666668</v>
      </c>
    </row>
    <row r="94" spans="2:74" ht="16.5" thickBot="1" x14ac:dyDescent="0.3">
      <c r="C94" s="385">
        <f>IF(ISBLANK(D94),"",COUNTA($D$18:D94))</f>
        <v>77</v>
      </c>
      <c r="D94" s="386" t="str">
        <f>RIGHT(Исх.данные!A472,7)</f>
        <v/>
      </c>
      <c r="E94" s="387" t="e">
        <f>VLOOKUP(D94,Акт!$C$1:$I$30,6,FALSE)</f>
        <v>#N/A</v>
      </c>
      <c r="F94" s="388">
        <f>VLOOKUP("pH солевой вытяжки",Исх.данные!$C$427:$F$437,4,FALSE)</f>
        <v>6.2</v>
      </c>
      <c r="G94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4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4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4" s="388">
        <f>VLOOKUP("Никель",Исх.данные!$C$427:$F$437,4,FALSE)</f>
        <v>3.5</v>
      </c>
      <c r="K94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4" s="388" t="str">
        <f>VLOOKUP("Свинец",Исх.данные!$C$427:$F$437,4,FALSE)</f>
        <v>27</v>
      </c>
      <c r="M94" s="388" t="str">
        <f>VLOOKUP("Цинк",Исх.данные!$C$427:$F$437,4,FALSE)</f>
        <v>31</v>
      </c>
      <c r="N94" s="389" t="e">
        <f>VLOOKUP(D94,Акт!$C$1:$I$30,7,FALSE)</f>
        <v>#N/A</v>
      </c>
      <c r="O94" s="390">
        <f>VLOOKUP("pH солевой вытяжки",Исх.данные!$C$427:$F$437,4,FALSE)</f>
        <v>6.2</v>
      </c>
      <c r="P94" s="391"/>
      <c r="Q94" s="392">
        <f t="shared" si="95"/>
        <v>77</v>
      </c>
      <c r="R94" s="393"/>
      <c r="S94" s="385" t="str">
        <f t="shared" si="61"/>
        <v/>
      </c>
      <c r="T94" s="394" t="e">
        <f t="shared" si="62"/>
        <v>#N/A</v>
      </c>
      <c r="U94" s="394" t="str">
        <f t="shared" si="63"/>
        <v>0,0051</v>
      </c>
      <c r="V94" s="395" t="str">
        <f t="shared" si="64"/>
        <v>нет</v>
      </c>
      <c r="W94" s="396" t="str">
        <f t="shared" si="65"/>
        <v>Д</v>
      </c>
      <c r="X94" s="397"/>
      <c r="Y94" s="392"/>
      <c r="Z94" s="392"/>
      <c r="AA94" s="388">
        <f>VLOOKUP("Бенз(а)пирен",Исх.данные!$C$427:$F$437,4,FALSE)</f>
        <v>5.0000000000000001E-3</v>
      </c>
      <c r="AB94" s="388" t="str">
        <f>VLOOKUP("Бенз(а)пирен",Исх.данные!$C$427:$H$437,6,FALSE)</f>
        <v>1</v>
      </c>
      <c r="AC94" s="392">
        <f t="shared" si="66"/>
        <v>77</v>
      </c>
      <c r="AD94" s="392"/>
      <c r="AE94" s="385" t="str">
        <f t="shared" si="67"/>
        <v/>
      </c>
      <c r="AF94" s="394" t="e">
        <f t="shared" si="68"/>
        <v>#N/A</v>
      </c>
      <c r="AG94" s="394" t="str">
        <f t="shared" si="69"/>
        <v>502</v>
      </c>
      <c r="AH94" s="398" t="str">
        <f t="shared" si="70"/>
        <v>нет</v>
      </c>
      <c r="AI94" s="399" t="str">
        <f t="shared" si="71"/>
        <v>Допустимый</v>
      </c>
      <c r="AJ94" s="392"/>
      <c r="AK94" s="392"/>
      <c r="AL94" s="388">
        <f>VLOOKUP("Нефтепродукты",Исх.данные!$C$427:$F$437,4,FALSE)</f>
        <v>50</v>
      </c>
      <c r="AM94" s="388" t="str">
        <f>VLOOKUP("Нефтепродукты",Исх.данные!$C$427:$H$437,6,FALSE)</f>
        <v>2</v>
      </c>
      <c r="AN94" s="392"/>
      <c r="AO94" s="392">
        <f t="shared" si="72"/>
        <v>77</v>
      </c>
      <c r="AP94" s="392"/>
      <c r="AQ94" s="400" t="str">
        <f t="shared" si="73"/>
        <v/>
      </c>
      <c r="AR94" s="391" t="e">
        <f t="shared" si="74"/>
        <v>#N/A</v>
      </c>
      <c r="AS94" s="398" t="str">
        <f t="shared" si="75"/>
        <v>ошибка</v>
      </c>
      <c r="AT94" s="398" t="str">
        <f t="shared" si="76"/>
        <v>ошибка</v>
      </c>
      <c r="AU94" s="401" t="str">
        <f t="shared" si="77"/>
        <v>ошибка</v>
      </c>
      <c r="AV94" s="398" t="str">
        <f t="shared" si="78"/>
        <v>ошибка</v>
      </c>
      <c r="AW94" s="398" t="str">
        <f t="shared" si="79"/>
        <v>нет</v>
      </c>
      <c r="AX94" s="398" t="str">
        <f t="shared" si="80"/>
        <v>ошибка</v>
      </c>
      <c r="AY94" s="402" t="str">
        <f t="shared" si="81"/>
        <v>ошибка</v>
      </c>
      <c r="AZ94" s="395" t="str">
        <f t="shared" si="82"/>
        <v/>
      </c>
      <c r="BA94" s="403" t="str">
        <f t="shared" si="83"/>
        <v/>
      </c>
      <c r="BB94" s="404"/>
      <c r="BC94" s="395">
        <f t="shared" si="84"/>
        <v>0.46666666666666673</v>
      </c>
      <c r="BD94" s="395">
        <f t="shared" si="85"/>
        <v>0.48148148148148145</v>
      </c>
      <c r="BE94" s="395">
        <f t="shared" si="86"/>
        <v>9.0909090909090912E-2</v>
      </c>
      <c r="BF94" s="395">
        <f t="shared" si="87"/>
        <v>0.17499999999999999</v>
      </c>
      <c r="BG94" s="395">
        <f t="shared" si="88"/>
        <v>6.4999999999999988E-2</v>
      </c>
      <c r="BH94" s="395">
        <f t="shared" si="89"/>
        <v>1.0384615384615385</v>
      </c>
      <c r="BI94" s="395">
        <f t="shared" si="90"/>
        <v>0.59615384615384615</v>
      </c>
      <c r="BJ94" s="404"/>
      <c r="BK94" s="395" t="e">
        <f t="shared" si="96"/>
        <v>#N/A</v>
      </c>
      <c r="BL94" s="395" t="e">
        <f t="shared" si="97"/>
        <v>#N/A</v>
      </c>
      <c r="BM94" s="395" t="e">
        <f t="shared" si="98"/>
        <v>#N/A</v>
      </c>
      <c r="BN94" s="395" t="e">
        <f t="shared" si="99"/>
        <v>#N/A</v>
      </c>
      <c r="BO94" s="395" t="e">
        <f t="shared" si="100"/>
        <v>#N/A</v>
      </c>
      <c r="BP94" s="395" t="e">
        <f t="shared" si="101"/>
        <v>#N/A</v>
      </c>
      <c r="BQ94" s="395" t="e">
        <f t="shared" si="102"/>
        <v>#N/A</v>
      </c>
      <c r="BR94" s="404"/>
      <c r="BS94" s="405" t="str">
        <f t="shared" si="91"/>
        <v/>
      </c>
      <c r="BT94" s="406" t="str">
        <f t="shared" si="92"/>
        <v/>
      </c>
      <c r="BU94" s="398" t="str">
        <f t="shared" si="93"/>
        <v/>
      </c>
      <c r="BV94" s="407" t="str">
        <f t="shared" si="94"/>
        <v/>
      </c>
    </row>
    <row r="95" spans="2:74" ht="16.5" thickBot="1" x14ac:dyDescent="0.3">
      <c r="C95" s="385">
        <f>IF(ISBLANK(D95),"",COUNTA($D$18:D95))</f>
        <v>78</v>
      </c>
      <c r="D95" s="386" t="str">
        <f>RIGHT(Исх.данные!A473,7)</f>
        <v/>
      </c>
      <c r="E95" s="387" t="e">
        <f>VLOOKUP(D95,Акт!$C$1:$I$30,6,FALSE)</f>
        <v>#N/A</v>
      </c>
      <c r="F95" s="388">
        <f>VLOOKUP("pH солевой вытяжки",Исх.данные!$C$427:$F$437,4,FALSE)</f>
        <v>6.2</v>
      </c>
      <c r="G95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5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5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5" s="388">
        <f>VLOOKUP("Никель",Исх.данные!$C$427:$F$437,4,FALSE)</f>
        <v>3.5</v>
      </c>
      <c r="K95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5" s="388" t="str">
        <f>VLOOKUP("Свинец",Исх.данные!$C$427:$F$437,4,FALSE)</f>
        <v>27</v>
      </c>
      <c r="M95" s="388" t="str">
        <f>VLOOKUP("Цинк",Исх.данные!$C$427:$F$437,4,FALSE)</f>
        <v>31</v>
      </c>
      <c r="N95" s="389" t="e">
        <f>VLOOKUP(D95,Акт!$C$1:$I$30,7,FALSE)</f>
        <v>#N/A</v>
      </c>
      <c r="O95" s="390">
        <f>VLOOKUP("pH солевой вытяжки",Исх.данные!$C$427:$F$437,4,FALSE)</f>
        <v>6.2</v>
      </c>
      <c r="P95" s="391"/>
      <c r="Q95" s="392">
        <f t="shared" si="95"/>
        <v>78</v>
      </c>
      <c r="R95" s="393"/>
      <c r="S95" s="385" t="str">
        <f t="shared" si="61"/>
        <v/>
      </c>
      <c r="T95" s="394" t="e">
        <f t="shared" si="62"/>
        <v>#N/A</v>
      </c>
      <c r="U95" s="394" t="str">
        <f t="shared" si="63"/>
        <v>0,0051</v>
      </c>
      <c r="V95" s="395" t="str">
        <f t="shared" si="64"/>
        <v>нет</v>
      </c>
      <c r="W95" s="396" t="str">
        <f t="shared" si="65"/>
        <v>Д</v>
      </c>
      <c r="X95" s="397"/>
      <c r="Y95" s="392"/>
      <c r="Z95" s="392"/>
      <c r="AA95" s="388">
        <f>VLOOKUP("Бенз(а)пирен",Исх.данные!$C$427:$F$437,4,FALSE)</f>
        <v>5.0000000000000001E-3</v>
      </c>
      <c r="AB95" s="388" t="str">
        <f>VLOOKUP("Бенз(а)пирен",Исх.данные!$C$427:$H$437,6,FALSE)</f>
        <v>1</v>
      </c>
      <c r="AC95" s="392">
        <f t="shared" si="66"/>
        <v>78</v>
      </c>
      <c r="AD95" s="392"/>
      <c r="AE95" s="385" t="str">
        <f t="shared" si="67"/>
        <v/>
      </c>
      <c r="AF95" s="394" t="e">
        <f t="shared" si="68"/>
        <v>#N/A</v>
      </c>
      <c r="AG95" s="394" t="str">
        <f t="shared" si="69"/>
        <v>502</v>
      </c>
      <c r="AH95" s="398" t="str">
        <f t="shared" si="70"/>
        <v>нет</v>
      </c>
      <c r="AI95" s="399" t="str">
        <f t="shared" si="71"/>
        <v>Допустимый</v>
      </c>
      <c r="AJ95" s="392"/>
      <c r="AK95" s="392"/>
      <c r="AL95" s="388">
        <f>VLOOKUP("Нефтепродукты",Исх.данные!$C$427:$F$437,4,FALSE)</f>
        <v>50</v>
      </c>
      <c r="AM95" s="388" t="str">
        <f>VLOOKUP("Нефтепродукты",Исх.данные!$C$427:$H$437,6,FALSE)</f>
        <v>2</v>
      </c>
      <c r="AN95" s="392"/>
      <c r="AO95" s="392">
        <f t="shared" si="72"/>
        <v>78</v>
      </c>
      <c r="AP95" s="392"/>
      <c r="AQ95" s="400" t="str">
        <f t="shared" si="73"/>
        <v/>
      </c>
      <c r="AR95" s="391" t="e">
        <f t="shared" si="74"/>
        <v>#N/A</v>
      </c>
      <c r="AS95" s="398" t="str">
        <f t="shared" si="75"/>
        <v>ошибка</v>
      </c>
      <c r="AT95" s="398" t="str">
        <f t="shared" si="76"/>
        <v>ошибка</v>
      </c>
      <c r="AU95" s="401" t="str">
        <f t="shared" si="77"/>
        <v>ошибка</v>
      </c>
      <c r="AV95" s="398" t="str">
        <f t="shared" si="78"/>
        <v>ошибка</v>
      </c>
      <c r="AW95" s="398" t="str">
        <f t="shared" si="79"/>
        <v>нет</v>
      </c>
      <c r="AX95" s="398" t="str">
        <f t="shared" si="80"/>
        <v>ошибка</v>
      </c>
      <c r="AY95" s="402" t="str">
        <f t="shared" si="81"/>
        <v>ошибка</v>
      </c>
      <c r="AZ95" s="395" t="str">
        <f t="shared" si="82"/>
        <v/>
      </c>
      <c r="BA95" s="403" t="str">
        <f t="shared" si="83"/>
        <v/>
      </c>
      <c r="BB95" s="404"/>
      <c r="BC95" s="395">
        <f t="shared" si="84"/>
        <v>0.46666666666666673</v>
      </c>
      <c r="BD95" s="395">
        <f t="shared" si="85"/>
        <v>0.48148148148148145</v>
      </c>
      <c r="BE95" s="395">
        <f t="shared" si="86"/>
        <v>9.0909090909090912E-2</v>
      </c>
      <c r="BF95" s="395">
        <f t="shared" si="87"/>
        <v>0.17499999999999999</v>
      </c>
      <c r="BG95" s="395">
        <f t="shared" si="88"/>
        <v>6.4999999999999988E-2</v>
      </c>
      <c r="BH95" s="395">
        <f t="shared" si="89"/>
        <v>1.0384615384615385</v>
      </c>
      <c r="BI95" s="395">
        <f t="shared" si="90"/>
        <v>0.59615384615384615</v>
      </c>
      <c r="BJ95" s="404"/>
      <c r="BK95" s="395" t="e">
        <f t="shared" si="96"/>
        <v>#N/A</v>
      </c>
      <c r="BL95" s="395" t="e">
        <f t="shared" si="97"/>
        <v>#N/A</v>
      </c>
      <c r="BM95" s="395" t="e">
        <f t="shared" si="98"/>
        <v>#N/A</v>
      </c>
      <c r="BN95" s="395" t="e">
        <f t="shared" si="99"/>
        <v>#N/A</v>
      </c>
      <c r="BO95" s="395" t="e">
        <f t="shared" si="100"/>
        <v>#N/A</v>
      </c>
      <c r="BP95" s="395" t="e">
        <f t="shared" si="101"/>
        <v>#N/A</v>
      </c>
      <c r="BQ95" s="395" t="e">
        <f t="shared" si="102"/>
        <v>#N/A</v>
      </c>
      <c r="BR95" s="404"/>
      <c r="BS95" s="405" t="str">
        <f t="shared" si="91"/>
        <v/>
      </c>
      <c r="BT95" s="406" t="str">
        <f t="shared" si="92"/>
        <v/>
      </c>
      <c r="BU95" s="398" t="str">
        <f t="shared" si="93"/>
        <v/>
      </c>
      <c r="BV95" s="407" t="str">
        <f t="shared" si="94"/>
        <v/>
      </c>
    </row>
    <row r="96" spans="2:74" ht="16.5" thickBot="1" x14ac:dyDescent="0.3">
      <c r="C96" s="385">
        <f>IF(ISBLANK(D96),"",COUNTA($D$18:D96))</f>
        <v>79</v>
      </c>
      <c r="D96" s="386" t="str">
        <f>RIGHT(Исх.данные!A474,7)</f>
        <v/>
      </c>
      <c r="E96" s="387" t="e">
        <f>VLOOKUP(D96,Акт!$C$1:$I$30,6,FALSE)</f>
        <v>#N/A</v>
      </c>
      <c r="F96" s="388">
        <f>VLOOKUP("pH солевой вытяжки",Исх.данные!$C$427:$F$437,4,FALSE)</f>
        <v>6.2</v>
      </c>
      <c r="G96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6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6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6" s="388">
        <f>VLOOKUP("Никель",Исх.данные!$C$427:$F$437,4,FALSE)</f>
        <v>3.5</v>
      </c>
      <c r="K96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6" s="388" t="str">
        <f>VLOOKUP("Свинец",Исх.данные!$C$427:$F$437,4,FALSE)</f>
        <v>27</v>
      </c>
      <c r="M96" s="388" t="str">
        <f>VLOOKUP("Цинк",Исх.данные!$C$427:$F$437,4,FALSE)</f>
        <v>31</v>
      </c>
      <c r="N96" s="389" t="e">
        <f>VLOOKUP(D96,Акт!$C$1:$I$30,7,FALSE)</f>
        <v>#N/A</v>
      </c>
      <c r="O96" s="390">
        <f>VLOOKUP("pH солевой вытяжки",Исх.данные!$C$427:$F$437,4,FALSE)</f>
        <v>6.2</v>
      </c>
      <c r="P96" s="391"/>
      <c r="Q96" s="392">
        <f t="shared" si="95"/>
        <v>79</v>
      </c>
      <c r="R96" s="393"/>
      <c r="S96" s="385" t="str">
        <f t="shared" si="61"/>
        <v/>
      </c>
      <c r="T96" s="394" t="e">
        <f t="shared" si="62"/>
        <v>#N/A</v>
      </c>
      <c r="U96" s="394" t="str">
        <f t="shared" si="63"/>
        <v>0,0051</v>
      </c>
      <c r="V96" s="395" t="str">
        <f t="shared" si="64"/>
        <v>нет</v>
      </c>
      <c r="W96" s="396" t="str">
        <f t="shared" si="65"/>
        <v>Д</v>
      </c>
      <c r="X96" s="397"/>
      <c r="Y96" s="392"/>
      <c r="Z96" s="392"/>
      <c r="AA96" s="388">
        <f>VLOOKUP("Бенз(а)пирен",Исх.данные!$C$427:$F$437,4,FALSE)</f>
        <v>5.0000000000000001E-3</v>
      </c>
      <c r="AB96" s="388" t="str">
        <f>VLOOKUP("Бенз(а)пирен",Исх.данные!$C$427:$H$437,6,FALSE)</f>
        <v>1</v>
      </c>
      <c r="AC96" s="392">
        <f t="shared" si="66"/>
        <v>79</v>
      </c>
      <c r="AD96" s="392"/>
      <c r="AE96" s="385" t="str">
        <f t="shared" si="67"/>
        <v/>
      </c>
      <c r="AF96" s="394" t="e">
        <f t="shared" si="68"/>
        <v>#N/A</v>
      </c>
      <c r="AG96" s="394" t="str">
        <f t="shared" si="69"/>
        <v>502</v>
      </c>
      <c r="AH96" s="398" t="str">
        <f t="shared" si="70"/>
        <v>нет</v>
      </c>
      <c r="AI96" s="399" t="str">
        <f t="shared" si="71"/>
        <v>Допустимый</v>
      </c>
      <c r="AJ96" s="392"/>
      <c r="AK96" s="392"/>
      <c r="AL96" s="388">
        <f>VLOOKUP("Нефтепродукты",Исх.данные!$C$427:$F$437,4,FALSE)</f>
        <v>50</v>
      </c>
      <c r="AM96" s="388" t="str">
        <f>VLOOKUP("Нефтепродукты",Исх.данные!$C$427:$H$437,6,FALSE)</f>
        <v>2</v>
      </c>
      <c r="AN96" s="392"/>
      <c r="AO96" s="392">
        <f t="shared" si="72"/>
        <v>79</v>
      </c>
      <c r="AP96" s="392"/>
      <c r="AQ96" s="400" t="str">
        <f t="shared" si="73"/>
        <v/>
      </c>
      <c r="AR96" s="391" t="e">
        <f t="shared" si="74"/>
        <v>#N/A</v>
      </c>
      <c r="AS96" s="398" t="str">
        <f t="shared" si="75"/>
        <v>ошибка</v>
      </c>
      <c r="AT96" s="398" t="str">
        <f t="shared" si="76"/>
        <v>ошибка</v>
      </c>
      <c r="AU96" s="401" t="str">
        <f t="shared" si="77"/>
        <v>ошибка</v>
      </c>
      <c r="AV96" s="398" t="str">
        <f t="shared" si="78"/>
        <v>ошибка</v>
      </c>
      <c r="AW96" s="398" t="str">
        <f t="shared" si="79"/>
        <v>нет</v>
      </c>
      <c r="AX96" s="398" t="str">
        <f t="shared" si="80"/>
        <v>ошибка</v>
      </c>
      <c r="AY96" s="402" t="str">
        <f t="shared" si="81"/>
        <v>ошибка</v>
      </c>
      <c r="AZ96" s="395" t="str">
        <f t="shared" si="82"/>
        <v/>
      </c>
      <c r="BA96" s="403" t="str">
        <f t="shared" si="83"/>
        <v/>
      </c>
      <c r="BB96" s="404"/>
      <c r="BC96" s="395">
        <f t="shared" si="84"/>
        <v>0.46666666666666673</v>
      </c>
      <c r="BD96" s="395">
        <f t="shared" si="85"/>
        <v>0.48148148148148145</v>
      </c>
      <c r="BE96" s="395">
        <f t="shared" si="86"/>
        <v>9.0909090909090912E-2</v>
      </c>
      <c r="BF96" s="395">
        <f t="shared" si="87"/>
        <v>0.17499999999999999</v>
      </c>
      <c r="BG96" s="395">
        <f t="shared" si="88"/>
        <v>6.4999999999999988E-2</v>
      </c>
      <c r="BH96" s="395">
        <f t="shared" si="89"/>
        <v>1.0384615384615385</v>
      </c>
      <c r="BI96" s="395">
        <f t="shared" si="90"/>
        <v>0.59615384615384615</v>
      </c>
      <c r="BJ96" s="404"/>
      <c r="BK96" s="395" t="e">
        <f t="shared" si="96"/>
        <v>#N/A</v>
      </c>
      <c r="BL96" s="395" t="e">
        <f t="shared" si="97"/>
        <v>#N/A</v>
      </c>
      <c r="BM96" s="395" t="e">
        <f t="shared" si="98"/>
        <v>#N/A</v>
      </c>
      <c r="BN96" s="395" t="e">
        <f t="shared" si="99"/>
        <v>#N/A</v>
      </c>
      <c r="BO96" s="395" t="e">
        <f t="shared" si="100"/>
        <v>#N/A</v>
      </c>
      <c r="BP96" s="395" t="e">
        <f t="shared" si="101"/>
        <v>#N/A</v>
      </c>
      <c r="BQ96" s="395" t="e">
        <f t="shared" si="102"/>
        <v>#N/A</v>
      </c>
      <c r="BR96" s="404"/>
      <c r="BS96" s="405" t="str">
        <f t="shared" si="91"/>
        <v/>
      </c>
      <c r="BT96" s="406" t="str">
        <f t="shared" si="92"/>
        <v/>
      </c>
      <c r="BU96" s="398" t="str">
        <f t="shared" si="93"/>
        <v/>
      </c>
      <c r="BV96" s="407" t="str">
        <f t="shared" si="94"/>
        <v/>
      </c>
    </row>
    <row r="97" spans="3:74" ht="16.5" thickBot="1" x14ac:dyDescent="0.3">
      <c r="C97" s="385">
        <f>IF(ISBLANK(D97),"",COUNTA($D$18:D97))</f>
        <v>80</v>
      </c>
      <c r="D97" s="386" t="str">
        <f>RIGHT(Исх.данные!A475,7)</f>
        <v/>
      </c>
      <c r="E97" s="387" t="e">
        <f>VLOOKUP(D97,Акт!$C$1:$I$30,6,FALSE)</f>
        <v>#N/A</v>
      </c>
      <c r="F97" s="388">
        <f>VLOOKUP("pH солевой вытяжки",Исх.данные!$C$427:$F$437,4,FALSE)</f>
        <v>6.2</v>
      </c>
      <c r="G97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7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7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7" s="388">
        <f>VLOOKUP("Никель",Исх.данные!$C$427:$F$437,4,FALSE)</f>
        <v>3.5</v>
      </c>
      <c r="K97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7" s="388" t="str">
        <f>VLOOKUP("Свинец",Исх.данные!$C$427:$F$437,4,FALSE)</f>
        <v>27</v>
      </c>
      <c r="M97" s="388" t="str">
        <f>VLOOKUP("Цинк",Исх.данные!$C$427:$F$437,4,FALSE)</f>
        <v>31</v>
      </c>
      <c r="N97" s="389" t="e">
        <f>VLOOKUP(D97,Акт!$C$1:$I$30,7,FALSE)</f>
        <v>#N/A</v>
      </c>
      <c r="O97" s="390">
        <f>VLOOKUP("pH солевой вытяжки",Исх.данные!$C$427:$F$437,4,FALSE)</f>
        <v>6.2</v>
      </c>
      <c r="P97" s="391"/>
      <c r="Q97" s="392">
        <f t="shared" si="95"/>
        <v>80</v>
      </c>
      <c r="R97" s="393"/>
      <c r="S97" s="385" t="str">
        <f t="shared" si="61"/>
        <v/>
      </c>
      <c r="T97" s="394" t="e">
        <f t="shared" si="62"/>
        <v>#N/A</v>
      </c>
      <c r="U97" s="394" t="str">
        <f t="shared" si="63"/>
        <v>0,0051</v>
      </c>
      <c r="V97" s="395" t="str">
        <f t="shared" si="64"/>
        <v>нет</v>
      </c>
      <c r="W97" s="396" t="str">
        <f t="shared" si="65"/>
        <v>Д</v>
      </c>
      <c r="X97" s="397"/>
      <c r="Y97" s="392"/>
      <c r="Z97" s="392"/>
      <c r="AA97" s="388">
        <f>VLOOKUP("Бенз(а)пирен",Исх.данные!$C$427:$F$437,4,FALSE)</f>
        <v>5.0000000000000001E-3</v>
      </c>
      <c r="AB97" s="388" t="str">
        <f>VLOOKUP("Бенз(а)пирен",Исх.данные!$C$427:$H$437,6,FALSE)</f>
        <v>1</v>
      </c>
      <c r="AC97" s="392">
        <f t="shared" si="66"/>
        <v>80</v>
      </c>
      <c r="AD97" s="392"/>
      <c r="AE97" s="385" t="str">
        <f t="shared" si="67"/>
        <v/>
      </c>
      <c r="AF97" s="394" t="e">
        <f t="shared" si="68"/>
        <v>#N/A</v>
      </c>
      <c r="AG97" s="394" t="str">
        <f t="shared" si="69"/>
        <v>502</v>
      </c>
      <c r="AH97" s="398" t="str">
        <f t="shared" si="70"/>
        <v>нет</v>
      </c>
      <c r="AI97" s="399" t="str">
        <f t="shared" si="71"/>
        <v>Допустимый</v>
      </c>
      <c r="AJ97" s="392"/>
      <c r="AK97" s="392"/>
      <c r="AL97" s="388">
        <f>VLOOKUP("Нефтепродукты",Исх.данные!$C$427:$F$437,4,FALSE)</f>
        <v>50</v>
      </c>
      <c r="AM97" s="388" t="str">
        <f>VLOOKUP("Нефтепродукты",Исх.данные!$C$427:$H$437,6,FALSE)</f>
        <v>2</v>
      </c>
      <c r="AN97" s="392"/>
      <c r="AO97" s="392">
        <f t="shared" si="72"/>
        <v>80</v>
      </c>
      <c r="AP97" s="392"/>
      <c r="AQ97" s="400" t="str">
        <f t="shared" si="73"/>
        <v/>
      </c>
      <c r="AR97" s="391" t="e">
        <f t="shared" si="74"/>
        <v>#N/A</v>
      </c>
      <c r="AS97" s="398" t="str">
        <f t="shared" si="75"/>
        <v>ошибка</v>
      </c>
      <c r="AT97" s="398" t="str">
        <f t="shared" si="76"/>
        <v>ошибка</v>
      </c>
      <c r="AU97" s="401" t="str">
        <f t="shared" si="77"/>
        <v>ошибка</v>
      </c>
      <c r="AV97" s="398" t="str">
        <f t="shared" si="78"/>
        <v>ошибка</v>
      </c>
      <c r="AW97" s="398" t="str">
        <f t="shared" si="79"/>
        <v>нет</v>
      </c>
      <c r="AX97" s="398" t="str">
        <f t="shared" si="80"/>
        <v>ошибка</v>
      </c>
      <c r="AY97" s="402" t="str">
        <f t="shared" si="81"/>
        <v>ошибка</v>
      </c>
      <c r="AZ97" s="395" t="str">
        <f t="shared" si="82"/>
        <v/>
      </c>
      <c r="BA97" s="403" t="str">
        <f t="shared" si="83"/>
        <v/>
      </c>
      <c r="BB97" s="404"/>
      <c r="BC97" s="395">
        <f t="shared" si="84"/>
        <v>0.46666666666666673</v>
      </c>
      <c r="BD97" s="395">
        <f t="shared" si="85"/>
        <v>0.48148148148148145</v>
      </c>
      <c r="BE97" s="395">
        <f t="shared" si="86"/>
        <v>9.0909090909090912E-2</v>
      </c>
      <c r="BF97" s="395">
        <f t="shared" si="87"/>
        <v>0.17499999999999999</v>
      </c>
      <c r="BG97" s="395">
        <f t="shared" si="88"/>
        <v>6.4999999999999988E-2</v>
      </c>
      <c r="BH97" s="395">
        <f t="shared" si="89"/>
        <v>1.0384615384615385</v>
      </c>
      <c r="BI97" s="395">
        <f t="shared" si="90"/>
        <v>0.59615384615384615</v>
      </c>
      <c r="BJ97" s="404"/>
      <c r="BK97" s="395" t="e">
        <f t="shared" si="96"/>
        <v>#N/A</v>
      </c>
      <c r="BL97" s="395" t="e">
        <f t="shared" si="97"/>
        <v>#N/A</v>
      </c>
      <c r="BM97" s="395" t="e">
        <f t="shared" si="98"/>
        <v>#N/A</v>
      </c>
      <c r="BN97" s="395" t="e">
        <f t="shared" si="99"/>
        <v>#N/A</v>
      </c>
      <c r="BO97" s="395" t="e">
        <f t="shared" si="100"/>
        <v>#N/A</v>
      </c>
      <c r="BP97" s="395" t="e">
        <f t="shared" si="101"/>
        <v>#N/A</v>
      </c>
      <c r="BQ97" s="395" t="e">
        <f t="shared" si="102"/>
        <v>#N/A</v>
      </c>
      <c r="BR97" s="404"/>
      <c r="BS97" s="405" t="str">
        <f t="shared" si="91"/>
        <v/>
      </c>
      <c r="BT97" s="406" t="str">
        <f t="shared" si="92"/>
        <v/>
      </c>
      <c r="BU97" s="398" t="str">
        <f t="shared" si="93"/>
        <v/>
      </c>
      <c r="BV97" s="407" t="str">
        <f t="shared" si="94"/>
        <v/>
      </c>
    </row>
    <row r="98" spans="3:74" ht="16.5" thickBot="1" x14ac:dyDescent="0.3">
      <c r="C98" s="385">
        <f>IF(ISBLANK(D98),"",COUNTA($D$18:D98))</f>
        <v>81</v>
      </c>
      <c r="D98" s="386" t="str">
        <f>RIGHT(Исх.данные!A476,7)</f>
        <v/>
      </c>
      <c r="E98" s="387" t="e">
        <f>VLOOKUP(D98,Акт!$C$1:$I$30,6,FALSE)</f>
        <v>#N/A</v>
      </c>
      <c r="F98" s="388">
        <f>VLOOKUP("pH солевой вытяжки",Исх.данные!$C$427:$F$437,4,FALSE)</f>
        <v>6.2</v>
      </c>
      <c r="G98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8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8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8" s="388">
        <f>VLOOKUP("Никель",Исх.данные!$C$427:$F$437,4,FALSE)</f>
        <v>3.5</v>
      </c>
      <c r="K98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8" s="388" t="str">
        <f>VLOOKUP("Свинец",Исх.данные!$C$427:$F$437,4,FALSE)</f>
        <v>27</v>
      </c>
      <c r="M98" s="388" t="str">
        <f>VLOOKUP("Цинк",Исх.данные!$C$427:$F$437,4,FALSE)</f>
        <v>31</v>
      </c>
      <c r="N98" s="389" t="e">
        <f>VLOOKUP(D98,Акт!$C$1:$I$30,7,FALSE)</f>
        <v>#N/A</v>
      </c>
      <c r="O98" s="390">
        <f>VLOOKUP("pH солевой вытяжки",Исх.данные!$C$427:$F$437,4,FALSE)</f>
        <v>6.2</v>
      </c>
      <c r="P98" s="391"/>
      <c r="Q98" s="392">
        <f t="shared" si="95"/>
        <v>81</v>
      </c>
      <c r="R98" s="393"/>
      <c r="S98" s="385" t="str">
        <f t="shared" si="61"/>
        <v/>
      </c>
      <c r="T98" s="394" t="e">
        <f t="shared" si="62"/>
        <v>#N/A</v>
      </c>
      <c r="U98" s="394" t="str">
        <f t="shared" si="63"/>
        <v>0,0051</v>
      </c>
      <c r="V98" s="395" t="str">
        <f t="shared" si="64"/>
        <v>нет</v>
      </c>
      <c r="W98" s="396" t="str">
        <f t="shared" si="65"/>
        <v>Д</v>
      </c>
      <c r="X98" s="397"/>
      <c r="Y98" s="392"/>
      <c r="Z98" s="392"/>
      <c r="AA98" s="388">
        <f>VLOOKUP("Бенз(а)пирен",Исх.данные!$C$427:$F$437,4,FALSE)</f>
        <v>5.0000000000000001E-3</v>
      </c>
      <c r="AB98" s="388" t="str">
        <f>VLOOKUP("Бенз(а)пирен",Исх.данные!$C$427:$H$437,6,FALSE)</f>
        <v>1</v>
      </c>
      <c r="AC98" s="392">
        <f t="shared" si="66"/>
        <v>81</v>
      </c>
      <c r="AD98" s="392"/>
      <c r="AE98" s="385" t="str">
        <f t="shared" si="67"/>
        <v/>
      </c>
      <c r="AF98" s="394" t="e">
        <f t="shared" si="68"/>
        <v>#N/A</v>
      </c>
      <c r="AG98" s="394" t="str">
        <f t="shared" si="69"/>
        <v>502</v>
      </c>
      <c r="AH98" s="398" t="str">
        <f t="shared" si="70"/>
        <v>нет</v>
      </c>
      <c r="AI98" s="399" t="str">
        <f t="shared" si="71"/>
        <v>Допустимый</v>
      </c>
      <c r="AJ98" s="392"/>
      <c r="AK98" s="392"/>
      <c r="AL98" s="388">
        <f>VLOOKUP("Нефтепродукты",Исх.данные!$C$427:$F$437,4,FALSE)</f>
        <v>50</v>
      </c>
      <c r="AM98" s="388" t="str">
        <f>VLOOKUP("Нефтепродукты",Исх.данные!$C$427:$H$437,6,FALSE)</f>
        <v>2</v>
      </c>
      <c r="AN98" s="392"/>
      <c r="AO98" s="392">
        <f t="shared" si="72"/>
        <v>81</v>
      </c>
      <c r="AP98" s="392"/>
      <c r="AQ98" s="400" t="str">
        <f t="shared" si="73"/>
        <v/>
      </c>
      <c r="AR98" s="391" t="e">
        <f t="shared" si="74"/>
        <v>#N/A</v>
      </c>
      <c r="AS98" s="398" t="str">
        <f t="shared" si="75"/>
        <v>ошибка</v>
      </c>
      <c r="AT98" s="398" t="str">
        <f t="shared" si="76"/>
        <v>ошибка</v>
      </c>
      <c r="AU98" s="401" t="str">
        <f t="shared" si="77"/>
        <v>ошибка</v>
      </c>
      <c r="AV98" s="398" t="str">
        <f t="shared" si="78"/>
        <v>ошибка</v>
      </c>
      <c r="AW98" s="398" t="str">
        <f t="shared" si="79"/>
        <v>нет</v>
      </c>
      <c r="AX98" s="398" t="str">
        <f t="shared" si="80"/>
        <v>ошибка</v>
      </c>
      <c r="AY98" s="402" t="str">
        <f t="shared" si="81"/>
        <v>ошибка</v>
      </c>
      <c r="AZ98" s="395" t="str">
        <f t="shared" si="82"/>
        <v/>
      </c>
      <c r="BA98" s="403" t="str">
        <f t="shared" si="83"/>
        <v/>
      </c>
      <c r="BB98" s="404"/>
      <c r="BC98" s="395">
        <f t="shared" si="84"/>
        <v>0.46666666666666673</v>
      </c>
      <c r="BD98" s="395">
        <f t="shared" si="85"/>
        <v>0.48148148148148145</v>
      </c>
      <c r="BE98" s="395">
        <f t="shared" si="86"/>
        <v>9.0909090909090912E-2</v>
      </c>
      <c r="BF98" s="395">
        <f t="shared" si="87"/>
        <v>0.17499999999999999</v>
      </c>
      <c r="BG98" s="395">
        <f t="shared" si="88"/>
        <v>6.4999999999999988E-2</v>
      </c>
      <c r="BH98" s="395">
        <f t="shared" si="89"/>
        <v>1.0384615384615385</v>
      </c>
      <c r="BI98" s="395">
        <f t="shared" si="90"/>
        <v>0.59615384615384615</v>
      </c>
      <c r="BJ98" s="404"/>
      <c r="BK98" s="395" t="e">
        <f t="shared" si="96"/>
        <v>#N/A</v>
      </c>
      <c r="BL98" s="395" t="e">
        <f t="shared" si="97"/>
        <v>#N/A</v>
      </c>
      <c r="BM98" s="395" t="e">
        <f t="shared" si="98"/>
        <v>#N/A</v>
      </c>
      <c r="BN98" s="395" t="e">
        <f t="shared" si="99"/>
        <v>#N/A</v>
      </c>
      <c r="BO98" s="395" t="e">
        <f t="shared" si="100"/>
        <v>#N/A</v>
      </c>
      <c r="BP98" s="395" t="e">
        <f t="shared" si="101"/>
        <v>#N/A</v>
      </c>
      <c r="BQ98" s="395" t="e">
        <f t="shared" si="102"/>
        <v>#N/A</v>
      </c>
      <c r="BR98" s="404"/>
      <c r="BS98" s="405" t="str">
        <f t="shared" si="91"/>
        <v/>
      </c>
      <c r="BT98" s="406" t="str">
        <f t="shared" si="92"/>
        <v/>
      </c>
      <c r="BU98" s="398" t="str">
        <f t="shared" si="93"/>
        <v/>
      </c>
      <c r="BV98" s="407" t="str">
        <f t="shared" si="94"/>
        <v/>
      </c>
    </row>
    <row r="99" spans="3:74" ht="16.5" thickBot="1" x14ac:dyDescent="0.3">
      <c r="C99" s="385">
        <f>IF(ISBLANK(D99),"",COUNTA($D$18:D99))</f>
        <v>82</v>
      </c>
      <c r="D99" s="386" t="str">
        <f>RIGHT(Исх.данные!A477,7)</f>
        <v/>
      </c>
      <c r="E99" s="387" t="e">
        <f>VLOOKUP(D99,Акт!$C$1:$I$30,6,FALSE)</f>
        <v>#N/A</v>
      </c>
      <c r="F99" s="388">
        <f>VLOOKUP("pH солевой вытяжки",Исх.данные!$C$427:$F$437,4,FALSE)</f>
        <v>6.2</v>
      </c>
      <c r="G99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99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99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99" s="388">
        <f>VLOOKUP("Никель",Исх.данные!$C$427:$F$437,4,FALSE)</f>
        <v>3.5</v>
      </c>
      <c r="K99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99" s="388" t="str">
        <f>VLOOKUP("Свинец",Исх.данные!$C$427:$F$437,4,FALSE)</f>
        <v>27</v>
      </c>
      <c r="M99" s="388" t="str">
        <f>VLOOKUP("Цинк",Исх.данные!$C$427:$F$437,4,FALSE)</f>
        <v>31</v>
      </c>
      <c r="N99" s="389" t="e">
        <f>VLOOKUP(D99,Акт!$C$1:$I$30,7,FALSE)</f>
        <v>#N/A</v>
      </c>
      <c r="O99" s="390">
        <f>VLOOKUP("pH солевой вытяжки",Исх.данные!$C$427:$F$437,4,FALSE)</f>
        <v>6.2</v>
      </c>
      <c r="P99" s="391"/>
      <c r="Q99" s="392">
        <f t="shared" si="95"/>
        <v>82</v>
      </c>
      <c r="R99" s="393"/>
      <c r="S99" s="385" t="str">
        <f t="shared" si="61"/>
        <v/>
      </c>
      <c r="T99" s="394" t="e">
        <f t="shared" si="62"/>
        <v>#N/A</v>
      </c>
      <c r="U99" s="394" t="str">
        <f t="shared" si="63"/>
        <v>0,0051</v>
      </c>
      <c r="V99" s="395" t="str">
        <f t="shared" si="64"/>
        <v>нет</v>
      </c>
      <c r="W99" s="396" t="str">
        <f t="shared" si="65"/>
        <v>Д</v>
      </c>
      <c r="X99" s="397"/>
      <c r="Y99" s="392"/>
      <c r="Z99" s="392"/>
      <c r="AA99" s="388">
        <f>VLOOKUP("Бенз(а)пирен",Исх.данные!$C$427:$F$437,4,FALSE)</f>
        <v>5.0000000000000001E-3</v>
      </c>
      <c r="AB99" s="388" t="str">
        <f>VLOOKUP("Бенз(а)пирен",Исх.данные!$C$427:$H$437,6,FALSE)</f>
        <v>1</v>
      </c>
      <c r="AC99" s="392">
        <f t="shared" si="66"/>
        <v>82</v>
      </c>
      <c r="AD99" s="392"/>
      <c r="AE99" s="385" t="str">
        <f t="shared" si="67"/>
        <v/>
      </c>
      <c r="AF99" s="394" t="e">
        <f t="shared" si="68"/>
        <v>#N/A</v>
      </c>
      <c r="AG99" s="394" t="str">
        <f t="shared" si="69"/>
        <v>502</v>
      </c>
      <c r="AH99" s="398" t="str">
        <f t="shared" si="70"/>
        <v>нет</v>
      </c>
      <c r="AI99" s="399" t="str">
        <f t="shared" si="71"/>
        <v>Допустимый</v>
      </c>
      <c r="AJ99" s="392"/>
      <c r="AK99" s="392"/>
      <c r="AL99" s="388">
        <f>VLOOKUP("Нефтепродукты",Исх.данные!$C$427:$F$437,4,FALSE)</f>
        <v>50</v>
      </c>
      <c r="AM99" s="388" t="str">
        <f>VLOOKUP("Нефтепродукты",Исх.данные!$C$427:$H$437,6,FALSE)</f>
        <v>2</v>
      </c>
      <c r="AN99" s="392"/>
      <c r="AO99" s="392">
        <f t="shared" si="72"/>
        <v>82</v>
      </c>
      <c r="AP99" s="392"/>
      <c r="AQ99" s="400" t="str">
        <f t="shared" si="73"/>
        <v/>
      </c>
      <c r="AR99" s="391" t="e">
        <f t="shared" si="74"/>
        <v>#N/A</v>
      </c>
      <c r="AS99" s="398" t="str">
        <f t="shared" si="75"/>
        <v>ошибка</v>
      </c>
      <c r="AT99" s="398" t="str">
        <f t="shared" si="76"/>
        <v>ошибка</v>
      </c>
      <c r="AU99" s="401" t="str">
        <f t="shared" si="77"/>
        <v>ошибка</v>
      </c>
      <c r="AV99" s="398" t="str">
        <f t="shared" si="78"/>
        <v>ошибка</v>
      </c>
      <c r="AW99" s="398" t="str">
        <f t="shared" si="79"/>
        <v>нет</v>
      </c>
      <c r="AX99" s="398" t="str">
        <f t="shared" si="80"/>
        <v>ошибка</v>
      </c>
      <c r="AY99" s="402" t="str">
        <f t="shared" si="81"/>
        <v>ошибка</v>
      </c>
      <c r="AZ99" s="395" t="str">
        <f t="shared" si="82"/>
        <v/>
      </c>
      <c r="BA99" s="403" t="str">
        <f t="shared" si="83"/>
        <v/>
      </c>
      <c r="BB99" s="404"/>
      <c r="BC99" s="395">
        <f t="shared" si="84"/>
        <v>0.46666666666666673</v>
      </c>
      <c r="BD99" s="395">
        <f t="shared" si="85"/>
        <v>0.48148148148148145</v>
      </c>
      <c r="BE99" s="395">
        <f t="shared" si="86"/>
        <v>9.0909090909090912E-2</v>
      </c>
      <c r="BF99" s="395">
        <f t="shared" si="87"/>
        <v>0.17499999999999999</v>
      </c>
      <c r="BG99" s="395">
        <f t="shared" si="88"/>
        <v>6.4999999999999988E-2</v>
      </c>
      <c r="BH99" s="395">
        <f t="shared" si="89"/>
        <v>1.0384615384615385</v>
      </c>
      <c r="BI99" s="395">
        <f t="shared" si="90"/>
        <v>0.59615384615384615</v>
      </c>
      <c r="BJ99" s="404"/>
      <c r="BK99" s="395" t="e">
        <f t="shared" si="96"/>
        <v>#N/A</v>
      </c>
      <c r="BL99" s="395" t="e">
        <f t="shared" si="97"/>
        <v>#N/A</v>
      </c>
      <c r="BM99" s="395" t="e">
        <f t="shared" si="98"/>
        <v>#N/A</v>
      </c>
      <c r="BN99" s="395" t="e">
        <f t="shared" si="99"/>
        <v>#N/A</v>
      </c>
      <c r="BO99" s="395" t="e">
        <f t="shared" si="100"/>
        <v>#N/A</v>
      </c>
      <c r="BP99" s="395" t="e">
        <f t="shared" si="101"/>
        <v>#N/A</v>
      </c>
      <c r="BQ99" s="395" t="e">
        <f t="shared" si="102"/>
        <v>#N/A</v>
      </c>
      <c r="BR99" s="404"/>
      <c r="BS99" s="405" t="str">
        <f t="shared" si="91"/>
        <v/>
      </c>
      <c r="BT99" s="406" t="str">
        <f t="shared" si="92"/>
        <v/>
      </c>
      <c r="BU99" s="398" t="str">
        <f t="shared" si="93"/>
        <v/>
      </c>
      <c r="BV99" s="407" t="str">
        <f t="shared" si="94"/>
        <v/>
      </c>
    </row>
    <row r="100" spans="3:74" ht="16.5" thickBot="1" x14ac:dyDescent="0.3">
      <c r="C100" s="385">
        <f>IF(ISBLANK(D100),"",COUNTA($D$18:D100))</f>
        <v>83</v>
      </c>
      <c r="D100" s="386" t="str">
        <f>RIGHT(Исх.данные!A478,7)</f>
        <v/>
      </c>
      <c r="E100" s="387" t="e">
        <f>VLOOKUP(D100,Акт!$C$1:$I$30,6,FALSE)</f>
        <v>#N/A</v>
      </c>
      <c r="F100" s="388">
        <f>VLOOKUP("pH солевой вытяжки",Исх.данные!$C$427:$F$437,4,FALSE)</f>
        <v>6.2</v>
      </c>
      <c r="G100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0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0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0" s="388">
        <f>VLOOKUP("Никель",Исх.данные!$C$427:$F$437,4,FALSE)</f>
        <v>3.5</v>
      </c>
      <c r="K100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0" s="388" t="str">
        <f>VLOOKUP("Свинец",Исх.данные!$C$427:$F$437,4,FALSE)</f>
        <v>27</v>
      </c>
      <c r="M100" s="388" t="str">
        <f>VLOOKUP("Цинк",Исх.данные!$C$427:$F$437,4,FALSE)</f>
        <v>31</v>
      </c>
      <c r="N100" s="389" t="e">
        <f>VLOOKUP(D100,Акт!$C$1:$I$30,7,FALSE)</f>
        <v>#N/A</v>
      </c>
      <c r="O100" s="390">
        <f>VLOOKUP("pH солевой вытяжки",Исх.данные!$C$427:$F$437,4,FALSE)</f>
        <v>6.2</v>
      </c>
      <c r="P100" s="391"/>
      <c r="Q100" s="392">
        <f t="shared" si="95"/>
        <v>83</v>
      </c>
      <c r="R100" s="393"/>
      <c r="S100" s="385" t="str">
        <f t="shared" si="61"/>
        <v/>
      </c>
      <c r="T100" s="394" t="e">
        <f t="shared" si="62"/>
        <v>#N/A</v>
      </c>
      <c r="U100" s="394" t="str">
        <f t="shared" si="63"/>
        <v>0,0051</v>
      </c>
      <c r="V100" s="395" t="str">
        <f t="shared" si="64"/>
        <v>нет</v>
      </c>
      <c r="W100" s="396" t="str">
        <f t="shared" si="65"/>
        <v>Д</v>
      </c>
      <c r="X100" s="397"/>
      <c r="Y100" s="392"/>
      <c r="Z100" s="392"/>
      <c r="AA100" s="388">
        <f>VLOOKUP("Бенз(а)пирен",Исх.данные!$C$427:$F$437,4,FALSE)</f>
        <v>5.0000000000000001E-3</v>
      </c>
      <c r="AB100" s="388" t="str">
        <f>VLOOKUP("Бенз(а)пирен",Исх.данные!$C$427:$H$437,6,FALSE)</f>
        <v>1</v>
      </c>
      <c r="AC100" s="392">
        <f t="shared" si="66"/>
        <v>83</v>
      </c>
      <c r="AD100" s="392"/>
      <c r="AE100" s="385" t="str">
        <f t="shared" si="67"/>
        <v/>
      </c>
      <c r="AF100" s="394" t="e">
        <f t="shared" si="68"/>
        <v>#N/A</v>
      </c>
      <c r="AG100" s="394" t="str">
        <f t="shared" si="69"/>
        <v>502</v>
      </c>
      <c r="AH100" s="398" t="str">
        <f t="shared" si="70"/>
        <v>нет</v>
      </c>
      <c r="AI100" s="399" t="str">
        <f t="shared" si="71"/>
        <v>Допустимый</v>
      </c>
      <c r="AJ100" s="392"/>
      <c r="AK100" s="392"/>
      <c r="AL100" s="388">
        <f>VLOOKUP("Нефтепродукты",Исх.данные!$C$427:$F$437,4,FALSE)</f>
        <v>50</v>
      </c>
      <c r="AM100" s="388" t="str">
        <f>VLOOKUP("Нефтепродукты",Исх.данные!$C$427:$H$437,6,FALSE)</f>
        <v>2</v>
      </c>
      <c r="AN100" s="392"/>
      <c r="AO100" s="392">
        <f t="shared" si="72"/>
        <v>83</v>
      </c>
      <c r="AP100" s="392"/>
      <c r="AQ100" s="400" t="str">
        <f t="shared" si="73"/>
        <v/>
      </c>
      <c r="AR100" s="391" t="e">
        <f t="shared" si="74"/>
        <v>#N/A</v>
      </c>
      <c r="AS100" s="398" t="str">
        <f t="shared" si="75"/>
        <v>ошибка</v>
      </c>
      <c r="AT100" s="398" t="str">
        <f t="shared" si="76"/>
        <v>ошибка</v>
      </c>
      <c r="AU100" s="401" t="str">
        <f t="shared" si="77"/>
        <v>ошибка</v>
      </c>
      <c r="AV100" s="398" t="str">
        <f t="shared" si="78"/>
        <v>ошибка</v>
      </c>
      <c r="AW100" s="398" t="str">
        <f t="shared" si="79"/>
        <v>нет</v>
      </c>
      <c r="AX100" s="398" t="str">
        <f t="shared" si="80"/>
        <v>ошибка</v>
      </c>
      <c r="AY100" s="402" t="str">
        <f t="shared" si="81"/>
        <v>ошибка</v>
      </c>
      <c r="AZ100" s="395" t="str">
        <f t="shared" si="82"/>
        <v/>
      </c>
      <c r="BA100" s="403" t="str">
        <f t="shared" si="83"/>
        <v/>
      </c>
      <c r="BB100" s="404"/>
      <c r="BC100" s="395">
        <f t="shared" si="84"/>
        <v>0.46666666666666673</v>
      </c>
      <c r="BD100" s="395">
        <f t="shared" si="85"/>
        <v>0.48148148148148145</v>
      </c>
      <c r="BE100" s="395">
        <f t="shared" si="86"/>
        <v>9.0909090909090912E-2</v>
      </c>
      <c r="BF100" s="395">
        <f t="shared" si="87"/>
        <v>0.17499999999999999</v>
      </c>
      <c r="BG100" s="395">
        <f t="shared" si="88"/>
        <v>6.4999999999999988E-2</v>
      </c>
      <c r="BH100" s="395">
        <f t="shared" si="89"/>
        <v>1.0384615384615385</v>
      </c>
      <c r="BI100" s="395">
        <f t="shared" si="90"/>
        <v>0.59615384615384615</v>
      </c>
      <c r="BJ100" s="404"/>
      <c r="BK100" s="395" t="e">
        <f t="shared" si="96"/>
        <v>#N/A</v>
      </c>
      <c r="BL100" s="395" t="e">
        <f t="shared" si="97"/>
        <v>#N/A</v>
      </c>
      <c r="BM100" s="395" t="e">
        <f t="shared" si="98"/>
        <v>#N/A</v>
      </c>
      <c r="BN100" s="395" t="e">
        <f t="shared" si="99"/>
        <v>#N/A</v>
      </c>
      <c r="BO100" s="395" t="e">
        <f t="shared" si="100"/>
        <v>#N/A</v>
      </c>
      <c r="BP100" s="395" t="e">
        <f t="shared" si="101"/>
        <v>#N/A</v>
      </c>
      <c r="BQ100" s="395" t="e">
        <f t="shared" si="102"/>
        <v>#N/A</v>
      </c>
      <c r="BR100" s="404"/>
      <c r="BS100" s="405" t="str">
        <f t="shared" si="91"/>
        <v/>
      </c>
      <c r="BT100" s="406" t="str">
        <f t="shared" si="92"/>
        <v/>
      </c>
      <c r="BU100" s="398" t="str">
        <f t="shared" si="93"/>
        <v/>
      </c>
      <c r="BV100" s="407" t="str">
        <f t="shared" si="94"/>
        <v/>
      </c>
    </row>
    <row r="101" spans="3:74" ht="16.5" thickBot="1" x14ac:dyDescent="0.3">
      <c r="C101" s="385">
        <f>IF(ISBLANK(D101),"",COUNTA($D$18:D101))</f>
        <v>84</v>
      </c>
      <c r="D101" s="386" t="str">
        <f>RIGHT(Исх.данные!A479,7)</f>
        <v/>
      </c>
      <c r="E101" s="387" t="e">
        <f>VLOOKUP(D101,Акт!$C$1:$I$30,6,FALSE)</f>
        <v>#N/A</v>
      </c>
      <c r="F101" s="388">
        <f>VLOOKUP("pH солевой вытяжки",Исх.данные!$C$427:$F$437,4,FALSE)</f>
        <v>6.2</v>
      </c>
      <c r="G101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1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1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1" s="388">
        <f>VLOOKUP("Никель",Исх.данные!$C$427:$F$437,4,FALSE)</f>
        <v>3.5</v>
      </c>
      <c r="K101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1" s="388" t="str">
        <f>VLOOKUP("Свинец",Исх.данные!$C$427:$F$437,4,FALSE)</f>
        <v>27</v>
      </c>
      <c r="M101" s="388" t="str">
        <f>VLOOKUP("Цинк",Исх.данные!$C$427:$F$437,4,FALSE)</f>
        <v>31</v>
      </c>
      <c r="N101" s="389" t="e">
        <f>VLOOKUP(D101,Акт!$C$1:$I$30,7,FALSE)</f>
        <v>#N/A</v>
      </c>
      <c r="O101" s="390">
        <f>VLOOKUP("pH солевой вытяжки",Исх.данные!$C$427:$F$437,4,FALSE)</f>
        <v>6.2</v>
      </c>
      <c r="P101" s="391"/>
      <c r="Q101" s="392">
        <f t="shared" si="95"/>
        <v>84</v>
      </c>
      <c r="R101" s="393"/>
      <c r="S101" s="385" t="str">
        <f t="shared" si="61"/>
        <v/>
      </c>
      <c r="T101" s="394" t="e">
        <f t="shared" si="62"/>
        <v>#N/A</v>
      </c>
      <c r="U101" s="394" t="str">
        <f t="shared" si="63"/>
        <v>0,0051</v>
      </c>
      <c r="V101" s="395" t="str">
        <f t="shared" si="64"/>
        <v>нет</v>
      </c>
      <c r="W101" s="396" t="str">
        <f t="shared" si="65"/>
        <v>Д</v>
      </c>
      <c r="X101" s="397"/>
      <c r="Y101" s="392"/>
      <c r="Z101" s="392"/>
      <c r="AA101" s="388">
        <f>VLOOKUP("Бенз(а)пирен",Исх.данные!$C$427:$F$437,4,FALSE)</f>
        <v>5.0000000000000001E-3</v>
      </c>
      <c r="AB101" s="388" t="str">
        <f>VLOOKUP("Бенз(а)пирен",Исх.данные!$C$427:$H$437,6,FALSE)</f>
        <v>1</v>
      </c>
      <c r="AC101" s="392">
        <f t="shared" si="66"/>
        <v>84</v>
      </c>
      <c r="AD101" s="392"/>
      <c r="AE101" s="385" t="str">
        <f t="shared" si="67"/>
        <v/>
      </c>
      <c r="AF101" s="394" t="e">
        <f t="shared" si="68"/>
        <v>#N/A</v>
      </c>
      <c r="AG101" s="394" t="str">
        <f t="shared" si="69"/>
        <v>502</v>
      </c>
      <c r="AH101" s="398" t="str">
        <f t="shared" si="70"/>
        <v>нет</v>
      </c>
      <c r="AI101" s="399" t="str">
        <f t="shared" si="71"/>
        <v>Допустимый</v>
      </c>
      <c r="AJ101" s="392"/>
      <c r="AK101" s="392"/>
      <c r="AL101" s="388">
        <f>VLOOKUP("Нефтепродукты",Исх.данные!$C$427:$F$437,4,FALSE)</f>
        <v>50</v>
      </c>
      <c r="AM101" s="388" t="str">
        <f>VLOOKUP("Нефтепродукты",Исх.данные!$C$427:$H$437,6,FALSE)</f>
        <v>2</v>
      </c>
      <c r="AN101" s="392"/>
      <c r="AO101" s="392">
        <f t="shared" si="72"/>
        <v>84</v>
      </c>
      <c r="AP101" s="392"/>
      <c r="AQ101" s="400" t="str">
        <f t="shared" si="73"/>
        <v/>
      </c>
      <c r="AR101" s="391" t="e">
        <f t="shared" si="74"/>
        <v>#N/A</v>
      </c>
      <c r="AS101" s="398" t="str">
        <f t="shared" si="75"/>
        <v>ошибка</v>
      </c>
      <c r="AT101" s="398" t="str">
        <f t="shared" si="76"/>
        <v>ошибка</v>
      </c>
      <c r="AU101" s="401" t="str">
        <f t="shared" si="77"/>
        <v>ошибка</v>
      </c>
      <c r="AV101" s="398" t="str">
        <f t="shared" si="78"/>
        <v>ошибка</v>
      </c>
      <c r="AW101" s="398" t="str">
        <f t="shared" si="79"/>
        <v>нет</v>
      </c>
      <c r="AX101" s="398" t="str">
        <f t="shared" si="80"/>
        <v>ошибка</v>
      </c>
      <c r="AY101" s="402" t="str">
        <f t="shared" si="81"/>
        <v>ошибка</v>
      </c>
      <c r="AZ101" s="395" t="str">
        <f t="shared" si="82"/>
        <v/>
      </c>
      <c r="BA101" s="403" t="str">
        <f t="shared" si="83"/>
        <v/>
      </c>
      <c r="BB101" s="404"/>
      <c r="BC101" s="395">
        <f t="shared" si="84"/>
        <v>0.46666666666666673</v>
      </c>
      <c r="BD101" s="395">
        <f t="shared" si="85"/>
        <v>0.48148148148148145</v>
      </c>
      <c r="BE101" s="395">
        <f t="shared" si="86"/>
        <v>9.0909090909090912E-2</v>
      </c>
      <c r="BF101" s="395">
        <f t="shared" si="87"/>
        <v>0.17499999999999999</v>
      </c>
      <c r="BG101" s="395">
        <f t="shared" si="88"/>
        <v>6.4999999999999988E-2</v>
      </c>
      <c r="BH101" s="395">
        <f t="shared" si="89"/>
        <v>1.0384615384615385</v>
      </c>
      <c r="BI101" s="395">
        <f t="shared" si="90"/>
        <v>0.59615384615384615</v>
      </c>
      <c r="BJ101" s="404"/>
      <c r="BK101" s="395" t="e">
        <f t="shared" si="96"/>
        <v>#N/A</v>
      </c>
      <c r="BL101" s="395" t="e">
        <f t="shared" si="97"/>
        <v>#N/A</v>
      </c>
      <c r="BM101" s="395" t="e">
        <f t="shared" si="98"/>
        <v>#N/A</v>
      </c>
      <c r="BN101" s="395" t="e">
        <f t="shared" si="99"/>
        <v>#N/A</v>
      </c>
      <c r="BO101" s="395" t="e">
        <f t="shared" si="100"/>
        <v>#N/A</v>
      </c>
      <c r="BP101" s="395" t="e">
        <f t="shared" si="101"/>
        <v>#N/A</v>
      </c>
      <c r="BQ101" s="395" t="e">
        <f t="shared" si="102"/>
        <v>#N/A</v>
      </c>
      <c r="BR101" s="404"/>
      <c r="BS101" s="405" t="str">
        <f t="shared" si="91"/>
        <v/>
      </c>
      <c r="BT101" s="406" t="str">
        <f t="shared" si="92"/>
        <v/>
      </c>
      <c r="BU101" s="398" t="str">
        <f t="shared" si="93"/>
        <v/>
      </c>
      <c r="BV101" s="407" t="str">
        <f t="shared" si="94"/>
        <v/>
      </c>
    </row>
    <row r="102" spans="3:74" ht="16.5" thickBot="1" x14ac:dyDescent="0.3">
      <c r="C102" s="385">
        <f>IF(ISBLANK(D102),"",COUNTA($D$18:D102))</f>
        <v>85</v>
      </c>
      <c r="D102" s="386" t="str">
        <f>RIGHT(Исх.данные!A480,7)</f>
        <v/>
      </c>
      <c r="E102" s="387" t="e">
        <f>VLOOKUP(D102,Акт!$C$1:$I$30,6,FALSE)</f>
        <v>#N/A</v>
      </c>
      <c r="F102" s="388">
        <f>VLOOKUP("pH солевой вытяжки",Исх.данные!$C$427:$F$437,4,FALSE)</f>
        <v>6.2</v>
      </c>
      <c r="G102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2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2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2" s="388">
        <f>VLOOKUP("Никель",Исх.данные!$C$427:$F$437,4,FALSE)</f>
        <v>3.5</v>
      </c>
      <c r="K102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2" s="388" t="str">
        <f>VLOOKUP("Свинец",Исх.данные!$C$427:$F$437,4,FALSE)</f>
        <v>27</v>
      </c>
      <c r="M102" s="388" t="str">
        <f>VLOOKUP("Цинк",Исх.данные!$C$427:$F$437,4,FALSE)</f>
        <v>31</v>
      </c>
      <c r="N102" s="389" t="e">
        <f>VLOOKUP(D102,Акт!$C$1:$I$30,7,FALSE)</f>
        <v>#N/A</v>
      </c>
      <c r="O102" s="390">
        <f>VLOOKUP("pH солевой вытяжки",Исх.данные!$C$427:$F$437,4,FALSE)</f>
        <v>6.2</v>
      </c>
      <c r="P102" s="391"/>
      <c r="Q102" s="392">
        <f t="shared" si="95"/>
        <v>85</v>
      </c>
      <c r="R102" s="393"/>
      <c r="S102" s="385" t="str">
        <f t="shared" si="61"/>
        <v/>
      </c>
      <c r="T102" s="394" t="e">
        <f t="shared" si="62"/>
        <v>#N/A</v>
      </c>
      <c r="U102" s="394" t="str">
        <f t="shared" si="63"/>
        <v>0,0051</v>
      </c>
      <c r="V102" s="395" t="str">
        <f t="shared" si="64"/>
        <v>нет</v>
      </c>
      <c r="W102" s="396" t="str">
        <f t="shared" si="65"/>
        <v>Д</v>
      </c>
      <c r="X102" s="397"/>
      <c r="Y102" s="392"/>
      <c r="Z102" s="392"/>
      <c r="AA102" s="388">
        <f>VLOOKUP("Бенз(а)пирен",Исх.данные!$C$427:$F$437,4,FALSE)</f>
        <v>5.0000000000000001E-3</v>
      </c>
      <c r="AB102" s="388" t="str">
        <f>VLOOKUP("Бенз(а)пирен",Исх.данные!$C$427:$H$437,6,FALSE)</f>
        <v>1</v>
      </c>
      <c r="AC102" s="392">
        <f t="shared" si="66"/>
        <v>85</v>
      </c>
      <c r="AD102" s="392"/>
      <c r="AE102" s="385" t="str">
        <f t="shared" si="67"/>
        <v/>
      </c>
      <c r="AF102" s="394" t="e">
        <f t="shared" si="68"/>
        <v>#N/A</v>
      </c>
      <c r="AG102" s="394" t="str">
        <f t="shared" si="69"/>
        <v>502</v>
      </c>
      <c r="AH102" s="398" t="str">
        <f t="shared" si="70"/>
        <v>нет</v>
      </c>
      <c r="AI102" s="399" t="str">
        <f t="shared" si="71"/>
        <v>Допустимый</v>
      </c>
      <c r="AJ102" s="392"/>
      <c r="AK102" s="392"/>
      <c r="AL102" s="388">
        <f>VLOOKUP("Нефтепродукты",Исх.данные!$C$427:$F$437,4,FALSE)</f>
        <v>50</v>
      </c>
      <c r="AM102" s="388" t="str">
        <f>VLOOKUP("Нефтепродукты",Исх.данные!$C$427:$H$437,6,FALSE)</f>
        <v>2</v>
      </c>
      <c r="AN102" s="392"/>
      <c r="AO102" s="392">
        <f t="shared" si="72"/>
        <v>85</v>
      </c>
      <c r="AP102" s="392"/>
      <c r="AQ102" s="400" t="str">
        <f t="shared" si="73"/>
        <v/>
      </c>
      <c r="AR102" s="391" t="e">
        <f t="shared" si="74"/>
        <v>#N/A</v>
      </c>
      <c r="AS102" s="398" t="str">
        <f t="shared" si="75"/>
        <v>ошибка</v>
      </c>
      <c r="AT102" s="398" t="str">
        <f t="shared" si="76"/>
        <v>ошибка</v>
      </c>
      <c r="AU102" s="401" t="str">
        <f t="shared" si="77"/>
        <v>ошибка</v>
      </c>
      <c r="AV102" s="398" t="str">
        <f t="shared" si="78"/>
        <v>ошибка</v>
      </c>
      <c r="AW102" s="398" t="str">
        <f t="shared" si="79"/>
        <v>нет</v>
      </c>
      <c r="AX102" s="398" t="str">
        <f t="shared" si="80"/>
        <v>ошибка</v>
      </c>
      <c r="AY102" s="402" t="str">
        <f t="shared" si="81"/>
        <v>ошибка</v>
      </c>
      <c r="AZ102" s="395" t="str">
        <f t="shared" si="82"/>
        <v/>
      </c>
      <c r="BA102" s="403" t="str">
        <f t="shared" si="83"/>
        <v/>
      </c>
      <c r="BB102" s="404"/>
      <c r="BC102" s="395">
        <f t="shared" si="84"/>
        <v>0.46666666666666673</v>
      </c>
      <c r="BD102" s="395">
        <f t="shared" si="85"/>
        <v>0.48148148148148145</v>
      </c>
      <c r="BE102" s="395">
        <f t="shared" si="86"/>
        <v>9.0909090909090912E-2</v>
      </c>
      <c r="BF102" s="395">
        <f t="shared" si="87"/>
        <v>0.17499999999999999</v>
      </c>
      <c r="BG102" s="395">
        <f t="shared" si="88"/>
        <v>6.4999999999999988E-2</v>
      </c>
      <c r="BH102" s="395">
        <f t="shared" si="89"/>
        <v>1.0384615384615385</v>
      </c>
      <c r="BI102" s="395">
        <f t="shared" si="90"/>
        <v>0.59615384615384615</v>
      </c>
      <c r="BJ102" s="404"/>
      <c r="BK102" s="395" t="e">
        <f t="shared" si="96"/>
        <v>#N/A</v>
      </c>
      <c r="BL102" s="395" t="e">
        <f t="shared" si="97"/>
        <v>#N/A</v>
      </c>
      <c r="BM102" s="395" t="e">
        <f t="shared" si="98"/>
        <v>#N/A</v>
      </c>
      <c r="BN102" s="395" t="e">
        <f t="shared" si="99"/>
        <v>#N/A</v>
      </c>
      <c r="BO102" s="395" t="e">
        <f t="shared" si="100"/>
        <v>#N/A</v>
      </c>
      <c r="BP102" s="395" t="e">
        <f t="shared" si="101"/>
        <v>#N/A</v>
      </c>
      <c r="BQ102" s="395" t="e">
        <f t="shared" si="102"/>
        <v>#N/A</v>
      </c>
      <c r="BR102" s="404"/>
      <c r="BS102" s="405" t="str">
        <f t="shared" si="91"/>
        <v/>
      </c>
      <c r="BT102" s="406" t="str">
        <f t="shared" si="92"/>
        <v/>
      </c>
      <c r="BU102" s="398" t="str">
        <f t="shared" si="93"/>
        <v/>
      </c>
      <c r="BV102" s="407" t="str">
        <f t="shared" si="94"/>
        <v/>
      </c>
    </row>
    <row r="103" spans="3:74" ht="16.5" thickBot="1" x14ac:dyDescent="0.3">
      <c r="C103" s="385">
        <f>IF(ISBLANK(D103),"",COUNTA($D$18:D103))</f>
        <v>86</v>
      </c>
      <c r="D103" s="386" t="str">
        <f>RIGHT(Исх.данные!A481,7)</f>
        <v/>
      </c>
      <c r="E103" s="387" t="e">
        <f>VLOOKUP(D103,Акт!$C$1:$I$30,6,FALSE)</f>
        <v>#N/A</v>
      </c>
      <c r="F103" s="388">
        <f>VLOOKUP("pH солевой вытяжки",Исх.данные!$C$427:$F$437,4,FALSE)</f>
        <v>6.2</v>
      </c>
      <c r="G103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3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3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3" s="388">
        <f>VLOOKUP("Никель",Исх.данные!$C$427:$F$437,4,FALSE)</f>
        <v>3.5</v>
      </c>
      <c r="K103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3" s="388" t="str">
        <f>VLOOKUP("Свинец",Исх.данные!$C$427:$F$437,4,FALSE)</f>
        <v>27</v>
      </c>
      <c r="M103" s="388" t="str">
        <f>VLOOKUP("Цинк",Исх.данные!$C$427:$F$437,4,FALSE)</f>
        <v>31</v>
      </c>
      <c r="N103" s="389" t="e">
        <f>VLOOKUP(D103,Акт!$C$1:$I$30,7,FALSE)</f>
        <v>#N/A</v>
      </c>
      <c r="O103" s="390">
        <f>VLOOKUP("pH солевой вытяжки",Исх.данные!$C$427:$F$437,4,FALSE)</f>
        <v>6.2</v>
      </c>
      <c r="P103" s="391"/>
      <c r="Q103" s="392">
        <f t="shared" si="95"/>
        <v>86</v>
      </c>
      <c r="R103" s="393"/>
      <c r="S103" s="385" t="str">
        <f t="shared" si="61"/>
        <v/>
      </c>
      <c r="T103" s="394" t="e">
        <f t="shared" si="62"/>
        <v>#N/A</v>
      </c>
      <c r="U103" s="394" t="str">
        <f t="shared" si="63"/>
        <v>0,0051</v>
      </c>
      <c r="V103" s="395" t="str">
        <f t="shared" si="64"/>
        <v>нет</v>
      </c>
      <c r="W103" s="396" t="str">
        <f t="shared" si="65"/>
        <v>Д</v>
      </c>
      <c r="X103" s="397"/>
      <c r="Y103" s="392"/>
      <c r="Z103" s="392"/>
      <c r="AA103" s="388">
        <f>VLOOKUP("Бенз(а)пирен",Исх.данные!$C$427:$F$437,4,FALSE)</f>
        <v>5.0000000000000001E-3</v>
      </c>
      <c r="AB103" s="388" t="str">
        <f>VLOOKUP("Бенз(а)пирен",Исх.данные!$C$427:$H$437,6,FALSE)</f>
        <v>1</v>
      </c>
      <c r="AC103" s="392">
        <f t="shared" si="66"/>
        <v>86</v>
      </c>
      <c r="AD103" s="392"/>
      <c r="AE103" s="385" t="str">
        <f t="shared" si="67"/>
        <v/>
      </c>
      <c r="AF103" s="394" t="e">
        <f t="shared" si="68"/>
        <v>#N/A</v>
      </c>
      <c r="AG103" s="394" t="str">
        <f t="shared" si="69"/>
        <v>502</v>
      </c>
      <c r="AH103" s="398" t="str">
        <f t="shared" si="70"/>
        <v>нет</v>
      </c>
      <c r="AI103" s="399" t="str">
        <f t="shared" si="71"/>
        <v>Допустимый</v>
      </c>
      <c r="AJ103" s="392"/>
      <c r="AK103" s="392"/>
      <c r="AL103" s="388">
        <f>VLOOKUP("Нефтепродукты",Исх.данные!$C$427:$F$437,4,FALSE)</f>
        <v>50</v>
      </c>
      <c r="AM103" s="388" t="str">
        <f>VLOOKUP("Нефтепродукты",Исх.данные!$C$427:$H$437,6,FALSE)</f>
        <v>2</v>
      </c>
      <c r="AN103" s="392"/>
      <c r="AO103" s="392">
        <f t="shared" si="72"/>
        <v>86</v>
      </c>
      <c r="AP103" s="392"/>
      <c r="AQ103" s="400" t="str">
        <f t="shared" si="73"/>
        <v/>
      </c>
      <c r="AR103" s="391" t="e">
        <f t="shared" si="74"/>
        <v>#N/A</v>
      </c>
      <c r="AS103" s="398" t="str">
        <f t="shared" si="75"/>
        <v>ошибка</v>
      </c>
      <c r="AT103" s="398" t="str">
        <f t="shared" si="76"/>
        <v>ошибка</v>
      </c>
      <c r="AU103" s="401" t="str">
        <f t="shared" si="77"/>
        <v>ошибка</v>
      </c>
      <c r="AV103" s="398" t="str">
        <f t="shared" si="78"/>
        <v>ошибка</v>
      </c>
      <c r="AW103" s="398" t="str">
        <f t="shared" si="79"/>
        <v>нет</v>
      </c>
      <c r="AX103" s="398" t="str">
        <f t="shared" si="80"/>
        <v>ошибка</v>
      </c>
      <c r="AY103" s="402" t="str">
        <f t="shared" si="81"/>
        <v>ошибка</v>
      </c>
      <c r="AZ103" s="395" t="str">
        <f t="shared" si="82"/>
        <v/>
      </c>
      <c r="BA103" s="403" t="str">
        <f t="shared" si="83"/>
        <v/>
      </c>
      <c r="BB103" s="404"/>
      <c r="BC103" s="395">
        <f t="shared" si="84"/>
        <v>0.46666666666666673</v>
      </c>
      <c r="BD103" s="395">
        <f t="shared" si="85"/>
        <v>0.48148148148148145</v>
      </c>
      <c r="BE103" s="395">
        <f t="shared" si="86"/>
        <v>9.0909090909090912E-2</v>
      </c>
      <c r="BF103" s="395">
        <f t="shared" si="87"/>
        <v>0.17499999999999999</v>
      </c>
      <c r="BG103" s="395">
        <f t="shared" si="88"/>
        <v>6.4999999999999988E-2</v>
      </c>
      <c r="BH103" s="395">
        <f t="shared" si="89"/>
        <v>1.0384615384615385</v>
      </c>
      <c r="BI103" s="395">
        <f t="shared" si="90"/>
        <v>0.59615384615384615</v>
      </c>
      <c r="BJ103" s="404"/>
      <c r="BK103" s="395" t="e">
        <f t="shared" si="96"/>
        <v>#N/A</v>
      </c>
      <c r="BL103" s="395" t="e">
        <f t="shared" si="97"/>
        <v>#N/A</v>
      </c>
      <c r="BM103" s="395" t="e">
        <f t="shared" si="98"/>
        <v>#N/A</v>
      </c>
      <c r="BN103" s="395" t="e">
        <f t="shared" si="99"/>
        <v>#N/A</v>
      </c>
      <c r="BO103" s="395" t="e">
        <f t="shared" si="100"/>
        <v>#N/A</v>
      </c>
      <c r="BP103" s="395" t="e">
        <f t="shared" si="101"/>
        <v>#N/A</v>
      </c>
      <c r="BQ103" s="395" t="e">
        <f t="shared" si="102"/>
        <v>#N/A</v>
      </c>
      <c r="BR103" s="404"/>
      <c r="BS103" s="405" t="str">
        <f t="shared" si="91"/>
        <v/>
      </c>
      <c r="BT103" s="406" t="str">
        <f t="shared" si="92"/>
        <v/>
      </c>
      <c r="BU103" s="398" t="str">
        <f t="shared" si="93"/>
        <v/>
      </c>
      <c r="BV103" s="407" t="str">
        <f t="shared" si="94"/>
        <v/>
      </c>
    </row>
    <row r="104" spans="3:74" ht="16.5" thickBot="1" x14ac:dyDescent="0.3">
      <c r="C104" s="385">
        <f>IF(ISBLANK(D104),"",COUNTA($D$18:D104))</f>
        <v>87</v>
      </c>
      <c r="D104" s="386" t="str">
        <f>RIGHT(Исх.данные!A482,7)</f>
        <v/>
      </c>
      <c r="E104" s="387" t="e">
        <f>VLOOKUP(D104,Акт!$C$1:$I$30,6,FALSE)</f>
        <v>#N/A</v>
      </c>
      <c r="F104" s="388">
        <f>VLOOKUP("pH солевой вытяжки",Исх.данные!$C$427:$F$437,4,FALSE)</f>
        <v>6.2</v>
      </c>
      <c r="G104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4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4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4" s="388">
        <f>VLOOKUP("Никель",Исх.данные!$C$427:$F$437,4,FALSE)</f>
        <v>3.5</v>
      </c>
      <c r="K104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4" s="388" t="str">
        <f>VLOOKUP("Свинец",Исх.данные!$C$427:$F$437,4,FALSE)</f>
        <v>27</v>
      </c>
      <c r="M104" s="388" t="str">
        <f>VLOOKUP("Цинк",Исх.данные!$C$427:$F$437,4,FALSE)</f>
        <v>31</v>
      </c>
      <c r="N104" s="389" t="e">
        <f>VLOOKUP(D104,Акт!$C$1:$I$30,7,FALSE)</f>
        <v>#N/A</v>
      </c>
      <c r="O104" s="390">
        <f>VLOOKUP("pH солевой вытяжки",Исх.данные!$C$427:$F$437,4,FALSE)</f>
        <v>6.2</v>
      </c>
      <c r="P104" s="391"/>
      <c r="Q104" s="392">
        <f t="shared" si="95"/>
        <v>87</v>
      </c>
      <c r="R104" s="393"/>
      <c r="S104" s="385" t="str">
        <f t="shared" si="61"/>
        <v/>
      </c>
      <c r="T104" s="394" t="e">
        <f t="shared" si="62"/>
        <v>#N/A</v>
      </c>
      <c r="U104" s="394" t="str">
        <f t="shared" si="63"/>
        <v>0,0051</v>
      </c>
      <c r="V104" s="395" t="str">
        <f t="shared" si="64"/>
        <v>нет</v>
      </c>
      <c r="W104" s="396" t="str">
        <f t="shared" si="65"/>
        <v>Д</v>
      </c>
      <c r="X104" s="397"/>
      <c r="Y104" s="392"/>
      <c r="Z104" s="392"/>
      <c r="AA104" s="388">
        <f>VLOOKUP("Бенз(а)пирен",Исх.данные!$C$427:$F$437,4,FALSE)</f>
        <v>5.0000000000000001E-3</v>
      </c>
      <c r="AB104" s="388" t="str">
        <f>VLOOKUP("Бенз(а)пирен",Исх.данные!$C$427:$H$437,6,FALSE)</f>
        <v>1</v>
      </c>
      <c r="AC104" s="392">
        <f t="shared" si="66"/>
        <v>87</v>
      </c>
      <c r="AD104" s="392"/>
      <c r="AE104" s="385" t="str">
        <f t="shared" si="67"/>
        <v/>
      </c>
      <c r="AF104" s="394" t="e">
        <f t="shared" si="68"/>
        <v>#N/A</v>
      </c>
      <c r="AG104" s="394" t="str">
        <f t="shared" si="69"/>
        <v>502</v>
      </c>
      <c r="AH104" s="398" t="str">
        <f t="shared" si="70"/>
        <v>нет</v>
      </c>
      <c r="AI104" s="399" t="str">
        <f t="shared" si="71"/>
        <v>Допустимый</v>
      </c>
      <c r="AJ104" s="392"/>
      <c r="AK104" s="392"/>
      <c r="AL104" s="388">
        <f>VLOOKUP("Нефтепродукты",Исх.данные!$C$427:$F$437,4,FALSE)</f>
        <v>50</v>
      </c>
      <c r="AM104" s="388" t="str">
        <f>VLOOKUP("Нефтепродукты",Исх.данные!$C$427:$H$437,6,FALSE)</f>
        <v>2</v>
      </c>
      <c r="AN104" s="392"/>
      <c r="AO104" s="392">
        <f t="shared" si="72"/>
        <v>87</v>
      </c>
      <c r="AP104" s="392"/>
      <c r="AQ104" s="400" t="str">
        <f t="shared" si="73"/>
        <v/>
      </c>
      <c r="AR104" s="391" t="e">
        <f t="shared" si="74"/>
        <v>#N/A</v>
      </c>
      <c r="AS104" s="398" t="str">
        <f t="shared" si="75"/>
        <v>ошибка</v>
      </c>
      <c r="AT104" s="398" t="str">
        <f t="shared" si="76"/>
        <v>ошибка</v>
      </c>
      <c r="AU104" s="401" t="str">
        <f t="shared" si="77"/>
        <v>ошибка</v>
      </c>
      <c r="AV104" s="398" t="str">
        <f t="shared" si="78"/>
        <v>ошибка</v>
      </c>
      <c r="AW104" s="398" t="str">
        <f t="shared" si="79"/>
        <v>нет</v>
      </c>
      <c r="AX104" s="398" t="str">
        <f t="shared" si="80"/>
        <v>ошибка</v>
      </c>
      <c r="AY104" s="402" t="str">
        <f t="shared" si="81"/>
        <v>ошибка</v>
      </c>
      <c r="AZ104" s="395" t="str">
        <f t="shared" si="82"/>
        <v/>
      </c>
      <c r="BA104" s="403" t="str">
        <f t="shared" si="83"/>
        <v/>
      </c>
      <c r="BB104" s="404"/>
      <c r="BC104" s="395">
        <f t="shared" si="84"/>
        <v>0.46666666666666673</v>
      </c>
      <c r="BD104" s="395">
        <f t="shared" si="85"/>
        <v>0.48148148148148145</v>
      </c>
      <c r="BE104" s="395">
        <f t="shared" si="86"/>
        <v>9.0909090909090912E-2</v>
      </c>
      <c r="BF104" s="395">
        <f t="shared" si="87"/>
        <v>0.17499999999999999</v>
      </c>
      <c r="BG104" s="395">
        <f t="shared" si="88"/>
        <v>6.4999999999999988E-2</v>
      </c>
      <c r="BH104" s="395">
        <f t="shared" si="89"/>
        <v>1.0384615384615385</v>
      </c>
      <c r="BI104" s="395">
        <f t="shared" si="90"/>
        <v>0.59615384615384615</v>
      </c>
      <c r="BJ104" s="404"/>
      <c r="BK104" s="395" t="e">
        <f t="shared" si="96"/>
        <v>#N/A</v>
      </c>
      <c r="BL104" s="395" t="e">
        <f t="shared" si="97"/>
        <v>#N/A</v>
      </c>
      <c r="BM104" s="395" t="e">
        <f t="shared" si="98"/>
        <v>#N/A</v>
      </c>
      <c r="BN104" s="395" t="e">
        <f t="shared" si="99"/>
        <v>#N/A</v>
      </c>
      <c r="BO104" s="395" t="e">
        <f t="shared" si="100"/>
        <v>#N/A</v>
      </c>
      <c r="BP104" s="395" t="e">
        <f t="shared" si="101"/>
        <v>#N/A</v>
      </c>
      <c r="BQ104" s="395" t="e">
        <f t="shared" si="102"/>
        <v>#N/A</v>
      </c>
      <c r="BR104" s="404"/>
      <c r="BS104" s="405" t="str">
        <f t="shared" si="91"/>
        <v/>
      </c>
      <c r="BT104" s="406" t="str">
        <f t="shared" si="92"/>
        <v/>
      </c>
      <c r="BU104" s="398" t="str">
        <f t="shared" si="93"/>
        <v/>
      </c>
      <c r="BV104" s="407" t="str">
        <f t="shared" si="94"/>
        <v/>
      </c>
    </row>
    <row r="105" spans="3:74" ht="16.5" thickBot="1" x14ac:dyDescent="0.3">
      <c r="C105" s="385">
        <f>IF(ISBLANK(D105),"",COUNTA($D$18:D105))</f>
        <v>88</v>
      </c>
      <c r="D105" s="386" t="str">
        <f>RIGHT(Исх.данные!A483,7)</f>
        <v/>
      </c>
      <c r="E105" s="387" t="e">
        <f>VLOOKUP(D105,Акт!$C$1:$I$30,6,FALSE)</f>
        <v>#N/A</v>
      </c>
      <c r="F105" s="388">
        <f>VLOOKUP("pH солевой вытяжки",Исх.данные!$C$427:$F$437,4,FALSE)</f>
        <v>6.2</v>
      </c>
      <c r="G105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5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5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5" s="388">
        <f>VLOOKUP("Никель",Исх.данные!$C$427:$F$437,4,FALSE)</f>
        <v>3.5</v>
      </c>
      <c r="K105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5" s="388" t="str">
        <f>VLOOKUP("Свинец",Исх.данные!$C$427:$F$437,4,FALSE)</f>
        <v>27</v>
      </c>
      <c r="M105" s="388" t="str">
        <f>VLOOKUP("Цинк",Исх.данные!$C$427:$F$437,4,FALSE)</f>
        <v>31</v>
      </c>
      <c r="N105" s="389" t="e">
        <f>VLOOKUP(D105,Акт!$C$1:$I$30,7,FALSE)</f>
        <v>#N/A</v>
      </c>
      <c r="O105" s="390">
        <f>VLOOKUP("pH солевой вытяжки",Исх.данные!$C$427:$F$437,4,FALSE)</f>
        <v>6.2</v>
      </c>
      <c r="P105" s="391"/>
      <c r="Q105" s="392">
        <f t="shared" si="95"/>
        <v>88</v>
      </c>
      <c r="R105" s="393"/>
      <c r="S105" s="385" t="str">
        <f t="shared" si="61"/>
        <v/>
      </c>
      <c r="T105" s="394" t="e">
        <f t="shared" si="62"/>
        <v>#N/A</v>
      </c>
      <c r="U105" s="394" t="str">
        <f t="shared" si="63"/>
        <v>0,0051</v>
      </c>
      <c r="V105" s="395" t="str">
        <f t="shared" si="64"/>
        <v>нет</v>
      </c>
      <c r="W105" s="396" t="str">
        <f t="shared" si="65"/>
        <v>Д</v>
      </c>
      <c r="X105" s="397"/>
      <c r="Y105" s="392"/>
      <c r="Z105" s="392"/>
      <c r="AA105" s="388">
        <f>VLOOKUP("Бенз(а)пирен",Исх.данные!$C$427:$F$437,4,FALSE)</f>
        <v>5.0000000000000001E-3</v>
      </c>
      <c r="AB105" s="388" t="str">
        <f>VLOOKUP("Бенз(а)пирен",Исх.данные!$C$427:$H$437,6,FALSE)</f>
        <v>1</v>
      </c>
      <c r="AC105" s="392">
        <f t="shared" si="66"/>
        <v>88</v>
      </c>
      <c r="AD105" s="392"/>
      <c r="AE105" s="385" t="str">
        <f t="shared" si="67"/>
        <v/>
      </c>
      <c r="AF105" s="394" t="e">
        <f t="shared" si="68"/>
        <v>#N/A</v>
      </c>
      <c r="AG105" s="394" t="str">
        <f t="shared" si="69"/>
        <v>502</v>
      </c>
      <c r="AH105" s="398" t="str">
        <f t="shared" si="70"/>
        <v>нет</v>
      </c>
      <c r="AI105" s="399" t="str">
        <f t="shared" si="71"/>
        <v>Допустимый</v>
      </c>
      <c r="AJ105" s="392"/>
      <c r="AK105" s="392"/>
      <c r="AL105" s="388">
        <f>VLOOKUP("Нефтепродукты",Исх.данные!$C$427:$F$437,4,FALSE)</f>
        <v>50</v>
      </c>
      <c r="AM105" s="388" t="str">
        <f>VLOOKUP("Нефтепродукты",Исх.данные!$C$427:$H$437,6,FALSE)</f>
        <v>2</v>
      </c>
      <c r="AN105" s="392"/>
      <c r="AO105" s="392">
        <f t="shared" si="72"/>
        <v>88</v>
      </c>
      <c r="AP105" s="392"/>
      <c r="AQ105" s="400" t="str">
        <f t="shared" si="73"/>
        <v/>
      </c>
      <c r="AR105" s="391" t="e">
        <f t="shared" si="74"/>
        <v>#N/A</v>
      </c>
      <c r="AS105" s="398" t="str">
        <f t="shared" si="75"/>
        <v>ошибка</v>
      </c>
      <c r="AT105" s="398" t="str">
        <f t="shared" si="76"/>
        <v>ошибка</v>
      </c>
      <c r="AU105" s="401" t="str">
        <f t="shared" si="77"/>
        <v>ошибка</v>
      </c>
      <c r="AV105" s="398" t="str">
        <f t="shared" si="78"/>
        <v>ошибка</v>
      </c>
      <c r="AW105" s="398" t="str">
        <f t="shared" si="79"/>
        <v>нет</v>
      </c>
      <c r="AX105" s="398" t="str">
        <f t="shared" si="80"/>
        <v>ошибка</v>
      </c>
      <c r="AY105" s="402" t="str">
        <f t="shared" si="81"/>
        <v>ошибка</v>
      </c>
      <c r="AZ105" s="395" t="str">
        <f t="shared" si="82"/>
        <v/>
      </c>
      <c r="BA105" s="403" t="str">
        <f t="shared" si="83"/>
        <v/>
      </c>
      <c r="BB105" s="404"/>
      <c r="BC105" s="395">
        <f t="shared" si="84"/>
        <v>0.46666666666666673</v>
      </c>
      <c r="BD105" s="395">
        <f t="shared" si="85"/>
        <v>0.48148148148148145</v>
      </c>
      <c r="BE105" s="395">
        <f t="shared" si="86"/>
        <v>9.0909090909090912E-2</v>
      </c>
      <c r="BF105" s="395">
        <f t="shared" si="87"/>
        <v>0.17499999999999999</v>
      </c>
      <c r="BG105" s="395">
        <f t="shared" si="88"/>
        <v>6.4999999999999988E-2</v>
      </c>
      <c r="BH105" s="395">
        <f t="shared" si="89"/>
        <v>1.0384615384615385</v>
      </c>
      <c r="BI105" s="395">
        <f t="shared" si="90"/>
        <v>0.59615384615384615</v>
      </c>
      <c r="BJ105" s="404"/>
      <c r="BK105" s="395" t="e">
        <f t="shared" si="96"/>
        <v>#N/A</v>
      </c>
      <c r="BL105" s="395" t="e">
        <f t="shared" si="97"/>
        <v>#N/A</v>
      </c>
      <c r="BM105" s="395" t="e">
        <f t="shared" si="98"/>
        <v>#N/A</v>
      </c>
      <c r="BN105" s="395" t="e">
        <f t="shared" si="99"/>
        <v>#N/A</v>
      </c>
      <c r="BO105" s="395" t="e">
        <f t="shared" si="100"/>
        <v>#N/A</v>
      </c>
      <c r="BP105" s="395" t="e">
        <f t="shared" si="101"/>
        <v>#N/A</v>
      </c>
      <c r="BQ105" s="395" t="e">
        <f t="shared" si="102"/>
        <v>#N/A</v>
      </c>
      <c r="BR105" s="404"/>
      <c r="BS105" s="405" t="str">
        <f t="shared" si="91"/>
        <v/>
      </c>
      <c r="BT105" s="406" t="str">
        <f t="shared" si="92"/>
        <v/>
      </c>
      <c r="BU105" s="398" t="str">
        <f t="shared" si="93"/>
        <v/>
      </c>
      <c r="BV105" s="407" t="str">
        <f t="shared" si="94"/>
        <v/>
      </c>
    </row>
    <row r="106" spans="3:74" ht="16.5" thickBot="1" x14ac:dyDescent="0.3">
      <c r="C106" s="385">
        <f>IF(ISBLANK(D106),"",COUNTA($D$18:D106))</f>
        <v>89</v>
      </c>
      <c r="D106" s="386" t="str">
        <f>RIGHT(Исх.данные!A484,7)</f>
        <v/>
      </c>
      <c r="E106" s="387" t="e">
        <f>VLOOKUP(D106,Акт!$C$1:$I$30,6,FALSE)</f>
        <v>#N/A</v>
      </c>
      <c r="F106" s="388">
        <f>VLOOKUP("pH солевой вытяжки",Исх.данные!$C$427:$F$437,4,FALSE)</f>
        <v>6.2</v>
      </c>
      <c r="G106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6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6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6" s="388">
        <f>VLOOKUP("Никель",Исх.данные!$C$427:$F$437,4,FALSE)</f>
        <v>3.5</v>
      </c>
      <c r="K106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6" s="388" t="str">
        <f>VLOOKUP("Свинец",Исх.данные!$C$427:$F$437,4,FALSE)</f>
        <v>27</v>
      </c>
      <c r="M106" s="388" t="str">
        <f>VLOOKUP("Цинк",Исх.данные!$C$427:$F$437,4,FALSE)</f>
        <v>31</v>
      </c>
      <c r="N106" s="389" t="e">
        <f>VLOOKUP(D106,Акт!$C$1:$I$30,7,FALSE)</f>
        <v>#N/A</v>
      </c>
      <c r="O106" s="390">
        <f>VLOOKUP("pH солевой вытяжки",Исх.данные!$C$427:$F$437,4,FALSE)</f>
        <v>6.2</v>
      </c>
      <c r="P106" s="391"/>
      <c r="Q106" s="392">
        <f t="shared" si="95"/>
        <v>89</v>
      </c>
      <c r="R106" s="393"/>
      <c r="S106" s="385" t="str">
        <f t="shared" si="61"/>
        <v/>
      </c>
      <c r="T106" s="394" t="e">
        <f t="shared" si="62"/>
        <v>#N/A</v>
      </c>
      <c r="U106" s="394" t="str">
        <f t="shared" si="63"/>
        <v>0,0051</v>
      </c>
      <c r="V106" s="395" t="str">
        <f t="shared" si="64"/>
        <v>нет</v>
      </c>
      <c r="W106" s="396" t="str">
        <f t="shared" si="65"/>
        <v>Д</v>
      </c>
      <c r="X106" s="397"/>
      <c r="Y106" s="392"/>
      <c r="Z106" s="392"/>
      <c r="AA106" s="388">
        <f>VLOOKUP("Бенз(а)пирен",Исх.данные!$C$427:$F$437,4,FALSE)</f>
        <v>5.0000000000000001E-3</v>
      </c>
      <c r="AB106" s="388" t="str">
        <f>VLOOKUP("Бенз(а)пирен",Исх.данные!$C$427:$H$437,6,FALSE)</f>
        <v>1</v>
      </c>
      <c r="AC106" s="392">
        <f t="shared" si="66"/>
        <v>89</v>
      </c>
      <c r="AD106" s="392"/>
      <c r="AE106" s="385" t="str">
        <f t="shared" si="67"/>
        <v/>
      </c>
      <c r="AF106" s="394" t="e">
        <f t="shared" si="68"/>
        <v>#N/A</v>
      </c>
      <c r="AG106" s="394" t="str">
        <f t="shared" si="69"/>
        <v>502</v>
      </c>
      <c r="AH106" s="398" t="str">
        <f t="shared" si="70"/>
        <v>нет</v>
      </c>
      <c r="AI106" s="399" t="str">
        <f t="shared" si="71"/>
        <v>Допустимый</v>
      </c>
      <c r="AJ106" s="392"/>
      <c r="AK106" s="392"/>
      <c r="AL106" s="388">
        <f>VLOOKUP("Нефтепродукты",Исх.данные!$C$427:$F$437,4,FALSE)</f>
        <v>50</v>
      </c>
      <c r="AM106" s="388" t="str">
        <f>VLOOKUP("Нефтепродукты",Исх.данные!$C$427:$H$437,6,FALSE)</f>
        <v>2</v>
      </c>
      <c r="AN106" s="392"/>
      <c r="AO106" s="392">
        <f t="shared" si="72"/>
        <v>89</v>
      </c>
      <c r="AP106" s="392"/>
      <c r="AQ106" s="400" t="str">
        <f t="shared" si="73"/>
        <v/>
      </c>
      <c r="AR106" s="391" t="e">
        <f t="shared" si="74"/>
        <v>#N/A</v>
      </c>
      <c r="AS106" s="398" t="str">
        <f t="shared" si="75"/>
        <v>ошибка</v>
      </c>
      <c r="AT106" s="398" t="str">
        <f t="shared" si="76"/>
        <v>ошибка</v>
      </c>
      <c r="AU106" s="401" t="str">
        <f t="shared" si="77"/>
        <v>ошибка</v>
      </c>
      <c r="AV106" s="398" t="str">
        <f t="shared" si="78"/>
        <v>ошибка</v>
      </c>
      <c r="AW106" s="398" t="str">
        <f t="shared" si="79"/>
        <v>нет</v>
      </c>
      <c r="AX106" s="398" t="str">
        <f t="shared" si="80"/>
        <v>ошибка</v>
      </c>
      <c r="AY106" s="402" t="str">
        <f t="shared" si="81"/>
        <v>ошибка</v>
      </c>
      <c r="AZ106" s="395" t="str">
        <f t="shared" si="82"/>
        <v/>
      </c>
      <c r="BA106" s="403" t="str">
        <f t="shared" si="83"/>
        <v/>
      </c>
      <c r="BB106" s="404"/>
      <c r="BC106" s="395">
        <f t="shared" si="84"/>
        <v>0.46666666666666673</v>
      </c>
      <c r="BD106" s="395">
        <f t="shared" si="85"/>
        <v>0.48148148148148145</v>
      </c>
      <c r="BE106" s="395">
        <f t="shared" si="86"/>
        <v>9.0909090909090912E-2</v>
      </c>
      <c r="BF106" s="395">
        <f t="shared" si="87"/>
        <v>0.17499999999999999</v>
      </c>
      <c r="BG106" s="395">
        <f t="shared" si="88"/>
        <v>6.4999999999999988E-2</v>
      </c>
      <c r="BH106" s="395">
        <f t="shared" si="89"/>
        <v>1.0384615384615385</v>
      </c>
      <c r="BI106" s="395">
        <f t="shared" si="90"/>
        <v>0.59615384615384615</v>
      </c>
      <c r="BJ106" s="404"/>
      <c r="BK106" s="395" t="e">
        <f t="shared" si="96"/>
        <v>#N/A</v>
      </c>
      <c r="BL106" s="395" t="e">
        <f t="shared" si="97"/>
        <v>#N/A</v>
      </c>
      <c r="BM106" s="395" t="e">
        <f t="shared" si="98"/>
        <v>#N/A</v>
      </c>
      <c r="BN106" s="395" t="e">
        <f t="shared" si="99"/>
        <v>#N/A</v>
      </c>
      <c r="BO106" s="395" t="e">
        <f t="shared" si="100"/>
        <v>#N/A</v>
      </c>
      <c r="BP106" s="395" t="e">
        <f t="shared" si="101"/>
        <v>#N/A</v>
      </c>
      <c r="BQ106" s="395" t="e">
        <f t="shared" si="102"/>
        <v>#N/A</v>
      </c>
      <c r="BR106" s="404"/>
      <c r="BS106" s="405" t="str">
        <f t="shared" si="91"/>
        <v/>
      </c>
      <c r="BT106" s="406" t="str">
        <f t="shared" si="92"/>
        <v/>
      </c>
      <c r="BU106" s="398" t="str">
        <f t="shared" si="93"/>
        <v/>
      </c>
      <c r="BV106" s="407" t="str">
        <f t="shared" si="94"/>
        <v/>
      </c>
    </row>
    <row r="107" spans="3:74" ht="16.5" thickBot="1" x14ac:dyDescent="0.3">
      <c r="C107" s="385">
        <f>IF(ISBLANK(D107),"",COUNTA($D$18:D107))</f>
        <v>90</v>
      </c>
      <c r="D107" s="386" t="str">
        <f>RIGHT(Исх.данные!A485,7)</f>
        <v>34</v>
      </c>
      <c r="E107" s="387" t="e">
        <f>VLOOKUP(D107,Акт!$C$1:$I$30,6,FALSE)</f>
        <v>#N/A</v>
      </c>
      <c r="F107" s="388">
        <f>VLOOKUP("pH солевой вытяжки",Исх.данные!$C$427:$F$437,4,FALSE)</f>
        <v>6.2</v>
      </c>
      <c r="G107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7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7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7" s="388">
        <f>VLOOKUP("Никель",Исх.данные!$C$427:$F$437,4,FALSE)</f>
        <v>3.5</v>
      </c>
      <c r="K107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7" s="388" t="str">
        <f>VLOOKUP("Свинец",Исх.данные!$C$427:$F$437,4,FALSE)</f>
        <v>27</v>
      </c>
      <c r="M107" s="388" t="str">
        <f>VLOOKUP("Цинк",Исх.данные!$C$427:$F$437,4,FALSE)</f>
        <v>31</v>
      </c>
      <c r="N107" s="389" t="e">
        <f>VLOOKUP(D107,Акт!$C$1:$I$30,7,FALSE)</f>
        <v>#N/A</v>
      </c>
      <c r="O107" s="390">
        <f>VLOOKUP("pH солевой вытяжки",Исх.данные!$C$427:$F$437,4,FALSE)</f>
        <v>6.2</v>
      </c>
      <c r="P107" s="391"/>
      <c r="Q107" s="392">
        <f t="shared" si="95"/>
        <v>90</v>
      </c>
      <c r="R107" s="393"/>
      <c r="S107" s="385" t="str">
        <f t="shared" si="61"/>
        <v>34</v>
      </c>
      <c r="T107" s="394" t="e">
        <f t="shared" si="62"/>
        <v>#N/A</v>
      </c>
      <c r="U107" s="394" t="str">
        <f t="shared" si="63"/>
        <v>0,0051</v>
      </c>
      <c r="V107" s="395" t="str">
        <f t="shared" si="64"/>
        <v>нет</v>
      </c>
      <c r="W107" s="396" t="str">
        <f t="shared" si="65"/>
        <v>Д</v>
      </c>
      <c r="X107" s="397"/>
      <c r="Y107" s="392"/>
      <c r="Z107" s="392"/>
      <c r="AA107" s="388">
        <f>VLOOKUP("Бенз(а)пирен",Исх.данные!$C$427:$F$437,4,FALSE)</f>
        <v>5.0000000000000001E-3</v>
      </c>
      <c r="AB107" s="388" t="str">
        <f>VLOOKUP("Бенз(а)пирен",Исх.данные!$C$427:$H$437,6,FALSE)</f>
        <v>1</v>
      </c>
      <c r="AC107" s="392">
        <f t="shared" si="66"/>
        <v>90</v>
      </c>
      <c r="AD107" s="392"/>
      <c r="AE107" s="385" t="str">
        <f t="shared" si="67"/>
        <v>34</v>
      </c>
      <c r="AF107" s="394" t="e">
        <f t="shared" si="68"/>
        <v>#N/A</v>
      </c>
      <c r="AG107" s="394" t="str">
        <f t="shared" si="69"/>
        <v>502</v>
      </c>
      <c r="AH107" s="398" t="str">
        <f t="shared" si="70"/>
        <v>нет</v>
      </c>
      <c r="AI107" s="399" t="str">
        <f t="shared" si="71"/>
        <v>Допустимый</v>
      </c>
      <c r="AJ107" s="392"/>
      <c r="AK107" s="392"/>
      <c r="AL107" s="388">
        <f>VLOOKUP("Нефтепродукты",Исх.данные!$C$427:$F$437,4,FALSE)</f>
        <v>50</v>
      </c>
      <c r="AM107" s="388" t="str">
        <f>VLOOKUP("Нефтепродукты",Исх.данные!$C$427:$H$437,6,FALSE)</f>
        <v>2</v>
      </c>
      <c r="AN107" s="392"/>
      <c r="AO107" s="392">
        <f t="shared" si="72"/>
        <v>90</v>
      </c>
      <c r="AP107" s="392"/>
      <c r="AQ107" s="400" t="str">
        <f t="shared" si="73"/>
        <v>34</v>
      </c>
      <c r="AR107" s="391" t="e">
        <f t="shared" si="74"/>
        <v>#N/A</v>
      </c>
      <c r="AS107" s="398" t="str">
        <f t="shared" si="75"/>
        <v>ошибка</v>
      </c>
      <c r="AT107" s="398" t="str">
        <f t="shared" si="76"/>
        <v>ошибка</v>
      </c>
      <c r="AU107" s="401" t="str">
        <f t="shared" si="77"/>
        <v>ошибка</v>
      </c>
      <c r="AV107" s="398" t="str">
        <f t="shared" si="78"/>
        <v>ошибка</v>
      </c>
      <c r="AW107" s="398" t="str">
        <f t="shared" si="79"/>
        <v>нет</v>
      </c>
      <c r="AX107" s="398" t="str">
        <f t="shared" si="80"/>
        <v>ошибка</v>
      </c>
      <c r="AY107" s="402" t="str">
        <f t="shared" si="81"/>
        <v>ошибка</v>
      </c>
      <c r="AZ107" s="395">
        <f t="shared" si="82"/>
        <v>1.0384615384615385</v>
      </c>
      <c r="BA107" s="403" t="str">
        <f t="shared" si="83"/>
        <v>Д</v>
      </c>
      <c r="BB107" s="404"/>
      <c r="BC107" s="395">
        <f t="shared" si="84"/>
        <v>0.46666666666666673</v>
      </c>
      <c r="BD107" s="395">
        <f t="shared" si="85"/>
        <v>0.48148148148148145</v>
      </c>
      <c r="BE107" s="395">
        <f t="shared" si="86"/>
        <v>9.0909090909090912E-2</v>
      </c>
      <c r="BF107" s="395">
        <f t="shared" si="87"/>
        <v>0.17499999999999999</v>
      </c>
      <c r="BG107" s="395">
        <f t="shared" si="88"/>
        <v>6.4999999999999988E-2</v>
      </c>
      <c r="BH107" s="395">
        <f t="shared" si="89"/>
        <v>1.0384615384615385</v>
      </c>
      <c r="BI107" s="395">
        <f t="shared" si="90"/>
        <v>0.59615384615384615</v>
      </c>
      <c r="BJ107" s="404"/>
      <c r="BK107" s="395" t="e">
        <f t="shared" si="96"/>
        <v>#N/A</v>
      </c>
      <c r="BL107" s="395" t="e">
        <f t="shared" si="97"/>
        <v>#N/A</v>
      </c>
      <c r="BM107" s="395" t="e">
        <f t="shared" si="98"/>
        <v>#N/A</v>
      </c>
      <c r="BN107" s="395" t="e">
        <f t="shared" si="99"/>
        <v>#N/A</v>
      </c>
      <c r="BO107" s="395" t="e">
        <f t="shared" si="100"/>
        <v>#N/A</v>
      </c>
      <c r="BP107" s="395" t="e">
        <f t="shared" si="101"/>
        <v>#N/A</v>
      </c>
      <c r="BQ107" s="395" t="e">
        <f t="shared" si="102"/>
        <v>#N/A</v>
      </c>
      <c r="BR107" s="404"/>
      <c r="BS107" s="405">
        <f t="shared" si="91"/>
        <v>1.0384615384615385</v>
      </c>
      <c r="BT107" s="406" t="e">
        <f t="shared" si="92"/>
        <v>#N/A</v>
      </c>
      <c r="BU107" s="398">
        <f t="shared" si="93"/>
        <v>7.0321428571428584</v>
      </c>
      <c r="BV107" s="407">
        <f t="shared" si="94"/>
        <v>1.9666666666666668</v>
      </c>
    </row>
    <row r="108" spans="3:74" ht="16.5" thickBot="1" x14ac:dyDescent="0.3">
      <c r="C108" s="385">
        <f>IF(ISBLANK(D108),"",COUNTA($D$18:D108))</f>
        <v>91</v>
      </c>
      <c r="D108" s="386" t="str">
        <f>RIGHT(Исх.данные!A486,7)</f>
        <v>№ п/п</v>
      </c>
      <c r="E108" s="387" t="e">
        <f>VLOOKUP(D108,Акт!$C$1:$I$30,6,FALSE)</f>
        <v>#N/A</v>
      </c>
      <c r="F108" s="388">
        <f>VLOOKUP("pH солевой вытяжки",Исх.данные!$C$427:$F$437,4,FALSE)</f>
        <v>6.2</v>
      </c>
      <c r="G108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8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8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8" s="388">
        <f>VLOOKUP("Никель",Исх.данные!$C$427:$F$437,4,FALSE)</f>
        <v>3.5</v>
      </c>
      <c r="K108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8" s="388" t="str">
        <f>VLOOKUP("Свинец",Исх.данные!$C$427:$F$437,4,FALSE)</f>
        <v>27</v>
      </c>
      <c r="M108" s="388" t="str">
        <f>VLOOKUP("Цинк",Исх.данные!$C$427:$F$437,4,FALSE)</f>
        <v>31</v>
      </c>
      <c r="N108" s="389" t="e">
        <f>VLOOKUP(D108,Акт!$C$1:$I$30,7,FALSE)</f>
        <v>#N/A</v>
      </c>
      <c r="O108" s="390">
        <f>VLOOKUP("pH солевой вытяжки",Исх.данные!$C$427:$F$437,4,FALSE)</f>
        <v>6.2</v>
      </c>
      <c r="P108" s="391"/>
      <c r="Q108" s="392">
        <f t="shared" si="95"/>
        <v>91</v>
      </c>
      <c r="R108" s="393"/>
      <c r="S108" s="385" t="str">
        <f t="shared" si="61"/>
        <v>№ п/п</v>
      </c>
      <c r="T108" s="394" t="e">
        <f t="shared" si="62"/>
        <v>#N/A</v>
      </c>
      <c r="U108" s="394" t="str">
        <f t="shared" si="63"/>
        <v>0,0051</v>
      </c>
      <c r="V108" s="395" t="str">
        <f t="shared" si="64"/>
        <v>нет</v>
      </c>
      <c r="W108" s="396" t="str">
        <f t="shared" si="65"/>
        <v>Д</v>
      </c>
      <c r="X108" s="397"/>
      <c r="Y108" s="392"/>
      <c r="Z108" s="392"/>
      <c r="AA108" s="388">
        <f>VLOOKUP("Бенз(а)пирен",Исх.данные!$C$427:$F$437,4,FALSE)</f>
        <v>5.0000000000000001E-3</v>
      </c>
      <c r="AB108" s="388" t="str">
        <f>VLOOKUP("Бенз(а)пирен",Исх.данные!$C$427:$H$437,6,FALSE)</f>
        <v>1</v>
      </c>
      <c r="AC108" s="392">
        <f t="shared" si="66"/>
        <v>91</v>
      </c>
      <c r="AD108" s="392"/>
      <c r="AE108" s="385" t="str">
        <f t="shared" si="67"/>
        <v>№ п/п</v>
      </c>
      <c r="AF108" s="394" t="e">
        <f t="shared" si="68"/>
        <v>#N/A</v>
      </c>
      <c r="AG108" s="394" t="str">
        <f t="shared" si="69"/>
        <v>502</v>
      </c>
      <c r="AH108" s="398" t="str">
        <f t="shared" si="70"/>
        <v>нет</v>
      </c>
      <c r="AI108" s="399" t="str">
        <f t="shared" si="71"/>
        <v>Допустимый</v>
      </c>
      <c r="AJ108" s="392"/>
      <c r="AK108" s="392"/>
      <c r="AL108" s="388">
        <f>VLOOKUP("Нефтепродукты",Исх.данные!$C$427:$F$437,4,FALSE)</f>
        <v>50</v>
      </c>
      <c r="AM108" s="388" t="str">
        <f>VLOOKUP("Нефтепродукты",Исх.данные!$C$427:$H$437,6,FALSE)</f>
        <v>2</v>
      </c>
      <c r="AN108" s="392"/>
      <c r="AO108" s="392">
        <f t="shared" si="72"/>
        <v>91</v>
      </c>
      <c r="AP108" s="392"/>
      <c r="AQ108" s="400" t="str">
        <f t="shared" si="73"/>
        <v>№ п/п</v>
      </c>
      <c r="AR108" s="391" t="e">
        <f t="shared" si="74"/>
        <v>#N/A</v>
      </c>
      <c r="AS108" s="398" t="str">
        <f t="shared" si="75"/>
        <v>ошибка</v>
      </c>
      <c r="AT108" s="398" t="str">
        <f t="shared" si="76"/>
        <v>ошибка</v>
      </c>
      <c r="AU108" s="401" t="str">
        <f t="shared" si="77"/>
        <v>ошибка</v>
      </c>
      <c r="AV108" s="398" t="str">
        <f t="shared" si="78"/>
        <v>ошибка</v>
      </c>
      <c r="AW108" s="398" t="str">
        <f t="shared" si="79"/>
        <v>нет</v>
      </c>
      <c r="AX108" s="398" t="str">
        <f t="shared" si="80"/>
        <v>ошибка</v>
      </c>
      <c r="AY108" s="402" t="str">
        <f t="shared" si="81"/>
        <v>ошибка</v>
      </c>
      <c r="AZ108" s="395">
        <f t="shared" si="82"/>
        <v>1.0384615384615385</v>
      </c>
      <c r="BA108" s="403" t="str">
        <f t="shared" si="83"/>
        <v>Д</v>
      </c>
      <c r="BB108" s="404"/>
      <c r="BC108" s="395">
        <f t="shared" si="84"/>
        <v>0.46666666666666673</v>
      </c>
      <c r="BD108" s="395">
        <f t="shared" si="85"/>
        <v>0.48148148148148145</v>
      </c>
      <c r="BE108" s="395">
        <f t="shared" si="86"/>
        <v>9.0909090909090912E-2</v>
      </c>
      <c r="BF108" s="395">
        <f t="shared" si="87"/>
        <v>0.17499999999999999</v>
      </c>
      <c r="BG108" s="395">
        <f t="shared" si="88"/>
        <v>6.4999999999999988E-2</v>
      </c>
      <c r="BH108" s="395">
        <f t="shared" si="89"/>
        <v>1.0384615384615385</v>
      </c>
      <c r="BI108" s="395">
        <f t="shared" si="90"/>
        <v>0.59615384615384615</v>
      </c>
      <c r="BJ108" s="404"/>
      <c r="BK108" s="395" t="e">
        <f t="shared" si="96"/>
        <v>#N/A</v>
      </c>
      <c r="BL108" s="395" t="e">
        <f t="shared" si="97"/>
        <v>#N/A</v>
      </c>
      <c r="BM108" s="395" t="e">
        <f t="shared" si="98"/>
        <v>#N/A</v>
      </c>
      <c r="BN108" s="395" t="e">
        <f t="shared" si="99"/>
        <v>#N/A</v>
      </c>
      <c r="BO108" s="395" t="e">
        <f t="shared" si="100"/>
        <v>#N/A</v>
      </c>
      <c r="BP108" s="395" t="e">
        <f t="shared" si="101"/>
        <v>#N/A</v>
      </c>
      <c r="BQ108" s="395" t="e">
        <f t="shared" si="102"/>
        <v>#N/A</v>
      </c>
      <c r="BR108" s="404"/>
      <c r="BS108" s="405">
        <f t="shared" si="91"/>
        <v>1.0384615384615385</v>
      </c>
      <c r="BT108" s="406" t="e">
        <f t="shared" si="92"/>
        <v>#N/A</v>
      </c>
      <c r="BU108" s="398">
        <f t="shared" si="93"/>
        <v>7.0321428571428584</v>
      </c>
      <c r="BV108" s="407">
        <f t="shared" si="94"/>
        <v>1.9666666666666668</v>
      </c>
    </row>
    <row r="109" spans="3:74" ht="16.5" thickBot="1" x14ac:dyDescent="0.3">
      <c r="C109" s="385">
        <f>IF(ISBLANK(D109),"",COUNTA($D$18:D109))</f>
        <v>92</v>
      </c>
      <c r="D109" s="386" t="str">
        <f>RIGHT(Исх.данные!A487,7)</f>
        <v>1</v>
      </c>
      <c r="E109" s="387" t="e">
        <f>VLOOKUP(D109,Акт!$C$1:$I$30,6,FALSE)</f>
        <v>#N/A</v>
      </c>
      <c r="F109" s="388">
        <f>VLOOKUP("pH солевой вытяжки",Исх.данные!$C$427:$F$437,4,FALSE)</f>
        <v>6.2</v>
      </c>
      <c r="G109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09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09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09" s="388">
        <f>VLOOKUP("Никель",Исх.данные!$C$427:$F$437,4,FALSE)</f>
        <v>3.5</v>
      </c>
      <c r="K109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09" s="388" t="str">
        <f>VLOOKUP("Свинец",Исх.данные!$C$427:$F$437,4,FALSE)</f>
        <v>27</v>
      </c>
      <c r="M109" s="388" t="str">
        <f>VLOOKUP("Цинк",Исх.данные!$C$427:$F$437,4,FALSE)</f>
        <v>31</v>
      </c>
      <c r="N109" s="389" t="e">
        <f>VLOOKUP(D109,Акт!$C$1:$I$30,7,FALSE)</f>
        <v>#N/A</v>
      </c>
      <c r="O109" s="390">
        <f>VLOOKUP("pH солевой вытяжки",Исх.данные!$C$427:$F$437,4,FALSE)</f>
        <v>6.2</v>
      </c>
      <c r="P109" s="391"/>
      <c r="Q109" s="392">
        <f t="shared" si="95"/>
        <v>92</v>
      </c>
      <c r="R109" s="393"/>
      <c r="S109" s="385" t="str">
        <f t="shared" si="61"/>
        <v>1</v>
      </c>
      <c r="T109" s="394" t="e">
        <f t="shared" si="62"/>
        <v>#N/A</v>
      </c>
      <c r="U109" s="394" t="str">
        <f t="shared" si="63"/>
        <v>0,0051</v>
      </c>
      <c r="V109" s="395" t="str">
        <f t="shared" si="64"/>
        <v>нет</v>
      </c>
      <c r="W109" s="396" t="str">
        <f t="shared" si="65"/>
        <v>Д</v>
      </c>
      <c r="X109" s="397"/>
      <c r="Y109" s="392"/>
      <c r="Z109" s="392"/>
      <c r="AA109" s="388">
        <f>VLOOKUP("Бенз(а)пирен",Исх.данные!$C$427:$F$437,4,FALSE)</f>
        <v>5.0000000000000001E-3</v>
      </c>
      <c r="AB109" s="388" t="str">
        <f>VLOOKUP("Бенз(а)пирен",Исх.данные!$C$427:$H$437,6,FALSE)</f>
        <v>1</v>
      </c>
      <c r="AC109" s="392">
        <f t="shared" si="66"/>
        <v>92</v>
      </c>
      <c r="AD109" s="392"/>
      <c r="AE109" s="385" t="str">
        <f t="shared" si="67"/>
        <v>1</v>
      </c>
      <c r="AF109" s="394" t="e">
        <f t="shared" si="68"/>
        <v>#N/A</v>
      </c>
      <c r="AG109" s="394" t="str">
        <f t="shared" si="69"/>
        <v>502</v>
      </c>
      <c r="AH109" s="398" t="str">
        <f t="shared" si="70"/>
        <v>нет</v>
      </c>
      <c r="AI109" s="399" t="str">
        <f t="shared" si="71"/>
        <v>Допустимый</v>
      </c>
      <c r="AJ109" s="392"/>
      <c r="AK109" s="392"/>
      <c r="AL109" s="388">
        <f>VLOOKUP("Нефтепродукты",Исх.данные!$C$427:$F$437,4,FALSE)</f>
        <v>50</v>
      </c>
      <c r="AM109" s="388" t="str">
        <f>VLOOKUP("Нефтепродукты",Исх.данные!$C$427:$H$437,6,FALSE)</f>
        <v>2</v>
      </c>
      <c r="AN109" s="392"/>
      <c r="AO109" s="392">
        <f t="shared" si="72"/>
        <v>92</v>
      </c>
      <c r="AP109" s="392"/>
      <c r="AQ109" s="400" t="str">
        <f t="shared" si="73"/>
        <v>1</v>
      </c>
      <c r="AR109" s="391" t="e">
        <f t="shared" si="74"/>
        <v>#N/A</v>
      </c>
      <c r="AS109" s="398" t="str">
        <f t="shared" si="75"/>
        <v>ошибка</v>
      </c>
      <c r="AT109" s="398" t="str">
        <f t="shared" si="76"/>
        <v>ошибка</v>
      </c>
      <c r="AU109" s="401" t="str">
        <f t="shared" si="77"/>
        <v>ошибка</v>
      </c>
      <c r="AV109" s="398" t="str">
        <f t="shared" si="78"/>
        <v>ошибка</v>
      </c>
      <c r="AW109" s="398" t="str">
        <f t="shared" si="79"/>
        <v>нет</v>
      </c>
      <c r="AX109" s="398" t="str">
        <f t="shared" si="80"/>
        <v>ошибка</v>
      </c>
      <c r="AY109" s="402" t="str">
        <f t="shared" si="81"/>
        <v>ошибка</v>
      </c>
      <c r="AZ109" s="395">
        <f t="shared" si="82"/>
        <v>1.0384615384615385</v>
      </c>
      <c r="BA109" s="403" t="str">
        <f t="shared" si="83"/>
        <v>Д</v>
      </c>
      <c r="BB109" s="404"/>
      <c r="BC109" s="395">
        <f t="shared" si="84"/>
        <v>0.46666666666666673</v>
      </c>
      <c r="BD109" s="395">
        <f t="shared" si="85"/>
        <v>0.48148148148148145</v>
      </c>
      <c r="BE109" s="395">
        <f t="shared" si="86"/>
        <v>9.0909090909090912E-2</v>
      </c>
      <c r="BF109" s="395">
        <f t="shared" si="87"/>
        <v>0.17499999999999999</v>
      </c>
      <c r="BG109" s="395">
        <f t="shared" si="88"/>
        <v>6.4999999999999988E-2</v>
      </c>
      <c r="BH109" s="395">
        <f t="shared" si="89"/>
        <v>1.0384615384615385</v>
      </c>
      <c r="BI109" s="395">
        <f t="shared" si="90"/>
        <v>0.59615384615384615</v>
      </c>
      <c r="BJ109" s="404"/>
      <c r="BK109" s="395" t="e">
        <f t="shared" si="96"/>
        <v>#N/A</v>
      </c>
      <c r="BL109" s="395" t="e">
        <f t="shared" si="97"/>
        <v>#N/A</v>
      </c>
      <c r="BM109" s="395" t="e">
        <f t="shared" si="98"/>
        <v>#N/A</v>
      </c>
      <c r="BN109" s="395" t="e">
        <f t="shared" si="99"/>
        <v>#N/A</v>
      </c>
      <c r="BO109" s="395" t="e">
        <f t="shared" si="100"/>
        <v>#N/A</v>
      </c>
      <c r="BP109" s="395" t="e">
        <f t="shared" si="101"/>
        <v>#N/A</v>
      </c>
      <c r="BQ109" s="395" t="e">
        <f t="shared" si="102"/>
        <v>#N/A</v>
      </c>
      <c r="BR109" s="404"/>
      <c r="BS109" s="405">
        <f t="shared" si="91"/>
        <v>1.0384615384615385</v>
      </c>
      <c r="BT109" s="406" t="e">
        <f t="shared" si="92"/>
        <v>#N/A</v>
      </c>
      <c r="BU109" s="398">
        <f t="shared" si="93"/>
        <v>7.0321428571428584</v>
      </c>
      <c r="BV109" s="407">
        <f t="shared" si="94"/>
        <v>1.9666666666666668</v>
      </c>
    </row>
    <row r="110" spans="3:74" ht="16.5" thickBot="1" x14ac:dyDescent="0.3">
      <c r="C110" s="385">
        <f>IF(ISBLANK(D110),"",COUNTA($D$18:D110))</f>
        <v>93</v>
      </c>
      <c r="D110" s="386" t="str">
        <f>RIGHT(Исх.данные!A488,7)</f>
        <v>1</v>
      </c>
      <c r="E110" s="387" t="e">
        <f>VLOOKUP(D110,Акт!$C$1:$I$30,6,FALSE)</f>
        <v>#N/A</v>
      </c>
      <c r="F110" s="388">
        <f>VLOOKUP("pH солевой вытяжки",Исх.данные!$C$427:$F$437,4,FALSE)</f>
        <v>6.2</v>
      </c>
      <c r="G110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0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0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0" s="388">
        <f>VLOOKUP("Никель",Исх.данные!$C$427:$F$437,4,FALSE)</f>
        <v>3.5</v>
      </c>
      <c r="K110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0" s="388" t="str">
        <f>VLOOKUP("Свинец",Исх.данные!$C$427:$F$437,4,FALSE)</f>
        <v>27</v>
      </c>
      <c r="M110" s="388" t="str">
        <f>VLOOKUP("Цинк",Исх.данные!$C$427:$F$437,4,FALSE)</f>
        <v>31</v>
      </c>
      <c r="N110" s="389" t="e">
        <f>VLOOKUP(D110,Акт!$C$1:$I$30,7,FALSE)</f>
        <v>#N/A</v>
      </c>
      <c r="O110" s="390">
        <f>VLOOKUP("pH солевой вытяжки",Исх.данные!$C$427:$F$437,4,FALSE)</f>
        <v>6.2</v>
      </c>
      <c r="P110" s="391"/>
      <c r="Q110" s="392">
        <f t="shared" si="95"/>
        <v>93</v>
      </c>
      <c r="R110" s="393"/>
      <c r="S110" s="385" t="str">
        <f t="shared" si="61"/>
        <v>1</v>
      </c>
      <c r="T110" s="394" t="e">
        <f t="shared" si="62"/>
        <v>#N/A</v>
      </c>
      <c r="U110" s="394" t="str">
        <f t="shared" si="63"/>
        <v>0,0051</v>
      </c>
      <c r="V110" s="395" t="str">
        <f t="shared" si="64"/>
        <v>нет</v>
      </c>
      <c r="W110" s="396" t="str">
        <f t="shared" si="65"/>
        <v>Д</v>
      </c>
      <c r="X110" s="397"/>
      <c r="Y110" s="392"/>
      <c r="Z110" s="392"/>
      <c r="AA110" s="388">
        <f>VLOOKUP("Бенз(а)пирен",Исх.данные!$C$427:$F$437,4,FALSE)</f>
        <v>5.0000000000000001E-3</v>
      </c>
      <c r="AB110" s="388" t="str">
        <f>VLOOKUP("Бенз(а)пирен",Исх.данные!$C$427:$H$437,6,FALSE)</f>
        <v>1</v>
      </c>
      <c r="AC110" s="392">
        <f t="shared" si="66"/>
        <v>93</v>
      </c>
      <c r="AD110" s="392"/>
      <c r="AE110" s="385" t="str">
        <f t="shared" si="67"/>
        <v>1</v>
      </c>
      <c r="AF110" s="394" t="e">
        <f t="shared" si="68"/>
        <v>#N/A</v>
      </c>
      <c r="AG110" s="394" t="str">
        <f t="shared" si="69"/>
        <v>502</v>
      </c>
      <c r="AH110" s="398" t="str">
        <f t="shared" si="70"/>
        <v>нет</v>
      </c>
      <c r="AI110" s="399" t="str">
        <f t="shared" si="71"/>
        <v>Допустимый</v>
      </c>
      <c r="AJ110" s="392"/>
      <c r="AK110" s="392"/>
      <c r="AL110" s="388">
        <f>VLOOKUP("Нефтепродукты",Исх.данные!$C$427:$F$437,4,FALSE)</f>
        <v>50</v>
      </c>
      <c r="AM110" s="388" t="str">
        <f>VLOOKUP("Нефтепродукты",Исх.данные!$C$427:$H$437,6,FALSE)</f>
        <v>2</v>
      </c>
      <c r="AN110" s="392"/>
      <c r="AO110" s="392">
        <f t="shared" si="72"/>
        <v>93</v>
      </c>
      <c r="AP110" s="392"/>
      <c r="AQ110" s="400" t="str">
        <f t="shared" si="73"/>
        <v>1</v>
      </c>
      <c r="AR110" s="391" t="e">
        <f t="shared" si="74"/>
        <v>#N/A</v>
      </c>
      <c r="AS110" s="398" t="str">
        <f t="shared" si="75"/>
        <v>ошибка</v>
      </c>
      <c r="AT110" s="398" t="str">
        <f t="shared" si="76"/>
        <v>ошибка</v>
      </c>
      <c r="AU110" s="401" t="str">
        <f t="shared" si="77"/>
        <v>ошибка</v>
      </c>
      <c r="AV110" s="398" t="str">
        <f t="shared" si="78"/>
        <v>ошибка</v>
      </c>
      <c r="AW110" s="398" t="str">
        <f t="shared" si="79"/>
        <v>нет</v>
      </c>
      <c r="AX110" s="398" t="str">
        <f t="shared" si="80"/>
        <v>ошибка</v>
      </c>
      <c r="AY110" s="402" t="str">
        <f t="shared" si="81"/>
        <v>ошибка</v>
      </c>
      <c r="AZ110" s="395">
        <f t="shared" si="82"/>
        <v>1.0384615384615385</v>
      </c>
      <c r="BA110" s="403" t="str">
        <f t="shared" si="83"/>
        <v>Д</v>
      </c>
      <c r="BB110" s="404"/>
      <c r="BC110" s="395">
        <f t="shared" si="84"/>
        <v>0.46666666666666673</v>
      </c>
      <c r="BD110" s="395">
        <f t="shared" si="85"/>
        <v>0.48148148148148145</v>
      </c>
      <c r="BE110" s="395">
        <f t="shared" si="86"/>
        <v>9.0909090909090912E-2</v>
      </c>
      <c r="BF110" s="395">
        <f t="shared" si="87"/>
        <v>0.17499999999999999</v>
      </c>
      <c r="BG110" s="395">
        <f t="shared" si="88"/>
        <v>6.4999999999999988E-2</v>
      </c>
      <c r="BH110" s="395">
        <f t="shared" si="89"/>
        <v>1.0384615384615385</v>
      </c>
      <c r="BI110" s="395">
        <f t="shared" si="90"/>
        <v>0.59615384615384615</v>
      </c>
      <c r="BJ110" s="404"/>
      <c r="BK110" s="395" t="e">
        <f t="shared" si="96"/>
        <v>#N/A</v>
      </c>
      <c r="BL110" s="395" t="e">
        <f t="shared" si="97"/>
        <v>#N/A</v>
      </c>
      <c r="BM110" s="395" t="e">
        <f t="shared" si="98"/>
        <v>#N/A</v>
      </c>
      <c r="BN110" s="395" t="e">
        <f t="shared" si="99"/>
        <v>#N/A</v>
      </c>
      <c r="BO110" s="395" t="e">
        <f t="shared" si="100"/>
        <v>#N/A</v>
      </c>
      <c r="BP110" s="395" t="e">
        <f t="shared" si="101"/>
        <v>#N/A</v>
      </c>
      <c r="BQ110" s="395" t="e">
        <f t="shared" si="102"/>
        <v>#N/A</v>
      </c>
      <c r="BR110" s="404"/>
      <c r="BS110" s="405">
        <f t="shared" si="91"/>
        <v>1.0384615384615385</v>
      </c>
      <c r="BT110" s="406" t="e">
        <f t="shared" si="92"/>
        <v>#N/A</v>
      </c>
      <c r="BU110" s="398">
        <f t="shared" si="93"/>
        <v>7.0321428571428584</v>
      </c>
      <c r="BV110" s="407">
        <f t="shared" si="94"/>
        <v>1.9666666666666668</v>
      </c>
    </row>
    <row r="111" spans="3:74" ht="16.5" thickBot="1" x14ac:dyDescent="0.3">
      <c r="C111" s="385">
        <f>IF(ISBLANK(D111),"",COUNTA($D$18:D111))</f>
        <v>94</v>
      </c>
      <c r="D111" s="386" t="str">
        <f>RIGHT(Исх.данные!A489,7)</f>
        <v>2</v>
      </c>
      <c r="E111" s="387" t="e">
        <f>VLOOKUP(D111,Акт!$C$1:$I$30,6,FALSE)</f>
        <v>#N/A</v>
      </c>
      <c r="F111" s="388">
        <f>VLOOKUP("pH солевой вытяжки",Исх.данные!$C$427:$F$437,4,FALSE)</f>
        <v>6.2</v>
      </c>
      <c r="G111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1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1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1" s="388">
        <f>VLOOKUP("Никель",Исх.данные!$C$427:$F$437,4,FALSE)</f>
        <v>3.5</v>
      </c>
      <c r="K111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1" s="388" t="str">
        <f>VLOOKUP("Свинец",Исх.данные!$C$427:$F$437,4,FALSE)</f>
        <v>27</v>
      </c>
      <c r="M111" s="388" t="str">
        <f>VLOOKUP("Цинк",Исх.данные!$C$427:$F$437,4,FALSE)</f>
        <v>31</v>
      </c>
      <c r="N111" s="389" t="e">
        <f>VLOOKUP(D111,Акт!$C$1:$I$30,7,FALSE)</f>
        <v>#N/A</v>
      </c>
      <c r="O111" s="390">
        <f>VLOOKUP("pH солевой вытяжки",Исх.данные!$C$427:$F$437,4,FALSE)</f>
        <v>6.2</v>
      </c>
      <c r="P111" s="391"/>
      <c r="Q111" s="392">
        <f t="shared" si="95"/>
        <v>94</v>
      </c>
      <c r="R111" s="393"/>
      <c r="S111" s="385" t="str">
        <f t="shared" si="61"/>
        <v>2</v>
      </c>
      <c r="T111" s="394" t="e">
        <f t="shared" si="62"/>
        <v>#N/A</v>
      </c>
      <c r="U111" s="394" t="str">
        <f t="shared" si="63"/>
        <v>0,0051</v>
      </c>
      <c r="V111" s="395" t="str">
        <f t="shared" si="64"/>
        <v>нет</v>
      </c>
      <c r="W111" s="396" t="str">
        <f t="shared" si="65"/>
        <v>Д</v>
      </c>
      <c r="X111" s="397"/>
      <c r="Y111" s="392"/>
      <c r="Z111" s="392"/>
      <c r="AA111" s="388">
        <f>VLOOKUP("Бенз(а)пирен",Исх.данные!$C$427:$F$437,4,FALSE)</f>
        <v>5.0000000000000001E-3</v>
      </c>
      <c r="AB111" s="388" t="str">
        <f>VLOOKUP("Бенз(а)пирен",Исх.данные!$C$427:$H$437,6,FALSE)</f>
        <v>1</v>
      </c>
      <c r="AC111" s="392">
        <f t="shared" si="66"/>
        <v>94</v>
      </c>
      <c r="AD111" s="392"/>
      <c r="AE111" s="385" t="str">
        <f t="shared" si="67"/>
        <v>2</v>
      </c>
      <c r="AF111" s="394" t="e">
        <f t="shared" si="68"/>
        <v>#N/A</v>
      </c>
      <c r="AG111" s="394" t="str">
        <f t="shared" si="69"/>
        <v>502</v>
      </c>
      <c r="AH111" s="398" t="str">
        <f t="shared" si="70"/>
        <v>нет</v>
      </c>
      <c r="AI111" s="399" t="str">
        <f t="shared" si="71"/>
        <v>Допустимый</v>
      </c>
      <c r="AJ111" s="392"/>
      <c r="AK111" s="392"/>
      <c r="AL111" s="388">
        <f>VLOOKUP("Нефтепродукты",Исх.данные!$C$427:$F$437,4,FALSE)</f>
        <v>50</v>
      </c>
      <c r="AM111" s="388" t="str">
        <f>VLOOKUP("Нефтепродукты",Исх.данные!$C$427:$H$437,6,FALSE)</f>
        <v>2</v>
      </c>
      <c r="AN111" s="392"/>
      <c r="AO111" s="392">
        <f t="shared" si="72"/>
        <v>94</v>
      </c>
      <c r="AP111" s="392"/>
      <c r="AQ111" s="400" t="str">
        <f t="shared" si="73"/>
        <v>2</v>
      </c>
      <c r="AR111" s="391" t="e">
        <f t="shared" si="74"/>
        <v>#N/A</v>
      </c>
      <c r="AS111" s="398" t="str">
        <f t="shared" si="75"/>
        <v>ошибка</v>
      </c>
      <c r="AT111" s="398" t="str">
        <f t="shared" si="76"/>
        <v>ошибка</v>
      </c>
      <c r="AU111" s="401" t="str">
        <f t="shared" si="77"/>
        <v>ошибка</v>
      </c>
      <c r="AV111" s="398" t="str">
        <f t="shared" si="78"/>
        <v>ошибка</v>
      </c>
      <c r="AW111" s="398" t="str">
        <f t="shared" si="79"/>
        <v>нет</v>
      </c>
      <c r="AX111" s="398" t="str">
        <f t="shared" si="80"/>
        <v>ошибка</v>
      </c>
      <c r="AY111" s="402" t="str">
        <f t="shared" si="81"/>
        <v>ошибка</v>
      </c>
      <c r="AZ111" s="395">
        <f t="shared" si="82"/>
        <v>1.0384615384615385</v>
      </c>
      <c r="BA111" s="403" t="str">
        <f t="shared" si="83"/>
        <v>Д</v>
      </c>
      <c r="BB111" s="404"/>
      <c r="BC111" s="395">
        <f t="shared" si="84"/>
        <v>0.46666666666666673</v>
      </c>
      <c r="BD111" s="395">
        <f t="shared" si="85"/>
        <v>0.48148148148148145</v>
      </c>
      <c r="BE111" s="395">
        <f t="shared" si="86"/>
        <v>9.0909090909090912E-2</v>
      </c>
      <c r="BF111" s="395">
        <f t="shared" si="87"/>
        <v>0.17499999999999999</v>
      </c>
      <c r="BG111" s="395">
        <f t="shared" si="88"/>
        <v>6.4999999999999988E-2</v>
      </c>
      <c r="BH111" s="395">
        <f t="shared" si="89"/>
        <v>1.0384615384615385</v>
      </c>
      <c r="BI111" s="395">
        <f t="shared" si="90"/>
        <v>0.59615384615384615</v>
      </c>
      <c r="BJ111" s="404"/>
      <c r="BK111" s="395" t="e">
        <f t="shared" si="96"/>
        <v>#N/A</v>
      </c>
      <c r="BL111" s="395" t="e">
        <f t="shared" si="97"/>
        <v>#N/A</v>
      </c>
      <c r="BM111" s="395" t="e">
        <f t="shared" si="98"/>
        <v>#N/A</v>
      </c>
      <c r="BN111" s="395" t="e">
        <f t="shared" si="99"/>
        <v>#N/A</v>
      </c>
      <c r="BO111" s="395" t="e">
        <f t="shared" si="100"/>
        <v>#N/A</v>
      </c>
      <c r="BP111" s="395" t="e">
        <f t="shared" si="101"/>
        <v>#N/A</v>
      </c>
      <c r="BQ111" s="395" t="e">
        <f t="shared" si="102"/>
        <v>#N/A</v>
      </c>
      <c r="BR111" s="404"/>
      <c r="BS111" s="405">
        <f t="shared" si="91"/>
        <v>1.0384615384615385</v>
      </c>
      <c r="BT111" s="406" t="e">
        <f t="shared" si="92"/>
        <v>#N/A</v>
      </c>
      <c r="BU111" s="398">
        <f t="shared" si="93"/>
        <v>7.0321428571428584</v>
      </c>
      <c r="BV111" s="407">
        <f t="shared" si="94"/>
        <v>1.9666666666666668</v>
      </c>
    </row>
    <row r="112" spans="3:74" ht="16.5" thickBot="1" x14ac:dyDescent="0.3">
      <c r="C112" s="385">
        <f>IF(ISBLANK(D112),"",COUNTA($D$18:D112))</f>
        <v>95</v>
      </c>
      <c r="D112" s="386" t="str">
        <f>RIGHT(Исх.данные!A490,7)</f>
        <v>3</v>
      </c>
      <c r="E112" s="387" t="e">
        <f>VLOOKUP(D112,Акт!$C$1:$I$30,6,FALSE)</f>
        <v>#N/A</v>
      </c>
      <c r="F112" s="388">
        <f>VLOOKUP("pH солевой вытяжки",Исх.данные!$C$427:$F$437,4,FALSE)</f>
        <v>6.2</v>
      </c>
      <c r="G112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2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2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2" s="388">
        <f>VLOOKUP("Никель",Исх.данные!$C$427:$F$437,4,FALSE)</f>
        <v>3.5</v>
      </c>
      <c r="K112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2" s="388" t="str">
        <f>VLOOKUP("Свинец",Исх.данные!$C$427:$F$437,4,FALSE)</f>
        <v>27</v>
      </c>
      <c r="M112" s="388" t="str">
        <f>VLOOKUP("Цинк",Исх.данные!$C$427:$F$437,4,FALSE)</f>
        <v>31</v>
      </c>
      <c r="N112" s="389" t="e">
        <f>VLOOKUP(D112,Акт!$C$1:$I$30,7,FALSE)</f>
        <v>#N/A</v>
      </c>
      <c r="O112" s="390">
        <f>VLOOKUP("pH солевой вытяжки",Исх.данные!$C$427:$F$437,4,FALSE)</f>
        <v>6.2</v>
      </c>
      <c r="P112" s="391"/>
      <c r="Q112" s="392">
        <f t="shared" si="95"/>
        <v>95</v>
      </c>
      <c r="R112" s="393"/>
      <c r="S112" s="385" t="str">
        <f t="shared" ref="S112:S117" si="103">D112</f>
        <v>3</v>
      </c>
      <c r="T112" s="394" t="e">
        <f t="shared" ref="T112:T117" si="104">E112</f>
        <v>#N/A</v>
      </c>
      <c r="U112" s="394" t="str">
        <f t="shared" ref="U112:U117" si="105">IF(OR(AA112="более 2,0",AA112="более 2,0 "),"&gt;2",IF(OR(AA112="менее 0.005",AA112="менее 0.005 "),"&lt;0.005",CONCATENATE(AA112,AB112)))</f>
        <v>0,0051</v>
      </c>
      <c r="V112" s="395" t="str">
        <f t="shared" ref="V112:V117" si="106">IFERROR(IF(OR(AA112="более 2.0 ",AA112="более 2.0"),"100",IF(IF(AA112="менее 0.005","нет",AA112/0.02)&gt;1,AA112/0.02,"нет")),"нет")</f>
        <v>нет</v>
      </c>
      <c r="W112" s="396" t="str">
        <f t="shared" ref="W112:W117" si="107">IF(V112="нет",$A$10,IF(V112&lt;2,$A$10,IF(U112="&lt;0.005",$A$10,IF((V112&lt;=5),$A$12,$A$13))))</f>
        <v>Д</v>
      </c>
      <c r="X112" s="397"/>
      <c r="Y112" s="392"/>
      <c r="Z112" s="392"/>
      <c r="AA112" s="388">
        <f>VLOOKUP("Бенз(а)пирен",Исх.данные!$C$427:$F$437,4,FALSE)</f>
        <v>5.0000000000000001E-3</v>
      </c>
      <c r="AB112" s="388" t="str">
        <f>VLOOKUP("Бенз(а)пирен",Исх.данные!$C$427:$H$437,6,FALSE)</f>
        <v>1</v>
      </c>
      <c r="AC112" s="392">
        <f t="shared" ref="AC112:AC117" si="108">C112</f>
        <v>95</v>
      </c>
      <c r="AD112" s="392"/>
      <c r="AE112" s="385" t="str">
        <f t="shared" ref="AE112:AE117" si="109">D112</f>
        <v>3</v>
      </c>
      <c r="AF112" s="394" t="e">
        <f t="shared" ref="AF112:AF117" si="110">E112</f>
        <v>#N/A</v>
      </c>
      <c r="AG112" s="394" t="str">
        <f t="shared" ref="AG112:AG117" si="111">IF(OR(AL112="менее 50.0",AL112="менее 50.0 "),"&lt;50",CONCATENATE(AL112,AM112))</f>
        <v>502</v>
      </c>
      <c r="AH112" s="398" t="str">
        <f t="shared" ref="AH112:AH117" si="112">IFERROR(IF(IF(AL112="менее 50,0","нет",AL112/1000)&gt;1,AL112/1000,"нет"),"нет")</f>
        <v>нет</v>
      </c>
      <c r="AI112" s="399" t="str">
        <f t="shared" ref="AI112:AI117" si="113">IF(AH112="нет",$B$10,IF(AH112&lt;1,$B$10,IF((AH112&lt;=2),$B$11,IF((AH112&lt;=3),$B$12,IF((AH112&lt;=5),$B$13,$B$14)))))</f>
        <v>Допустимый</v>
      </c>
      <c r="AJ112" s="392"/>
      <c r="AK112" s="392"/>
      <c r="AL112" s="388">
        <f>VLOOKUP("Нефтепродукты",Исх.данные!$C$427:$F$437,4,FALSE)</f>
        <v>50</v>
      </c>
      <c r="AM112" s="388" t="str">
        <f>VLOOKUP("Нефтепродукты",Исх.данные!$C$427:$H$437,6,FALSE)</f>
        <v>2</v>
      </c>
      <c r="AN112" s="392"/>
      <c r="AO112" s="392">
        <f t="shared" ref="AO112:AO117" si="114">C112</f>
        <v>95</v>
      </c>
      <c r="AP112" s="392"/>
      <c r="AQ112" s="400" t="str">
        <f t="shared" ref="AQ112:AQ117" si="115">D112</f>
        <v>3</v>
      </c>
      <c r="AR112" s="391" t="e">
        <f t="shared" ref="AR112:AR117" si="116">E112</f>
        <v>#N/A</v>
      </c>
      <c r="AS112" s="398" t="str">
        <f t="shared" ref="AS112:AS117" si="117">IFERROR(IF((IF(N112="ПС",G112/$CA$4,IF(O112&lt;5.5,G112/$CA$5,G112/$CA$7)))&lt;=1,"нет",IF(N112="ПС",G112/$CA$4,IF(O112&lt;5.5,G112/$CA$5,G112/$CA$7))),"ошибка")</f>
        <v>ошибка</v>
      </c>
      <c r="AT112" s="398" t="str">
        <f t="shared" ref="AT112:AT117" si="118">IFERROR(IF((IF(N112="ПС",H112/$CD$4,IF(O112&lt;5.5,H112/$CD$5,H112/$CD$7)))&lt;=1,"нет",IF(N112="ПС",H112/$CD$4,IF(O112&lt;5.5,H112/$CD$5,H112/$CD$7))),"ошибка")</f>
        <v>ошибка</v>
      </c>
      <c r="AU112" s="401" t="str">
        <f t="shared" ref="AU112:AU117" si="119">IFERROR(IF((IF(N112="ПС",I112/$BZ$4,IF(O112&lt;5.5,I112/$BZ$5,I112/$BZ$7)))&lt;=1,"нет",IF(N112="ПС",I112/$BZ$4,IF(O112&lt;5.5,I112/$BZ$5,I112/$BZ$7))),"ошибка")</f>
        <v>ошибка</v>
      </c>
      <c r="AV112" s="398" t="str">
        <f t="shared" ref="AV112:AV117" si="120">IFERROR(IF((IF(N112="ПС",J112/$CK$4,IF(O112&lt;5.5,J112/$CK$5,J112/$CK$7)))&lt;=1,"нет",IF(N112="ПС",J112/$CK$4,IF(O112&lt;5.5,J112/$CK$5,J112/$CK$7))),"ошибка")</f>
        <v>ошибка</v>
      </c>
      <c r="AW112" s="398" t="str">
        <f t="shared" ref="AW112:AW117" si="121">IFERROR(IF(K112/$CE$3&lt;=1,"нет",K112/$CE$3),"ошибка")</f>
        <v>нет</v>
      </c>
      <c r="AX112" s="398" t="str">
        <f t="shared" ref="AX112:AX117" si="122">IFERROR(IF((IF(N112="ПС",L112/$CL$4,IF(O112&lt;5.5,L112/$CL$5,L112/$CL$7)))&lt;=1,"нет",IF(N112="ПС",L112/$CL$4,IF(O112&lt;5.5,L112/$CL$5,L112/$CL$7))),"ошибка")</f>
        <v>ошибка</v>
      </c>
      <c r="AY112" s="402" t="str">
        <f t="shared" ref="AY112:AY117" si="123">IFERROR(IF((IF(N112="ПС",M112/$CM$4,IF(O112&lt;5.5,M112/$CM$5,M112/$CM$7)))&lt;=1,"нет",IF(N112="ПС",M112/$CM$4,IF(O112&lt;5.5,M112/$CM$5,M112/$CM$7))),"ошибка")</f>
        <v>ошибка</v>
      </c>
      <c r="AZ112" s="395">
        <f t="shared" ref="AZ112:AZ117" si="124">IF($AZ$17=$BS$17,BS112,BT112)</f>
        <v>1.0384615384615385</v>
      </c>
      <c r="BA112" s="403" t="str">
        <f t="shared" ref="BA112:BA117" si="125">IF(AZ112="","",IF(AZ112&lt;16,$A$10,IF((AZ112&lt;=32),$A$11,IF((AZ112&lt;=128),$A$12,$A$13))))</f>
        <v>Д</v>
      </c>
      <c r="BB112" s="404"/>
      <c r="BC112" s="395">
        <f t="shared" ref="BC112:BC117" si="126">G112/$CA$11</f>
        <v>0.46666666666666673</v>
      </c>
      <c r="BD112" s="395">
        <f t="shared" ref="BD112:BD117" si="127">H112/$CD$11</f>
        <v>0.48148148148148145</v>
      </c>
      <c r="BE112" s="395">
        <f t="shared" ref="BE112:BE117" si="128">I112/$BZ$11</f>
        <v>9.0909090909090912E-2</v>
      </c>
      <c r="BF112" s="395">
        <f t="shared" ref="BF112:BF117" si="129">J112/$CK$11</f>
        <v>0.17499999999999999</v>
      </c>
      <c r="BG112" s="395">
        <f t="shared" ref="BG112:BG117" si="130">K112/$CE$11</f>
        <v>6.4999999999999988E-2</v>
      </c>
      <c r="BH112" s="395">
        <f t="shared" ref="BH112:BH117" si="131">L112/$CL$11</f>
        <v>1.0384615384615385</v>
      </c>
      <c r="BI112" s="395">
        <f t="shared" ref="BI112:BI117" si="132">M112/$CM$11</f>
        <v>0.59615384615384615</v>
      </c>
      <c r="BJ112" s="404"/>
      <c r="BK112" s="395" t="e">
        <f t="shared" si="96"/>
        <v>#N/A</v>
      </c>
      <c r="BL112" s="395" t="e">
        <f t="shared" si="97"/>
        <v>#N/A</v>
      </c>
      <c r="BM112" s="395" t="e">
        <f t="shared" si="98"/>
        <v>#N/A</v>
      </c>
      <c r="BN112" s="395" t="e">
        <f t="shared" si="99"/>
        <v>#N/A</v>
      </c>
      <c r="BO112" s="395" t="e">
        <f t="shared" si="100"/>
        <v>#N/A</v>
      </c>
      <c r="BP112" s="395" t="e">
        <f t="shared" si="101"/>
        <v>#N/A</v>
      </c>
      <c r="BQ112" s="395" t="e">
        <f t="shared" si="102"/>
        <v>#N/A</v>
      </c>
      <c r="BR112" s="404"/>
      <c r="BS112" s="405">
        <f t="shared" ref="BS112:BS117" si="133">IF(D112="","",(IF(G112/$CA$11&gt;=1,(G112/$CA$11)-1)+IF(H112/$CD$11&gt;=1,(H112/$CD$11)-1)+IF(I112/$BZ$11&gt;=1,(I112/$BZ$11)-1)+IF(J112/$CK$11&gt;=1,(J112/$CK$11)-1)+IF(L112/$CL$11&gt;=1,(L112/$CL$11)-1)+IF(K112/$CE$11&gt;=1,(K112/$CE$11)-1)+IF(M112/$CM$11&gt;=1,(M112/$CM$11)-1))+1)</f>
        <v>1.0384615384615385</v>
      </c>
      <c r="BT112" s="406" t="e">
        <f t="shared" ref="BT112:BT117" si="134">IF(BU112="","",IF(N112="ПС",BU112,BV112))</f>
        <v>#N/A</v>
      </c>
      <c r="BU112" s="398">
        <f t="shared" ref="BU112:BU117" si="135">IF(D112="","",(IF(G112/$CA$13&gt;=1,(G112/$CA$13)-1)+IF(H112/$CD$13&gt;=1,(H112/$CD$13)-1)+IF(I112/$BZ$13&gt;=1,(I112/$BZ$13)-1)+IF(J112/$CK$13&gt;=1,(J112/$CK$13)-1)+IF(L112/$CL$13&gt;=1,(L112/$CL$13)-1)+IF(K112/$CE$13&gt;=1,(K112/$CE$13)-1)+IF(M112/$CM$13&gt;=1,(M112/$CM$13)-1))+1)</f>
        <v>7.0321428571428584</v>
      </c>
      <c r="BV112" s="407">
        <f t="shared" ref="BV112:BV117" si="136">IF(D112="","",(IF(G112/$CA$14&gt;=1,(G112/$CA$14)-1)+IF(H112/$CD$14&gt;=1,(H112/$CD$14)-1)+IF(I112/$BZ$14&gt;=1,(I112/$BZ$14)-1)+IF(J112/$CK$14&gt;=1,(J112/$CK$14)-1)+IF(L112/$CL$14&gt;=1,(L112/$CL$14)-1)+IF(K112/$CE$14&gt;=1,(K112/$CE$14)-1)+IF(M112/$CM$14&gt;=1,(M112/$CM$14)-1))+1)</f>
        <v>1.9666666666666668</v>
      </c>
    </row>
    <row r="113" spans="3:74" ht="16.5" thickBot="1" x14ac:dyDescent="0.3">
      <c r="C113" s="385">
        <f>IF(ISBLANK(D113),"",COUNTA($D$18:D113))</f>
        <v>96</v>
      </c>
      <c r="D113" s="386" t="str">
        <f>RIGHT(Исх.данные!A491,7)</f>
        <v>4</v>
      </c>
      <c r="E113" s="387" t="e">
        <f>VLOOKUP(D113,Акт!$C$1:$I$30,6,FALSE)</f>
        <v>#N/A</v>
      </c>
      <c r="F113" s="388">
        <f>VLOOKUP("pH солевой вытяжки",Исх.данные!$C$427:$F$437,4,FALSE)</f>
        <v>6.2</v>
      </c>
      <c r="G113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3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3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3" s="388">
        <f>VLOOKUP("Никель",Исх.данные!$C$427:$F$437,4,FALSE)</f>
        <v>3.5</v>
      </c>
      <c r="K113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3" s="388" t="str">
        <f>VLOOKUP("Свинец",Исх.данные!$C$427:$F$437,4,FALSE)</f>
        <v>27</v>
      </c>
      <c r="M113" s="388" t="str">
        <f>VLOOKUP("Цинк",Исх.данные!$C$427:$F$437,4,FALSE)</f>
        <v>31</v>
      </c>
      <c r="N113" s="389" t="e">
        <f>VLOOKUP(D113,Акт!$C$1:$I$30,7,FALSE)</f>
        <v>#N/A</v>
      </c>
      <c r="O113" s="390">
        <f>VLOOKUP("pH солевой вытяжки",Исх.данные!$C$427:$F$437,4,FALSE)</f>
        <v>6.2</v>
      </c>
      <c r="P113" s="391"/>
      <c r="Q113" s="392">
        <f t="shared" si="95"/>
        <v>96</v>
      </c>
      <c r="R113" s="393"/>
      <c r="S113" s="385" t="str">
        <f t="shared" si="103"/>
        <v>4</v>
      </c>
      <c r="T113" s="394" t="e">
        <f t="shared" si="104"/>
        <v>#N/A</v>
      </c>
      <c r="U113" s="394" t="str">
        <f t="shared" si="105"/>
        <v>0,0051</v>
      </c>
      <c r="V113" s="395" t="str">
        <f t="shared" si="106"/>
        <v>нет</v>
      </c>
      <c r="W113" s="396" t="str">
        <f t="shared" si="107"/>
        <v>Д</v>
      </c>
      <c r="X113" s="397"/>
      <c r="Y113" s="392"/>
      <c r="Z113" s="392"/>
      <c r="AA113" s="388">
        <f>VLOOKUP("Бенз(а)пирен",Исх.данные!$C$427:$F$437,4,FALSE)</f>
        <v>5.0000000000000001E-3</v>
      </c>
      <c r="AB113" s="388" t="str">
        <f>VLOOKUP("Бенз(а)пирен",Исх.данные!$C$427:$H$437,6,FALSE)</f>
        <v>1</v>
      </c>
      <c r="AC113" s="392">
        <f t="shared" si="108"/>
        <v>96</v>
      </c>
      <c r="AD113" s="392"/>
      <c r="AE113" s="385" t="str">
        <f t="shared" si="109"/>
        <v>4</v>
      </c>
      <c r="AF113" s="394" t="e">
        <f t="shared" si="110"/>
        <v>#N/A</v>
      </c>
      <c r="AG113" s="394" t="str">
        <f t="shared" si="111"/>
        <v>502</v>
      </c>
      <c r="AH113" s="398" t="str">
        <f t="shared" si="112"/>
        <v>нет</v>
      </c>
      <c r="AI113" s="399" t="str">
        <f t="shared" si="113"/>
        <v>Допустимый</v>
      </c>
      <c r="AJ113" s="392"/>
      <c r="AK113" s="392"/>
      <c r="AL113" s="388">
        <f>VLOOKUP("Нефтепродукты",Исх.данные!$C$427:$F$437,4,FALSE)</f>
        <v>50</v>
      </c>
      <c r="AM113" s="388" t="str">
        <f>VLOOKUP("Нефтепродукты",Исх.данные!$C$427:$H$437,6,FALSE)</f>
        <v>2</v>
      </c>
      <c r="AN113" s="392"/>
      <c r="AO113" s="392">
        <f t="shared" si="114"/>
        <v>96</v>
      </c>
      <c r="AP113" s="392"/>
      <c r="AQ113" s="400" t="str">
        <f t="shared" si="115"/>
        <v>4</v>
      </c>
      <c r="AR113" s="391" t="e">
        <f t="shared" si="116"/>
        <v>#N/A</v>
      </c>
      <c r="AS113" s="398" t="str">
        <f t="shared" si="117"/>
        <v>ошибка</v>
      </c>
      <c r="AT113" s="398" t="str">
        <f t="shared" si="118"/>
        <v>ошибка</v>
      </c>
      <c r="AU113" s="401" t="str">
        <f t="shared" si="119"/>
        <v>ошибка</v>
      </c>
      <c r="AV113" s="398" t="str">
        <f t="shared" si="120"/>
        <v>ошибка</v>
      </c>
      <c r="AW113" s="398" t="str">
        <f t="shared" si="121"/>
        <v>нет</v>
      </c>
      <c r="AX113" s="398" t="str">
        <f t="shared" si="122"/>
        <v>ошибка</v>
      </c>
      <c r="AY113" s="402" t="str">
        <f t="shared" si="123"/>
        <v>ошибка</v>
      </c>
      <c r="AZ113" s="395">
        <f t="shared" si="124"/>
        <v>1.0384615384615385</v>
      </c>
      <c r="BA113" s="403" t="str">
        <f t="shared" si="125"/>
        <v>Д</v>
      </c>
      <c r="BB113" s="404"/>
      <c r="BC113" s="395">
        <f t="shared" si="126"/>
        <v>0.46666666666666673</v>
      </c>
      <c r="BD113" s="395">
        <f t="shared" si="127"/>
        <v>0.48148148148148145</v>
      </c>
      <c r="BE113" s="395">
        <f t="shared" si="128"/>
        <v>9.0909090909090912E-2</v>
      </c>
      <c r="BF113" s="395">
        <f t="shared" si="129"/>
        <v>0.17499999999999999</v>
      </c>
      <c r="BG113" s="395">
        <f t="shared" si="130"/>
        <v>6.4999999999999988E-2</v>
      </c>
      <c r="BH113" s="395">
        <f t="shared" si="131"/>
        <v>1.0384615384615385</v>
      </c>
      <c r="BI113" s="395">
        <f t="shared" si="132"/>
        <v>0.59615384615384615</v>
      </c>
      <c r="BJ113" s="404"/>
      <c r="BK113" s="395" t="e">
        <f t="shared" si="96"/>
        <v>#N/A</v>
      </c>
      <c r="BL113" s="395" t="e">
        <f t="shared" si="97"/>
        <v>#N/A</v>
      </c>
      <c r="BM113" s="395" t="e">
        <f t="shared" si="98"/>
        <v>#N/A</v>
      </c>
      <c r="BN113" s="395" t="e">
        <f t="shared" si="99"/>
        <v>#N/A</v>
      </c>
      <c r="BO113" s="395" t="e">
        <f t="shared" si="100"/>
        <v>#N/A</v>
      </c>
      <c r="BP113" s="395" t="e">
        <f t="shared" si="101"/>
        <v>#N/A</v>
      </c>
      <c r="BQ113" s="395" t="e">
        <f t="shared" si="102"/>
        <v>#N/A</v>
      </c>
      <c r="BR113" s="404"/>
      <c r="BS113" s="405">
        <f t="shared" si="133"/>
        <v>1.0384615384615385</v>
      </c>
      <c r="BT113" s="406" t="e">
        <f t="shared" si="134"/>
        <v>#N/A</v>
      </c>
      <c r="BU113" s="398">
        <f t="shared" si="135"/>
        <v>7.0321428571428584</v>
      </c>
      <c r="BV113" s="407">
        <f t="shared" si="136"/>
        <v>1.9666666666666668</v>
      </c>
    </row>
    <row r="114" spans="3:74" ht="16.5" thickBot="1" x14ac:dyDescent="0.3">
      <c r="C114" s="385">
        <f>IF(ISBLANK(D114),"",COUNTA($D$18:D114))</f>
        <v>97</v>
      </c>
      <c r="D114" s="386" t="str">
        <f>RIGHT(Исх.данные!A492,7)</f>
        <v>5</v>
      </c>
      <c r="E114" s="387" t="e">
        <f>VLOOKUP(D114,Акт!$C$1:$I$30,6,FALSE)</f>
        <v>#N/A</v>
      </c>
      <c r="F114" s="388">
        <f>VLOOKUP("pH солевой вытяжки",Исх.данные!$C$427:$F$437,4,FALSE)</f>
        <v>6.2</v>
      </c>
      <c r="G114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4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4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4" s="388">
        <f>VLOOKUP("Никель",Исх.данные!$C$427:$F$437,4,FALSE)</f>
        <v>3.5</v>
      </c>
      <c r="K114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4" s="388" t="str">
        <f>VLOOKUP("Свинец",Исх.данные!$C$427:$F$437,4,FALSE)</f>
        <v>27</v>
      </c>
      <c r="M114" s="388" t="str">
        <f>VLOOKUP("Цинк",Исх.данные!$C$427:$F$437,4,FALSE)</f>
        <v>31</v>
      </c>
      <c r="N114" s="389" t="e">
        <f>VLOOKUP(D114,Акт!$C$1:$I$30,7,FALSE)</f>
        <v>#N/A</v>
      </c>
      <c r="O114" s="390">
        <f>VLOOKUP("pH солевой вытяжки",Исх.данные!$C$427:$F$437,4,FALSE)</f>
        <v>6.2</v>
      </c>
      <c r="P114" s="391"/>
      <c r="Q114" s="392">
        <f t="shared" si="95"/>
        <v>97</v>
      </c>
      <c r="R114" s="393"/>
      <c r="S114" s="385" t="str">
        <f t="shared" si="103"/>
        <v>5</v>
      </c>
      <c r="T114" s="394" t="e">
        <f t="shared" si="104"/>
        <v>#N/A</v>
      </c>
      <c r="U114" s="394" t="str">
        <f t="shared" si="105"/>
        <v>0,0051</v>
      </c>
      <c r="V114" s="395" t="str">
        <f t="shared" si="106"/>
        <v>нет</v>
      </c>
      <c r="W114" s="396" t="str">
        <f t="shared" si="107"/>
        <v>Д</v>
      </c>
      <c r="X114" s="397"/>
      <c r="Y114" s="392"/>
      <c r="Z114" s="392"/>
      <c r="AA114" s="388">
        <f>VLOOKUP("Бенз(а)пирен",Исх.данные!$C$427:$F$437,4,FALSE)</f>
        <v>5.0000000000000001E-3</v>
      </c>
      <c r="AB114" s="388" t="str">
        <f>VLOOKUP("Бенз(а)пирен",Исх.данные!$C$427:$H$437,6,FALSE)</f>
        <v>1</v>
      </c>
      <c r="AC114" s="392">
        <f t="shared" si="108"/>
        <v>97</v>
      </c>
      <c r="AD114" s="392"/>
      <c r="AE114" s="385" t="str">
        <f t="shared" si="109"/>
        <v>5</v>
      </c>
      <c r="AF114" s="394" t="e">
        <f t="shared" si="110"/>
        <v>#N/A</v>
      </c>
      <c r="AG114" s="394" t="str">
        <f t="shared" si="111"/>
        <v>502</v>
      </c>
      <c r="AH114" s="398" t="str">
        <f t="shared" si="112"/>
        <v>нет</v>
      </c>
      <c r="AI114" s="399" t="str">
        <f t="shared" si="113"/>
        <v>Допустимый</v>
      </c>
      <c r="AJ114" s="392"/>
      <c r="AK114" s="392"/>
      <c r="AL114" s="388">
        <f>VLOOKUP("Нефтепродукты",Исх.данные!$C$427:$F$437,4,FALSE)</f>
        <v>50</v>
      </c>
      <c r="AM114" s="388" t="str">
        <f>VLOOKUP("Нефтепродукты",Исх.данные!$C$427:$H$437,6,FALSE)</f>
        <v>2</v>
      </c>
      <c r="AN114" s="392"/>
      <c r="AO114" s="392">
        <f t="shared" si="114"/>
        <v>97</v>
      </c>
      <c r="AP114" s="392"/>
      <c r="AQ114" s="400" t="str">
        <f t="shared" si="115"/>
        <v>5</v>
      </c>
      <c r="AR114" s="391" t="e">
        <f t="shared" si="116"/>
        <v>#N/A</v>
      </c>
      <c r="AS114" s="398" t="str">
        <f t="shared" si="117"/>
        <v>ошибка</v>
      </c>
      <c r="AT114" s="398" t="str">
        <f t="shared" si="118"/>
        <v>ошибка</v>
      </c>
      <c r="AU114" s="401" t="str">
        <f t="shared" si="119"/>
        <v>ошибка</v>
      </c>
      <c r="AV114" s="398" t="str">
        <f t="shared" si="120"/>
        <v>ошибка</v>
      </c>
      <c r="AW114" s="398" t="str">
        <f t="shared" si="121"/>
        <v>нет</v>
      </c>
      <c r="AX114" s="398" t="str">
        <f t="shared" si="122"/>
        <v>ошибка</v>
      </c>
      <c r="AY114" s="402" t="str">
        <f t="shared" si="123"/>
        <v>ошибка</v>
      </c>
      <c r="AZ114" s="395">
        <f t="shared" si="124"/>
        <v>1.0384615384615385</v>
      </c>
      <c r="BA114" s="403" t="str">
        <f t="shared" si="125"/>
        <v>Д</v>
      </c>
      <c r="BB114" s="404"/>
      <c r="BC114" s="395">
        <f t="shared" si="126"/>
        <v>0.46666666666666673</v>
      </c>
      <c r="BD114" s="395">
        <f t="shared" si="127"/>
        <v>0.48148148148148145</v>
      </c>
      <c r="BE114" s="395">
        <f t="shared" si="128"/>
        <v>9.0909090909090912E-2</v>
      </c>
      <c r="BF114" s="395">
        <f t="shared" si="129"/>
        <v>0.17499999999999999</v>
      </c>
      <c r="BG114" s="395">
        <f t="shared" si="130"/>
        <v>6.4999999999999988E-2</v>
      </c>
      <c r="BH114" s="395">
        <f t="shared" si="131"/>
        <v>1.0384615384615385</v>
      </c>
      <c r="BI114" s="395">
        <f t="shared" si="132"/>
        <v>0.59615384615384615</v>
      </c>
      <c r="BJ114" s="404"/>
      <c r="BK114" s="395" t="e">
        <f t="shared" si="96"/>
        <v>#N/A</v>
      </c>
      <c r="BL114" s="395" t="e">
        <f t="shared" si="97"/>
        <v>#N/A</v>
      </c>
      <c r="BM114" s="395" t="e">
        <f t="shared" si="98"/>
        <v>#N/A</v>
      </c>
      <c r="BN114" s="395" t="e">
        <f t="shared" si="99"/>
        <v>#N/A</v>
      </c>
      <c r="BO114" s="395" t="e">
        <f t="shared" si="100"/>
        <v>#N/A</v>
      </c>
      <c r="BP114" s="395" t="e">
        <f t="shared" si="101"/>
        <v>#N/A</v>
      </c>
      <c r="BQ114" s="395" t="e">
        <f t="shared" si="102"/>
        <v>#N/A</v>
      </c>
      <c r="BR114" s="404"/>
      <c r="BS114" s="405">
        <f t="shared" si="133"/>
        <v>1.0384615384615385</v>
      </c>
      <c r="BT114" s="406" t="e">
        <f t="shared" si="134"/>
        <v>#N/A</v>
      </c>
      <c r="BU114" s="398">
        <f t="shared" si="135"/>
        <v>7.0321428571428584</v>
      </c>
      <c r="BV114" s="407">
        <f t="shared" si="136"/>
        <v>1.9666666666666668</v>
      </c>
    </row>
    <row r="115" spans="3:74" ht="16.5" thickBot="1" x14ac:dyDescent="0.3">
      <c r="C115" s="385">
        <f>IF(ISBLANK(D115),"",COUNTA($D$18:D115))</f>
        <v>98</v>
      </c>
      <c r="D115" s="386" t="str">
        <f>RIGHT(Исх.данные!A493,7)</f>
        <v>6</v>
      </c>
      <c r="E115" s="387" t="e">
        <f>VLOOKUP(D115,Акт!$C$1:$I$30,6,FALSE)</f>
        <v>#N/A</v>
      </c>
      <c r="F115" s="388">
        <f>VLOOKUP("pH солевой вытяжки",Исх.данные!$C$427:$F$437,4,FALSE)</f>
        <v>6.2</v>
      </c>
      <c r="G115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5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5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5" s="388">
        <f>VLOOKUP("Никель",Исх.данные!$C$427:$F$437,4,FALSE)</f>
        <v>3.5</v>
      </c>
      <c r="K115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5" s="388" t="str">
        <f>VLOOKUP("Свинец",Исх.данные!$C$427:$F$437,4,FALSE)</f>
        <v>27</v>
      </c>
      <c r="M115" s="388" t="str">
        <f>VLOOKUP("Цинк",Исх.данные!$C$427:$F$437,4,FALSE)</f>
        <v>31</v>
      </c>
      <c r="N115" s="389" t="e">
        <f>VLOOKUP(D115,Акт!$C$1:$I$30,7,FALSE)</f>
        <v>#N/A</v>
      </c>
      <c r="O115" s="390">
        <f>VLOOKUP("pH солевой вытяжки",Исх.данные!$C$427:$F$437,4,FALSE)</f>
        <v>6.2</v>
      </c>
      <c r="P115" s="391"/>
      <c r="Q115" s="392">
        <f t="shared" si="95"/>
        <v>98</v>
      </c>
      <c r="R115" s="393"/>
      <c r="S115" s="385" t="str">
        <f t="shared" si="103"/>
        <v>6</v>
      </c>
      <c r="T115" s="394" t="e">
        <f t="shared" si="104"/>
        <v>#N/A</v>
      </c>
      <c r="U115" s="394" t="str">
        <f t="shared" si="105"/>
        <v>0,0051</v>
      </c>
      <c r="V115" s="395" t="str">
        <f t="shared" si="106"/>
        <v>нет</v>
      </c>
      <c r="W115" s="396" t="str">
        <f t="shared" si="107"/>
        <v>Д</v>
      </c>
      <c r="X115" s="397"/>
      <c r="Y115" s="392"/>
      <c r="Z115" s="392"/>
      <c r="AA115" s="388">
        <f>VLOOKUP("Бенз(а)пирен",Исх.данные!$C$427:$F$437,4,FALSE)</f>
        <v>5.0000000000000001E-3</v>
      </c>
      <c r="AB115" s="388" t="str">
        <f>VLOOKUP("Бенз(а)пирен",Исх.данные!$C$427:$H$437,6,FALSE)</f>
        <v>1</v>
      </c>
      <c r="AC115" s="392">
        <f t="shared" si="108"/>
        <v>98</v>
      </c>
      <c r="AD115" s="392"/>
      <c r="AE115" s="385" t="str">
        <f t="shared" si="109"/>
        <v>6</v>
      </c>
      <c r="AF115" s="394" t="e">
        <f t="shared" si="110"/>
        <v>#N/A</v>
      </c>
      <c r="AG115" s="394" t="str">
        <f t="shared" si="111"/>
        <v>502</v>
      </c>
      <c r="AH115" s="398" t="str">
        <f t="shared" si="112"/>
        <v>нет</v>
      </c>
      <c r="AI115" s="399" t="str">
        <f t="shared" si="113"/>
        <v>Допустимый</v>
      </c>
      <c r="AJ115" s="392"/>
      <c r="AK115" s="392"/>
      <c r="AL115" s="388">
        <f>VLOOKUP("Нефтепродукты",Исх.данные!$C$427:$F$437,4,FALSE)</f>
        <v>50</v>
      </c>
      <c r="AM115" s="388" t="str">
        <f>VLOOKUP("Нефтепродукты",Исх.данные!$C$427:$H$437,6,FALSE)</f>
        <v>2</v>
      </c>
      <c r="AN115" s="392"/>
      <c r="AO115" s="392">
        <f t="shared" si="114"/>
        <v>98</v>
      </c>
      <c r="AP115" s="392"/>
      <c r="AQ115" s="400" t="str">
        <f t="shared" si="115"/>
        <v>6</v>
      </c>
      <c r="AR115" s="391" t="e">
        <f t="shared" si="116"/>
        <v>#N/A</v>
      </c>
      <c r="AS115" s="398" t="str">
        <f t="shared" si="117"/>
        <v>ошибка</v>
      </c>
      <c r="AT115" s="398" t="str">
        <f t="shared" si="118"/>
        <v>ошибка</v>
      </c>
      <c r="AU115" s="401" t="str">
        <f t="shared" si="119"/>
        <v>ошибка</v>
      </c>
      <c r="AV115" s="398" t="str">
        <f t="shared" si="120"/>
        <v>ошибка</v>
      </c>
      <c r="AW115" s="398" t="str">
        <f t="shared" si="121"/>
        <v>нет</v>
      </c>
      <c r="AX115" s="398" t="str">
        <f t="shared" si="122"/>
        <v>ошибка</v>
      </c>
      <c r="AY115" s="402" t="str">
        <f t="shared" si="123"/>
        <v>ошибка</v>
      </c>
      <c r="AZ115" s="395">
        <f t="shared" si="124"/>
        <v>1.0384615384615385</v>
      </c>
      <c r="BA115" s="403" t="str">
        <f t="shared" si="125"/>
        <v>Д</v>
      </c>
      <c r="BB115" s="404"/>
      <c r="BC115" s="395">
        <f t="shared" si="126"/>
        <v>0.46666666666666673</v>
      </c>
      <c r="BD115" s="395">
        <f t="shared" si="127"/>
        <v>0.48148148148148145</v>
      </c>
      <c r="BE115" s="395">
        <f t="shared" si="128"/>
        <v>9.0909090909090912E-2</v>
      </c>
      <c r="BF115" s="395">
        <f t="shared" si="129"/>
        <v>0.17499999999999999</v>
      </c>
      <c r="BG115" s="395">
        <f t="shared" si="130"/>
        <v>6.4999999999999988E-2</v>
      </c>
      <c r="BH115" s="395">
        <f t="shared" si="131"/>
        <v>1.0384615384615385</v>
      </c>
      <c r="BI115" s="395">
        <f t="shared" si="132"/>
        <v>0.59615384615384615</v>
      </c>
      <c r="BJ115" s="404"/>
      <c r="BK115" s="395" t="e">
        <f t="shared" si="96"/>
        <v>#N/A</v>
      </c>
      <c r="BL115" s="395" t="e">
        <f t="shared" si="97"/>
        <v>#N/A</v>
      </c>
      <c r="BM115" s="395" t="e">
        <f t="shared" si="98"/>
        <v>#N/A</v>
      </c>
      <c r="BN115" s="395" t="e">
        <f t="shared" si="99"/>
        <v>#N/A</v>
      </c>
      <c r="BO115" s="395" t="e">
        <f t="shared" si="100"/>
        <v>#N/A</v>
      </c>
      <c r="BP115" s="395" t="e">
        <f t="shared" si="101"/>
        <v>#N/A</v>
      </c>
      <c r="BQ115" s="395" t="e">
        <f t="shared" si="102"/>
        <v>#N/A</v>
      </c>
      <c r="BR115" s="404"/>
      <c r="BS115" s="405">
        <f t="shared" si="133"/>
        <v>1.0384615384615385</v>
      </c>
      <c r="BT115" s="406" t="e">
        <f t="shared" si="134"/>
        <v>#N/A</v>
      </c>
      <c r="BU115" s="398">
        <f t="shared" si="135"/>
        <v>7.0321428571428584</v>
      </c>
      <c r="BV115" s="407">
        <f t="shared" si="136"/>
        <v>1.9666666666666668</v>
      </c>
    </row>
    <row r="116" spans="3:74" ht="16.5" thickBot="1" x14ac:dyDescent="0.3">
      <c r="C116" s="385">
        <f>IF(ISBLANK(D116),"",COUNTA($D$18:D116))</f>
        <v>99</v>
      </c>
      <c r="D116" s="386" t="str">
        <f>RIGHT(Исх.данные!A494,7)</f>
        <v>7</v>
      </c>
      <c r="E116" s="387" t="e">
        <f>VLOOKUP(D116,Акт!$C$1:$I$30,6,FALSE)</f>
        <v>#N/A</v>
      </c>
      <c r="F116" s="388">
        <f>VLOOKUP("pH солевой вытяжки",Исх.данные!$C$427:$F$437,4,FALSE)</f>
        <v>6.2</v>
      </c>
      <c r="G116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6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6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6" s="388">
        <f>VLOOKUP("Никель",Исх.данные!$C$427:$F$437,4,FALSE)</f>
        <v>3.5</v>
      </c>
      <c r="K116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6" s="388" t="str">
        <f>VLOOKUP("Свинец",Исх.данные!$C$427:$F$437,4,FALSE)</f>
        <v>27</v>
      </c>
      <c r="M116" s="388" t="str">
        <f>VLOOKUP("Цинк",Исх.данные!$C$427:$F$437,4,FALSE)</f>
        <v>31</v>
      </c>
      <c r="N116" s="389" t="e">
        <f>VLOOKUP(D116,Акт!$C$1:$I$30,7,FALSE)</f>
        <v>#N/A</v>
      </c>
      <c r="O116" s="390">
        <f>VLOOKUP("pH солевой вытяжки",Исх.данные!$C$427:$F$437,4,FALSE)</f>
        <v>6.2</v>
      </c>
      <c r="P116" s="391"/>
      <c r="Q116" s="392">
        <f t="shared" si="95"/>
        <v>99</v>
      </c>
      <c r="R116" s="393"/>
      <c r="S116" s="385" t="str">
        <f t="shared" si="103"/>
        <v>7</v>
      </c>
      <c r="T116" s="394" t="e">
        <f t="shared" si="104"/>
        <v>#N/A</v>
      </c>
      <c r="U116" s="394" t="str">
        <f t="shared" si="105"/>
        <v>0,0051</v>
      </c>
      <c r="V116" s="395" t="str">
        <f t="shared" si="106"/>
        <v>нет</v>
      </c>
      <c r="W116" s="396" t="str">
        <f t="shared" si="107"/>
        <v>Д</v>
      </c>
      <c r="X116" s="397"/>
      <c r="Y116" s="392"/>
      <c r="Z116" s="392"/>
      <c r="AA116" s="388">
        <f>VLOOKUP("Бенз(а)пирен",Исх.данные!$C$427:$F$437,4,FALSE)</f>
        <v>5.0000000000000001E-3</v>
      </c>
      <c r="AB116" s="388" t="str">
        <f>VLOOKUP("Бенз(а)пирен",Исх.данные!$C$427:$H$437,6,FALSE)</f>
        <v>1</v>
      </c>
      <c r="AC116" s="392">
        <f t="shared" si="108"/>
        <v>99</v>
      </c>
      <c r="AD116" s="392"/>
      <c r="AE116" s="385" t="str">
        <f t="shared" si="109"/>
        <v>7</v>
      </c>
      <c r="AF116" s="394" t="e">
        <f t="shared" si="110"/>
        <v>#N/A</v>
      </c>
      <c r="AG116" s="394" t="str">
        <f t="shared" si="111"/>
        <v>502</v>
      </c>
      <c r="AH116" s="398" t="str">
        <f t="shared" si="112"/>
        <v>нет</v>
      </c>
      <c r="AI116" s="399" t="str">
        <f t="shared" si="113"/>
        <v>Допустимый</v>
      </c>
      <c r="AJ116" s="392"/>
      <c r="AK116" s="392"/>
      <c r="AL116" s="388">
        <f>VLOOKUP("Нефтепродукты",Исх.данные!$C$427:$F$437,4,FALSE)</f>
        <v>50</v>
      </c>
      <c r="AM116" s="388" t="str">
        <f>VLOOKUP("Нефтепродукты",Исх.данные!$C$427:$H$437,6,FALSE)</f>
        <v>2</v>
      </c>
      <c r="AN116" s="392"/>
      <c r="AO116" s="392">
        <f t="shared" si="114"/>
        <v>99</v>
      </c>
      <c r="AP116" s="392"/>
      <c r="AQ116" s="400" t="str">
        <f t="shared" si="115"/>
        <v>7</v>
      </c>
      <c r="AR116" s="391" t="e">
        <f t="shared" si="116"/>
        <v>#N/A</v>
      </c>
      <c r="AS116" s="398" t="str">
        <f t="shared" si="117"/>
        <v>ошибка</v>
      </c>
      <c r="AT116" s="398" t="str">
        <f t="shared" si="118"/>
        <v>ошибка</v>
      </c>
      <c r="AU116" s="401" t="str">
        <f t="shared" si="119"/>
        <v>ошибка</v>
      </c>
      <c r="AV116" s="398" t="str">
        <f t="shared" si="120"/>
        <v>ошибка</v>
      </c>
      <c r="AW116" s="398" t="str">
        <f t="shared" si="121"/>
        <v>нет</v>
      </c>
      <c r="AX116" s="398" t="str">
        <f t="shared" si="122"/>
        <v>ошибка</v>
      </c>
      <c r="AY116" s="402" t="str">
        <f t="shared" si="123"/>
        <v>ошибка</v>
      </c>
      <c r="AZ116" s="395">
        <f t="shared" si="124"/>
        <v>1.0384615384615385</v>
      </c>
      <c r="BA116" s="403" t="str">
        <f t="shared" si="125"/>
        <v>Д</v>
      </c>
      <c r="BB116" s="404"/>
      <c r="BC116" s="395">
        <f t="shared" si="126"/>
        <v>0.46666666666666673</v>
      </c>
      <c r="BD116" s="395">
        <f t="shared" si="127"/>
        <v>0.48148148148148145</v>
      </c>
      <c r="BE116" s="395">
        <f t="shared" si="128"/>
        <v>9.0909090909090912E-2</v>
      </c>
      <c r="BF116" s="395">
        <f t="shared" si="129"/>
        <v>0.17499999999999999</v>
      </c>
      <c r="BG116" s="395">
        <f t="shared" si="130"/>
        <v>6.4999999999999988E-2</v>
      </c>
      <c r="BH116" s="395">
        <f t="shared" si="131"/>
        <v>1.0384615384615385</v>
      </c>
      <c r="BI116" s="395">
        <f t="shared" si="132"/>
        <v>0.59615384615384615</v>
      </c>
      <c r="BJ116" s="404"/>
      <c r="BK116" s="395" t="e">
        <f t="shared" si="96"/>
        <v>#N/A</v>
      </c>
      <c r="BL116" s="395" t="e">
        <f t="shared" si="97"/>
        <v>#N/A</v>
      </c>
      <c r="BM116" s="395" t="e">
        <f t="shared" si="98"/>
        <v>#N/A</v>
      </c>
      <c r="BN116" s="395" t="e">
        <f t="shared" si="99"/>
        <v>#N/A</v>
      </c>
      <c r="BO116" s="395" t="e">
        <f t="shared" si="100"/>
        <v>#N/A</v>
      </c>
      <c r="BP116" s="395" t="e">
        <f t="shared" si="101"/>
        <v>#N/A</v>
      </c>
      <c r="BQ116" s="395" t="e">
        <f t="shared" si="102"/>
        <v>#N/A</v>
      </c>
      <c r="BR116" s="404"/>
      <c r="BS116" s="405">
        <f t="shared" si="133"/>
        <v>1.0384615384615385</v>
      </c>
      <c r="BT116" s="406" t="e">
        <f t="shared" si="134"/>
        <v>#N/A</v>
      </c>
      <c r="BU116" s="398">
        <f t="shared" si="135"/>
        <v>7.0321428571428584</v>
      </c>
      <c r="BV116" s="407">
        <f t="shared" si="136"/>
        <v>1.9666666666666668</v>
      </c>
    </row>
    <row r="117" spans="3:74" ht="15.75" x14ac:dyDescent="0.25">
      <c r="C117" s="385">
        <f>IF(ISBLANK(D117),"",COUNTA($D$18:D117))</f>
        <v>100</v>
      </c>
      <c r="D117" s="386" t="str">
        <f>RIGHT(Исх.данные!A495,7)</f>
        <v>8</v>
      </c>
      <c r="E117" s="387" t="e">
        <f>VLOOKUP(D117,Акт!$C$1:$I$30,6,FALSE)</f>
        <v>#N/A</v>
      </c>
      <c r="F117" s="388">
        <f>VLOOKUP("pH солевой вытяжки",Исх.данные!$C$427:$F$437,4,FALSE)</f>
        <v>6.2</v>
      </c>
      <c r="G117" s="388">
        <f>IF(OR(VLOOKUP("Кадмий",Исх.данные!$C$427:$F$437,4,FALSE)="менее 0.05",VLOOKUP("Кадмий",Исх.данные!$C$427:$F$437,4,FALSE)="менее 0.05 "),"0.05",VLOOKUP("Кадмий",Исх.данные!$C$427:$F$437,4,FALSE))</f>
        <v>0.14000000000000001</v>
      </c>
      <c r="H117" s="388" t="str">
        <f>IF(OR(VLOOKUP("Медь",Исх.данные!$C$427:$F$437,4,FALSE)="менее 0.1",VLOOKUP("Медь",Исх.данные!$C$427:$F$437,4,FALSE)="менее 0.1 "),"0.1",VLOOKUP("Медь",Исх.данные!$C$427:$F$437,4,FALSE))</f>
        <v>13</v>
      </c>
      <c r="I117" s="388">
        <f>IF(OR(VLOOKUP("Мышьяк",Исх.данные!$C$427:$F$437,4,FALSE)="менее 0.1",VLOOKUP("Мышьяк",Исх.данные!$C$427:$F$437,4,FALSE)="менее 0.1 "),"0.1",VLOOKUP("Мышьяк",Исх.данные!$C$427:$F$437,4,FALSE))</f>
        <v>0.6</v>
      </c>
      <c r="J117" s="388">
        <f>VLOOKUP("Никель",Исх.данные!$C$427:$F$437,4,FALSE)</f>
        <v>3.5</v>
      </c>
      <c r="K117" s="388" t="str">
        <f>IF(OR(VLOOKUP("Ртуть",Исх.данные!$C$427:$F$437,4,FALSE)="менее 0.005",VLOOKUP("Ртуть",Исх.данные!$C$427:$F$437,4,FALSE)="менее 0.005 "),"0.005",VLOOKUP("Ртуть",Исх.данные!$C$427:$F$437,4,FALSE))</f>
        <v>0,0065</v>
      </c>
      <c r="L117" s="388" t="str">
        <f>VLOOKUP("Свинец",Исх.данные!$C$427:$F$437,4,FALSE)</f>
        <v>27</v>
      </c>
      <c r="M117" s="388" t="str">
        <f>VLOOKUP("Цинк",Исх.данные!$C$427:$F$437,4,FALSE)</f>
        <v>31</v>
      </c>
      <c r="N117" s="389" t="e">
        <f>VLOOKUP(D117,Акт!$C$1:$I$30,7,FALSE)</f>
        <v>#N/A</v>
      </c>
      <c r="O117" s="390">
        <f>VLOOKUP("pH солевой вытяжки",Исх.данные!$C$427:$F$437,4,FALSE)</f>
        <v>6.2</v>
      </c>
      <c r="P117" s="391"/>
      <c r="Q117" s="392">
        <f t="shared" si="95"/>
        <v>100</v>
      </c>
      <c r="R117" s="393"/>
      <c r="S117" s="385" t="str">
        <f t="shared" si="103"/>
        <v>8</v>
      </c>
      <c r="T117" s="394" t="e">
        <f t="shared" si="104"/>
        <v>#N/A</v>
      </c>
      <c r="U117" s="394" t="str">
        <f t="shared" si="105"/>
        <v>0,0051</v>
      </c>
      <c r="V117" s="395" t="str">
        <f t="shared" si="106"/>
        <v>нет</v>
      </c>
      <c r="W117" s="396" t="str">
        <f t="shared" si="107"/>
        <v>Д</v>
      </c>
      <c r="X117" s="397"/>
      <c r="Y117" s="392"/>
      <c r="Z117" s="392"/>
      <c r="AA117" s="388">
        <f>VLOOKUP("Бенз(а)пирен",Исх.данные!$C$427:$F$437,4,FALSE)</f>
        <v>5.0000000000000001E-3</v>
      </c>
      <c r="AB117" s="388" t="str">
        <f>VLOOKUP("Бенз(а)пирен",Исх.данные!$C$427:$H$437,6,FALSE)</f>
        <v>1</v>
      </c>
      <c r="AC117" s="392">
        <f t="shared" si="108"/>
        <v>100</v>
      </c>
      <c r="AD117" s="392"/>
      <c r="AE117" s="385" t="str">
        <f t="shared" si="109"/>
        <v>8</v>
      </c>
      <c r="AF117" s="394" t="e">
        <f t="shared" si="110"/>
        <v>#N/A</v>
      </c>
      <c r="AG117" s="394" t="str">
        <f t="shared" si="111"/>
        <v>502</v>
      </c>
      <c r="AH117" s="398" t="str">
        <f t="shared" si="112"/>
        <v>нет</v>
      </c>
      <c r="AI117" s="399" t="str">
        <f t="shared" si="113"/>
        <v>Допустимый</v>
      </c>
      <c r="AJ117" s="392"/>
      <c r="AK117" s="392"/>
      <c r="AL117" s="388">
        <f>VLOOKUP("Нефтепродукты",Исх.данные!$C$427:$F$437,4,FALSE)</f>
        <v>50</v>
      </c>
      <c r="AM117" s="388" t="str">
        <f>VLOOKUP("Нефтепродукты",Исх.данные!$C$427:$H$437,6,FALSE)</f>
        <v>2</v>
      </c>
      <c r="AN117" s="392"/>
      <c r="AO117" s="392">
        <f t="shared" si="114"/>
        <v>100</v>
      </c>
      <c r="AP117" s="392"/>
      <c r="AQ117" s="400" t="str">
        <f t="shared" si="115"/>
        <v>8</v>
      </c>
      <c r="AR117" s="391" t="e">
        <f t="shared" si="116"/>
        <v>#N/A</v>
      </c>
      <c r="AS117" s="398" t="str">
        <f t="shared" si="117"/>
        <v>ошибка</v>
      </c>
      <c r="AT117" s="398" t="str">
        <f t="shared" si="118"/>
        <v>ошибка</v>
      </c>
      <c r="AU117" s="401" t="str">
        <f t="shared" si="119"/>
        <v>ошибка</v>
      </c>
      <c r="AV117" s="398" t="str">
        <f t="shared" si="120"/>
        <v>ошибка</v>
      </c>
      <c r="AW117" s="398" t="str">
        <f t="shared" si="121"/>
        <v>нет</v>
      </c>
      <c r="AX117" s="398" t="str">
        <f t="shared" si="122"/>
        <v>ошибка</v>
      </c>
      <c r="AY117" s="402" t="str">
        <f t="shared" si="123"/>
        <v>ошибка</v>
      </c>
      <c r="AZ117" s="395">
        <f t="shared" si="124"/>
        <v>1.0384615384615385</v>
      </c>
      <c r="BA117" s="403" t="str">
        <f t="shared" si="125"/>
        <v>Д</v>
      </c>
      <c r="BB117" s="404"/>
      <c r="BC117" s="395">
        <f t="shared" si="126"/>
        <v>0.46666666666666673</v>
      </c>
      <c r="BD117" s="395">
        <f t="shared" si="127"/>
        <v>0.48148148148148145</v>
      </c>
      <c r="BE117" s="395">
        <f t="shared" si="128"/>
        <v>9.0909090909090912E-2</v>
      </c>
      <c r="BF117" s="395">
        <f t="shared" si="129"/>
        <v>0.17499999999999999</v>
      </c>
      <c r="BG117" s="395">
        <f t="shared" si="130"/>
        <v>6.4999999999999988E-2</v>
      </c>
      <c r="BH117" s="395">
        <f t="shared" si="131"/>
        <v>1.0384615384615385</v>
      </c>
      <c r="BI117" s="395">
        <f t="shared" si="132"/>
        <v>0.59615384615384615</v>
      </c>
      <c r="BJ117" s="404"/>
      <c r="BK117" s="395" t="e">
        <f t="shared" si="96"/>
        <v>#N/A</v>
      </c>
      <c r="BL117" s="395" t="e">
        <f t="shared" si="97"/>
        <v>#N/A</v>
      </c>
      <c r="BM117" s="395" t="e">
        <f t="shared" si="98"/>
        <v>#N/A</v>
      </c>
      <c r="BN117" s="395" t="e">
        <f t="shared" si="99"/>
        <v>#N/A</v>
      </c>
      <c r="BO117" s="395" t="e">
        <f t="shared" si="100"/>
        <v>#N/A</v>
      </c>
      <c r="BP117" s="395" t="e">
        <f t="shared" si="101"/>
        <v>#N/A</v>
      </c>
      <c r="BQ117" s="395" t="e">
        <f t="shared" si="102"/>
        <v>#N/A</v>
      </c>
      <c r="BR117" s="404"/>
      <c r="BS117" s="405">
        <f t="shared" si="133"/>
        <v>1.0384615384615385</v>
      </c>
      <c r="BT117" s="406" t="e">
        <f t="shared" si="134"/>
        <v>#N/A</v>
      </c>
      <c r="BU117" s="398">
        <f t="shared" si="135"/>
        <v>7.0321428571428584</v>
      </c>
      <c r="BV117" s="407">
        <f t="shared" si="136"/>
        <v>1.9666666666666668</v>
      </c>
    </row>
  </sheetData>
  <autoFilter ref="BX17:CJ17"/>
  <dataConsolidate/>
  <mergeCells count="9">
    <mergeCell ref="CO7:CW7"/>
    <mergeCell ref="CO8:CW8"/>
    <mergeCell ref="CV10:CW10"/>
    <mergeCell ref="CO2:CW2"/>
    <mergeCell ref="CX2:CY2"/>
    <mergeCell ref="CO3:CW3"/>
    <mergeCell ref="CO4:CW4"/>
    <mergeCell ref="CO5:CW5"/>
    <mergeCell ref="CO6:CW6"/>
  </mergeCells>
  <conditionalFormatting sqref="CB18:CD47 W18:X117">
    <cfRule type="cellIs" dxfId="19" priority="26" operator="equal">
      <formula>"УО"</formula>
    </cfRule>
    <cfRule type="cellIs" dxfId="18" priority="27" operator="equal">
      <formula>"О"</formula>
    </cfRule>
    <cfRule type="cellIs" dxfId="17" priority="28" operator="equal">
      <formula>"ЧО"</formula>
    </cfRule>
  </conditionalFormatting>
  <conditionalFormatting sqref="V18:V117">
    <cfRule type="containsText" dxfId="16" priority="11" operator="containsText" text="&gt;100">
      <formula>NOT(ISERROR(SEARCH("&gt;100",V18)))</formula>
    </cfRule>
    <cfRule type="cellIs" dxfId="15" priority="23" operator="between">
      <formula>5</formula>
      <formula>101</formula>
    </cfRule>
  </conditionalFormatting>
  <conditionalFormatting sqref="CE18:CE47 AI18:AI117">
    <cfRule type="cellIs" dxfId="14" priority="22" operator="equal">
      <formula>"Допустимый"</formula>
    </cfRule>
  </conditionalFormatting>
  <conditionalFormatting sqref="AS18:AY117">
    <cfRule type="expression" dxfId="13" priority="12">
      <formula>AND(AS18&gt;1,AS18&lt;1.05)</formula>
    </cfRule>
  </conditionalFormatting>
  <conditionalFormatting sqref="O18:P117 G18:M117 AA18:AB117">
    <cfRule type="expression" dxfId="12" priority="63">
      <formula>$G$18:$P$38=етекст</formula>
    </cfRule>
  </conditionalFormatting>
  <conditionalFormatting sqref="AL18:AL117">
    <cfRule type="expression" dxfId="11" priority="7">
      <formula>$G$18:$P$38=етекст</formula>
    </cfRule>
  </conditionalFormatting>
  <conditionalFormatting sqref="AM18:AM117">
    <cfRule type="expression" dxfId="10" priority="6">
      <formula>$G$18:$P$38=етекст</formula>
    </cfRule>
  </conditionalFormatting>
  <conditionalFormatting sqref="AL39:AL117">
    <cfRule type="expression" dxfId="9" priority="5">
      <formula>$G$18:$P$38=етекст</formula>
    </cfRule>
  </conditionalFormatting>
  <conditionalFormatting sqref="AM39:AM117">
    <cfRule type="expression" dxfId="8" priority="4">
      <formula>$G$18:$P$38=етекст</formula>
    </cfRule>
  </conditionalFormatting>
  <conditionalFormatting sqref="AM39:AM117">
    <cfRule type="expression" dxfId="7" priority="3">
      <formula>$G$18:$P$38=етекст</formula>
    </cfRule>
  </conditionalFormatting>
  <conditionalFormatting sqref="CF18:CI47">
    <cfRule type="cellIs" dxfId="6" priority="2" operator="equal">
      <formula>"Допустимый"</formula>
    </cfRule>
  </conditionalFormatting>
  <conditionalFormatting sqref="F18:F117">
    <cfRule type="expression" dxfId="5" priority="1">
      <formula>$G$18:$P$38=етекст</formula>
    </cfRule>
  </conditionalFormatting>
  <dataValidations disablePrompts="1" count="1">
    <dataValidation type="list" allowBlank="1" showInputMessage="1" showErrorMessage="1" sqref="AZ17">
      <formula1>$BS$17:$BT$17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Точка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7</xdr:col>
                    <xdr:colOff>371475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K94"/>
  <sheetViews>
    <sheetView zoomScale="70" zoomScaleNormal="70" workbookViewId="0">
      <selection activeCell="C48" sqref="C48"/>
    </sheetView>
  </sheetViews>
  <sheetFormatPr defaultRowHeight="15.75" x14ac:dyDescent="0.25"/>
  <cols>
    <col min="1" max="1" width="6.42578125" style="15" customWidth="1"/>
    <col min="2" max="2" width="15.5703125" style="15" customWidth="1"/>
    <col min="3" max="3" width="12.7109375" style="15" customWidth="1"/>
    <col min="4" max="4" width="6.28515625" style="15" customWidth="1"/>
    <col min="5" max="5" width="5.140625" style="15" customWidth="1"/>
    <col min="6" max="6" width="9.140625" style="15"/>
    <col min="7" max="7" width="5.7109375" style="15" customWidth="1"/>
    <col min="8" max="8" width="5.140625" style="15" customWidth="1"/>
    <col min="9" max="9" width="9.140625" style="15"/>
    <col min="10" max="10" width="18.5703125" style="15" customWidth="1"/>
    <col min="11" max="17" width="9.140625" style="15"/>
    <col min="18" max="18" width="13.85546875" style="15" customWidth="1"/>
    <col min="19" max="19" width="13.28515625" style="15" customWidth="1"/>
    <col min="20" max="21" width="9.140625" style="15"/>
    <col min="22" max="22" width="11.140625" style="15" customWidth="1"/>
    <col min="23" max="27" width="9.140625" style="15"/>
    <col min="28" max="29" width="12.140625" style="15" bestFit="1" customWidth="1"/>
    <col min="30" max="37" width="9.140625" style="15"/>
    <col min="38" max="38" width="8.5703125" style="16" customWidth="1"/>
    <col min="39" max="39" width="9.42578125" style="16" customWidth="1"/>
    <col min="40" max="41" width="6.42578125" style="16" customWidth="1"/>
    <col min="42" max="42" width="9.5703125" style="16" customWidth="1"/>
    <col min="43" max="43" width="8.28515625" style="16" customWidth="1"/>
    <col min="44" max="44" width="7.42578125" style="16" customWidth="1"/>
    <col min="45" max="45" width="8.85546875" style="16" customWidth="1"/>
    <col min="46" max="51" width="6.42578125" style="16" customWidth="1"/>
    <col min="52" max="52" width="6.42578125" style="17" customWidth="1"/>
    <col min="53" max="53" width="12" style="16" customWidth="1"/>
    <col min="54" max="54" width="9.140625" style="16"/>
    <col min="55" max="55" width="16.140625" style="16" customWidth="1"/>
    <col min="56" max="56" width="7.140625" style="16" customWidth="1"/>
    <col min="57" max="57" width="11.28515625" style="16" customWidth="1"/>
    <col min="58" max="58" width="7.85546875" style="16" customWidth="1"/>
    <col min="59" max="60" width="9.140625" style="16"/>
    <col min="61" max="61" width="19.28515625" style="16" customWidth="1"/>
    <col min="62" max="62" width="9.85546875" style="16" customWidth="1"/>
    <col min="63" max="63" width="14.42578125" style="16" customWidth="1"/>
    <col min="64" max="16384" width="9.140625" style="15"/>
  </cols>
  <sheetData>
    <row r="1" spans="1:63" s="63" customFormat="1" ht="32.25" customHeight="1" thickBot="1" x14ac:dyDescent="0.3">
      <c r="T1" s="141"/>
      <c r="AL1" s="577" t="s">
        <v>165</v>
      </c>
      <c r="AM1" s="578"/>
      <c r="AN1" s="578"/>
      <c r="AO1" s="578"/>
      <c r="AP1" s="578"/>
      <c r="AQ1" s="578"/>
      <c r="AR1" s="578"/>
      <c r="AS1" s="578"/>
      <c r="AT1" s="578"/>
      <c r="AU1" s="579"/>
      <c r="AV1" s="64"/>
      <c r="AW1" s="64"/>
      <c r="AX1" s="64"/>
      <c r="AY1" s="64"/>
      <c r="AZ1" s="65"/>
      <c r="BA1" s="64"/>
      <c r="BB1" s="64"/>
      <c r="BC1" s="64"/>
      <c r="BD1" s="64"/>
      <c r="BE1" s="64"/>
      <c r="BF1" s="64"/>
      <c r="BG1" s="140"/>
      <c r="BH1" s="64"/>
      <c r="BI1" s="64"/>
      <c r="BJ1" s="64"/>
      <c r="BK1" s="64"/>
    </row>
    <row r="2" spans="1:63" s="63" customFormat="1" ht="63.75" thickBot="1" x14ac:dyDescent="0.3">
      <c r="K2" s="138" t="s">
        <v>164</v>
      </c>
      <c r="L2" s="137"/>
      <c r="M2" s="138" t="s">
        <v>163</v>
      </c>
      <c r="N2" s="137"/>
      <c r="O2" s="138" t="s">
        <v>162</v>
      </c>
      <c r="P2" s="137"/>
      <c r="Q2" s="138" t="s">
        <v>161</v>
      </c>
      <c r="R2" s="137"/>
      <c r="S2" s="138" t="s">
        <v>160</v>
      </c>
      <c r="T2" s="139"/>
      <c r="U2" s="138" t="s">
        <v>159</v>
      </c>
      <c r="V2" s="137"/>
      <c r="W2" s="136" t="s">
        <v>159</v>
      </c>
      <c r="X2" s="135"/>
      <c r="Y2" s="136" t="s">
        <v>159</v>
      </c>
      <c r="Z2" s="135"/>
      <c r="AA2" s="136" t="s">
        <v>159</v>
      </c>
      <c r="AB2" s="135"/>
      <c r="AC2" s="136" t="s">
        <v>159</v>
      </c>
      <c r="AD2" s="135"/>
      <c r="AE2" s="136" t="s">
        <v>159</v>
      </c>
      <c r="AF2" s="135"/>
      <c r="AG2" s="136" t="s">
        <v>159</v>
      </c>
      <c r="AH2" s="135"/>
      <c r="AJ2" s="134" t="s">
        <v>152</v>
      </c>
      <c r="AK2" s="133" t="s">
        <v>151</v>
      </c>
      <c r="AL2" s="132" t="s">
        <v>132</v>
      </c>
      <c r="AM2" s="132" t="s">
        <v>123</v>
      </c>
      <c r="AN2" s="132" t="s">
        <v>158</v>
      </c>
      <c r="AO2" s="132" t="s">
        <v>110</v>
      </c>
      <c r="AP2" s="132" t="s">
        <v>107</v>
      </c>
      <c r="AQ2" s="132" t="s">
        <v>93</v>
      </c>
      <c r="AR2" s="132" t="s">
        <v>87</v>
      </c>
      <c r="AS2" s="132" t="s">
        <v>80</v>
      </c>
      <c r="AT2" s="132" t="s">
        <v>72</v>
      </c>
      <c r="AU2" s="132" t="s">
        <v>66</v>
      </c>
      <c r="AV2" s="131" t="s">
        <v>157</v>
      </c>
      <c r="AW2" s="131" t="s">
        <v>156</v>
      </c>
      <c r="AX2" s="130" t="s">
        <v>155</v>
      </c>
      <c r="AY2" s="130" t="s">
        <v>154</v>
      </c>
      <c r="AZ2" s="129"/>
      <c r="BA2" s="127" t="s">
        <v>152</v>
      </c>
      <c r="BB2" s="126" t="s">
        <v>151</v>
      </c>
      <c r="BC2" s="125" t="s">
        <v>153</v>
      </c>
      <c r="BD2" s="124" t="s">
        <v>149</v>
      </c>
      <c r="BE2" s="123" t="s">
        <v>148</v>
      </c>
      <c r="BF2" s="128"/>
      <c r="BG2" s="127" t="s">
        <v>152</v>
      </c>
      <c r="BH2" s="126" t="s">
        <v>151</v>
      </c>
      <c r="BI2" s="125" t="s">
        <v>150</v>
      </c>
      <c r="BJ2" s="124" t="s">
        <v>149</v>
      </c>
      <c r="BK2" s="123" t="s">
        <v>148</v>
      </c>
    </row>
    <row r="3" spans="1:63" s="63" customFormat="1" ht="23.1" customHeight="1" thickBot="1" x14ac:dyDescent="0.3">
      <c r="A3" s="122" t="s">
        <v>147</v>
      </c>
      <c r="B3" s="121" t="s">
        <v>146</v>
      </c>
      <c r="C3" s="86" t="s">
        <v>23</v>
      </c>
      <c r="D3" s="580" t="str">
        <f>K2</f>
        <v>01АХ.01</v>
      </c>
      <c r="E3" s="580"/>
      <c r="F3" s="85" t="s">
        <v>74</v>
      </c>
      <c r="G3" s="581" t="s">
        <v>145</v>
      </c>
      <c r="H3" s="581"/>
      <c r="I3" s="75" t="str">
        <f t="shared" ref="I3:I14" si="0">IF(OR(F3="супесь",F3="песок"),"ПС","СГ")</f>
        <v>ПС</v>
      </c>
      <c r="J3" s="120" t="s">
        <v>144</v>
      </c>
      <c r="K3" s="84">
        <v>6.2</v>
      </c>
      <c r="L3" s="83" t="s">
        <v>143</v>
      </c>
      <c r="M3" s="96">
        <v>6.2</v>
      </c>
      <c r="N3" s="95" t="s">
        <v>143</v>
      </c>
      <c r="O3" s="118">
        <v>5.7</v>
      </c>
      <c r="P3" s="118" t="s">
        <v>142</v>
      </c>
      <c r="Q3" s="119">
        <v>5.6</v>
      </c>
      <c r="R3" s="118" t="s">
        <v>142</v>
      </c>
      <c r="S3" s="119">
        <v>5.8</v>
      </c>
      <c r="T3" s="118" t="s">
        <v>142</v>
      </c>
      <c r="U3" s="119">
        <v>5.8</v>
      </c>
      <c r="V3" s="118" t="s">
        <v>142</v>
      </c>
      <c r="W3" s="117">
        <v>5.8</v>
      </c>
      <c r="X3" s="116" t="s">
        <v>142</v>
      </c>
      <c r="Y3" s="117">
        <v>5.8</v>
      </c>
      <c r="Z3" s="116" t="s">
        <v>142</v>
      </c>
      <c r="AA3" s="117">
        <v>5.8</v>
      </c>
      <c r="AB3" s="116" t="s">
        <v>142</v>
      </c>
      <c r="AC3" s="117">
        <v>5.8</v>
      </c>
      <c r="AD3" s="116" t="s">
        <v>142</v>
      </c>
      <c r="AE3" s="117">
        <v>5.8</v>
      </c>
      <c r="AF3" s="116" t="s">
        <v>142</v>
      </c>
      <c r="AG3" s="117">
        <v>5.8</v>
      </c>
      <c r="AH3" s="116" t="s">
        <v>142</v>
      </c>
      <c r="AJ3" s="115" t="str">
        <f>K2</f>
        <v>01АХ.01</v>
      </c>
      <c r="AK3" s="113" t="str">
        <f t="shared" ref="AK3:AK14" si="1">IF(RIGHT(AJ3)="1","0,0-0,2","уточнить")</f>
        <v>0,0-0,2</v>
      </c>
      <c r="AL3" s="113" t="str">
        <f>IFERROR(IF((IF($I3="ПС",K$5/$M$35,IF($K3&lt;5.5,K$5/$M$36,K$5/$M$38)))&lt;=1,"нет",IF($I3="ПС",K$5/$M$35,IF($K3&lt;5.5,K$5/$M$36,K$5/$M$38))),"нет")</f>
        <v>нет</v>
      </c>
      <c r="AM3" s="113" t="s">
        <v>48</v>
      </c>
      <c r="AN3" s="113" t="str">
        <f>IFERROR(IF($K7/$R$34&lt;=1,"нет",$K7/$R$34),"нет")</f>
        <v>нет</v>
      </c>
      <c r="AO3" s="113" t="str">
        <f>IFERROR(IF((IF($I3="ПС",K$8/$P$35,IF($K3&lt;5.5,K$8/$P$36,K$8/$P$38)))&lt;=1,"нет",IF($I3="ПС",K$8/$P$35,IF($K3&lt;5.5,K$8/$P$36,K$8/$P$38))),"нет")</f>
        <v>нет</v>
      </c>
      <c r="AP3" s="113" t="str">
        <f>IFERROR(IF((IF($I3="ПС",K$9/$L$35,IF($K3&lt;5.5,K$9/$L$36,K$9/$L$38)))&lt;=1,"нет",IF($I3="ПС",K$9/$L$35,IF($K3&lt;5.5,K$9/$L$36,K$9/$L$38))),"нет")</f>
        <v>нет</v>
      </c>
      <c r="AQ3" s="113" t="str">
        <f>IFERROR(IF((IF($I3="ПС",K$11/$S$35,IF($K3&lt;5.5,K$11/$S$36,K$11/$S$38)))&lt;=1,"нет",IF($I3="ПС",K$11/$S$35,IF($K3&lt;5.5,K$11/$S$36,K$11/$S$38))),"нет")</f>
        <v>нет</v>
      </c>
      <c r="AR3" s="113" t="str">
        <f>IFERROR(IF($K12/Q34&lt;=1,"нет",$K12/Q34),"нет")</f>
        <v>нет</v>
      </c>
      <c r="AS3" s="113" t="str">
        <f>IFERROR(IF((IF($I3="ПС",K$13/$T$35,IF($K3&lt;5.5,K$13/$T$36,K$13/$T$38)))&lt;=1,"нет",IF($I3="ПС",K$13/$T$35,IF($K3&lt;5.5,K$13/$T$36,K$13/$T$38))),"нет")</f>
        <v>нет</v>
      </c>
      <c r="AT3" s="113" t="s">
        <v>48</v>
      </c>
      <c r="AU3" s="113" t="str">
        <f>IFERROR(IF((IF($I3="ПС",K$15/$U$35,IF($K3&lt;5.5,K$15/$U$36,K$15/$U$38)))&lt;=1,"нет",IF($I3="ПС",K$15/$U$35,IF($K3&lt;5.5,K$15/$U$36,K$15/$U$38))),"нет")</f>
        <v>нет</v>
      </c>
      <c r="AV3" s="114" t="e">
        <f t="shared" ref="AV3:AV14" si="2">M45</f>
        <v>#VALUE!</v>
      </c>
      <c r="AW3" s="114" t="e">
        <f>IF(I3="ПС",AB45,AC45)</f>
        <v>#VALUE!</v>
      </c>
      <c r="AX3" s="113" t="e">
        <f t="shared" ref="AX3:AX14" si="3">IF(AV3&lt;16,$A$3,IF((AV3&lt;=32),$A$4,IF((AV3&lt;=128),$A$5,$A$6)))</f>
        <v>#VALUE!</v>
      </c>
      <c r="AY3" s="112" t="e">
        <f t="shared" ref="AY3:AY14" si="4">IF(AW3&lt;16,$A$3,IF((AW3&lt;=32),$A$4,IF((AW3&lt;=128),$A$5,$A$6)))</f>
        <v>#VALUE!</v>
      </c>
      <c r="AZ3" s="65"/>
      <c r="BA3" s="111" t="str">
        <f t="shared" ref="BA3:BA14" si="5">AJ3</f>
        <v>01АХ.01</v>
      </c>
      <c r="BB3" s="110" t="str">
        <f t="shared" ref="BB3:BB14" si="6">AK3</f>
        <v>0,0-0,2</v>
      </c>
      <c r="BC3" s="110" t="str">
        <f>IF(K$4="менее 0,005",K$4,CONCATENATE(K$4," ",L$4))</f>
        <v>менее 0,005  ---</v>
      </c>
      <c r="BD3" s="110" t="str">
        <f>IFERROR(IF(IF(K$4="менее 0,005","нет",K$4/0.02)&gt;1,K$4/0.02,"нет"),"нет")</f>
        <v>нет</v>
      </c>
      <c r="BE3" s="109" t="str">
        <f t="shared" ref="BE3:BE14" si="7">IF(BD3="нет",$A$3,IF(BD3&lt;2,$A$3,IF((BD3&lt;=5),$A$5,$A$6)))</f>
        <v>Д</v>
      </c>
      <c r="BF3" s="64"/>
      <c r="BG3" s="111" t="str">
        <f t="shared" ref="BG3:BG14" si="8">AJ3</f>
        <v>01АХ.01</v>
      </c>
      <c r="BH3" s="110" t="str">
        <f t="shared" ref="BH3:BH14" si="9">AK3</f>
        <v>0,0-0,2</v>
      </c>
      <c r="BI3" s="110" t="str">
        <f>IF(K$10="менее 50,0",K$10,CONCATENATE(K$10," ",L$10))</f>
        <v>менее 50,0  ---</v>
      </c>
      <c r="BJ3" s="110" t="str">
        <f>IFERROR(IF(IF(K$10="менее 50,0","нет",K$10/1000)&gt;1,K$10/1000,"нет"),"нет")</f>
        <v>нет</v>
      </c>
      <c r="BK3" s="109" t="str">
        <f t="shared" ref="BK3:BK14" si="10">IF(BJ3="нет",$B$3,IF(BJ3&lt;1,$B$3,IF((BJ3&lt;=2),$B$4,IF((BJ3&lt;=3),$B$5,IF((BJ3&lt;=5),$B$6,$B$7)))))</f>
        <v>Допустимый</v>
      </c>
    </row>
    <row r="4" spans="1:63" s="63" customFormat="1" ht="23.1" customHeight="1" thickBot="1" x14ac:dyDescent="0.3">
      <c r="A4" s="108" t="s">
        <v>141</v>
      </c>
      <c r="B4" s="107" t="s">
        <v>140</v>
      </c>
      <c r="C4" s="86" t="s">
        <v>23</v>
      </c>
      <c r="D4" s="580" t="str">
        <f>M2</f>
        <v>02АХ.01</v>
      </c>
      <c r="E4" s="580"/>
      <c r="F4" s="85" t="s">
        <v>139</v>
      </c>
      <c r="G4" s="581" t="s">
        <v>138</v>
      </c>
      <c r="H4" s="581"/>
      <c r="I4" s="75" t="str">
        <f t="shared" si="0"/>
        <v>СГ</v>
      </c>
      <c r="J4" s="74" t="s">
        <v>137</v>
      </c>
      <c r="K4" s="94" t="s">
        <v>136</v>
      </c>
      <c r="L4" s="93" t="s">
        <v>83</v>
      </c>
      <c r="M4" s="92" t="s">
        <v>136</v>
      </c>
      <c r="N4" s="91" t="s">
        <v>83</v>
      </c>
      <c r="O4" s="68" t="s">
        <v>84</v>
      </c>
      <c r="P4" s="68" t="s">
        <v>83</v>
      </c>
      <c r="Q4" s="69" t="s">
        <v>84</v>
      </c>
      <c r="R4" s="68" t="s">
        <v>83</v>
      </c>
      <c r="S4" s="69" t="s">
        <v>84</v>
      </c>
      <c r="T4" s="68" t="s">
        <v>83</v>
      </c>
      <c r="U4" s="69" t="s">
        <v>84</v>
      </c>
      <c r="V4" s="68" t="s">
        <v>83</v>
      </c>
      <c r="W4" s="67" t="s">
        <v>84</v>
      </c>
      <c r="X4" s="66" t="s">
        <v>83</v>
      </c>
      <c r="Y4" s="67" t="s">
        <v>84</v>
      </c>
      <c r="Z4" s="66" t="s">
        <v>83</v>
      </c>
      <c r="AA4" s="67" t="s">
        <v>84</v>
      </c>
      <c r="AB4" s="66" t="s">
        <v>83</v>
      </c>
      <c r="AC4" s="67" t="s">
        <v>84</v>
      </c>
      <c r="AD4" s="66" t="s">
        <v>83</v>
      </c>
      <c r="AE4" s="67" t="s">
        <v>84</v>
      </c>
      <c r="AF4" s="66" t="s">
        <v>83</v>
      </c>
      <c r="AG4" s="67" t="s">
        <v>84</v>
      </c>
      <c r="AH4" s="66" t="s">
        <v>83</v>
      </c>
      <c r="AJ4" s="89" t="str">
        <f>M2</f>
        <v>02АХ.01</v>
      </c>
      <c r="AK4" s="88" t="str">
        <f t="shared" si="1"/>
        <v>0,0-0,2</v>
      </c>
      <c r="AL4" s="88" t="str">
        <f>IFERROR(IF((IF($I4="ПС",M$5/$M$35,IF($M3&lt;5.5,M$5/$M$36,M$5/$M$38)))&lt;=1,"нет",IF($I4="ПС",M$5/$M$35,IF($M3&lt;5.5,M$5/$M$36,M$5/$M$38))),"нет")</f>
        <v>нет</v>
      </c>
      <c r="AM4" s="88" t="s">
        <v>48</v>
      </c>
      <c r="AN4" s="88" t="str">
        <f>IFERROR(IF($M7/$R$34&lt;=1,"нет",$M7/$R$34),"нет")</f>
        <v>нет</v>
      </c>
      <c r="AO4" s="88" t="str">
        <f>IFERROR(IF((IF($I4="ПС",M$8/$P$35,IF($M3&lt;5.5,M$8/$P$36,M$8/$P$38)))&lt;=1,"нет",IF($I4="ПС",M$8/$P$35,IF($M3&lt;5.5,M$8/$P$36,M$8/$P$38))),"нет")</f>
        <v>нет</v>
      </c>
      <c r="AP4" s="88">
        <f>IFERROR(IF((IF($I4="ПС",M$9/$L$35,IF($M3&lt;5.5,M$9/$L$36,M$9/$L$38)))&lt;=1,"нет",IF($I4="ПС",M$9/$L$35,IF($M3&lt;5.5,M$9/$L$36,M$9/$L$38))),"нет")</f>
        <v>6</v>
      </c>
      <c r="AQ4" s="88" t="str">
        <f>IFERROR(IF((IF($I4="ПС",M$11/$S$35,IF($M3&lt;5.5,M$11/$S$36,M$11/$S$38)))&lt;=1,"нет",IF($I4="ПС",M$11/$S$35,IF($M3&lt;5.5,M$11/$S$36,M$11/$S$38))),"нет")</f>
        <v>нет</v>
      </c>
      <c r="AR4" s="88" t="str">
        <f>IFERROR(IF($M12/Q35&lt;=1,"нет",$M12/Q35),"нет")</f>
        <v>нет</v>
      </c>
      <c r="AS4" s="88" t="str">
        <f>IFERROR(IF((IF($I4="ПС",M$13/$T$35,IF($M3&lt;5.5,M$13/$T$36,M$13/$T$38)))&lt;=1,"нет",IF($I4="ПС",M$13/$T$35,IF($M3&lt;5.5,M$13/$T$36,M$13/$T$38))),"нет")</f>
        <v>нет</v>
      </c>
      <c r="AT4" s="88" t="s">
        <v>48</v>
      </c>
      <c r="AU4" s="88" t="str">
        <f>IFERROR(IF((IF($I4="ПС",M$15/$U$35,IF($M3&lt;5.5,M$15/$U$36,M$15/$U$38)))&lt;=1,"нет",IF($I4="ПС",M$15/$U$35,IF($M3&lt;5.5,M$15/$U$36,M$15/$U$38))),"нет")</f>
        <v>нет</v>
      </c>
      <c r="AV4" s="90" t="e">
        <f t="shared" si="2"/>
        <v>#VALUE!</v>
      </c>
      <c r="AW4" s="90" t="e">
        <f t="shared" ref="AW4:AW14" si="11">IF(I4="ПС",AB46,AC46)</f>
        <v>#VALUE!</v>
      </c>
      <c r="AX4" s="88" t="e">
        <f t="shared" si="3"/>
        <v>#VALUE!</v>
      </c>
      <c r="AY4" s="87" t="e">
        <f t="shared" si="4"/>
        <v>#VALUE!</v>
      </c>
      <c r="AZ4" s="65"/>
      <c r="BA4" s="89" t="str">
        <f t="shared" si="5"/>
        <v>02АХ.01</v>
      </c>
      <c r="BB4" s="88" t="str">
        <f t="shared" si="6"/>
        <v>0,0-0,2</v>
      </c>
      <c r="BC4" s="88" t="str">
        <f>IF(M$4="менее 0,005",M$4,CONCATENATE(M$4," ",N$4))</f>
        <v>менее 0,005  ---</v>
      </c>
      <c r="BD4" s="88" t="str">
        <f>IFERROR(IF(IF(M$4="менее 0,005","нет",M$4/0.02)&gt;1,M$4/0.02,"нет"),"нет")</f>
        <v>нет</v>
      </c>
      <c r="BE4" s="87" t="str">
        <f t="shared" si="7"/>
        <v>Д</v>
      </c>
      <c r="BF4" s="64"/>
      <c r="BG4" s="89" t="str">
        <f t="shared" si="8"/>
        <v>02АХ.01</v>
      </c>
      <c r="BH4" s="88" t="str">
        <f t="shared" si="9"/>
        <v>0,0-0,2</v>
      </c>
      <c r="BI4" s="88" t="str">
        <f>IF(M$10="менее 50,0",M$10,CONCATENATE(M$10," ",N$10))</f>
        <v>4.8 +/- 1,7</v>
      </c>
      <c r="BJ4" s="88" t="str">
        <f>IFERROR(IF(IF(M$10="менее 50,0","нет",M$10/1000)&gt;1,M$10/1000,"нет"),"нет")</f>
        <v>нет</v>
      </c>
      <c r="BK4" s="87" t="str">
        <f t="shared" si="10"/>
        <v>Допустимый</v>
      </c>
    </row>
    <row r="5" spans="1:63" s="63" customFormat="1" ht="23.1" customHeight="1" thickBot="1" x14ac:dyDescent="0.3">
      <c r="A5" s="106" t="s">
        <v>135</v>
      </c>
      <c r="B5" s="105" t="s">
        <v>134</v>
      </c>
      <c r="C5" s="86" t="s">
        <v>23</v>
      </c>
      <c r="D5" s="580" t="str">
        <f>O2</f>
        <v>03АХ.01</v>
      </c>
      <c r="E5" s="580"/>
      <c r="F5" s="85" t="s">
        <v>74</v>
      </c>
      <c r="G5" s="581" t="s">
        <v>133</v>
      </c>
      <c r="H5" s="581"/>
      <c r="I5" s="75" t="str">
        <f t="shared" si="0"/>
        <v>ПС</v>
      </c>
      <c r="J5" s="74" t="s">
        <v>132</v>
      </c>
      <c r="K5" s="84">
        <v>0.38</v>
      </c>
      <c r="L5" s="83" t="s">
        <v>131</v>
      </c>
      <c r="M5" s="96" t="s">
        <v>130</v>
      </c>
      <c r="N5" s="95" t="s">
        <v>83</v>
      </c>
      <c r="O5" s="68">
        <v>0.24</v>
      </c>
      <c r="P5" s="68" t="s">
        <v>129</v>
      </c>
      <c r="Q5" s="69">
        <v>0.24</v>
      </c>
      <c r="R5" s="68" t="s">
        <v>129</v>
      </c>
      <c r="S5" s="69">
        <v>0.28999999999999998</v>
      </c>
      <c r="T5" s="68" t="s">
        <v>128</v>
      </c>
      <c r="U5" s="69">
        <v>0.31</v>
      </c>
      <c r="V5" s="68" t="s">
        <v>127</v>
      </c>
      <c r="W5" s="67">
        <v>0.31</v>
      </c>
      <c r="X5" s="66" t="s">
        <v>127</v>
      </c>
      <c r="Y5" s="67">
        <v>0.31</v>
      </c>
      <c r="Z5" s="66" t="s">
        <v>127</v>
      </c>
      <c r="AA5" s="67">
        <v>0.31</v>
      </c>
      <c r="AB5" s="66" t="s">
        <v>127</v>
      </c>
      <c r="AC5" s="67">
        <v>0.31</v>
      </c>
      <c r="AD5" s="66" t="s">
        <v>127</v>
      </c>
      <c r="AE5" s="67">
        <v>0.31</v>
      </c>
      <c r="AF5" s="66" t="s">
        <v>127</v>
      </c>
      <c r="AG5" s="67">
        <v>0.31</v>
      </c>
      <c r="AH5" s="66" t="s">
        <v>127</v>
      </c>
      <c r="AJ5" s="89" t="str">
        <f>O2</f>
        <v>03АХ.01</v>
      </c>
      <c r="AK5" s="88" t="str">
        <f t="shared" si="1"/>
        <v>0,0-0,2</v>
      </c>
      <c r="AL5" s="88" t="str">
        <f>IFERROR(IF((IF($I5="ПС",O5/$M$35,IF($O3&lt;5.5,O5/$M$36,O5/$M$38)))&lt;=1,"нет",IF($I5="ПС",O5/$M$35,IF(O3&lt;5.5,O5/$M$36,O5/$M$38))),"нет")</f>
        <v>нет</v>
      </c>
      <c r="AM5" s="88" t="s">
        <v>48</v>
      </c>
      <c r="AN5" s="88" t="str">
        <f>IFERROR(IF($O7/$R$34&lt;=1,"нет",$O7/$R$34),"нет")</f>
        <v>нет</v>
      </c>
      <c r="AO5" s="88" t="str">
        <f>IFERROR(IF((IF($I5="ПС",O$8/$P$35,IF($O3&lt;5.5,O$8/$P$36,O$8/$P$38)))&lt;=1,"нет",IF($I5="ПС",O$8/$P$35,IF($O3&lt;5.5,O$8/$P$36,O$8/$P$38))),"нет")</f>
        <v>нет</v>
      </c>
      <c r="AP5" s="88" t="str">
        <f>IFERROR(IF((IF($I5="ПС",O$9/$L$35,IF($O3&lt;5.5,O$9/$L$36,O$9/$L$38)))&lt;=1,"нет",IF($I5="ПС",O$9/$L$35,IF($O3&lt;5.5,O$9/$L$36,O$9/$L$38))),"нет")</f>
        <v>нет</v>
      </c>
      <c r="AQ5" s="88" t="str">
        <f>IFERROR(IF((IF($I5="ПС",O$11/$S$35,IF($O3&lt;5.5,O$11/$S$36,O$11/$S$38)))&lt;=1,"нет",IF($I5="ПС",O$11/$S$35,IF($O3&lt;5.5,O$11/$S$36,O$11/$S$38))),"нет")</f>
        <v>нет</v>
      </c>
      <c r="AR5" s="88" t="str">
        <f>IFERROR(IF($O12/Q36&lt;=1,"нет",$O12/Q36),"нет")</f>
        <v>нет</v>
      </c>
      <c r="AS5" s="88" t="str">
        <f>IFERROR(IF((IF($I5="ПС",O$13/$T$35,IF($O3&lt;5.5,O$13/$T$36,O$13/$T$38)))&lt;=1,"нет",IF($I5="ПС",O$13/$T$35,IF($O3&lt;5.5,O$13/$T$36,O$13/$T$38))),"нет")</f>
        <v>нет</v>
      </c>
      <c r="AT5" s="88" t="s">
        <v>48</v>
      </c>
      <c r="AU5" s="88" t="str">
        <f>IFERROR(IF((IF($I5="ПС",O$15/$U$35,IF($O3&lt;5.5,O$15/$U$36,O$15/$U$38)))&lt;=1,"нет",IF($I5="ПС",O$15/$U$35,IF($O3&lt;5.5,O$15/$U$36,O$15/$U$38))),"нет")</f>
        <v>нет</v>
      </c>
      <c r="AV5" s="90" t="e">
        <f t="shared" si="2"/>
        <v>#VALUE!</v>
      </c>
      <c r="AW5" s="90" t="e">
        <f t="shared" si="11"/>
        <v>#VALUE!</v>
      </c>
      <c r="AX5" s="88" t="e">
        <f t="shared" si="3"/>
        <v>#VALUE!</v>
      </c>
      <c r="AY5" s="87" t="e">
        <f t="shared" si="4"/>
        <v>#VALUE!</v>
      </c>
      <c r="AZ5" s="65"/>
      <c r="BA5" s="89" t="str">
        <f t="shared" si="5"/>
        <v>03АХ.01</v>
      </c>
      <c r="BB5" s="88" t="str">
        <f t="shared" si="6"/>
        <v>0,0-0,2</v>
      </c>
      <c r="BC5" s="88" t="str">
        <f>IF(O$4="менее 0,005",O$4,CONCATENATE(O$4," ",P$4))</f>
        <v>менее 0,005</v>
      </c>
      <c r="BD5" s="88" t="str">
        <f>IFERROR(IF(IF(O$4="менее 0,005","нет",O$4/0.02)&gt;1,O$4/0.02,"нет"),"нет")</f>
        <v>нет</v>
      </c>
      <c r="BE5" s="87" t="str">
        <f t="shared" si="7"/>
        <v>Д</v>
      </c>
      <c r="BF5" s="64"/>
      <c r="BG5" s="89" t="str">
        <f t="shared" si="8"/>
        <v>03АХ.01</v>
      </c>
      <c r="BH5" s="88" t="str">
        <f t="shared" si="9"/>
        <v>0,0-0,2</v>
      </c>
      <c r="BI5" s="88" t="str">
        <f>IF(O$10="менее 50,0",O$10,CONCATENATE(O$10," ",P$10))</f>
        <v>менее 50,0</v>
      </c>
      <c r="BJ5" s="88" t="str">
        <f>IFERROR(IF(IF(O$10="менее 50,0","нет",O$10/1000)&gt;1,O$10/1000,"нет"),"нет")</f>
        <v>нет</v>
      </c>
      <c r="BK5" s="87" t="str">
        <f t="shared" si="10"/>
        <v>Допустимый</v>
      </c>
    </row>
    <row r="6" spans="1:63" s="63" customFormat="1" ht="23.1" customHeight="1" thickBot="1" x14ac:dyDescent="0.3">
      <c r="A6" s="104" t="s">
        <v>126</v>
      </c>
      <c r="B6" s="103" t="s">
        <v>125</v>
      </c>
      <c r="C6" s="86" t="s">
        <v>23</v>
      </c>
      <c r="D6" s="580" t="str">
        <f>Q2</f>
        <v>04АХ.01</v>
      </c>
      <c r="E6" s="580"/>
      <c r="F6" s="85" t="s">
        <v>74</v>
      </c>
      <c r="G6" s="581" t="s">
        <v>124</v>
      </c>
      <c r="H6" s="581"/>
      <c r="I6" s="75" t="str">
        <f t="shared" si="0"/>
        <v>ПС</v>
      </c>
      <c r="J6" s="74" t="s">
        <v>123</v>
      </c>
      <c r="K6" s="94">
        <v>2.4</v>
      </c>
      <c r="L6" s="93" t="s">
        <v>122</v>
      </c>
      <c r="M6" s="92">
        <v>1.1000000000000001</v>
      </c>
      <c r="N6" s="91" t="s">
        <v>121</v>
      </c>
      <c r="O6" s="68">
        <v>1.2</v>
      </c>
      <c r="P6" s="68" t="s">
        <v>109</v>
      </c>
      <c r="Q6" s="69">
        <v>1.7</v>
      </c>
      <c r="R6" s="68" t="s">
        <v>69</v>
      </c>
      <c r="S6" s="69">
        <v>1.7</v>
      </c>
      <c r="T6" s="68" t="s">
        <v>69</v>
      </c>
      <c r="U6" s="69">
        <v>7</v>
      </c>
      <c r="V6" s="68" t="s">
        <v>63</v>
      </c>
      <c r="W6" s="67">
        <v>7</v>
      </c>
      <c r="X6" s="66" t="s">
        <v>63</v>
      </c>
      <c r="Y6" s="67">
        <v>7</v>
      </c>
      <c r="Z6" s="66" t="s">
        <v>63</v>
      </c>
      <c r="AA6" s="67">
        <v>7</v>
      </c>
      <c r="AB6" s="66" t="s">
        <v>63</v>
      </c>
      <c r="AC6" s="67">
        <v>7</v>
      </c>
      <c r="AD6" s="66" t="s">
        <v>63</v>
      </c>
      <c r="AE6" s="67">
        <v>7</v>
      </c>
      <c r="AF6" s="66" t="s">
        <v>63</v>
      </c>
      <c r="AG6" s="67">
        <v>7</v>
      </c>
      <c r="AH6" s="66" t="s">
        <v>63</v>
      </c>
      <c r="AJ6" s="89" t="str">
        <f>Q2</f>
        <v>04АХ.01</v>
      </c>
      <c r="AK6" s="88" t="str">
        <f t="shared" si="1"/>
        <v>0,0-0,2</v>
      </c>
      <c r="AL6" s="88" t="str">
        <f>IFERROR(IF((IF($I6="ПС",Q5/$M$35,IF($Q3&lt;5.5,Q5/$M$36,Q5/$M$38)))&lt;=1,"нет",IF($I6="ПС",Q5/$M$35,IF(Q3&lt;5.5,Q5/$M$36,Q5/$M$38))),"нет")</f>
        <v>нет</v>
      </c>
      <c r="AM6" s="88" t="s">
        <v>48</v>
      </c>
      <c r="AN6" s="88" t="str">
        <f>IFERROR(IF($Q7/$R$34&lt;=1,"нет",$Q7/$R$34),"нет")</f>
        <v>нет</v>
      </c>
      <c r="AO6" s="88" t="str">
        <f>IFERROR(IF((IF($I6="ПС",Q$8/$P$35,IF($Q3&lt;5.5,Q$8/$P$36,Q$8/$P$38)))&lt;=1,"нет",IF($I6="ПС",Q$8/$P$35,IF($Q3&lt;5.5,Q$8/$P$36,Q$8/$P$38))),"нет")</f>
        <v>нет</v>
      </c>
      <c r="AP6" s="88" t="str">
        <f>IFERROR(IF((IF($I6="ПС",Q$9/$L$35,IF($Q3&lt;5.5,Q$9/$L$36,Q$9/$L$38)))&lt;=1,"нет",IF($I6="ПС",Q$9/$L$35,IF($Q3&lt;5.5,Q$9/$L$36,Q$9/$L$38))),"нет")</f>
        <v>нет</v>
      </c>
      <c r="AQ6" s="88" t="str">
        <f>IFERROR(IF((IF($I6="ПС",Q$11/$S$35,IF($Q3&lt;5.5,Q$11/$S$36,Q$11/$S$38)))&lt;=1,"нет",IF($I6="ПС",Q$11/$S$35,IF($Q3&lt;5.5,Q$11/$S$36,Q$11/$S$38))),"нет")</f>
        <v>нет</v>
      </c>
      <c r="AR6" s="88" t="str">
        <f>IFERROR(IF($Q12/Q37&lt;=1,"нет",$Q12/Q37),"нет")</f>
        <v>нет</v>
      </c>
      <c r="AS6" s="88" t="str">
        <f>IFERROR(IF((IF($I6="ПС",Q$13/$T$35,IF($Q3&lt;5.5,Q$13/$T$36,Q$13/$T$38)))&lt;=1,"нет",IF($I6="ПС",Q$13/$T$35,IF($Q3&lt;5.5,Q$13/$T$36,Q$13/$T$38))),"нет")</f>
        <v>нет</v>
      </c>
      <c r="AT6" s="88" t="s">
        <v>48</v>
      </c>
      <c r="AU6" s="88" t="str">
        <f>IFERROR(IF((IF($I6="ПС",Q$15/$U$35,IF($Q3&lt;5.5,Q$15/$U$36,Q$15/$U$38)))&lt;=1,"нет",IF($I6="ПС",Q$15/$U$35,IF($Q3&lt;5.5,Q$15/$U$36,K$15/$U$38))),"нет")</f>
        <v>нет</v>
      </c>
      <c r="AV6" s="90" t="e">
        <f t="shared" si="2"/>
        <v>#VALUE!</v>
      </c>
      <c r="AW6" s="90" t="e">
        <f t="shared" si="11"/>
        <v>#VALUE!</v>
      </c>
      <c r="AX6" s="88" t="e">
        <f t="shared" si="3"/>
        <v>#VALUE!</v>
      </c>
      <c r="AY6" s="87" t="e">
        <f t="shared" si="4"/>
        <v>#VALUE!</v>
      </c>
      <c r="AZ6" s="65"/>
      <c r="BA6" s="89" t="str">
        <f t="shared" si="5"/>
        <v>04АХ.01</v>
      </c>
      <c r="BB6" s="88" t="str">
        <f t="shared" si="6"/>
        <v>0,0-0,2</v>
      </c>
      <c r="BC6" s="88" t="str">
        <f>IF(Q$4="менее 0,005",Q$4,CONCATENATE(Q$4," ",R$4))</f>
        <v>менее 0,005</v>
      </c>
      <c r="BD6" s="88" t="str">
        <f>IFERROR(IF(IF(Q$4="менее 0,005","нет",Q$4/0.02)&gt;1,Q$4/0.02,"нет"),"нет")</f>
        <v>нет</v>
      </c>
      <c r="BE6" s="87" t="str">
        <f t="shared" si="7"/>
        <v>Д</v>
      </c>
      <c r="BF6" s="64"/>
      <c r="BG6" s="89" t="str">
        <f t="shared" si="8"/>
        <v>04АХ.01</v>
      </c>
      <c r="BH6" s="88" t="str">
        <f t="shared" si="9"/>
        <v>0,0-0,2</v>
      </c>
      <c r="BI6" s="88" t="str">
        <f>IF(Q$10="менее 50,0",Q$10,CONCATENATE(Q$10," ",R$10))</f>
        <v>менее 50,0</v>
      </c>
      <c r="BJ6" s="88" t="str">
        <f>IFERROR(IF(IF(Q$10="менее 50,0","нет",Q$10/1000)&gt;1,Q$10/1000,"нет"),"нет")</f>
        <v>нет</v>
      </c>
      <c r="BK6" s="87" t="str">
        <f t="shared" si="10"/>
        <v>Допустимый</v>
      </c>
    </row>
    <row r="7" spans="1:63" s="63" customFormat="1" ht="23.1" customHeight="1" thickBot="1" x14ac:dyDescent="0.3">
      <c r="A7" s="102"/>
      <c r="B7" s="101" t="s">
        <v>120</v>
      </c>
      <c r="C7" s="86" t="s">
        <v>23</v>
      </c>
      <c r="D7" s="580" t="str">
        <f>S2</f>
        <v>05АХ.01</v>
      </c>
      <c r="E7" s="580"/>
      <c r="F7" s="85" t="s">
        <v>74</v>
      </c>
      <c r="G7" s="581" t="s">
        <v>119</v>
      </c>
      <c r="H7" s="581"/>
      <c r="I7" s="75" t="str">
        <f t="shared" si="0"/>
        <v>ПС</v>
      </c>
      <c r="J7" s="74" t="s">
        <v>118</v>
      </c>
      <c r="K7" s="84" t="s">
        <v>117</v>
      </c>
      <c r="L7" s="83" t="s">
        <v>116</v>
      </c>
      <c r="M7" s="96">
        <v>4.7</v>
      </c>
      <c r="N7" s="95" t="s">
        <v>115</v>
      </c>
      <c r="O7" s="68">
        <v>77</v>
      </c>
      <c r="P7" s="68" t="s">
        <v>114</v>
      </c>
      <c r="Q7" s="69">
        <v>110</v>
      </c>
      <c r="R7" s="68" t="s">
        <v>96</v>
      </c>
      <c r="S7" s="69">
        <v>130</v>
      </c>
      <c r="T7" s="68" t="s">
        <v>113</v>
      </c>
      <c r="U7" s="69">
        <v>310</v>
      </c>
      <c r="V7" s="68" t="s">
        <v>112</v>
      </c>
      <c r="W7" s="67">
        <v>310</v>
      </c>
      <c r="X7" s="66" t="s">
        <v>112</v>
      </c>
      <c r="Y7" s="67">
        <v>310</v>
      </c>
      <c r="Z7" s="66" t="s">
        <v>112</v>
      </c>
      <c r="AA7" s="67">
        <v>310</v>
      </c>
      <c r="AB7" s="66" t="s">
        <v>112</v>
      </c>
      <c r="AC7" s="67">
        <v>310</v>
      </c>
      <c r="AD7" s="66" t="s">
        <v>112</v>
      </c>
      <c r="AE7" s="67">
        <v>310</v>
      </c>
      <c r="AF7" s="66" t="s">
        <v>112</v>
      </c>
      <c r="AG7" s="67">
        <v>310</v>
      </c>
      <c r="AH7" s="66" t="s">
        <v>112</v>
      </c>
      <c r="AJ7" s="89" t="str">
        <f>S2</f>
        <v>05АХ.01</v>
      </c>
      <c r="AK7" s="88" t="str">
        <f t="shared" si="1"/>
        <v>0,0-0,2</v>
      </c>
      <c r="AL7" s="88" t="str">
        <f>IFERROR(IF((IF($I7="ПС",S5/$M$35,IF($S3&lt;5.5,S5/$M$36,S5/$M$38)))&lt;=1,"нет",IF($I7="ПС",S5/$M$35,IF(S3&lt;5.5,S5/$M$36,S5/$M$38))),"нет")</f>
        <v>нет</v>
      </c>
      <c r="AM7" s="88" t="s">
        <v>48</v>
      </c>
      <c r="AN7" s="88" t="str">
        <f>IFERROR(IF($S7/$R$34&lt;=1,"нет",$S7/$R$34),"нет")</f>
        <v>нет</v>
      </c>
      <c r="AO7" s="88" t="str">
        <f>IFERROR(IF((IF($I7="ПС",S$8/$P$35,IF($S3&lt;5.5,S$8/$P$36,S$8/$P$38)))&lt;=1,"нет",IF($I7="ПС",S$8/$P$35,IF($S3&lt;5.5,S$8/$P$36,S$8/$P$38))),"нет")</f>
        <v>нет</v>
      </c>
      <c r="AP7" s="88" t="str">
        <f>IFERROR(IF((IF($I7="ПС",S$9/$L$35,IF($S3&lt;5.5,S$9/$L$36,S$9/$L$38)))&lt;=1,"нет",IF($I7="ПС",S$9/$L$35,IF($S3&lt;5.5,S$9/$L$36,S$9/$L$38))),"нет")</f>
        <v>нет</v>
      </c>
      <c r="AQ7" s="88" t="str">
        <f>IFERROR(IF((IF($I7="ПС",S$11/$S$35,IF($S3&lt;5.5,S$11/$S$36,S$11/$S$38)))&lt;=1,"нет",IF($I7="ПС",S$11/$S$35,IF($S3&lt;5.5,S$11/$S$36,S$11/$S$38))),"нет")</f>
        <v>нет</v>
      </c>
      <c r="AR7" s="88" t="str">
        <f>IFERROR(IF($S12/Q38&lt;=1,"нет",$S12/Q38),"нет")</f>
        <v>нет</v>
      </c>
      <c r="AS7" s="88" t="str">
        <f>IFERROR(IF((IF($I7="ПС",S$13/$T$35,IF($S3&lt;5.5,S$13/$T$36,S$13/$T$38)))&lt;=1,"нет",IF($I7="ПС",S$13/$T$35,IF($S3&lt;5.5,S$13/$T$36,S$13/$T$38))),"нет")</f>
        <v>нет</v>
      </c>
      <c r="AT7" s="88" t="s">
        <v>48</v>
      </c>
      <c r="AU7" s="88" t="str">
        <f>IFERROR(IF((IF($I7="ПС",S$15/$U$35,IF($S3&lt;5.5,S$15/$U$36,S$15/$U$38)))&lt;=1,"нет",IF($I7="ПС",S$15/$U$35,IF($S3&lt;5.5,S$15/$U$36,S$15/$U$38))),"нет")</f>
        <v>нет</v>
      </c>
      <c r="AV7" s="90" t="e">
        <f t="shared" si="2"/>
        <v>#VALUE!</v>
      </c>
      <c r="AW7" s="90" t="e">
        <f t="shared" si="11"/>
        <v>#VALUE!</v>
      </c>
      <c r="AX7" s="88" t="e">
        <f t="shared" si="3"/>
        <v>#VALUE!</v>
      </c>
      <c r="AY7" s="87" t="e">
        <f t="shared" si="4"/>
        <v>#VALUE!</v>
      </c>
      <c r="AZ7" s="65"/>
      <c r="BA7" s="89" t="str">
        <f t="shared" si="5"/>
        <v>05АХ.01</v>
      </c>
      <c r="BB7" s="88" t="str">
        <f t="shared" si="6"/>
        <v>0,0-0,2</v>
      </c>
      <c r="BC7" s="88" t="str">
        <f>IF(S$4="менее 0,005",S$4,CONCATENATE(S$4," ",T$4))</f>
        <v>менее 0,005</v>
      </c>
      <c r="BD7" s="88" t="str">
        <f>IFERROR(IF(IF(S$4="менее 0,005","нет",S$4/0.02)&gt;1,S$4/0.02,"нет"),"нет")</f>
        <v>нет</v>
      </c>
      <c r="BE7" s="87" t="str">
        <f t="shared" si="7"/>
        <v>Д</v>
      </c>
      <c r="BF7" s="64"/>
      <c r="BG7" s="89" t="str">
        <f t="shared" si="8"/>
        <v>05АХ.01</v>
      </c>
      <c r="BH7" s="88" t="str">
        <f t="shared" si="9"/>
        <v>0,0-0,2</v>
      </c>
      <c r="BI7" s="88" t="str">
        <f>IF(S$10="менее 50,0",S$10,CONCATENATE(S$10," ",T$10))</f>
        <v>70 ± 30</v>
      </c>
      <c r="BJ7" s="88" t="str">
        <f>IFERROR(IF(IF(S$10="менее 50,0","нет",S$10/1000)&gt;1,S$10/1000,"нет"),"нет")</f>
        <v>нет</v>
      </c>
      <c r="BK7" s="87" t="str">
        <f t="shared" si="10"/>
        <v>Допустимый</v>
      </c>
    </row>
    <row r="8" spans="1:63" s="63" customFormat="1" ht="23.1" customHeight="1" thickBot="1" x14ac:dyDescent="0.3">
      <c r="C8" s="86" t="s">
        <v>23</v>
      </c>
      <c r="D8" s="580" t="str">
        <f>U2</f>
        <v>06АХ.01</v>
      </c>
      <c r="E8" s="580"/>
      <c r="F8" s="85" t="s">
        <v>74</v>
      </c>
      <c r="G8" s="581" t="s">
        <v>111</v>
      </c>
      <c r="H8" s="581"/>
      <c r="I8" s="75" t="str">
        <f t="shared" si="0"/>
        <v>ПС</v>
      </c>
      <c r="J8" s="74" t="s">
        <v>110</v>
      </c>
      <c r="K8" s="100">
        <v>8.6</v>
      </c>
      <c r="L8" s="99" t="s">
        <v>97</v>
      </c>
      <c r="M8" s="98" t="s">
        <v>106</v>
      </c>
      <c r="N8" s="97" t="s">
        <v>83</v>
      </c>
      <c r="O8" s="68">
        <v>2.6</v>
      </c>
      <c r="P8" s="68" t="s">
        <v>109</v>
      </c>
      <c r="Q8" s="69">
        <v>3.9</v>
      </c>
      <c r="R8" s="68" t="s">
        <v>77</v>
      </c>
      <c r="S8" s="69">
        <v>3.3</v>
      </c>
      <c r="T8" s="68" t="s">
        <v>69</v>
      </c>
      <c r="U8" s="69">
        <v>13</v>
      </c>
      <c r="V8" s="68" t="s">
        <v>63</v>
      </c>
      <c r="W8" s="67">
        <v>13</v>
      </c>
      <c r="X8" s="66" t="s">
        <v>63</v>
      </c>
      <c r="Y8" s="67">
        <v>13</v>
      </c>
      <c r="Z8" s="66" t="s">
        <v>63</v>
      </c>
      <c r="AA8" s="67">
        <v>13</v>
      </c>
      <c r="AB8" s="66" t="s">
        <v>63</v>
      </c>
      <c r="AC8" s="67">
        <v>13</v>
      </c>
      <c r="AD8" s="66" t="s">
        <v>63</v>
      </c>
      <c r="AE8" s="67">
        <v>13</v>
      </c>
      <c r="AF8" s="66" t="s">
        <v>63</v>
      </c>
      <c r="AG8" s="67">
        <v>13</v>
      </c>
      <c r="AH8" s="66" t="s">
        <v>63</v>
      </c>
      <c r="AJ8" s="89" t="str">
        <f>U2</f>
        <v>06АХ.01</v>
      </c>
      <c r="AK8" s="88" t="str">
        <f t="shared" si="1"/>
        <v>0,0-0,2</v>
      </c>
      <c r="AL8" s="88" t="str">
        <f>IFERROR(IF((IF($I8="ПС",U5/$M$35,IF($U3&lt;5.5,U5/$M$36,U5/$M$38)))&lt;=1,"нет",IF($I8="ПС",U5/$M$35,IF(U3&lt;5.5,U5/$M$36,U5/$M$38))),"нет")</f>
        <v>нет</v>
      </c>
      <c r="AM8" s="88" t="s">
        <v>48</v>
      </c>
      <c r="AN8" s="88" t="str">
        <f>IFERROR(IF($U7/$R$34&lt;=1,"нет",$U7/$R$34),"нет")</f>
        <v>нет</v>
      </c>
      <c r="AO8" s="88" t="str">
        <f>IFERROR(IF((IF($I9="ПС",U$8/$P$35,IF($U3&lt;5.5,U$8/$P$36,U$8/$P$38)))&lt;=1,"нет",IF($I9="ПС",U$8/$P$35,IF($U3&lt;5.5,U$8/$P$36,U$8/$P$38))),"нет")</f>
        <v>нет</v>
      </c>
      <c r="AP8" s="88" t="str">
        <f>IFERROR(IF((IF($I8="ПС",U$9/$L$35,IF($U3&lt;5.5,U$9/$L$36,U$9/$L$38)))&lt;=1,"нет",IF($I8="ПС",U$9/$L$35,IF($U3&lt;5.5,U$9/$L$36,U$9/$L$38))),"нет")</f>
        <v>нет</v>
      </c>
      <c r="AQ8" s="90" t="str">
        <f>IFERROR(IF((IF($I8="ПС",U$11/$S$35,IF($U3&lt;5.5,U$11/$S$36,U$11/$S$38)))&lt;=1,"нет",IF($I8="ПС",U$11/$S$35,IF($U3&lt;5.5,U$11/$S$36,U$11/$S$38))),"нет")</f>
        <v>нет</v>
      </c>
      <c r="AR8" s="88" t="str">
        <f>IFERROR(IF($U12/Q39&lt;=1,"нет",$U12/Q39),"нет")</f>
        <v>нет</v>
      </c>
      <c r="AS8" s="88" t="str">
        <f>IFERROR(IF((IF($I8="ПС",U$13/$T$35,IF($U3&lt;5.5,U$13/$T$36,U$13/$T$38)))&lt;=1,"нет",IF($I8="ПС",U$13/$T$35,IF($U3&lt;5.5,U$13/$T$36,U$13/$T$38))),"нет")</f>
        <v>нет</v>
      </c>
      <c r="AT8" s="88" t="s">
        <v>48</v>
      </c>
      <c r="AU8" s="88" t="str">
        <f>IFERROR(IF((IF($I8="ПС",U$15/$U$35,IF($U3&lt;5.5,U$15/$U$36,U$15/$U$38)))&lt;=1,"нет",IF($I8="ПС",U$15/$U$35,IF($U3&lt;5.5,U$15/$U$36,U$15/$U$38))),"нет")</f>
        <v>нет</v>
      </c>
      <c r="AV8" s="90" t="e">
        <f t="shared" si="2"/>
        <v>#VALUE!</v>
      </c>
      <c r="AW8" s="90" t="e">
        <f t="shared" si="11"/>
        <v>#VALUE!</v>
      </c>
      <c r="AX8" s="88" t="e">
        <f t="shared" si="3"/>
        <v>#VALUE!</v>
      </c>
      <c r="AY8" s="87" t="e">
        <f t="shared" si="4"/>
        <v>#VALUE!</v>
      </c>
      <c r="AZ8" s="65"/>
      <c r="BA8" s="89" t="str">
        <f t="shared" si="5"/>
        <v>06АХ.01</v>
      </c>
      <c r="BB8" s="88" t="str">
        <f t="shared" si="6"/>
        <v>0,0-0,2</v>
      </c>
      <c r="BC8" s="88" t="str">
        <f>IF(U$4="менее 0,005",U$4,CONCATENATE(U$4," ",V$4))</f>
        <v>менее 0,005</v>
      </c>
      <c r="BD8" s="88" t="str">
        <f>IFERROR(IF(IF(U$4="менее 0,005","нет",U$4/0.02)&gt;1,U$4/0.02,"нет"),"нет")</f>
        <v>нет</v>
      </c>
      <c r="BE8" s="87" t="str">
        <f t="shared" si="7"/>
        <v>Д</v>
      </c>
      <c r="BF8" s="64"/>
      <c r="BG8" s="89" t="str">
        <f t="shared" si="8"/>
        <v>06АХ.01</v>
      </c>
      <c r="BH8" s="88" t="str">
        <f t="shared" si="9"/>
        <v>0,0-0,2</v>
      </c>
      <c r="BI8" s="88" t="str">
        <f>IF(U$10="менее 50,0",U$10,CONCATENATE(U$10," ",V$10))</f>
        <v>менее 50,0</v>
      </c>
      <c r="BJ8" s="88" t="str">
        <f>IFERROR(IF(IF(U$10="менее 50,0","нет",U$10/1000)&gt;1,U$10/1000,"нет"),"нет")</f>
        <v>нет</v>
      </c>
      <c r="BK8" s="87" t="str">
        <f t="shared" si="10"/>
        <v>Допустимый</v>
      </c>
    </row>
    <row r="9" spans="1:63" s="63" customFormat="1" ht="23.1" customHeight="1" thickBot="1" x14ac:dyDescent="0.3">
      <c r="C9" s="86" t="s">
        <v>23</v>
      </c>
      <c r="D9" s="580" t="str">
        <f>W2</f>
        <v>06АХ.01</v>
      </c>
      <c r="E9" s="580"/>
      <c r="F9" s="85" t="s">
        <v>74</v>
      </c>
      <c r="G9" s="581" t="s">
        <v>108</v>
      </c>
      <c r="H9" s="581"/>
      <c r="I9" s="75" t="str">
        <f t="shared" si="0"/>
        <v>ПС</v>
      </c>
      <c r="J9" s="74" t="s">
        <v>107</v>
      </c>
      <c r="K9" s="94" t="s">
        <v>106</v>
      </c>
      <c r="L9" s="93" t="s">
        <v>83</v>
      </c>
      <c r="M9" s="92" t="s">
        <v>105</v>
      </c>
      <c r="N9" s="91" t="s">
        <v>104</v>
      </c>
      <c r="O9" s="68">
        <v>0.7</v>
      </c>
      <c r="P9" s="68" t="s">
        <v>103</v>
      </c>
      <c r="Q9" s="69">
        <v>0.6</v>
      </c>
      <c r="R9" s="68" t="s">
        <v>103</v>
      </c>
      <c r="S9" s="69">
        <v>1.2</v>
      </c>
      <c r="T9" s="68" t="s">
        <v>102</v>
      </c>
      <c r="U9" s="69" t="s">
        <v>101</v>
      </c>
      <c r="V9" s="68" t="s">
        <v>83</v>
      </c>
      <c r="W9" s="67" t="s">
        <v>101</v>
      </c>
      <c r="X9" s="66" t="s">
        <v>83</v>
      </c>
      <c r="Y9" s="67" t="s">
        <v>101</v>
      </c>
      <c r="Z9" s="66" t="s">
        <v>83</v>
      </c>
      <c r="AA9" s="67" t="s">
        <v>101</v>
      </c>
      <c r="AB9" s="66" t="s">
        <v>83</v>
      </c>
      <c r="AC9" s="67" t="s">
        <v>101</v>
      </c>
      <c r="AD9" s="66" t="s">
        <v>83</v>
      </c>
      <c r="AE9" s="67" t="s">
        <v>101</v>
      </c>
      <c r="AF9" s="66" t="s">
        <v>83</v>
      </c>
      <c r="AG9" s="67" t="s">
        <v>101</v>
      </c>
      <c r="AH9" s="66" t="s">
        <v>83</v>
      </c>
      <c r="AJ9" s="89" t="str">
        <f>W2</f>
        <v>06АХ.01</v>
      </c>
      <c r="AK9" s="88" t="str">
        <f t="shared" si="1"/>
        <v>0,0-0,2</v>
      </c>
      <c r="AL9" s="88" t="str">
        <f>IFERROR(IF((IF($I9="ПС",W5/$M$35,IF($W3&lt;5.5,W5/$M$36,W5/$M$38)))&lt;=1,"нет",IF($I9="ПС",W5/$M$35,IF(W3&lt;5.5,W5/$M$36,W5/$M$38))),"нет")</f>
        <v>нет</v>
      </c>
      <c r="AM9" s="88" t="s">
        <v>48</v>
      </c>
      <c r="AN9" s="88" t="str">
        <f>IFERROR(IF($W7/$R$34&lt;=1,"нет",$W7/$R$34),"нет")</f>
        <v>нет</v>
      </c>
      <c r="AO9" s="88" t="str">
        <f>IFERROR(IF((IF($I10="ПС",W$8/$P$35,IF($W3&lt;5.5,W$8/$P$36,W$8/$P$38)))&lt;=1,"нет",IF($I10="ПС",W$8/$P$35,IF($W3&lt;5.5,W$8/$P$36,W$8/$P$38))),"нет")</f>
        <v>нет</v>
      </c>
      <c r="AP9" s="88" t="str">
        <f>IFERROR(IF((IF($I9="ПС",W$9/$L$35,IF($W3&lt;5.5,W$9/$L$36,W$9/$L$38)))&lt;=1,"нет",IF($I9="ПС",W$9/$L$35,IF($W3&lt;5.5,W$9/$L$36,W$9/$L$38))),"нет")</f>
        <v>нет</v>
      </c>
      <c r="AQ9" s="90" t="str">
        <f>IFERROR(IF((IF($I9="ПС",W$11/$S$35,IF($W3&lt;5.5,W$11/$S$36,W$11/$S$38)))&lt;=1,"нет",IF($I9="ПС",W$11/$S$35,IF($W3&lt;5.5,W$11/$S$36,W$11/$S$38))),"нет")</f>
        <v>нет</v>
      </c>
      <c r="AR9" s="88" t="str">
        <f>IFERROR(IF($W12/Q40&lt;=1,"нет",$W12/Q40),"нет")</f>
        <v>нет</v>
      </c>
      <c r="AS9" s="88" t="str">
        <f>IFERROR(IF((IF($I9="ПС",W$13/$T$35,IF($W3&lt;5.5,W$13/$T$36,W$13/$T$38)))&lt;=1,"нет",IF($I9="ПС",W$13/$T$35,IF($W3&lt;5.5,W$13/$T$36,W$13/$T$38))),"нет")</f>
        <v>нет</v>
      </c>
      <c r="AT9" s="88" t="s">
        <v>48</v>
      </c>
      <c r="AU9" s="88" t="str">
        <f>IFERROR(IF((IF($I9="ПС",W$15/$U$35,IF($W3&lt;5.5,W$15/$U$36,W$15/$U$38)))&lt;=1,"нет",IF($I9="ПС",W$15/$U$35,IF($W3&lt;5.5,W$15/$U$36,W$15/$U$38))),"нет")</f>
        <v>нет</v>
      </c>
      <c r="AV9" s="90" t="e">
        <f t="shared" si="2"/>
        <v>#VALUE!</v>
      </c>
      <c r="AW9" s="90" t="e">
        <f t="shared" si="11"/>
        <v>#VALUE!</v>
      </c>
      <c r="AX9" s="88" t="e">
        <f t="shared" si="3"/>
        <v>#VALUE!</v>
      </c>
      <c r="AY9" s="87" t="e">
        <f t="shared" si="4"/>
        <v>#VALUE!</v>
      </c>
      <c r="AZ9" s="65"/>
      <c r="BA9" s="89" t="str">
        <f t="shared" si="5"/>
        <v>06АХ.01</v>
      </c>
      <c r="BB9" s="88" t="str">
        <f t="shared" si="6"/>
        <v>0,0-0,2</v>
      </c>
      <c r="BC9" s="88" t="str">
        <f>IF(W$4="менее 0,005",W$4,CONCATENATE(W$4," ",X$4))</f>
        <v>менее 0,005</v>
      </c>
      <c r="BD9" s="88" t="str">
        <f>IFERROR(IF(IF(W$4="менее 0,005","нет",W$4/0.02)&gt;1,W$4/0.02,"нет"),"нет")</f>
        <v>нет</v>
      </c>
      <c r="BE9" s="87" t="str">
        <f t="shared" si="7"/>
        <v>Д</v>
      </c>
      <c r="BF9" s="64"/>
      <c r="BG9" s="89" t="str">
        <f t="shared" si="8"/>
        <v>06АХ.01</v>
      </c>
      <c r="BH9" s="88" t="str">
        <f t="shared" si="9"/>
        <v>0,0-0,2</v>
      </c>
      <c r="BI9" s="88" t="str">
        <f>IF(W$10="менее 50,0",W$10,CONCATENATE(W$10," ",X$10))</f>
        <v>менее 50,0</v>
      </c>
      <c r="BJ9" s="88" t="str">
        <f>IFERROR(IF(IF(W$10="менее 50,0","нет",W$10/1000)&gt;1,W$10/1000,"нет"),"нет")</f>
        <v>нет</v>
      </c>
      <c r="BK9" s="87" t="str">
        <f t="shared" si="10"/>
        <v>Допустимый</v>
      </c>
    </row>
    <row r="10" spans="1:63" s="63" customFormat="1" ht="23.1" customHeight="1" thickBot="1" x14ac:dyDescent="0.3">
      <c r="C10" s="86" t="s">
        <v>23</v>
      </c>
      <c r="D10" s="580" t="str">
        <f>Y2</f>
        <v>06АХ.01</v>
      </c>
      <c r="E10" s="580"/>
      <c r="F10" s="85" t="s">
        <v>74</v>
      </c>
      <c r="G10" s="581" t="s">
        <v>100</v>
      </c>
      <c r="H10" s="581"/>
      <c r="I10" s="75" t="str">
        <f t="shared" si="0"/>
        <v>ПС</v>
      </c>
      <c r="J10" s="74" t="s">
        <v>99</v>
      </c>
      <c r="K10" s="84" t="s">
        <v>98</v>
      </c>
      <c r="L10" s="83" t="s">
        <v>83</v>
      </c>
      <c r="M10" s="96">
        <v>4.8</v>
      </c>
      <c r="N10" s="95" t="s">
        <v>97</v>
      </c>
      <c r="O10" s="68" t="s">
        <v>95</v>
      </c>
      <c r="P10" s="68" t="s">
        <v>83</v>
      </c>
      <c r="Q10" s="69" t="s">
        <v>95</v>
      </c>
      <c r="R10" s="68" t="s">
        <v>83</v>
      </c>
      <c r="S10" s="69">
        <v>70</v>
      </c>
      <c r="T10" s="68" t="s">
        <v>96</v>
      </c>
      <c r="U10" s="69" t="s">
        <v>95</v>
      </c>
      <c r="V10" s="68" t="s">
        <v>83</v>
      </c>
      <c r="W10" s="67" t="s">
        <v>95</v>
      </c>
      <c r="X10" s="66" t="s">
        <v>83</v>
      </c>
      <c r="Y10" s="67" t="s">
        <v>95</v>
      </c>
      <c r="Z10" s="66" t="s">
        <v>83</v>
      </c>
      <c r="AA10" s="67" t="s">
        <v>95</v>
      </c>
      <c r="AB10" s="66" t="s">
        <v>83</v>
      </c>
      <c r="AC10" s="67" t="s">
        <v>95</v>
      </c>
      <c r="AD10" s="66" t="s">
        <v>83</v>
      </c>
      <c r="AE10" s="67" t="s">
        <v>95</v>
      </c>
      <c r="AF10" s="66" t="s">
        <v>83</v>
      </c>
      <c r="AG10" s="67" t="s">
        <v>95</v>
      </c>
      <c r="AH10" s="66" t="s">
        <v>83</v>
      </c>
      <c r="AJ10" s="89" t="str">
        <f>Y2</f>
        <v>06АХ.01</v>
      </c>
      <c r="AK10" s="88" t="str">
        <f t="shared" si="1"/>
        <v>0,0-0,2</v>
      </c>
      <c r="AL10" s="88" t="str">
        <f>IFERROR(IF((IF($I10="ПС",Y5/$M$35,IF($Y3&lt;5.5,Y5/$M$36,Y5/$M$38)))&lt;=1,"нет",IF($I10="ПС",Y5/$M$35,IF(Y3&lt;5.5,Y5/$M$36,Y5/$M$38))),"нет")</f>
        <v>нет</v>
      </c>
      <c r="AM10" s="88" t="s">
        <v>48</v>
      </c>
      <c r="AN10" s="88" t="str">
        <f>IFERROR(IF($Y7/$R$34&lt;=1,"нет",$Y7/$R$34),"нет")</f>
        <v>нет</v>
      </c>
      <c r="AO10" s="88" t="str">
        <f>IFERROR(IF((IF($I11="ПС",Y$8/$P$35,IF($Y3&lt;5.5,Y$8/$P$36,Y$8/$P$38)))&lt;=1,"нет",IF($I11="ПС",Y$8/$P$35,IF($Y3&lt;5.5,Y$8/$P$36,Y$8/$P$38))),"нет")</f>
        <v>нет</v>
      </c>
      <c r="AP10" s="88" t="str">
        <f>IFERROR(IF((IF($I10="ПС",Y$9/$L$35,IF($Y3&lt;5.5,Y$9/$L$36,Y$9/$L$38)))&lt;=1,"нет",IF($I10="ПС",Y$9/$L$35,IF($Y3&lt;5.5,Y$9/$L$36,Y$9/$L$38))),"нет")</f>
        <v>нет</v>
      </c>
      <c r="AQ10" s="90" t="str">
        <f>IFERROR(IF((IF($I10="ПС",Y$11/$S$35,IF($Y3&lt;5.5,Y$11/$S$36,Y$11/$S$38)))&lt;=1,"нет",IF($I10="ПС",Y$11/$S$35,IF($Y3&lt;5.5,Y$11/$S$36,Y$11/$S$38))),"нет")</f>
        <v>нет</v>
      </c>
      <c r="AR10" s="88" t="str">
        <f>IFERROR(IF($Y12/Q41&lt;=1,"нет",$Y12/Q41),"нет")</f>
        <v>нет</v>
      </c>
      <c r="AS10" s="88" t="str">
        <f>IFERROR(IF((IF($I10="ПС",Y$13/$T$35,IF($Y3&lt;5.5,Y$13/$T$36,Y$13/$T$38)))&lt;=1,"нет",IF($I10="ПС",Y$13/$T$35,IF($Y3&lt;5.5,Y$13/$T$36,Y$13/$T$38))),"нет")</f>
        <v>нет</v>
      </c>
      <c r="AT10" s="88" t="s">
        <v>48</v>
      </c>
      <c r="AU10" s="88" t="str">
        <f>IFERROR(IF((IF($I10="ПС",Y$15/$U$35,IF($Y3&lt;5.5,Y$15/$U$36,Y$15/$U$38)))&lt;=1,"нет",IF($I10="ПС",Y$15/$U$35,IF($Y3&lt;5.5,Y$15/$U$36,Y$15/$U$38))),"нет")</f>
        <v>нет</v>
      </c>
      <c r="AV10" s="90" t="e">
        <f t="shared" si="2"/>
        <v>#VALUE!</v>
      </c>
      <c r="AW10" s="90" t="e">
        <f t="shared" si="11"/>
        <v>#VALUE!</v>
      </c>
      <c r="AX10" s="88" t="e">
        <f t="shared" si="3"/>
        <v>#VALUE!</v>
      </c>
      <c r="AY10" s="87" t="e">
        <f t="shared" si="4"/>
        <v>#VALUE!</v>
      </c>
      <c r="AZ10" s="65"/>
      <c r="BA10" s="89" t="str">
        <f t="shared" si="5"/>
        <v>06АХ.01</v>
      </c>
      <c r="BB10" s="88" t="str">
        <f t="shared" si="6"/>
        <v>0,0-0,2</v>
      </c>
      <c r="BC10" s="88" t="str">
        <f>IF(Y$4="менее 0,005",Y$4,CONCATENATE(Y$4," ",Z$4))</f>
        <v>менее 0,005</v>
      </c>
      <c r="BD10" s="88" t="str">
        <f>IFERROR(IF(IF(Y$4="менее 0,005","нет",Y$4/0.02)&gt;1,Y$4/0.02,"нет"),"нет")</f>
        <v>нет</v>
      </c>
      <c r="BE10" s="87" t="str">
        <f t="shared" si="7"/>
        <v>Д</v>
      </c>
      <c r="BF10" s="64"/>
      <c r="BG10" s="89" t="str">
        <f t="shared" si="8"/>
        <v>06АХ.01</v>
      </c>
      <c r="BH10" s="88" t="str">
        <f t="shared" si="9"/>
        <v>0,0-0,2</v>
      </c>
      <c r="BI10" s="88" t="str">
        <f>IF(Y$10="менее 50,0",Y$10,CONCATENATE(Y$10," ",Z$10))</f>
        <v>менее 50,0</v>
      </c>
      <c r="BJ10" s="88" t="str">
        <f>IFERROR(IF(IF(Y$10="менее 50,0","нет",Y$10/1000)&gt;1,Y$10/1000,"нет"),"нет")</f>
        <v>нет</v>
      </c>
      <c r="BK10" s="87" t="str">
        <f t="shared" si="10"/>
        <v>Допустимый</v>
      </c>
    </row>
    <row r="11" spans="1:63" s="63" customFormat="1" ht="23.1" customHeight="1" thickBot="1" x14ac:dyDescent="0.3">
      <c r="C11" s="86" t="s">
        <v>23</v>
      </c>
      <c r="D11" s="580" t="str">
        <f>AA2</f>
        <v>06АХ.01</v>
      </c>
      <c r="E11" s="580"/>
      <c r="F11" s="85" t="s">
        <v>74</v>
      </c>
      <c r="G11" s="581" t="s">
        <v>94</v>
      </c>
      <c r="H11" s="581"/>
      <c r="I11" s="75" t="str">
        <f t="shared" si="0"/>
        <v>ПС</v>
      </c>
      <c r="J11" s="74" t="s">
        <v>93</v>
      </c>
      <c r="K11" s="94">
        <v>4.4000000000000004</v>
      </c>
      <c r="L11" s="93" t="s">
        <v>92</v>
      </c>
      <c r="M11" s="92">
        <v>5.1999999999999998E-2</v>
      </c>
      <c r="N11" s="91" t="s">
        <v>91</v>
      </c>
      <c r="O11" s="68">
        <v>2.9</v>
      </c>
      <c r="P11" s="68" t="s">
        <v>62</v>
      </c>
      <c r="Q11" s="69">
        <v>3.8</v>
      </c>
      <c r="R11" s="68" t="s">
        <v>90</v>
      </c>
      <c r="S11" s="69">
        <v>3.4</v>
      </c>
      <c r="T11" s="68" t="s">
        <v>61</v>
      </c>
      <c r="U11" s="69">
        <v>20</v>
      </c>
      <c r="V11" s="68" t="s">
        <v>89</v>
      </c>
      <c r="W11" s="67">
        <v>20</v>
      </c>
      <c r="X11" s="66" t="s">
        <v>89</v>
      </c>
      <c r="Y11" s="67">
        <v>20</v>
      </c>
      <c r="Z11" s="66" t="s">
        <v>89</v>
      </c>
      <c r="AA11" s="67">
        <v>20</v>
      </c>
      <c r="AB11" s="66" t="s">
        <v>89</v>
      </c>
      <c r="AC11" s="67">
        <v>20</v>
      </c>
      <c r="AD11" s="66" t="s">
        <v>89</v>
      </c>
      <c r="AE11" s="67">
        <v>20</v>
      </c>
      <c r="AF11" s="66" t="s">
        <v>89</v>
      </c>
      <c r="AG11" s="67">
        <v>20</v>
      </c>
      <c r="AH11" s="66" t="s">
        <v>89</v>
      </c>
      <c r="AJ11" s="89" t="str">
        <f>AA2</f>
        <v>06АХ.01</v>
      </c>
      <c r="AK11" s="88" t="str">
        <f t="shared" si="1"/>
        <v>0,0-0,2</v>
      </c>
      <c r="AL11" s="88" t="str">
        <f>IFERROR(IF((IF($I11="ПС",AA5/$M$35,IF($AA3&lt;5.5,AA5/$M$36,AA5/$M$38)))&lt;=1,"нет",IF($I11="ПС",AA5/$M$35,IF(AA3&lt;5.5,AA5/$M$36,AA5/$M$38))),"нет")</f>
        <v>нет</v>
      </c>
      <c r="AM11" s="88" t="s">
        <v>48</v>
      </c>
      <c r="AN11" s="88" t="str">
        <f>IFERROR(IF($AA7/$R$34&lt;=1,"нет",$AA7/$R$34),"нет")</f>
        <v>нет</v>
      </c>
      <c r="AO11" s="88" t="str">
        <f>IFERROR(IF((IF($I12="ПС",AA$8/$P$35,IF($AA3&lt;5.5,AA$8/$P$36,AA$8/$P$38)))&lt;=1,"нет",IF($I12="ПС",AA$8/$P$35,IF($AA3&lt;5.5,AA$8/$P$36,AA$8/$P$38))),"нет")</f>
        <v>нет</v>
      </c>
      <c r="AP11" s="88" t="str">
        <f>IFERROR(IF((IF($I11="ПС",AA$9/$L$35,IF($AA3&lt;5.5,AA$9/$L$36,AA$9/$L$38)))&lt;=1,"нет",IF($I11="ПС",AA$9/$L$35,IF($AA3&lt;5.5,AA$9/$L$36,AA$9/$L$38))),"нет")</f>
        <v>нет</v>
      </c>
      <c r="AQ11" s="90" t="str">
        <f>IFERROR(IF((IF($I11="ПС",AA$11/$S$35,IF($AA3&lt;5.5,AA$11/$S$36,AA$11/$S$38)))&lt;=1,"нет",IF($I11="ПС",AA$11/$S$35,IF($AA3&lt;5.5,AA$11/$S$36,AA$11/$S$38))),"нет")</f>
        <v>нет</v>
      </c>
      <c r="AR11" s="88" t="str">
        <f>IFERROR(IF($AA12/Q42&lt;=1,"нет",$AA12/Q42),"нет")</f>
        <v>нет</v>
      </c>
      <c r="AS11" s="88" t="str">
        <f>IFERROR(IF((IF($I11="ПС",AA$13/$T$35,IF($AA3&lt;5.5,AA$13/$T$36,AA$13/$T$38)))&lt;=1,"нет",IF($I11="ПС",AA$13/$T$35,IF($AA3&lt;5.5,AA$13/$T$36,AA$13/$T$38))),"нет")</f>
        <v>нет</v>
      </c>
      <c r="AT11" s="88" t="s">
        <v>48</v>
      </c>
      <c r="AU11" s="88" t="str">
        <f>IFERROR(IF((IF($I11="ПС",AA$15/$U$35,IF($AA3&lt;5.5,AA$15/$U$36,AA$15/$U$38)))&lt;=1,"нет",IF($I11="ПС",AA$15/$U$35,IF($AA3&lt;5.5,AA$15/$U$36,AA$15/$U$38))),"нет")</f>
        <v>нет</v>
      </c>
      <c r="AV11" s="90" t="e">
        <f t="shared" si="2"/>
        <v>#VALUE!</v>
      </c>
      <c r="AW11" s="90" t="e">
        <f t="shared" si="11"/>
        <v>#VALUE!</v>
      </c>
      <c r="AX11" s="88" t="e">
        <f t="shared" si="3"/>
        <v>#VALUE!</v>
      </c>
      <c r="AY11" s="87" t="e">
        <f t="shared" si="4"/>
        <v>#VALUE!</v>
      </c>
      <c r="AZ11" s="65"/>
      <c r="BA11" s="89" t="str">
        <f t="shared" si="5"/>
        <v>06АХ.01</v>
      </c>
      <c r="BB11" s="88" t="str">
        <f t="shared" si="6"/>
        <v>0,0-0,2</v>
      </c>
      <c r="BC11" s="88" t="str">
        <f>IF(AA$4="менее 0,005",AA$4,CONCATENATE(AA$4," ",AB$4))</f>
        <v>менее 0,005</v>
      </c>
      <c r="BD11" s="88" t="str">
        <f>IFERROR(IF(IF(AA$4="менее 0,005","нет",AA$4/0.02)&gt;1,AA$4/0.02,"нет"),"нет")</f>
        <v>нет</v>
      </c>
      <c r="BE11" s="87" t="str">
        <f t="shared" si="7"/>
        <v>Д</v>
      </c>
      <c r="BF11" s="64"/>
      <c r="BG11" s="89" t="str">
        <f t="shared" si="8"/>
        <v>06АХ.01</v>
      </c>
      <c r="BH11" s="88" t="str">
        <f t="shared" si="9"/>
        <v>0,0-0,2</v>
      </c>
      <c r="BI11" s="88" t="str">
        <f>IF(AA$10="менее 50,0",AA$10,CONCATENATE(AA$10," ",AB$10))</f>
        <v>менее 50,0</v>
      </c>
      <c r="BJ11" s="88" t="str">
        <f>IFERROR(IF(IF(AA$10="менее 50,0","нет",AA$10/1000)&gt;1,AA$10/1000,"нет"),"нет")</f>
        <v>нет</v>
      </c>
      <c r="BK11" s="87" t="str">
        <f t="shared" si="10"/>
        <v>Допустимый</v>
      </c>
    </row>
    <row r="12" spans="1:63" s="63" customFormat="1" ht="23.1" customHeight="1" thickBot="1" x14ac:dyDescent="0.3">
      <c r="C12" s="86" t="s">
        <v>24</v>
      </c>
      <c r="D12" s="580" t="str">
        <f>AC2</f>
        <v>06АХ.01</v>
      </c>
      <c r="E12" s="580"/>
      <c r="F12" s="85" t="s">
        <v>74</v>
      </c>
      <c r="G12" s="581" t="s">
        <v>88</v>
      </c>
      <c r="H12" s="581"/>
      <c r="I12" s="75" t="str">
        <f t="shared" si="0"/>
        <v>ПС</v>
      </c>
      <c r="J12" s="74" t="s">
        <v>87</v>
      </c>
      <c r="K12" s="84">
        <v>8.0000000000000002E-3</v>
      </c>
      <c r="L12" s="83" t="s">
        <v>86</v>
      </c>
      <c r="M12" s="82" t="s">
        <v>84</v>
      </c>
      <c r="N12" s="95" t="s">
        <v>85</v>
      </c>
      <c r="O12" s="68" t="s">
        <v>84</v>
      </c>
      <c r="P12" s="68" t="s">
        <v>83</v>
      </c>
      <c r="Q12" s="69" t="s">
        <v>84</v>
      </c>
      <c r="R12" s="68" t="s">
        <v>83</v>
      </c>
      <c r="S12" s="69" t="s">
        <v>84</v>
      </c>
      <c r="T12" s="68" t="s">
        <v>83</v>
      </c>
      <c r="U12" s="69">
        <v>1.2999999999999999E-2</v>
      </c>
      <c r="V12" s="68" t="s">
        <v>82</v>
      </c>
      <c r="W12" s="67">
        <v>1.2999999999999999E-2</v>
      </c>
      <c r="X12" s="66" t="s">
        <v>82</v>
      </c>
      <c r="Y12" s="67">
        <v>1.2999999999999999E-2</v>
      </c>
      <c r="Z12" s="66" t="s">
        <v>82</v>
      </c>
      <c r="AA12" s="67">
        <v>1.2999999999999999E-2</v>
      </c>
      <c r="AB12" s="66" t="s">
        <v>82</v>
      </c>
      <c r="AC12" s="67">
        <v>1.2999999999999999E-2</v>
      </c>
      <c r="AD12" s="66" t="s">
        <v>82</v>
      </c>
      <c r="AE12" s="67">
        <v>1.2999999999999999E-2</v>
      </c>
      <c r="AF12" s="66" t="s">
        <v>82</v>
      </c>
      <c r="AG12" s="67">
        <v>1.2999999999999999E-2</v>
      </c>
      <c r="AH12" s="66" t="s">
        <v>82</v>
      </c>
      <c r="AJ12" s="89" t="str">
        <f>AC2</f>
        <v>06АХ.01</v>
      </c>
      <c r="AK12" s="88" t="str">
        <f t="shared" si="1"/>
        <v>0,0-0,2</v>
      </c>
      <c r="AL12" s="88" t="str">
        <f>IFERROR(IF((IF($I12="ПС",AC5/$M$35,IF($AC3&lt;5.5,AC5/$M$36,AC5/$M$38)))&lt;=1,"нет",IF($I12="ПС",AC5/$M$35,IF(AC3&lt;5.5,AC5/$M$36,AC5/$M$38))),"нет")</f>
        <v>нет</v>
      </c>
      <c r="AM12" s="88" t="s">
        <v>48</v>
      </c>
      <c r="AN12" s="88" t="str">
        <f>IFERROR(IF($AC7/$R$34&lt;=1,"нет",$AC7/$R$34),"нет")</f>
        <v>нет</v>
      </c>
      <c r="AO12" s="88" t="str">
        <f>IFERROR(IF((IF($I13="ПС",AC$8/$P$35,IF($AC3&lt;5.5,AC$8/$P$36,AC$8/$P$38)))&lt;=1,"нет",IF($I13="ПС",AC$8/$P$35,IF($AC3&lt;5.5,AC$8/$P$36,AC$8/$P$38))),"нет")</f>
        <v>нет</v>
      </c>
      <c r="AP12" s="88" t="str">
        <f>IFERROR(IF((IF($I12="ПС",AC$9/$L$35,IF($AC3&lt;5.5,AC$9/$L$36,AC$9/$L$38)))&lt;=1,"нет",IF($I12="ПС",AC$9/$L$35,IF($AC3&lt;5.5,AC$9/$L$36,AC$9/$L$38))),"нет")</f>
        <v>нет</v>
      </c>
      <c r="AQ12" s="90" t="str">
        <f>IFERROR(IF((IF($I12="ПС",AC$11/$S$35,IF($AC3&lt;5.5,AC$11/$S$36,AC$11/$S$38)))&lt;=1,"нет",IF($I12="ПС",AC$11/$S$35,IF($AC3&lt;5.5,AC$11/$S$36,AC$11/$S$38))),"нет")</f>
        <v>нет</v>
      </c>
      <c r="AR12" s="88" t="str">
        <f>IFERROR(IF($AC12/Q43&lt;=1,"нет",$AC12/Q43),"нет")</f>
        <v>нет</v>
      </c>
      <c r="AS12" s="88" t="str">
        <f>IFERROR(IF((IF($I12="ПС",AC$13/$T$35,IF($AC3&lt;5.5,AC$13/$T$36,AC$13/$T$38)))&lt;=1,"нет",IF($I12="ПС",AC$13/$T$35,IF($AC3&lt;5.5,AC$13/$T$36,AC$13/$T$38))),"нет")</f>
        <v>нет</v>
      </c>
      <c r="AT12" s="88" t="s">
        <v>48</v>
      </c>
      <c r="AU12" s="88" t="str">
        <f>IFERROR(IF((IF($I12="ПС",AC$15/$U$35,IF($AC3&lt;5.5,AC$15/$U$36,AC$15/$U$38)))&lt;=1,"нет",IF($I12="ПС",AC$15/$U$35,IF($AC3&lt;5.5,AC$15/$U$36,AC$15/$U$38))),"нет")</f>
        <v>нет</v>
      </c>
      <c r="AV12" s="90" t="e">
        <f t="shared" si="2"/>
        <v>#VALUE!</v>
      </c>
      <c r="AW12" s="90" t="e">
        <f t="shared" si="11"/>
        <v>#VALUE!</v>
      </c>
      <c r="AX12" s="88" t="e">
        <f t="shared" si="3"/>
        <v>#VALUE!</v>
      </c>
      <c r="AY12" s="87" t="e">
        <f t="shared" si="4"/>
        <v>#VALUE!</v>
      </c>
      <c r="AZ12" s="65"/>
      <c r="BA12" s="89" t="str">
        <f t="shared" si="5"/>
        <v>06АХ.01</v>
      </c>
      <c r="BB12" s="88" t="str">
        <f t="shared" si="6"/>
        <v>0,0-0,2</v>
      </c>
      <c r="BC12" s="88" t="str">
        <f>IF(AC$4="менее 0,005",AC$4,CONCATENATE(AC$4," ",AD$4))</f>
        <v>менее 0,005</v>
      </c>
      <c r="BD12" s="88" t="str">
        <f>IFERROR(IF(IF(AC$4="менее 0,005","нет",AC$4/0.02)&gt;1,AC$4/0.02,"нет"),"нет")</f>
        <v>нет</v>
      </c>
      <c r="BE12" s="87" t="str">
        <f t="shared" si="7"/>
        <v>Д</v>
      </c>
      <c r="BF12" s="64"/>
      <c r="BG12" s="89" t="str">
        <f t="shared" si="8"/>
        <v>06АХ.01</v>
      </c>
      <c r="BH12" s="88" t="str">
        <f t="shared" si="9"/>
        <v>0,0-0,2</v>
      </c>
      <c r="BI12" s="88" t="str">
        <f>IF(AC$10="менее 50,0",AC$10,CONCATENATE(AC$10," ",AD$10))</f>
        <v>менее 50,0</v>
      </c>
      <c r="BJ12" s="88" t="str">
        <f>IFERROR(IF(IF(AC$10="менее 50,0","нет",AC$10/1000)&gt;1,AC$10/1000,"нет"),"нет")</f>
        <v>нет</v>
      </c>
      <c r="BK12" s="87" t="str">
        <f t="shared" si="10"/>
        <v>Допустимый</v>
      </c>
    </row>
    <row r="13" spans="1:63" s="63" customFormat="1" ht="23.1" customHeight="1" thickBot="1" x14ac:dyDescent="0.3">
      <c r="C13" s="86" t="s">
        <v>24</v>
      </c>
      <c r="D13" s="580" t="str">
        <f>AE2</f>
        <v>06АХ.01</v>
      </c>
      <c r="E13" s="580"/>
      <c r="F13" s="85" t="s">
        <v>74</v>
      </c>
      <c r="G13" s="581" t="s">
        <v>81</v>
      </c>
      <c r="H13" s="581"/>
      <c r="I13" s="75" t="str">
        <f t="shared" si="0"/>
        <v>ПС</v>
      </c>
      <c r="J13" s="74" t="s">
        <v>80</v>
      </c>
      <c r="K13" s="94">
        <v>5.0999999999999996</v>
      </c>
      <c r="L13" s="93" t="s">
        <v>71</v>
      </c>
      <c r="M13" s="92" t="s">
        <v>79</v>
      </c>
      <c r="N13" s="91" t="s">
        <v>78</v>
      </c>
      <c r="O13" s="68">
        <v>3.3</v>
      </c>
      <c r="P13" s="68" t="s">
        <v>77</v>
      </c>
      <c r="Q13" s="69">
        <v>3.7</v>
      </c>
      <c r="R13" s="68" t="s">
        <v>68</v>
      </c>
      <c r="S13" s="69">
        <v>4.5</v>
      </c>
      <c r="T13" s="68" t="s">
        <v>76</v>
      </c>
      <c r="U13" s="69">
        <v>9.5</v>
      </c>
      <c r="V13" s="68" t="s">
        <v>75</v>
      </c>
      <c r="W13" s="67">
        <v>9.5</v>
      </c>
      <c r="X13" s="66" t="s">
        <v>75</v>
      </c>
      <c r="Y13" s="67">
        <v>9.5</v>
      </c>
      <c r="Z13" s="66" t="s">
        <v>75</v>
      </c>
      <c r="AA13" s="67">
        <v>9.5</v>
      </c>
      <c r="AB13" s="66" t="s">
        <v>75</v>
      </c>
      <c r="AC13" s="67">
        <v>9.5</v>
      </c>
      <c r="AD13" s="66" t="s">
        <v>75</v>
      </c>
      <c r="AE13" s="67">
        <v>9.5</v>
      </c>
      <c r="AF13" s="66" t="s">
        <v>75</v>
      </c>
      <c r="AG13" s="67">
        <v>9.5</v>
      </c>
      <c r="AH13" s="66" t="s">
        <v>75</v>
      </c>
      <c r="AJ13" s="89" t="str">
        <f>AE2</f>
        <v>06АХ.01</v>
      </c>
      <c r="AK13" s="88" t="str">
        <f t="shared" si="1"/>
        <v>0,0-0,2</v>
      </c>
      <c r="AL13" s="88" t="str">
        <f>IFERROR(IF((IF($I13="ПС",AE5/$M$35,IF($AE3&lt;5.5,AE5/$M$36,AE5/$M$38)))&lt;=1,"нет",IF($I13="ПС",AE5/$M$35,IF(AE3&lt;5.5,AE5/$M$36,AE5/$M$38))),"нет")</f>
        <v>нет</v>
      </c>
      <c r="AM13" s="88" t="s">
        <v>48</v>
      </c>
      <c r="AN13" s="88" t="str">
        <f>IFERROR(IF($AE7/$R$34&lt;=1,"нет",$AE7/$R$34),"нет")</f>
        <v>нет</v>
      </c>
      <c r="AO13" s="88" t="str">
        <f>IFERROR(IF((IF($I14="ПС",AE$8/$P$35,IF(AE3&lt;5.5,AE$8/$P$36,AE$8/$P$38)))&lt;=1,"нет",IF($I14="ПС",AE$8/$P$35,IF(AE3&lt;5.5,AE$8/$P$36,AE$8/$P$38))),"нет")</f>
        <v>нет</v>
      </c>
      <c r="AP13" s="88" t="str">
        <f>IFERROR(IF((IF($I13="ПС",AE$9/$L$35,IF($AE3&lt;5.5,AE$9/$L$36,AE$9/$L$38)))&lt;=1,"нет",IF($I13="ПС",AE$9/$L$35,IF($AE3&lt;5.5,AE$9/$L$36,AE$9/$L$38))),"нет")</f>
        <v>нет</v>
      </c>
      <c r="AQ13" s="90" t="str">
        <f>IFERROR(IF((IF($I13="ПС",AE$11/$S$35,IF($AE3&lt;5.5,AE$11/$S$36,AE$11/$S$38)))&lt;=1,"нет",IF($I13="ПС",AE$11/$S$35,IF($AE3&lt;5.5,AE$11/$S$36,AE$11/$S$38))),"нет")</f>
        <v>нет</v>
      </c>
      <c r="AR13" s="88" t="str">
        <f>IFERROR(IF($AE12/Q44&lt;=1,"нет",$AE12/Q44),"нет")</f>
        <v>нет</v>
      </c>
      <c r="AS13" s="88" t="str">
        <f>IFERROR(IF((IF($I13="ПС",AE$13/$T$35,IF($AE3&lt;5.5,AE$13/$T$36,AE$13/$T$38)))&lt;=1,"нет",IF($I13="ПС",AE$13/$T$35,IF($AE3&lt;5.5,AE$13/$T$36,AE$13/$T$38))),"нет")</f>
        <v>нет</v>
      </c>
      <c r="AT13" s="88" t="s">
        <v>48</v>
      </c>
      <c r="AU13" s="88" t="str">
        <f>IFERROR(IF((IF($I13="ПС",AE$15/$U$35,IF($AE3&lt;5.5,AE$15/$U$36,AE$15/$U$38)))&lt;=1,"нет",IF($I13="ПС",AE$15/$U$35,IF($AE3&lt;5.5,AE$15/$U$36,AE$15/$U$38))),"нет")</f>
        <v>нет</v>
      </c>
      <c r="AV13" s="90" t="e">
        <f t="shared" si="2"/>
        <v>#VALUE!</v>
      </c>
      <c r="AW13" s="90" t="e">
        <f t="shared" si="11"/>
        <v>#VALUE!</v>
      </c>
      <c r="AX13" s="88" t="e">
        <f t="shared" si="3"/>
        <v>#VALUE!</v>
      </c>
      <c r="AY13" s="87" t="e">
        <f t="shared" si="4"/>
        <v>#VALUE!</v>
      </c>
      <c r="AZ13" s="65"/>
      <c r="BA13" s="89" t="str">
        <f t="shared" si="5"/>
        <v>06АХ.01</v>
      </c>
      <c r="BB13" s="88" t="str">
        <f t="shared" si="6"/>
        <v>0,0-0,2</v>
      </c>
      <c r="BC13" s="88" t="str">
        <f>IF(AE$4="менее 0,005",AE$4,CONCATENATE(AE$4," ",AF$4))</f>
        <v>менее 0,005</v>
      </c>
      <c r="BD13" s="88" t="str">
        <f>IFERROR(IF(IF(AE$4="менее 0,005","нет",AE$4/0.02)&gt;1,AE$4/0.02,"нет"),"нет")</f>
        <v>нет</v>
      </c>
      <c r="BE13" s="87" t="str">
        <f t="shared" si="7"/>
        <v>Д</v>
      </c>
      <c r="BF13" s="64"/>
      <c r="BG13" s="89" t="str">
        <f t="shared" si="8"/>
        <v>06АХ.01</v>
      </c>
      <c r="BH13" s="88" t="str">
        <f t="shared" si="9"/>
        <v>0,0-0,2</v>
      </c>
      <c r="BI13" s="88" t="str">
        <f>IF(AE$10="менее 50,0",AE$10,CONCATENATE(AE$10," ",AF$10))</f>
        <v>менее 50,0</v>
      </c>
      <c r="BJ13" s="88" t="str">
        <f>IFERROR(IF(IF(AE$10="менее 50,0","нет",AE$10/1000)&gt;1,AE$10/1000,"нет"),"нет")</f>
        <v>нет</v>
      </c>
      <c r="BK13" s="87" t="str">
        <f t="shared" si="10"/>
        <v>Допустимый</v>
      </c>
    </row>
    <row r="14" spans="1:63" s="63" customFormat="1" ht="23.1" customHeight="1" thickBot="1" x14ac:dyDescent="0.3">
      <c r="C14" s="86" t="s">
        <v>24</v>
      </c>
      <c r="D14" s="580" t="str">
        <f>AG2</f>
        <v>06АХ.01</v>
      </c>
      <c r="E14" s="580"/>
      <c r="F14" s="85" t="s">
        <v>74</v>
      </c>
      <c r="G14" s="581" t="s">
        <v>73</v>
      </c>
      <c r="H14" s="581"/>
      <c r="I14" s="75" t="str">
        <f t="shared" si="0"/>
        <v>ПС</v>
      </c>
      <c r="J14" s="74" t="s">
        <v>72</v>
      </c>
      <c r="K14" s="84">
        <v>6.3</v>
      </c>
      <c r="L14" s="83" t="s">
        <v>71</v>
      </c>
      <c r="M14" s="82">
        <v>7.9</v>
      </c>
      <c r="N14" s="81" t="s">
        <v>70</v>
      </c>
      <c r="O14" s="68">
        <v>3.4</v>
      </c>
      <c r="P14" s="68" t="s">
        <v>69</v>
      </c>
      <c r="Q14" s="69">
        <v>4.3</v>
      </c>
      <c r="R14" s="68" t="s">
        <v>68</v>
      </c>
      <c r="S14" s="69">
        <v>6</v>
      </c>
      <c r="T14" s="68" t="s">
        <v>61</v>
      </c>
      <c r="U14" s="69">
        <v>26</v>
      </c>
      <c r="V14" s="68" t="s">
        <v>67</v>
      </c>
      <c r="W14" s="67">
        <v>26</v>
      </c>
      <c r="X14" s="66" t="s">
        <v>67</v>
      </c>
      <c r="Y14" s="67">
        <v>26</v>
      </c>
      <c r="Z14" s="66" t="s">
        <v>67</v>
      </c>
      <c r="AA14" s="67">
        <v>26</v>
      </c>
      <c r="AB14" s="66" t="s">
        <v>67</v>
      </c>
      <c r="AC14" s="67">
        <v>26</v>
      </c>
      <c r="AD14" s="66" t="s">
        <v>67</v>
      </c>
      <c r="AE14" s="67">
        <v>26</v>
      </c>
      <c r="AF14" s="66" t="s">
        <v>67</v>
      </c>
      <c r="AG14" s="67">
        <v>26</v>
      </c>
      <c r="AH14" s="66" t="s">
        <v>67</v>
      </c>
      <c r="AJ14" s="79" t="str">
        <f>AG2</f>
        <v>06АХ.01</v>
      </c>
      <c r="AK14" s="78" t="str">
        <f t="shared" si="1"/>
        <v>0,0-0,2</v>
      </c>
      <c r="AL14" s="78" t="str">
        <f>IFERROR(IF((IF($I14="ПС",AG5/$M$35,IF($AG3&lt;5.5,AG5/$M$36,AG5/$M$38)))&lt;=1,"нет",IF($I14="ПС",AG5/$M$35,IF(AG3&lt;5.5,AG5/$M$36,AG5/$M$38))),"нет")</f>
        <v>нет</v>
      </c>
      <c r="AM14" s="78" t="s">
        <v>48</v>
      </c>
      <c r="AN14" s="78" t="str">
        <f>IFERROR(IF($AG7/$R$34&lt;=1,"нет",$AG7/$R$34),"нет")</f>
        <v>нет</v>
      </c>
      <c r="AO14" s="78" t="str">
        <f>IFERROR(IF((IF($I15="ПС",AG$8/$P$35,IF($AG3&lt;5.5,AG$8/$P$36,AG$8/$P$38)))&lt;=1,"нет",IF($I15="ПС",AG$8/$P$35,IF($AG3&lt;5.5,AG$8/$P$36,AG$8/$P$38))),"нет")</f>
        <v>нет</v>
      </c>
      <c r="AP14" s="78" t="str">
        <f>IFERROR(IF((IF($I14="ПС",AG$9/$L$35,IF(AG3&lt;5.5,AG$9/$L$36,AG$9/$L$38)))&lt;=1,"нет",IF($I14="ПС",AG$9/$L$35,IF(AG3&lt;5.5,AG$9/$L$36,AG$9/$L$38))),"нет")</f>
        <v>нет</v>
      </c>
      <c r="AQ14" s="80" t="str">
        <f>IFERROR(IF((IF($I14="ПС",AG$11/$S$35,IF($AG3&lt;5.5,AG$11/$S$36,AG$11/$S$38)))&lt;=1,"нет",IF($I14="ПС",AG$11/$S$35,IF($AG3&lt;5.5,AG$11/$S$36,AG$11/$S$38))),"нет")</f>
        <v>нет</v>
      </c>
      <c r="AR14" s="78" t="str">
        <f>IFERROR(IF($AG12/Q45&lt;=1,"нет",$AG12/Q45),"нет")</f>
        <v>нет</v>
      </c>
      <c r="AS14" s="78" t="str">
        <f>IFERROR(IF((IF($I14="ПС",AG$13/$T$35,IF($AG3&lt;5.5,AG$13/$T$36,AG$13/$T$38)))&lt;=1,"нет",IF($I14="ПС",AG$13/$T$35,IF($AG3&lt;5.5,AG$13/$T$36,AG$13/$T$38))),"нет")</f>
        <v>нет</v>
      </c>
      <c r="AT14" s="78" t="s">
        <v>48</v>
      </c>
      <c r="AU14" s="78" t="str">
        <f>IFERROR(IF((IF($I14="ПС",AG$15/$U$35,IF($AG3&lt;5.5,AG$15/$U$36,AG$15/$U$38)))&lt;=1,"нет",IF($I14="ПС",AG$15/$U$35,IF($AG3&lt;5.5,AG$15/$U$36,AG$15/$U$38))),"нет")</f>
        <v>нет</v>
      </c>
      <c r="AV14" s="80" t="e">
        <f t="shared" si="2"/>
        <v>#VALUE!</v>
      </c>
      <c r="AW14" s="80" t="e">
        <f t="shared" si="11"/>
        <v>#VALUE!</v>
      </c>
      <c r="AX14" s="78" t="e">
        <f t="shared" si="3"/>
        <v>#VALUE!</v>
      </c>
      <c r="AY14" s="77" t="e">
        <f t="shared" si="4"/>
        <v>#VALUE!</v>
      </c>
      <c r="AZ14" s="65"/>
      <c r="BA14" s="79" t="str">
        <f t="shared" si="5"/>
        <v>06АХ.01</v>
      </c>
      <c r="BB14" s="78" t="str">
        <f t="shared" si="6"/>
        <v>0,0-0,2</v>
      </c>
      <c r="BC14" s="78" t="str">
        <f>IF(AG$4="менее 0,005",AG$4,CONCATENATE(AG$4," ",AH$4))</f>
        <v>менее 0,005</v>
      </c>
      <c r="BD14" s="78" t="str">
        <f>IFERROR(IF(IF(AG$4="менее 0,005","нет",AG$4/0.02)&gt;1,AG$4/0.02,"нет"),"нет")</f>
        <v>нет</v>
      </c>
      <c r="BE14" s="77" t="str">
        <f t="shared" si="7"/>
        <v>Д</v>
      </c>
      <c r="BF14" s="64"/>
      <c r="BG14" s="79" t="str">
        <f t="shared" si="8"/>
        <v>06АХ.01</v>
      </c>
      <c r="BH14" s="78" t="str">
        <f t="shared" si="9"/>
        <v>0,0-0,2</v>
      </c>
      <c r="BI14" s="78" t="str">
        <f>IF(AG$10="менее 50,0",AG$10,CONCATENATE(AG$10," ",AH$10))</f>
        <v>менее 50,0</v>
      </c>
      <c r="BJ14" s="78" t="str">
        <f>IFERROR(IF(IF(AG$10="менее 50,0","нет",AG$10/1000)&gt;1,AG$10/1000,"нет"),"нет")</f>
        <v>нет</v>
      </c>
      <c r="BK14" s="77" t="str">
        <f t="shared" si="10"/>
        <v>Допустимый</v>
      </c>
    </row>
    <row r="15" spans="1:63" s="63" customFormat="1" ht="23.1" customHeight="1" thickBot="1" x14ac:dyDescent="0.3">
      <c r="C15" s="76"/>
      <c r="D15" s="582"/>
      <c r="E15" s="582"/>
      <c r="F15" s="76"/>
      <c r="G15" s="583"/>
      <c r="H15" s="583"/>
      <c r="I15" s="75"/>
      <c r="J15" s="74" t="s">
        <v>66</v>
      </c>
      <c r="K15" s="73" t="s">
        <v>65</v>
      </c>
      <c r="L15" s="72" t="s">
        <v>64</v>
      </c>
      <c r="M15" s="71">
        <v>13</v>
      </c>
      <c r="N15" s="70" t="s">
        <v>63</v>
      </c>
      <c r="O15" s="68">
        <v>5</v>
      </c>
      <c r="P15" s="68" t="s">
        <v>62</v>
      </c>
      <c r="Q15" s="69">
        <v>6</v>
      </c>
      <c r="R15" s="68" t="s">
        <v>61</v>
      </c>
      <c r="S15" s="69">
        <v>9</v>
      </c>
      <c r="T15" s="68" t="s">
        <v>60</v>
      </c>
      <c r="U15" s="69">
        <v>30</v>
      </c>
      <c r="V15" s="68" t="s">
        <v>59</v>
      </c>
      <c r="W15" s="67">
        <v>30</v>
      </c>
      <c r="X15" s="66" t="s">
        <v>59</v>
      </c>
      <c r="Y15" s="67">
        <v>30</v>
      </c>
      <c r="Z15" s="66" t="s">
        <v>59</v>
      </c>
      <c r="AA15" s="67">
        <v>30</v>
      </c>
      <c r="AB15" s="66" t="s">
        <v>59</v>
      </c>
      <c r="AC15" s="67">
        <v>30</v>
      </c>
      <c r="AD15" s="66" t="s">
        <v>59</v>
      </c>
      <c r="AE15" s="67">
        <v>30</v>
      </c>
      <c r="AF15" s="66" t="s">
        <v>59</v>
      </c>
      <c r="AG15" s="67">
        <v>30</v>
      </c>
      <c r="AH15" s="66" t="s">
        <v>59</v>
      </c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5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</row>
    <row r="16" spans="1:63" x14ac:dyDescent="0.25">
      <c r="C16" s="47"/>
      <c r="D16" s="574"/>
      <c r="E16" s="574"/>
      <c r="F16" s="47"/>
      <c r="G16" s="575"/>
      <c r="H16" s="575"/>
      <c r="I16" s="46"/>
    </row>
    <row r="17" spans="3:34" hidden="1" x14ac:dyDescent="0.25">
      <c r="C17" s="47"/>
      <c r="D17" s="574"/>
      <c r="E17" s="574"/>
      <c r="F17" s="47"/>
      <c r="G17" s="575"/>
      <c r="H17" s="575"/>
      <c r="I17" s="46"/>
      <c r="J17" s="60"/>
      <c r="K17" s="61"/>
      <c r="L17" s="60"/>
      <c r="M17" s="61"/>
      <c r="N17" s="60"/>
      <c r="O17" s="61"/>
      <c r="P17" s="60"/>
      <c r="Q17" s="61"/>
      <c r="R17" s="60"/>
      <c r="S17" s="61"/>
      <c r="T17" s="62"/>
      <c r="U17" s="61"/>
      <c r="V17" s="60"/>
      <c r="W17" s="61"/>
      <c r="X17" s="60"/>
      <c r="Y17" s="61"/>
      <c r="Z17" s="60"/>
      <c r="AA17" s="61"/>
      <c r="AB17" s="60"/>
      <c r="AC17" s="61"/>
      <c r="AD17" s="60"/>
      <c r="AE17" s="61"/>
      <c r="AF17" s="60"/>
      <c r="AG17" s="61"/>
      <c r="AH17" s="60"/>
    </row>
    <row r="18" spans="3:34" hidden="1" x14ac:dyDescent="0.25">
      <c r="C18" s="47"/>
      <c r="D18" s="574"/>
      <c r="E18" s="574"/>
      <c r="F18" s="47"/>
      <c r="G18" s="575"/>
      <c r="H18" s="575"/>
      <c r="I18" s="46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</row>
    <row r="19" spans="3:34" hidden="1" x14ac:dyDescent="0.25">
      <c r="C19" s="47"/>
      <c r="D19" s="574"/>
      <c r="E19" s="574"/>
      <c r="F19" s="47"/>
      <c r="G19" s="575"/>
      <c r="H19" s="575"/>
      <c r="I19" s="46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</row>
    <row r="20" spans="3:34" hidden="1" x14ac:dyDescent="0.25">
      <c r="C20" s="47"/>
      <c r="D20" s="574"/>
      <c r="E20" s="574"/>
      <c r="F20" s="47"/>
      <c r="G20" s="575"/>
      <c r="H20" s="575"/>
      <c r="I20" s="46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</row>
    <row r="21" spans="3:34" hidden="1" x14ac:dyDescent="0.25">
      <c r="C21" s="47"/>
      <c r="D21" s="574"/>
      <c r="E21" s="574"/>
      <c r="F21" s="47"/>
      <c r="G21" s="575"/>
      <c r="H21" s="575"/>
      <c r="I21" s="46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</row>
    <row r="22" spans="3:34" hidden="1" x14ac:dyDescent="0.25">
      <c r="C22" s="47"/>
      <c r="D22" s="574"/>
      <c r="E22" s="574"/>
      <c r="F22" s="47"/>
      <c r="G22" s="575"/>
      <c r="H22" s="575"/>
      <c r="I22" s="46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</row>
    <row r="23" spans="3:34" hidden="1" x14ac:dyDescent="0.25">
      <c r="C23" s="47"/>
      <c r="D23" s="574"/>
      <c r="E23" s="574"/>
      <c r="F23" s="47"/>
      <c r="G23" s="575"/>
      <c r="H23" s="575"/>
      <c r="I23" s="46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</row>
    <row r="24" spans="3:34" hidden="1" x14ac:dyDescent="0.25">
      <c r="C24" s="47"/>
      <c r="D24" s="574"/>
      <c r="E24" s="574"/>
      <c r="F24" s="47"/>
      <c r="G24" s="575"/>
      <c r="H24" s="575"/>
      <c r="I24" s="46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</row>
    <row r="25" spans="3:34" hidden="1" x14ac:dyDescent="0.25">
      <c r="C25" s="47"/>
      <c r="D25" s="574"/>
      <c r="E25" s="574"/>
      <c r="F25" s="47"/>
      <c r="G25" s="575"/>
      <c r="H25" s="575"/>
      <c r="I25" s="46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</row>
    <row r="26" spans="3:34" hidden="1" x14ac:dyDescent="0.25">
      <c r="C26" s="47"/>
      <c r="D26" s="574"/>
      <c r="E26" s="574"/>
      <c r="F26" s="47"/>
      <c r="G26" s="575"/>
      <c r="H26" s="575"/>
      <c r="I26" s="46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</row>
    <row r="27" spans="3:34" hidden="1" x14ac:dyDescent="0.25">
      <c r="C27" s="47"/>
      <c r="D27" s="574"/>
      <c r="E27" s="574"/>
      <c r="F27" s="47"/>
      <c r="G27" s="575"/>
      <c r="H27" s="575"/>
      <c r="I27" s="46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</row>
    <row r="28" spans="3:34" hidden="1" x14ac:dyDescent="0.25">
      <c r="C28" s="47"/>
      <c r="D28" s="574"/>
      <c r="E28" s="574"/>
      <c r="F28" s="47"/>
      <c r="G28" s="575"/>
      <c r="H28" s="575"/>
      <c r="I28" s="46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</row>
    <row r="29" spans="3:34" hidden="1" x14ac:dyDescent="0.25">
      <c r="C29" s="47"/>
      <c r="D29" s="574"/>
      <c r="E29" s="574"/>
      <c r="F29" s="47"/>
      <c r="G29" s="575"/>
      <c r="H29" s="575"/>
      <c r="I29" s="46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</row>
    <row r="30" spans="3:34" hidden="1" x14ac:dyDescent="0.25">
      <c r="C30" s="47"/>
      <c r="D30" s="574"/>
      <c r="E30" s="574"/>
      <c r="F30" s="47"/>
      <c r="G30" s="575"/>
      <c r="H30" s="575"/>
      <c r="I30" s="46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</row>
    <row r="31" spans="3:34" hidden="1" x14ac:dyDescent="0.25">
      <c r="C31" s="47"/>
      <c r="D31" s="574"/>
      <c r="E31" s="574"/>
      <c r="F31" s="47"/>
      <c r="G31" s="575"/>
      <c r="H31" s="575"/>
      <c r="I31" s="46"/>
    </row>
    <row r="32" spans="3:34" ht="16.5" hidden="1" thickBot="1" x14ac:dyDescent="0.3">
      <c r="C32" s="47"/>
      <c r="D32" s="574"/>
      <c r="E32" s="574"/>
      <c r="F32" s="47"/>
      <c r="G32" s="575"/>
      <c r="H32" s="575"/>
      <c r="I32" s="46"/>
    </row>
    <row r="33" spans="1:29" ht="17.25" hidden="1" thickTop="1" thickBot="1" x14ac:dyDescent="0.3">
      <c r="C33" s="47"/>
      <c r="D33" s="574"/>
      <c r="E33" s="574"/>
      <c r="F33" s="47"/>
      <c r="G33" s="575"/>
      <c r="H33" s="575"/>
      <c r="I33" s="46"/>
      <c r="L33" s="58" t="s">
        <v>58</v>
      </c>
      <c r="M33" s="57" t="s">
        <v>38</v>
      </c>
      <c r="N33" s="57" t="s">
        <v>57</v>
      </c>
      <c r="O33" s="57" t="s">
        <v>56</v>
      </c>
      <c r="P33" s="57" t="s">
        <v>35</v>
      </c>
      <c r="Q33" s="57" t="s">
        <v>34</v>
      </c>
      <c r="R33" s="57" t="s">
        <v>33</v>
      </c>
      <c r="S33" s="57" t="s">
        <v>32</v>
      </c>
      <c r="T33" s="57" t="s">
        <v>31</v>
      </c>
      <c r="U33" s="57" t="s">
        <v>30</v>
      </c>
      <c r="V33" s="57" t="s">
        <v>55</v>
      </c>
      <c r="W33" s="57" t="s">
        <v>54</v>
      </c>
    </row>
    <row r="34" spans="1:29" ht="17.25" hidden="1" thickTop="1" thickBot="1" x14ac:dyDescent="0.3">
      <c r="C34" s="47"/>
      <c r="D34" s="574"/>
      <c r="E34" s="574"/>
      <c r="F34" s="47"/>
      <c r="G34" s="575"/>
      <c r="H34" s="575"/>
      <c r="I34" s="46"/>
      <c r="J34" s="56"/>
      <c r="K34" s="56" t="s">
        <v>53</v>
      </c>
      <c r="L34" s="55">
        <v>2</v>
      </c>
      <c r="M34" s="55" t="s">
        <v>48</v>
      </c>
      <c r="N34" s="55" t="s">
        <v>48</v>
      </c>
      <c r="O34" s="55" t="s">
        <v>48</v>
      </c>
      <c r="P34" s="55" t="s">
        <v>48</v>
      </c>
      <c r="Q34" s="55">
        <v>2.1</v>
      </c>
      <c r="R34" s="55">
        <v>1500</v>
      </c>
      <c r="S34" s="55" t="s">
        <v>48</v>
      </c>
      <c r="T34" s="55">
        <v>32</v>
      </c>
      <c r="U34" s="54" t="s">
        <v>48</v>
      </c>
      <c r="V34" s="53">
        <v>0.02</v>
      </c>
      <c r="W34" s="53">
        <v>1000</v>
      </c>
    </row>
    <row r="35" spans="1:29" ht="74.25" hidden="1" thickBot="1" x14ac:dyDescent="0.3">
      <c r="C35" s="47"/>
      <c r="D35" s="574"/>
      <c r="E35" s="574"/>
      <c r="F35" s="47"/>
      <c r="G35" s="575"/>
      <c r="H35" s="575"/>
      <c r="I35" s="46"/>
      <c r="J35" s="50"/>
      <c r="K35" s="50" t="s">
        <v>52</v>
      </c>
      <c r="L35" s="52">
        <v>2</v>
      </c>
      <c r="M35" s="52">
        <v>0.5</v>
      </c>
      <c r="N35" s="52" t="s">
        <v>48</v>
      </c>
      <c r="O35" s="52" t="s">
        <v>48</v>
      </c>
      <c r="P35" s="52">
        <v>33</v>
      </c>
      <c r="Q35" s="52" t="s">
        <v>48</v>
      </c>
      <c r="R35" s="52" t="s">
        <v>48</v>
      </c>
      <c r="S35" s="52">
        <v>20</v>
      </c>
      <c r="T35" s="52">
        <v>32</v>
      </c>
      <c r="U35" s="51">
        <v>55</v>
      </c>
    </row>
    <row r="36" spans="1:29" ht="61.5" hidden="1" x14ac:dyDescent="0.25">
      <c r="C36" s="47"/>
      <c r="D36" s="574"/>
      <c r="E36" s="574"/>
      <c r="F36" s="47"/>
      <c r="G36" s="575"/>
      <c r="H36" s="575"/>
      <c r="I36" s="46"/>
      <c r="J36" s="49"/>
      <c r="K36" s="49" t="s">
        <v>51</v>
      </c>
      <c r="L36" s="569">
        <v>5</v>
      </c>
      <c r="M36" s="569">
        <v>1</v>
      </c>
      <c r="N36" s="569" t="s">
        <v>48</v>
      </c>
      <c r="O36" s="569" t="s">
        <v>48</v>
      </c>
      <c r="P36" s="569">
        <v>66</v>
      </c>
      <c r="Q36" s="569" t="s">
        <v>48</v>
      </c>
      <c r="R36" s="569" t="s">
        <v>48</v>
      </c>
      <c r="S36" s="569">
        <v>40</v>
      </c>
      <c r="T36" s="569">
        <v>65</v>
      </c>
      <c r="U36" s="571">
        <v>110</v>
      </c>
    </row>
    <row r="37" spans="1:29" ht="39.75" hidden="1" thickBot="1" x14ac:dyDescent="0.3">
      <c r="C37" s="47"/>
      <c r="D37" s="574"/>
      <c r="E37" s="574"/>
      <c r="F37" s="47"/>
      <c r="G37" s="575"/>
      <c r="H37" s="575"/>
      <c r="I37" s="46"/>
      <c r="J37" s="50"/>
      <c r="K37" s="50" t="s">
        <v>50</v>
      </c>
      <c r="L37" s="570"/>
      <c r="M37" s="570"/>
      <c r="N37" s="570"/>
      <c r="O37" s="570"/>
      <c r="P37" s="570"/>
      <c r="Q37" s="570"/>
      <c r="R37" s="570"/>
      <c r="S37" s="570"/>
      <c r="T37" s="570"/>
      <c r="U37" s="572"/>
    </row>
    <row r="38" spans="1:29" ht="61.5" hidden="1" x14ac:dyDescent="0.25">
      <c r="C38" s="47"/>
      <c r="D38" s="574"/>
      <c r="E38" s="574"/>
      <c r="F38" s="47"/>
      <c r="G38" s="575"/>
      <c r="H38" s="575"/>
      <c r="I38" s="46"/>
      <c r="J38" s="49"/>
      <c r="K38" s="49" t="s">
        <v>49</v>
      </c>
      <c r="L38" s="569">
        <v>10</v>
      </c>
      <c r="M38" s="569">
        <v>2</v>
      </c>
      <c r="N38" s="569" t="s">
        <v>48</v>
      </c>
      <c r="O38" s="569" t="s">
        <v>48</v>
      </c>
      <c r="P38" s="569">
        <v>132</v>
      </c>
      <c r="Q38" s="569" t="s">
        <v>48</v>
      </c>
      <c r="R38" s="569" t="s">
        <v>48</v>
      </c>
      <c r="S38" s="569">
        <v>80</v>
      </c>
      <c r="T38" s="569">
        <v>130</v>
      </c>
      <c r="U38" s="571">
        <v>220</v>
      </c>
    </row>
    <row r="39" spans="1:29" ht="74.25" hidden="1" thickBot="1" x14ac:dyDescent="0.3">
      <c r="C39" s="47"/>
      <c r="D39" s="574"/>
      <c r="E39" s="574"/>
      <c r="F39" s="47"/>
      <c r="G39" s="575"/>
      <c r="H39" s="575"/>
      <c r="I39" s="46"/>
      <c r="J39" s="48"/>
      <c r="K39" s="48" t="s">
        <v>47</v>
      </c>
      <c r="L39" s="576"/>
      <c r="M39" s="576"/>
      <c r="N39" s="576"/>
      <c r="O39" s="576"/>
      <c r="P39" s="576"/>
      <c r="Q39" s="576"/>
      <c r="R39" s="576"/>
      <c r="S39" s="576"/>
      <c r="T39" s="576"/>
      <c r="U39" s="573"/>
    </row>
    <row r="40" spans="1:29" ht="16.5" hidden="1" thickTop="1" x14ac:dyDescent="0.25">
      <c r="C40" s="47"/>
      <c r="D40" s="574"/>
      <c r="E40" s="574"/>
      <c r="F40" s="47"/>
      <c r="G40" s="575"/>
      <c r="H40" s="575"/>
      <c r="I40" s="46"/>
    </row>
    <row r="41" spans="1:29" ht="16.5" thickBot="1" x14ac:dyDescent="0.3">
      <c r="C41" s="47"/>
      <c r="D41" s="574"/>
      <c r="E41" s="574"/>
      <c r="F41" s="47"/>
      <c r="G41" s="575"/>
      <c r="H41" s="575"/>
      <c r="I41" s="46"/>
    </row>
    <row r="42" spans="1:29" x14ac:dyDescent="0.25">
      <c r="B42" s="564" t="s">
        <v>46</v>
      </c>
      <c r="C42" s="565"/>
      <c r="D42" s="565"/>
      <c r="E42" s="565"/>
      <c r="F42" s="565"/>
      <c r="G42" s="565"/>
      <c r="H42" s="565"/>
      <c r="I42" s="565"/>
      <c r="J42" s="565"/>
      <c r="K42" s="565"/>
      <c r="L42" s="565"/>
      <c r="M42" s="565"/>
      <c r="N42" s="566"/>
      <c r="Q42" s="564" t="s">
        <v>45</v>
      </c>
      <c r="R42" s="565"/>
      <c r="S42" s="565"/>
      <c r="T42" s="565"/>
      <c r="U42" s="565"/>
      <c r="V42" s="565"/>
      <c r="W42" s="565"/>
      <c r="X42" s="565"/>
      <c r="Y42" s="565"/>
      <c r="Z42" s="565"/>
      <c r="AA42" s="565"/>
      <c r="AB42" s="565"/>
      <c r="AC42" s="566"/>
    </row>
    <row r="43" spans="1:29" ht="16.5" thickBot="1" x14ac:dyDescent="0.3">
      <c r="B43" s="567" t="s">
        <v>44</v>
      </c>
      <c r="C43" s="44">
        <v>1</v>
      </c>
      <c r="D43" s="44">
        <v>2</v>
      </c>
      <c r="E43" s="44">
        <v>3</v>
      </c>
      <c r="F43" s="44">
        <v>4</v>
      </c>
      <c r="G43" s="44">
        <v>5</v>
      </c>
      <c r="H43" s="44">
        <v>6</v>
      </c>
      <c r="I43" s="45">
        <v>7</v>
      </c>
      <c r="J43" s="44">
        <v>8</v>
      </c>
      <c r="K43" s="44">
        <v>9</v>
      </c>
      <c r="L43" s="44">
        <v>10</v>
      </c>
      <c r="M43" s="43"/>
      <c r="Q43" s="567" t="s">
        <v>44</v>
      </c>
      <c r="R43" s="44">
        <v>1</v>
      </c>
      <c r="S43" s="44">
        <v>2</v>
      </c>
      <c r="T43" s="44">
        <v>3</v>
      </c>
      <c r="U43" s="44">
        <v>4</v>
      </c>
      <c r="V43" s="44">
        <v>5</v>
      </c>
      <c r="W43" s="44">
        <v>6</v>
      </c>
      <c r="X43" s="45">
        <v>7</v>
      </c>
      <c r="Y43" s="44">
        <v>8</v>
      </c>
      <c r="Z43" s="44">
        <v>9</v>
      </c>
      <c r="AA43" s="44">
        <v>10</v>
      </c>
      <c r="AB43" s="43"/>
    </row>
    <row r="44" spans="1:29" x14ac:dyDescent="0.25">
      <c r="B44" s="568"/>
      <c r="C44" s="42" t="s">
        <v>39</v>
      </c>
      <c r="D44" s="41" t="s">
        <v>38</v>
      </c>
      <c r="E44" s="40" t="s">
        <v>37</v>
      </c>
      <c r="F44" s="39" t="s">
        <v>36</v>
      </c>
      <c r="G44" s="38" t="s">
        <v>35</v>
      </c>
      <c r="H44" s="37" t="s">
        <v>34</v>
      </c>
      <c r="I44" s="36" t="s">
        <v>33</v>
      </c>
      <c r="J44" s="35" t="s">
        <v>32</v>
      </c>
      <c r="K44" s="34" t="s">
        <v>31</v>
      </c>
      <c r="L44" s="33" t="s">
        <v>30</v>
      </c>
      <c r="M44" s="32" t="s">
        <v>43</v>
      </c>
      <c r="Q44" s="568"/>
      <c r="R44" s="42" t="s">
        <v>39</v>
      </c>
      <c r="S44" s="41" t="s">
        <v>38</v>
      </c>
      <c r="T44" s="40" t="s">
        <v>37</v>
      </c>
      <c r="U44" s="39" t="s">
        <v>36</v>
      </c>
      <c r="V44" s="38" t="s">
        <v>35</v>
      </c>
      <c r="W44" s="37" t="s">
        <v>34</v>
      </c>
      <c r="X44" s="36" t="s">
        <v>33</v>
      </c>
      <c r="Y44" s="35" t="s">
        <v>32</v>
      </c>
      <c r="Z44" s="34" t="s">
        <v>31</v>
      </c>
      <c r="AA44" s="33" t="s">
        <v>30</v>
      </c>
      <c r="AB44" s="32" t="s">
        <v>42</v>
      </c>
      <c r="AC44" s="32" t="s">
        <v>41</v>
      </c>
    </row>
    <row r="45" spans="1:29" x14ac:dyDescent="0.25">
      <c r="A45" s="15" t="str">
        <f t="shared" ref="A45:A57" si="12">I3</f>
        <v>ПС</v>
      </c>
      <c r="B45" s="30" t="str">
        <f t="shared" ref="B45:B57" si="13">AJ3</f>
        <v>01АХ.01</v>
      </c>
      <c r="C45" s="29" t="s">
        <v>186</v>
      </c>
      <c r="D45" s="29">
        <f>IF(OR($K$5="менее 0,05",$K$5="менее 0,05 "),"0,05",$K$5)</f>
        <v>0.38</v>
      </c>
      <c r="E45" s="29">
        <f>$K6</f>
        <v>2.4</v>
      </c>
      <c r="F45" s="29">
        <f>$K14</f>
        <v>6.3</v>
      </c>
      <c r="G45" s="29">
        <f>IF(OR($K$8="менее 0,1",$K$8="менее 0,1 "),"0,1",$K$8)</f>
        <v>8.6</v>
      </c>
      <c r="H45" s="29">
        <f>IF($K12="менее 0,005","0,005",$K12)</f>
        <v>8.0000000000000002E-3</v>
      </c>
      <c r="I45" s="29" t="str">
        <f>$K7</f>
        <v xml:space="preserve">150 </v>
      </c>
      <c r="J45" s="29">
        <f>$K11</f>
        <v>4.4000000000000004</v>
      </c>
      <c r="K45" s="29">
        <f>$K13</f>
        <v>5.0999999999999996</v>
      </c>
      <c r="L45" s="29" t="str">
        <f>$K15</f>
        <v xml:space="preserve">20 </v>
      </c>
      <c r="M45" s="28" t="e">
        <f t="shared" ref="M45:M57" si="14">IF(B45="","",(IF(C45/D$89&gt;=1,(C45/D$89)-1)+IF(D45/E$89&gt;=1,(D45/E$89)-1)+IF(E45/F$89&gt;=1,(E45/F$89)-1)+IF(F45/G$89&gt;=1,(F45/G$89)-1)+IF(G45/H$89&gt;=1,(G45/H$89)-1)+IF(H45/I$89&gt;=1,(H45/I$89)-1)+IF(I45/J$89&gt;=1,(I45/J$89)-1)+IF(J45/K$89&gt;=1,(J45/K$89)-1)+IF(K45/L$89&gt;=1,(K45/L$89)-1)+IF(L45/M$89&gt;=1,(L45/M$89)-1))+1)</f>
        <v>#VALUE!</v>
      </c>
      <c r="P45" s="15" t="str">
        <f t="shared" ref="P45:P57" si="15">I3</f>
        <v>ПС</v>
      </c>
      <c r="Q45" s="30" t="str">
        <f t="shared" ref="Q45:Q56" si="16">BA3</f>
        <v>01АХ.01</v>
      </c>
      <c r="R45" s="29" t="str">
        <f>IF(OR($K9="менее 0,1",$K9="менее 0,1 "),"0,1",$K9)</f>
        <v>0,1</v>
      </c>
      <c r="S45" s="29">
        <f>IF(OR($K$5="менее 0,05",$K$5="менее 0,05 "),"0,05",$K$5)</f>
        <v>0.38</v>
      </c>
      <c r="T45" s="29">
        <f>$K6</f>
        <v>2.4</v>
      </c>
      <c r="U45" s="29">
        <f>$K14</f>
        <v>6.3</v>
      </c>
      <c r="V45" s="29">
        <f>IF(OR($K$8="менее 0,1",$K$8="менее 0,1 "),"0,1",$K$8)</f>
        <v>8.6</v>
      </c>
      <c r="W45" s="29">
        <f>IF($K12="менее 0,005","0,005",$K12)</f>
        <v>8.0000000000000002E-3</v>
      </c>
      <c r="X45" s="29" t="str">
        <f>$K7</f>
        <v xml:space="preserve">150 </v>
      </c>
      <c r="Y45" s="29">
        <f>$K11</f>
        <v>4.4000000000000004</v>
      </c>
      <c r="Z45" s="29">
        <f>$K13</f>
        <v>5.0999999999999996</v>
      </c>
      <c r="AA45" s="29" t="str">
        <f>$K15</f>
        <v xml:space="preserve">20 </v>
      </c>
      <c r="AB45" s="28" t="e">
        <f t="shared" ref="AB45:AB57" si="17">IF(Q45="","",(IF(R45/S$89&gt;=1,(R45/S$89)-1)+IF(S45/T$89&gt;=1,(S45/T$89)-1)+IF(T45/U$89&gt;=1,(T45/U$89)-1)+IF(U45/V$89&gt;=1,(U45/V$89)-1)+IF(V45/W$89&gt;=1,(V45/W$89)-1)+IF(W45/X$89&gt;=1,(W45/X$89)-1)+IF(X45/Y$89&gt;=1,(X45/Y$89)-1)+IF(Y45/Z$89&gt;=1,(Y45/Z$89)-1)+IF(Z45/AA$89&gt;=1,(Z45/AA$89)-1)+IF(AA45/AB$89&gt;=1,(AA45/AB$89)-1))+1)</f>
        <v>#VALUE!</v>
      </c>
      <c r="AC45" s="28" t="e">
        <f t="shared" ref="AC45:AC57" si="18">IF(Q45="","",(IF(R45/S$90&gt;=1,(R45/S$90)-1)+IF(S45/T$90&gt;=1,(S45/T$90)-1)+IF(T45/U$90&gt;=1,(T45/U$90)-1)+IF(U45/V$90&gt;=1,(U45/V$90)-1)+IF(V45/W$90&gt;=1,(V45/W$90)-1)+IF(W45/X$90&gt;=1,(W45/X$90)-1)+IF(X45/Y$90&gt;=1,(X45/Y$90)-1)+IF(Y45/Z$90&gt;=1,(Y45/Z$90)-1)+IF(Z45/AA$90&gt;=1,(Z45/AA$90)-1)+IF(AA45/AB$90&gt;=1,(AA45/AB$90)-1))+1)</f>
        <v>#VALUE!</v>
      </c>
    </row>
    <row r="46" spans="1:29" x14ac:dyDescent="0.25">
      <c r="A46" s="15" t="str">
        <f t="shared" si="12"/>
        <v>СГ</v>
      </c>
      <c r="B46" s="30" t="str">
        <f t="shared" si="13"/>
        <v>02АХ.01</v>
      </c>
      <c r="C46" s="29" t="str">
        <f>IF(OR($M9="менее 0,1",$M9="менее 0,1 "),"0,1",$M9)</f>
        <v xml:space="preserve">60 </v>
      </c>
      <c r="D46" s="29" t="str">
        <f>IF(OR($M$5="менее 0,05",$M$5="менее 0,05 "),"0,05",$M$5)</f>
        <v>0,05</v>
      </c>
      <c r="E46" s="29">
        <f>$M6</f>
        <v>1.1000000000000001</v>
      </c>
      <c r="F46" s="29">
        <f>$M14</f>
        <v>7.9</v>
      </c>
      <c r="G46" s="29" t="str">
        <f>IF(OR($M$8="менее 0,1",$M$8="менее 0,1 "),"0,1",$M$8)</f>
        <v>0,1</v>
      </c>
      <c r="H46" s="29" t="str">
        <f>IF($M12="менее 0,005","0,005",$M12)</f>
        <v>0,005</v>
      </c>
      <c r="I46" s="29">
        <f>$M7</f>
        <v>4.7</v>
      </c>
      <c r="J46" s="29">
        <f>$M11</f>
        <v>5.1999999999999998E-2</v>
      </c>
      <c r="K46" s="29" t="str">
        <f>$M13</f>
        <v xml:space="preserve">13 </v>
      </c>
      <c r="L46" s="29">
        <f>$M15</f>
        <v>13</v>
      </c>
      <c r="M46" s="28" t="e">
        <f t="shared" si="14"/>
        <v>#VALUE!</v>
      </c>
      <c r="P46" s="15" t="str">
        <f t="shared" si="15"/>
        <v>СГ</v>
      </c>
      <c r="Q46" s="30" t="str">
        <f t="shared" si="16"/>
        <v>02АХ.01</v>
      </c>
      <c r="R46" s="29" t="str">
        <f>IF(OR($M9="менее 0,1",$M9="менее 0,1 "),"0,1",$M9)</f>
        <v xml:space="preserve">60 </v>
      </c>
      <c r="S46" s="29" t="str">
        <f>IF(OR($M$5="менее 0,05",$M$5="менее 0,05 "),"0,05",$M$5)</f>
        <v>0,05</v>
      </c>
      <c r="T46" s="29">
        <f>$M6</f>
        <v>1.1000000000000001</v>
      </c>
      <c r="U46" s="29">
        <f>$M14</f>
        <v>7.9</v>
      </c>
      <c r="V46" s="29" t="str">
        <f>IF(OR($M$8="менее 0,1",$M$8="менее 0,1 "),"0,1",$M$8)</f>
        <v>0,1</v>
      </c>
      <c r="W46" s="29" t="str">
        <f>IF($M12="менее 0,005","0,005",$M12)</f>
        <v>0,005</v>
      </c>
      <c r="X46" s="29">
        <f>$M7</f>
        <v>4.7</v>
      </c>
      <c r="Y46" s="29">
        <f>$M11</f>
        <v>5.1999999999999998E-2</v>
      </c>
      <c r="Z46" s="29" t="str">
        <f>$M13</f>
        <v xml:space="preserve">13 </v>
      </c>
      <c r="AA46" s="29">
        <f>$M15</f>
        <v>13</v>
      </c>
      <c r="AB46" s="28" t="e">
        <f t="shared" si="17"/>
        <v>#VALUE!</v>
      </c>
      <c r="AC46" s="28" t="e">
        <f>IF(Q46="","",(IF(R46/S$90&gt;=1,(R46/S$90)-1)+IF(S46/T$90&gt;=1,(S46/T$90)-1)+IF(T46/U$90&gt;=1,(T46/U$90)-1)+IF(U46/V$90&gt;=1,(U46/V$90)-1)+IF(V46/W$90&gt;=1,(V46/W$90)-1)+IF(W46/X$90&gt;=1,(W46/X$90)-1)+IF(X46/Y$90&gt;=1,(X46/Y$90)-1)+IF(Y46/Z$90&gt;=1,(Y46/Z$90)-1)+IF(Z46/AA$90&gt;=1,(Z46/AA$90)-1)+IF(AA46/AB$90&gt;=1,(AA46/AB$90)-1))+1)</f>
        <v>#VALUE!</v>
      </c>
    </row>
    <row r="47" spans="1:29" x14ac:dyDescent="0.25">
      <c r="A47" s="15" t="str">
        <f t="shared" si="12"/>
        <v>ПС</v>
      </c>
      <c r="B47" s="30" t="str">
        <f t="shared" si="13"/>
        <v>03АХ.01</v>
      </c>
      <c r="C47" s="29">
        <f>IF(OR($O9="менее 0,1",$O9="менее 0,1 "),"0,1",$O9)</f>
        <v>0.7</v>
      </c>
      <c r="D47" s="29">
        <f>IF(OR($O$5="менее 0,05",$O$5="менее 0,05 "),"0,05",$O$5)</f>
        <v>0.24</v>
      </c>
      <c r="E47" s="29">
        <f>$O6</f>
        <v>1.2</v>
      </c>
      <c r="F47" s="29">
        <f>$O14</f>
        <v>3.4</v>
      </c>
      <c r="G47" s="29">
        <f>IF(OR($O$8="менее 0,1",$O$8="менее 0,1 "),"0,1",$O$8)</f>
        <v>2.6</v>
      </c>
      <c r="H47" s="29" t="str">
        <f>IF($O12="менее 0,005","0,005",$O12)</f>
        <v>0,005</v>
      </c>
      <c r="I47" s="29">
        <f>$O7</f>
        <v>77</v>
      </c>
      <c r="J47" s="29">
        <f>$O11</f>
        <v>2.9</v>
      </c>
      <c r="K47" s="29">
        <f>$O13</f>
        <v>3.3</v>
      </c>
      <c r="L47" s="29">
        <f>$O15</f>
        <v>5</v>
      </c>
      <c r="M47" s="28" t="e">
        <f t="shared" si="14"/>
        <v>#VALUE!</v>
      </c>
      <c r="P47" s="15" t="str">
        <f t="shared" si="15"/>
        <v>ПС</v>
      </c>
      <c r="Q47" s="30" t="str">
        <f t="shared" si="16"/>
        <v>03АХ.01</v>
      </c>
      <c r="R47" s="29">
        <f>IF(OR($O9="менее 0,1",$O9="менее 0,1 "),"0,1",$O9)</f>
        <v>0.7</v>
      </c>
      <c r="S47" s="29">
        <f>IF(OR($O$5="менее 0,05",$O$5="менее 0,05 "),"0,05",$O$5)</f>
        <v>0.24</v>
      </c>
      <c r="T47" s="29">
        <f>$O6</f>
        <v>1.2</v>
      </c>
      <c r="U47" s="29">
        <f>$O14</f>
        <v>3.4</v>
      </c>
      <c r="V47" s="29">
        <f>IF(OR($O$8="менее 0,1",$O$8="менее 0,1 "),"0,1",$O$8)</f>
        <v>2.6</v>
      </c>
      <c r="W47" s="29" t="str">
        <f>IF($O12="менее 0,005","0,005",$O12)</f>
        <v>0,005</v>
      </c>
      <c r="X47" s="29">
        <f>$O7</f>
        <v>77</v>
      </c>
      <c r="Y47" s="29">
        <f>$O11</f>
        <v>2.9</v>
      </c>
      <c r="Z47" s="29">
        <f>$O13</f>
        <v>3.3</v>
      </c>
      <c r="AA47" s="29">
        <f>$O15</f>
        <v>5</v>
      </c>
      <c r="AB47" s="28" t="e">
        <f t="shared" si="17"/>
        <v>#VALUE!</v>
      </c>
      <c r="AC47" s="28" t="e">
        <f>IF(Q47="","",(IF(R47/S$90&gt;=1,(R47/S$90)-1)+IF(S47/T$90&gt;=1,(S47/T$90)-1)+IF(T47/U$90&gt;=1,(T47/U$90)-1)+IF(U47/V$90&gt;=1,(U47/V$90)-1)+IF(V47/W$90&gt;=1,(V47/W$90)-1)+IF(W47/X$90&gt;=1,(W47/X$90)-1)+IF(X47/Y$90&gt;=1,(X47/Y$90)-1)+IF(Y47/Z$90&gt;=1,(Y47/Z$90)-1)+IF(Z47/AA$90&gt;=1,(Z47/AA$90)-1)+IF(AA47/AB$90&gt;=1,(AA47/AB$90)-1))+1)</f>
        <v>#VALUE!</v>
      </c>
    </row>
    <row r="48" spans="1:29" x14ac:dyDescent="0.25">
      <c r="A48" s="15" t="str">
        <f t="shared" si="12"/>
        <v>ПС</v>
      </c>
      <c r="B48" s="30" t="str">
        <f t="shared" si="13"/>
        <v>04АХ.01</v>
      </c>
      <c r="C48" s="29">
        <f>IF(OR($Q9="менее 0,1",$Q9="менее 0,1 "),"0,1",$Q9)</f>
        <v>0.6</v>
      </c>
      <c r="D48" s="29">
        <f>IF(OR($Q$5="менее 0,05",$Q$5="менее 0,05 "),"0,05",$Q$5)</f>
        <v>0.24</v>
      </c>
      <c r="E48" s="29">
        <f>$Q6</f>
        <v>1.7</v>
      </c>
      <c r="F48" s="29">
        <f>$Q14</f>
        <v>4.3</v>
      </c>
      <c r="G48" s="29">
        <f>IF(OR($Q$8="менее 0,1",$Q$8="менее 0,1 "),"0,1",$Q$8)</f>
        <v>3.9</v>
      </c>
      <c r="H48" s="29" t="str">
        <f>IF($Q12="менее 0,005","0,005",$Q12)</f>
        <v>0,005</v>
      </c>
      <c r="I48" s="29">
        <f>$Q7</f>
        <v>110</v>
      </c>
      <c r="J48" s="29">
        <f>$Q11</f>
        <v>3.8</v>
      </c>
      <c r="K48" s="29">
        <f>$Q13</f>
        <v>3.7</v>
      </c>
      <c r="L48" s="29">
        <f>$Q15</f>
        <v>6</v>
      </c>
      <c r="M48" s="28" t="e">
        <f t="shared" si="14"/>
        <v>#VALUE!</v>
      </c>
      <c r="P48" s="15" t="str">
        <f t="shared" si="15"/>
        <v>ПС</v>
      </c>
      <c r="Q48" s="30" t="str">
        <f t="shared" si="16"/>
        <v>04АХ.01</v>
      </c>
      <c r="R48" s="29">
        <f>IF(OR($Q9="менее 0,1",$Q9="менее 0,1 "),"0,1",$Q9)</f>
        <v>0.6</v>
      </c>
      <c r="S48" s="29">
        <f>IF(OR($Q$5="менее 0,05",$Q$5="менее 0,05 "),"0,05",$Q$5)</f>
        <v>0.24</v>
      </c>
      <c r="T48" s="29">
        <f>$Q6</f>
        <v>1.7</v>
      </c>
      <c r="U48" s="29">
        <f>$Q14</f>
        <v>4.3</v>
      </c>
      <c r="V48" s="29">
        <f>IF(OR($Q$8="менее 0,1",$Q$8="менее 0,1 "),"0,1",$Q$8)</f>
        <v>3.9</v>
      </c>
      <c r="W48" s="29" t="str">
        <f>IF($Q12="менее 0,005","0,005",$Q12)</f>
        <v>0,005</v>
      </c>
      <c r="X48" s="29">
        <f>$Q7</f>
        <v>110</v>
      </c>
      <c r="Y48" s="29">
        <f>$Q11</f>
        <v>3.8</v>
      </c>
      <c r="Z48" s="29">
        <f>$Q13</f>
        <v>3.7</v>
      </c>
      <c r="AA48" s="29">
        <f>$Q15</f>
        <v>6</v>
      </c>
      <c r="AB48" s="28" t="e">
        <f t="shared" si="17"/>
        <v>#VALUE!</v>
      </c>
      <c r="AC48" s="28" t="e">
        <f t="shared" si="18"/>
        <v>#VALUE!</v>
      </c>
    </row>
    <row r="49" spans="1:29" x14ac:dyDescent="0.25">
      <c r="A49" s="15" t="str">
        <f t="shared" si="12"/>
        <v>ПС</v>
      </c>
      <c r="B49" s="30" t="str">
        <f t="shared" si="13"/>
        <v>05АХ.01</v>
      </c>
      <c r="C49" s="29">
        <f>IF(OR($S9="менее 0,1",$S9="менее 0,1 "),"0,1",$S9)</f>
        <v>1.2</v>
      </c>
      <c r="D49" s="29">
        <f>IF(OR($S$5="менее 0,05",$S$5="менее 0,05 "),"0,05",$S$5)</f>
        <v>0.28999999999999998</v>
      </c>
      <c r="E49" s="29">
        <f>$S6</f>
        <v>1.7</v>
      </c>
      <c r="F49" s="29">
        <f>$S14</f>
        <v>6</v>
      </c>
      <c r="G49" s="29">
        <f>IF(OR($S$8="менее 0,1",$S$8="менее 0,1 "),"0,1",$S$8)</f>
        <v>3.3</v>
      </c>
      <c r="H49" s="29" t="str">
        <f>IF($S12="менее 0,005","0,005",$S12)</f>
        <v>0,005</v>
      </c>
      <c r="I49" s="29">
        <f>$S7</f>
        <v>130</v>
      </c>
      <c r="J49" s="29">
        <f>$S11</f>
        <v>3.4</v>
      </c>
      <c r="K49" s="29">
        <f>$S13</f>
        <v>4.5</v>
      </c>
      <c r="L49" s="29">
        <f>$S15</f>
        <v>9</v>
      </c>
      <c r="M49" s="28" t="e">
        <f t="shared" si="14"/>
        <v>#VALUE!</v>
      </c>
      <c r="P49" s="15" t="str">
        <f t="shared" si="15"/>
        <v>ПС</v>
      </c>
      <c r="Q49" s="30" t="str">
        <f t="shared" si="16"/>
        <v>05АХ.01</v>
      </c>
      <c r="R49" s="29">
        <f>IF(OR($S9="менее 0,1",$S9="менее 0,1 "),"0,1",$S9)</f>
        <v>1.2</v>
      </c>
      <c r="S49" s="29">
        <f>IF(OR($S$5="менее 0,05",$S$5="менее 0,05 "),"0,05",$S$5)</f>
        <v>0.28999999999999998</v>
      </c>
      <c r="T49" s="29">
        <f>$S6</f>
        <v>1.7</v>
      </c>
      <c r="U49" s="29">
        <f>$S14</f>
        <v>6</v>
      </c>
      <c r="V49" s="29">
        <f>IF(OR($S$8="менее 0,1",$S$8="менее 0,1 "),"0,1",$S$8)</f>
        <v>3.3</v>
      </c>
      <c r="W49" s="29" t="str">
        <f>IF($S12="менее 0,005","0,005",$S12)</f>
        <v>0,005</v>
      </c>
      <c r="X49" s="29">
        <f>$S7</f>
        <v>130</v>
      </c>
      <c r="Y49" s="29">
        <f>$S11</f>
        <v>3.4</v>
      </c>
      <c r="Z49" s="29">
        <f>$S13</f>
        <v>4.5</v>
      </c>
      <c r="AA49" s="29">
        <f>$S15</f>
        <v>9</v>
      </c>
      <c r="AB49" s="28" t="e">
        <f t="shared" si="17"/>
        <v>#VALUE!</v>
      </c>
      <c r="AC49" s="28" t="e">
        <f t="shared" si="18"/>
        <v>#VALUE!</v>
      </c>
    </row>
    <row r="50" spans="1:29" x14ac:dyDescent="0.25">
      <c r="A50" s="15" t="str">
        <f t="shared" si="12"/>
        <v>ПС</v>
      </c>
      <c r="B50" s="30" t="str">
        <f t="shared" si="13"/>
        <v>06АХ.01</v>
      </c>
      <c r="C50" s="29" t="str">
        <f>IF(OR($U9="менее 0,1",$U9="менее 0,1 "),"0,1",$U9)</f>
        <v>0,1</v>
      </c>
      <c r="D50" s="29">
        <f>IF(OR($U$5="менее 0,05",$U$5="менее 0,05 "),"0,05",$U$5)</f>
        <v>0.31</v>
      </c>
      <c r="E50" s="29">
        <f>$U6</f>
        <v>7</v>
      </c>
      <c r="F50" s="29">
        <f>$U14</f>
        <v>26</v>
      </c>
      <c r="G50" s="29">
        <f>IF(OR($U$8="менее 0,1",$U$8="менее 0,1 "),"0,1",$U$8)</f>
        <v>13</v>
      </c>
      <c r="H50" s="29">
        <f>IF($U12="менее 0,005","0,005",$U12)</f>
        <v>1.2999999999999999E-2</v>
      </c>
      <c r="I50" s="29">
        <f>$U7</f>
        <v>310</v>
      </c>
      <c r="J50" s="29">
        <f>$U11</f>
        <v>20</v>
      </c>
      <c r="K50" s="29">
        <f>$U13</f>
        <v>9.5</v>
      </c>
      <c r="L50" s="29">
        <f>$U15</f>
        <v>30</v>
      </c>
      <c r="M50" s="28" t="e">
        <f t="shared" si="14"/>
        <v>#VALUE!</v>
      </c>
      <c r="P50" s="15" t="str">
        <f t="shared" si="15"/>
        <v>ПС</v>
      </c>
      <c r="Q50" s="30" t="str">
        <f t="shared" si="16"/>
        <v>06АХ.01</v>
      </c>
      <c r="R50" s="29" t="str">
        <f>IF(OR($U9="менее 0,1",$U9="менее 0,1 "),"0,1",$U9)</f>
        <v>0,1</v>
      </c>
      <c r="S50" s="29">
        <f>IF(OR($U$5="менее 0,05",$U$5="менее 0,05 "),"0,05",$U$5)</f>
        <v>0.31</v>
      </c>
      <c r="T50" s="29">
        <f>$U6</f>
        <v>7</v>
      </c>
      <c r="U50" s="29">
        <f>$U14</f>
        <v>26</v>
      </c>
      <c r="V50" s="29">
        <f>IF(OR($U$8="менее 0,1",$U$8="менее 0,1 "),"0,1",$U$8)</f>
        <v>13</v>
      </c>
      <c r="W50" s="29">
        <f>IF($U12="менее 0,005","0,005",$U12)</f>
        <v>1.2999999999999999E-2</v>
      </c>
      <c r="X50" s="29">
        <f>$U7</f>
        <v>310</v>
      </c>
      <c r="Y50" s="29">
        <f>$U11</f>
        <v>20</v>
      </c>
      <c r="Z50" s="29">
        <f>$U13</f>
        <v>9.5</v>
      </c>
      <c r="AA50" s="29">
        <f>$U15</f>
        <v>30</v>
      </c>
      <c r="AB50" s="28" t="e">
        <f t="shared" si="17"/>
        <v>#VALUE!</v>
      </c>
      <c r="AC50" s="28" t="e">
        <f t="shared" si="18"/>
        <v>#VALUE!</v>
      </c>
    </row>
    <row r="51" spans="1:29" x14ac:dyDescent="0.25">
      <c r="A51" s="15" t="str">
        <f t="shared" si="12"/>
        <v>ПС</v>
      </c>
      <c r="B51" s="30" t="str">
        <f t="shared" si="13"/>
        <v>06АХ.01</v>
      </c>
      <c r="C51" s="29" t="str">
        <f>IF(OR($W9="менее 0,1",$W9="менее 0,1 "),"0,1",$W9)</f>
        <v>0,1</v>
      </c>
      <c r="D51" s="29">
        <f>IF(OR($W$5="менее 0,05",$W$5="менее 0,05 "),"0,05",$W$5)</f>
        <v>0.31</v>
      </c>
      <c r="E51" s="29">
        <f>$W6</f>
        <v>7</v>
      </c>
      <c r="F51" s="29">
        <f>$W14</f>
        <v>26</v>
      </c>
      <c r="G51" s="29">
        <f>IF(OR($W$8="менее 0,1",$W$8="менее 0,1 "),"0,1",$W$8)</f>
        <v>13</v>
      </c>
      <c r="H51" s="29">
        <f>IF($W12="менее 0,005","0,005",$W12)</f>
        <v>1.2999999999999999E-2</v>
      </c>
      <c r="I51" s="29">
        <f>$W7</f>
        <v>310</v>
      </c>
      <c r="J51" s="29">
        <f>$W11</f>
        <v>20</v>
      </c>
      <c r="K51" s="29">
        <f>$W13</f>
        <v>9.5</v>
      </c>
      <c r="L51" s="29">
        <f>$W15</f>
        <v>30</v>
      </c>
      <c r="M51" s="28" t="e">
        <f t="shared" si="14"/>
        <v>#VALUE!</v>
      </c>
      <c r="P51" s="15" t="str">
        <f t="shared" si="15"/>
        <v>ПС</v>
      </c>
      <c r="Q51" s="30" t="str">
        <f t="shared" si="16"/>
        <v>06АХ.01</v>
      </c>
      <c r="R51" s="29" t="str">
        <f>IF(OR($W9="менее 0,1",$W9="менее 0,1 "),"0,1",$W9)</f>
        <v>0,1</v>
      </c>
      <c r="S51" s="29">
        <f>IF(OR($W$5="менее 0,05",$W$5="менее 0,05 "),"0,05",$W$5)</f>
        <v>0.31</v>
      </c>
      <c r="T51" s="29">
        <f>$W6</f>
        <v>7</v>
      </c>
      <c r="U51" s="29">
        <f>$W14</f>
        <v>26</v>
      </c>
      <c r="V51" s="29">
        <f>IF(OR($W$8="менее 0,1",$W$8="менее 0,1 "),"0,1",$W$8)</f>
        <v>13</v>
      </c>
      <c r="W51" s="29">
        <f>IF($W12="менее 0,005","0,005",$W12)</f>
        <v>1.2999999999999999E-2</v>
      </c>
      <c r="X51" s="29">
        <f>$W7</f>
        <v>310</v>
      </c>
      <c r="Y51" s="29">
        <f>$W11</f>
        <v>20</v>
      </c>
      <c r="Z51" s="29">
        <f>$W13</f>
        <v>9.5</v>
      </c>
      <c r="AA51" s="29">
        <f>$W15</f>
        <v>30</v>
      </c>
      <c r="AB51" s="28" t="e">
        <f>IF(Q51="","",(IF(R51/S$89&gt;=1,(R51/S$89)-1)+IF(S51/T$89&gt;=1,(S51/T$89)-1)+IF(T51/U$89&gt;=1,(T51/U$89)-1)+IF(U51/V$89&gt;=1,(U51/V$89)-1)+IF(V51/W$89&gt;=1,(V51/W$89)-1)+IF(W51/X$89&gt;=1,(W51/X$89)-1)+IF(X51/Y$89&gt;=1,(X51/Y$89)-1)+IF(Y51/Z$89&gt;=1,(Y51/Z$89)-1)+IF(Z51/AA$89&gt;=1,(Z51/AA$89)-1)+IF(AA51/AB$89&gt;=1,(AA51/AB$89)-1))+1)</f>
        <v>#VALUE!</v>
      </c>
      <c r="AC51" s="28" t="e">
        <f t="shared" si="18"/>
        <v>#VALUE!</v>
      </c>
    </row>
    <row r="52" spans="1:29" x14ac:dyDescent="0.25">
      <c r="A52" s="15" t="str">
        <f t="shared" si="12"/>
        <v>ПС</v>
      </c>
      <c r="B52" s="30" t="str">
        <f t="shared" si="13"/>
        <v>06АХ.01</v>
      </c>
      <c r="C52" s="29" t="str">
        <f>IF(OR($Y9="менее 0,1",$Y9="менее 0,1 "),"0,1",$Y9)</f>
        <v>0,1</v>
      </c>
      <c r="D52" s="29">
        <f>IF(OR($Y$5="менее 0,05",$Y$5="менее 0,05 "),"0,05",$Y$5)</f>
        <v>0.31</v>
      </c>
      <c r="E52" s="29">
        <f>$Y6</f>
        <v>7</v>
      </c>
      <c r="F52" s="29">
        <f>$Y14</f>
        <v>26</v>
      </c>
      <c r="G52" s="29">
        <f>IF(OR($Y$8="менее 0,1",$Y$8="менее 0,1 "),"0,1",$Y$8)</f>
        <v>13</v>
      </c>
      <c r="H52" s="29">
        <f>IF($Y12="менее 0,005","0,005",$Y12)</f>
        <v>1.2999999999999999E-2</v>
      </c>
      <c r="I52" s="29">
        <f>$Y7</f>
        <v>310</v>
      </c>
      <c r="J52" s="29">
        <f>$Y11</f>
        <v>20</v>
      </c>
      <c r="K52" s="29">
        <f>$Y13</f>
        <v>9.5</v>
      </c>
      <c r="L52" s="29">
        <f>$Y15</f>
        <v>30</v>
      </c>
      <c r="M52" s="28" t="e">
        <f t="shared" si="14"/>
        <v>#VALUE!</v>
      </c>
      <c r="P52" s="15" t="str">
        <f t="shared" si="15"/>
        <v>ПС</v>
      </c>
      <c r="Q52" s="30" t="str">
        <f t="shared" si="16"/>
        <v>06АХ.01</v>
      </c>
      <c r="R52" s="29" t="str">
        <f>IF(OR($Y9="менее 0,1",$Y9="менее 0,1 "),"0,1",$Y9)</f>
        <v>0,1</v>
      </c>
      <c r="S52" s="29">
        <f>IF(OR($Y$5="менее 0,05",$Y$5="менее 0,05 "),"0,05",$Y$5)</f>
        <v>0.31</v>
      </c>
      <c r="T52" s="29">
        <f>$Y6</f>
        <v>7</v>
      </c>
      <c r="U52" s="29">
        <f>$Y14</f>
        <v>26</v>
      </c>
      <c r="V52" s="29">
        <f>IF(OR($Y$8="менее 0,1",$Y$8="менее 0,1 "),"0,1",$Y$8)</f>
        <v>13</v>
      </c>
      <c r="W52" s="29">
        <f>IF($Y12="менее 0,005","0,005",$Y12)</f>
        <v>1.2999999999999999E-2</v>
      </c>
      <c r="X52" s="29">
        <f>$Y7</f>
        <v>310</v>
      </c>
      <c r="Y52" s="29">
        <f>$Y11</f>
        <v>20</v>
      </c>
      <c r="Z52" s="29">
        <f>$Y13</f>
        <v>9.5</v>
      </c>
      <c r="AA52" s="29">
        <f>$Y15</f>
        <v>30</v>
      </c>
      <c r="AB52" s="28" t="e">
        <f t="shared" si="17"/>
        <v>#VALUE!</v>
      </c>
      <c r="AC52" s="28" t="e">
        <f t="shared" si="18"/>
        <v>#VALUE!</v>
      </c>
    </row>
    <row r="53" spans="1:29" x14ac:dyDescent="0.25">
      <c r="A53" s="15" t="str">
        <f t="shared" si="12"/>
        <v>ПС</v>
      </c>
      <c r="B53" s="30" t="str">
        <f t="shared" si="13"/>
        <v>06АХ.01</v>
      </c>
      <c r="C53" s="29" t="str">
        <f>IF(OR($AA9="менее 0,1",$AA9="менее 0,1 "),"0,1",$AA9)</f>
        <v>0,1</v>
      </c>
      <c r="D53" s="29">
        <f>IF(OR($AA$5="менее 0,05",$AA$5="менее 0,05 "),"0,05",$AA$5)</f>
        <v>0.31</v>
      </c>
      <c r="E53" s="29">
        <f>$AA6</f>
        <v>7</v>
      </c>
      <c r="F53" s="29">
        <f>$AA14</f>
        <v>26</v>
      </c>
      <c r="G53" s="29">
        <f>IF(OR($AA$8="менее 0,1",$AA$8="менее 0,1 "),"0,1",$AA$8)</f>
        <v>13</v>
      </c>
      <c r="H53" s="29">
        <f>IF($AA12="менее 0,005","0,005",$AA12)</f>
        <v>1.2999999999999999E-2</v>
      </c>
      <c r="I53" s="29">
        <f>$AA7</f>
        <v>310</v>
      </c>
      <c r="J53" s="29">
        <f>$AA11</f>
        <v>20</v>
      </c>
      <c r="K53" s="29">
        <f>$AA13</f>
        <v>9.5</v>
      </c>
      <c r="L53" s="29">
        <f>$AA15</f>
        <v>30</v>
      </c>
      <c r="M53" s="28" t="e">
        <f t="shared" si="14"/>
        <v>#VALUE!</v>
      </c>
      <c r="P53" s="15" t="str">
        <f t="shared" si="15"/>
        <v>ПС</v>
      </c>
      <c r="Q53" s="30" t="str">
        <f t="shared" si="16"/>
        <v>06АХ.01</v>
      </c>
      <c r="R53" s="29" t="str">
        <f>IF(OR($AA9="менее 0,1",$AA9="менее 0,1 "),"0,1",$AA9)</f>
        <v>0,1</v>
      </c>
      <c r="S53" s="29">
        <f>IF(OR($AA$5="менее 0,05",$AA$5="менее 0,05 "),"0,05",$AA$5)</f>
        <v>0.31</v>
      </c>
      <c r="T53" s="29">
        <f>$AA6</f>
        <v>7</v>
      </c>
      <c r="U53" s="29">
        <f>$AA14</f>
        <v>26</v>
      </c>
      <c r="V53" s="29">
        <f>IF(OR($AA$8="менее 0,1",$AA$8="менее 0,1 "),"0,1",$AA$8)</f>
        <v>13</v>
      </c>
      <c r="W53" s="29">
        <f>IF($AA12="менее 0,005","0,005",$AA12)</f>
        <v>1.2999999999999999E-2</v>
      </c>
      <c r="X53" s="29">
        <f>$AA7</f>
        <v>310</v>
      </c>
      <c r="Y53" s="29">
        <f>$AA11</f>
        <v>20</v>
      </c>
      <c r="Z53" s="29">
        <f>$AA13</f>
        <v>9.5</v>
      </c>
      <c r="AA53" s="29">
        <f>$AA15</f>
        <v>30</v>
      </c>
      <c r="AB53" s="28" t="e">
        <f t="shared" si="17"/>
        <v>#VALUE!</v>
      </c>
      <c r="AC53" s="28" t="e">
        <f t="shared" si="18"/>
        <v>#VALUE!</v>
      </c>
    </row>
    <row r="54" spans="1:29" x14ac:dyDescent="0.25">
      <c r="A54" s="15" t="str">
        <f t="shared" si="12"/>
        <v>ПС</v>
      </c>
      <c r="B54" s="30" t="str">
        <f t="shared" si="13"/>
        <v>06АХ.01</v>
      </c>
      <c r="C54" s="29" t="str">
        <f>IF(OR($AC9="менее 0,1",$AC9="менее 0,1 "),"0,1",$AC9)</f>
        <v>0,1</v>
      </c>
      <c r="D54" s="29">
        <f>IF(OR($AC$5="менее 0,05",$AC$5="менее 0,05 "),"0,05",$AC$5)</f>
        <v>0.31</v>
      </c>
      <c r="E54" s="29">
        <f>$AC6</f>
        <v>7</v>
      </c>
      <c r="F54" s="29">
        <f>$AC14</f>
        <v>26</v>
      </c>
      <c r="G54" s="29">
        <f>IF(OR($AC$8="менее 0,1",$AC$8="менее 0,1 "),"0,1",$AC$8)</f>
        <v>13</v>
      </c>
      <c r="H54" s="29">
        <f>IF($AC12="менее 0,005","0,005",$AC12)</f>
        <v>1.2999999999999999E-2</v>
      </c>
      <c r="I54" s="29">
        <f>$AC7</f>
        <v>310</v>
      </c>
      <c r="J54" s="29">
        <f>$AC11</f>
        <v>20</v>
      </c>
      <c r="K54" s="29">
        <f>$AC13</f>
        <v>9.5</v>
      </c>
      <c r="L54" s="29">
        <f>$AC15</f>
        <v>30</v>
      </c>
      <c r="M54" s="28" t="e">
        <f t="shared" si="14"/>
        <v>#VALUE!</v>
      </c>
      <c r="P54" s="15" t="str">
        <f t="shared" si="15"/>
        <v>ПС</v>
      </c>
      <c r="Q54" s="30" t="str">
        <f t="shared" si="16"/>
        <v>06АХ.01</v>
      </c>
      <c r="R54" s="29" t="str">
        <f>IF(OR($AC9="менее 0,1",$AC9="менее 0,1 "),"0,1",$AC9)</f>
        <v>0,1</v>
      </c>
      <c r="S54" s="29">
        <f>IF(OR($AC$5="менее 0,05",$AC$5="менее 0,05 "),"0,05",$AC$5)</f>
        <v>0.31</v>
      </c>
      <c r="T54" s="29">
        <f>$AC6</f>
        <v>7</v>
      </c>
      <c r="U54" s="29">
        <f>$AC14</f>
        <v>26</v>
      </c>
      <c r="V54" s="29">
        <f>IF(OR($AC$8="менее 0,1",$AC$8="менее 0,1 "),"0,1",$AC$8)</f>
        <v>13</v>
      </c>
      <c r="W54" s="29">
        <f>IF($AC12="менее 0,005","0,005",$AC12)</f>
        <v>1.2999999999999999E-2</v>
      </c>
      <c r="X54" s="29">
        <f>$AC7</f>
        <v>310</v>
      </c>
      <c r="Y54" s="29">
        <f>$AC11</f>
        <v>20</v>
      </c>
      <c r="Z54" s="29">
        <f>$AC13</f>
        <v>9.5</v>
      </c>
      <c r="AA54" s="29">
        <f>$AC15</f>
        <v>30</v>
      </c>
      <c r="AB54" s="28" t="e">
        <f t="shared" si="17"/>
        <v>#VALUE!</v>
      </c>
      <c r="AC54" s="28" t="e">
        <f t="shared" si="18"/>
        <v>#VALUE!</v>
      </c>
    </row>
    <row r="55" spans="1:29" x14ac:dyDescent="0.25">
      <c r="A55" s="15" t="str">
        <f t="shared" si="12"/>
        <v>ПС</v>
      </c>
      <c r="B55" s="30" t="str">
        <f t="shared" si="13"/>
        <v>06АХ.01</v>
      </c>
      <c r="C55" s="29" t="str">
        <f>IF(OR($AE9="менее 0,1",$AE9="менее 0,1 "),"0,1",$AE9)</f>
        <v>0,1</v>
      </c>
      <c r="D55" s="29">
        <f>IF(OR($AE$5="менее 0,05",$AE$5="менее 0,05 "),"0,05",$AE$5)</f>
        <v>0.31</v>
      </c>
      <c r="E55" s="29">
        <f>$AE6</f>
        <v>7</v>
      </c>
      <c r="F55" s="29">
        <f>$AE14</f>
        <v>26</v>
      </c>
      <c r="G55" s="29">
        <f>IF(OR($AE$8="менее 0,1",$AE$8="менее 0,1 "),"0,1",$AE$8)</f>
        <v>13</v>
      </c>
      <c r="H55" s="29">
        <f>IF($AE12="менее 0,005","0,005",$AE12)</f>
        <v>1.2999999999999999E-2</v>
      </c>
      <c r="I55" s="29">
        <f>$AE7</f>
        <v>310</v>
      </c>
      <c r="J55" s="29">
        <f>$AE11</f>
        <v>20</v>
      </c>
      <c r="K55" s="29">
        <f>$AE13</f>
        <v>9.5</v>
      </c>
      <c r="L55" s="29">
        <f>$AE15</f>
        <v>30</v>
      </c>
      <c r="M55" s="28" t="e">
        <f t="shared" si="14"/>
        <v>#VALUE!</v>
      </c>
      <c r="P55" s="15" t="str">
        <f t="shared" si="15"/>
        <v>ПС</v>
      </c>
      <c r="Q55" s="30" t="str">
        <f t="shared" si="16"/>
        <v>06АХ.01</v>
      </c>
      <c r="R55" s="29" t="str">
        <f>IF(OR($AE9="менее 0,1",$AE9="менее 0,1 "),"0,1",$AE9)</f>
        <v>0,1</v>
      </c>
      <c r="S55" s="29">
        <f>IF(OR($AE$5="менее 0,05",$AE$5="менее 0,05 "),"0,05",$AE$5)</f>
        <v>0.31</v>
      </c>
      <c r="T55" s="29">
        <f>$AE6</f>
        <v>7</v>
      </c>
      <c r="U55" s="29">
        <f>$AE14</f>
        <v>26</v>
      </c>
      <c r="V55" s="29">
        <f>IF(OR($AE$8="менее 0,1",$AE$8="менее 0,1 "),"0,1",$AE$8)</f>
        <v>13</v>
      </c>
      <c r="W55" s="29">
        <f>IF($AE12="менее 0,005","0,005",$AE12)</f>
        <v>1.2999999999999999E-2</v>
      </c>
      <c r="X55" s="29">
        <f>$AE7</f>
        <v>310</v>
      </c>
      <c r="Y55" s="29">
        <f>$AE11</f>
        <v>20</v>
      </c>
      <c r="Z55" s="29">
        <f>$AE13</f>
        <v>9.5</v>
      </c>
      <c r="AA55" s="29">
        <f>$AE15</f>
        <v>30</v>
      </c>
      <c r="AB55" s="28" t="e">
        <f t="shared" si="17"/>
        <v>#VALUE!</v>
      </c>
      <c r="AC55" s="28" t="e">
        <f t="shared" si="18"/>
        <v>#VALUE!</v>
      </c>
    </row>
    <row r="56" spans="1:29" x14ac:dyDescent="0.25">
      <c r="A56" s="15" t="str">
        <f t="shared" si="12"/>
        <v>ПС</v>
      </c>
      <c r="B56" s="30" t="str">
        <f t="shared" si="13"/>
        <v>06АХ.01</v>
      </c>
      <c r="C56" s="29" t="str">
        <f>IF(OR($AG9="менее 0,1",$AG9="менее 0,1 "),"0,1",$AG9)</f>
        <v>0,1</v>
      </c>
      <c r="D56" s="29">
        <f>IF(OR($AG$5="менее 0,05",$AG$5="менее 0,05 "),"0,05",$AG$5)</f>
        <v>0.31</v>
      </c>
      <c r="E56" s="29">
        <f>$AG6</f>
        <v>7</v>
      </c>
      <c r="F56" s="29">
        <f>$AG14</f>
        <v>26</v>
      </c>
      <c r="G56" s="29">
        <f>IF(OR($AG$8="менее 0,1",$AG$8="менее 0,1 "),"0,1",$AG$8)</f>
        <v>13</v>
      </c>
      <c r="H56" s="29">
        <f>IF($AG12="менее 0,005","0,005",$AG12)</f>
        <v>1.2999999999999999E-2</v>
      </c>
      <c r="I56" s="29">
        <f>$AG7</f>
        <v>310</v>
      </c>
      <c r="J56" s="29">
        <f>$AG11</f>
        <v>20</v>
      </c>
      <c r="K56" s="29">
        <f>$AG13</f>
        <v>9.5</v>
      </c>
      <c r="L56" s="29">
        <f>$AG15</f>
        <v>30</v>
      </c>
      <c r="M56" s="28" t="e">
        <f t="shared" si="14"/>
        <v>#VALUE!</v>
      </c>
      <c r="P56" s="15" t="str">
        <f t="shared" si="15"/>
        <v>ПС</v>
      </c>
      <c r="Q56" s="30" t="str">
        <f t="shared" si="16"/>
        <v>06АХ.01</v>
      </c>
      <c r="R56" s="29" t="str">
        <f>IF(OR($AG9="менее 0,1",$AG9="менее 0,1 "),"0,1",$AG9)</f>
        <v>0,1</v>
      </c>
      <c r="S56" s="29">
        <f>IF(OR($AG$5="менее 0,05",$AG$5="менее 0,05 "),"0,05",$AG$5)</f>
        <v>0.31</v>
      </c>
      <c r="T56" s="29">
        <f>$AG6</f>
        <v>7</v>
      </c>
      <c r="U56" s="29">
        <f>$AG14</f>
        <v>26</v>
      </c>
      <c r="V56" s="29">
        <f>IF(OR($AG$8="менее 0,1",$AG$8="менее 0,1 "),"0,1",$AG$8)</f>
        <v>13</v>
      </c>
      <c r="W56" s="29">
        <f>IF($AG12="менее 0,005","0,005",$AG12)</f>
        <v>1.2999999999999999E-2</v>
      </c>
      <c r="X56" s="29">
        <f>$AG7</f>
        <v>310</v>
      </c>
      <c r="Y56" s="29">
        <f>$AG11</f>
        <v>20</v>
      </c>
      <c r="Z56" s="29">
        <f>$AG13</f>
        <v>9.5</v>
      </c>
      <c r="AA56" s="29">
        <f>$AG15</f>
        <v>30</v>
      </c>
      <c r="AB56" s="28" t="e">
        <f t="shared" si="17"/>
        <v>#VALUE!</v>
      </c>
      <c r="AC56" s="28" t="e">
        <f t="shared" si="18"/>
        <v>#VALUE!</v>
      </c>
    </row>
    <row r="57" spans="1:29" x14ac:dyDescent="0.25">
      <c r="A57" s="15">
        <f t="shared" si="12"/>
        <v>0</v>
      </c>
      <c r="B57" s="30">
        <f t="shared" si="13"/>
        <v>0</v>
      </c>
      <c r="C57" s="29"/>
      <c r="D57" s="29"/>
      <c r="E57" s="29"/>
      <c r="F57" s="29"/>
      <c r="G57" s="29"/>
      <c r="H57" s="31"/>
      <c r="I57" s="29"/>
      <c r="J57" s="29"/>
      <c r="K57" s="29"/>
      <c r="L57" s="29"/>
      <c r="M57" s="28">
        <f t="shared" si="14"/>
        <v>1</v>
      </c>
      <c r="P57" s="15">
        <f t="shared" si="15"/>
        <v>0</v>
      </c>
      <c r="Q57" s="30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8" t="str">
        <f t="shared" si="17"/>
        <v/>
      </c>
      <c r="AC57" s="28" t="str">
        <f t="shared" si="18"/>
        <v/>
      </c>
    </row>
    <row r="58" spans="1:29" x14ac:dyDescent="0.25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</row>
    <row r="59" spans="1:29" ht="16.5" hidden="1" thickBot="1" x14ac:dyDescent="0.3">
      <c r="B59" s="25"/>
      <c r="C59" s="23"/>
      <c r="D59" s="23"/>
      <c r="E59" s="23"/>
      <c r="F59" s="24"/>
      <c r="G59" s="23"/>
      <c r="H59" s="23"/>
      <c r="I59" s="23"/>
      <c r="J59" s="23"/>
      <c r="K59" s="23"/>
      <c r="L59" s="23"/>
      <c r="N59" s="26"/>
      <c r="Q59" s="25"/>
      <c r="R59" s="23"/>
      <c r="S59" s="23"/>
      <c r="T59" s="23"/>
      <c r="U59" s="24"/>
      <c r="V59" s="23"/>
      <c r="W59" s="23"/>
      <c r="X59" s="23"/>
      <c r="Y59" s="23"/>
      <c r="Z59" s="23"/>
      <c r="AA59" s="23"/>
      <c r="AC59" s="26"/>
    </row>
    <row r="60" spans="1:29" hidden="1" x14ac:dyDescent="0.25"/>
    <row r="61" spans="1:29" hidden="1" x14ac:dyDescent="0.25"/>
    <row r="62" spans="1:29" hidden="1" x14ac:dyDescent="0.25"/>
    <row r="63" spans="1:29" hidden="1" x14ac:dyDescent="0.25"/>
    <row r="64" spans="1:29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spans="3:28" hidden="1" x14ac:dyDescent="0.25"/>
    <row r="82" spans="3:28" hidden="1" x14ac:dyDescent="0.25"/>
    <row r="83" spans="3:28" hidden="1" x14ac:dyDescent="0.25"/>
    <row r="84" spans="3:28" hidden="1" x14ac:dyDescent="0.25"/>
    <row r="85" spans="3:28" hidden="1" x14ac:dyDescent="0.25"/>
    <row r="86" spans="3:28" hidden="1" x14ac:dyDescent="0.25"/>
    <row r="87" spans="3:28" hidden="1" x14ac:dyDescent="0.25"/>
    <row r="88" spans="3:28" x14ac:dyDescent="0.25">
      <c r="D88" s="22" t="s">
        <v>39</v>
      </c>
      <c r="E88" s="21" t="s">
        <v>38</v>
      </c>
      <c r="F88" s="21" t="s">
        <v>37</v>
      </c>
      <c r="G88" s="21" t="s">
        <v>36</v>
      </c>
      <c r="H88" s="21" t="s">
        <v>35</v>
      </c>
      <c r="I88" s="21" t="s">
        <v>34</v>
      </c>
      <c r="J88" s="21" t="s">
        <v>33</v>
      </c>
      <c r="K88" s="21" t="s">
        <v>32</v>
      </c>
      <c r="L88" s="21" t="s">
        <v>31</v>
      </c>
      <c r="M88" s="21" t="s">
        <v>30</v>
      </c>
      <c r="S88" s="22" t="s">
        <v>39</v>
      </c>
      <c r="T88" s="21" t="s">
        <v>38</v>
      </c>
      <c r="U88" s="21" t="s">
        <v>37</v>
      </c>
      <c r="V88" s="21" t="s">
        <v>36</v>
      </c>
      <c r="W88" s="21" t="s">
        <v>35</v>
      </c>
      <c r="X88" s="21" t="s">
        <v>34</v>
      </c>
      <c r="Y88" s="21" t="s">
        <v>33</v>
      </c>
      <c r="Z88" s="21" t="s">
        <v>32</v>
      </c>
      <c r="AA88" s="21" t="s">
        <v>31</v>
      </c>
      <c r="AB88" s="21" t="s">
        <v>30</v>
      </c>
    </row>
    <row r="89" spans="3:28" ht="16.5" thickBot="1" x14ac:dyDescent="0.3">
      <c r="C89" s="25" t="s">
        <v>40</v>
      </c>
      <c r="D89" s="23">
        <v>6.6</v>
      </c>
      <c r="E89" s="23">
        <v>0.3</v>
      </c>
      <c r="F89" s="23">
        <v>7.2</v>
      </c>
      <c r="G89" s="24">
        <v>46</v>
      </c>
      <c r="H89" s="23">
        <v>27</v>
      </c>
      <c r="I89" s="23">
        <v>0.1</v>
      </c>
      <c r="J89" s="23">
        <v>1260</v>
      </c>
      <c r="K89" s="23">
        <v>20</v>
      </c>
      <c r="L89" s="23">
        <v>26</v>
      </c>
      <c r="M89" s="23">
        <v>52</v>
      </c>
      <c r="R89" s="20" t="s">
        <v>29</v>
      </c>
      <c r="S89" s="18">
        <v>1.5</v>
      </c>
      <c r="T89" s="18">
        <v>0.05</v>
      </c>
      <c r="U89" s="18">
        <v>3</v>
      </c>
      <c r="V89" s="18">
        <v>46</v>
      </c>
      <c r="W89" s="18">
        <v>8</v>
      </c>
      <c r="X89" s="18">
        <v>0.05</v>
      </c>
      <c r="Y89" s="18">
        <v>1260</v>
      </c>
      <c r="Z89" s="18">
        <v>6</v>
      </c>
      <c r="AA89" s="19">
        <v>6</v>
      </c>
      <c r="AB89" s="18">
        <v>28</v>
      </c>
    </row>
    <row r="90" spans="3:28" x14ac:dyDescent="0.25">
      <c r="R90" s="20" t="s">
        <v>28</v>
      </c>
      <c r="S90" s="18">
        <v>2.2000000000000002</v>
      </c>
      <c r="T90" s="18">
        <v>0.12</v>
      </c>
      <c r="U90" s="18">
        <v>10</v>
      </c>
      <c r="V90" s="18">
        <v>46</v>
      </c>
      <c r="W90" s="18">
        <v>15</v>
      </c>
      <c r="X90" s="18">
        <v>0.1</v>
      </c>
      <c r="Y90" s="18">
        <v>1260</v>
      </c>
      <c r="Z90" s="18">
        <v>30</v>
      </c>
      <c r="AA90" s="19">
        <v>15</v>
      </c>
      <c r="AB90" s="18">
        <v>45</v>
      </c>
    </row>
    <row r="91" spans="3:28" x14ac:dyDescent="0.25">
      <c r="C91" s="20"/>
      <c r="D91" s="19"/>
      <c r="E91" s="18"/>
      <c r="F91" s="18"/>
      <c r="G91" s="18"/>
      <c r="H91" s="18"/>
      <c r="I91" s="18"/>
      <c r="J91" s="18"/>
      <c r="K91" s="18"/>
      <c r="L91" s="18"/>
      <c r="M91" s="18"/>
    </row>
    <row r="92" spans="3:28" x14ac:dyDescent="0.25">
      <c r="C92" s="20"/>
      <c r="D92" s="19"/>
      <c r="E92" s="18"/>
      <c r="F92" s="18"/>
      <c r="G92" s="18"/>
      <c r="H92" s="18"/>
      <c r="I92" s="18"/>
      <c r="J92" s="18"/>
      <c r="K92" s="18"/>
      <c r="L92" s="18"/>
      <c r="M92" s="18"/>
      <c r="S92" s="22" t="s">
        <v>39</v>
      </c>
      <c r="T92" s="21" t="s">
        <v>38</v>
      </c>
      <c r="U92" s="21" t="s">
        <v>37</v>
      </c>
      <c r="V92" s="21" t="s">
        <v>36</v>
      </c>
      <c r="W92" s="21" t="s">
        <v>35</v>
      </c>
      <c r="X92" s="21" t="s">
        <v>34</v>
      </c>
      <c r="Y92" s="21" t="s">
        <v>33</v>
      </c>
      <c r="Z92" s="21" t="s">
        <v>32</v>
      </c>
      <c r="AA92" s="21" t="s">
        <v>31</v>
      </c>
      <c r="AB92" s="21" t="s">
        <v>30</v>
      </c>
    </row>
    <row r="93" spans="3:28" x14ac:dyDescent="0.25">
      <c r="R93" s="20" t="s">
        <v>29</v>
      </c>
      <c r="S93" s="18">
        <v>1.5</v>
      </c>
      <c r="T93" s="18">
        <v>0.05</v>
      </c>
      <c r="U93" s="18">
        <v>3</v>
      </c>
      <c r="V93" s="18">
        <v>46</v>
      </c>
      <c r="W93" s="18">
        <v>8</v>
      </c>
      <c r="X93" s="18">
        <v>0.05</v>
      </c>
      <c r="Y93" s="18">
        <v>1260</v>
      </c>
      <c r="Z93" s="18">
        <v>6</v>
      </c>
      <c r="AA93" s="19">
        <v>6</v>
      </c>
      <c r="AB93" s="18">
        <v>28</v>
      </c>
    </row>
    <row r="94" spans="3:28" x14ac:dyDescent="0.25">
      <c r="R94" s="20" t="s">
        <v>28</v>
      </c>
      <c r="S94" s="18">
        <v>2.2000000000000002</v>
      </c>
      <c r="T94" s="18">
        <v>0.12</v>
      </c>
      <c r="U94" s="18">
        <v>10</v>
      </c>
      <c r="V94" s="18">
        <v>46</v>
      </c>
      <c r="W94" s="18">
        <v>15</v>
      </c>
      <c r="X94" s="18">
        <v>0.1</v>
      </c>
      <c r="Y94" s="18">
        <v>1260</v>
      </c>
      <c r="Z94" s="18">
        <v>30</v>
      </c>
      <c r="AA94" s="19">
        <v>15</v>
      </c>
      <c r="AB94" s="18">
        <v>45</v>
      </c>
    </row>
  </sheetData>
  <mergeCells count="103">
    <mergeCell ref="T36:T37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35:H35"/>
    <mergeCell ref="D31:E31"/>
    <mergeCell ref="G29:H29"/>
    <mergeCell ref="D30:E30"/>
    <mergeCell ref="G30:H30"/>
    <mergeCell ref="G32:H32"/>
    <mergeCell ref="D36:E36"/>
    <mergeCell ref="G31:H31"/>
    <mergeCell ref="D32:E32"/>
    <mergeCell ref="D33:E33"/>
    <mergeCell ref="G33:H33"/>
    <mergeCell ref="D34:E34"/>
    <mergeCell ref="G34:H34"/>
    <mergeCell ref="D35:E35"/>
    <mergeCell ref="G36:H36"/>
    <mergeCell ref="D20:E20"/>
    <mergeCell ref="G20:H20"/>
    <mergeCell ref="D21:E21"/>
    <mergeCell ref="G26:H26"/>
    <mergeCell ref="D27:E27"/>
    <mergeCell ref="G27:H27"/>
    <mergeCell ref="D28:E28"/>
    <mergeCell ref="G28:H28"/>
    <mergeCell ref="D29:E29"/>
    <mergeCell ref="D4:E4"/>
    <mergeCell ref="G4:H4"/>
    <mergeCell ref="D3:E3"/>
    <mergeCell ref="G3:H3"/>
    <mergeCell ref="D6:E6"/>
    <mergeCell ref="G6:H6"/>
    <mergeCell ref="D5:E5"/>
    <mergeCell ref="G21:H21"/>
    <mergeCell ref="D11:E11"/>
    <mergeCell ref="G11:H11"/>
    <mergeCell ref="G5:H5"/>
    <mergeCell ref="D7:E7"/>
    <mergeCell ref="G7:H7"/>
    <mergeCell ref="D8:E8"/>
    <mergeCell ref="G8:H8"/>
    <mergeCell ref="D12:E12"/>
    <mergeCell ref="G12:H12"/>
    <mergeCell ref="D9:E9"/>
    <mergeCell ref="G9:H9"/>
    <mergeCell ref="D10:E10"/>
    <mergeCell ref="D13:E13"/>
    <mergeCell ref="AL1:AU1"/>
    <mergeCell ref="Q42:AC42"/>
    <mergeCell ref="Q43:Q44"/>
    <mergeCell ref="D40:E40"/>
    <mergeCell ref="G40:H40"/>
    <mergeCell ref="D41:E41"/>
    <mergeCell ref="G41:H41"/>
    <mergeCell ref="P38:P39"/>
    <mergeCell ref="L38:L39"/>
    <mergeCell ref="D14:E14"/>
    <mergeCell ref="G14:H14"/>
    <mergeCell ref="D15:E15"/>
    <mergeCell ref="G15:H15"/>
    <mergeCell ref="D16:E16"/>
    <mergeCell ref="G16:H16"/>
    <mergeCell ref="G10:H10"/>
    <mergeCell ref="G19:H19"/>
    <mergeCell ref="D17:E17"/>
    <mergeCell ref="G17:H17"/>
    <mergeCell ref="D18:E18"/>
    <mergeCell ref="G18:H18"/>
    <mergeCell ref="D19:E19"/>
    <mergeCell ref="G13:H13"/>
    <mergeCell ref="S36:S37"/>
    <mergeCell ref="B42:N42"/>
    <mergeCell ref="B43:B44"/>
    <mergeCell ref="N36:N37"/>
    <mergeCell ref="O36:O37"/>
    <mergeCell ref="U36:U37"/>
    <mergeCell ref="U38:U39"/>
    <mergeCell ref="D38:E38"/>
    <mergeCell ref="G38:H38"/>
    <mergeCell ref="D39:E39"/>
    <mergeCell ref="G39:H39"/>
    <mergeCell ref="Q38:Q39"/>
    <mergeCell ref="R38:R39"/>
    <mergeCell ref="S38:S39"/>
    <mergeCell ref="T38:T39"/>
    <mergeCell ref="N38:N39"/>
    <mergeCell ref="O38:O39"/>
    <mergeCell ref="P36:P37"/>
    <mergeCell ref="Q36:Q37"/>
    <mergeCell ref="R36:R37"/>
    <mergeCell ref="M38:M39"/>
    <mergeCell ref="L36:L37"/>
    <mergeCell ref="M36:M37"/>
    <mergeCell ref="G37:H37"/>
    <mergeCell ref="D37:E37"/>
  </mergeCells>
  <conditionalFormatting sqref="BE3:BE14 AX3:AY14">
    <cfRule type="cellIs" dxfId="4" priority="3" operator="equal">
      <formula>$A$4</formula>
    </cfRule>
    <cfRule type="cellIs" dxfId="3" priority="4" operator="equal">
      <formula>$A$5</formula>
    </cfRule>
    <cfRule type="cellIs" dxfId="2" priority="5" operator="equal">
      <formula>$A$6</formula>
    </cfRule>
  </conditionalFormatting>
  <conditionalFormatting sqref="BK3:BK14">
    <cfRule type="expression" dxfId="1" priority="1">
      <formula>OR($B$4,$B$5,$B$6,$B$7)</formula>
    </cfRule>
    <cfRule type="cellIs" dxfId="0" priority="2" operator="equal">
      <formula>$B$4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2:J286"/>
  <sheetViews>
    <sheetView topLeftCell="A193" workbookViewId="0">
      <selection activeCell="E50" sqref="E50:F50"/>
    </sheetView>
  </sheetViews>
  <sheetFormatPr defaultRowHeight="15" x14ac:dyDescent="0.25"/>
  <cols>
    <col min="2" max="2" width="1.85546875" customWidth="1"/>
    <col min="3" max="3" width="2.140625" customWidth="1"/>
    <col min="4" max="4" width="23.5703125" customWidth="1"/>
    <col min="5" max="5" width="2.140625" customWidth="1"/>
    <col min="6" max="6" width="19.42578125" customWidth="1"/>
    <col min="7" max="7" width="9.140625" customWidth="1"/>
    <col min="8" max="8" width="11.140625" customWidth="1"/>
  </cols>
  <sheetData>
    <row r="2" spans="1:10" x14ac:dyDescent="0.25">
      <c r="A2" s="584" t="s">
        <v>195</v>
      </c>
      <c r="B2" s="584" t="s">
        <v>195</v>
      </c>
      <c r="C2" s="584" t="s">
        <v>195</v>
      </c>
      <c r="D2" s="584" t="s">
        <v>195</v>
      </c>
      <c r="E2" s="584" t="s">
        <v>195</v>
      </c>
      <c r="F2" s="294"/>
      <c r="G2" s="294"/>
      <c r="H2" s="294"/>
      <c r="I2" s="294"/>
      <c r="J2" s="294"/>
    </row>
    <row r="3" spans="1:10" x14ac:dyDescent="0.25">
      <c r="A3" s="585" t="s">
        <v>0</v>
      </c>
      <c r="B3" s="585" t="s">
        <v>0</v>
      </c>
      <c r="C3" s="585" t="s">
        <v>1</v>
      </c>
      <c r="D3" s="585" t="s">
        <v>1</v>
      </c>
      <c r="E3" s="585" t="s">
        <v>2</v>
      </c>
      <c r="F3" s="585" t="s">
        <v>2</v>
      </c>
      <c r="G3" s="585" t="s">
        <v>196</v>
      </c>
      <c r="H3" s="585" t="s">
        <v>196</v>
      </c>
      <c r="I3" s="585" t="s">
        <v>3</v>
      </c>
      <c r="J3" s="585" t="s">
        <v>3</v>
      </c>
    </row>
    <row r="4" spans="1:10" x14ac:dyDescent="0.25">
      <c r="A4" s="589" t="s">
        <v>4</v>
      </c>
      <c r="B4" s="589" t="s">
        <v>4</v>
      </c>
      <c r="C4" s="589" t="s">
        <v>5</v>
      </c>
      <c r="D4" s="589" t="s">
        <v>5</v>
      </c>
      <c r="E4" s="589" t="s">
        <v>6</v>
      </c>
      <c r="F4" s="589" t="s">
        <v>6</v>
      </c>
      <c r="G4" s="589" t="s">
        <v>12</v>
      </c>
      <c r="H4" s="589" t="s">
        <v>12</v>
      </c>
      <c r="I4" s="589" t="s">
        <v>7</v>
      </c>
      <c r="J4" s="589" t="s">
        <v>7</v>
      </c>
    </row>
    <row r="5" spans="1:10" x14ac:dyDescent="0.25">
      <c r="A5" s="586" t="s">
        <v>4</v>
      </c>
      <c r="B5" s="586" t="s">
        <v>4</v>
      </c>
      <c r="C5" s="586" t="s">
        <v>226</v>
      </c>
      <c r="D5" s="586" t="s">
        <v>226</v>
      </c>
      <c r="E5" s="586" t="s">
        <v>227</v>
      </c>
      <c r="F5" s="586" t="s">
        <v>227</v>
      </c>
      <c r="G5" s="586" t="s">
        <v>197</v>
      </c>
      <c r="H5" s="586" t="s">
        <v>197</v>
      </c>
      <c r="I5" s="586" t="s">
        <v>198</v>
      </c>
      <c r="J5" s="586" t="s">
        <v>198</v>
      </c>
    </row>
    <row r="6" spans="1:10" x14ac:dyDescent="0.25">
      <c r="A6" s="586" t="s">
        <v>5</v>
      </c>
      <c r="B6" s="586" t="s">
        <v>6</v>
      </c>
      <c r="C6" s="586" t="s">
        <v>228</v>
      </c>
      <c r="D6" s="586" t="s">
        <v>228</v>
      </c>
      <c r="E6" s="586" t="s">
        <v>229</v>
      </c>
      <c r="F6" s="586" t="s">
        <v>229</v>
      </c>
      <c r="G6" s="586" t="s">
        <v>230</v>
      </c>
      <c r="H6" s="586" t="s">
        <v>230</v>
      </c>
      <c r="I6" s="586" t="s">
        <v>199</v>
      </c>
      <c r="J6" s="586" t="s">
        <v>199</v>
      </c>
    </row>
    <row r="7" spans="1:10" x14ac:dyDescent="0.25">
      <c r="A7" s="587" t="s">
        <v>6</v>
      </c>
      <c r="B7" s="588" t="s">
        <v>12</v>
      </c>
      <c r="C7" s="586" t="s">
        <v>231</v>
      </c>
      <c r="D7" s="586" t="s">
        <v>231</v>
      </c>
      <c r="E7" s="586" t="s">
        <v>232</v>
      </c>
      <c r="F7" s="586" t="s">
        <v>232</v>
      </c>
      <c r="G7" s="586" t="s">
        <v>233</v>
      </c>
      <c r="H7" s="586" t="s">
        <v>233</v>
      </c>
      <c r="I7" s="586" t="s">
        <v>199</v>
      </c>
      <c r="J7" s="586" t="s">
        <v>199</v>
      </c>
    </row>
    <row r="8" spans="1:10" x14ac:dyDescent="0.25">
      <c r="A8" s="587" t="s">
        <v>12</v>
      </c>
      <c r="B8" s="588" t="s">
        <v>168</v>
      </c>
      <c r="C8" s="586" t="s">
        <v>234</v>
      </c>
      <c r="D8" s="586" t="s">
        <v>234</v>
      </c>
      <c r="E8" s="586" t="s">
        <v>235</v>
      </c>
      <c r="F8" s="586" t="s">
        <v>235</v>
      </c>
      <c r="G8" s="586" t="s">
        <v>116</v>
      </c>
      <c r="H8" s="586" t="s">
        <v>116</v>
      </c>
      <c r="I8" s="586" t="s">
        <v>199</v>
      </c>
      <c r="J8" s="586" t="s">
        <v>199</v>
      </c>
    </row>
    <row r="9" spans="1:10" x14ac:dyDescent="0.25">
      <c r="A9" s="587" t="s">
        <v>7</v>
      </c>
      <c r="B9" s="588" t="s">
        <v>236</v>
      </c>
      <c r="C9" s="586" t="s">
        <v>237</v>
      </c>
      <c r="D9" s="586" t="s">
        <v>237</v>
      </c>
      <c r="E9" s="586" t="s">
        <v>238</v>
      </c>
      <c r="F9" s="586" t="s">
        <v>238</v>
      </c>
      <c r="G9" s="586" t="s">
        <v>83</v>
      </c>
      <c r="H9" s="586" t="s">
        <v>83</v>
      </c>
      <c r="I9" s="586" t="s">
        <v>199</v>
      </c>
      <c r="J9" s="586" t="s">
        <v>199</v>
      </c>
    </row>
    <row r="10" spans="1:10" x14ac:dyDescent="0.25">
      <c r="A10" s="587" t="s">
        <v>167</v>
      </c>
      <c r="B10" s="588" t="s">
        <v>239</v>
      </c>
      <c r="C10" s="586" t="s">
        <v>240</v>
      </c>
      <c r="D10" s="586" t="s">
        <v>240</v>
      </c>
      <c r="E10" s="586" t="s">
        <v>241</v>
      </c>
      <c r="F10" s="586" t="s">
        <v>241</v>
      </c>
      <c r="G10" s="586" t="s">
        <v>242</v>
      </c>
      <c r="H10" s="586" t="s">
        <v>242</v>
      </c>
      <c r="I10" s="586" t="s">
        <v>243</v>
      </c>
      <c r="J10" s="586" t="s">
        <v>243</v>
      </c>
    </row>
    <row r="11" spans="1:10" x14ac:dyDescent="0.25">
      <c r="A11" s="587" t="s">
        <v>168</v>
      </c>
      <c r="B11" s="588" t="s">
        <v>244</v>
      </c>
      <c r="C11" s="586" t="s">
        <v>245</v>
      </c>
      <c r="D11" s="586" t="s">
        <v>245</v>
      </c>
      <c r="E11" s="586" t="s">
        <v>246</v>
      </c>
      <c r="F11" s="586" t="s">
        <v>246</v>
      </c>
      <c r="G11" s="586" t="s">
        <v>247</v>
      </c>
      <c r="H11" s="586" t="s">
        <v>247</v>
      </c>
      <c r="I11" s="586" t="s">
        <v>248</v>
      </c>
      <c r="J11" s="586" t="s">
        <v>248</v>
      </c>
    </row>
    <row r="12" spans="1:10" x14ac:dyDescent="0.25">
      <c r="A12" s="587" t="s">
        <v>169</v>
      </c>
      <c r="B12" s="588" t="s">
        <v>249</v>
      </c>
      <c r="C12" s="586" t="s">
        <v>250</v>
      </c>
      <c r="D12" s="586" t="s">
        <v>250</v>
      </c>
      <c r="E12" s="586" t="s">
        <v>251</v>
      </c>
      <c r="F12" s="586" t="s">
        <v>251</v>
      </c>
      <c r="G12" s="586" t="s">
        <v>116</v>
      </c>
      <c r="H12" s="586" t="s">
        <v>116</v>
      </c>
      <c r="I12" s="586" t="s">
        <v>199</v>
      </c>
      <c r="J12" s="586" t="s">
        <v>199</v>
      </c>
    </row>
    <row r="13" spans="1:10" x14ac:dyDescent="0.25">
      <c r="A13" s="587" t="s">
        <v>27</v>
      </c>
      <c r="B13" s="588" t="s">
        <v>252</v>
      </c>
      <c r="C13" s="586" t="s">
        <v>253</v>
      </c>
      <c r="D13" s="586" t="s">
        <v>253</v>
      </c>
      <c r="E13" s="586" t="s">
        <v>254</v>
      </c>
      <c r="F13" s="586" t="s">
        <v>254</v>
      </c>
      <c r="G13" s="586" t="s">
        <v>83</v>
      </c>
      <c r="H13" s="586" t="s">
        <v>83</v>
      </c>
      <c r="I13" s="586" t="s">
        <v>243</v>
      </c>
      <c r="J13" s="586" t="s">
        <v>243</v>
      </c>
    </row>
    <row r="15" spans="1:10" x14ac:dyDescent="0.25">
      <c r="A15" s="584" t="s">
        <v>255</v>
      </c>
      <c r="B15" s="584" t="s">
        <v>255</v>
      </c>
      <c r="C15" s="584" t="s">
        <v>255</v>
      </c>
      <c r="D15" s="584" t="s">
        <v>255</v>
      </c>
      <c r="E15" s="584" t="s">
        <v>255</v>
      </c>
      <c r="F15" s="294"/>
      <c r="G15" s="294"/>
      <c r="H15" s="294"/>
      <c r="I15" s="294"/>
      <c r="J15" s="294"/>
    </row>
    <row r="16" spans="1:10" x14ac:dyDescent="0.25">
      <c r="A16" s="585" t="s">
        <v>0</v>
      </c>
      <c r="B16" s="585" t="s">
        <v>0</v>
      </c>
      <c r="C16" s="585" t="s">
        <v>1</v>
      </c>
      <c r="D16" s="585" t="s">
        <v>1</v>
      </c>
      <c r="E16" s="585" t="s">
        <v>2</v>
      </c>
      <c r="F16" s="585" t="s">
        <v>2</v>
      </c>
      <c r="G16" s="585" t="s">
        <v>196</v>
      </c>
      <c r="H16" s="585" t="s">
        <v>196</v>
      </c>
      <c r="I16" s="585" t="s">
        <v>3</v>
      </c>
      <c r="J16" s="585" t="s">
        <v>3</v>
      </c>
    </row>
    <row r="17" spans="1:10" x14ac:dyDescent="0.25">
      <c r="A17" s="589" t="s">
        <v>4</v>
      </c>
      <c r="B17" s="589" t="s">
        <v>4</v>
      </c>
      <c r="C17" s="589" t="s">
        <v>5</v>
      </c>
      <c r="D17" s="589" t="s">
        <v>5</v>
      </c>
      <c r="E17" s="589" t="s">
        <v>6</v>
      </c>
      <c r="F17" s="589" t="s">
        <v>6</v>
      </c>
      <c r="G17" s="589" t="s">
        <v>12</v>
      </c>
      <c r="H17" s="589" t="s">
        <v>12</v>
      </c>
      <c r="I17" s="589" t="s">
        <v>7</v>
      </c>
      <c r="J17" s="589" t="s">
        <v>7</v>
      </c>
    </row>
    <row r="18" spans="1:10" ht="15" customHeight="1" x14ac:dyDescent="0.25">
      <c r="A18" s="586" t="s">
        <v>4</v>
      </c>
      <c r="B18" s="586" t="s">
        <v>4</v>
      </c>
      <c r="C18" s="586" t="s">
        <v>226</v>
      </c>
      <c r="D18" s="586" t="s">
        <v>226</v>
      </c>
      <c r="E18" s="587" t="s">
        <v>256</v>
      </c>
      <c r="F18" s="588" t="s">
        <v>256</v>
      </c>
      <c r="G18" s="586" t="s">
        <v>197</v>
      </c>
      <c r="H18" s="586" t="s">
        <v>197</v>
      </c>
      <c r="I18" s="586" t="s">
        <v>198</v>
      </c>
      <c r="J18" s="586" t="s">
        <v>198</v>
      </c>
    </row>
    <row r="19" spans="1:10" x14ac:dyDescent="0.25">
      <c r="A19" s="586" t="s">
        <v>5</v>
      </c>
      <c r="B19" s="586" t="s">
        <v>6</v>
      </c>
      <c r="C19" s="586" t="s">
        <v>228</v>
      </c>
      <c r="D19" s="586" t="s">
        <v>228</v>
      </c>
      <c r="E19" s="586" t="s">
        <v>257</v>
      </c>
      <c r="F19" s="586" t="s">
        <v>257</v>
      </c>
      <c r="G19" s="586" t="s">
        <v>258</v>
      </c>
      <c r="H19" s="586" t="s">
        <v>258</v>
      </c>
      <c r="I19" s="586" t="s">
        <v>199</v>
      </c>
      <c r="J19" s="586" t="s">
        <v>199</v>
      </c>
    </row>
    <row r="20" spans="1:10" x14ac:dyDescent="0.25">
      <c r="A20" s="586" t="s">
        <v>6</v>
      </c>
      <c r="B20" s="586" t="s">
        <v>7</v>
      </c>
      <c r="C20" s="586" t="s">
        <v>231</v>
      </c>
      <c r="D20" s="586" t="s">
        <v>231</v>
      </c>
      <c r="E20" s="586" t="s">
        <v>259</v>
      </c>
      <c r="F20" s="586" t="s">
        <v>259</v>
      </c>
      <c r="G20" s="586" t="s">
        <v>260</v>
      </c>
      <c r="H20" s="586" t="s">
        <v>260</v>
      </c>
      <c r="I20" s="586" t="s">
        <v>199</v>
      </c>
      <c r="J20" s="586" t="s">
        <v>199</v>
      </c>
    </row>
    <row r="21" spans="1:10" x14ac:dyDescent="0.25">
      <c r="A21" s="586" t="s">
        <v>12</v>
      </c>
      <c r="B21" s="586" t="s">
        <v>168</v>
      </c>
      <c r="C21" s="586" t="s">
        <v>234</v>
      </c>
      <c r="D21" s="586" t="s">
        <v>234</v>
      </c>
      <c r="E21" s="586" t="s">
        <v>251</v>
      </c>
      <c r="F21" s="586" t="s">
        <v>251</v>
      </c>
      <c r="G21" s="586" t="s">
        <v>261</v>
      </c>
      <c r="H21" s="586" t="s">
        <v>261</v>
      </c>
      <c r="I21" s="586" t="s">
        <v>199</v>
      </c>
      <c r="J21" s="586" t="s">
        <v>199</v>
      </c>
    </row>
    <row r="22" spans="1:10" x14ac:dyDescent="0.25">
      <c r="A22" s="586" t="s">
        <v>7</v>
      </c>
      <c r="B22" s="586" t="s">
        <v>27</v>
      </c>
      <c r="C22" s="586" t="s">
        <v>237</v>
      </c>
      <c r="D22" s="586" t="s">
        <v>237</v>
      </c>
      <c r="E22" s="586" t="s">
        <v>262</v>
      </c>
      <c r="F22" s="586" t="s">
        <v>262</v>
      </c>
      <c r="G22" s="586" t="s">
        <v>263</v>
      </c>
      <c r="H22" s="586" t="s">
        <v>263</v>
      </c>
      <c r="I22" s="586" t="s">
        <v>199</v>
      </c>
      <c r="J22" s="586" t="s">
        <v>199</v>
      </c>
    </row>
    <row r="23" spans="1:10" x14ac:dyDescent="0.25">
      <c r="A23" s="586" t="s">
        <v>167</v>
      </c>
      <c r="B23" s="586" t="s">
        <v>264</v>
      </c>
      <c r="C23" s="586" t="s">
        <v>240</v>
      </c>
      <c r="D23" s="586" t="s">
        <v>240</v>
      </c>
      <c r="E23" s="586" t="s">
        <v>265</v>
      </c>
      <c r="F23" s="586" t="s">
        <v>265</v>
      </c>
      <c r="G23" s="586" t="s">
        <v>266</v>
      </c>
      <c r="H23" s="586" t="s">
        <v>266</v>
      </c>
      <c r="I23" s="586" t="s">
        <v>243</v>
      </c>
      <c r="J23" s="586" t="s">
        <v>243</v>
      </c>
    </row>
    <row r="24" spans="1:10" x14ac:dyDescent="0.25">
      <c r="A24" s="586" t="s">
        <v>168</v>
      </c>
      <c r="B24" s="586" t="s">
        <v>239</v>
      </c>
      <c r="C24" s="586" t="s">
        <v>245</v>
      </c>
      <c r="D24" s="586" t="s">
        <v>245</v>
      </c>
      <c r="E24" s="586" t="s">
        <v>267</v>
      </c>
      <c r="F24" s="586" t="s">
        <v>267</v>
      </c>
      <c r="G24" s="586" t="s">
        <v>268</v>
      </c>
      <c r="H24" s="586" t="s">
        <v>268</v>
      </c>
      <c r="I24" s="586" t="s">
        <v>248</v>
      </c>
      <c r="J24" s="586" t="s">
        <v>248</v>
      </c>
    </row>
    <row r="25" spans="1:10" x14ac:dyDescent="0.25">
      <c r="A25" s="586" t="s">
        <v>169</v>
      </c>
      <c r="B25" s="586" t="s">
        <v>269</v>
      </c>
      <c r="C25" s="586" t="s">
        <v>250</v>
      </c>
      <c r="D25" s="586" t="s">
        <v>250</v>
      </c>
      <c r="E25" s="586" t="s">
        <v>270</v>
      </c>
      <c r="F25" s="586" t="s">
        <v>270</v>
      </c>
      <c r="G25" s="586" t="s">
        <v>104</v>
      </c>
      <c r="H25" s="586" t="s">
        <v>104</v>
      </c>
      <c r="I25" s="586" t="s">
        <v>199</v>
      </c>
      <c r="J25" s="586" t="s">
        <v>199</v>
      </c>
    </row>
    <row r="26" spans="1:10" x14ac:dyDescent="0.25">
      <c r="A26" s="586" t="s">
        <v>27</v>
      </c>
      <c r="B26" s="586" t="s">
        <v>249</v>
      </c>
      <c r="C26" s="586" t="s">
        <v>253</v>
      </c>
      <c r="D26" s="586" t="s">
        <v>253</v>
      </c>
      <c r="E26" s="586" t="s">
        <v>254</v>
      </c>
      <c r="F26" s="586" t="s">
        <v>254</v>
      </c>
      <c r="G26" s="586" t="s">
        <v>83</v>
      </c>
      <c r="H26" s="586" t="s">
        <v>83</v>
      </c>
      <c r="I26" s="586" t="s">
        <v>243</v>
      </c>
      <c r="J26" s="586" t="s">
        <v>243</v>
      </c>
    </row>
    <row r="28" spans="1:10" x14ac:dyDescent="0.25">
      <c r="A28" s="584" t="s">
        <v>271</v>
      </c>
      <c r="B28" s="584" t="s">
        <v>271</v>
      </c>
      <c r="C28" s="584" t="s">
        <v>271</v>
      </c>
      <c r="D28" s="584" t="s">
        <v>271</v>
      </c>
      <c r="E28" s="584" t="s">
        <v>271</v>
      </c>
      <c r="F28" s="294"/>
      <c r="G28" s="294"/>
      <c r="H28" s="294"/>
      <c r="I28" s="294"/>
      <c r="J28" s="294"/>
    </row>
    <row r="29" spans="1:10" x14ac:dyDescent="0.25">
      <c r="A29" s="585" t="s">
        <v>0</v>
      </c>
      <c r="B29" s="585" t="s">
        <v>0</v>
      </c>
      <c r="C29" s="585" t="s">
        <v>1</v>
      </c>
      <c r="D29" s="585" t="s">
        <v>1</v>
      </c>
      <c r="E29" s="585" t="s">
        <v>2</v>
      </c>
      <c r="F29" s="585" t="s">
        <v>2</v>
      </c>
      <c r="G29" s="585" t="s">
        <v>196</v>
      </c>
      <c r="H29" s="585" t="s">
        <v>196</v>
      </c>
      <c r="I29" s="585" t="s">
        <v>3</v>
      </c>
      <c r="J29" s="585" t="s">
        <v>3</v>
      </c>
    </row>
    <row r="30" spans="1:10" x14ac:dyDescent="0.25">
      <c r="A30" s="589" t="s">
        <v>4</v>
      </c>
      <c r="B30" s="589" t="s">
        <v>4</v>
      </c>
      <c r="C30" s="589" t="s">
        <v>5</v>
      </c>
      <c r="D30" s="589" t="s">
        <v>5</v>
      </c>
      <c r="E30" s="589" t="s">
        <v>6</v>
      </c>
      <c r="F30" s="589" t="s">
        <v>6</v>
      </c>
      <c r="G30" s="589" t="s">
        <v>12</v>
      </c>
      <c r="H30" s="589" t="s">
        <v>12</v>
      </c>
      <c r="I30" s="589" t="s">
        <v>7</v>
      </c>
      <c r="J30" s="589" t="s">
        <v>7</v>
      </c>
    </row>
    <row r="31" spans="1:10" x14ac:dyDescent="0.25">
      <c r="A31" s="586" t="s">
        <v>4</v>
      </c>
      <c r="B31" s="586" t="s">
        <v>4</v>
      </c>
      <c r="C31" s="586" t="s">
        <v>226</v>
      </c>
      <c r="D31" s="586" t="s">
        <v>226</v>
      </c>
      <c r="E31" s="586" t="s">
        <v>256</v>
      </c>
      <c r="F31" s="586" t="s">
        <v>256</v>
      </c>
      <c r="G31" s="586" t="s">
        <v>197</v>
      </c>
      <c r="H31" s="586" t="s">
        <v>197</v>
      </c>
      <c r="I31" s="586" t="s">
        <v>198</v>
      </c>
      <c r="J31" s="586" t="s">
        <v>198</v>
      </c>
    </row>
    <row r="32" spans="1:10" x14ac:dyDescent="0.25">
      <c r="A32" s="586" t="s">
        <v>5</v>
      </c>
      <c r="B32" s="586" t="s">
        <v>6</v>
      </c>
      <c r="C32" s="586" t="s">
        <v>228</v>
      </c>
      <c r="D32" s="586" t="s">
        <v>228</v>
      </c>
      <c r="E32" s="586" t="s">
        <v>229</v>
      </c>
      <c r="F32" s="586" t="s">
        <v>229</v>
      </c>
      <c r="G32" s="586" t="s">
        <v>230</v>
      </c>
      <c r="H32" s="586" t="s">
        <v>230</v>
      </c>
      <c r="I32" s="586" t="s">
        <v>199</v>
      </c>
      <c r="J32" s="586" t="s">
        <v>199</v>
      </c>
    </row>
    <row r="33" spans="1:10" x14ac:dyDescent="0.25">
      <c r="A33" s="586" t="s">
        <v>6</v>
      </c>
      <c r="B33" s="586" t="s">
        <v>7</v>
      </c>
      <c r="C33" s="586" t="s">
        <v>231</v>
      </c>
      <c r="D33" s="586" t="s">
        <v>231</v>
      </c>
      <c r="E33" s="586" t="s">
        <v>272</v>
      </c>
      <c r="F33" s="586" t="s">
        <v>272</v>
      </c>
      <c r="G33" s="586" t="s">
        <v>273</v>
      </c>
      <c r="H33" s="586" t="s">
        <v>273</v>
      </c>
      <c r="I33" s="586" t="s">
        <v>199</v>
      </c>
      <c r="J33" s="586" t="s">
        <v>199</v>
      </c>
    </row>
    <row r="34" spans="1:10" x14ac:dyDescent="0.25">
      <c r="A34" s="586" t="s">
        <v>12</v>
      </c>
      <c r="B34" s="586" t="s">
        <v>168</v>
      </c>
      <c r="C34" s="586" t="s">
        <v>234</v>
      </c>
      <c r="D34" s="586" t="s">
        <v>234</v>
      </c>
      <c r="E34" s="586" t="s">
        <v>274</v>
      </c>
      <c r="F34" s="586" t="s">
        <v>274</v>
      </c>
      <c r="G34" s="586" t="s">
        <v>261</v>
      </c>
      <c r="H34" s="586" t="s">
        <v>261</v>
      </c>
      <c r="I34" s="586" t="s">
        <v>199</v>
      </c>
      <c r="J34" s="586" t="s">
        <v>199</v>
      </c>
    </row>
    <row r="35" spans="1:10" x14ac:dyDescent="0.25">
      <c r="A35" s="586" t="s">
        <v>7</v>
      </c>
      <c r="B35" s="586" t="s">
        <v>27</v>
      </c>
      <c r="C35" s="586" t="s">
        <v>237</v>
      </c>
      <c r="D35" s="586" t="s">
        <v>237</v>
      </c>
      <c r="E35" s="586" t="s">
        <v>275</v>
      </c>
      <c r="F35" s="586" t="s">
        <v>275</v>
      </c>
      <c r="G35" s="586" t="s">
        <v>263</v>
      </c>
      <c r="H35" s="586" t="s">
        <v>263</v>
      </c>
      <c r="I35" s="586" t="s">
        <v>199</v>
      </c>
      <c r="J35" s="586" t="s">
        <v>199</v>
      </c>
    </row>
    <row r="36" spans="1:10" x14ac:dyDescent="0.25">
      <c r="A36" s="586" t="s">
        <v>167</v>
      </c>
      <c r="B36" s="586" t="s">
        <v>264</v>
      </c>
      <c r="C36" s="586" t="s">
        <v>240</v>
      </c>
      <c r="D36" s="586" t="s">
        <v>240</v>
      </c>
      <c r="E36" s="586" t="s">
        <v>276</v>
      </c>
      <c r="F36" s="586" t="s">
        <v>276</v>
      </c>
      <c r="G36" s="586" t="s">
        <v>277</v>
      </c>
      <c r="H36" s="586" t="s">
        <v>277</v>
      </c>
      <c r="I36" s="586" t="s">
        <v>243</v>
      </c>
      <c r="J36" s="586" t="s">
        <v>243</v>
      </c>
    </row>
    <row r="37" spans="1:10" x14ac:dyDescent="0.25">
      <c r="A37" s="586" t="s">
        <v>168</v>
      </c>
      <c r="B37" s="586" t="s">
        <v>239</v>
      </c>
      <c r="C37" s="586" t="s">
        <v>245</v>
      </c>
      <c r="D37" s="586" t="s">
        <v>245</v>
      </c>
      <c r="E37" s="586" t="s">
        <v>278</v>
      </c>
      <c r="F37" s="586" t="s">
        <v>278</v>
      </c>
      <c r="G37" s="586" t="s">
        <v>279</v>
      </c>
      <c r="H37" s="586" t="s">
        <v>279</v>
      </c>
      <c r="I37" s="586" t="s">
        <v>248</v>
      </c>
      <c r="J37" s="586" t="s">
        <v>248</v>
      </c>
    </row>
    <row r="38" spans="1:10" x14ac:dyDescent="0.25">
      <c r="A38" s="586" t="s">
        <v>169</v>
      </c>
      <c r="B38" s="586" t="s">
        <v>269</v>
      </c>
      <c r="C38" s="586" t="s">
        <v>250</v>
      </c>
      <c r="D38" s="586" t="s">
        <v>250</v>
      </c>
      <c r="E38" s="586" t="s">
        <v>270</v>
      </c>
      <c r="F38" s="586" t="s">
        <v>270</v>
      </c>
      <c r="G38" s="586" t="s">
        <v>104</v>
      </c>
      <c r="H38" s="586" t="s">
        <v>104</v>
      </c>
      <c r="I38" s="586" t="s">
        <v>199</v>
      </c>
      <c r="J38" s="586" t="s">
        <v>199</v>
      </c>
    </row>
    <row r="39" spans="1:10" x14ac:dyDescent="0.25">
      <c r="A39" s="586" t="s">
        <v>27</v>
      </c>
      <c r="B39" s="586" t="s">
        <v>249</v>
      </c>
      <c r="C39" s="586" t="s">
        <v>253</v>
      </c>
      <c r="D39" s="586" t="s">
        <v>253</v>
      </c>
      <c r="E39" s="586" t="s">
        <v>254</v>
      </c>
      <c r="F39" s="586" t="s">
        <v>254</v>
      </c>
      <c r="G39" s="586" t="s">
        <v>83</v>
      </c>
      <c r="H39" s="586" t="s">
        <v>83</v>
      </c>
      <c r="I39" s="586" t="s">
        <v>243</v>
      </c>
      <c r="J39" s="586" t="s">
        <v>243</v>
      </c>
    </row>
    <row r="41" spans="1:10" x14ac:dyDescent="0.25">
      <c r="A41" s="584" t="s">
        <v>280</v>
      </c>
      <c r="B41" s="584" t="s">
        <v>280</v>
      </c>
      <c r="C41" s="584" t="s">
        <v>280</v>
      </c>
      <c r="D41" s="584" t="s">
        <v>280</v>
      </c>
      <c r="E41" s="584" t="s">
        <v>280</v>
      </c>
      <c r="F41" s="294"/>
      <c r="G41" s="294"/>
      <c r="H41" s="294"/>
      <c r="I41" s="294"/>
      <c r="J41" s="294"/>
    </row>
    <row r="42" spans="1:10" x14ac:dyDescent="0.25">
      <c r="A42" s="585" t="s">
        <v>0</v>
      </c>
      <c r="B42" s="585" t="s">
        <v>0</v>
      </c>
      <c r="C42" s="585" t="s">
        <v>1</v>
      </c>
      <c r="D42" s="585" t="s">
        <v>1</v>
      </c>
      <c r="E42" s="585" t="s">
        <v>2</v>
      </c>
      <c r="F42" s="585" t="s">
        <v>2</v>
      </c>
      <c r="G42" s="585" t="s">
        <v>196</v>
      </c>
      <c r="H42" s="585" t="s">
        <v>196</v>
      </c>
      <c r="I42" s="585" t="s">
        <v>3</v>
      </c>
      <c r="J42" s="585" t="s">
        <v>3</v>
      </c>
    </row>
    <row r="43" spans="1:10" x14ac:dyDescent="0.25">
      <c r="A43" s="589" t="s">
        <v>4</v>
      </c>
      <c r="B43" s="589" t="s">
        <v>4</v>
      </c>
      <c r="C43" s="589" t="s">
        <v>5</v>
      </c>
      <c r="D43" s="589" t="s">
        <v>5</v>
      </c>
      <c r="E43" s="589" t="s">
        <v>6</v>
      </c>
      <c r="F43" s="589" t="s">
        <v>6</v>
      </c>
      <c r="G43" s="589" t="s">
        <v>12</v>
      </c>
      <c r="H43" s="589" t="s">
        <v>12</v>
      </c>
      <c r="I43" s="589" t="s">
        <v>7</v>
      </c>
      <c r="J43" s="589" t="s">
        <v>7</v>
      </c>
    </row>
    <row r="44" spans="1:10" x14ac:dyDescent="0.25">
      <c r="A44" s="586" t="s">
        <v>4</v>
      </c>
      <c r="B44" s="586" t="s">
        <v>4</v>
      </c>
      <c r="C44" s="586" t="s">
        <v>226</v>
      </c>
      <c r="D44" s="586" t="s">
        <v>226</v>
      </c>
      <c r="E44" s="586" t="s">
        <v>256</v>
      </c>
      <c r="F44" s="586" t="s">
        <v>256</v>
      </c>
      <c r="G44" s="586" t="s">
        <v>197</v>
      </c>
      <c r="H44" s="586" t="s">
        <v>197</v>
      </c>
      <c r="I44" s="586" t="s">
        <v>198</v>
      </c>
      <c r="J44" s="586" t="s">
        <v>198</v>
      </c>
    </row>
    <row r="45" spans="1:10" x14ac:dyDescent="0.25">
      <c r="A45" s="586" t="s">
        <v>5</v>
      </c>
      <c r="B45" s="586" t="s">
        <v>6</v>
      </c>
      <c r="C45" s="586" t="s">
        <v>228</v>
      </c>
      <c r="D45" s="586" t="s">
        <v>228</v>
      </c>
      <c r="E45" s="586" t="s">
        <v>281</v>
      </c>
      <c r="F45" s="586" t="s">
        <v>281</v>
      </c>
      <c r="G45" s="586" t="s">
        <v>282</v>
      </c>
      <c r="H45" s="586" t="s">
        <v>282</v>
      </c>
      <c r="I45" s="586" t="s">
        <v>199</v>
      </c>
      <c r="J45" s="586" t="s">
        <v>199</v>
      </c>
    </row>
    <row r="46" spans="1:10" x14ac:dyDescent="0.25">
      <c r="A46" s="586" t="s">
        <v>6</v>
      </c>
      <c r="B46" s="586" t="s">
        <v>7</v>
      </c>
      <c r="C46" s="586" t="s">
        <v>231</v>
      </c>
      <c r="D46" s="586" t="s">
        <v>231</v>
      </c>
      <c r="E46" s="586" t="s">
        <v>283</v>
      </c>
      <c r="F46" s="586" t="s">
        <v>283</v>
      </c>
      <c r="G46" s="586" t="s">
        <v>216</v>
      </c>
      <c r="H46" s="586" t="s">
        <v>216</v>
      </c>
      <c r="I46" s="586" t="s">
        <v>199</v>
      </c>
      <c r="J46" s="586" t="s">
        <v>199</v>
      </c>
    </row>
    <row r="47" spans="1:10" x14ac:dyDescent="0.25">
      <c r="A47" s="586" t="s">
        <v>12</v>
      </c>
      <c r="B47" s="586" t="s">
        <v>168</v>
      </c>
      <c r="C47" s="586" t="s">
        <v>234</v>
      </c>
      <c r="D47" s="586" t="s">
        <v>234</v>
      </c>
      <c r="E47" s="586" t="s">
        <v>284</v>
      </c>
      <c r="F47" s="586" t="s">
        <v>284</v>
      </c>
      <c r="G47" s="586" t="s">
        <v>285</v>
      </c>
      <c r="H47" s="586" t="s">
        <v>285</v>
      </c>
      <c r="I47" s="586" t="s">
        <v>199</v>
      </c>
      <c r="J47" s="586" t="s">
        <v>199</v>
      </c>
    </row>
    <row r="48" spans="1:10" x14ac:dyDescent="0.25">
      <c r="A48" s="586" t="s">
        <v>7</v>
      </c>
      <c r="B48" s="586" t="s">
        <v>27</v>
      </c>
      <c r="C48" s="586" t="s">
        <v>237</v>
      </c>
      <c r="D48" s="586" t="s">
        <v>237</v>
      </c>
      <c r="E48" s="586" t="s">
        <v>238</v>
      </c>
      <c r="F48" s="586" t="s">
        <v>238</v>
      </c>
      <c r="G48" s="586" t="s">
        <v>83</v>
      </c>
      <c r="H48" s="586" t="s">
        <v>83</v>
      </c>
      <c r="I48" s="586" t="s">
        <v>199</v>
      </c>
      <c r="J48" s="586" t="s">
        <v>199</v>
      </c>
    </row>
    <row r="49" spans="1:10" x14ac:dyDescent="0.25">
      <c r="A49" s="586" t="s">
        <v>167</v>
      </c>
      <c r="B49" s="586" t="s">
        <v>264</v>
      </c>
      <c r="C49" s="586" t="s">
        <v>240</v>
      </c>
      <c r="D49" s="586" t="s">
        <v>240</v>
      </c>
      <c r="E49" s="586" t="s">
        <v>286</v>
      </c>
      <c r="F49" s="586" t="s">
        <v>286</v>
      </c>
      <c r="G49" s="586" t="s">
        <v>277</v>
      </c>
      <c r="H49" s="586" t="s">
        <v>277</v>
      </c>
      <c r="I49" s="586" t="s">
        <v>243</v>
      </c>
      <c r="J49" s="586" t="s">
        <v>243</v>
      </c>
    </row>
    <row r="50" spans="1:10" x14ac:dyDescent="0.25">
      <c r="A50" s="586" t="s">
        <v>168</v>
      </c>
      <c r="B50" s="586" t="s">
        <v>239</v>
      </c>
      <c r="C50" s="586" t="s">
        <v>245</v>
      </c>
      <c r="D50" s="586" t="s">
        <v>245</v>
      </c>
      <c r="E50" s="586" t="s">
        <v>287</v>
      </c>
      <c r="F50" s="586" t="s">
        <v>287</v>
      </c>
      <c r="G50" s="586" t="s">
        <v>288</v>
      </c>
      <c r="H50" s="586" t="s">
        <v>288</v>
      </c>
      <c r="I50" s="586" t="s">
        <v>248</v>
      </c>
      <c r="J50" s="586" t="s">
        <v>248</v>
      </c>
    </row>
    <row r="51" spans="1:10" x14ac:dyDescent="0.25">
      <c r="A51" s="586" t="s">
        <v>169</v>
      </c>
      <c r="B51" s="586" t="s">
        <v>269</v>
      </c>
      <c r="C51" s="586" t="s">
        <v>250</v>
      </c>
      <c r="D51" s="586" t="s">
        <v>250</v>
      </c>
      <c r="E51" s="586" t="s">
        <v>117</v>
      </c>
      <c r="F51" s="586" t="s">
        <v>117</v>
      </c>
      <c r="G51" s="586" t="s">
        <v>104</v>
      </c>
      <c r="H51" s="586" t="s">
        <v>104</v>
      </c>
      <c r="I51" s="586" t="s">
        <v>199</v>
      </c>
      <c r="J51" s="586" t="s">
        <v>199</v>
      </c>
    </row>
    <row r="52" spans="1:10" x14ac:dyDescent="0.25">
      <c r="A52" s="586" t="s">
        <v>27</v>
      </c>
      <c r="B52" s="586" t="s">
        <v>249</v>
      </c>
      <c r="C52" s="586" t="s">
        <v>253</v>
      </c>
      <c r="D52" s="586" t="s">
        <v>253</v>
      </c>
      <c r="E52" s="586" t="s">
        <v>254</v>
      </c>
      <c r="F52" s="586" t="s">
        <v>254</v>
      </c>
      <c r="G52" s="586" t="s">
        <v>83</v>
      </c>
      <c r="H52" s="586" t="s">
        <v>83</v>
      </c>
      <c r="I52" s="586" t="s">
        <v>243</v>
      </c>
      <c r="J52" s="586" t="s">
        <v>243</v>
      </c>
    </row>
    <row r="54" spans="1:10" x14ac:dyDescent="0.25">
      <c r="A54" s="584" t="s">
        <v>289</v>
      </c>
      <c r="B54" s="584" t="s">
        <v>289</v>
      </c>
      <c r="C54" s="584" t="s">
        <v>289</v>
      </c>
      <c r="D54" s="584" t="s">
        <v>289</v>
      </c>
      <c r="E54" s="584" t="s">
        <v>289</v>
      </c>
      <c r="F54" s="294"/>
      <c r="G54" s="294"/>
      <c r="H54" s="294"/>
      <c r="I54" s="294"/>
      <c r="J54" s="294"/>
    </row>
    <row r="55" spans="1:10" x14ac:dyDescent="0.25">
      <c r="A55" s="585" t="s">
        <v>0</v>
      </c>
      <c r="B55" s="585" t="s">
        <v>0</v>
      </c>
      <c r="C55" s="585" t="s">
        <v>1</v>
      </c>
      <c r="D55" s="585" t="s">
        <v>1</v>
      </c>
      <c r="E55" s="585" t="s">
        <v>2</v>
      </c>
      <c r="F55" s="585" t="s">
        <v>2</v>
      </c>
      <c r="G55" s="585" t="s">
        <v>196</v>
      </c>
      <c r="H55" s="585" t="s">
        <v>196</v>
      </c>
      <c r="I55" s="585" t="s">
        <v>3</v>
      </c>
      <c r="J55" s="585" t="s">
        <v>3</v>
      </c>
    </row>
    <row r="56" spans="1:10" x14ac:dyDescent="0.25">
      <c r="A56" s="589" t="s">
        <v>4</v>
      </c>
      <c r="B56" s="589" t="s">
        <v>4</v>
      </c>
      <c r="C56" s="589" t="s">
        <v>5</v>
      </c>
      <c r="D56" s="589" t="s">
        <v>5</v>
      </c>
      <c r="E56" s="589" t="s">
        <v>6</v>
      </c>
      <c r="F56" s="589" t="s">
        <v>6</v>
      </c>
      <c r="G56" s="589" t="s">
        <v>12</v>
      </c>
      <c r="H56" s="589" t="s">
        <v>12</v>
      </c>
      <c r="I56" s="589" t="s">
        <v>7</v>
      </c>
      <c r="J56" s="589" t="s">
        <v>7</v>
      </c>
    </row>
    <row r="57" spans="1:10" x14ac:dyDescent="0.25">
      <c r="A57" s="586" t="s">
        <v>4</v>
      </c>
      <c r="B57" s="586" t="s">
        <v>4</v>
      </c>
      <c r="C57" s="586" t="s">
        <v>226</v>
      </c>
      <c r="D57" s="586" t="s">
        <v>226</v>
      </c>
      <c r="E57" s="586" t="s">
        <v>227</v>
      </c>
      <c r="F57" s="586" t="s">
        <v>227</v>
      </c>
      <c r="G57" s="586" t="s">
        <v>197</v>
      </c>
      <c r="H57" s="586" t="s">
        <v>197</v>
      </c>
      <c r="I57" s="586" t="s">
        <v>198</v>
      </c>
      <c r="J57" s="586" t="s">
        <v>198</v>
      </c>
    </row>
    <row r="58" spans="1:10" x14ac:dyDescent="0.25">
      <c r="A58" s="586" t="s">
        <v>5</v>
      </c>
      <c r="B58" s="586" t="s">
        <v>6</v>
      </c>
      <c r="C58" s="586" t="s">
        <v>228</v>
      </c>
      <c r="D58" s="586" t="s">
        <v>228</v>
      </c>
      <c r="E58" s="586" t="s">
        <v>290</v>
      </c>
      <c r="F58" s="586" t="s">
        <v>290</v>
      </c>
      <c r="G58" s="586" t="s">
        <v>291</v>
      </c>
      <c r="H58" s="586" t="s">
        <v>291</v>
      </c>
      <c r="I58" s="586" t="s">
        <v>199</v>
      </c>
      <c r="J58" s="586" t="s">
        <v>199</v>
      </c>
    </row>
    <row r="59" spans="1:10" x14ac:dyDescent="0.25">
      <c r="A59" s="586" t="s">
        <v>6</v>
      </c>
      <c r="B59" s="586" t="s">
        <v>7</v>
      </c>
      <c r="C59" s="586" t="s">
        <v>231</v>
      </c>
      <c r="D59" s="586" t="s">
        <v>231</v>
      </c>
      <c r="E59" s="586" t="s">
        <v>292</v>
      </c>
      <c r="F59" s="586" t="s">
        <v>292</v>
      </c>
      <c r="G59" s="586" t="s">
        <v>293</v>
      </c>
      <c r="H59" s="586" t="s">
        <v>293</v>
      </c>
      <c r="I59" s="586" t="s">
        <v>199</v>
      </c>
      <c r="J59" s="586" t="s">
        <v>199</v>
      </c>
    </row>
    <row r="60" spans="1:10" x14ac:dyDescent="0.25">
      <c r="A60" s="586" t="s">
        <v>12</v>
      </c>
      <c r="B60" s="586" t="s">
        <v>168</v>
      </c>
      <c r="C60" s="586" t="s">
        <v>234</v>
      </c>
      <c r="D60" s="586" t="s">
        <v>234</v>
      </c>
      <c r="E60" s="586" t="s">
        <v>294</v>
      </c>
      <c r="F60" s="586" t="s">
        <v>294</v>
      </c>
      <c r="G60" s="586" t="s">
        <v>104</v>
      </c>
      <c r="H60" s="586" t="s">
        <v>104</v>
      </c>
      <c r="I60" s="586" t="s">
        <v>199</v>
      </c>
      <c r="J60" s="586" t="s">
        <v>199</v>
      </c>
    </row>
    <row r="61" spans="1:10" x14ac:dyDescent="0.25">
      <c r="A61" s="586" t="s">
        <v>7</v>
      </c>
      <c r="B61" s="586" t="s">
        <v>27</v>
      </c>
      <c r="C61" s="586" t="s">
        <v>237</v>
      </c>
      <c r="D61" s="586" t="s">
        <v>237</v>
      </c>
      <c r="E61" s="586" t="s">
        <v>238</v>
      </c>
      <c r="F61" s="586" t="s">
        <v>238</v>
      </c>
      <c r="G61" s="586" t="s">
        <v>83</v>
      </c>
      <c r="H61" s="586" t="s">
        <v>83</v>
      </c>
      <c r="I61" s="586" t="s">
        <v>199</v>
      </c>
      <c r="J61" s="586" t="s">
        <v>199</v>
      </c>
    </row>
    <row r="62" spans="1:10" x14ac:dyDescent="0.25">
      <c r="A62" s="586" t="s">
        <v>167</v>
      </c>
      <c r="B62" s="586" t="s">
        <v>264</v>
      </c>
      <c r="C62" s="586" t="s">
        <v>240</v>
      </c>
      <c r="D62" s="586" t="s">
        <v>240</v>
      </c>
      <c r="E62" s="586" t="s">
        <v>295</v>
      </c>
      <c r="F62" s="586" t="s">
        <v>295</v>
      </c>
      <c r="G62" s="586" t="s">
        <v>242</v>
      </c>
      <c r="H62" s="586" t="s">
        <v>242</v>
      </c>
      <c r="I62" s="586" t="s">
        <v>243</v>
      </c>
      <c r="J62" s="586" t="s">
        <v>243</v>
      </c>
    </row>
    <row r="63" spans="1:10" x14ac:dyDescent="0.25">
      <c r="A63" s="586" t="s">
        <v>168</v>
      </c>
      <c r="B63" s="586" t="s">
        <v>239</v>
      </c>
      <c r="C63" s="586" t="s">
        <v>245</v>
      </c>
      <c r="D63" s="586" t="s">
        <v>245</v>
      </c>
      <c r="E63" s="586" t="s">
        <v>296</v>
      </c>
      <c r="F63" s="586" t="s">
        <v>296</v>
      </c>
      <c r="G63" s="586" t="s">
        <v>297</v>
      </c>
      <c r="H63" s="586" t="s">
        <v>297</v>
      </c>
      <c r="I63" s="586" t="s">
        <v>248</v>
      </c>
      <c r="J63" s="586" t="s">
        <v>248</v>
      </c>
    </row>
    <row r="64" spans="1:10" x14ac:dyDescent="0.25">
      <c r="A64" s="586" t="s">
        <v>169</v>
      </c>
      <c r="B64" s="586" t="s">
        <v>269</v>
      </c>
      <c r="C64" s="586" t="s">
        <v>250</v>
      </c>
      <c r="D64" s="586" t="s">
        <v>250</v>
      </c>
      <c r="E64" s="586" t="s">
        <v>298</v>
      </c>
      <c r="F64" s="586" t="s">
        <v>298</v>
      </c>
      <c r="G64" s="586" t="s">
        <v>83</v>
      </c>
      <c r="H64" s="586" t="s">
        <v>83</v>
      </c>
      <c r="I64" s="586" t="s">
        <v>199</v>
      </c>
      <c r="J64" s="586" t="s">
        <v>199</v>
      </c>
    </row>
    <row r="65" spans="1:10" x14ac:dyDescent="0.25">
      <c r="A65" s="586" t="s">
        <v>27</v>
      </c>
      <c r="B65" s="586" t="s">
        <v>249</v>
      </c>
      <c r="C65" s="586" t="s">
        <v>253</v>
      </c>
      <c r="D65" s="586" t="s">
        <v>253</v>
      </c>
      <c r="E65" s="586" t="s">
        <v>254</v>
      </c>
      <c r="F65" s="586" t="s">
        <v>254</v>
      </c>
      <c r="G65" s="586" t="s">
        <v>83</v>
      </c>
      <c r="H65" s="586" t="s">
        <v>83</v>
      </c>
      <c r="I65" s="586" t="s">
        <v>243</v>
      </c>
      <c r="J65" s="586" t="s">
        <v>243</v>
      </c>
    </row>
    <row r="67" spans="1:10" x14ac:dyDescent="0.25">
      <c r="A67" s="584" t="s">
        <v>299</v>
      </c>
      <c r="B67" s="584" t="s">
        <v>299</v>
      </c>
      <c r="C67" s="584" t="s">
        <v>299</v>
      </c>
      <c r="D67" s="584" t="s">
        <v>299</v>
      </c>
      <c r="E67" s="584" t="s">
        <v>299</v>
      </c>
      <c r="F67" s="294"/>
      <c r="G67" s="294"/>
      <c r="H67" s="294"/>
      <c r="I67" s="294"/>
      <c r="J67" s="294"/>
    </row>
    <row r="68" spans="1:10" x14ac:dyDescent="0.25">
      <c r="A68" s="585" t="s">
        <v>0</v>
      </c>
      <c r="B68" s="585" t="s">
        <v>0</v>
      </c>
      <c r="C68" s="585" t="s">
        <v>1</v>
      </c>
      <c r="D68" s="585" t="s">
        <v>1</v>
      </c>
      <c r="E68" s="585" t="s">
        <v>2</v>
      </c>
      <c r="F68" s="585" t="s">
        <v>2</v>
      </c>
      <c r="G68" s="585" t="s">
        <v>196</v>
      </c>
      <c r="H68" s="585" t="s">
        <v>196</v>
      </c>
      <c r="I68" s="585" t="s">
        <v>3</v>
      </c>
      <c r="J68" s="585" t="s">
        <v>3</v>
      </c>
    </row>
    <row r="69" spans="1:10" x14ac:dyDescent="0.25">
      <c r="A69" s="589" t="s">
        <v>4</v>
      </c>
      <c r="B69" s="589" t="s">
        <v>4</v>
      </c>
      <c r="C69" s="589" t="s">
        <v>5</v>
      </c>
      <c r="D69" s="589" t="s">
        <v>5</v>
      </c>
      <c r="E69" s="589" t="s">
        <v>6</v>
      </c>
      <c r="F69" s="589" t="s">
        <v>6</v>
      </c>
      <c r="G69" s="589" t="s">
        <v>12</v>
      </c>
      <c r="H69" s="589" t="s">
        <v>12</v>
      </c>
      <c r="I69" s="589" t="s">
        <v>7</v>
      </c>
      <c r="J69" s="589" t="s">
        <v>7</v>
      </c>
    </row>
    <row r="70" spans="1:10" x14ac:dyDescent="0.25">
      <c r="A70" s="586" t="s">
        <v>4</v>
      </c>
      <c r="B70" s="586" t="s">
        <v>4</v>
      </c>
      <c r="C70" s="586" t="s">
        <v>226</v>
      </c>
      <c r="D70" s="586" t="s">
        <v>226</v>
      </c>
      <c r="E70" s="586" t="s">
        <v>300</v>
      </c>
      <c r="F70" s="586" t="s">
        <v>300</v>
      </c>
      <c r="G70" s="586" t="s">
        <v>197</v>
      </c>
      <c r="H70" s="586" t="s">
        <v>197</v>
      </c>
      <c r="I70" s="586" t="s">
        <v>198</v>
      </c>
      <c r="J70" s="586" t="s">
        <v>198</v>
      </c>
    </row>
    <row r="71" spans="1:10" x14ac:dyDescent="0.25">
      <c r="A71" s="586" t="s">
        <v>5</v>
      </c>
      <c r="B71" s="586" t="s">
        <v>6</v>
      </c>
      <c r="C71" s="586" t="s">
        <v>228</v>
      </c>
      <c r="D71" s="586" t="s">
        <v>228</v>
      </c>
      <c r="E71" s="586" t="s">
        <v>290</v>
      </c>
      <c r="F71" s="586" t="s">
        <v>290</v>
      </c>
      <c r="G71" s="586" t="s">
        <v>291</v>
      </c>
      <c r="H71" s="586" t="s">
        <v>291</v>
      </c>
      <c r="I71" s="586" t="s">
        <v>199</v>
      </c>
      <c r="J71" s="586" t="s">
        <v>199</v>
      </c>
    </row>
    <row r="72" spans="1:10" x14ac:dyDescent="0.25">
      <c r="A72" s="586" t="s">
        <v>6</v>
      </c>
      <c r="B72" s="586" t="s">
        <v>7</v>
      </c>
      <c r="C72" s="586" t="s">
        <v>231</v>
      </c>
      <c r="D72" s="586" t="s">
        <v>231</v>
      </c>
      <c r="E72" s="586" t="s">
        <v>301</v>
      </c>
      <c r="F72" s="586" t="s">
        <v>301</v>
      </c>
      <c r="G72" s="586" t="s">
        <v>260</v>
      </c>
      <c r="H72" s="586" t="s">
        <v>260</v>
      </c>
      <c r="I72" s="586" t="s">
        <v>199</v>
      </c>
      <c r="J72" s="586" t="s">
        <v>199</v>
      </c>
    </row>
    <row r="73" spans="1:10" x14ac:dyDescent="0.25">
      <c r="A73" s="586" t="s">
        <v>12</v>
      </c>
      <c r="B73" s="586" t="s">
        <v>168</v>
      </c>
      <c r="C73" s="586" t="s">
        <v>234</v>
      </c>
      <c r="D73" s="586" t="s">
        <v>234</v>
      </c>
      <c r="E73" s="586" t="s">
        <v>302</v>
      </c>
      <c r="F73" s="586" t="s">
        <v>302</v>
      </c>
      <c r="G73" s="586" t="s">
        <v>303</v>
      </c>
      <c r="H73" s="586" t="s">
        <v>303</v>
      </c>
      <c r="I73" s="586" t="s">
        <v>199</v>
      </c>
      <c r="J73" s="586" t="s">
        <v>199</v>
      </c>
    </row>
    <row r="74" spans="1:10" x14ac:dyDescent="0.25">
      <c r="A74" s="586" t="s">
        <v>7</v>
      </c>
      <c r="B74" s="586" t="s">
        <v>27</v>
      </c>
      <c r="C74" s="586" t="s">
        <v>237</v>
      </c>
      <c r="D74" s="586" t="s">
        <v>237</v>
      </c>
      <c r="E74" s="586" t="s">
        <v>238</v>
      </c>
      <c r="F74" s="586" t="s">
        <v>238</v>
      </c>
      <c r="G74" s="586" t="s">
        <v>83</v>
      </c>
      <c r="H74" s="586" t="s">
        <v>83</v>
      </c>
      <c r="I74" s="586" t="s">
        <v>199</v>
      </c>
      <c r="J74" s="586" t="s">
        <v>199</v>
      </c>
    </row>
    <row r="75" spans="1:10" x14ac:dyDescent="0.25">
      <c r="A75" s="586" t="s">
        <v>167</v>
      </c>
      <c r="B75" s="586" t="s">
        <v>264</v>
      </c>
      <c r="C75" s="586" t="s">
        <v>240</v>
      </c>
      <c r="D75" s="586" t="s">
        <v>240</v>
      </c>
      <c r="E75" s="586" t="s">
        <v>304</v>
      </c>
      <c r="F75" s="586" t="s">
        <v>304</v>
      </c>
      <c r="G75" s="586" t="s">
        <v>305</v>
      </c>
      <c r="H75" s="586" t="s">
        <v>305</v>
      </c>
      <c r="I75" s="586" t="s">
        <v>243</v>
      </c>
      <c r="J75" s="586" t="s">
        <v>243</v>
      </c>
    </row>
    <row r="76" spans="1:10" x14ac:dyDescent="0.25">
      <c r="A76" s="586" t="s">
        <v>168</v>
      </c>
      <c r="B76" s="586" t="s">
        <v>239</v>
      </c>
      <c r="C76" s="586" t="s">
        <v>245</v>
      </c>
      <c r="D76" s="586" t="s">
        <v>245</v>
      </c>
      <c r="E76" s="586" t="s">
        <v>306</v>
      </c>
      <c r="F76" s="586" t="s">
        <v>306</v>
      </c>
      <c r="G76" s="586" t="s">
        <v>247</v>
      </c>
      <c r="H76" s="586" t="s">
        <v>247</v>
      </c>
      <c r="I76" s="586" t="s">
        <v>248</v>
      </c>
      <c r="J76" s="586" t="s">
        <v>248</v>
      </c>
    </row>
    <row r="77" spans="1:10" x14ac:dyDescent="0.25">
      <c r="A77" s="586" t="s">
        <v>169</v>
      </c>
      <c r="B77" s="586" t="s">
        <v>269</v>
      </c>
      <c r="C77" s="586" t="s">
        <v>250</v>
      </c>
      <c r="D77" s="586" t="s">
        <v>250</v>
      </c>
      <c r="E77" s="586" t="s">
        <v>298</v>
      </c>
      <c r="F77" s="586" t="s">
        <v>298</v>
      </c>
      <c r="G77" s="586" t="s">
        <v>83</v>
      </c>
      <c r="H77" s="586" t="s">
        <v>83</v>
      </c>
      <c r="I77" s="586" t="s">
        <v>199</v>
      </c>
      <c r="J77" s="586" t="s">
        <v>199</v>
      </c>
    </row>
    <row r="78" spans="1:10" x14ac:dyDescent="0.25">
      <c r="A78" s="586" t="s">
        <v>27</v>
      </c>
      <c r="B78" s="586" t="s">
        <v>249</v>
      </c>
      <c r="C78" s="586" t="s">
        <v>253</v>
      </c>
      <c r="D78" s="586" t="s">
        <v>253</v>
      </c>
      <c r="E78" s="586" t="s">
        <v>254</v>
      </c>
      <c r="F78" s="586" t="s">
        <v>254</v>
      </c>
      <c r="G78" s="586" t="s">
        <v>83</v>
      </c>
      <c r="H78" s="586" t="s">
        <v>83</v>
      </c>
      <c r="I78" s="586" t="s">
        <v>243</v>
      </c>
      <c r="J78" s="586" t="s">
        <v>243</v>
      </c>
    </row>
    <row r="80" spans="1:10" x14ac:dyDescent="0.25">
      <c r="A80" s="584" t="s">
        <v>307</v>
      </c>
      <c r="B80" s="584" t="s">
        <v>307</v>
      </c>
      <c r="C80" s="584" t="s">
        <v>307</v>
      </c>
      <c r="D80" s="584" t="s">
        <v>307</v>
      </c>
      <c r="E80" s="584" t="s">
        <v>307</v>
      </c>
      <c r="F80" s="294"/>
      <c r="G80" s="294"/>
      <c r="H80" s="294"/>
      <c r="I80" s="294"/>
      <c r="J80" s="294"/>
    </row>
    <row r="81" spans="1:10" x14ac:dyDescent="0.25">
      <c r="A81" s="585" t="s">
        <v>0</v>
      </c>
      <c r="B81" s="585" t="s">
        <v>0</v>
      </c>
      <c r="C81" s="585" t="s">
        <v>1</v>
      </c>
      <c r="D81" s="585" t="s">
        <v>1</v>
      </c>
      <c r="E81" s="585" t="s">
        <v>2</v>
      </c>
      <c r="F81" s="585" t="s">
        <v>2</v>
      </c>
      <c r="G81" s="585" t="s">
        <v>196</v>
      </c>
      <c r="H81" s="585" t="s">
        <v>196</v>
      </c>
      <c r="I81" s="585" t="s">
        <v>3</v>
      </c>
      <c r="J81" s="585" t="s">
        <v>3</v>
      </c>
    </row>
    <row r="82" spans="1:10" x14ac:dyDescent="0.25">
      <c r="A82" s="589" t="s">
        <v>4</v>
      </c>
      <c r="B82" s="589" t="s">
        <v>4</v>
      </c>
      <c r="C82" s="589" t="s">
        <v>5</v>
      </c>
      <c r="D82" s="589" t="s">
        <v>5</v>
      </c>
      <c r="E82" s="589" t="s">
        <v>6</v>
      </c>
      <c r="F82" s="589" t="s">
        <v>6</v>
      </c>
      <c r="G82" s="589" t="s">
        <v>12</v>
      </c>
      <c r="H82" s="589" t="s">
        <v>12</v>
      </c>
      <c r="I82" s="589" t="s">
        <v>7</v>
      </c>
      <c r="J82" s="589" t="s">
        <v>7</v>
      </c>
    </row>
    <row r="83" spans="1:10" x14ac:dyDescent="0.25">
      <c r="A83" s="586" t="s">
        <v>4</v>
      </c>
      <c r="B83" s="586" t="s">
        <v>4</v>
      </c>
      <c r="C83" s="586" t="s">
        <v>226</v>
      </c>
      <c r="D83" s="586" t="s">
        <v>226</v>
      </c>
      <c r="E83" s="586" t="s">
        <v>227</v>
      </c>
      <c r="F83" s="586" t="s">
        <v>227</v>
      </c>
      <c r="G83" s="586" t="s">
        <v>197</v>
      </c>
      <c r="H83" s="586" t="s">
        <v>197</v>
      </c>
      <c r="I83" s="586" t="s">
        <v>198</v>
      </c>
      <c r="J83" s="586" t="s">
        <v>198</v>
      </c>
    </row>
    <row r="84" spans="1:10" x14ac:dyDescent="0.25">
      <c r="A84" s="586" t="s">
        <v>5</v>
      </c>
      <c r="B84" s="586" t="s">
        <v>6</v>
      </c>
      <c r="C84" s="586" t="s">
        <v>228</v>
      </c>
      <c r="D84" s="586" t="s">
        <v>228</v>
      </c>
      <c r="E84" s="586" t="s">
        <v>213</v>
      </c>
      <c r="F84" s="586" t="s">
        <v>213</v>
      </c>
      <c r="G84" s="586" t="s">
        <v>308</v>
      </c>
      <c r="H84" s="586" t="s">
        <v>308</v>
      </c>
      <c r="I84" s="586" t="s">
        <v>199</v>
      </c>
      <c r="J84" s="586" t="s">
        <v>199</v>
      </c>
    </row>
    <row r="85" spans="1:10" x14ac:dyDescent="0.25">
      <c r="A85" s="586" t="s">
        <v>6</v>
      </c>
      <c r="B85" s="586" t="s">
        <v>7</v>
      </c>
      <c r="C85" s="586" t="s">
        <v>231</v>
      </c>
      <c r="D85" s="586" t="s">
        <v>231</v>
      </c>
      <c r="E85" s="586" t="s">
        <v>309</v>
      </c>
      <c r="F85" s="586" t="s">
        <v>309</v>
      </c>
      <c r="G85" s="586" t="s">
        <v>310</v>
      </c>
      <c r="H85" s="586" t="s">
        <v>310</v>
      </c>
      <c r="I85" s="586" t="s">
        <v>199</v>
      </c>
      <c r="J85" s="586" t="s">
        <v>199</v>
      </c>
    </row>
    <row r="86" spans="1:10" x14ac:dyDescent="0.25">
      <c r="A86" s="586" t="s">
        <v>12</v>
      </c>
      <c r="B86" s="586" t="s">
        <v>168</v>
      </c>
      <c r="C86" s="586" t="s">
        <v>234</v>
      </c>
      <c r="D86" s="586" t="s">
        <v>234</v>
      </c>
      <c r="E86" s="586" t="s">
        <v>311</v>
      </c>
      <c r="F86" s="586" t="s">
        <v>311</v>
      </c>
      <c r="G86" s="586" t="s">
        <v>104</v>
      </c>
      <c r="H86" s="586" t="s">
        <v>104</v>
      </c>
      <c r="I86" s="586" t="s">
        <v>199</v>
      </c>
      <c r="J86" s="586" t="s">
        <v>199</v>
      </c>
    </row>
    <row r="87" spans="1:10" x14ac:dyDescent="0.25">
      <c r="A87" s="586" t="s">
        <v>7</v>
      </c>
      <c r="B87" s="586" t="s">
        <v>27</v>
      </c>
      <c r="C87" s="586" t="s">
        <v>237</v>
      </c>
      <c r="D87" s="586" t="s">
        <v>237</v>
      </c>
      <c r="E87" s="586" t="s">
        <v>238</v>
      </c>
      <c r="F87" s="586" t="s">
        <v>238</v>
      </c>
      <c r="G87" s="586" t="s">
        <v>83</v>
      </c>
      <c r="H87" s="586" t="s">
        <v>83</v>
      </c>
      <c r="I87" s="586" t="s">
        <v>199</v>
      </c>
      <c r="J87" s="586" t="s">
        <v>199</v>
      </c>
    </row>
    <row r="88" spans="1:10" x14ac:dyDescent="0.25">
      <c r="A88" s="586" t="s">
        <v>167</v>
      </c>
      <c r="B88" s="586" t="s">
        <v>264</v>
      </c>
      <c r="C88" s="586" t="s">
        <v>240</v>
      </c>
      <c r="D88" s="586" t="s">
        <v>240</v>
      </c>
      <c r="E88" s="586" t="s">
        <v>312</v>
      </c>
      <c r="F88" s="586" t="s">
        <v>312</v>
      </c>
      <c r="G88" s="586" t="s">
        <v>216</v>
      </c>
      <c r="H88" s="586" t="s">
        <v>216</v>
      </c>
      <c r="I88" s="586" t="s">
        <v>243</v>
      </c>
      <c r="J88" s="586" t="s">
        <v>243</v>
      </c>
    </row>
    <row r="89" spans="1:10" x14ac:dyDescent="0.25">
      <c r="A89" s="586" t="s">
        <v>168</v>
      </c>
      <c r="B89" s="586" t="s">
        <v>239</v>
      </c>
      <c r="C89" s="586" t="s">
        <v>245</v>
      </c>
      <c r="D89" s="586" t="s">
        <v>245</v>
      </c>
      <c r="E89" s="586" t="s">
        <v>313</v>
      </c>
      <c r="F89" s="586" t="s">
        <v>313</v>
      </c>
      <c r="G89" s="586" t="s">
        <v>314</v>
      </c>
      <c r="H89" s="586" t="s">
        <v>314</v>
      </c>
      <c r="I89" s="586" t="s">
        <v>248</v>
      </c>
      <c r="J89" s="586" t="s">
        <v>248</v>
      </c>
    </row>
    <row r="90" spans="1:10" x14ac:dyDescent="0.25">
      <c r="A90" s="586" t="s">
        <v>169</v>
      </c>
      <c r="B90" s="586" t="s">
        <v>269</v>
      </c>
      <c r="C90" s="586" t="s">
        <v>250</v>
      </c>
      <c r="D90" s="586" t="s">
        <v>250</v>
      </c>
      <c r="E90" s="586" t="s">
        <v>298</v>
      </c>
      <c r="F90" s="586" t="s">
        <v>298</v>
      </c>
      <c r="G90" s="586" t="s">
        <v>83</v>
      </c>
      <c r="H90" s="586" t="s">
        <v>83</v>
      </c>
      <c r="I90" s="586" t="s">
        <v>199</v>
      </c>
      <c r="J90" s="586" t="s">
        <v>199</v>
      </c>
    </row>
    <row r="91" spans="1:10" x14ac:dyDescent="0.25">
      <c r="A91" s="586" t="s">
        <v>27</v>
      </c>
      <c r="B91" s="586" t="s">
        <v>249</v>
      </c>
      <c r="C91" s="586" t="s">
        <v>253</v>
      </c>
      <c r="D91" s="586" t="s">
        <v>253</v>
      </c>
      <c r="E91" s="586" t="s">
        <v>254</v>
      </c>
      <c r="F91" s="586" t="s">
        <v>254</v>
      </c>
      <c r="G91" s="586" t="s">
        <v>83</v>
      </c>
      <c r="H91" s="586" t="s">
        <v>83</v>
      </c>
      <c r="I91" s="586" t="s">
        <v>243</v>
      </c>
      <c r="J91" s="586" t="s">
        <v>243</v>
      </c>
    </row>
    <row r="93" spans="1:10" x14ac:dyDescent="0.25">
      <c r="A93" s="584" t="s">
        <v>315</v>
      </c>
      <c r="B93" s="584" t="s">
        <v>315</v>
      </c>
      <c r="C93" s="584" t="s">
        <v>315</v>
      </c>
      <c r="D93" s="584" t="s">
        <v>315</v>
      </c>
      <c r="E93" s="584" t="s">
        <v>315</v>
      </c>
      <c r="F93" s="294"/>
      <c r="G93" s="294"/>
      <c r="H93" s="294"/>
      <c r="I93" s="294"/>
      <c r="J93" s="294"/>
    </row>
    <row r="94" spans="1:10" x14ac:dyDescent="0.25">
      <c r="A94" s="585" t="s">
        <v>0</v>
      </c>
      <c r="B94" s="585" t="s">
        <v>0</v>
      </c>
      <c r="C94" s="585" t="s">
        <v>1</v>
      </c>
      <c r="D94" s="585" t="s">
        <v>1</v>
      </c>
      <c r="E94" s="585" t="s">
        <v>2</v>
      </c>
      <c r="F94" s="585" t="s">
        <v>2</v>
      </c>
      <c r="G94" s="585" t="s">
        <v>196</v>
      </c>
      <c r="H94" s="585" t="s">
        <v>196</v>
      </c>
      <c r="I94" s="585" t="s">
        <v>3</v>
      </c>
      <c r="J94" s="585" t="s">
        <v>3</v>
      </c>
    </row>
    <row r="95" spans="1:10" x14ac:dyDescent="0.25">
      <c r="A95" s="589" t="s">
        <v>4</v>
      </c>
      <c r="B95" s="589" t="s">
        <v>4</v>
      </c>
      <c r="C95" s="589" t="s">
        <v>5</v>
      </c>
      <c r="D95" s="589" t="s">
        <v>5</v>
      </c>
      <c r="E95" s="589" t="s">
        <v>6</v>
      </c>
      <c r="F95" s="589" t="s">
        <v>6</v>
      </c>
      <c r="G95" s="589" t="s">
        <v>12</v>
      </c>
      <c r="H95" s="589" t="s">
        <v>12</v>
      </c>
      <c r="I95" s="589" t="s">
        <v>7</v>
      </c>
      <c r="J95" s="589" t="s">
        <v>7</v>
      </c>
    </row>
    <row r="96" spans="1:10" x14ac:dyDescent="0.25">
      <c r="A96" s="586" t="s">
        <v>4</v>
      </c>
      <c r="B96" s="586" t="s">
        <v>4</v>
      </c>
      <c r="C96" s="586" t="s">
        <v>226</v>
      </c>
      <c r="D96" s="586" t="s">
        <v>226</v>
      </c>
      <c r="E96" s="586" t="s">
        <v>316</v>
      </c>
      <c r="F96" s="586" t="s">
        <v>316</v>
      </c>
      <c r="G96" s="586" t="s">
        <v>197</v>
      </c>
      <c r="H96" s="586" t="s">
        <v>197</v>
      </c>
      <c r="I96" s="586" t="s">
        <v>198</v>
      </c>
      <c r="J96" s="586" t="s">
        <v>198</v>
      </c>
    </row>
    <row r="97" spans="1:10" x14ac:dyDescent="0.25">
      <c r="A97" s="586" t="s">
        <v>5</v>
      </c>
      <c r="B97" s="586" t="s">
        <v>6</v>
      </c>
      <c r="C97" s="586" t="s">
        <v>228</v>
      </c>
      <c r="D97" s="586" t="s">
        <v>228</v>
      </c>
      <c r="E97" s="586" t="s">
        <v>257</v>
      </c>
      <c r="F97" s="586" t="s">
        <v>257</v>
      </c>
      <c r="G97" s="586" t="s">
        <v>258</v>
      </c>
      <c r="H97" s="586" t="s">
        <v>258</v>
      </c>
      <c r="I97" s="586" t="s">
        <v>199</v>
      </c>
      <c r="J97" s="586" t="s">
        <v>199</v>
      </c>
    </row>
    <row r="98" spans="1:10" x14ac:dyDescent="0.25">
      <c r="A98" s="586" t="s">
        <v>6</v>
      </c>
      <c r="B98" s="586" t="s">
        <v>7</v>
      </c>
      <c r="C98" s="586" t="s">
        <v>231</v>
      </c>
      <c r="D98" s="586" t="s">
        <v>231</v>
      </c>
      <c r="E98" s="586" t="s">
        <v>317</v>
      </c>
      <c r="F98" s="586" t="s">
        <v>317</v>
      </c>
      <c r="G98" s="586" t="s">
        <v>242</v>
      </c>
      <c r="H98" s="586" t="s">
        <v>242</v>
      </c>
      <c r="I98" s="586" t="s">
        <v>199</v>
      </c>
      <c r="J98" s="586" t="s">
        <v>199</v>
      </c>
    </row>
    <row r="99" spans="1:10" x14ac:dyDescent="0.25">
      <c r="A99" s="586" t="s">
        <v>12</v>
      </c>
      <c r="B99" s="586" t="s">
        <v>168</v>
      </c>
      <c r="C99" s="586" t="s">
        <v>234</v>
      </c>
      <c r="D99" s="586" t="s">
        <v>234</v>
      </c>
      <c r="E99" s="586" t="s">
        <v>318</v>
      </c>
      <c r="F99" s="586" t="s">
        <v>318</v>
      </c>
      <c r="G99" s="586" t="s">
        <v>261</v>
      </c>
      <c r="H99" s="586" t="s">
        <v>261</v>
      </c>
      <c r="I99" s="586" t="s">
        <v>199</v>
      </c>
      <c r="J99" s="586" t="s">
        <v>199</v>
      </c>
    </row>
    <row r="100" spans="1:10" x14ac:dyDescent="0.25">
      <c r="A100" s="586" t="s">
        <v>7</v>
      </c>
      <c r="B100" s="586" t="s">
        <v>27</v>
      </c>
      <c r="C100" s="586" t="s">
        <v>237</v>
      </c>
      <c r="D100" s="586" t="s">
        <v>237</v>
      </c>
      <c r="E100" s="586" t="s">
        <v>319</v>
      </c>
      <c r="F100" s="586" t="s">
        <v>319</v>
      </c>
      <c r="G100" s="586" t="s">
        <v>216</v>
      </c>
      <c r="H100" s="586" t="s">
        <v>216</v>
      </c>
      <c r="I100" s="586" t="s">
        <v>199</v>
      </c>
      <c r="J100" s="586" t="s">
        <v>199</v>
      </c>
    </row>
    <row r="101" spans="1:10" x14ac:dyDescent="0.25">
      <c r="A101" s="586" t="s">
        <v>167</v>
      </c>
      <c r="B101" s="586" t="s">
        <v>264</v>
      </c>
      <c r="C101" s="586" t="s">
        <v>240</v>
      </c>
      <c r="D101" s="586" t="s">
        <v>240</v>
      </c>
      <c r="E101" s="586" t="s">
        <v>320</v>
      </c>
      <c r="F101" s="586" t="s">
        <v>320</v>
      </c>
      <c r="G101" s="586" t="s">
        <v>277</v>
      </c>
      <c r="H101" s="586" t="s">
        <v>277</v>
      </c>
      <c r="I101" s="586" t="s">
        <v>243</v>
      </c>
      <c r="J101" s="586" t="s">
        <v>243</v>
      </c>
    </row>
    <row r="102" spans="1:10" x14ac:dyDescent="0.25">
      <c r="A102" s="586" t="s">
        <v>168</v>
      </c>
      <c r="B102" s="586" t="s">
        <v>239</v>
      </c>
      <c r="C102" s="586" t="s">
        <v>245</v>
      </c>
      <c r="D102" s="586" t="s">
        <v>245</v>
      </c>
      <c r="E102" s="586" t="s">
        <v>321</v>
      </c>
      <c r="F102" s="586" t="s">
        <v>321</v>
      </c>
      <c r="G102" s="586" t="s">
        <v>279</v>
      </c>
      <c r="H102" s="586" t="s">
        <v>279</v>
      </c>
      <c r="I102" s="586" t="s">
        <v>248</v>
      </c>
      <c r="J102" s="586" t="s">
        <v>248</v>
      </c>
    </row>
    <row r="103" spans="1:10" x14ac:dyDescent="0.25">
      <c r="A103" s="586" t="s">
        <v>169</v>
      </c>
      <c r="B103" s="586" t="s">
        <v>269</v>
      </c>
      <c r="C103" s="586" t="s">
        <v>250</v>
      </c>
      <c r="D103" s="586" t="s">
        <v>250</v>
      </c>
      <c r="E103" s="586" t="s">
        <v>322</v>
      </c>
      <c r="F103" s="586" t="s">
        <v>322</v>
      </c>
      <c r="G103" s="586" t="s">
        <v>116</v>
      </c>
      <c r="H103" s="586" t="s">
        <v>116</v>
      </c>
      <c r="I103" s="586" t="s">
        <v>199</v>
      </c>
      <c r="J103" s="586" t="s">
        <v>199</v>
      </c>
    </row>
    <row r="104" spans="1:10" x14ac:dyDescent="0.25">
      <c r="A104" s="586" t="s">
        <v>27</v>
      </c>
      <c r="B104" s="586" t="s">
        <v>249</v>
      </c>
      <c r="C104" s="586" t="s">
        <v>253</v>
      </c>
      <c r="D104" s="586" t="s">
        <v>253</v>
      </c>
      <c r="E104" s="586" t="s">
        <v>254</v>
      </c>
      <c r="F104" s="586" t="s">
        <v>254</v>
      </c>
      <c r="G104" s="586" t="s">
        <v>83</v>
      </c>
      <c r="H104" s="586" t="s">
        <v>83</v>
      </c>
      <c r="I104" s="586" t="s">
        <v>243</v>
      </c>
      <c r="J104" s="586" t="s">
        <v>243</v>
      </c>
    </row>
    <row r="106" spans="1:10" x14ac:dyDescent="0.25">
      <c r="A106" s="584" t="s">
        <v>323</v>
      </c>
      <c r="B106" s="584" t="s">
        <v>323</v>
      </c>
      <c r="C106" s="584" t="s">
        <v>323</v>
      </c>
      <c r="D106" s="584" t="s">
        <v>323</v>
      </c>
      <c r="E106" s="584" t="s">
        <v>323</v>
      </c>
      <c r="F106" s="294"/>
      <c r="G106" s="294"/>
      <c r="H106" s="294"/>
      <c r="I106" s="294"/>
      <c r="J106" s="294"/>
    </row>
    <row r="107" spans="1:10" x14ac:dyDescent="0.25">
      <c r="A107" s="585" t="s">
        <v>0</v>
      </c>
      <c r="B107" s="585" t="s">
        <v>0</v>
      </c>
      <c r="C107" s="585" t="s">
        <v>1</v>
      </c>
      <c r="D107" s="585" t="s">
        <v>1</v>
      </c>
      <c r="E107" s="585" t="s">
        <v>2</v>
      </c>
      <c r="F107" s="585" t="s">
        <v>2</v>
      </c>
      <c r="G107" s="585" t="s">
        <v>196</v>
      </c>
      <c r="H107" s="585" t="s">
        <v>196</v>
      </c>
      <c r="I107" s="585" t="s">
        <v>3</v>
      </c>
      <c r="J107" s="585" t="s">
        <v>3</v>
      </c>
    </row>
    <row r="108" spans="1:10" x14ac:dyDescent="0.25">
      <c r="A108" s="589" t="s">
        <v>4</v>
      </c>
      <c r="B108" s="589" t="s">
        <v>4</v>
      </c>
      <c r="C108" s="589" t="s">
        <v>5</v>
      </c>
      <c r="D108" s="589" t="s">
        <v>5</v>
      </c>
      <c r="E108" s="589" t="s">
        <v>6</v>
      </c>
      <c r="F108" s="589" t="s">
        <v>6</v>
      </c>
      <c r="G108" s="589" t="s">
        <v>12</v>
      </c>
      <c r="H108" s="589" t="s">
        <v>12</v>
      </c>
      <c r="I108" s="589" t="s">
        <v>7</v>
      </c>
      <c r="J108" s="589" t="s">
        <v>7</v>
      </c>
    </row>
    <row r="109" spans="1:10" x14ac:dyDescent="0.25">
      <c r="A109" s="586" t="s">
        <v>4</v>
      </c>
      <c r="B109" s="586" t="s">
        <v>4</v>
      </c>
      <c r="C109" s="586" t="s">
        <v>226</v>
      </c>
      <c r="D109" s="586" t="s">
        <v>226</v>
      </c>
      <c r="E109" s="586" t="s">
        <v>227</v>
      </c>
      <c r="F109" s="586" t="s">
        <v>227</v>
      </c>
      <c r="G109" s="586" t="s">
        <v>197</v>
      </c>
      <c r="H109" s="586" t="s">
        <v>197</v>
      </c>
      <c r="I109" s="586" t="s">
        <v>198</v>
      </c>
      <c r="J109" s="586" t="s">
        <v>198</v>
      </c>
    </row>
    <row r="110" spans="1:10" x14ac:dyDescent="0.25">
      <c r="A110" s="586" t="s">
        <v>5</v>
      </c>
      <c r="B110" s="586" t="s">
        <v>6</v>
      </c>
      <c r="C110" s="586" t="s">
        <v>228</v>
      </c>
      <c r="D110" s="586" t="s">
        <v>228</v>
      </c>
      <c r="E110" s="586" t="s">
        <v>324</v>
      </c>
      <c r="F110" s="586" t="s">
        <v>324</v>
      </c>
      <c r="G110" s="586" t="s">
        <v>325</v>
      </c>
      <c r="H110" s="586" t="s">
        <v>325</v>
      </c>
      <c r="I110" s="586" t="s">
        <v>199</v>
      </c>
      <c r="J110" s="586" t="s">
        <v>199</v>
      </c>
    </row>
    <row r="111" spans="1:10" x14ac:dyDescent="0.25">
      <c r="A111" s="586" t="s">
        <v>6</v>
      </c>
      <c r="B111" s="586" t="s">
        <v>7</v>
      </c>
      <c r="C111" s="586" t="s">
        <v>231</v>
      </c>
      <c r="D111" s="586" t="s">
        <v>231</v>
      </c>
      <c r="E111" s="586" t="s">
        <v>326</v>
      </c>
      <c r="F111" s="586" t="s">
        <v>326</v>
      </c>
      <c r="G111" s="586" t="s">
        <v>273</v>
      </c>
      <c r="H111" s="586" t="s">
        <v>273</v>
      </c>
      <c r="I111" s="586" t="s">
        <v>199</v>
      </c>
      <c r="J111" s="586" t="s">
        <v>199</v>
      </c>
    </row>
    <row r="112" spans="1:10" x14ac:dyDescent="0.25">
      <c r="A112" s="586" t="s">
        <v>12</v>
      </c>
      <c r="B112" s="586" t="s">
        <v>168</v>
      </c>
      <c r="C112" s="586" t="s">
        <v>234</v>
      </c>
      <c r="D112" s="586" t="s">
        <v>234</v>
      </c>
      <c r="E112" s="586" t="s">
        <v>318</v>
      </c>
      <c r="F112" s="586" t="s">
        <v>318</v>
      </c>
      <c r="G112" s="586" t="s">
        <v>261</v>
      </c>
      <c r="H112" s="586" t="s">
        <v>261</v>
      </c>
      <c r="I112" s="586" t="s">
        <v>199</v>
      </c>
      <c r="J112" s="586" t="s">
        <v>199</v>
      </c>
    </row>
    <row r="113" spans="1:10" x14ac:dyDescent="0.25">
      <c r="A113" s="586" t="s">
        <v>7</v>
      </c>
      <c r="B113" s="586" t="s">
        <v>27</v>
      </c>
      <c r="C113" s="586" t="s">
        <v>237</v>
      </c>
      <c r="D113" s="586" t="s">
        <v>237</v>
      </c>
      <c r="E113" s="586" t="s">
        <v>238</v>
      </c>
      <c r="F113" s="586" t="s">
        <v>238</v>
      </c>
      <c r="G113" s="586" t="s">
        <v>83</v>
      </c>
      <c r="H113" s="586" t="s">
        <v>83</v>
      </c>
      <c r="I113" s="586" t="s">
        <v>199</v>
      </c>
      <c r="J113" s="586" t="s">
        <v>199</v>
      </c>
    </row>
    <row r="114" spans="1:10" x14ac:dyDescent="0.25">
      <c r="A114" s="586" t="s">
        <v>167</v>
      </c>
      <c r="B114" s="586" t="s">
        <v>264</v>
      </c>
      <c r="C114" s="586" t="s">
        <v>240</v>
      </c>
      <c r="D114" s="586" t="s">
        <v>240</v>
      </c>
      <c r="E114" s="586" t="s">
        <v>227</v>
      </c>
      <c r="F114" s="586" t="s">
        <v>227</v>
      </c>
      <c r="G114" s="586" t="s">
        <v>233</v>
      </c>
      <c r="H114" s="586" t="s">
        <v>233</v>
      </c>
      <c r="I114" s="586" t="s">
        <v>243</v>
      </c>
      <c r="J114" s="586" t="s">
        <v>243</v>
      </c>
    </row>
    <row r="115" spans="1:10" x14ac:dyDescent="0.25">
      <c r="A115" s="586" t="s">
        <v>168</v>
      </c>
      <c r="B115" s="586" t="s">
        <v>239</v>
      </c>
      <c r="C115" s="586" t="s">
        <v>245</v>
      </c>
      <c r="D115" s="586" t="s">
        <v>245</v>
      </c>
      <c r="E115" s="586" t="s">
        <v>321</v>
      </c>
      <c r="F115" s="586" t="s">
        <v>321</v>
      </c>
      <c r="G115" s="586" t="s">
        <v>279</v>
      </c>
      <c r="H115" s="586" t="s">
        <v>279</v>
      </c>
      <c r="I115" s="586" t="s">
        <v>248</v>
      </c>
      <c r="J115" s="586" t="s">
        <v>248</v>
      </c>
    </row>
    <row r="116" spans="1:10" x14ac:dyDescent="0.25">
      <c r="A116" s="586" t="s">
        <v>169</v>
      </c>
      <c r="B116" s="586" t="s">
        <v>269</v>
      </c>
      <c r="C116" s="586" t="s">
        <v>250</v>
      </c>
      <c r="D116" s="586" t="s">
        <v>250</v>
      </c>
      <c r="E116" s="586" t="s">
        <v>311</v>
      </c>
      <c r="F116" s="586" t="s">
        <v>311</v>
      </c>
      <c r="G116" s="586" t="s">
        <v>104</v>
      </c>
      <c r="H116" s="586" t="s">
        <v>104</v>
      </c>
      <c r="I116" s="586" t="s">
        <v>199</v>
      </c>
      <c r="J116" s="586" t="s">
        <v>199</v>
      </c>
    </row>
    <row r="117" spans="1:10" x14ac:dyDescent="0.25">
      <c r="A117" s="586" t="s">
        <v>27</v>
      </c>
      <c r="B117" s="586" t="s">
        <v>249</v>
      </c>
      <c r="C117" s="586" t="s">
        <v>253</v>
      </c>
      <c r="D117" s="586" t="s">
        <v>253</v>
      </c>
      <c r="E117" s="586" t="s">
        <v>254</v>
      </c>
      <c r="F117" s="586" t="s">
        <v>254</v>
      </c>
      <c r="G117" s="586" t="s">
        <v>83</v>
      </c>
      <c r="H117" s="586" t="s">
        <v>83</v>
      </c>
      <c r="I117" s="586" t="s">
        <v>243</v>
      </c>
      <c r="J117" s="586" t="s">
        <v>243</v>
      </c>
    </row>
    <row r="119" spans="1:10" x14ac:dyDescent="0.25">
      <c r="A119" s="584" t="s">
        <v>327</v>
      </c>
      <c r="B119" s="584" t="s">
        <v>327</v>
      </c>
      <c r="C119" s="584" t="s">
        <v>327</v>
      </c>
      <c r="D119" s="584" t="s">
        <v>327</v>
      </c>
      <c r="E119" s="584" t="s">
        <v>327</v>
      </c>
      <c r="F119" s="294"/>
      <c r="G119" s="294"/>
      <c r="H119" s="294"/>
      <c r="I119" s="294"/>
      <c r="J119" s="294"/>
    </row>
    <row r="120" spans="1:10" x14ac:dyDescent="0.25">
      <c r="A120" s="585" t="s">
        <v>0</v>
      </c>
      <c r="B120" s="585" t="s">
        <v>0</v>
      </c>
      <c r="C120" s="585" t="s">
        <v>1</v>
      </c>
      <c r="D120" s="585" t="s">
        <v>1</v>
      </c>
      <c r="E120" s="585" t="s">
        <v>2</v>
      </c>
      <c r="F120" s="585" t="s">
        <v>2</v>
      </c>
      <c r="G120" s="585" t="s">
        <v>196</v>
      </c>
      <c r="H120" s="585" t="s">
        <v>196</v>
      </c>
      <c r="I120" s="585" t="s">
        <v>3</v>
      </c>
      <c r="J120" s="585" t="s">
        <v>3</v>
      </c>
    </row>
    <row r="121" spans="1:10" x14ac:dyDescent="0.25">
      <c r="A121" s="589" t="s">
        <v>4</v>
      </c>
      <c r="B121" s="589" t="s">
        <v>4</v>
      </c>
      <c r="C121" s="589" t="s">
        <v>5</v>
      </c>
      <c r="D121" s="589" t="s">
        <v>5</v>
      </c>
      <c r="E121" s="589" t="s">
        <v>6</v>
      </c>
      <c r="F121" s="589" t="s">
        <v>6</v>
      </c>
      <c r="G121" s="589" t="s">
        <v>12</v>
      </c>
      <c r="H121" s="589" t="s">
        <v>12</v>
      </c>
      <c r="I121" s="589" t="s">
        <v>7</v>
      </c>
      <c r="J121" s="589" t="s">
        <v>7</v>
      </c>
    </row>
    <row r="122" spans="1:10" x14ac:dyDescent="0.25">
      <c r="A122" s="586" t="s">
        <v>4</v>
      </c>
      <c r="B122" s="586" t="s">
        <v>4</v>
      </c>
      <c r="C122" s="586" t="s">
        <v>226</v>
      </c>
      <c r="D122" s="586" t="s">
        <v>226</v>
      </c>
      <c r="E122" s="586" t="s">
        <v>328</v>
      </c>
      <c r="F122" s="586" t="s">
        <v>328</v>
      </c>
      <c r="G122" s="586" t="s">
        <v>197</v>
      </c>
      <c r="H122" s="586" t="s">
        <v>197</v>
      </c>
      <c r="I122" s="586" t="s">
        <v>198</v>
      </c>
      <c r="J122" s="586" t="s">
        <v>198</v>
      </c>
    </row>
    <row r="123" spans="1:10" x14ac:dyDescent="0.25">
      <c r="A123" s="586" t="s">
        <v>5</v>
      </c>
      <c r="B123" s="586" t="s">
        <v>6</v>
      </c>
      <c r="C123" s="586" t="s">
        <v>228</v>
      </c>
      <c r="D123" s="586" t="s">
        <v>228</v>
      </c>
      <c r="E123" s="586" t="s">
        <v>290</v>
      </c>
      <c r="F123" s="586" t="s">
        <v>290</v>
      </c>
      <c r="G123" s="586" t="s">
        <v>291</v>
      </c>
      <c r="H123" s="586" t="s">
        <v>291</v>
      </c>
      <c r="I123" s="586" t="s">
        <v>199</v>
      </c>
      <c r="J123" s="586" t="s">
        <v>199</v>
      </c>
    </row>
    <row r="124" spans="1:10" x14ac:dyDescent="0.25">
      <c r="A124" s="586" t="s">
        <v>6</v>
      </c>
      <c r="B124" s="586" t="s">
        <v>7</v>
      </c>
      <c r="C124" s="586" t="s">
        <v>231</v>
      </c>
      <c r="D124" s="586" t="s">
        <v>231</v>
      </c>
      <c r="E124" s="586" t="s">
        <v>329</v>
      </c>
      <c r="F124" s="586" t="s">
        <v>329</v>
      </c>
      <c r="G124" s="586" t="s">
        <v>78</v>
      </c>
      <c r="H124" s="586" t="s">
        <v>78</v>
      </c>
      <c r="I124" s="586" t="s">
        <v>199</v>
      </c>
      <c r="J124" s="586" t="s">
        <v>199</v>
      </c>
    </row>
    <row r="125" spans="1:10" x14ac:dyDescent="0.25">
      <c r="A125" s="586" t="s">
        <v>12</v>
      </c>
      <c r="B125" s="586" t="s">
        <v>168</v>
      </c>
      <c r="C125" s="586" t="s">
        <v>234</v>
      </c>
      <c r="D125" s="586" t="s">
        <v>234</v>
      </c>
      <c r="E125" s="586" t="s">
        <v>330</v>
      </c>
      <c r="F125" s="586" t="s">
        <v>330</v>
      </c>
      <c r="G125" s="586" t="s">
        <v>331</v>
      </c>
      <c r="H125" s="586" t="s">
        <v>331</v>
      </c>
      <c r="I125" s="586" t="s">
        <v>199</v>
      </c>
      <c r="J125" s="586" t="s">
        <v>199</v>
      </c>
    </row>
    <row r="126" spans="1:10" x14ac:dyDescent="0.25">
      <c r="A126" s="586" t="s">
        <v>7</v>
      </c>
      <c r="B126" s="586" t="s">
        <v>27</v>
      </c>
      <c r="C126" s="586" t="s">
        <v>237</v>
      </c>
      <c r="D126" s="586" t="s">
        <v>237</v>
      </c>
      <c r="E126" s="586" t="s">
        <v>332</v>
      </c>
      <c r="F126" s="586" t="s">
        <v>332</v>
      </c>
      <c r="G126" s="586" t="s">
        <v>64</v>
      </c>
      <c r="H126" s="586" t="s">
        <v>64</v>
      </c>
      <c r="I126" s="586" t="s">
        <v>199</v>
      </c>
      <c r="J126" s="586" t="s">
        <v>199</v>
      </c>
    </row>
    <row r="127" spans="1:10" x14ac:dyDescent="0.25">
      <c r="A127" s="586" t="s">
        <v>167</v>
      </c>
      <c r="B127" s="586" t="s">
        <v>264</v>
      </c>
      <c r="C127" s="586" t="s">
        <v>240</v>
      </c>
      <c r="D127" s="586" t="s">
        <v>240</v>
      </c>
      <c r="E127" s="586" t="s">
        <v>333</v>
      </c>
      <c r="F127" s="586" t="s">
        <v>333</v>
      </c>
      <c r="G127" s="586" t="s">
        <v>334</v>
      </c>
      <c r="H127" s="586" t="s">
        <v>334</v>
      </c>
      <c r="I127" s="586" t="s">
        <v>243</v>
      </c>
      <c r="J127" s="586" t="s">
        <v>243</v>
      </c>
    </row>
    <row r="128" spans="1:10" x14ac:dyDescent="0.25">
      <c r="A128" s="586" t="s">
        <v>168</v>
      </c>
      <c r="B128" s="586" t="s">
        <v>239</v>
      </c>
      <c r="C128" s="586" t="s">
        <v>245</v>
      </c>
      <c r="D128" s="586" t="s">
        <v>245</v>
      </c>
      <c r="E128" s="586" t="s">
        <v>335</v>
      </c>
      <c r="F128" s="586" t="s">
        <v>335</v>
      </c>
      <c r="G128" s="586" t="s">
        <v>288</v>
      </c>
      <c r="H128" s="586" t="s">
        <v>288</v>
      </c>
      <c r="I128" s="586" t="s">
        <v>248</v>
      </c>
      <c r="J128" s="586" t="s">
        <v>248</v>
      </c>
    </row>
    <row r="129" spans="1:10" x14ac:dyDescent="0.25">
      <c r="A129" s="586" t="s">
        <v>169</v>
      </c>
      <c r="B129" s="586" t="s">
        <v>269</v>
      </c>
      <c r="C129" s="586" t="s">
        <v>250</v>
      </c>
      <c r="D129" s="586" t="s">
        <v>250</v>
      </c>
      <c r="E129" s="586" t="s">
        <v>336</v>
      </c>
      <c r="F129" s="586" t="s">
        <v>336</v>
      </c>
      <c r="G129" s="586" t="s">
        <v>337</v>
      </c>
      <c r="H129" s="586" t="s">
        <v>337</v>
      </c>
      <c r="I129" s="586" t="s">
        <v>199</v>
      </c>
      <c r="J129" s="586" t="s">
        <v>199</v>
      </c>
    </row>
    <row r="130" spans="1:10" x14ac:dyDescent="0.25">
      <c r="A130" s="586" t="s">
        <v>27</v>
      </c>
      <c r="B130" s="586" t="s">
        <v>249</v>
      </c>
      <c r="C130" s="586" t="s">
        <v>253</v>
      </c>
      <c r="D130" s="586" t="s">
        <v>253</v>
      </c>
      <c r="E130" s="586" t="s">
        <v>254</v>
      </c>
      <c r="F130" s="586" t="s">
        <v>254</v>
      </c>
      <c r="G130" s="586" t="s">
        <v>83</v>
      </c>
      <c r="H130" s="586" t="s">
        <v>83</v>
      </c>
      <c r="I130" s="586" t="s">
        <v>243</v>
      </c>
      <c r="J130" s="586" t="s">
        <v>243</v>
      </c>
    </row>
    <row r="132" spans="1:10" x14ac:dyDescent="0.25">
      <c r="A132" s="584" t="s">
        <v>338</v>
      </c>
      <c r="B132" s="584" t="s">
        <v>338</v>
      </c>
      <c r="C132" s="584" t="s">
        <v>338</v>
      </c>
      <c r="D132" s="584" t="s">
        <v>338</v>
      </c>
      <c r="E132" s="584" t="s">
        <v>338</v>
      </c>
      <c r="F132" s="294"/>
      <c r="G132" s="294"/>
      <c r="H132" s="294"/>
      <c r="I132" s="294"/>
      <c r="J132" s="294"/>
    </row>
    <row r="133" spans="1:10" x14ac:dyDescent="0.25">
      <c r="A133" s="585" t="s">
        <v>0</v>
      </c>
      <c r="B133" s="585" t="s">
        <v>0</v>
      </c>
      <c r="C133" s="585" t="s">
        <v>1</v>
      </c>
      <c r="D133" s="585" t="s">
        <v>1</v>
      </c>
      <c r="E133" s="585" t="s">
        <v>2</v>
      </c>
      <c r="F133" s="585" t="s">
        <v>2</v>
      </c>
      <c r="G133" s="585" t="s">
        <v>196</v>
      </c>
      <c r="H133" s="585" t="s">
        <v>196</v>
      </c>
      <c r="I133" s="585" t="s">
        <v>3</v>
      </c>
      <c r="J133" s="585" t="s">
        <v>3</v>
      </c>
    </row>
    <row r="134" spans="1:10" x14ac:dyDescent="0.25">
      <c r="A134" s="589" t="s">
        <v>4</v>
      </c>
      <c r="B134" s="589" t="s">
        <v>4</v>
      </c>
      <c r="C134" s="589" t="s">
        <v>5</v>
      </c>
      <c r="D134" s="589" t="s">
        <v>5</v>
      </c>
      <c r="E134" s="589" t="s">
        <v>6</v>
      </c>
      <c r="F134" s="589" t="s">
        <v>6</v>
      </c>
      <c r="G134" s="589" t="s">
        <v>12</v>
      </c>
      <c r="H134" s="589" t="s">
        <v>12</v>
      </c>
      <c r="I134" s="589" t="s">
        <v>7</v>
      </c>
      <c r="J134" s="589" t="s">
        <v>7</v>
      </c>
    </row>
    <row r="135" spans="1:10" x14ac:dyDescent="0.25">
      <c r="A135" s="586" t="s">
        <v>4</v>
      </c>
      <c r="B135" s="586" t="s">
        <v>4</v>
      </c>
      <c r="C135" s="586" t="s">
        <v>226</v>
      </c>
      <c r="D135" s="586" t="s">
        <v>226</v>
      </c>
      <c r="E135" s="586" t="s">
        <v>256</v>
      </c>
      <c r="F135" s="586" t="s">
        <v>256</v>
      </c>
      <c r="G135" s="586" t="s">
        <v>197</v>
      </c>
      <c r="H135" s="586" t="s">
        <v>197</v>
      </c>
      <c r="I135" s="586" t="s">
        <v>198</v>
      </c>
      <c r="J135" s="586" t="s">
        <v>198</v>
      </c>
    </row>
    <row r="136" spans="1:10" x14ac:dyDescent="0.25">
      <c r="A136" s="586" t="s">
        <v>5</v>
      </c>
      <c r="B136" s="586" t="s">
        <v>6</v>
      </c>
      <c r="C136" s="586" t="s">
        <v>228</v>
      </c>
      <c r="D136" s="586" t="s">
        <v>228</v>
      </c>
      <c r="E136" s="586" t="s">
        <v>339</v>
      </c>
      <c r="F136" s="586" t="s">
        <v>339</v>
      </c>
      <c r="G136" s="586" t="s">
        <v>340</v>
      </c>
      <c r="H136" s="586" t="s">
        <v>340</v>
      </c>
      <c r="I136" s="586" t="s">
        <v>199</v>
      </c>
      <c r="J136" s="586" t="s">
        <v>199</v>
      </c>
    </row>
    <row r="137" spans="1:10" x14ac:dyDescent="0.25">
      <c r="A137" s="586" t="s">
        <v>6</v>
      </c>
      <c r="B137" s="586" t="s">
        <v>7</v>
      </c>
      <c r="C137" s="586" t="s">
        <v>231</v>
      </c>
      <c r="D137" s="586" t="s">
        <v>231</v>
      </c>
      <c r="E137" s="586" t="s">
        <v>341</v>
      </c>
      <c r="F137" s="586" t="s">
        <v>341</v>
      </c>
      <c r="G137" s="586" t="s">
        <v>305</v>
      </c>
      <c r="H137" s="586" t="s">
        <v>305</v>
      </c>
      <c r="I137" s="586" t="s">
        <v>199</v>
      </c>
      <c r="J137" s="586" t="s">
        <v>199</v>
      </c>
    </row>
    <row r="138" spans="1:10" x14ac:dyDescent="0.25">
      <c r="A138" s="586" t="s">
        <v>12</v>
      </c>
      <c r="B138" s="586" t="s">
        <v>168</v>
      </c>
      <c r="C138" s="586" t="s">
        <v>234</v>
      </c>
      <c r="D138" s="586" t="s">
        <v>234</v>
      </c>
      <c r="E138" s="586" t="s">
        <v>235</v>
      </c>
      <c r="F138" s="586" t="s">
        <v>235</v>
      </c>
      <c r="G138" s="586" t="s">
        <v>116</v>
      </c>
      <c r="H138" s="586" t="s">
        <v>116</v>
      </c>
      <c r="I138" s="586" t="s">
        <v>199</v>
      </c>
      <c r="J138" s="586" t="s">
        <v>199</v>
      </c>
    </row>
    <row r="139" spans="1:10" x14ac:dyDescent="0.25">
      <c r="A139" s="586" t="s">
        <v>7</v>
      </c>
      <c r="B139" s="586" t="s">
        <v>27</v>
      </c>
      <c r="C139" s="586" t="s">
        <v>237</v>
      </c>
      <c r="D139" s="586" t="s">
        <v>237</v>
      </c>
      <c r="E139" s="586" t="s">
        <v>342</v>
      </c>
      <c r="F139" s="586" t="s">
        <v>342</v>
      </c>
      <c r="G139" s="586" t="s">
        <v>78</v>
      </c>
      <c r="H139" s="586" t="s">
        <v>78</v>
      </c>
      <c r="I139" s="586" t="s">
        <v>199</v>
      </c>
      <c r="J139" s="586" t="s">
        <v>199</v>
      </c>
    </row>
    <row r="140" spans="1:10" x14ac:dyDescent="0.25">
      <c r="A140" s="586" t="s">
        <v>167</v>
      </c>
      <c r="B140" s="586" t="s">
        <v>264</v>
      </c>
      <c r="C140" s="586" t="s">
        <v>240</v>
      </c>
      <c r="D140" s="586" t="s">
        <v>240</v>
      </c>
      <c r="E140" s="586" t="s">
        <v>343</v>
      </c>
      <c r="F140" s="586" t="s">
        <v>343</v>
      </c>
      <c r="G140" s="586" t="s">
        <v>334</v>
      </c>
      <c r="H140" s="586" t="s">
        <v>334</v>
      </c>
      <c r="I140" s="586" t="s">
        <v>243</v>
      </c>
      <c r="J140" s="586" t="s">
        <v>243</v>
      </c>
    </row>
    <row r="141" spans="1:10" x14ac:dyDescent="0.25">
      <c r="A141" s="586" t="s">
        <v>168</v>
      </c>
      <c r="B141" s="586" t="s">
        <v>239</v>
      </c>
      <c r="C141" s="586" t="s">
        <v>245</v>
      </c>
      <c r="D141" s="586" t="s">
        <v>245</v>
      </c>
      <c r="E141" s="586" t="s">
        <v>344</v>
      </c>
      <c r="F141" s="586" t="s">
        <v>344</v>
      </c>
      <c r="G141" s="586" t="s">
        <v>345</v>
      </c>
      <c r="H141" s="586" t="s">
        <v>345</v>
      </c>
      <c r="I141" s="586" t="s">
        <v>248</v>
      </c>
      <c r="J141" s="586" t="s">
        <v>248</v>
      </c>
    </row>
    <row r="142" spans="1:10" x14ac:dyDescent="0.25">
      <c r="A142" s="586" t="s">
        <v>169</v>
      </c>
      <c r="B142" s="586" t="s">
        <v>269</v>
      </c>
      <c r="C142" s="586" t="s">
        <v>250</v>
      </c>
      <c r="D142" s="586" t="s">
        <v>250</v>
      </c>
      <c r="E142" s="586" t="s">
        <v>294</v>
      </c>
      <c r="F142" s="586" t="s">
        <v>294</v>
      </c>
      <c r="G142" s="586" t="s">
        <v>261</v>
      </c>
      <c r="H142" s="586" t="s">
        <v>261</v>
      </c>
      <c r="I142" s="586" t="s">
        <v>199</v>
      </c>
      <c r="J142" s="586" t="s">
        <v>199</v>
      </c>
    </row>
    <row r="143" spans="1:10" x14ac:dyDescent="0.25">
      <c r="A143" s="586" t="s">
        <v>27</v>
      </c>
      <c r="B143" s="586" t="s">
        <v>249</v>
      </c>
      <c r="C143" s="586" t="s">
        <v>253</v>
      </c>
      <c r="D143" s="586" t="s">
        <v>253</v>
      </c>
      <c r="E143" s="586" t="s">
        <v>254</v>
      </c>
      <c r="F143" s="586" t="s">
        <v>254</v>
      </c>
      <c r="G143" s="586" t="s">
        <v>83</v>
      </c>
      <c r="H143" s="586" t="s">
        <v>83</v>
      </c>
      <c r="I143" s="586" t="s">
        <v>243</v>
      </c>
      <c r="J143" s="586" t="s">
        <v>243</v>
      </c>
    </row>
    <row r="145" spans="1:10" x14ac:dyDescent="0.25">
      <c r="A145" s="584" t="s">
        <v>346</v>
      </c>
      <c r="B145" s="584" t="s">
        <v>346</v>
      </c>
      <c r="C145" s="584" t="s">
        <v>346</v>
      </c>
      <c r="D145" s="584" t="s">
        <v>346</v>
      </c>
      <c r="E145" s="584" t="s">
        <v>346</v>
      </c>
      <c r="F145" s="294"/>
      <c r="G145" s="294"/>
      <c r="H145" s="294"/>
      <c r="I145" s="294"/>
      <c r="J145" s="294"/>
    </row>
    <row r="146" spans="1:10" x14ac:dyDescent="0.25">
      <c r="A146" s="585" t="s">
        <v>0</v>
      </c>
      <c r="B146" s="585" t="s">
        <v>0</v>
      </c>
      <c r="C146" s="585" t="s">
        <v>1</v>
      </c>
      <c r="D146" s="585" t="s">
        <v>1</v>
      </c>
      <c r="E146" s="585" t="s">
        <v>2</v>
      </c>
      <c r="F146" s="585" t="s">
        <v>2</v>
      </c>
      <c r="G146" s="585" t="s">
        <v>196</v>
      </c>
      <c r="H146" s="585" t="s">
        <v>196</v>
      </c>
      <c r="I146" s="585" t="s">
        <v>3</v>
      </c>
      <c r="J146" s="585" t="s">
        <v>3</v>
      </c>
    </row>
    <row r="147" spans="1:10" x14ac:dyDescent="0.25">
      <c r="A147" s="589" t="s">
        <v>4</v>
      </c>
      <c r="B147" s="589" t="s">
        <v>4</v>
      </c>
      <c r="C147" s="589" t="s">
        <v>5</v>
      </c>
      <c r="D147" s="589" t="s">
        <v>5</v>
      </c>
      <c r="E147" s="589" t="s">
        <v>6</v>
      </c>
      <c r="F147" s="589" t="s">
        <v>6</v>
      </c>
      <c r="G147" s="589" t="s">
        <v>12</v>
      </c>
      <c r="H147" s="589" t="s">
        <v>12</v>
      </c>
      <c r="I147" s="589" t="s">
        <v>7</v>
      </c>
      <c r="J147" s="589" t="s">
        <v>7</v>
      </c>
    </row>
    <row r="148" spans="1:10" x14ac:dyDescent="0.25">
      <c r="A148" s="586" t="s">
        <v>4</v>
      </c>
      <c r="B148" s="586" t="s">
        <v>4</v>
      </c>
      <c r="C148" s="586" t="s">
        <v>226</v>
      </c>
      <c r="D148" s="586" t="s">
        <v>226</v>
      </c>
      <c r="E148" s="586" t="s">
        <v>328</v>
      </c>
      <c r="F148" s="586" t="s">
        <v>328</v>
      </c>
      <c r="G148" s="586" t="s">
        <v>197</v>
      </c>
      <c r="H148" s="586" t="s">
        <v>197</v>
      </c>
      <c r="I148" s="586" t="s">
        <v>198</v>
      </c>
      <c r="J148" s="586" t="s">
        <v>198</v>
      </c>
    </row>
    <row r="149" spans="1:10" x14ac:dyDescent="0.25">
      <c r="A149" s="586" t="s">
        <v>5</v>
      </c>
      <c r="B149" s="586" t="s">
        <v>6</v>
      </c>
      <c r="C149" s="586" t="s">
        <v>228</v>
      </c>
      <c r="D149" s="586" t="s">
        <v>228</v>
      </c>
      <c r="E149" s="586" t="s">
        <v>229</v>
      </c>
      <c r="F149" s="586" t="s">
        <v>229</v>
      </c>
      <c r="G149" s="586" t="s">
        <v>230</v>
      </c>
      <c r="H149" s="586" t="s">
        <v>230</v>
      </c>
      <c r="I149" s="586" t="s">
        <v>199</v>
      </c>
      <c r="J149" s="586" t="s">
        <v>199</v>
      </c>
    </row>
    <row r="150" spans="1:10" x14ac:dyDescent="0.25">
      <c r="A150" s="586" t="s">
        <v>6</v>
      </c>
      <c r="B150" s="586" t="s">
        <v>7</v>
      </c>
      <c r="C150" s="586" t="s">
        <v>231</v>
      </c>
      <c r="D150" s="586" t="s">
        <v>231</v>
      </c>
      <c r="E150" s="586" t="s">
        <v>215</v>
      </c>
      <c r="F150" s="586" t="s">
        <v>215</v>
      </c>
      <c r="G150" s="586" t="s">
        <v>347</v>
      </c>
      <c r="H150" s="586" t="s">
        <v>347</v>
      </c>
      <c r="I150" s="586" t="s">
        <v>199</v>
      </c>
      <c r="J150" s="586" t="s">
        <v>199</v>
      </c>
    </row>
    <row r="151" spans="1:10" x14ac:dyDescent="0.25">
      <c r="A151" s="586" t="s">
        <v>12</v>
      </c>
      <c r="B151" s="586" t="s">
        <v>168</v>
      </c>
      <c r="C151" s="586" t="s">
        <v>234</v>
      </c>
      <c r="D151" s="586" t="s">
        <v>234</v>
      </c>
      <c r="E151" s="586" t="s">
        <v>348</v>
      </c>
      <c r="F151" s="586" t="s">
        <v>348</v>
      </c>
      <c r="G151" s="586" t="s">
        <v>261</v>
      </c>
      <c r="H151" s="586" t="s">
        <v>261</v>
      </c>
      <c r="I151" s="586" t="s">
        <v>199</v>
      </c>
      <c r="J151" s="586" t="s">
        <v>199</v>
      </c>
    </row>
    <row r="152" spans="1:10" x14ac:dyDescent="0.25">
      <c r="A152" s="586" t="s">
        <v>7</v>
      </c>
      <c r="B152" s="586" t="s">
        <v>27</v>
      </c>
      <c r="C152" s="586" t="s">
        <v>237</v>
      </c>
      <c r="D152" s="586" t="s">
        <v>237</v>
      </c>
      <c r="E152" s="586" t="s">
        <v>238</v>
      </c>
      <c r="F152" s="586" t="s">
        <v>238</v>
      </c>
      <c r="G152" s="586" t="s">
        <v>83</v>
      </c>
      <c r="H152" s="586" t="s">
        <v>83</v>
      </c>
      <c r="I152" s="586" t="s">
        <v>199</v>
      </c>
      <c r="J152" s="586" t="s">
        <v>199</v>
      </c>
    </row>
    <row r="153" spans="1:10" x14ac:dyDescent="0.25">
      <c r="A153" s="586" t="s">
        <v>167</v>
      </c>
      <c r="B153" s="586" t="s">
        <v>264</v>
      </c>
      <c r="C153" s="586" t="s">
        <v>240</v>
      </c>
      <c r="D153" s="586" t="s">
        <v>240</v>
      </c>
      <c r="E153" s="586" t="s">
        <v>210</v>
      </c>
      <c r="F153" s="586" t="s">
        <v>210</v>
      </c>
      <c r="G153" s="586" t="s">
        <v>334</v>
      </c>
      <c r="H153" s="586" t="s">
        <v>334</v>
      </c>
      <c r="I153" s="586" t="s">
        <v>243</v>
      </c>
      <c r="J153" s="586" t="s">
        <v>243</v>
      </c>
    </row>
    <row r="154" spans="1:10" x14ac:dyDescent="0.25">
      <c r="A154" s="586" t="s">
        <v>168</v>
      </c>
      <c r="B154" s="586" t="s">
        <v>239</v>
      </c>
      <c r="C154" s="586" t="s">
        <v>245</v>
      </c>
      <c r="D154" s="586" t="s">
        <v>245</v>
      </c>
      <c r="E154" s="586" t="s">
        <v>321</v>
      </c>
      <c r="F154" s="586" t="s">
        <v>321</v>
      </c>
      <c r="G154" s="586" t="s">
        <v>279</v>
      </c>
      <c r="H154" s="586" t="s">
        <v>279</v>
      </c>
      <c r="I154" s="586" t="s">
        <v>248</v>
      </c>
      <c r="J154" s="586" t="s">
        <v>248</v>
      </c>
    </row>
    <row r="155" spans="1:10" x14ac:dyDescent="0.25">
      <c r="A155" s="586" t="s">
        <v>169</v>
      </c>
      <c r="B155" s="586" t="s">
        <v>269</v>
      </c>
      <c r="C155" s="586" t="s">
        <v>250</v>
      </c>
      <c r="D155" s="586" t="s">
        <v>250</v>
      </c>
      <c r="E155" s="586" t="s">
        <v>349</v>
      </c>
      <c r="F155" s="586" t="s">
        <v>349</v>
      </c>
      <c r="G155" s="586" t="s">
        <v>337</v>
      </c>
      <c r="H155" s="586" t="s">
        <v>337</v>
      </c>
      <c r="I155" s="586" t="s">
        <v>199</v>
      </c>
      <c r="J155" s="586" t="s">
        <v>199</v>
      </c>
    </row>
    <row r="156" spans="1:10" x14ac:dyDescent="0.25">
      <c r="A156" s="586" t="s">
        <v>27</v>
      </c>
      <c r="B156" s="586" t="s">
        <v>249</v>
      </c>
      <c r="C156" s="586" t="s">
        <v>253</v>
      </c>
      <c r="D156" s="586" t="s">
        <v>253</v>
      </c>
      <c r="E156" s="586" t="s">
        <v>254</v>
      </c>
      <c r="F156" s="586" t="s">
        <v>254</v>
      </c>
      <c r="G156" s="586" t="s">
        <v>83</v>
      </c>
      <c r="H156" s="586" t="s">
        <v>83</v>
      </c>
      <c r="I156" s="586" t="s">
        <v>243</v>
      </c>
      <c r="J156" s="586" t="s">
        <v>243</v>
      </c>
    </row>
    <row r="158" spans="1:10" x14ac:dyDescent="0.25">
      <c r="A158" s="584" t="s">
        <v>350</v>
      </c>
      <c r="B158" s="584" t="s">
        <v>350</v>
      </c>
      <c r="C158" s="584" t="s">
        <v>350</v>
      </c>
      <c r="D158" s="584" t="s">
        <v>350</v>
      </c>
      <c r="E158" s="584" t="s">
        <v>350</v>
      </c>
      <c r="F158" s="294"/>
      <c r="G158" s="294"/>
      <c r="H158" s="294"/>
      <c r="I158" s="294"/>
      <c r="J158" s="294"/>
    </row>
    <row r="159" spans="1:10" x14ac:dyDescent="0.25">
      <c r="A159" s="585" t="s">
        <v>0</v>
      </c>
      <c r="B159" s="585" t="s">
        <v>0</v>
      </c>
      <c r="C159" s="585" t="s">
        <v>1</v>
      </c>
      <c r="D159" s="585" t="s">
        <v>1</v>
      </c>
      <c r="E159" s="585" t="s">
        <v>2</v>
      </c>
      <c r="F159" s="585" t="s">
        <v>2</v>
      </c>
      <c r="G159" s="585" t="s">
        <v>196</v>
      </c>
      <c r="H159" s="585" t="s">
        <v>196</v>
      </c>
      <c r="I159" s="585" t="s">
        <v>3</v>
      </c>
      <c r="J159" s="585" t="s">
        <v>3</v>
      </c>
    </row>
    <row r="160" spans="1:10" x14ac:dyDescent="0.25">
      <c r="A160" s="589" t="s">
        <v>4</v>
      </c>
      <c r="B160" s="589" t="s">
        <v>4</v>
      </c>
      <c r="C160" s="589" t="s">
        <v>5</v>
      </c>
      <c r="D160" s="589" t="s">
        <v>5</v>
      </c>
      <c r="E160" s="589" t="s">
        <v>6</v>
      </c>
      <c r="F160" s="589" t="s">
        <v>6</v>
      </c>
      <c r="G160" s="589" t="s">
        <v>12</v>
      </c>
      <c r="H160" s="589" t="s">
        <v>12</v>
      </c>
      <c r="I160" s="589" t="s">
        <v>7</v>
      </c>
      <c r="J160" s="589" t="s">
        <v>7</v>
      </c>
    </row>
    <row r="161" spans="1:10" x14ac:dyDescent="0.25">
      <c r="A161" s="586" t="s">
        <v>4</v>
      </c>
      <c r="B161" s="586" t="s">
        <v>4</v>
      </c>
      <c r="C161" s="586" t="s">
        <v>226</v>
      </c>
      <c r="D161" s="586" t="s">
        <v>226</v>
      </c>
      <c r="E161" s="586" t="s">
        <v>351</v>
      </c>
      <c r="F161" s="586" t="s">
        <v>351</v>
      </c>
      <c r="G161" s="586" t="s">
        <v>197</v>
      </c>
      <c r="H161" s="586" t="s">
        <v>197</v>
      </c>
      <c r="I161" s="586" t="s">
        <v>198</v>
      </c>
      <c r="J161" s="586" t="s">
        <v>198</v>
      </c>
    </row>
    <row r="162" spans="1:10" x14ac:dyDescent="0.25">
      <c r="A162" s="586" t="s">
        <v>5</v>
      </c>
      <c r="B162" s="586" t="s">
        <v>6</v>
      </c>
      <c r="C162" s="586" t="s">
        <v>228</v>
      </c>
      <c r="D162" s="586" t="s">
        <v>228</v>
      </c>
      <c r="E162" s="586" t="s">
        <v>352</v>
      </c>
      <c r="F162" s="586" t="s">
        <v>352</v>
      </c>
      <c r="G162" s="586" t="s">
        <v>353</v>
      </c>
      <c r="H162" s="586" t="s">
        <v>353</v>
      </c>
      <c r="I162" s="586" t="s">
        <v>199</v>
      </c>
      <c r="J162" s="586" t="s">
        <v>199</v>
      </c>
    </row>
    <row r="163" spans="1:10" x14ac:dyDescent="0.25">
      <c r="A163" s="586" t="s">
        <v>6</v>
      </c>
      <c r="B163" s="586" t="s">
        <v>7</v>
      </c>
      <c r="C163" s="586" t="s">
        <v>231</v>
      </c>
      <c r="D163" s="586" t="s">
        <v>231</v>
      </c>
      <c r="E163" s="586" t="s">
        <v>354</v>
      </c>
      <c r="F163" s="586" t="s">
        <v>354</v>
      </c>
      <c r="G163" s="586" t="s">
        <v>355</v>
      </c>
      <c r="H163" s="586" t="s">
        <v>355</v>
      </c>
      <c r="I163" s="586" t="s">
        <v>199</v>
      </c>
      <c r="J163" s="586" t="s">
        <v>199</v>
      </c>
    </row>
    <row r="164" spans="1:10" x14ac:dyDescent="0.25">
      <c r="A164" s="586" t="s">
        <v>12</v>
      </c>
      <c r="B164" s="586" t="s">
        <v>168</v>
      </c>
      <c r="C164" s="586" t="s">
        <v>234</v>
      </c>
      <c r="D164" s="586" t="s">
        <v>234</v>
      </c>
      <c r="E164" s="586" t="s">
        <v>356</v>
      </c>
      <c r="F164" s="586" t="s">
        <v>356</v>
      </c>
      <c r="G164" s="586" t="s">
        <v>357</v>
      </c>
      <c r="H164" s="586" t="s">
        <v>357</v>
      </c>
      <c r="I164" s="586" t="s">
        <v>199</v>
      </c>
      <c r="J164" s="586" t="s">
        <v>199</v>
      </c>
    </row>
    <row r="165" spans="1:10" x14ac:dyDescent="0.25">
      <c r="A165" s="586" t="s">
        <v>7</v>
      </c>
      <c r="B165" s="586" t="s">
        <v>27</v>
      </c>
      <c r="C165" s="586" t="s">
        <v>237</v>
      </c>
      <c r="D165" s="586" t="s">
        <v>237</v>
      </c>
      <c r="E165" s="586" t="s">
        <v>238</v>
      </c>
      <c r="F165" s="586" t="s">
        <v>238</v>
      </c>
      <c r="G165" s="586" t="s">
        <v>83</v>
      </c>
      <c r="H165" s="586" t="s">
        <v>83</v>
      </c>
      <c r="I165" s="586" t="s">
        <v>199</v>
      </c>
      <c r="J165" s="586" t="s">
        <v>199</v>
      </c>
    </row>
    <row r="166" spans="1:10" x14ac:dyDescent="0.25">
      <c r="A166" s="586" t="s">
        <v>167</v>
      </c>
      <c r="B166" s="586" t="s">
        <v>264</v>
      </c>
      <c r="C166" s="586" t="s">
        <v>240</v>
      </c>
      <c r="D166" s="586" t="s">
        <v>240</v>
      </c>
      <c r="E166" s="586" t="s">
        <v>358</v>
      </c>
      <c r="F166" s="586" t="s">
        <v>358</v>
      </c>
      <c r="G166" s="586" t="s">
        <v>233</v>
      </c>
      <c r="H166" s="586" t="s">
        <v>233</v>
      </c>
      <c r="I166" s="586" t="s">
        <v>243</v>
      </c>
      <c r="J166" s="586" t="s">
        <v>243</v>
      </c>
    </row>
    <row r="167" spans="1:10" x14ac:dyDescent="0.25">
      <c r="A167" s="586" t="s">
        <v>168</v>
      </c>
      <c r="B167" s="586" t="s">
        <v>239</v>
      </c>
      <c r="C167" s="586" t="s">
        <v>245</v>
      </c>
      <c r="D167" s="586" t="s">
        <v>245</v>
      </c>
      <c r="E167" s="586" t="s">
        <v>359</v>
      </c>
      <c r="F167" s="586" t="s">
        <v>359</v>
      </c>
      <c r="G167" s="586" t="s">
        <v>360</v>
      </c>
      <c r="H167" s="586" t="s">
        <v>360</v>
      </c>
      <c r="I167" s="586" t="s">
        <v>248</v>
      </c>
      <c r="J167" s="586" t="s">
        <v>248</v>
      </c>
    </row>
    <row r="168" spans="1:10" x14ac:dyDescent="0.25">
      <c r="A168" s="586" t="s">
        <v>169</v>
      </c>
      <c r="B168" s="586" t="s">
        <v>269</v>
      </c>
      <c r="C168" s="586" t="s">
        <v>250</v>
      </c>
      <c r="D168" s="586" t="s">
        <v>250</v>
      </c>
      <c r="E168" s="586" t="s">
        <v>361</v>
      </c>
      <c r="F168" s="586" t="s">
        <v>361</v>
      </c>
      <c r="G168" s="586" t="s">
        <v>337</v>
      </c>
      <c r="H168" s="586" t="s">
        <v>337</v>
      </c>
      <c r="I168" s="586" t="s">
        <v>199</v>
      </c>
      <c r="J168" s="586" t="s">
        <v>199</v>
      </c>
    </row>
    <row r="169" spans="1:10" x14ac:dyDescent="0.25">
      <c r="A169" s="586" t="s">
        <v>27</v>
      </c>
      <c r="B169" s="586" t="s">
        <v>249</v>
      </c>
      <c r="C169" s="586" t="s">
        <v>253</v>
      </c>
      <c r="D169" s="586" t="s">
        <v>253</v>
      </c>
      <c r="E169" s="586" t="s">
        <v>254</v>
      </c>
      <c r="F169" s="586" t="s">
        <v>254</v>
      </c>
      <c r="G169" s="586" t="s">
        <v>83</v>
      </c>
      <c r="H169" s="586" t="s">
        <v>83</v>
      </c>
      <c r="I169" s="586" t="s">
        <v>243</v>
      </c>
      <c r="J169" s="586" t="s">
        <v>243</v>
      </c>
    </row>
    <row r="171" spans="1:10" x14ac:dyDescent="0.25">
      <c r="A171" s="584" t="s">
        <v>362</v>
      </c>
      <c r="B171" s="584" t="s">
        <v>362</v>
      </c>
      <c r="C171" s="584" t="s">
        <v>362</v>
      </c>
      <c r="D171" s="584" t="s">
        <v>362</v>
      </c>
      <c r="E171" s="584" t="s">
        <v>362</v>
      </c>
      <c r="F171" s="294"/>
      <c r="G171" s="294"/>
      <c r="H171" s="294"/>
      <c r="I171" s="294"/>
      <c r="J171" s="294"/>
    </row>
    <row r="172" spans="1:10" x14ac:dyDescent="0.25">
      <c r="A172" s="585" t="s">
        <v>0</v>
      </c>
      <c r="B172" s="585" t="s">
        <v>0</v>
      </c>
      <c r="C172" s="585" t="s">
        <v>1</v>
      </c>
      <c r="D172" s="585" t="s">
        <v>1</v>
      </c>
      <c r="E172" s="585" t="s">
        <v>2</v>
      </c>
      <c r="F172" s="585" t="s">
        <v>2</v>
      </c>
      <c r="G172" s="585" t="s">
        <v>196</v>
      </c>
      <c r="H172" s="585" t="s">
        <v>196</v>
      </c>
      <c r="I172" s="585" t="s">
        <v>3</v>
      </c>
      <c r="J172" s="585" t="s">
        <v>3</v>
      </c>
    </row>
    <row r="173" spans="1:10" x14ac:dyDescent="0.25">
      <c r="A173" s="589" t="s">
        <v>4</v>
      </c>
      <c r="B173" s="589" t="s">
        <v>4</v>
      </c>
      <c r="C173" s="589" t="s">
        <v>5</v>
      </c>
      <c r="D173" s="589" t="s">
        <v>5</v>
      </c>
      <c r="E173" s="589" t="s">
        <v>6</v>
      </c>
      <c r="F173" s="589" t="s">
        <v>6</v>
      </c>
      <c r="G173" s="589" t="s">
        <v>12</v>
      </c>
      <c r="H173" s="589" t="s">
        <v>12</v>
      </c>
      <c r="I173" s="589" t="s">
        <v>7</v>
      </c>
      <c r="J173" s="589" t="s">
        <v>7</v>
      </c>
    </row>
    <row r="174" spans="1:10" x14ac:dyDescent="0.25">
      <c r="A174" s="586" t="s">
        <v>4</v>
      </c>
      <c r="B174" s="586" t="s">
        <v>4</v>
      </c>
      <c r="C174" s="586" t="s">
        <v>226</v>
      </c>
      <c r="D174" s="586" t="s">
        <v>226</v>
      </c>
      <c r="E174" s="586" t="s">
        <v>351</v>
      </c>
      <c r="F174" s="586" t="s">
        <v>351</v>
      </c>
      <c r="G174" s="586" t="s">
        <v>197</v>
      </c>
      <c r="H174" s="586" t="s">
        <v>197</v>
      </c>
      <c r="I174" s="586" t="s">
        <v>198</v>
      </c>
      <c r="J174" s="586" t="s">
        <v>198</v>
      </c>
    </row>
    <row r="175" spans="1:10" x14ac:dyDescent="0.25">
      <c r="A175" s="586" t="s">
        <v>5</v>
      </c>
      <c r="B175" s="586" t="s">
        <v>6</v>
      </c>
      <c r="C175" s="586" t="s">
        <v>228</v>
      </c>
      <c r="D175" s="586" t="s">
        <v>228</v>
      </c>
      <c r="E175" s="586" t="s">
        <v>363</v>
      </c>
      <c r="F175" s="586" t="s">
        <v>363</v>
      </c>
      <c r="G175" s="586" t="s">
        <v>340</v>
      </c>
      <c r="H175" s="586" t="s">
        <v>340</v>
      </c>
      <c r="I175" s="586" t="s">
        <v>199</v>
      </c>
      <c r="J175" s="586" t="s">
        <v>199</v>
      </c>
    </row>
    <row r="176" spans="1:10" x14ac:dyDescent="0.25">
      <c r="A176" s="586" t="s">
        <v>6</v>
      </c>
      <c r="B176" s="586" t="s">
        <v>7</v>
      </c>
      <c r="C176" s="586" t="s">
        <v>231</v>
      </c>
      <c r="D176" s="586" t="s">
        <v>231</v>
      </c>
      <c r="E176" s="586" t="s">
        <v>364</v>
      </c>
      <c r="F176" s="586" t="s">
        <v>364</v>
      </c>
      <c r="G176" s="586" t="s">
        <v>64</v>
      </c>
      <c r="H176" s="586" t="s">
        <v>64</v>
      </c>
      <c r="I176" s="586" t="s">
        <v>199</v>
      </c>
      <c r="J176" s="586" t="s">
        <v>199</v>
      </c>
    </row>
    <row r="177" spans="1:10" x14ac:dyDescent="0.25">
      <c r="A177" s="586" t="s">
        <v>12</v>
      </c>
      <c r="B177" s="586" t="s">
        <v>168</v>
      </c>
      <c r="C177" s="586" t="s">
        <v>234</v>
      </c>
      <c r="D177" s="586" t="s">
        <v>234</v>
      </c>
      <c r="E177" s="586" t="s">
        <v>365</v>
      </c>
      <c r="F177" s="586" t="s">
        <v>365</v>
      </c>
      <c r="G177" s="586" t="s">
        <v>337</v>
      </c>
      <c r="H177" s="586" t="s">
        <v>337</v>
      </c>
      <c r="I177" s="586" t="s">
        <v>199</v>
      </c>
      <c r="J177" s="586" t="s">
        <v>199</v>
      </c>
    </row>
    <row r="178" spans="1:10" x14ac:dyDescent="0.25">
      <c r="A178" s="586" t="s">
        <v>7</v>
      </c>
      <c r="B178" s="586" t="s">
        <v>27</v>
      </c>
      <c r="C178" s="586" t="s">
        <v>237</v>
      </c>
      <c r="D178" s="586" t="s">
        <v>237</v>
      </c>
      <c r="E178" s="586" t="s">
        <v>79</v>
      </c>
      <c r="F178" s="586" t="s">
        <v>79</v>
      </c>
      <c r="G178" s="586" t="s">
        <v>78</v>
      </c>
      <c r="H178" s="586" t="s">
        <v>78</v>
      </c>
      <c r="I178" s="586" t="s">
        <v>199</v>
      </c>
      <c r="J178" s="586" t="s">
        <v>199</v>
      </c>
    </row>
    <row r="179" spans="1:10" x14ac:dyDescent="0.25">
      <c r="A179" s="586" t="s">
        <v>167</v>
      </c>
      <c r="B179" s="586" t="s">
        <v>264</v>
      </c>
      <c r="C179" s="586" t="s">
        <v>240</v>
      </c>
      <c r="D179" s="586" t="s">
        <v>240</v>
      </c>
      <c r="E179" s="586" t="s">
        <v>295</v>
      </c>
      <c r="F179" s="586" t="s">
        <v>295</v>
      </c>
      <c r="G179" s="586" t="s">
        <v>242</v>
      </c>
      <c r="H179" s="586" t="s">
        <v>242</v>
      </c>
      <c r="I179" s="586" t="s">
        <v>243</v>
      </c>
      <c r="J179" s="586" t="s">
        <v>243</v>
      </c>
    </row>
    <row r="180" spans="1:10" x14ac:dyDescent="0.25">
      <c r="A180" s="586" t="s">
        <v>168</v>
      </c>
      <c r="B180" s="586" t="s">
        <v>239</v>
      </c>
      <c r="C180" s="586" t="s">
        <v>245</v>
      </c>
      <c r="D180" s="586" t="s">
        <v>245</v>
      </c>
      <c r="E180" s="586" t="s">
        <v>366</v>
      </c>
      <c r="F180" s="586" t="s">
        <v>366</v>
      </c>
      <c r="G180" s="586" t="s">
        <v>367</v>
      </c>
      <c r="H180" s="586" t="s">
        <v>367</v>
      </c>
      <c r="I180" s="586" t="s">
        <v>248</v>
      </c>
      <c r="J180" s="586" t="s">
        <v>248</v>
      </c>
    </row>
    <row r="181" spans="1:10" x14ac:dyDescent="0.25">
      <c r="A181" s="586" t="s">
        <v>169</v>
      </c>
      <c r="B181" s="586" t="s">
        <v>269</v>
      </c>
      <c r="C181" s="586" t="s">
        <v>250</v>
      </c>
      <c r="D181" s="586" t="s">
        <v>250</v>
      </c>
      <c r="E181" s="586" t="s">
        <v>368</v>
      </c>
      <c r="F181" s="586" t="s">
        <v>368</v>
      </c>
      <c r="G181" s="586" t="s">
        <v>357</v>
      </c>
      <c r="H181" s="586" t="s">
        <v>357</v>
      </c>
      <c r="I181" s="586" t="s">
        <v>199</v>
      </c>
      <c r="J181" s="586" t="s">
        <v>199</v>
      </c>
    </row>
    <row r="182" spans="1:10" x14ac:dyDescent="0.25">
      <c r="A182" s="586" t="s">
        <v>27</v>
      </c>
      <c r="B182" s="586" t="s">
        <v>249</v>
      </c>
      <c r="C182" s="586" t="s">
        <v>253</v>
      </c>
      <c r="D182" s="586" t="s">
        <v>253</v>
      </c>
      <c r="E182" s="586" t="s">
        <v>254</v>
      </c>
      <c r="F182" s="586" t="s">
        <v>254</v>
      </c>
      <c r="G182" s="586" t="s">
        <v>83</v>
      </c>
      <c r="H182" s="586" t="s">
        <v>83</v>
      </c>
      <c r="I182" s="586" t="s">
        <v>243</v>
      </c>
      <c r="J182" s="586" t="s">
        <v>243</v>
      </c>
    </row>
    <row r="184" spans="1:10" x14ac:dyDescent="0.25">
      <c r="A184" s="584" t="s">
        <v>369</v>
      </c>
      <c r="B184" s="584" t="s">
        <v>369</v>
      </c>
      <c r="C184" s="584" t="s">
        <v>369</v>
      </c>
      <c r="D184" s="584" t="s">
        <v>369</v>
      </c>
      <c r="E184" s="584" t="s">
        <v>369</v>
      </c>
      <c r="F184" s="294"/>
      <c r="G184" s="294"/>
      <c r="H184" s="294"/>
      <c r="I184" s="294"/>
      <c r="J184" s="294"/>
    </row>
    <row r="185" spans="1:10" x14ac:dyDescent="0.25">
      <c r="A185" s="585" t="s">
        <v>0</v>
      </c>
      <c r="B185" s="585" t="s">
        <v>0</v>
      </c>
      <c r="C185" s="585" t="s">
        <v>1</v>
      </c>
      <c r="D185" s="585" t="s">
        <v>1</v>
      </c>
      <c r="E185" s="585" t="s">
        <v>2</v>
      </c>
      <c r="F185" s="585" t="s">
        <v>2</v>
      </c>
      <c r="G185" s="585" t="s">
        <v>196</v>
      </c>
      <c r="H185" s="585" t="s">
        <v>196</v>
      </c>
      <c r="I185" s="585" t="s">
        <v>3</v>
      </c>
      <c r="J185" s="585" t="s">
        <v>3</v>
      </c>
    </row>
    <row r="186" spans="1:10" x14ac:dyDescent="0.25">
      <c r="A186" s="589" t="s">
        <v>4</v>
      </c>
      <c r="B186" s="589" t="s">
        <v>4</v>
      </c>
      <c r="C186" s="589" t="s">
        <v>5</v>
      </c>
      <c r="D186" s="589" t="s">
        <v>5</v>
      </c>
      <c r="E186" s="589" t="s">
        <v>6</v>
      </c>
      <c r="F186" s="589" t="s">
        <v>6</v>
      </c>
      <c r="G186" s="589" t="s">
        <v>12</v>
      </c>
      <c r="H186" s="589" t="s">
        <v>12</v>
      </c>
      <c r="I186" s="589" t="s">
        <v>7</v>
      </c>
      <c r="J186" s="589" t="s">
        <v>7</v>
      </c>
    </row>
    <row r="187" spans="1:10" x14ac:dyDescent="0.25">
      <c r="A187" s="586" t="s">
        <v>4</v>
      </c>
      <c r="B187" s="586" t="s">
        <v>4</v>
      </c>
      <c r="C187" s="586" t="s">
        <v>226</v>
      </c>
      <c r="D187" s="586" t="s">
        <v>226</v>
      </c>
      <c r="E187" s="586" t="s">
        <v>351</v>
      </c>
      <c r="F187" s="586" t="s">
        <v>351</v>
      </c>
      <c r="G187" s="586" t="s">
        <v>197</v>
      </c>
      <c r="H187" s="586" t="s">
        <v>197</v>
      </c>
      <c r="I187" s="586" t="s">
        <v>198</v>
      </c>
      <c r="J187" s="586" t="s">
        <v>198</v>
      </c>
    </row>
    <row r="188" spans="1:10" x14ac:dyDescent="0.25">
      <c r="A188" s="586" t="s">
        <v>5</v>
      </c>
      <c r="B188" s="586" t="s">
        <v>6</v>
      </c>
      <c r="C188" s="586" t="s">
        <v>228</v>
      </c>
      <c r="D188" s="586" t="s">
        <v>228</v>
      </c>
      <c r="E188" s="586" t="s">
        <v>281</v>
      </c>
      <c r="F188" s="586" t="s">
        <v>281</v>
      </c>
      <c r="G188" s="586" t="s">
        <v>282</v>
      </c>
      <c r="H188" s="586" t="s">
        <v>282</v>
      </c>
      <c r="I188" s="586" t="s">
        <v>199</v>
      </c>
      <c r="J188" s="586" t="s">
        <v>199</v>
      </c>
    </row>
    <row r="189" spans="1:10" x14ac:dyDescent="0.25">
      <c r="A189" s="586" t="s">
        <v>6</v>
      </c>
      <c r="B189" s="586" t="s">
        <v>7</v>
      </c>
      <c r="C189" s="586" t="s">
        <v>231</v>
      </c>
      <c r="D189" s="586" t="s">
        <v>231</v>
      </c>
      <c r="E189" s="586" t="s">
        <v>370</v>
      </c>
      <c r="F189" s="586" t="s">
        <v>370</v>
      </c>
      <c r="G189" s="586" t="s">
        <v>83</v>
      </c>
      <c r="H189" s="586" t="s">
        <v>83</v>
      </c>
      <c r="I189" s="586" t="s">
        <v>199</v>
      </c>
      <c r="J189" s="586" t="s">
        <v>199</v>
      </c>
    </row>
    <row r="190" spans="1:10" x14ac:dyDescent="0.25">
      <c r="A190" s="586" t="s">
        <v>12</v>
      </c>
      <c r="B190" s="586" t="s">
        <v>168</v>
      </c>
      <c r="C190" s="586" t="s">
        <v>234</v>
      </c>
      <c r="D190" s="586" t="s">
        <v>234</v>
      </c>
      <c r="E190" s="586" t="s">
        <v>371</v>
      </c>
      <c r="F190" s="586" t="s">
        <v>371</v>
      </c>
      <c r="G190" s="586" t="s">
        <v>116</v>
      </c>
      <c r="H190" s="586" t="s">
        <v>116</v>
      </c>
      <c r="I190" s="586" t="s">
        <v>199</v>
      </c>
      <c r="J190" s="586" t="s">
        <v>199</v>
      </c>
    </row>
    <row r="191" spans="1:10" x14ac:dyDescent="0.25">
      <c r="A191" s="586" t="s">
        <v>7</v>
      </c>
      <c r="B191" s="586" t="s">
        <v>27</v>
      </c>
      <c r="C191" s="586" t="s">
        <v>237</v>
      </c>
      <c r="D191" s="586" t="s">
        <v>237</v>
      </c>
      <c r="E191" s="586" t="s">
        <v>372</v>
      </c>
      <c r="F191" s="586" t="s">
        <v>372</v>
      </c>
      <c r="G191" s="586" t="s">
        <v>64</v>
      </c>
      <c r="H191" s="586" t="s">
        <v>64</v>
      </c>
      <c r="I191" s="586" t="s">
        <v>199</v>
      </c>
      <c r="J191" s="586" t="s">
        <v>199</v>
      </c>
    </row>
    <row r="192" spans="1:10" x14ac:dyDescent="0.25">
      <c r="A192" s="586" t="s">
        <v>167</v>
      </c>
      <c r="B192" s="586" t="s">
        <v>264</v>
      </c>
      <c r="C192" s="586" t="s">
        <v>240</v>
      </c>
      <c r="D192" s="586" t="s">
        <v>240</v>
      </c>
      <c r="E192" s="586" t="s">
        <v>300</v>
      </c>
      <c r="F192" s="586" t="s">
        <v>300</v>
      </c>
      <c r="G192" s="586" t="s">
        <v>266</v>
      </c>
      <c r="H192" s="586" t="s">
        <v>266</v>
      </c>
      <c r="I192" s="586" t="s">
        <v>243</v>
      </c>
      <c r="J192" s="586" t="s">
        <v>243</v>
      </c>
    </row>
    <row r="193" spans="1:10" x14ac:dyDescent="0.25">
      <c r="A193" s="586" t="s">
        <v>168</v>
      </c>
      <c r="B193" s="586" t="s">
        <v>239</v>
      </c>
      <c r="C193" s="586" t="s">
        <v>245</v>
      </c>
      <c r="D193" s="586" t="s">
        <v>245</v>
      </c>
      <c r="E193" s="586" t="s">
        <v>373</v>
      </c>
      <c r="F193" s="586" t="s">
        <v>373</v>
      </c>
      <c r="G193" s="586" t="s">
        <v>345</v>
      </c>
      <c r="H193" s="586" t="s">
        <v>345</v>
      </c>
      <c r="I193" s="586" t="s">
        <v>248</v>
      </c>
      <c r="J193" s="586" t="s">
        <v>248</v>
      </c>
    </row>
    <row r="194" spans="1:10" x14ac:dyDescent="0.25">
      <c r="A194" s="586" t="s">
        <v>169</v>
      </c>
      <c r="B194" s="586" t="s">
        <v>269</v>
      </c>
      <c r="C194" s="586" t="s">
        <v>250</v>
      </c>
      <c r="D194" s="586" t="s">
        <v>250</v>
      </c>
      <c r="E194" s="586" t="s">
        <v>274</v>
      </c>
      <c r="F194" s="586" t="s">
        <v>274</v>
      </c>
      <c r="G194" s="586" t="s">
        <v>116</v>
      </c>
      <c r="H194" s="586" t="s">
        <v>116</v>
      </c>
      <c r="I194" s="586" t="s">
        <v>199</v>
      </c>
      <c r="J194" s="586" t="s">
        <v>199</v>
      </c>
    </row>
    <row r="195" spans="1:10" x14ac:dyDescent="0.25">
      <c r="A195" s="586" t="s">
        <v>27</v>
      </c>
      <c r="B195" s="586" t="s">
        <v>249</v>
      </c>
      <c r="C195" s="586" t="s">
        <v>253</v>
      </c>
      <c r="D195" s="586" t="s">
        <v>253</v>
      </c>
      <c r="E195" s="586" t="s">
        <v>254</v>
      </c>
      <c r="F195" s="586" t="s">
        <v>254</v>
      </c>
      <c r="G195" s="586" t="s">
        <v>83</v>
      </c>
      <c r="H195" s="586" t="s">
        <v>83</v>
      </c>
      <c r="I195" s="586" t="s">
        <v>243</v>
      </c>
      <c r="J195" s="586" t="s">
        <v>243</v>
      </c>
    </row>
    <row r="197" spans="1:10" x14ac:dyDescent="0.25">
      <c r="A197" s="584" t="s">
        <v>374</v>
      </c>
      <c r="B197" s="584" t="s">
        <v>374</v>
      </c>
      <c r="C197" s="584" t="s">
        <v>374</v>
      </c>
      <c r="D197" s="584" t="s">
        <v>374</v>
      </c>
      <c r="E197" s="584" t="s">
        <v>374</v>
      </c>
      <c r="F197" s="294"/>
      <c r="G197" s="294"/>
      <c r="H197" s="294"/>
      <c r="I197" s="294"/>
      <c r="J197" s="294"/>
    </row>
    <row r="198" spans="1:10" x14ac:dyDescent="0.25">
      <c r="A198" s="585" t="s">
        <v>0</v>
      </c>
      <c r="B198" s="585" t="s">
        <v>0</v>
      </c>
      <c r="C198" s="585" t="s">
        <v>1</v>
      </c>
      <c r="D198" s="585" t="s">
        <v>1</v>
      </c>
      <c r="E198" s="585" t="s">
        <v>2</v>
      </c>
      <c r="F198" s="585" t="s">
        <v>2</v>
      </c>
      <c r="G198" s="585" t="s">
        <v>196</v>
      </c>
      <c r="H198" s="585" t="s">
        <v>196</v>
      </c>
      <c r="I198" s="585" t="s">
        <v>3</v>
      </c>
      <c r="J198" s="585" t="s">
        <v>3</v>
      </c>
    </row>
    <row r="199" spans="1:10" x14ac:dyDescent="0.25">
      <c r="A199" s="589" t="s">
        <v>4</v>
      </c>
      <c r="B199" s="589" t="s">
        <v>4</v>
      </c>
      <c r="C199" s="589" t="s">
        <v>5</v>
      </c>
      <c r="D199" s="589" t="s">
        <v>5</v>
      </c>
      <c r="E199" s="589" t="s">
        <v>6</v>
      </c>
      <c r="F199" s="589" t="s">
        <v>6</v>
      </c>
      <c r="G199" s="589" t="s">
        <v>12</v>
      </c>
      <c r="H199" s="589" t="s">
        <v>12</v>
      </c>
      <c r="I199" s="589" t="s">
        <v>7</v>
      </c>
      <c r="J199" s="589" t="s">
        <v>7</v>
      </c>
    </row>
    <row r="200" spans="1:10" x14ac:dyDescent="0.25">
      <c r="A200" s="586" t="s">
        <v>4</v>
      </c>
      <c r="B200" s="586" t="s">
        <v>4</v>
      </c>
      <c r="C200" s="586" t="s">
        <v>226</v>
      </c>
      <c r="D200" s="586" t="s">
        <v>226</v>
      </c>
      <c r="E200" s="586" t="s">
        <v>375</v>
      </c>
      <c r="F200" s="586" t="s">
        <v>375</v>
      </c>
      <c r="G200" s="586" t="s">
        <v>197</v>
      </c>
      <c r="H200" s="586" t="s">
        <v>197</v>
      </c>
      <c r="I200" s="586" t="s">
        <v>198</v>
      </c>
      <c r="J200" s="586" t="s">
        <v>198</v>
      </c>
    </row>
    <row r="201" spans="1:10" x14ac:dyDescent="0.25">
      <c r="A201" s="586" t="s">
        <v>5</v>
      </c>
      <c r="B201" s="586" t="s">
        <v>6</v>
      </c>
      <c r="C201" s="586" t="s">
        <v>228</v>
      </c>
      <c r="D201" s="586" t="s">
        <v>228</v>
      </c>
      <c r="E201" s="586" t="s">
        <v>376</v>
      </c>
      <c r="F201" s="586" t="s">
        <v>376</v>
      </c>
      <c r="G201" s="586" t="s">
        <v>214</v>
      </c>
      <c r="H201" s="586" t="s">
        <v>214</v>
      </c>
      <c r="I201" s="586" t="s">
        <v>199</v>
      </c>
      <c r="J201" s="586" t="s">
        <v>199</v>
      </c>
    </row>
    <row r="202" spans="1:10" x14ac:dyDescent="0.25">
      <c r="A202" s="586" t="s">
        <v>6</v>
      </c>
      <c r="B202" s="586" t="s">
        <v>7</v>
      </c>
      <c r="C202" s="586" t="s">
        <v>231</v>
      </c>
      <c r="D202" s="586" t="s">
        <v>231</v>
      </c>
      <c r="E202" s="586" t="s">
        <v>377</v>
      </c>
      <c r="F202" s="586" t="s">
        <v>377</v>
      </c>
      <c r="G202" s="586" t="s">
        <v>78</v>
      </c>
      <c r="H202" s="586" t="s">
        <v>78</v>
      </c>
      <c r="I202" s="586" t="s">
        <v>199</v>
      </c>
      <c r="J202" s="586" t="s">
        <v>199</v>
      </c>
    </row>
    <row r="203" spans="1:10" x14ac:dyDescent="0.25">
      <c r="A203" s="586" t="s">
        <v>12</v>
      </c>
      <c r="B203" s="586" t="s">
        <v>168</v>
      </c>
      <c r="C203" s="586" t="s">
        <v>234</v>
      </c>
      <c r="D203" s="586" t="s">
        <v>234</v>
      </c>
      <c r="E203" s="586" t="s">
        <v>378</v>
      </c>
      <c r="F203" s="586" t="s">
        <v>378</v>
      </c>
      <c r="G203" s="586" t="s">
        <v>285</v>
      </c>
      <c r="H203" s="586" t="s">
        <v>285</v>
      </c>
      <c r="I203" s="586" t="s">
        <v>199</v>
      </c>
      <c r="J203" s="586" t="s">
        <v>199</v>
      </c>
    </row>
    <row r="204" spans="1:10" x14ac:dyDescent="0.25">
      <c r="A204" s="586" t="s">
        <v>7</v>
      </c>
      <c r="B204" s="586" t="s">
        <v>27</v>
      </c>
      <c r="C204" s="586" t="s">
        <v>237</v>
      </c>
      <c r="D204" s="586" t="s">
        <v>237</v>
      </c>
      <c r="E204" s="586" t="s">
        <v>379</v>
      </c>
      <c r="F204" s="586" t="s">
        <v>379</v>
      </c>
      <c r="G204" s="586" t="s">
        <v>78</v>
      </c>
      <c r="H204" s="586" t="s">
        <v>78</v>
      </c>
      <c r="I204" s="586" t="s">
        <v>199</v>
      </c>
      <c r="J204" s="586" t="s">
        <v>199</v>
      </c>
    </row>
    <row r="205" spans="1:10" x14ac:dyDescent="0.25">
      <c r="A205" s="586" t="s">
        <v>167</v>
      </c>
      <c r="B205" s="586" t="s">
        <v>264</v>
      </c>
      <c r="C205" s="586" t="s">
        <v>240</v>
      </c>
      <c r="D205" s="586" t="s">
        <v>240</v>
      </c>
      <c r="E205" s="586" t="s">
        <v>380</v>
      </c>
      <c r="F205" s="586" t="s">
        <v>380</v>
      </c>
      <c r="G205" s="586" t="s">
        <v>233</v>
      </c>
      <c r="H205" s="586" t="s">
        <v>233</v>
      </c>
      <c r="I205" s="586" t="s">
        <v>243</v>
      </c>
      <c r="J205" s="586" t="s">
        <v>243</v>
      </c>
    </row>
    <row r="206" spans="1:10" x14ac:dyDescent="0.25">
      <c r="A206" s="586" t="s">
        <v>168</v>
      </c>
      <c r="B206" s="586" t="s">
        <v>239</v>
      </c>
      <c r="C206" s="586" t="s">
        <v>245</v>
      </c>
      <c r="D206" s="586" t="s">
        <v>245</v>
      </c>
      <c r="E206" s="586" t="s">
        <v>381</v>
      </c>
      <c r="F206" s="586" t="s">
        <v>381</v>
      </c>
      <c r="G206" s="586" t="s">
        <v>297</v>
      </c>
      <c r="H206" s="586" t="s">
        <v>297</v>
      </c>
      <c r="I206" s="586" t="s">
        <v>248</v>
      </c>
      <c r="J206" s="586" t="s">
        <v>248</v>
      </c>
    </row>
    <row r="207" spans="1:10" x14ac:dyDescent="0.25">
      <c r="A207" s="586" t="s">
        <v>169</v>
      </c>
      <c r="B207" s="586" t="s">
        <v>269</v>
      </c>
      <c r="C207" s="586" t="s">
        <v>250</v>
      </c>
      <c r="D207" s="586" t="s">
        <v>250</v>
      </c>
      <c r="E207" s="586" t="s">
        <v>382</v>
      </c>
      <c r="F207" s="586" t="s">
        <v>382</v>
      </c>
      <c r="G207" s="586" t="s">
        <v>285</v>
      </c>
      <c r="H207" s="586" t="s">
        <v>285</v>
      </c>
      <c r="I207" s="586" t="s">
        <v>199</v>
      </c>
      <c r="J207" s="586" t="s">
        <v>199</v>
      </c>
    </row>
    <row r="208" spans="1:10" x14ac:dyDescent="0.25">
      <c r="A208" s="586" t="s">
        <v>27</v>
      </c>
      <c r="B208" s="586" t="s">
        <v>249</v>
      </c>
      <c r="C208" s="586" t="s">
        <v>253</v>
      </c>
      <c r="D208" s="586" t="s">
        <v>253</v>
      </c>
      <c r="E208" s="586" t="s">
        <v>254</v>
      </c>
      <c r="F208" s="586" t="s">
        <v>254</v>
      </c>
      <c r="G208" s="586" t="s">
        <v>83</v>
      </c>
      <c r="H208" s="586" t="s">
        <v>83</v>
      </c>
      <c r="I208" s="586" t="s">
        <v>243</v>
      </c>
      <c r="J208" s="586" t="s">
        <v>243</v>
      </c>
    </row>
    <row r="210" spans="1:10" x14ac:dyDescent="0.25">
      <c r="A210" s="584" t="s">
        <v>383</v>
      </c>
      <c r="B210" s="584" t="s">
        <v>383</v>
      </c>
      <c r="C210" s="584" t="s">
        <v>383</v>
      </c>
      <c r="D210" s="584" t="s">
        <v>383</v>
      </c>
      <c r="E210" s="584" t="s">
        <v>383</v>
      </c>
      <c r="F210" s="294"/>
      <c r="G210" s="294"/>
      <c r="H210" s="294"/>
      <c r="I210" s="294"/>
      <c r="J210" s="294"/>
    </row>
    <row r="211" spans="1:10" x14ac:dyDescent="0.25">
      <c r="A211" s="585" t="s">
        <v>0</v>
      </c>
      <c r="B211" s="585" t="s">
        <v>0</v>
      </c>
      <c r="C211" s="585" t="s">
        <v>1</v>
      </c>
      <c r="D211" s="585" t="s">
        <v>1</v>
      </c>
      <c r="E211" s="585" t="s">
        <v>2</v>
      </c>
      <c r="F211" s="585" t="s">
        <v>2</v>
      </c>
      <c r="G211" s="585" t="s">
        <v>196</v>
      </c>
      <c r="H211" s="585" t="s">
        <v>196</v>
      </c>
      <c r="I211" s="585" t="s">
        <v>3</v>
      </c>
      <c r="J211" s="585" t="s">
        <v>3</v>
      </c>
    </row>
    <row r="212" spans="1:10" x14ac:dyDescent="0.25">
      <c r="A212" s="589" t="s">
        <v>4</v>
      </c>
      <c r="B212" s="589" t="s">
        <v>4</v>
      </c>
      <c r="C212" s="589" t="s">
        <v>5</v>
      </c>
      <c r="D212" s="589" t="s">
        <v>5</v>
      </c>
      <c r="E212" s="589" t="s">
        <v>6</v>
      </c>
      <c r="F212" s="589" t="s">
        <v>6</v>
      </c>
      <c r="G212" s="589" t="s">
        <v>12</v>
      </c>
      <c r="H212" s="589" t="s">
        <v>12</v>
      </c>
      <c r="I212" s="589" t="s">
        <v>7</v>
      </c>
      <c r="J212" s="589" t="s">
        <v>7</v>
      </c>
    </row>
    <row r="213" spans="1:10" x14ac:dyDescent="0.25">
      <c r="A213" s="586" t="s">
        <v>4</v>
      </c>
      <c r="B213" s="586" t="s">
        <v>4</v>
      </c>
      <c r="C213" s="586" t="s">
        <v>226</v>
      </c>
      <c r="D213" s="586" t="s">
        <v>226</v>
      </c>
      <c r="E213" s="586" t="s">
        <v>227</v>
      </c>
      <c r="F213" s="586" t="s">
        <v>227</v>
      </c>
      <c r="G213" s="586" t="s">
        <v>197</v>
      </c>
      <c r="H213" s="586" t="s">
        <v>197</v>
      </c>
      <c r="I213" s="586" t="s">
        <v>198</v>
      </c>
      <c r="J213" s="586" t="s">
        <v>198</v>
      </c>
    </row>
    <row r="214" spans="1:10" x14ac:dyDescent="0.25">
      <c r="A214" s="586" t="s">
        <v>5</v>
      </c>
      <c r="B214" s="586" t="s">
        <v>6</v>
      </c>
      <c r="C214" s="586" t="s">
        <v>228</v>
      </c>
      <c r="D214" s="586" t="s">
        <v>228</v>
      </c>
      <c r="E214" s="586" t="s">
        <v>352</v>
      </c>
      <c r="F214" s="586" t="s">
        <v>352</v>
      </c>
      <c r="G214" s="586" t="s">
        <v>353</v>
      </c>
      <c r="H214" s="586" t="s">
        <v>353</v>
      </c>
      <c r="I214" s="586" t="s">
        <v>199</v>
      </c>
      <c r="J214" s="586" t="s">
        <v>199</v>
      </c>
    </row>
    <row r="215" spans="1:10" x14ac:dyDescent="0.25">
      <c r="A215" s="586" t="s">
        <v>6</v>
      </c>
      <c r="B215" s="586" t="s">
        <v>7</v>
      </c>
      <c r="C215" s="586" t="s">
        <v>231</v>
      </c>
      <c r="D215" s="586" t="s">
        <v>231</v>
      </c>
      <c r="E215" s="586" t="s">
        <v>370</v>
      </c>
      <c r="F215" s="586" t="s">
        <v>370</v>
      </c>
      <c r="G215" s="586" t="s">
        <v>83</v>
      </c>
      <c r="H215" s="586" t="s">
        <v>83</v>
      </c>
      <c r="I215" s="586" t="s">
        <v>199</v>
      </c>
      <c r="J215" s="586" t="s">
        <v>199</v>
      </c>
    </row>
    <row r="216" spans="1:10" x14ac:dyDescent="0.25">
      <c r="A216" s="586" t="s">
        <v>12</v>
      </c>
      <c r="B216" s="586" t="s">
        <v>168</v>
      </c>
      <c r="C216" s="586" t="s">
        <v>234</v>
      </c>
      <c r="D216" s="586" t="s">
        <v>234</v>
      </c>
      <c r="E216" s="586" t="s">
        <v>294</v>
      </c>
      <c r="F216" s="586" t="s">
        <v>294</v>
      </c>
      <c r="G216" s="586" t="s">
        <v>104</v>
      </c>
      <c r="H216" s="586" t="s">
        <v>104</v>
      </c>
      <c r="I216" s="586" t="s">
        <v>199</v>
      </c>
      <c r="J216" s="586" t="s">
        <v>199</v>
      </c>
    </row>
    <row r="217" spans="1:10" x14ac:dyDescent="0.25">
      <c r="A217" s="586" t="s">
        <v>7</v>
      </c>
      <c r="B217" s="586" t="s">
        <v>27</v>
      </c>
      <c r="C217" s="586" t="s">
        <v>237</v>
      </c>
      <c r="D217" s="586" t="s">
        <v>237</v>
      </c>
      <c r="E217" s="586" t="s">
        <v>238</v>
      </c>
      <c r="F217" s="586" t="s">
        <v>238</v>
      </c>
      <c r="G217" s="586" t="s">
        <v>83</v>
      </c>
      <c r="H217" s="586" t="s">
        <v>83</v>
      </c>
      <c r="I217" s="586" t="s">
        <v>199</v>
      </c>
      <c r="J217" s="586" t="s">
        <v>199</v>
      </c>
    </row>
    <row r="218" spans="1:10" x14ac:dyDescent="0.25">
      <c r="A218" s="586" t="s">
        <v>167</v>
      </c>
      <c r="B218" s="586" t="s">
        <v>264</v>
      </c>
      <c r="C218" s="586" t="s">
        <v>240</v>
      </c>
      <c r="D218" s="586" t="s">
        <v>240</v>
      </c>
      <c r="E218" s="586" t="s">
        <v>384</v>
      </c>
      <c r="F218" s="586" t="s">
        <v>384</v>
      </c>
      <c r="G218" s="586" t="s">
        <v>334</v>
      </c>
      <c r="H218" s="586" t="s">
        <v>334</v>
      </c>
      <c r="I218" s="586" t="s">
        <v>243</v>
      </c>
      <c r="J218" s="586" t="s">
        <v>243</v>
      </c>
    </row>
    <row r="219" spans="1:10" x14ac:dyDescent="0.25">
      <c r="A219" s="586" t="s">
        <v>168</v>
      </c>
      <c r="B219" s="586" t="s">
        <v>239</v>
      </c>
      <c r="C219" s="586" t="s">
        <v>245</v>
      </c>
      <c r="D219" s="586" t="s">
        <v>245</v>
      </c>
      <c r="E219" s="586" t="s">
        <v>385</v>
      </c>
      <c r="F219" s="586" t="s">
        <v>385</v>
      </c>
      <c r="G219" s="586" t="s">
        <v>386</v>
      </c>
      <c r="H219" s="586" t="s">
        <v>386</v>
      </c>
      <c r="I219" s="586" t="s">
        <v>248</v>
      </c>
      <c r="J219" s="586" t="s">
        <v>248</v>
      </c>
    </row>
    <row r="220" spans="1:10" x14ac:dyDescent="0.25">
      <c r="A220" s="586" t="s">
        <v>169</v>
      </c>
      <c r="B220" s="586" t="s">
        <v>269</v>
      </c>
      <c r="C220" s="586" t="s">
        <v>250</v>
      </c>
      <c r="D220" s="586" t="s">
        <v>250</v>
      </c>
      <c r="E220" s="586" t="s">
        <v>387</v>
      </c>
      <c r="F220" s="586" t="s">
        <v>387</v>
      </c>
      <c r="G220" s="586" t="s">
        <v>104</v>
      </c>
      <c r="H220" s="586" t="s">
        <v>104</v>
      </c>
      <c r="I220" s="586" t="s">
        <v>199</v>
      </c>
      <c r="J220" s="586" t="s">
        <v>199</v>
      </c>
    </row>
    <row r="221" spans="1:10" x14ac:dyDescent="0.25">
      <c r="A221" s="586" t="s">
        <v>27</v>
      </c>
      <c r="B221" s="586" t="s">
        <v>249</v>
      </c>
      <c r="C221" s="586" t="s">
        <v>253</v>
      </c>
      <c r="D221" s="586" t="s">
        <v>253</v>
      </c>
      <c r="E221" s="586" t="s">
        <v>254</v>
      </c>
      <c r="F221" s="586" t="s">
        <v>254</v>
      </c>
      <c r="G221" s="586" t="s">
        <v>83</v>
      </c>
      <c r="H221" s="586" t="s">
        <v>83</v>
      </c>
      <c r="I221" s="586" t="s">
        <v>243</v>
      </c>
      <c r="J221" s="586" t="s">
        <v>243</v>
      </c>
    </row>
    <row r="223" spans="1:10" x14ac:dyDescent="0.25">
      <c r="A223" s="584" t="s">
        <v>388</v>
      </c>
      <c r="B223" s="584" t="s">
        <v>388</v>
      </c>
      <c r="C223" s="584" t="s">
        <v>388</v>
      </c>
      <c r="D223" s="584" t="s">
        <v>388</v>
      </c>
      <c r="E223" s="584" t="s">
        <v>388</v>
      </c>
      <c r="F223" s="294"/>
      <c r="G223" s="294"/>
      <c r="H223" s="294"/>
      <c r="I223" s="294"/>
      <c r="J223" s="294"/>
    </row>
    <row r="224" spans="1:10" x14ac:dyDescent="0.25">
      <c r="A224" s="585" t="s">
        <v>0</v>
      </c>
      <c r="B224" s="585" t="s">
        <v>0</v>
      </c>
      <c r="C224" s="585" t="s">
        <v>1</v>
      </c>
      <c r="D224" s="585" t="s">
        <v>1</v>
      </c>
      <c r="E224" s="585" t="s">
        <v>2</v>
      </c>
      <c r="F224" s="585" t="s">
        <v>2</v>
      </c>
      <c r="G224" s="585" t="s">
        <v>196</v>
      </c>
      <c r="H224" s="585" t="s">
        <v>196</v>
      </c>
      <c r="I224" s="585" t="s">
        <v>3</v>
      </c>
      <c r="J224" s="585" t="s">
        <v>3</v>
      </c>
    </row>
    <row r="225" spans="1:10" x14ac:dyDescent="0.25">
      <c r="A225" s="589" t="s">
        <v>4</v>
      </c>
      <c r="B225" s="589" t="s">
        <v>4</v>
      </c>
      <c r="C225" s="589" t="s">
        <v>5</v>
      </c>
      <c r="D225" s="589" t="s">
        <v>5</v>
      </c>
      <c r="E225" s="589" t="s">
        <v>6</v>
      </c>
      <c r="F225" s="589" t="s">
        <v>6</v>
      </c>
      <c r="G225" s="589" t="s">
        <v>12</v>
      </c>
      <c r="H225" s="589" t="s">
        <v>12</v>
      </c>
      <c r="I225" s="589" t="s">
        <v>7</v>
      </c>
      <c r="J225" s="589" t="s">
        <v>7</v>
      </c>
    </row>
    <row r="226" spans="1:10" x14ac:dyDescent="0.25">
      <c r="A226" s="586" t="s">
        <v>4</v>
      </c>
      <c r="B226" s="586" t="s">
        <v>4</v>
      </c>
      <c r="C226" s="586" t="s">
        <v>226</v>
      </c>
      <c r="D226" s="586" t="s">
        <v>226</v>
      </c>
      <c r="E226" s="586" t="s">
        <v>328</v>
      </c>
      <c r="F226" s="586" t="s">
        <v>328</v>
      </c>
      <c r="G226" s="586" t="s">
        <v>197</v>
      </c>
      <c r="H226" s="586" t="s">
        <v>197</v>
      </c>
      <c r="I226" s="586" t="s">
        <v>198</v>
      </c>
      <c r="J226" s="586" t="s">
        <v>198</v>
      </c>
    </row>
    <row r="227" spans="1:10" x14ac:dyDescent="0.25">
      <c r="A227" s="586" t="s">
        <v>5</v>
      </c>
      <c r="B227" s="586" t="s">
        <v>6</v>
      </c>
      <c r="C227" s="586" t="s">
        <v>228</v>
      </c>
      <c r="D227" s="586" t="s">
        <v>228</v>
      </c>
      <c r="E227" s="586" t="s">
        <v>389</v>
      </c>
      <c r="F227" s="586" t="s">
        <v>389</v>
      </c>
      <c r="G227" s="586" t="s">
        <v>258</v>
      </c>
      <c r="H227" s="586" t="s">
        <v>258</v>
      </c>
      <c r="I227" s="586" t="s">
        <v>199</v>
      </c>
      <c r="J227" s="586" t="s">
        <v>199</v>
      </c>
    </row>
    <row r="228" spans="1:10" x14ac:dyDescent="0.25">
      <c r="A228" s="586" t="s">
        <v>6</v>
      </c>
      <c r="B228" s="586" t="s">
        <v>7</v>
      </c>
      <c r="C228" s="586" t="s">
        <v>231</v>
      </c>
      <c r="D228" s="586" t="s">
        <v>231</v>
      </c>
      <c r="E228" s="586" t="s">
        <v>390</v>
      </c>
      <c r="F228" s="586" t="s">
        <v>390</v>
      </c>
      <c r="G228" s="586" t="s">
        <v>263</v>
      </c>
      <c r="H228" s="586" t="s">
        <v>263</v>
      </c>
      <c r="I228" s="586" t="s">
        <v>199</v>
      </c>
      <c r="J228" s="586" t="s">
        <v>199</v>
      </c>
    </row>
    <row r="229" spans="1:10" x14ac:dyDescent="0.25">
      <c r="A229" s="586" t="s">
        <v>12</v>
      </c>
      <c r="B229" s="586" t="s">
        <v>168</v>
      </c>
      <c r="C229" s="586" t="s">
        <v>234</v>
      </c>
      <c r="D229" s="586" t="s">
        <v>234</v>
      </c>
      <c r="E229" s="586" t="s">
        <v>391</v>
      </c>
      <c r="F229" s="586" t="s">
        <v>391</v>
      </c>
      <c r="G229" s="586" t="s">
        <v>337</v>
      </c>
      <c r="H229" s="586" t="s">
        <v>337</v>
      </c>
      <c r="I229" s="586" t="s">
        <v>199</v>
      </c>
      <c r="J229" s="586" t="s">
        <v>199</v>
      </c>
    </row>
    <row r="230" spans="1:10" x14ac:dyDescent="0.25">
      <c r="A230" s="586" t="s">
        <v>7</v>
      </c>
      <c r="B230" s="586" t="s">
        <v>27</v>
      </c>
      <c r="C230" s="586" t="s">
        <v>237</v>
      </c>
      <c r="D230" s="586" t="s">
        <v>237</v>
      </c>
      <c r="E230" s="586" t="s">
        <v>392</v>
      </c>
      <c r="F230" s="586" t="s">
        <v>392</v>
      </c>
      <c r="G230" s="586" t="s">
        <v>393</v>
      </c>
      <c r="H230" s="586" t="s">
        <v>393</v>
      </c>
      <c r="I230" s="586" t="s">
        <v>199</v>
      </c>
      <c r="J230" s="586" t="s">
        <v>199</v>
      </c>
    </row>
    <row r="231" spans="1:10" x14ac:dyDescent="0.25">
      <c r="A231" s="586" t="s">
        <v>167</v>
      </c>
      <c r="B231" s="586" t="s">
        <v>264</v>
      </c>
      <c r="C231" s="586" t="s">
        <v>240</v>
      </c>
      <c r="D231" s="586" t="s">
        <v>240</v>
      </c>
      <c r="E231" s="586" t="s">
        <v>394</v>
      </c>
      <c r="F231" s="586" t="s">
        <v>394</v>
      </c>
      <c r="G231" s="586" t="s">
        <v>334</v>
      </c>
      <c r="H231" s="586" t="s">
        <v>334</v>
      </c>
      <c r="I231" s="586" t="s">
        <v>243</v>
      </c>
      <c r="J231" s="586" t="s">
        <v>243</v>
      </c>
    </row>
    <row r="232" spans="1:10" x14ac:dyDescent="0.25">
      <c r="A232" s="586" t="s">
        <v>168</v>
      </c>
      <c r="B232" s="586" t="s">
        <v>239</v>
      </c>
      <c r="C232" s="586" t="s">
        <v>245</v>
      </c>
      <c r="D232" s="586" t="s">
        <v>245</v>
      </c>
      <c r="E232" s="586" t="s">
        <v>395</v>
      </c>
      <c r="F232" s="586" t="s">
        <v>395</v>
      </c>
      <c r="G232" s="586" t="s">
        <v>288</v>
      </c>
      <c r="H232" s="586" t="s">
        <v>288</v>
      </c>
      <c r="I232" s="586" t="s">
        <v>248</v>
      </c>
      <c r="J232" s="586" t="s">
        <v>248</v>
      </c>
    </row>
    <row r="233" spans="1:10" x14ac:dyDescent="0.25">
      <c r="A233" s="586" t="s">
        <v>169</v>
      </c>
      <c r="B233" s="586" t="s">
        <v>269</v>
      </c>
      <c r="C233" s="586" t="s">
        <v>250</v>
      </c>
      <c r="D233" s="586" t="s">
        <v>250</v>
      </c>
      <c r="E233" s="586" t="s">
        <v>396</v>
      </c>
      <c r="F233" s="586" t="s">
        <v>396</v>
      </c>
      <c r="G233" s="586" t="s">
        <v>83</v>
      </c>
      <c r="H233" s="586" t="s">
        <v>83</v>
      </c>
      <c r="I233" s="586" t="s">
        <v>199</v>
      </c>
      <c r="J233" s="586" t="s">
        <v>199</v>
      </c>
    </row>
    <row r="234" spans="1:10" x14ac:dyDescent="0.25">
      <c r="A234" s="586" t="s">
        <v>27</v>
      </c>
      <c r="B234" s="586" t="s">
        <v>249</v>
      </c>
      <c r="C234" s="586" t="s">
        <v>253</v>
      </c>
      <c r="D234" s="586" t="s">
        <v>253</v>
      </c>
      <c r="E234" s="586" t="s">
        <v>254</v>
      </c>
      <c r="F234" s="586" t="s">
        <v>254</v>
      </c>
      <c r="G234" s="586" t="s">
        <v>83</v>
      </c>
      <c r="H234" s="586" t="s">
        <v>83</v>
      </c>
      <c r="I234" s="586" t="s">
        <v>243</v>
      </c>
      <c r="J234" s="586" t="s">
        <v>243</v>
      </c>
    </row>
    <row r="236" spans="1:10" x14ac:dyDescent="0.25">
      <c r="A236" s="584" t="s">
        <v>397</v>
      </c>
      <c r="B236" s="584" t="s">
        <v>397</v>
      </c>
      <c r="C236" s="584" t="s">
        <v>397</v>
      </c>
      <c r="D236" s="584" t="s">
        <v>397</v>
      </c>
      <c r="E236" s="584" t="s">
        <v>397</v>
      </c>
      <c r="F236" s="294"/>
      <c r="G236" s="294"/>
      <c r="H236" s="294"/>
      <c r="I236" s="294"/>
      <c r="J236" s="294"/>
    </row>
    <row r="237" spans="1:10" x14ac:dyDescent="0.25">
      <c r="A237" s="585" t="s">
        <v>0</v>
      </c>
      <c r="B237" s="585" t="s">
        <v>0</v>
      </c>
      <c r="C237" s="585" t="s">
        <v>1</v>
      </c>
      <c r="D237" s="585" t="s">
        <v>1</v>
      </c>
      <c r="E237" s="585" t="s">
        <v>2</v>
      </c>
      <c r="F237" s="585" t="s">
        <v>2</v>
      </c>
      <c r="G237" s="585" t="s">
        <v>196</v>
      </c>
      <c r="H237" s="585" t="s">
        <v>196</v>
      </c>
      <c r="I237" s="585" t="s">
        <v>3</v>
      </c>
      <c r="J237" s="585" t="s">
        <v>3</v>
      </c>
    </row>
    <row r="238" spans="1:10" x14ac:dyDescent="0.25">
      <c r="A238" s="589" t="s">
        <v>4</v>
      </c>
      <c r="B238" s="589" t="s">
        <v>4</v>
      </c>
      <c r="C238" s="589" t="s">
        <v>5</v>
      </c>
      <c r="D238" s="589" t="s">
        <v>5</v>
      </c>
      <c r="E238" s="589" t="s">
        <v>6</v>
      </c>
      <c r="F238" s="589" t="s">
        <v>6</v>
      </c>
      <c r="G238" s="589" t="s">
        <v>12</v>
      </c>
      <c r="H238" s="589" t="s">
        <v>12</v>
      </c>
      <c r="I238" s="589" t="s">
        <v>7</v>
      </c>
      <c r="J238" s="589" t="s">
        <v>7</v>
      </c>
    </row>
    <row r="239" spans="1:10" x14ac:dyDescent="0.25">
      <c r="A239" s="586" t="s">
        <v>4</v>
      </c>
      <c r="B239" s="586" t="s">
        <v>4</v>
      </c>
      <c r="C239" s="586" t="s">
        <v>226</v>
      </c>
      <c r="D239" s="586" t="s">
        <v>226</v>
      </c>
      <c r="E239" s="586" t="s">
        <v>256</v>
      </c>
      <c r="F239" s="586" t="s">
        <v>256</v>
      </c>
      <c r="G239" s="586" t="s">
        <v>197</v>
      </c>
      <c r="H239" s="586" t="s">
        <v>197</v>
      </c>
      <c r="I239" s="586" t="s">
        <v>198</v>
      </c>
      <c r="J239" s="586" t="s">
        <v>198</v>
      </c>
    </row>
    <row r="240" spans="1:10" x14ac:dyDescent="0.25">
      <c r="A240" s="586" t="s">
        <v>5</v>
      </c>
      <c r="B240" s="586" t="s">
        <v>6</v>
      </c>
      <c r="C240" s="586" t="s">
        <v>228</v>
      </c>
      <c r="D240" s="586" t="s">
        <v>228</v>
      </c>
      <c r="E240" s="586" t="s">
        <v>257</v>
      </c>
      <c r="F240" s="586" t="s">
        <v>257</v>
      </c>
      <c r="G240" s="586" t="s">
        <v>258</v>
      </c>
      <c r="H240" s="586" t="s">
        <v>258</v>
      </c>
      <c r="I240" s="586" t="s">
        <v>199</v>
      </c>
      <c r="J240" s="586" t="s">
        <v>199</v>
      </c>
    </row>
    <row r="241" spans="1:10" x14ac:dyDescent="0.25">
      <c r="A241" s="586" t="s">
        <v>6</v>
      </c>
      <c r="B241" s="586" t="s">
        <v>7</v>
      </c>
      <c r="C241" s="586" t="s">
        <v>231</v>
      </c>
      <c r="D241" s="586" t="s">
        <v>231</v>
      </c>
      <c r="E241" s="586" t="s">
        <v>398</v>
      </c>
      <c r="F241" s="586" t="s">
        <v>398</v>
      </c>
      <c r="G241" s="586" t="s">
        <v>355</v>
      </c>
      <c r="H241" s="586" t="s">
        <v>355</v>
      </c>
      <c r="I241" s="586" t="s">
        <v>199</v>
      </c>
      <c r="J241" s="586" t="s">
        <v>199</v>
      </c>
    </row>
    <row r="242" spans="1:10" x14ac:dyDescent="0.25">
      <c r="A242" s="586" t="s">
        <v>12</v>
      </c>
      <c r="B242" s="586" t="s">
        <v>168</v>
      </c>
      <c r="C242" s="586" t="s">
        <v>234</v>
      </c>
      <c r="D242" s="586" t="s">
        <v>234</v>
      </c>
      <c r="E242" s="586" t="s">
        <v>368</v>
      </c>
      <c r="F242" s="586" t="s">
        <v>368</v>
      </c>
      <c r="G242" s="586" t="s">
        <v>261</v>
      </c>
      <c r="H242" s="586" t="s">
        <v>261</v>
      </c>
      <c r="I242" s="586" t="s">
        <v>199</v>
      </c>
      <c r="J242" s="586" t="s">
        <v>199</v>
      </c>
    </row>
    <row r="243" spans="1:10" x14ac:dyDescent="0.25">
      <c r="A243" s="586" t="s">
        <v>7</v>
      </c>
      <c r="B243" s="586" t="s">
        <v>27</v>
      </c>
      <c r="C243" s="586" t="s">
        <v>237</v>
      </c>
      <c r="D243" s="586" t="s">
        <v>237</v>
      </c>
      <c r="E243" s="586" t="s">
        <v>238</v>
      </c>
      <c r="F243" s="586" t="s">
        <v>238</v>
      </c>
      <c r="G243" s="586" t="s">
        <v>83</v>
      </c>
      <c r="H243" s="586" t="s">
        <v>83</v>
      </c>
      <c r="I243" s="586" t="s">
        <v>199</v>
      </c>
      <c r="J243" s="586" t="s">
        <v>199</v>
      </c>
    </row>
    <row r="244" spans="1:10" x14ac:dyDescent="0.25">
      <c r="A244" s="586" t="s">
        <v>167</v>
      </c>
      <c r="B244" s="586" t="s">
        <v>264</v>
      </c>
      <c r="C244" s="586" t="s">
        <v>240</v>
      </c>
      <c r="D244" s="586" t="s">
        <v>240</v>
      </c>
      <c r="E244" s="586" t="s">
        <v>399</v>
      </c>
      <c r="F244" s="586" t="s">
        <v>399</v>
      </c>
      <c r="G244" s="586" t="s">
        <v>242</v>
      </c>
      <c r="H244" s="586" t="s">
        <v>242</v>
      </c>
      <c r="I244" s="586" t="s">
        <v>243</v>
      </c>
      <c r="J244" s="586" t="s">
        <v>243</v>
      </c>
    </row>
    <row r="245" spans="1:10" x14ac:dyDescent="0.25">
      <c r="A245" s="586" t="s">
        <v>168</v>
      </c>
      <c r="B245" s="586" t="s">
        <v>239</v>
      </c>
      <c r="C245" s="586" t="s">
        <v>245</v>
      </c>
      <c r="D245" s="586" t="s">
        <v>245</v>
      </c>
      <c r="E245" s="586" t="s">
        <v>400</v>
      </c>
      <c r="F245" s="586" t="s">
        <v>400</v>
      </c>
      <c r="G245" s="586" t="s">
        <v>297</v>
      </c>
      <c r="H245" s="586" t="s">
        <v>297</v>
      </c>
      <c r="I245" s="586" t="s">
        <v>248</v>
      </c>
      <c r="J245" s="586" t="s">
        <v>248</v>
      </c>
    </row>
    <row r="246" spans="1:10" x14ac:dyDescent="0.25">
      <c r="A246" s="586" t="s">
        <v>169</v>
      </c>
      <c r="B246" s="586" t="s">
        <v>269</v>
      </c>
      <c r="C246" s="586" t="s">
        <v>250</v>
      </c>
      <c r="D246" s="586" t="s">
        <v>250</v>
      </c>
      <c r="E246" s="586" t="s">
        <v>387</v>
      </c>
      <c r="F246" s="586" t="s">
        <v>387</v>
      </c>
      <c r="G246" s="586" t="s">
        <v>104</v>
      </c>
      <c r="H246" s="586" t="s">
        <v>104</v>
      </c>
      <c r="I246" s="586" t="s">
        <v>199</v>
      </c>
      <c r="J246" s="586" t="s">
        <v>199</v>
      </c>
    </row>
    <row r="247" spans="1:10" x14ac:dyDescent="0.25">
      <c r="A247" s="586" t="s">
        <v>27</v>
      </c>
      <c r="B247" s="586" t="s">
        <v>249</v>
      </c>
      <c r="C247" s="586" t="s">
        <v>253</v>
      </c>
      <c r="D247" s="586" t="s">
        <v>253</v>
      </c>
      <c r="E247" s="586" t="s">
        <v>254</v>
      </c>
      <c r="F247" s="586" t="s">
        <v>254</v>
      </c>
      <c r="G247" s="586" t="s">
        <v>83</v>
      </c>
      <c r="H247" s="586" t="s">
        <v>83</v>
      </c>
      <c r="I247" s="586" t="s">
        <v>243</v>
      </c>
      <c r="J247" s="586" t="s">
        <v>243</v>
      </c>
    </row>
    <row r="249" spans="1:10" x14ac:dyDescent="0.25">
      <c r="A249" s="584" t="s">
        <v>401</v>
      </c>
      <c r="B249" s="584" t="s">
        <v>401</v>
      </c>
      <c r="C249" s="584" t="s">
        <v>401</v>
      </c>
      <c r="D249" s="584" t="s">
        <v>401</v>
      </c>
      <c r="E249" s="584" t="s">
        <v>401</v>
      </c>
      <c r="F249" s="294"/>
      <c r="G249" s="294"/>
      <c r="H249" s="294"/>
      <c r="I249" s="294"/>
      <c r="J249" s="294"/>
    </row>
    <row r="250" spans="1:10" x14ac:dyDescent="0.25">
      <c r="A250" s="585" t="s">
        <v>0</v>
      </c>
      <c r="B250" s="585" t="s">
        <v>0</v>
      </c>
      <c r="C250" s="585" t="s">
        <v>1</v>
      </c>
      <c r="D250" s="585" t="s">
        <v>1</v>
      </c>
      <c r="E250" s="585" t="s">
        <v>2</v>
      </c>
      <c r="F250" s="585" t="s">
        <v>2</v>
      </c>
      <c r="G250" s="585" t="s">
        <v>196</v>
      </c>
      <c r="H250" s="585" t="s">
        <v>196</v>
      </c>
      <c r="I250" s="585" t="s">
        <v>3</v>
      </c>
      <c r="J250" s="585" t="s">
        <v>3</v>
      </c>
    </row>
    <row r="251" spans="1:10" x14ac:dyDescent="0.25">
      <c r="A251" s="589" t="s">
        <v>4</v>
      </c>
      <c r="B251" s="589" t="s">
        <v>4</v>
      </c>
      <c r="C251" s="589" t="s">
        <v>5</v>
      </c>
      <c r="D251" s="589" t="s">
        <v>5</v>
      </c>
      <c r="E251" s="589" t="s">
        <v>6</v>
      </c>
      <c r="F251" s="589" t="s">
        <v>6</v>
      </c>
      <c r="G251" s="589" t="s">
        <v>12</v>
      </c>
      <c r="H251" s="589" t="s">
        <v>12</v>
      </c>
      <c r="I251" s="589" t="s">
        <v>7</v>
      </c>
      <c r="J251" s="589" t="s">
        <v>7</v>
      </c>
    </row>
    <row r="252" spans="1:10" x14ac:dyDescent="0.25">
      <c r="A252" s="586" t="s">
        <v>4</v>
      </c>
      <c r="B252" s="586" t="s">
        <v>4</v>
      </c>
      <c r="C252" s="586" t="s">
        <v>226</v>
      </c>
      <c r="D252" s="586" t="s">
        <v>226</v>
      </c>
      <c r="E252" s="586" t="s">
        <v>256</v>
      </c>
      <c r="F252" s="586" t="s">
        <v>256</v>
      </c>
      <c r="G252" s="586" t="s">
        <v>197</v>
      </c>
      <c r="H252" s="586" t="s">
        <v>197</v>
      </c>
      <c r="I252" s="586" t="s">
        <v>198</v>
      </c>
      <c r="J252" s="586" t="s">
        <v>198</v>
      </c>
    </row>
    <row r="253" spans="1:10" x14ac:dyDescent="0.25">
      <c r="A253" s="586" t="s">
        <v>5</v>
      </c>
      <c r="B253" s="586" t="s">
        <v>6</v>
      </c>
      <c r="C253" s="586" t="s">
        <v>228</v>
      </c>
      <c r="D253" s="586" t="s">
        <v>228</v>
      </c>
      <c r="E253" s="586" t="s">
        <v>213</v>
      </c>
      <c r="F253" s="586" t="s">
        <v>213</v>
      </c>
      <c r="G253" s="586" t="s">
        <v>308</v>
      </c>
      <c r="H253" s="586" t="s">
        <v>308</v>
      </c>
      <c r="I253" s="586" t="s">
        <v>199</v>
      </c>
      <c r="J253" s="586" t="s">
        <v>199</v>
      </c>
    </row>
    <row r="254" spans="1:10" x14ac:dyDescent="0.25">
      <c r="A254" s="586" t="s">
        <v>6</v>
      </c>
      <c r="B254" s="586" t="s">
        <v>7</v>
      </c>
      <c r="C254" s="586" t="s">
        <v>231</v>
      </c>
      <c r="D254" s="586" t="s">
        <v>231</v>
      </c>
      <c r="E254" s="586" t="s">
        <v>402</v>
      </c>
      <c r="F254" s="586" t="s">
        <v>402</v>
      </c>
      <c r="G254" s="586" t="s">
        <v>403</v>
      </c>
      <c r="H254" s="586" t="s">
        <v>403</v>
      </c>
      <c r="I254" s="586" t="s">
        <v>199</v>
      </c>
      <c r="J254" s="586" t="s">
        <v>199</v>
      </c>
    </row>
    <row r="255" spans="1:10" x14ac:dyDescent="0.25">
      <c r="A255" s="586" t="s">
        <v>12</v>
      </c>
      <c r="B255" s="586" t="s">
        <v>168</v>
      </c>
      <c r="C255" s="586" t="s">
        <v>234</v>
      </c>
      <c r="D255" s="586" t="s">
        <v>234</v>
      </c>
      <c r="E255" s="586" t="s">
        <v>404</v>
      </c>
      <c r="F255" s="586" t="s">
        <v>404</v>
      </c>
      <c r="G255" s="586" t="s">
        <v>405</v>
      </c>
      <c r="H255" s="586" t="s">
        <v>405</v>
      </c>
      <c r="I255" s="586" t="s">
        <v>199</v>
      </c>
      <c r="J255" s="586" t="s">
        <v>199</v>
      </c>
    </row>
    <row r="256" spans="1:10" x14ac:dyDescent="0.25">
      <c r="A256" s="586" t="s">
        <v>7</v>
      </c>
      <c r="B256" s="586" t="s">
        <v>27</v>
      </c>
      <c r="C256" s="586" t="s">
        <v>237</v>
      </c>
      <c r="D256" s="586" t="s">
        <v>237</v>
      </c>
      <c r="E256" s="586" t="s">
        <v>238</v>
      </c>
      <c r="F256" s="586" t="s">
        <v>238</v>
      </c>
      <c r="G256" s="586" t="s">
        <v>83</v>
      </c>
      <c r="H256" s="586" t="s">
        <v>83</v>
      </c>
      <c r="I256" s="586" t="s">
        <v>199</v>
      </c>
      <c r="J256" s="586" t="s">
        <v>199</v>
      </c>
    </row>
    <row r="257" spans="1:10" x14ac:dyDescent="0.25">
      <c r="A257" s="586" t="s">
        <v>167</v>
      </c>
      <c r="B257" s="586" t="s">
        <v>264</v>
      </c>
      <c r="C257" s="586" t="s">
        <v>240</v>
      </c>
      <c r="D257" s="586" t="s">
        <v>240</v>
      </c>
      <c r="E257" s="586" t="s">
        <v>406</v>
      </c>
      <c r="F257" s="586" t="s">
        <v>406</v>
      </c>
      <c r="G257" s="586" t="s">
        <v>242</v>
      </c>
      <c r="H257" s="586" t="s">
        <v>242</v>
      </c>
      <c r="I257" s="586" t="s">
        <v>243</v>
      </c>
      <c r="J257" s="586" t="s">
        <v>243</v>
      </c>
    </row>
    <row r="258" spans="1:10" x14ac:dyDescent="0.25">
      <c r="A258" s="586" t="s">
        <v>168</v>
      </c>
      <c r="B258" s="586" t="s">
        <v>239</v>
      </c>
      <c r="C258" s="586" t="s">
        <v>245</v>
      </c>
      <c r="D258" s="586" t="s">
        <v>245</v>
      </c>
      <c r="E258" s="586" t="s">
        <v>407</v>
      </c>
      <c r="F258" s="586" t="s">
        <v>407</v>
      </c>
      <c r="G258" s="586" t="s">
        <v>386</v>
      </c>
      <c r="H258" s="586" t="s">
        <v>386</v>
      </c>
      <c r="I258" s="586" t="s">
        <v>248</v>
      </c>
      <c r="J258" s="586" t="s">
        <v>248</v>
      </c>
    </row>
    <row r="259" spans="1:10" x14ac:dyDescent="0.25">
      <c r="A259" s="586" t="s">
        <v>169</v>
      </c>
      <c r="B259" s="586" t="s">
        <v>269</v>
      </c>
      <c r="C259" s="586" t="s">
        <v>250</v>
      </c>
      <c r="D259" s="586" t="s">
        <v>250</v>
      </c>
      <c r="E259" s="586" t="s">
        <v>251</v>
      </c>
      <c r="F259" s="586" t="s">
        <v>251</v>
      </c>
      <c r="G259" s="586" t="s">
        <v>116</v>
      </c>
      <c r="H259" s="586" t="s">
        <v>116</v>
      </c>
      <c r="I259" s="586" t="s">
        <v>199</v>
      </c>
      <c r="J259" s="586" t="s">
        <v>199</v>
      </c>
    </row>
    <row r="260" spans="1:10" x14ac:dyDescent="0.25">
      <c r="A260" s="586" t="s">
        <v>27</v>
      </c>
      <c r="B260" s="586" t="s">
        <v>249</v>
      </c>
      <c r="C260" s="586" t="s">
        <v>253</v>
      </c>
      <c r="D260" s="586" t="s">
        <v>253</v>
      </c>
      <c r="E260" s="586" t="s">
        <v>254</v>
      </c>
      <c r="F260" s="586" t="s">
        <v>254</v>
      </c>
      <c r="G260" s="586" t="s">
        <v>83</v>
      </c>
      <c r="H260" s="586" t="s">
        <v>83</v>
      </c>
      <c r="I260" s="586" t="s">
        <v>243</v>
      </c>
      <c r="J260" s="586" t="s">
        <v>243</v>
      </c>
    </row>
    <row r="262" spans="1:10" x14ac:dyDescent="0.25">
      <c r="A262" s="584" t="s">
        <v>408</v>
      </c>
      <c r="B262" s="584" t="s">
        <v>408</v>
      </c>
      <c r="C262" s="584" t="s">
        <v>408</v>
      </c>
      <c r="D262" s="584" t="s">
        <v>408</v>
      </c>
      <c r="E262" s="584" t="s">
        <v>408</v>
      </c>
      <c r="F262" s="294"/>
      <c r="G262" s="294"/>
      <c r="H262" s="294"/>
      <c r="I262" s="294"/>
      <c r="J262" s="294"/>
    </row>
    <row r="263" spans="1:10" x14ac:dyDescent="0.25">
      <c r="A263" s="585" t="s">
        <v>0</v>
      </c>
      <c r="B263" s="585" t="s">
        <v>0</v>
      </c>
      <c r="C263" s="585" t="s">
        <v>1</v>
      </c>
      <c r="D263" s="585" t="s">
        <v>1</v>
      </c>
      <c r="E263" s="585" t="s">
        <v>2</v>
      </c>
      <c r="F263" s="585" t="s">
        <v>2</v>
      </c>
      <c r="G263" s="585" t="s">
        <v>196</v>
      </c>
      <c r="H263" s="585" t="s">
        <v>196</v>
      </c>
      <c r="I263" s="585" t="s">
        <v>3</v>
      </c>
      <c r="J263" s="585" t="s">
        <v>3</v>
      </c>
    </row>
    <row r="264" spans="1:10" x14ac:dyDescent="0.25">
      <c r="A264" s="589" t="s">
        <v>4</v>
      </c>
      <c r="B264" s="589" t="s">
        <v>4</v>
      </c>
      <c r="C264" s="589" t="s">
        <v>5</v>
      </c>
      <c r="D264" s="589" t="s">
        <v>5</v>
      </c>
      <c r="E264" s="589" t="s">
        <v>6</v>
      </c>
      <c r="F264" s="589" t="s">
        <v>6</v>
      </c>
      <c r="G264" s="589" t="s">
        <v>12</v>
      </c>
      <c r="H264" s="589" t="s">
        <v>12</v>
      </c>
      <c r="I264" s="589" t="s">
        <v>7</v>
      </c>
      <c r="J264" s="589" t="s">
        <v>7</v>
      </c>
    </row>
    <row r="265" spans="1:10" x14ac:dyDescent="0.25">
      <c r="A265" s="586" t="s">
        <v>4</v>
      </c>
      <c r="B265" s="586" t="s">
        <v>4</v>
      </c>
      <c r="C265" s="586" t="s">
        <v>226</v>
      </c>
      <c r="D265" s="586" t="s">
        <v>226</v>
      </c>
      <c r="E265" s="586" t="s">
        <v>351</v>
      </c>
      <c r="F265" s="586" t="s">
        <v>351</v>
      </c>
      <c r="G265" s="586" t="s">
        <v>197</v>
      </c>
      <c r="H265" s="586" t="s">
        <v>197</v>
      </c>
      <c r="I265" s="586" t="s">
        <v>198</v>
      </c>
      <c r="J265" s="586" t="s">
        <v>198</v>
      </c>
    </row>
    <row r="266" spans="1:10" x14ac:dyDescent="0.25">
      <c r="A266" s="586" t="s">
        <v>5</v>
      </c>
      <c r="B266" s="586" t="s">
        <v>6</v>
      </c>
      <c r="C266" s="586" t="s">
        <v>228</v>
      </c>
      <c r="D266" s="586" t="s">
        <v>228</v>
      </c>
      <c r="E266" s="586" t="s">
        <v>290</v>
      </c>
      <c r="F266" s="586" t="s">
        <v>290</v>
      </c>
      <c r="G266" s="586" t="s">
        <v>291</v>
      </c>
      <c r="H266" s="586" t="s">
        <v>291</v>
      </c>
      <c r="I266" s="586" t="s">
        <v>199</v>
      </c>
      <c r="J266" s="586" t="s">
        <v>199</v>
      </c>
    </row>
    <row r="267" spans="1:10" x14ac:dyDescent="0.25">
      <c r="A267" s="586" t="s">
        <v>6</v>
      </c>
      <c r="B267" s="586" t="s">
        <v>7</v>
      </c>
      <c r="C267" s="586" t="s">
        <v>231</v>
      </c>
      <c r="D267" s="586" t="s">
        <v>231</v>
      </c>
      <c r="E267" s="586" t="s">
        <v>409</v>
      </c>
      <c r="F267" s="586" t="s">
        <v>409</v>
      </c>
      <c r="G267" s="586" t="s">
        <v>293</v>
      </c>
      <c r="H267" s="586" t="s">
        <v>293</v>
      </c>
      <c r="I267" s="586" t="s">
        <v>199</v>
      </c>
      <c r="J267" s="586" t="s">
        <v>199</v>
      </c>
    </row>
    <row r="268" spans="1:10" x14ac:dyDescent="0.25">
      <c r="A268" s="586" t="s">
        <v>12</v>
      </c>
      <c r="B268" s="586" t="s">
        <v>168</v>
      </c>
      <c r="C268" s="586" t="s">
        <v>234</v>
      </c>
      <c r="D268" s="586" t="s">
        <v>234</v>
      </c>
      <c r="E268" s="586" t="s">
        <v>348</v>
      </c>
      <c r="F268" s="586" t="s">
        <v>348</v>
      </c>
      <c r="G268" s="586" t="s">
        <v>261</v>
      </c>
      <c r="H268" s="586" t="s">
        <v>261</v>
      </c>
      <c r="I268" s="586" t="s">
        <v>199</v>
      </c>
      <c r="J268" s="586" t="s">
        <v>199</v>
      </c>
    </row>
    <row r="269" spans="1:10" x14ac:dyDescent="0.25">
      <c r="A269" s="586" t="s">
        <v>7</v>
      </c>
      <c r="B269" s="586" t="s">
        <v>27</v>
      </c>
      <c r="C269" s="586" t="s">
        <v>237</v>
      </c>
      <c r="D269" s="586" t="s">
        <v>237</v>
      </c>
      <c r="E269" s="586" t="s">
        <v>238</v>
      </c>
      <c r="F269" s="586" t="s">
        <v>238</v>
      </c>
      <c r="G269" s="586" t="s">
        <v>83</v>
      </c>
      <c r="H269" s="586" t="s">
        <v>83</v>
      </c>
      <c r="I269" s="586" t="s">
        <v>199</v>
      </c>
      <c r="J269" s="586" t="s">
        <v>199</v>
      </c>
    </row>
    <row r="270" spans="1:10" x14ac:dyDescent="0.25">
      <c r="A270" s="586" t="s">
        <v>167</v>
      </c>
      <c r="B270" s="586" t="s">
        <v>264</v>
      </c>
      <c r="C270" s="586" t="s">
        <v>240</v>
      </c>
      <c r="D270" s="586" t="s">
        <v>240</v>
      </c>
      <c r="E270" s="586" t="s">
        <v>410</v>
      </c>
      <c r="F270" s="586" t="s">
        <v>410</v>
      </c>
      <c r="G270" s="586" t="s">
        <v>334</v>
      </c>
      <c r="H270" s="586" t="s">
        <v>334</v>
      </c>
      <c r="I270" s="586" t="s">
        <v>243</v>
      </c>
      <c r="J270" s="586" t="s">
        <v>243</v>
      </c>
    </row>
    <row r="271" spans="1:10" x14ac:dyDescent="0.25">
      <c r="A271" s="586" t="s">
        <v>168</v>
      </c>
      <c r="B271" s="586" t="s">
        <v>239</v>
      </c>
      <c r="C271" s="586" t="s">
        <v>245</v>
      </c>
      <c r="D271" s="586" t="s">
        <v>245</v>
      </c>
      <c r="E271" s="586" t="s">
        <v>411</v>
      </c>
      <c r="F271" s="586" t="s">
        <v>411</v>
      </c>
      <c r="G271" s="586" t="s">
        <v>360</v>
      </c>
      <c r="H271" s="586" t="s">
        <v>360</v>
      </c>
      <c r="I271" s="586" t="s">
        <v>248</v>
      </c>
      <c r="J271" s="586" t="s">
        <v>248</v>
      </c>
    </row>
    <row r="272" spans="1:10" x14ac:dyDescent="0.25">
      <c r="A272" s="586" t="s">
        <v>169</v>
      </c>
      <c r="B272" s="586" t="s">
        <v>269</v>
      </c>
      <c r="C272" s="586" t="s">
        <v>250</v>
      </c>
      <c r="D272" s="586" t="s">
        <v>250</v>
      </c>
      <c r="E272" s="586" t="s">
        <v>391</v>
      </c>
      <c r="F272" s="586" t="s">
        <v>391</v>
      </c>
      <c r="G272" s="586" t="s">
        <v>331</v>
      </c>
      <c r="H272" s="586" t="s">
        <v>331</v>
      </c>
      <c r="I272" s="586" t="s">
        <v>199</v>
      </c>
      <c r="J272" s="586" t="s">
        <v>199</v>
      </c>
    </row>
    <row r="273" spans="1:10" x14ac:dyDescent="0.25">
      <c r="A273" s="586" t="s">
        <v>27</v>
      </c>
      <c r="B273" s="586" t="s">
        <v>249</v>
      </c>
      <c r="C273" s="586" t="s">
        <v>253</v>
      </c>
      <c r="D273" s="586" t="s">
        <v>253</v>
      </c>
      <c r="E273" s="586" t="s">
        <v>254</v>
      </c>
      <c r="F273" s="586" t="s">
        <v>254</v>
      </c>
      <c r="G273" s="586" t="s">
        <v>83</v>
      </c>
      <c r="H273" s="586" t="s">
        <v>83</v>
      </c>
      <c r="I273" s="586" t="s">
        <v>243</v>
      </c>
      <c r="J273" s="586" t="s">
        <v>243</v>
      </c>
    </row>
    <row r="275" spans="1:10" x14ac:dyDescent="0.25">
      <c r="A275" s="584" t="s">
        <v>412</v>
      </c>
      <c r="B275" s="584" t="s">
        <v>412</v>
      </c>
      <c r="C275" s="584" t="s">
        <v>412</v>
      </c>
      <c r="D275" s="584" t="s">
        <v>412</v>
      </c>
      <c r="E275" s="584" t="s">
        <v>412</v>
      </c>
      <c r="F275" s="294"/>
      <c r="G275" s="294"/>
      <c r="H275" s="294"/>
      <c r="I275" s="294"/>
      <c r="J275" s="294"/>
    </row>
    <row r="276" spans="1:10" x14ac:dyDescent="0.25">
      <c r="A276" s="585" t="s">
        <v>0</v>
      </c>
      <c r="B276" s="585" t="s">
        <v>0</v>
      </c>
      <c r="C276" s="585" t="s">
        <v>1</v>
      </c>
      <c r="D276" s="585" t="s">
        <v>1</v>
      </c>
      <c r="E276" s="585" t="s">
        <v>2</v>
      </c>
      <c r="F276" s="585" t="s">
        <v>2</v>
      </c>
      <c r="G276" s="585" t="s">
        <v>196</v>
      </c>
      <c r="H276" s="585" t="s">
        <v>196</v>
      </c>
      <c r="I276" s="585" t="s">
        <v>3</v>
      </c>
      <c r="J276" s="585" t="s">
        <v>3</v>
      </c>
    </row>
    <row r="277" spans="1:10" x14ac:dyDescent="0.25">
      <c r="A277" s="589" t="s">
        <v>4</v>
      </c>
      <c r="B277" s="589" t="s">
        <v>4</v>
      </c>
      <c r="C277" s="589" t="s">
        <v>5</v>
      </c>
      <c r="D277" s="589" t="s">
        <v>5</v>
      </c>
      <c r="E277" s="589" t="s">
        <v>6</v>
      </c>
      <c r="F277" s="589" t="s">
        <v>6</v>
      </c>
      <c r="G277" s="589" t="s">
        <v>12</v>
      </c>
      <c r="H277" s="589" t="s">
        <v>12</v>
      </c>
      <c r="I277" s="589" t="s">
        <v>7</v>
      </c>
      <c r="J277" s="589" t="s">
        <v>7</v>
      </c>
    </row>
    <row r="278" spans="1:10" x14ac:dyDescent="0.25">
      <c r="A278" s="586" t="s">
        <v>4</v>
      </c>
      <c r="B278" s="586" t="s">
        <v>4</v>
      </c>
      <c r="C278" s="586" t="s">
        <v>226</v>
      </c>
      <c r="D278" s="586" t="s">
        <v>226</v>
      </c>
      <c r="E278" s="586" t="s">
        <v>413</v>
      </c>
      <c r="F278" s="586" t="s">
        <v>413</v>
      </c>
      <c r="G278" s="586" t="s">
        <v>197</v>
      </c>
      <c r="H278" s="586" t="s">
        <v>197</v>
      </c>
      <c r="I278" s="586" t="s">
        <v>198</v>
      </c>
      <c r="J278" s="586" t="s">
        <v>198</v>
      </c>
    </row>
    <row r="279" spans="1:10" x14ac:dyDescent="0.25">
      <c r="A279" s="586" t="s">
        <v>5</v>
      </c>
      <c r="B279" s="586" t="s">
        <v>6</v>
      </c>
      <c r="C279" s="586" t="s">
        <v>228</v>
      </c>
      <c r="D279" s="586" t="s">
        <v>228</v>
      </c>
      <c r="E279" s="586" t="s">
        <v>414</v>
      </c>
      <c r="F279" s="586" t="s">
        <v>414</v>
      </c>
      <c r="G279" s="586" t="s">
        <v>415</v>
      </c>
      <c r="H279" s="586" t="s">
        <v>415</v>
      </c>
      <c r="I279" s="586" t="s">
        <v>199</v>
      </c>
      <c r="J279" s="586" t="s">
        <v>199</v>
      </c>
    </row>
    <row r="280" spans="1:10" x14ac:dyDescent="0.25">
      <c r="A280" s="586" t="s">
        <v>6</v>
      </c>
      <c r="B280" s="586" t="s">
        <v>7</v>
      </c>
      <c r="C280" s="586" t="s">
        <v>231</v>
      </c>
      <c r="D280" s="586" t="s">
        <v>231</v>
      </c>
      <c r="E280" s="586" t="s">
        <v>416</v>
      </c>
      <c r="F280" s="586" t="s">
        <v>416</v>
      </c>
      <c r="G280" s="586" t="s">
        <v>417</v>
      </c>
      <c r="H280" s="586" t="s">
        <v>417</v>
      </c>
      <c r="I280" s="586" t="s">
        <v>199</v>
      </c>
      <c r="J280" s="586" t="s">
        <v>199</v>
      </c>
    </row>
    <row r="281" spans="1:10" x14ac:dyDescent="0.25">
      <c r="A281" s="586" t="s">
        <v>12</v>
      </c>
      <c r="B281" s="586" t="s">
        <v>168</v>
      </c>
      <c r="C281" s="586" t="s">
        <v>234</v>
      </c>
      <c r="D281" s="586" t="s">
        <v>234</v>
      </c>
      <c r="E281" s="586" t="s">
        <v>235</v>
      </c>
      <c r="F281" s="586" t="s">
        <v>235</v>
      </c>
      <c r="G281" s="586" t="s">
        <v>116</v>
      </c>
      <c r="H281" s="586" t="s">
        <v>116</v>
      </c>
      <c r="I281" s="586" t="s">
        <v>199</v>
      </c>
      <c r="J281" s="586" t="s">
        <v>199</v>
      </c>
    </row>
    <row r="282" spans="1:10" x14ac:dyDescent="0.25">
      <c r="A282" s="586" t="s">
        <v>7</v>
      </c>
      <c r="B282" s="586" t="s">
        <v>27</v>
      </c>
      <c r="C282" s="586" t="s">
        <v>237</v>
      </c>
      <c r="D282" s="586" t="s">
        <v>237</v>
      </c>
      <c r="E282" s="586" t="s">
        <v>262</v>
      </c>
      <c r="F282" s="586" t="s">
        <v>262</v>
      </c>
      <c r="G282" s="586" t="s">
        <v>263</v>
      </c>
      <c r="H282" s="586" t="s">
        <v>263</v>
      </c>
      <c r="I282" s="586" t="s">
        <v>199</v>
      </c>
      <c r="J282" s="586" t="s">
        <v>199</v>
      </c>
    </row>
    <row r="283" spans="1:10" x14ac:dyDescent="0.25">
      <c r="A283" s="586" t="s">
        <v>167</v>
      </c>
      <c r="B283" s="586" t="s">
        <v>264</v>
      </c>
      <c r="C283" s="586" t="s">
        <v>240</v>
      </c>
      <c r="D283" s="586" t="s">
        <v>240</v>
      </c>
      <c r="E283" s="586" t="s">
        <v>418</v>
      </c>
      <c r="F283" s="586" t="s">
        <v>418</v>
      </c>
      <c r="G283" s="586" t="s">
        <v>417</v>
      </c>
      <c r="H283" s="586" t="s">
        <v>417</v>
      </c>
      <c r="I283" s="586" t="s">
        <v>243</v>
      </c>
      <c r="J283" s="586" t="s">
        <v>243</v>
      </c>
    </row>
    <row r="284" spans="1:10" x14ac:dyDescent="0.25">
      <c r="A284" s="586" t="s">
        <v>168</v>
      </c>
      <c r="B284" s="586" t="s">
        <v>239</v>
      </c>
      <c r="C284" s="586" t="s">
        <v>245</v>
      </c>
      <c r="D284" s="586" t="s">
        <v>245</v>
      </c>
      <c r="E284" s="586" t="s">
        <v>419</v>
      </c>
      <c r="F284" s="586" t="s">
        <v>419</v>
      </c>
      <c r="G284" s="586" t="s">
        <v>420</v>
      </c>
      <c r="H284" s="586" t="s">
        <v>420</v>
      </c>
      <c r="I284" s="586" t="s">
        <v>248</v>
      </c>
      <c r="J284" s="586" t="s">
        <v>248</v>
      </c>
    </row>
    <row r="285" spans="1:10" x14ac:dyDescent="0.25">
      <c r="A285" s="586" t="s">
        <v>169</v>
      </c>
      <c r="B285" s="586" t="s">
        <v>269</v>
      </c>
      <c r="C285" s="586" t="s">
        <v>250</v>
      </c>
      <c r="D285" s="586" t="s">
        <v>250</v>
      </c>
      <c r="E285" s="586" t="s">
        <v>294</v>
      </c>
      <c r="F285" s="586" t="s">
        <v>294</v>
      </c>
      <c r="G285" s="586" t="s">
        <v>261</v>
      </c>
      <c r="H285" s="586" t="s">
        <v>261</v>
      </c>
      <c r="I285" s="586" t="s">
        <v>199</v>
      </c>
      <c r="J285" s="586" t="s">
        <v>199</v>
      </c>
    </row>
    <row r="286" spans="1:10" x14ac:dyDescent="0.25">
      <c r="A286" s="586" t="s">
        <v>27</v>
      </c>
      <c r="B286" s="586" t="s">
        <v>249</v>
      </c>
      <c r="C286" s="586" t="s">
        <v>253</v>
      </c>
      <c r="D286" s="586" t="s">
        <v>253</v>
      </c>
      <c r="E286" s="586" t="s">
        <v>254</v>
      </c>
      <c r="F286" s="586" t="s">
        <v>254</v>
      </c>
      <c r="G286" s="586" t="s">
        <v>83</v>
      </c>
      <c r="H286" s="586" t="s">
        <v>83</v>
      </c>
      <c r="I286" s="586" t="s">
        <v>243</v>
      </c>
      <c r="J286" s="586" t="s">
        <v>243</v>
      </c>
    </row>
  </sheetData>
  <mergeCells count="1232">
    <mergeCell ref="A285:B285"/>
    <mergeCell ref="C285:D285"/>
    <mergeCell ref="E285:F285"/>
    <mergeCell ref="G285:H285"/>
    <mergeCell ref="I285:J285"/>
    <mergeCell ref="A286:B286"/>
    <mergeCell ref="C286:D286"/>
    <mergeCell ref="E286:F286"/>
    <mergeCell ref="G286:H286"/>
    <mergeCell ref="I286:J286"/>
    <mergeCell ref="A283:B283"/>
    <mergeCell ref="C283:D283"/>
    <mergeCell ref="E283:F283"/>
    <mergeCell ref="G283:H283"/>
    <mergeCell ref="I283:J283"/>
    <mergeCell ref="A284:B284"/>
    <mergeCell ref="C284:D284"/>
    <mergeCell ref="E284:F284"/>
    <mergeCell ref="G284:H284"/>
    <mergeCell ref="I284:J284"/>
    <mergeCell ref="A281:B281"/>
    <mergeCell ref="C281:D281"/>
    <mergeCell ref="E281:F281"/>
    <mergeCell ref="G281:H281"/>
    <mergeCell ref="I281:J281"/>
    <mergeCell ref="A282:B282"/>
    <mergeCell ref="C282:D282"/>
    <mergeCell ref="E282:F282"/>
    <mergeCell ref="G282:H282"/>
    <mergeCell ref="I282:J282"/>
    <mergeCell ref="A279:B279"/>
    <mergeCell ref="C279:D279"/>
    <mergeCell ref="E279:F279"/>
    <mergeCell ref="G279:H279"/>
    <mergeCell ref="I279:J279"/>
    <mergeCell ref="A280:B280"/>
    <mergeCell ref="C280:D280"/>
    <mergeCell ref="E280:F280"/>
    <mergeCell ref="G280:H280"/>
    <mergeCell ref="I280:J280"/>
    <mergeCell ref="A277:B277"/>
    <mergeCell ref="C277:D277"/>
    <mergeCell ref="E277:F277"/>
    <mergeCell ref="G277:H277"/>
    <mergeCell ref="I277:J277"/>
    <mergeCell ref="A278:B278"/>
    <mergeCell ref="C278:D278"/>
    <mergeCell ref="E278:F278"/>
    <mergeCell ref="G278:H278"/>
    <mergeCell ref="I278:J278"/>
    <mergeCell ref="A275:E275"/>
    <mergeCell ref="A276:B276"/>
    <mergeCell ref="C276:D276"/>
    <mergeCell ref="E276:F276"/>
    <mergeCell ref="G276:H276"/>
    <mergeCell ref="I276:J276"/>
    <mergeCell ref="A272:B272"/>
    <mergeCell ref="C272:D272"/>
    <mergeCell ref="E272:F272"/>
    <mergeCell ref="G272:H272"/>
    <mergeCell ref="I272:J272"/>
    <mergeCell ref="A273:B273"/>
    <mergeCell ref="C273:D273"/>
    <mergeCell ref="E273:F273"/>
    <mergeCell ref="G273:H273"/>
    <mergeCell ref="I273:J273"/>
    <mergeCell ref="A270:B270"/>
    <mergeCell ref="C270:D270"/>
    <mergeCell ref="E270:F270"/>
    <mergeCell ref="G270:H270"/>
    <mergeCell ref="I270:J270"/>
    <mergeCell ref="A271:B271"/>
    <mergeCell ref="C271:D271"/>
    <mergeCell ref="E271:F271"/>
    <mergeCell ref="G271:H271"/>
    <mergeCell ref="I271:J271"/>
    <mergeCell ref="A268:B268"/>
    <mergeCell ref="C268:D268"/>
    <mergeCell ref="E268:F268"/>
    <mergeCell ref="G268:H268"/>
    <mergeCell ref="I268:J268"/>
    <mergeCell ref="A269:B269"/>
    <mergeCell ref="C269:D269"/>
    <mergeCell ref="E269:F269"/>
    <mergeCell ref="G269:H269"/>
    <mergeCell ref="I269:J269"/>
    <mergeCell ref="A266:B266"/>
    <mergeCell ref="C266:D266"/>
    <mergeCell ref="E266:F266"/>
    <mergeCell ref="G266:H266"/>
    <mergeCell ref="I266:J266"/>
    <mergeCell ref="A267:B267"/>
    <mergeCell ref="C267:D267"/>
    <mergeCell ref="E267:F267"/>
    <mergeCell ref="G267:H267"/>
    <mergeCell ref="I267:J267"/>
    <mergeCell ref="A264:B264"/>
    <mergeCell ref="C264:D264"/>
    <mergeCell ref="E264:F264"/>
    <mergeCell ref="G264:H264"/>
    <mergeCell ref="I264:J264"/>
    <mergeCell ref="A265:B265"/>
    <mergeCell ref="C265:D265"/>
    <mergeCell ref="E265:F265"/>
    <mergeCell ref="G265:H265"/>
    <mergeCell ref="I265:J265"/>
    <mergeCell ref="A262:E262"/>
    <mergeCell ref="A263:B263"/>
    <mergeCell ref="C263:D263"/>
    <mergeCell ref="E263:F263"/>
    <mergeCell ref="G263:H263"/>
    <mergeCell ref="I263:J263"/>
    <mergeCell ref="A259:B259"/>
    <mergeCell ref="C259:D259"/>
    <mergeCell ref="E259:F259"/>
    <mergeCell ref="G259:H259"/>
    <mergeCell ref="I259:J259"/>
    <mergeCell ref="A260:B260"/>
    <mergeCell ref="C260:D260"/>
    <mergeCell ref="E260:F260"/>
    <mergeCell ref="G260:H260"/>
    <mergeCell ref="I260:J260"/>
    <mergeCell ref="A257:B257"/>
    <mergeCell ref="C257:D257"/>
    <mergeCell ref="E257:F257"/>
    <mergeCell ref="G257:H257"/>
    <mergeCell ref="I257:J257"/>
    <mergeCell ref="A258:B258"/>
    <mergeCell ref="C258:D258"/>
    <mergeCell ref="E258:F258"/>
    <mergeCell ref="G258:H258"/>
    <mergeCell ref="I258:J258"/>
    <mergeCell ref="A255:B255"/>
    <mergeCell ref="C255:D255"/>
    <mergeCell ref="E255:F255"/>
    <mergeCell ref="G255:H255"/>
    <mergeCell ref="I255:J255"/>
    <mergeCell ref="A256:B256"/>
    <mergeCell ref="C256:D256"/>
    <mergeCell ref="E256:F256"/>
    <mergeCell ref="G256:H256"/>
    <mergeCell ref="I256:J256"/>
    <mergeCell ref="A253:B253"/>
    <mergeCell ref="C253:D253"/>
    <mergeCell ref="E253:F253"/>
    <mergeCell ref="G253:H253"/>
    <mergeCell ref="I253:J253"/>
    <mergeCell ref="A254:B254"/>
    <mergeCell ref="C254:D254"/>
    <mergeCell ref="E254:F254"/>
    <mergeCell ref="G254:H254"/>
    <mergeCell ref="I254:J254"/>
    <mergeCell ref="A251:B251"/>
    <mergeCell ref="C251:D251"/>
    <mergeCell ref="E251:F251"/>
    <mergeCell ref="G251:H251"/>
    <mergeCell ref="I251:J251"/>
    <mergeCell ref="A252:B252"/>
    <mergeCell ref="C252:D252"/>
    <mergeCell ref="E252:F252"/>
    <mergeCell ref="G252:H252"/>
    <mergeCell ref="I252:J252"/>
    <mergeCell ref="A249:E249"/>
    <mergeCell ref="A250:B250"/>
    <mergeCell ref="C250:D250"/>
    <mergeCell ref="E250:F250"/>
    <mergeCell ref="G250:H250"/>
    <mergeCell ref="I250:J250"/>
    <mergeCell ref="A246:B246"/>
    <mergeCell ref="C246:D246"/>
    <mergeCell ref="E246:F246"/>
    <mergeCell ref="G246:H246"/>
    <mergeCell ref="I246:J246"/>
    <mergeCell ref="A247:B247"/>
    <mergeCell ref="C247:D247"/>
    <mergeCell ref="E247:F247"/>
    <mergeCell ref="G247:H247"/>
    <mergeCell ref="I247:J247"/>
    <mergeCell ref="A244:B244"/>
    <mergeCell ref="C244:D244"/>
    <mergeCell ref="E244:F244"/>
    <mergeCell ref="G244:H244"/>
    <mergeCell ref="I244:J244"/>
    <mergeCell ref="A245:B245"/>
    <mergeCell ref="C245:D245"/>
    <mergeCell ref="E245:F245"/>
    <mergeCell ref="G245:H245"/>
    <mergeCell ref="I245:J245"/>
    <mergeCell ref="A242:B242"/>
    <mergeCell ref="C242:D242"/>
    <mergeCell ref="E242:F242"/>
    <mergeCell ref="G242:H242"/>
    <mergeCell ref="I242:J242"/>
    <mergeCell ref="A243:B243"/>
    <mergeCell ref="C243:D243"/>
    <mergeCell ref="E243:F243"/>
    <mergeCell ref="G243:H243"/>
    <mergeCell ref="I243:J243"/>
    <mergeCell ref="A240:B240"/>
    <mergeCell ref="C240:D240"/>
    <mergeCell ref="E240:F240"/>
    <mergeCell ref="G240:H240"/>
    <mergeCell ref="I240:J240"/>
    <mergeCell ref="A241:B241"/>
    <mergeCell ref="C241:D241"/>
    <mergeCell ref="E241:F241"/>
    <mergeCell ref="G241:H241"/>
    <mergeCell ref="I241:J241"/>
    <mergeCell ref="A238:B238"/>
    <mergeCell ref="C238:D238"/>
    <mergeCell ref="E238:F238"/>
    <mergeCell ref="G238:H238"/>
    <mergeCell ref="I238:J238"/>
    <mergeCell ref="A239:B239"/>
    <mergeCell ref="C239:D239"/>
    <mergeCell ref="E239:F239"/>
    <mergeCell ref="G239:H239"/>
    <mergeCell ref="I239:J239"/>
    <mergeCell ref="A236:E236"/>
    <mergeCell ref="A237:B237"/>
    <mergeCell ref="C237:D237"/>
    <mergeCell ref="E237:F237"/>
    <mergeCell ref="G237:H237"/>
    <mergeCell ref="I237:J237"/>
    <mergeCell ref="A233:B233"/>
    <mergeCell ref="C233:D233"/>
    <mergeCell ref="E233:F233"/>
    <mergeCell ref="G233:H233"/>
    <mergeCell ref="I233:J233"/>
    <mergeCell ref="A234:B234"/>
    <mergeCell ref="C234:D234"/>
    <mergeCell ref="E234:F234"/>
    <mergeCell ref="G234:H234"/>
    <mergeCell ref="I234:J234"/>
    <mergeCell ref="A231:B231"/>
    <mergeCell ref="C231:D231"/>
    <mergeCell ref="E231:F231"/>
    <mergeCell ref="G231:H231"/>
    <mergeCell ref="I231:J231"/>
    <mergeCell ref="A232:B232"/>
    <mergeCell ref="C232:D232"/>
    <mergeCell ref="E232:F232"/>
    <mergeCell ref="G232:H232"/>
    <mergeCell ref="I232:J232"/>
    <mergeCell ref="A229:B229"/>
    <mergeCell ref="C229:D229"/>
    <mergeCell ref="E229:F229"/>
    <mergeCell ref="G229:H229"/>
    <mergeCell ref="I229:J229"/>
    <mergeCell ref="A230:B230"/>
    <mergeCell ref="C230:D230"/>
    <mergeCell ref="E230:F230"/>
    <mergeCell ref="G230:H230"/>
    <mergeCell ref="I230:J230"/>
    <mergeCell ref="A227:B227"/>
    <mergeCell ref="C227:D227"/>
    <mergeCell ref="E227:F227"/>
    <mergeCell ref="G227:H227"/>
    <mergeCell ref="I227:J227"/>
    <mergeCell ref="A228:B228"/>
    <mergeCell ref="C228:D228"/>
    <mergeCell ref="E228:F228"/>
    <mergeCell ref="G228:H228"/>
    <mergeCell ref="I228:J228"/>
    <mergeCell ref="A225:B225"/>
    <mergeCell ref="C225:D225"/>
    <mergeCell ref="E225:F225"/>
    <mergeCell ref="G225:H225"/>
    <mergeCell ref="I225:J225"/>
    <mergeCell ref="A226:B226"/>
    <mergeCell ref="C226:D226"/>
    <mergeCell ref="E226:F226"/>
    <mergeCell ref="G226:H226"/>
    <mergeCell ref="I226:J226"/>
    <mergeCell ref="A223:E223"/>
    <mergeCell ref="A224:B224"/>
    <mergeCell ref="C224:D224"/>
    <mergeCell ref="E224:F224"/>
    <mergeCell ref="G224:H224"/>
    <mergeCell ref="I224:J224"/>
    <mergeCell ref="A220:B220"/>
    <mergeCell ref="C220:D220"/>
    <mergeCell ref="E220:F220"/>
    <mergeCell ref="G220:H220"/>
    <mergeCell ref="I220:J220"/>
    <mergeCell ref="A221:B221"/>
    <mergeCell ref="C221:D221"/>
    <mergeCell ref="E221:F221"/>
    <mergeCell ref="G221:H221"/>
    <mergeCell ref="I221:J221"/>
    <mergeCell ref="A218:B218"/>
    <mergeCell ref="C218:D218"/>
    <mergeCell ref="E218:F218"/>
    <mergeCell ref="G218:H218"/>
    <mergeCell ref="I218:J218"/>
    <mergeCell ref="A219:B219"/>
    <mergeCell ref="C219:D219"/>
    <mergeCell ref="E219:F219"/>
    <mergeCell ref="G219:H219"/>
    <mergeCell ref="I219:J219"/>
    <mergeCell ref="A216:B216"/>
    <mergeCell ref="C216:D216"/>
    <mergeCell ref="E216:F216"/>
    <mergeCell ref="G216:H216"/>
    <mergeCell ref="I216:J216"/>
    <mergeCell ref="A217:B217"/>
    <mergeCell ref="C217:D217"/>
    <mergeCell ref="E217:F217"/>
    <mergeCell ref="G217:H217"/>
    <mergeCell ref="I217:J217"/>
    <mergeCell ref="A214:B214"/>
    <mergeCell ref="C214:D214"/>
    <mergeCell ref="E214:F214"/>
    <mergeCell ref="G214:H214"/>
    <mergeCell ref="I214:J214"/>
    <mergeCell ref="A215:B215"/>
    <mergeCell ref="C215:D215"/>
    <mergeCell ref="E215:F215"/>
    <mergeCell ref="G215:H215"/>
    <mergeCell ref="I215:J215"/>
    <mergeCell ref="A212:B212"/>
    <mergeCell ref="C212:D212"/>
    <mergeCell ref="E212:F212"/>
    <mergeCell ref="G212:H212"/>
    <mergeCell ref="I212:J212"/>
    <mergeCell ref="A213:B213"/>
    <mergeCell ref="C213:D213"/>
    <mergeCell ref="E213:F213"/>
    <mergeCell ref="G213:H213"/>
    <mergeCell ref="I213:J213"/>
    <mergeCell ref="A210:E210"/>
    <mergeCell ref="A211:B211"/>
    <mergeCell ref="C211:D211"/>
    <mergeCell ref="E211:F211"/>
    <mergeCell ref="G211:H211"/>
    <mergeCell ref="I211:J211"/>
    <mergeCell ref="A207:B207"/>
    <mergeCell ref="C207:D207"/>
    <mergeCell ref="E207:F207"/>
    <mergeCell ref="G207:H207"/>
    <mergeCell ref="I207:J207"/>
    <mergeCell ref="A208:B208"/>
    <mergeCell ref="C208:D208"/>
    <mergeCell ref="E208:F208"/>
    <mergeCell ref="G208:H208"/>
    <mergeCell ref="I208:J208"/>
    <mergeCell ref="A205:B205"/>
    <mergeCell ref="C205:D205"/>
    <mergeCell ref="E205:F205"/>
    <mergeCell ref="G205:H205"/>
    <mergeCell ref="I205:J205"/>
    <mergeCell ref="A206:B206"/>
    <mergeCell ref="C206:D206"/>
    <mergeCell ref="E206:F206"/>
    <mergeCell ref="G206:H206"/>
    <mergeCell ref="I206:J206"/>
    <mergeCell ref="A203:B203"/>
    <mergeCell ref="C203:D203"/>
    <mergeCell ref="E203:F203"/>
    <mergeCell ref="G203:H203"/>
    <mergeCell ref="I203:J203"/>
    <mergeCell ref="A204:B204"/>
    <mergeCell ref="C204:D204"/>
    <mergeCell ref="E204:F204"/>
    <mergeCell ref="G204:H204"/>
    <mergeCell ref="I204:J204"/>
    <mergeCell ref="A201:B201"/>
    <mergeCell ref="C201:D201"/>
    <mergeCell ref="E201:F201"/>
    <mergeCell ref="G201:H201"/>
    <mergeCell ref="I201:J201"/>
    <mergeCell ref="A202:B202"/>
    <mergeCell ref="C202:D202"/>
    <mergeCell ref="E202:F202"/>
    <mergeCell ref="G202:H202"/>
    <mergeCell ref="I202:J202"/>
    <mergeCell ref="A199:B199"/>
    <mergeCell ref="C199:D199"/>
    <mergeCell ref="E199:F199"/>
    <mergeCell ref="G199:H199"/>
    <mergeCell ref="I199:J199"/>
    <mergeCell ref="A200:B200"/>
    <mergeCell ref="C200:D200"/>
    <mergeCell ref="E200:F200"/>
    <mergeCell ref="G200:H200"/>
    <mergeCell ref="I200:J200"/>
    <mergeCell ref="A197:E197"/>
    <mergeCell ref="A198:B198"/>
    <mergeCell ref="C198:D198"/>
    <mergeCell ref="E198:F198"/>
    <mergeCell ref="G198:H198"/>
    <mergeCell ref="I198:J198"/>
    <mergeCell ref="A194:B194"/>
    <mergeCell ref="C194:D194"/>
    <mergeCell ref="E194:F194"/>
    <mergeCell ref="G194:H194"/>
    <mergeCell ref="I194:J194"/>
    <mergeCell ref="A195:B195"/>
    <mergeCell ref="C195:D195"/>
    <mergeCell ref="E195:F195"/>
    <mergeCell ref="G195:H195"/>
    <mergeCell ref="I195:J195"/>
    <mergeCell ref="A192:B192"/>
    <mergeCell ref="C192:D192"/>
    <mergeCell ref="E192:F192"/>
    <mergeCell ref="G192:H192"/>
    <mergeCell ref="I192:J192"/>
    <mergeCell ref="A193:B193"/>
    <mergeCell ref="C193:D193"/>
    <mergeCell ref="E193:F193"/>
    <mergeCell ref="G193:H193"/>
    <mergeCell ref="I193:J193"/>
    <mergeCell ref="A190:B190"/>
    <mergeCell ref="C190:D190"/>
    <mergeCell ref="E190:F190"/>
    <mergeCell ref="G190:H190"/>
    <mergeCell ref="I190:J190"/>
    <mergeCell ref="A191:B191"/>
    <mergeCell ref="C191:D191"/>
    <mergeCell ref="E191:F191"/>
    <mergeCell ref="G191:H191"/>
    <mergeCell ref="I191:J191"/>
    <mergeCell ref="A188:B188"/>
    <mergeCell ref="C188:D188"/>
    <mergeCell ref="E188:F188"/>
    <mergeCell ref="G188:H188"/>
    <mergeCell ref="I188:J188"/>
    <mergeCell ref="A189:B189"/>
    <mergeCell ref="C189:D189"/>
    <mergeCell ref="E189:F189"/>
    <mergeCell ref="G189:H189"/>
    <mergeCell ref="I189:J189"/>
    <mergeCell ref="A186:B186"/>
    <mergeCell ref="C186:D186"/>
    <mergeCell ref="E186:F186"/>
    <mergeCell ref="G186:H186"/>
    <mergeCell ref="I186:J186"/>
    <mergeCell ref="A187:B187"/>
    <mergeCell ref="C187:D187"/>
    <mergeCell ref="E187:F187"/>
    <mergeCell ref="G187:H187"/>
    <mergeCell ref="I187:J187"/>
    <mergeCell ref="A184:E184"/>
    <mergeCell ref="A185:B185"/>
    <mergeCell ref="C185:D185"/>
    <mergeCell ref="E185:F185"/>
    <mergeCell ref="G185:H185"/>
    <mergeCell ref="I185:J185"/>
    <mergeCell ref="A181:B181"/>
    <mergeCell ref="C181:D181"/>
    <mergeCell ref="E181:F181"/>
    <mergeCell ref="G181:H181"/>
    <mergeCell ref="I181:J181"/>
    <mergeCell ref="A182:B182"/>
    <mergeCell ref="C182:D182"/>
    <mergeCell ref="E182:F182"/>
    <mergeCell ref="G182:H182"/>
    <mergeCell ref="I182:J182"/>
    <mergeCell ref="A179:B179"/>
    <mergeCell ref="C179:D179"/>
    <mergeCell ref="E179:F179"/>
    <mergeCell ref="G179:H179"/>
    <mergeCell ref="I179:J179"/>
    <mergeCell ref="A180:B180"/>
    <mergeCell ref="C180:D180"/>
    <mergeCell ref="E180:F180"/>
    <mergeCell ref="G180:H180"/>
    <mergeCell ref="I180:J180"/>
    <mergeCell ref="A177:B177"/>
    <mergeCell ref="C177:D177"/>
    <mergeCell ref="E177:F177"/>
    <mergeCell ref="G177:H177"/>
    <mergeCell ref="I177:J177"/>
    <mergeCell ref="A178:B178"/>
    <mergeCell ref="C178:D178"/>
    <mergeCell ref="E178:F178"/>
    <mergeCell ref="G178:H178"/>
    <mergeCell ref="I178:J178"/>
    <mergeCell ref="A175:B175"/>
    <mergeCell ref="C175:D175"/>
    <mergeCell ref="E175:F175"/>
    <mergeCell ref="G175:H175"/>
    <mergeCell ref="I175:J175"/>
    <mergeCell ref="A176:B176"/>
    <mergeCell ref="C176:D176"/>
    <mergeCell ref="E176:F176"/>
    <mergeCell ref="G176:H176"/>
    <mergeCell ref="I176:J176"/>
    <mergeCell ref="A173:B173"/>
    <mergeCell ref="C173:D173"/>
    <mergeCell ref="E173:F173"/>
    <mergeCell ref="G173:H173"/>
    <mergeCell ref="I173:J173"/>
    <mergeCell ref="A174:B174"/>
    <mergeCell ref="C174:D174"/>
    <mergeCell ref="E174:F174"/>
    <mergeCell ref="G174:H174"/>
    <mergeCell ref="I174:J174"/>
    <mergeCell ref="A171:E171"/>
    <mergeCell ref="A172:B172"/>
    <mergeCell ref="C172:D172"/>
    <mergeCell ref="E172:F172"/>
    <mergeCell ref="G172:H172"/>
    <mergeCell ref="I172:J172"/>
    <mergeCell ref="A168:B168"/>
    <mergeCell ref="C168:D168"/>
    <mergeCell ref="E168:F168"/>
    <mergeCell ref="G168:H168"/>
    <mergeCell ref="I168:J168"/>
    <mergeCell ref="A169:B169"/>
    <mergeCell ref="C169:D169"/>
    <mergeCell ref="E169:F169"/>
    <mergeCell ref="G169:H169"/>
    <mergeCell ref="I169:J169"/>
    <mergeCell ref="A166:B166"/>
    <mergeCell ref="C166:D166"/>
    <mergeCell ref="E166:F166"/>
    <mergeCell ref="G166:H166"/>
    <mergeCell ref="I166:J166"/>
    <mergeCell ref="A167:B167"/>
    <mergeCell ref="C167:D167"/>
    <mergeCell ref="E167:F167"/>
    <mergeCell ref="G167:H167"/>
    <mergeCell ref="I167:J167"/>
    <mergeCell ref="A164:B164"/>
    <mergeCell ref="C164:D164"/>
    <mergeCell ref="E164:F164"/>
    <mergeCell ref="G164:H164"/>
    <mergeCell ref="I164:J164"/>
    <mergeCell ref="A165:B165"/>
    <mergeCell ref="C165:D165"/>
    <mergeCell ref="E165:F165"/>
    <mergeCell ref="G165:H165"/>
    <mergeCell ref="I165:J165"/>
    <mergeCell ref="A162:B162"/>
    <mergeCell ref="C162:D162"/>
    <mergeCell ref="E162:F162"/>
    <mergeCell ref="G162:H162"/>
    <mergeCell ref="I162:J162"/>
    <mergeCell ref="A163:B163"/>
    <mergeCell ref="C163:D163"/>
    <mergeCell ref="E163:F163"/>
    <mergeCell ref="G163:H163"/>
    <mergeCell ref="I163:J163"/>
    <mergeCell ref="A160:B160"/>
    <mergeCell ref="C160:D160"/>
    <mergeCell ref="E160:F160"/>
    <mergeCell ref="G160:H160"/>
    <mergeCell ref="I160:J160"/>
    <mergeCell ref="A161:B161"/>
    <mergeCell ref="C161:D161"/>
    <mergeCell ref="E161:F161"/>
    <mergeCell ref="G161:H161"/>
    <mergeCell ref="I161:J161"/>
    <mergeCell ref="A158:E158"/>
    <mergeCell ref="A159:B159"/>
    <mergeCell ref="C159:D159"/>
    <mergeCell ref="E159:F159"/>
    <mergeCell ref="G159:H159"/>
    <mergeCell ref="I159:J159"/>
    <mergeCell ref="A155:B155"/>
    <mergeCell ref="C155:D155"/>
    <mergeCell ref="E155:F155"/>
    <mergeCell ref="G155:H155"/>
    <mergeCell ref="I155:J155"/>
    <mergeCell ref="A156:B156"/>
    <mergeCell ref="C156:D156"/>
    <mergeCell ref="E156:F156"/>
    <mergeCell ref="G156:H156"/>
    <mergeCell ref="I156:J156"/>
    <mergeCell ref="A153:B153"/>
    <mergeCell ref="C153:D153"/>
    <mergeCell ref="E153:F153"/>
    <mergeCell ref="G153:H153"/>
    <mergeCell ref="I153:J153"/>
    <mergeCell ref="A154:B154"/>
    <mergeCell ref="C154:D154"/>
    <mergeCell ref="E154:F154"/>
    <mergeCell ref="G154:H154"/>
    <mergeCell ref="I154:J154"/>
    <mergeCell ref="A151:B151"/>
    <mergeCell ref="C151:D151"/>
    <mergeCell ref="E151:F151"/>
    <mergeCell ref="G151:H151"/>
    <mergeCell ref="I151:J151"/>
    <mergeCell ref="A152:B152"/>
    <mergeCell ref="C152:D152"/>
    <mergeCell ref="E152:F152"/>
    <mergeCell ref="G152:H152"/>
    <mergeCell ref="I152:J152"/>
    <mergeCell ref="A149:B149"/>
    <mergeCell ref="C149:D149"/>
    <mergeCell ref="E149:F149"/>
    <mergeCell ref="G149:H149"/>
    <mergeCell ref="I149:J149"/>
    <mergeCell ref="A150:B150"/>
    <mergeCell ref="C150:D150"/>
    <mergeCell ref="E150:F150"/>
    <mergeCell ref="G150:H150"/>
    <mergeCell ref="I150:J150"/>
    <mergeCell ref="A147:B147"/>
    <mergeCell ref="C147:D147"/>
    <mergeCell ref="E147:F147"/>
    <mergeCell ref="G147:H147"/>
    <mergeCell ref="I147:J147"/>
    <mergeCell ref="A148:B148"/>
    <mergeCell ref="C148:D148"/>
    <mergeCell ref="E148:F148"/>
    <mergeCell ref="G148:H148"/>
    <mergeCell ref="I148:J148"/>
    <mergeCell ref="A145:E145"/>
    <mergeCell ref="A146:B146"/>
    <mergeCell ref="C146:D146"/>
    <mergeCell ref="E146:F146"/>
    <mergeCell ref="G146:H146"/>
    <mergeCell ref="I146:J146"/>
    <mergeCell ref="A142:B142"/>
    <mergeCell ref="C142:D142"/>
    <mergeCell ref="E142:F142"/>
    <mergeCell ref="G142:H142"/>
    <mergeCell ref="I142:J142"/>
    <mergeCell ref="A143:B143"/>
    <mergeCell ref="C143:D143"/>
    <mergeCell ref="E143:F143"/>
    <mergeCell ref="G143:H143"/>
    <mergeCell ref="I143:J143"/>
    <mergeCell ref="A140:B140"/>
    <mergeCell ref="C140:D140"/>
    <mergeCell ref="E140:F140"/>
    <mergeCell ref="G140:H140"/>
    <mergeCell ref="I140:J140"/>
    <mergeCell ref="A141:B141"/>
    <mergeCell ref="C141:D141"/>
    <mergeCell ref="E141:F141"/>
    <mergeCell ref="G141:H141"/>
    <mergeCell ref="I141:J141"/>
    <mergeCell ref="A138:B138"/>
    <mergeCell ref="C138:D138"/>
    <mergeCell ref="E138:F138"/>
    <mergeCell ref="G138:H138"/>
    <mergeCell ref="I138:J138"/>
    <mergeCell ref="A139:B139"/>
    <mergeCell ref="C139:D139"/>
    <mergeCell ref="E139:F139"/>
    <mergeCell ref="G139:H139"/>
    <mergeCell ref="I139:J139"/>
    <mergeCell ref="A136:B136"/>
    <mergeCell ref="C136:D136"/>
    <mergeCell ref="E136:F136"/>
    <mergeCell ref="G136:H136"/>
    <mergeCell ref="I136:J136"/>
    <mergeCell ref="A137:B137"/>
    <mergeCell ref="C137:D137"/>
    <mergeCell ref="E137:F137"/>
    <mergeCell ref="G137:H137"/>
    <mergeCell ref="I137:J137"/>
    <mergeCell ref="A134:B134"/>
    <mergeCell ref="C134:D134"/>
    <mergeCell ref="E134:F134"/>
    <mergeCell ref="G134:H134"/>
    <mergeCell ref="I134:J134"/>
    <mergeCell ref="A135:B135"/>
    <mergeCell ref="C135:D135"/>
    <mergeCell ref="E135:F135"/>
    <mergeCell ref="G135:H135"/>
    <mergeCell ref="I135:J135"/>
    <mergeCell ref="A132:E132"/>
    <mergeCell ref="A133:B133"/>
    <mergeCell ref="C133:D133"/>
    <mergeCell ref="E133:F133"/>
    <mergeCell ref="G133:H133"/>
    <mergeCell ref="I133:J133"/>
    <mergeCell ref="A129:B129"/>
    <mergeCell ref="C129:D129"/>
    <mergeCell ref="E129:F129"/>
    <mergeCell ref="G129:H129"/>
    <mergeCell ref="I129:J129"/>
    <mergeCell ref="A130:B130"/>
    <mergeCell ref="C130:D130"/>
    <mergeCell ref="E130:F130"/>
    <mergeCell ref="G130:H130"/>
    <mergeCell ref="I130:J130"/>
    <mergeCell ref="A127:B127"/>
    <mergeCell ref="C127:D127"/>
    <mergeCell ref="E127:F127"/>
    <mergeCell ref="G127:H127"/>
    <mergeCell ref="I127:J127"/>
    <mergeCell ref="A128:B128"/>
    <mergeCell ref="C128:D128"/>
    <mergeCell ref="E128:F128"/>
    <mergeCell ref="G128:H128"/>
    <mergeCell ref="I128:J128"/>
    <mergeCell ref="A125:B125"/>
    <mergeCell ref="C125:D125"/>
    <mergeCell ref="E125:F125"/>
    <mergeCell ref="G125:H125"/>
    <mergeCell ref="I125:J125"/>
    <mergeCell ref="A126:B126"/>
    <mergeCell ref="C126:D126"/>
    <mergeCell ref="E126:F126"/>
    <mergeCell ref="G126:H126"/>
    <mergeCell ref="I126:J126"/>
    <mergeCell ref="A123:B123"/>
    <mergeCell ref="C123:D123"/>
    <mergeCell ref="E123:F123"/>
    <mergeCell ref="G123:H123"/>
    <mergeCell ref="I123:J123"/>
    <mergeCell ref="A124:B124"/>
    <mergeCell ref="C124:D124"/>
    <mergeCell ref="E124:F124"/>
    <mergeCell ref="G124:H124"/>
    <mergeCell ref="I124:J124"/>
    <mergeCell ref="A121:B121"/>
    <mergeCell ref="C121:D121"/>
    <mergeCell ref="E121:F121"/>
    <mergeCell ref="G121:H121"/>
    <mergeCell ref="I121:J121"/>
    <mergeCell ref="A122:B122"/>
    <mergeCell ref="C122:D122"/>
    <mergeCell ref="E122:F122"/>
    <mergeCell ref="G122:H122"/>
    <mergeCell ref="I122:J122"/>
    <mergeCell ref="A119:E119"/>
    <mergeCell ref="A120:B120"/>
    <mergeCell ref="C120:D120"/>
    <mergeCell ref="E120:F120"/>
    <mergeCell ref="G120:H120"/>
    <mergeCell ref="I120:J120"/>
    <mergeCell ref="A116:B116"/>
    <mergeCell ref="C116:D116"/>
    <mergeCell ref="E116:F116"/>
    <mergeCell ref="G116:H116"/>
    <mergeCell ref="I116:J116"/>
    <mergeCell ref="A117:B117"/>
    <mergeCell ref="C117:D117"/>
    <mergeCell ref="E117:F117"/>
    <mergeCell ref="G117:H117"/>
    <mergeCell ref="I117:J117"/>
    <mergeCell ref="A114:B114"/>
    <mergeCell ref="C114:D114"/>
    <mergeCell ref="E114:F114"/>
    <mergeCell ref="G114:H114"/>
    <mergeCell ref="I114:J114"/>
    <mergeCell ref="A115:B115"/>
    <mergeCell ref="C115:D115"/>
    <mergeCell ref="E115:F115"/>
    <mergeCell ref="G115:H115"/>
    <mergeCell ref="I115:J115"/>
    <mergeCell ref="A112:B112"/>
    <mergeCell ref="C112:D112"/>
    <mergeCell ref="E112:F112"/>
    <mergeCell ref="G112:H112"/>
    <mergeCell ref="I112:J112"/>
    <mergeCell ref="A113:B113"/>
    <mergeCell ref="C113:D113"/>
    <mergeCell ref="E113:F113"/>
    <mergeCell ref="G113:H113"/>
    <mergeCell ref="I113:J113"/>
    <mergeCell ref="A110:B110"/>
    <mergeCell ref="C110:D110"/>
    <mergeCell ref="E110:F110"/>
    <mergeCell ref="G110:H110"/>
    <mergeCell ref="I110:J110"/>
    <mergeCell ref="A111:B111"/>
    <mergeCell ref="C111:D111"/>
    <mergeCell ref="E111:F111"/>
    <mergeCell ref="G111:H111"/>
    <mergeCell ref="I111:J111"/>
    <mergeCell ref="A108:B108"/>
    <mergeCell ref="C108:D108"/>
    <mergeCell ref="E108:F108"/>
    <mergeCell ref="G108:H108"/>
    <mergeCell ref="I108:J108"/>
    <mergeCell ref="A109:B109"/>
    <mergeCell ref="C109:D109"/>
    <mergeCell ref="E109:F109"/>
    <mergeCell ref="G109:H109"/>
    <mergeCell ref="I109:J109"/>
    <mergeCell ref="A106:E106"/>
    <mergeCell ref="A107:B107"/>
    <mergeCell ref="C107:D107"/>
    <mergeCell ref="E107:F107"/>
    <mergeCell ref="G107:H107"/>
    <mergeCell ref="I107:J107"/>
    <mergeCell ref="A103:B103"/>
    <mergeCell ref="C103:D103"/>
    <mergeCell ref="E103:F103"/>
    <mergeCell ref="G103:H103"/>
    <mergeCell ref="I103:J103"/>
    <mergeCell ref="A104:B104"/>
    <mergeCell ref="C104:D104"/>
    <mergeCell ref="E104:F104"/>
    <mergeCell ref="G104:H104"/>
    <mergeCell ref="I104:J104"/>
    <mergeCell ref="A101:B101"/>
    <mergeCell ref="C101:D101"/>
    <mergeCell ref="E101:F101"/>
    <mergeCell ref="G101:H101"/>
    <mergeCell ref="I101:J101"/>
    <mergeCell ref="A102:B102"/>
    <mergeCell ref="C102:D102"/>
    <mergeCell ref="E102:F102"/>
    <mergeCell ref="G102:H102"/>
    <mergeCell ref="I102:J102"/>
    <mergeCell ref="A99:B99"/>
    <mergeCell ref="C99:D99"/>
    <mergeCell ref="E99:F99"/>
    <mergeCell ref="G99:H99"/>
    <mergeCell ref="I99:J99"/>
    <mergeCell ref="A100:B100"/>
    <mergeCell ref="C100:D100"/>
    <mergeCell ref="E100:F100"/>
    <mergeCell ref="G100:H100"/>
    <mergeCell ref="I100:J100"/>
    <mergeCell ref="A97:B97"/>
    <mergeCell ref="C97:D97"/>
    <mergeCell ref="E97:F97"/>
    <mergeCell ref="G97:H97"/>
    <mergeCell ref="I97:J97"/>
    <mergeCell ref="A98:B98"/>
    <mergeCell ref="C98:D98"/>
    <mergeCell ref="E98:F98"/>
    <mergeCell ref="G98:H98"/>
    <mergeCell ref="I98:J98"/>
    <mergeCell ref="A95:B95"/>
    <mergeCell ref="C95:D95"/>
    <mergeCell ref="E95:F95"/>
    <mergeCell ref="G95:H95"/>
    <mergeCell ref="I95:J95"/>
    <mergeCell ref="A96:B96"/>
    <mergeCell ref="C96:D96"/>
    <mergeCell ref="E96:F96"/>
    <mergeCell ref="G96:H96"/>
    <mergeCell ref="I96:J96"/>
    <mergeCell ref="A93:E93"/>
    <mergeCell ref="A94:B94"/>
    <mergeCell ref="C94:D94"/>
    <mergeCell ref="E94:F94"/>
    <mergeCell ref="G94:H94"/>
    <mergeCell ref="I94:J94"/>
    <mergeCell ref="A90:B90"/>
    <mergeCell ref="C90:D90"/>
    <mergeCell ref="E90:F90"/>
    <mergeCell ref="G90:H90"/>
    <mergeCell ref="I90:J90"/>
    <mergeCell ref="A91:B91"/>
    <mergeCell ref="C91:D91"/>
    <mergeCell ref="E91:F91"/>
    <mergeCell ref="G91:H91"/>
    <mergeCell ref="I91:J91"/>
    <mergeCell ref="A88:B88"/>
    <mergeCell ref="C88:D88"/>
    <mergeCell ref="E88:F88"/>
    <mergeCell ref="G88:H88"/>
    <mergeCell ref="I88:J88"/>
    <mergeCell ref="A89:B89"/>
    <mergeCell ref="C89:D89"/>
    <mergeCell ref="E89:F89"/>
    <mergeCell ref="G89:H89"/>
    <mergeCell ref="I89:J89"/>
    <mergeCell ref="A86:B86"/>
    <mergeCell ref="C86:D86"/>
    <mergeCell ref="E86:F86"/>
    <mergeCell ref="G86:H86"/>
    <mergeCell ref="I86:J86"/>
    <mergeCell ref="A87:B87"/>
    <mergeCell ref="C87:D87"/>
    <mergeCell ref="E87:F87"/>
    <mergeCell ref="G87:H87"/>
    <mergeCell ref="I87:J87"/>
    <mergeCell ref="A84:B84"/>
    <mergeCell ref="C84:D84"/>
    <mergeCell ref="E84:F84"/>
    <mergeCell ref="G84:H84"/>
    <mergeCell ref="I84:J84"/>
    <mergeCell ref="A85:B85"/>
    <mergeCell ref="C85:D85"/>
    <mergeCell ref="E85:F85"/>
    <mergeCell ref="G85:H85"/>
    <mergeCell ref="I85:J85"/>
    <mergeCell ref="A82:B82"/>
    <mergeCell ref="C82:D82"/>
    <mergeCell ref="E82:F82"/>
    <mergeCell ref="G82:H82"/>
    <mergeCell ref="I82:J82"/>
    <mergeCell ref="A83:B83"/>
    <mergeCell ref="C83:D83"/>
    <mergeCell ref="E83:F83"/>
    <mergeCell ref="G83:H83"/>
    <mergeCell ref="I83:J83"/>
    <mergeCell ref="A80:E80"/>
    <mergeCell ref="A81:B81"/>
    <mergeCell ref="C81:D81"/>
    <mergeCell ref="E81:F81"/>
    <mergeCell ref="G81:H81"/>
    <mergeCell ref="I81:J81"/>
    <mergeCell ref="A77:B77"/>
    <mergeCell ref="C77:D77"/>
    <mergeCell ref="E77:F77"/>
    <mergeCell ref="G77:H77"/>
    <mergeCell ref="I77:J77"/>
    <mergeCell ref="A78:B78"/>
    <mergeCell ref="C78:D78"/>
    <mergeCell ref="E78:F78"/>
    <mergeCell ref="G78:H78"/>
    <mergeCell ref="I78:J78"/>
    <mergeCell ref="A75:B75"/>
    <mergeCell ref="C75:D75"/>
    <mergeCell ref="E75:F75"/>
    <mergeCell ref="G75:H75"/>
    <mergeCell ref="I75:J75"/>
    <mergeCell ref="A76:B76"/>
    <mergeCell ref="C76:D76"/>
    <mergeCell ref="E76:F76"/>
    <mergeCell ref="G76:H76"/>
    <mergeCell ref="I76:J76"/>
    <mergeCell ref="A73:B73"/>
    <mergeCell ref="C73:D73"/>
    <mergeCell ref="E73:F73"/>
    <mergeCell ref="G73:H73"/>
    <mergeCell ref="I73:J73"/>
    <mergeCell ref="A74:B74"/>
    <mergeCell ref="C74:D74"/>
    <mergeCell ref="E74:F74"/>
    <mergeCell ref="G74:H74"/>
    <mergeCell ref="I74:J74"/>
    <mergeCell ref="A71:B71"/>
    <mergeCell ref="C71:D71"/>
    <mergeCell ref="E71:F71"/>
    <mergeCell ref="G71:H71"/>
    <mergeCell ref="I71:J71"/>
    <mergeCell ref="A72:B72"/>
    <mergeCell ref="C72:D72"/>
    <mergeCell ref="E72:F72"/>
    <mergeCell ref="G72:H72"/>
    <mergeCell ref="I72:J72"/>
    <mergeCell ref="A69:B69"/>
    <mergeCell ref="C69:D69"/>
    <mergeCell ref="E69:F69"/>
    <mergeCell ref="G69:H69"/>
    <mergeCell ref="I69:J69"/>
    <mergeCell ref="A70:B70"/>
    <mergeCell ref="C70:D70"/>
    <mergeCell ref="E70:F70"/>
    <mergeCell ref="G70:H70"/>
    <mergeCell ref="I70:J70"/>
    <mergeCell ref="A67:E67"/>
    <mergeCell ref="A68:B68"/>
    <mergeCell ref="C68:D68"/>
    <mergeCell ref="E68:F68"/>
    <mergeCell ref="G68:H68"/>
    <mergeCell ref="I68:J68"/>
    <mergeCell ref="A64:B64"/>
    <mergeCell ref="C64:D64"/>
    <mergeCell ref="E64:F64"/>
    <mergeCell ref="G64:H64"/>
    <mergeCell ref="I64:J64"/>
    <mergeCell ref="A65:B65"/>
    <mergeCell ref="C65:D65"/>
    <mergeCell ref="E65:F65"/>
    <mergeCell ref="G65:H65"/>
    <mergeCell ref="I65:J65"/>
    <mergeCell ref="A62:B62"/>
    <mergeCell ref="C62:D62"/>
    <mergeCell ref="E62:F62"/>
    <mergeCell ref="G62:H62"/>
    <mergeCell ref="I62:J62"/>
    <mergeCell ref="A63:B63"/>
    <mergeCell ref="C63:D63"/>
    <mergeCell ref="E63:F63"/>
    <mergeCell ref="G63:H63"/>
    <mergeCell ref="I63:J63"/>
    <mergeCell ref="A60:B60"/>
    <mergeCell ref="C60:D60"/>
    <mergeCell ref="E60:F60"/>
    <mergeCell ref="G60:H60"/>
    <mergeCell ref="I60:J60"/>
    <mergeCell ref="A61:B61"/>
    <mergeCell ref="C61:D61"/>
    <mergeCell ref="E61:F61"/>
    <mergeCell ref="G61:H61"/>
    <mergeCell ref="I61:J61"/>
    <mergeCell ref="A58:B58"/>
    <mergeCell ref="C58:D58"/>
    <mergeCell ref="E58:F58"/>
    <mergeCell ref="G58:H58"/>
    <mergeCell ref="I58:J58"/>
    <mergeCell ref="A59:B59"/>
    <mergeCell ref="C59:D59"/>
    <mergeCell ref="E59:F59"/>
    <mergeCell ref="G59:H59"/>
    <mergeCell ref="I59:J59"/>
    <mergeCell ref="A56:B56"/>
    <mergeCell ref="C56:D56"/>
    <mergeCell ref="E56:F56"/>
    <mergeCell ref="G56:H56"/>
    <mergeCell ref="I56:J56"/>
    <mergeCell ref="A57:B57"/>
    <mergeCell ref="C57:D57"/>
    <mergeCell ref="E57:F57"/>
    <mergeCell ref="G57:H57"/>
    <mergeCell ref="I57:J57"/>
    <mergeCell ref="A54:E54"/>
    <mergeCell ref="A55:B55"/>
    <mergeCell ref="C55:D55"/>
    <mergeCell ref="E55:F55"/>
    <mergeCell ref="G55:H55"/>
    <mergeCell ref="I55:J55"/>
    <mergeCell ref="A51:B51"/>
    <mergeCell ref="C51:D51"/>
    <mergeCell ref="E51:F51"/>
    <mergeCell ref="G51:H51"/>
    <mergeCell ref="I51:J51"/>
    <mergeCell ref="A52:B52"/>
    <mergeCell ref="C52:D52"/>
    <mergeCell ref="E52:F52"/>
    <mergeCell ref="G52:H52"/>
    <mergeCell ref="I52:J52"/>
    <mergeCell ref="A49:B49"/>
    <mergeCell ref="C49:D49"/>
    <mergeCell ref="E49:F49"/>
    <mergeCell ref="G49:H49"/>
    <mergeCell ref="I49:J49"/>
    <mergeCell ref="A50:B50"/>
    <mergeCell ref="C50:D50"/>
    <mergeCell ref="E50:F50"/>
    <mergeCell ref="G50:H50"/>
    <mergeCell ref="I50:J50"/>
    <mergeCell ref="A47:B47"/>
    <mergeCell ref="C47:D47"/>
    <mergeCell ref="E47:F47"/>
    <mergeCell ref="G47:H47"/>
    <mergeCell ref="I47:J47"/>
    <mergeCell ref="A48:B48"/>
    <mergeCell ref="C48:D48"/>
    <mergeCell ref="E48:F48"/>
    <mergeCell ref="G48:H48"/>
    <mergeCell ref="I48:J48"/>
    <mergeCell ref="A45:B45"/>
    <mergeCell ref="C45:D45"/>
    <mergeCell ref="E45:F45"/>
    <mergeCell ref="G45:H45"/>
    <mergeCell ref="I45:J45"/>
    <mergeCell ref="A46:B46"/>
    <mergeCell ref="C46:D46"/>
    <mergeCell ref="E46:F46"/>
    <mergeCell ref="G46:H46"/>
    <mergeCell ref="I46:J46"/>
    <mergeCell ref="A43:B43"/>
    <mergeCell ref="C43:D43"/>
    <mergeCell ref="E43:F43"/>
    <mergeCell ref="G43:H43"/>
    <mergeCell ref="I43:J43"/>
    <mergeCell ref="A44:B44"/>
    <mergeCell ref="C44:D44"/>
    <mergeCell ref="E44:F44"/>
    <mergeCell ref="G44:H44"/>
    <mergeCell ref="I44:J44"/>
    <mergeCell ref="A41:E41"/>
    <mergeCell ref="A42:B42"/>
    <mergeCell ref="C42:D42"/>
    <mergeCell ref="E42:F42"/>
    <mergeCell ref="G42:H42"/>
    <mergeCell ref="I42:J42"/>
    <mergeCell ref="A38:B38"/>
    <mergeCell ref="C38:D38"/>
    <mergeCell ref="E38:F38"/>
    <mergeCell ref="G38:H38"/>
    <mergeCell ref="I38:J38"/>
    <mergeCell ref="A39:B39"/>
    <mergeCell ref="C39:D39"/>
    <mergeCell ref="E39:F39"/>
    <mergeCell ref="G39:H39"/>
    <mergeCell ref="I39:J39"/>
    <mergeCell ref="A36:B36"/>
    <mergeCell ref="C36:D36"/>
    <mergeCell ref="E36:F36"/>
    <mergeCell ref="G36:H36"/>
    <mergeCell ref="I36:J36"/>
    <mergeCell ref="A37:B37"/>
    <mergeCell ref="C37:D37"/>
    <mergeCell ref="E37:F37"/>
    <mergeCell ref="G37:H37"/>
    <mergeCell ref="I37:J37"/>
    <mergeCell ref="A34:B34"/>
    <mergeCell ref="C34:D34"/>
    <mergeCell ref="E34:F34"/>
    <mergeCell ref="G34:H34"/>
    <mergeCell ref="I34:J34"/>
    <mergeCell ref="A35:B35"/>
    <mergeCell ref="C35:D35"/>
    <mergeCell ref="E35:F35"/>
    <mergeCell ref="G35:H35"/>
    <mergeCell ref="I35:J35"/>
    <mergeCell ref="A32:B32"/>
    <mergeCell ref="C32:D32"/>
    <mergeCell ref="E32:F32"/>
    <mergeCell ref="G32:H32"/>
    <mergeCell ref="I32:J32"/>
    <mergeCell ref="A33:B33"/>
    <mergeCell ref="C33:D33"/>
    <mergeCell ref="E33:F33"/>
    <mergeCell ref="G33:H33"/>
    <mergeCell ref="I33:J33"/>
    <mergeCell ref="A30:B30"/>
    <mergeCell ref="C30:D30"/>
    <mergeCell ref="E30:F30"/>
    <mergeCell ref="G30:H30"/>
    <mergeCell ref="I30:J30"/>
    <mergeCell ref="A31:B31"/>
    <mergeCell ref="C31:D31"/>
    <mergeCell ref="E31:F31"/>
    <mergeCell ref="G31:H31"/>
    <mergeCell ref="I31:J31"/>
    <mergeCell ref="A28:E28"/>
    <mergeCell ref="A29:B29"/>
    <mergeCell ref="C29:D29"/>
    <mergeCell ref="E29:F29"/>
    <mergeCell ref="G29:H29"/>
    <mergeCell ref="I29:J29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21:B21"/>
    <mergeCell ref="C21:D21"/>
    <mergeCell ref="E21:F21"/>
    <mergeCell ref="G21:H21"/>
    <mergeCell ref="I21:J21"/>
    <mergeCell ref="A22:B22"/>
    <mergeCell ref="C22:D22"/>
    <mergeCell ref="E22:F22"/>
    <mergeCell ref="G22:H22"/>
    <mergeCell ref="I22:J22"/>
    <mergeCell ref="A19:B19"/>
    <mergeCell ref="C19:D19"/>
    <mergeCell ref="E19:F19"/>
    <mergeCell ref="G19:H19"/>
    <mergeCell ref="I19:J19"/>
    <mergeCell ref="A20:B20"/>
    <mergeCell ref="C20:D20"/>
    <mergeCell ref="E20:F20"/>
    <mergeCell ref="G20:H20"/>
    <mergeCell ref="I20:J20"/>
    <mergeCell ref="A17:B17"/>
    <mergeCell ref="C17:D17"/>
    <mergeCell ref="E17:F17"/>
    <mergeCell ref="G17:H17"/>
    <mergeCell ref="I17:J17"/>
    <mergeCell ref="A18:B18"/>
    <mergeCell ref="C18:D18"/>
    <mergeCell ref="E18:F18"/>
    <mergeCell ref="G18:H18"/>
    <mergeCell ref="I18:J18"/>
    <mergeCell ref="A15:E15"/>
    <mergeCell ref="A16:B16"/>
    <mergeCell ref="C16:D16"/>
    <mergeCell ref="E16:F16"/>
    <mergeCell ref="G16:H16"/>
    <mergeCell ref="I16:J16"/>
    <mergeCell ref="A12:B12"/>
    <mergeCell ref="C12:D12"/>
    <mergeCell ref="E12:F12"/>
    <mergeCell ref="G12:H12"/>
    <mergeCell ref="I12:J12"/>
    <mergeCell ref="A13:B13"/>
    <mergeCell ref="C13:D13"/>
    <mergeCell ref="E13:F13"/>
    <mergeCell ref="G13:H13"/>
    <mergeCell ref="I13:J13"/>
    <mergeCell ref="A10:B10"/>
    <mergeCell ref="C10:D10"/>
    <mergeCell ref="E10:F10"/>
    <mergeCell ref="G10:H10"/>
    <mergeCell ref="I10:J10"/>
    <mergeCell ref="A11:B11"/>
    <mergeCell ref="C11:D11"/>
    <mergeCell ref="E11:F11"/>
    <mergeCell ref="G11:H11"/>
    <mergeCell ref="I11:J11"/>
    <mergeCell ref="A8:B8"/>
    <mergeCell ref="C8:D8"/>
    <mergeCell ref="E8:F8"/>
    <mergeCell ref="G8:H8"/>
    <mergeCell ref="I8:J8"/>
    <mergeCell ref="A9:B9"/>
    <mergeCell ref="C9:D9"/>
    <mergeCell ref="E9:F9"/>
    <mergeCell ref="G9:H9"/>
    <mergeCell ref="I9:J9"/>
    <mergeCell ref="A2:E2"/>
    <mergeCell ref="A3:B3"/>
    <mergeCell ref="C3:D3"/>
    <mergeCell ref="E3:F3"/>
    <mergeCell ref="G3:H3"/>
    <mergeCell ref="I3:J3"/>
    <mergeCell ref="A6:B6"/>
    <mergeCell ref="C6:D6"/>
    <mergeCell ref="E6:F6"/>
    <mergeCell ref="G6:H6"/>
    <mergeCell ref="I6:J6"/>
    <mergeCell ref="A7:B7"/>
    <mergeCell ref="C7:D7"/>
    <mergeCell ref="E7:F7"/>
    <mergeCell ref="G7:H7"/>
    <mergeCell ref="I7:J7"/>
    <mergeCell ref="A4:B4"/>
    <mergeCell ref="C4:D4"/>
    <mergeCell ref="E4:F4"/>
    <mergeCell ref="G4:H4"/>
    <mergeCell ref="I4:J4"/>
    <mergeCell ref="A5:B5"/>
    <mergeCell ref="C5:D5"/>
    <mergeCell ref="E5:F5"/>
    <mergeCell ref="G5:H5"/>
    <mergeCell ref="I5:J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J278"/>
  <sheetViews>
    <sheetView zoomScaleNormal="100" workbookViewId="0">
      <selection activeCell="M9" sqref="M9"/>
    </sheetView>
  </sheetViews>
  <sheetFormatPr defaultRowHeight="15" x14ac:dyDescent="0.25"/>
  <cols>
    <col min="1" max="16384" width="9.140625" style="1"/>
  </cols>
  <sheetData>
    <row r="2" spans="1:10" s="8" customFormat="1" ht="15" customHeight="1" x14ac:dyDescent="0.25">
      <c r="A2" s="142" t="s">
        <v>4</v>
      </c>
      <c r="B2" s="142"/>
      <c r="C2" s="142"/>
      <c r="D2" s="142"/>
      <c r="E2" s="142"/>
      <c r="F2" s="142"/>
      <c r="G2" s="142"/>
      <c r="H2" s="142"/>
      <c r="I2" s="142"/>
    </row>
    <row r="3" spans="1:10" s="8" customFormat="1" ht="57" customHeight="1" x14ac:dyDescent="0.25">
      <c r="A3" s="10" t="s">
        <v>0</v>
      </c>
      <c r="B3" s="10"/>
      <c r="C3" s="10" t="s">
        <v>1</v>
      </c>
      <c r="D3" s="10"/>
      <c r="E3" s="10"/>
      <c r="F3" s="10" t="s">
        <v>2</v>
      </c>
      <c r="G3" s="10"/>
      <c r="H3" s="10" t="s">
        <v>3</v>
      </c>
    </row>
    <row r="4" spans="1:10" s="8" customFormat="1" x14ac:dyDescent="0.25">
      <c r="A4" s="11" t="s">
        <v>4</v>
      </c>
      <c r="B4" s="11"/>
      <c r="C4" s="12" t="s">
        <v>5</v>
      </c>
      <c r="D4" s="12"/>
      <c r="E4" s="12"/>
      <c r="F4" s="12" t="s">
        <v>6</v>
      </c>
      <c r="G4" s="12"/>
      <c r="H4" s="12" t="s">
        <v>7</v>
      </c>
    </row>
    <row r="5" spans="1:10" s="8" customFormat="1" ht="36" x14ac:dyDescent="0.25">
      <c r="A5" s="11" t="s">
        <v>4</v>
      </c>
      <c r="B5" s="11"/>
      <c r="C5" s="11" t="s">
        <v>8</v>
      </c>
      <c r="D5" s="11"/>
      <c r="E5" s="11"/>
      <c r="F5" s="512" t="s">
        <v>539</v>
      </c>
      <c r="G5" s="469"/>
      <c r="H5" s="11" t="s">
        <v>9</v>
      </c>
      <c r="J5" s="11" t="s">
        <v>8</v>
      </c>
    </row>
    <row r="6" spans="1:10" s="8" customFormat="1" ht="36" x14ac:dyDescent="0.25">
      <c r="A6" s="11" t="s">
        <v>5</v>
      </c>
      <c r="B6" s="11"/>
      <c r="C6" s="11" t="s">
        <v>10</v>
      </c>
      <c r="D6" s="11"/>
      <c r="E6" s="11"/>
      <c r="F6" s="512">
        <v>244</v>
      </c>
      <c r="G6" s="469"/>
      <c r="H6" s="11" t="s">
        <v>9</v>
      </c>
      <c r="J6" s="11" t="s">
        <v>10</v>
      </c>
    </row>
    <row r="7" spans="1:10" s="8" customFormat="1" ht="36" x14ac:dyDescent="0.25">
      <c r="A7" s="11" t="s">
        <v>6</v>
      </c>
      <c r="B7" s="11"/>
      <c r="C7" s="11" t="s">
        <v>11</v>
      </c>
      <c r="D7" s="11"/>
      <c r="E7" s="11"/>
      <c r="F7" s="512">
        <v>16</v>
      </c>
      <c r="G7" s="469"/>
      <c r="H7" s="11" t="s">
        <v>9</v>
      </c>
      <c r="J7" s="11" t="s">
        <v>11</v>
      </c>
    </row>
    <row r="8" spans="1:10" s="8" customFormat="1" ht="36" x14ac:dyDescent="0.25">
      <c r="A8" s="11" t="s">
        <v>12</v>
      </c>
      <c r="B8" s="11"/>
      <c r="C8" s="11" t="s">
        <v>13</v>
      </c>
      <c r="D8" s="11"/>
      <c r="E8" s="11"/>
      <c r="F8" s="512">
        <v>12.2</v>
      </c>
      <c r="G8" s="469"/>
      <c r="H8" s="11" t="s">
        <v>9</v>
      </c>
      <c r="J8" s="11" t="s">
        <v>13</v>
      </c>
    </row>
    <row r="9" spans="1:10" s="8" customFormat="1" ht="72" x14ac:dyDescent="0.25">
      <c r="A9" s="11" t="s">
        <v>7</v>
      </c>
      <c r="B9" s="11"/>
      <c r="C9" s="11" t="s">
        <v>14</v>
      </c>
      <c r="D9" s="11"/>
      <c r="E9" s="11"/>
      <c r="F9" s="512">
        <v>54</v>
      </c>
      <c r="G9" s="469"/>
      <c r="H9" s="11" t="s">
        <v>9</v>
      </c>
      <c r="J9" s="11" t="s">
        <v>14</v>
      </c>
    </row>
    <row r="10" spans="1:10" s="8" customFormat="1" x14ac:dyDescent="0.25">
      <c r="A10" s="9"/>
      <c r="B10" s="9"/>
      <c r="C10" s="9"/>
      <c r="D10" s="9"/>
      <c r="E10" s="9"/>
      <c r="F10" s="9"/>
      <c r="G10" s="9"/>
      <c r="H10" s="9"/>
    </row>
    <row r="11" spans="1:10" ht="15" customHeight="1" x14ac:dyDescent="0.25">
      <c r="A11" s="142" t="s">
        <v>5</v>
      </c>
      <c r="B11" s="142"/>
      <c r="C11" s="142"/>
      <c r="D11" s="142"/>
      <c r="E11" s="142"/>
      <c r="F11" s="142"/>
      <c r="G11" s="142" t="s">
        <v>459</v>
      </c>
      <c r="H11" s="142"/>
      <c r="I11" s="142"/>
    </row>
    <row r="12" spans="1:10" ht="57" customHeight="1" x14ac:dyDescent="0.25">
      <c r="A12" s="5" t="s">
        <v>0</v>
      </c>
      <c r="B12" s="5"/>
      <c r="C12" s="5" t="s">
        <v>1</v>
      </c>
      <c r="D12" s="5"/>
      <c r="E12" s="5"/>
      <c r="F12" s="5" t="s">
        <v>2</v>
      </c>
      <c r="G12" s="5"/>
      <c r="H12" s="5" t="s">
        <v>3</v>
      </c>
    </row>
    <row r="13" spans="1:10" x14ac:dyDescent="0.25">
      <c r="A13" s="6" t="s">
        <v>4</v>
      </c>
      <c r="B13" s="6"/>
      <c r="C13" s="7" t="s">
        <v>5</v>
      </c>
      <c r="D13" s="7"/>
      <c r="E13" s="7"/>
      <c r="F13" s="376" t="s">
        <v>6</v>
      </c>
      <c r="G13" s="7"/>
      <c r="H13" s="7" t="s">
        <v>7</v>
      </c>
    </row>
    <row r="14" spans="1:10" ht="36" x14ac:dyDescent="0.25">
      <c r="A14" s="6"/>
      <c r="B14" s="6"/>
      <c r="C14" s="11" t="s">
        <v>8</v>
      </c>
      <c r="D14" s="6"/>
      <c r="E14" s="6"/>
      <c r="F14" s="513">
        <v>3.2</v>
      </c>
      <c r="G14" s="470"/>
      <c r="H14" s="6"/>
    </row>
    <row r="15" spans="1:10" ht="36" x14ac:dyDescent="0.25">
      <c r="A15" s="6"/>
      <c r="B15" s="6"/>
      <c r="C15" s="11" t="s">
        <v>10</v>
      </c>
      <c r="D15" s="6"/>
      <c r="E15" s="6"/>
      <c r="F15" s="513">
        <v>278</v>
      </c>
      <c r="G15" s="470"/>
      <c r="H15" s="6"/>
    </row>
    <row r="16" spans="1:10" ht="36" x14ac:dyDescent="0.25">
      <c r="A16" s="6"/>
      <c r="B16" s="6"/>
      <c r="C16" s="11" t="s">
        <v>11</v>
      </c>
      <c r="D16" s="6"/>
      <c r="E16" s="6"/>
      <c r="F16" s="513">
        <v>13.2</v>
      </c>
      <c r="G16" s="470"/>
      <c r="H16" s="6"/>
    </row>
    <row r="17" spans="1:9" ht="36" x14ac:dyDescent="0.25">
      <c r="A17" s="6"/>
      <c r="B17" s="6"/>
      <c r="C17" s="11" t="s">
        <v>13</v>
      </c>
      <c r="D17" s="6"/>
      <c r="E17" s="6"/>
      <c r="F17" s="513">
        <v>13</v>
      </c>
      <c r="G17" s="470"/>
      <c r="H17" s="6"/>
    </row>
    <row r="18" spans="1:9" ht="72" x14ac:dyDescent="0.25">
      <c r="A18" s="6"/>
      <c r="B18" s="6"/>
      <c r="C18" s="11" t="s">
        <v>14</v>
      </c>
      <c r="D18" s="6"/>
      <c r="E18" s="6"/>
      <c r="F18" s="513">
        <v>55</v>
      </c>
      <c r="G18" s="470"/>
      <c r="H18" s="6"/>
    </row>
    <row r="19" spans="1:9" x14ac:dyDescent="0.25">
      <c r="A19" s="3"/>
      <c r="B19" s="3"/>
      <c r="C19" s="3"/>
      <c r="D19" s="3"/>
      <c r="E19" s="3"/>
      <c r="F19" s="3"/>
      <c r="G19" s="3"/>
      <c r="H19" s="3"/>
    </row>
    <row r="20" spans="1:9" s="8" customFormat="1" ht="15" customHeight="1" x14ac:dyDescent="0.25">
      <c r="A20" s="142" t="s">
        <v>6</v>
      </c>
      <c r="B20" s="142"/>
      <c r="C20" s="142"/>
      <c r="D20" s="142"/>
      <c r="E20" s="142"/>
      <c r="F20" s="142"/>
      <c r="G20" s="142" t="s">
        <v>459</v>
      </c>
      <c r="H20" s="142"/>
      <c r="I20" s="142"/>
    </row>
    <row r="21" spans="1:9" s="8" customFormat="1" ht="57" customHeight="1" x14ac:dyDescent="0.25">
      <c r="A21" s="5" t="s">
        <v>0</v>
      </c>
      <c r="B21" s="5"/>
      <c r="C21" s="5" t="s">
        <v>1</v>
      </c>
      <c r="D21" s="5"/>
      <c r="E21" s="5"/>
      <c r="F21" s="5" t="s">
        <v>2</v>
      </c>
      <c r="G21" s="5"/>
      <c r="H21" s="5" t="s">
        <v>3</v>
      </c>
    </row>
    <row r="22" spans="1:9" s="8" customFormat="1" x14ac:dyDescent="0.25">
      <c r="A22" s="6" t="s">
        <v>4</v>
      </c>
      <c r="B22" s="6"/>
      <c r="C22" s="7" t="s">
        <v>5</v>
      </c>
      <c r="D22" s="7"/>
      <c r="E22" s="7"/>
      <c r="F22" s="376" t="s">
        <v>6</v>
      </c>
      <c r="G22" s="7"/>
      <c r="H22" s="7" t="s">
        <v>7</v>
      </c>
    </row>
    <row r="23" spans="1:9" s="8" customFormat="1" ht="36" x14ac:dyDescent="0.25">
      <c r="A23" s="6"/>
      <c r="B23" s="6"/>
      <c r="C23" s="11" t="s">
        <v>8</v>
      </c>
      <c r="D23" s="6"/>
      <c r="E23" s="6"/>
      <c r="F23" s="514" t="s">
        <v>539</v>
      </c>
      <c r="G23" s="471"/>
      <c r="H23" s="6"/>
    </row>
    <row r="24" spans="1:9" s="8" customFormat="1" ht="36" x14ac:dyDescent="0.25">
      <c r="A24" s="6"/>
      <c r="B24" s="6"/>
      <c r="C24" s="11" t="s">
        <v>10</v>
      </c>
      <c r="D24" s="6"/>
      <c r="E24" s="6"/>
      <c r="F24" s="514">
        <v>360</v>
      </c>
      <c r="G24" s="471"/>
      <c r="H24" s="6"/>
    </row>
    <row r="25" spans="1:9" s="8" customFormat="1" ht="36" x14ac:dyDescent="0.25">
      <c r="A25" s="6"/>
      <c r="B25" s="6"/>
      <c r="C25" s="11" t="s">
        <v>11</v>
      </c>
      <c r="D25" s="6"/>
      <c r="E25" s="6"/>
      <c r="F25" s="514">
        <v>16.8</v>
      </c>
      <c r="G25" s="471"/>
      <c r="H25" s="6"/>
    </row>
    <row r="26" spans="1:9" s="8" customFormat="1" ht="36" x14ac:dyDescent="0.25">
      <c r="A26" s="6"/>
      <c r="B26" s="6"/>
      <c r="C26" s="11" t="s">
        <v>13</v>
      </c>
      <c r="D26" s="6"/>
      <c r="E26" s="6"/>
      <c r="F26" s="514">
        <v>26.3</v>
      </c>
      <c r="G26" s="471"/>
      <c r="H26" s="6"/>
    </row>
    <row r="27" spans="1:9" s="8" customFormat="1" ht="72" x14ac:dyDescent="0.25">
      <c r="A27" s="6"/>
      <c r="B27" s="6"/>
      <c r="C27" s="11" t="s">
        <v>14</v>
      </c>
      <c r="D27" s="6"/>
      <c r="E27" s="6"/>
      <c r="F27" s="514">
        <v>83</v>
      </c>
      <c r="G27" s="471"/>
      <c r="H27" s="6"/>
    </row>
    <row r="28" spans="1:9" x14ac:dyDescent="0.25">
      <c r="A28" s="3"/>
      <c r="B28" s="3"/>
      <c r="C28" s="3"/>
      <c r="D28" s="3"/>
      <c r="E28" s="3"/>
      <c r="F28" s="3"/>
      <c r="G28" s="3"/>
      <c r="H28" s="3"/>
    </row>
    <row r="29" spans="1:9" ht="15" customHeight="1" x14ac:dyDescent="0.25">
      <c r="A29" s="142" t="s">
        <v>12</v>
      </c>
      <c r="B29" s="142"/>
      <c r="C29" s="142"/>
      <c r="D29" s="142"/>
      <c r="E29" s="142"/>
      <c r="F29" s="142"/>
      <c r="G29" s="142" t="s">
        <v>459</v>
      </c>
      <c r="H29" s="142"/>
      <c r="I29" s="142"/>
    </row>
    <row r="30" spans="1:9" ht="57" x14ac:dyDescent="0.25">
      <c r="A30" s="5" t="s">
        <v>0</v>
      </c>
      <c r="B30" s="5"/>
      <c r="C30" s="5" t="s">
        <v>1</v>
      </c>
      <c r="D30" s="5"/>
      <c r="E30" s="5"/>
      <c r="F30" s="5" t="s">
        <v>2</v>
      </c>
      <c r="G30" s="5"/>
      <c r="H30" s="5" t="s">
        <v>3</v>
      </c>
    </row>
    <row r="31" spans="1:9" x14ac:dyDescent="0.25">
      <c r="A31" s="6" t="s">
        <v>4</v>
      </c>
      <c r="B31" s="6"/>
      <c r="C31" s="7" t="s">
        <v>5</v>
      </c>
      <c r="D31" s="7"/>
      <c r="E31" s="7"/>
      <c r="F31" s="376" t="s">
        <v>6</v>
      </c>
      <c r="G31" s="7"/>
      <c r="H31" s="7" t="s">
        <v>7</v>
      </c>
    </row>
    <row r="32" spans="1:9" ht="36" x14ac:dyDescent="0.25">
      <c r="A32" s="6"/>
      <c r="B32" s="6"/>
      <c r="C32" s="11" t="s">
        <v>8</v>
      </c>
      <c r="D32" s="6"/>
      <c r="E32" s="6"/>
      <c r="F32" s="515" t="s">
        <v>539</v>
      </c>
      <c r="G32" s="472"/>
      <c r="H32" s="6"/>
    </row>
    <row r="33" spans="1:9" ht="36" x14ac:dyDescent="0.25">
      <c r="A33" s="6"/>
      <c r="B33" s="6"/>
      <c r="C33" s="11" t="s">
        <v>10</v>
      </c>
      <c r="D33" s="6"/>
      <c r="E33" s="6"/>
      <c r="F33" s="515">
        <v>252</v>
      </c>
      <c r="G33" s="472"/>
      <c r="H33" s="6"/>
    </row>
    <row r="34" spans="1:9" ht="36" x14ac:dyDescent="0.25">
      <c r="A34" s="6"/>
      <c r="B34" s="6"/>
      <c r="C34" s="11" t="s">
        <v>11</v>
      </c>
      <c r="D34" s="6"/>
      <c r="E34" s="6"/>
      <c r="F34" s="515">
        <v>15.8</v>
      </c>
      <c r="G34" s="472"/>
      <c r="H34" s="6"/>
    </row>
    <row r="35" spans="1:9" ht="36" x14ac:dyDescent="0.25">
      <c r="A35" s="6"/>
      <c r="B35" s="6"/>
      <c r="C35" s="11" t="s">
        <v>13</v>
      </c>
      <c r="D35" s="6"/>
      <c r="E35" s="6"/>
      <c r="F35" s="515">
        <v>14.6</v>
      </c>
      <c r="G35" s="472"/>
      <c r="H35" s="6"/>
    </row>
    <row r="36" spans="1:9" ht="72" x14ac:dyDescent="0.25">
      <c r="A36" s="6"/>
      <c r="B36" s="6"/>
      <c r="C36" s="11" t="s">
        <v>14</v>
      </c>
      <c r="D36" s="6"/>
      <c r="E36" s="6"/>
      <c r="F36" s="515">
        <v>57</v>
      </c>
      <c r="G36" s="472"/>
      <c r="H36" s="6"/>
    </row>
    <row r="37" spans="1:9" x14ac:dyDescent="0.25">
      <c r="A37" s="3"/>
      <c r="B37" s="3"/>
      <c r="C37" s="3"/>
      <c r="D37" s="3"/>
      <c r="E37" s="3"/>
      <c r="F37" s="3"/>
      <c r="G37" s="3"/>
      <c r="H37" s="3"/>
    </row>
    <row r="38" spans="1:9" ht="15" customHeight="1" x14ac:dyDescent="0.25">
      <c r="A38" s="142" t="s">
        <v>7</v>
      </c>
      <c r="B38" s="142"/>
      <c r="C38" s="142"/>
      <c r="D38" s="142"/>
      <c r="E38" s="142"/>
      <c r="F38" s="142"/>
      <c r="G38" s="142" t="s">
        <v>459</v>
      </c>
      <c r="H38" s="142"/>
      <c r="I38" s="142"/>
    </row>
    <row r="39" spans="1:9" s="8" customFormat="1" ht="57" x14ac:dyDescent="0.25">
      <c r="A39" s="5" t="s">
        <v>0</v>
      </c>
      <c r="B39" s="5"/>
      <c r="C39" s="5" t="s">
        <v>1</v>
      </c>
      <c r="D39" s="5"/>
      <c r="E39" s="5"/>
      <c r="F39" s="5" t="s">
        <v>2</v>
      </c>
      <c r="G39" s="5"/>
      <c r="H39" s="5" t="s">
        <v>3</v>
      </c>
    </row>
    <row r="40" spans="1:9" s="8" customFormat="1" x14ac:dyDescent="0.25">
      <c r="A40" s="6" t="s">
        <v>4</v>
      </c>
      <c r="B40" s="6"/>
      <c r="C40" s="7" t="s">
        <v>5</v>
      </c>
      <c r="D40" s="7"/>
      <c r="E40" s="7"/>
      <c r="F40" s="376" t="s">
        <v>6</v>
      </c>
      <c r="G40" s="7"/>
      <c r="H40" s="7" t="s">
        <v>7</v>
      </c>
    </row>
    <row r="41" spans="1:9" s="8" customFormat="1" ht="36" x14ac:dyDescent="0.25">
      <c r="A41" s="6"/>
      <c r="B41" s="6"/>
      <c r="C41" s="11" t="s">
        <v>8</v>
      </c>
      <c r="D41" s="6"/>
      <c r="E41" s="6"/>
      <c r="F41" s="516" t="s">
        <v>539</v>
      </c>
      <c r="G41" s="473"/>
      <c r="H41" s="6"/>
    </row>
    <row r="42" spans="1:9" s="8" customFormat="1" ht="36" x14ac:dyDescent="0.25">
      <c r="A42" s="6"/>
      <c r="B42" s="6"/>
      <c r="C42" s="11" t="s">
        <v>10</v>
      </c>
      <c r="D42" s="6"/>
      <c r="E42" s="6"/>
      <c r="F42" s="516">
        <v>218</v>
      </c>
      <c r="G42" s="473"/>
      <c r="H42" s="6"/>
    </row>
    <row r="43" spans="1:9" s="8" customFormat="1" ht="36" x14ac:dyDescent="0.25">
      <c r="A43" s="6"/>
      <c r="B43" s="6"/>
      <c r="C43" s="11" t="s">
        <v>11</v>
      </c>
      <c r="D43" s="6"/>
      <c r="E43" s="6"/>
      <c r="F43" s="516">
        <v>15.3</v>
      </c>
      <c r="G43" s="473"/>
      <c r="H43" s="6"/>
    </row>
    <row r="44" spans="1:9" s="8" customFormat="1" ht="36" x14ac:dyDescent="0.25">
      <c r="A44" s="6"/>
      <c r="B44" s="6"/>
      <c r="C44" s="11" t="s">
        <v>13</v>
      </c>
      <c r="D44" s="6"/>
      <c r="E44" s="6"/>
      <c r="F44" s="516">
        <v>13.1</v>
      </c>
      <c r="G44" s="473"/>
      <c r="H44" s="6"/>
    </row>
    <row r="45" spans="1:9" s="8" customFormat="1" ht="72" x14ac:dyDescent="0.25">
      <c r="A45" s="6"/>
      <c r="B45" s="6"/>
      <c r="C45" s="11" t="s">
        <v>14</v>
      </c>
      <c r="D45" s="6"/>
      <c r="E45" s="6"/>
      <c r="F45" s="516">
        <v>52</v>
      </c>
      <c r="G45" s="473"/>
      <c r="H45" s="6"/>
    </row>
    <row r="46" spans="1:9" x14ac:dyDescent="0.25">
      <c r="A46" s="3"/>
      <c r="B46" s="3"/>
      <c r="C46" s="3"/>
      <c r="D46" s="3"/>
      <c r="E46" s="3"/>
      <c r="F46" s="3"/>
      <c r="G46" s="3"/>
      <c r="H46" s="3"/>
    </row>
    <row r="47" spans="1:9" ht="15" customHeight="1" x14ac:dyDescent="0.25">
      <c r="A47" s="142" t="s">
        <v>167</v>
      </c>
      <c r="B47" s="142"/>
      <c r="C47" s="142"/>
      <c r="D47" s="142"/>
      <c r="E47" s="142"/>
      <c r="F47" s="142"/>
      <c r="G47" s="142" t="s">
        <v>459</v>
      </c>
      <c r="H47" s="142"/>
      <c r="I47" s="142"/>
    </row>
    <row r="48" spans="1:9" s="8" customFormat="1" ht="57" x14ac:dyDescent="0.25">
      <c r="A48" s="5" t="s">
        <v>0</v>
      </c>
      <c r="B48" s="5"/>
      <c r="C48" s="5" t="s">
        <v>1</v>
      </c>
      <c r="D48" s="5"/>
      <c r="E48" s="5"/>
      <c r="F48" s="5" t="s">
        <v>2</v>
      </c>
      <c r="G48" s="5"/>
      <c r="H48" s="5" t="s">
        <v>3</v>
      </c>
    </row>
    <row r="49" spans="1:9" s="8" customFormat="1" x14ac:dyDescent="0.25">
      <c r="A49" s="6" t="s">
        <v>4</v>
      </c>
      <c r="B49" s="6"/>
      <c r="C49" s="7" t="s">
        <v>5</v>
      </c>
      <c r="D49" s="7"/>
      <c r="E49" s="7"/>
      <c r="F49" s="376" t="s">
        <v>6</v>
      </c>
      <c r="G49" s="7"/>
      <c r="H49" s="7" t="s">
        <v>7</v>
      </c>
    </row>
    <row r="50" spans="1:9" s="8" customFormat="1" ht="36" x14ac:dyDescent="0.25">
      <c r="A50" s="6"/>
      <c r="B50" s="6"/>
      <c r="C50" s="11" t="s">
        <v>8</v>
      </c>
      <c r="D50" s="6"/>
      <c r="E50" s="6"/>
      <c r="F50" s="517" t="s">
        <v>539</v>
      </c>
      <c r="G50" s="474"/>
      <c r="H50" s="6"/>
    </row>
    <row r="51" spans="1:9" s="8" customFormat="1" ht="36" x14ac:dyDescent="0.25">
      <c r="A51" s="6"/>
      <c r="B51" s="6"/>
      <c r="C51" s="11" t="s">
        <v>10</v>
      </c>
      <c r="D51" s="6"/>
      <c r="E51" s="6"/>
      <c r="F51" s="517">
        <v>278</v>
      </c>
      <c r="G51" s="474"/>
      <c r="H51" s="6"/>
    </row>
    <row r="52" spans="1:9" s="8" customFormat="1" ht="36" x14ac:dyDescent="0.25">
      <c r="A52" s="6"/>
      <c r="B52" s="6"/>
      <c r="C52" s="11" t="s">
        <v>11</v>
      </c>
      <c r="D52" s="6"/>
      <c r="E52" s="6"/>
      <c r="F52" s="517">
        <v>17.600000000000001</v>
      </c>
      <c r="G52" s="474"/>
      <c r="H52" s="6"/>
    </row>
    <row r="53" spans="1:9" s="8" customFormat="1" ht="36" x14ac:dyDescent="0.25">
      <c r="A53" s="6"/>
      <c r="B53" s="6"/>
      <c r="C53" s="11" t="s">
        <v>13</v>
      </c>
      <c r="D53" s="6"/>
      <c r="E53" s="6"/>
      <c r="F53" s="517">
        <v>20.8</v>
      </c>
      <c r="G53" s="474"/>
      <c r="H53" s="6"/>
    </row>
    <row r="54" spans="1:9" s="8" customFormat="1" ht="72" x14ac:dyDescent="0.25">
      <c r="A54" s="6"/>
      <c r="B54" s="6"/>
      <c r="C54" s="11" t="s">
        <v>14</v>
      </c>
      <c r="D54" s="6"/>
      <c r="E54" s="6"/>
      <c r="F54" s="517">
        <v>70</v>
      </c>
      <c r="G54" s="474"/>
      <c r="H54" s="6"/>
    </row>
    <row r="55" spans="1:9" s="8" customFormat="1" x14ac:dyDescent="0.25">
      <c r="A55" s="9"/>
      <c r="B55" s="9"/>
      <c r="C55" s="9"/>
      <c r="D55" s="9"/>
      <c r="E55" s="9"/>
      <c r="F55" s="9"/>
      <c r="G55" s="9"/>
      <c r="H55" s="9"/>
    </row>
    <row r="56" spans="1:9" s="8" customFormat="1" x14ac:dyDescent="0.25">
      <c r="A56" s="9"/>
      <c r="B56" s="9"/>
      <c r="C56" s="9"/>
      <c r="D56" s="9"/>
      <c r="E56" s="9"/>
      <c r="F56" s="9"/>
      <c r="G56" s="9"/>
      <c r="H56" s="9"/>
    </row>
    <row r="57" spans="1:9" s="8" customFormat="1" x14ac:dyDescent="0.25">
      <c r="A57" s="9"/>
      <c r="B57" s="9"/>
      <c r="C57" s="9"/>
      <c r="D57" s="9"/>
      <c r="E57" s="9"/>
      <c r="F57" s="9"/>
      <c r="G57" s="9"/>
      <c r="H57" s="9"/>
    </row>
    <row r="58" spans="1:9" ht="15" customHeight="1" x14ac:dyDescent="0.25">
      <c r="A58" s="142" t="s">
        <v>168</v>
      </c>
      <c r="B58" s="142"/>
      <c r="C58" s="142"/>
      <c r="D58" s="142"/>
      <c r="E58" s="142"/>
      <c r="F58" s="142"/>
      <c r="G58" s="142" t="s">
        <v>459</v>
      </c>
      <c r="H58" s="142"/>
      <c r="I58" s="142"/>
    </row>
    <row r="59" spans="1:9" ht="57" x14ac:dyDescent="0.25">
      <c r="A59" s="5" t="s">
        <v>0</v>
      </c>
      <c r="B59" s="5"/>
      <c r="C59" s="5" t="s">
        <v>1</v>
      </c>
      <c r="D59" s="5"/>
      <c r="E59" s="5"/>
      <c r="F59" s="5" t="s">
        <v>2</v>
      </c>
      <c r="G59" s="5"/>
      <c r="H59" s="5" t="s">
        <v>3</v>
      </c>
    </row>
    <row r="60" spans="1:9" x14ac:dyDescent="0.25">
      <c r="A60" s="6" t="s">
        <v>4</v>
      </c>
      <c r="B60" s="6"/>
      <c r="C60" s="7" t="s">
        <v>5</v>
      </c>
      <c r="D60" s="7"/>
      <c r="E60" s="7"/>
      <c r="F60" s="376" t="s">
        <v>6</v>
      </c>
      <c r="G60" s="7"/>
      <c r="H60" s="7" t="s">
        <v>7</v>
      </c>
    </row>
    <row r="61" spans="1:9" ht="36" x14ac:dyDescent="0.25">
      <c r="A61" s="6"/>
      <c r="B61" s="6"/>
      <c r="C61" s="11" t="s">
        <v>8</v>
      </c>
      <c r="D61" s="6"/>
      <c r="E61" s="6"/>
      <c r="F61" s="518" t="s">
        <v>539</v>
      </c>
      <c r="G61" s="475"/>
      <c r="H61" s="6"/>
    </row>
    <row r="62" spans="1:9" ht="36" x14ac:dyDescent="0.25">
      <c r="A62" s="6"/>
      <c r="B62" s="6"/>
      <c r="C62" s="11" t="s">
        <v>10</v>
      </c>
      <c r="D62" s="6"/>
      <c r="E62" s="6"/>
      <c r="F62" s="518">
        <v>330</v>
      </c>
      <c r="G62" s="475"/>
      <c r="H62" s="6"/>
    </row>
    <row r="63" spans="1:9" ht="36" x14ac:dyDescent="0.25">
      <c r="A63" s="6"/>
      <c r="B63" s="6"/>
      <c r="C63" s="11" t="s">
        <v>11</v>
      </c>
      <c r="D63" s="6"/>
      <c r="E63" s="6"/>
      <c r="F63" s="518">
        <v>15.2</v>
      </c>
      <c r="G63" s="475"/>
      <c r="H63" s="6"/>
    </row>
    <row r="64" spans="1:9" ht="36" x14ac:dyDescent="0.25">
      <c r="A64" s="6"/>
      <c r="B64" s="6"/>
      <c r="C64" s="11" t="s">
        <v>13</v>
      </c>
      <c r="D64" s="6"/>
      <c r="E64" s="6"/>
      <c r="F64" s="518">
        <v>18.600000000000001</v>
      </c>
      <c r="G64" s="475"/>
      <c r="H64" s="6"/>
    </row>
    <row r="65" spans="1:9" ht="72" x14ac:dyDescent="0.25">
      <c r="A65" s="6"/>
      <c r="B65" s="6"/>
      <c r="C65" s="11" t="s">
        <v>14</v>
      </c>
      <c r="D65" s="6"/>
      <c r="E65" s="6"/>
      <c r="F65" s="518">
        <v>69</v>
      </c>
      <c r="G65" s="475"/>
      <c r="H65" s="6"/>
    </row>
    <row r="66" spans="1:9" x14ac:dyDescent="0.25">
      <c r="A66" s="3"/>
      <c r="B66" s="3"/>
      <c r="C66" s="3"/>
      <c r="D66" s="3"/>
      <c r="E66" s="3"/>
      <c r="F66" s="3"/>
      <c r="G66" s="3"/>
      <c r="H66" s="3"/>
    </row>
    <row r="67" spans="1:9" ht="15" customHeight="1" x14ac:dyDescent="0.25">
      <c r="A67" s="142" t="s">
        <v>169</v>
      </c>
      <c r="B67" s="142"/>
      <c r="C67" s="142"/>
      <c r="D67" s="142"/>
      <c r="E67" s="142"/>
      <c r="F67" s="142"/>
      <c r="G67" s="142" t="s">
        <v>459</v>
      </c>
      <c r="H67" s="142"/>
      <c r="I67" s="142"/>
    </row>
    <row r="68" spans="1:9" ht="57" x14ac:dyDescent="0.25">
      <c r="A68" s="5" t="s">
        <v>0</v>
      </c>
      <c r="B68" s="5"/>
      <c r="C68" s="5" t="s">
        <v>1</v>
      </c>
      <c r="D68" s="5"/>
      <c r="E68" s="5"/>
      <c r="F68" s="5" t="s">
        <v>2</v>
      </c>
      <c r="G68" s="5"/>
      <c r="H68" s="5" t="s">
        <v>3</v>
      </c>
    </row>
    <row r="69" spans="1:9" x14ac:dyDescent="0.25">
      <c r="A69" s="6" t="s">
        <v>4</v>
      </c>
      <c r="B69" s="6"/>
      <c r="C69" s="7" t="s">
        <v>5</v>
      </c>
      <c r="D69" s="7"/>
      <c r="E69" s="7"/>
      <c r="F69" s="376" t="s">
        <v>6</v>
      </c>
      <c r="G69" s="7"/>
      <c r="H69" s="7" t="s">
        <v>7</v>
      </c>
    </row>
    <row r="70" spans="1:9" ht="36" x14ac:dyDescent="0.25">
      <c r="A70" s="6"/>
      <c r="B70" s="6"/>
      <c r="C70" s="11" t="s">
        <v>8</v>
      </c>
      <c r="D70" s="6"/>
      <c r="E70" s="6"/>
      <c r="F70" s="519" t="s">
        <v>539</v>
      </c>
      <c r="G70" s="476"/>
      <c r="H70" s="6"/>
    </row>
    <row r="71" spans="1:9" ht="36" x14ac:dyDescent="0.25">
      <c r="A71" s="6"/>
      <c r="B71" s="6"/>
      <c r="C71" s="11" t="s">
        <v>10</v>
      </c>
      <c r="D71" s="6"/>
      <c r="E71" s="6"/>
      <c r="F71" s="519">
        <v>294</v>
      </c>
      <c r="G71" s="476"/>
      <c r="H71" s="6"/>
    </row>
    <row r="72" spans="1:9" ht="36" x14ac:dyDescent="0.25">
      <c r="A72" s="6"/>
      <c r="B72" s="6"/>
      <c r="C72" s="11" t="s">
        <v>11</v>
      </c>
      <c r="D72" s="6"/>
      <c r="E72" s="6"/>
      <c r="F72" s="519">
        <v>13.9</v>
      </c>
      <c r="G72" s="476"/>
      <c r="H72" s="6"/>
    </row>
    <row r="73" spans="1:9" ht="36" x14ac:dyDescent="0.25">
      <c r="A73" s="6"/>
      <c r="B73" s="6"/>
      <c r="C73" s="11" t="s">
        <v>13</v>
      </c>
      <c r="D73" s="6"/>
      <c r="E73" s="6"/>
      <c r="F73" s="519">
        <v>16.2</v>
      </c>
      <c r="G73" s="476"/>
      <c r="H73" s="6"/>
    </row>
    <row r="74" spans="1:9" ht="72" x14ac:dyDescent="0.25">
      <c r="A74" s="6"/>
      <c r="B74" s="6"/>
      <c r="C74" s="11" t="s">
        <v>14</v>
      </c>
      <c r="D74" s="6"/>
      <c r="E74" s="6"/>
      <c r="F74" s="519">
        <v>61</v>
      </c>
      <c r="G74" s="476"/>
      <c r="H74" s="6"/>
    </row>
    <row r="75" spans="1:9" x14ac:dyDescent="0.25">
      <c r="A75" s="3"/>
      <c r="B75" s="3"/>
      <c r="C75" s="3"/>
      <c r="D75" s="3"/>
      <c r="E75" s="3"/>
      <c r="F75" s="3"/>
      <c r="G75" s="3"/>
      <c r="H75" s="3"/>
    </row>
    <row r="76" spans="1:9" ht="15" customHeight="1" x14ac:dyDescent="0.25">
      <c r="A76" s="142" t="s">
        <v>27</v>
      </c>
      <c r="B76" s="142"/>
      <c r="C76" s="142"/>
      <c r="D76" s="142"/>
      <c r="E76" s="142"/>
      <c r="F76" s="142"/>
      <c r="G76" s="142" t="s">
        <v>459</v>
      </c>
      <c r="H76" s="142"/>
      <c r="I76" s="142"/>
    </row>
    <row r="77" spans="1:9" s="8" customFormat="1" ht="57" x14ac:dyDescent="0.25">
      <c r="A77" s="5" t="s">
        <v>0</v>
      </c>
      <c r="B77" s="5"/>
      <c r="C77" s="5" t="s">
        <v>1</v>
      </c>
      <c r="D77" s="5"/>
      <c r="E77" s="5"/>
      <c r="F77" s="5" t="s">
        <v>2</v>
      </c>
      <c r="G77" s="5"/>
      <c r="H77" s="5" t="s">
        <v>3</v>
      </c>
    </row>
    <row r="78" spans="1:9" s="8" customFormat="1" x14ac:dyDescent="0.25">
      <c r="A78" s="6" t="s">
        <v>4</v>
      </c>
      <c r="B78" s="6"/>
      <c r="C78" s="7" t="s">
        <v>5</v>
      </c>
      <c r="D78" s="7"/>
      <c r="E78" s="7"/>
      <c r="F78" s="376" t="s">
        <v>6</v>
      </c>
      <c r="G78" s="7"/>
      <c r="H78" s="7" t="s">
        <v>7</v>
      </c>
    </row>
    <row r="79" spans="1:9" s="8" customFormat="1" ht="36" x14ac:dyDescent="0.25">
      <c r="A79" s="6"/>
      <c r="B79" s="6"/>
      <c r="C79" s="11" t="s">
        <v>8</v>
      </c>
      <c r="D79" s="6"/>
      <c r="E79" s="6"/>
      <c r="F79" s="520">
        <v>5.2</v>
      </c>
      <c r="G79" s="477"/>
      <c r="H79" s="6"/>
    </row>
    <row r="80" spans="1:9" s="8" customFormat="1" ht="36" x14ac:dyDescent="0.25">
      <c r="A80" s="6"/>
      <c r="B80" s="6"/>
      <c r="C80" s="11" t="s">
        <v>10</v>
      </c>
      <c r="D80" s="6"/>
      <c r="E80" s="6"/>
      <c r="F80" s="520">
        <v>235</v>
      </c>
      <c r="G80" s="477"/>
      <c r="H80" s="6"/>
    </row>
    <row r="81" spans="1:9" s="8" customFormat="1" ht="36" x14ac:dyDescent="0.25">
      <c r="A81" s="6"/>
      <c r="B81" s="6"/>
      <c r="C81" s="11" t="s">
        <v>11</v>
      </c>
      <c r="D81" s="6"/>
      <c r="E81" s="6"/>
      <c r="F81" s="520" t="s">
        <v>542</v>
      </c>
      <c r="G81" s="477"/>
      <c r="H81" s="6"/>
    </row>
    <row r="82" spans="1:9" s="8" customFormat="1" ht="36" x14ac:dyDescent="0.25">
      <c r="A82" s="6"/>
      <c r="B82" s="6"/>
      <c r="C82" s="11" t="s">
        <v>13</v>
      </c>
      <c r="D82" s="6"/>
      <c r="E82" s="6"/>
      <c r="F82" s="520">
        <v>8.4</v>
      </c>
      <c r="G82" s="477"/>
      <c r="H82" s="6"/>
    </row>
    <row r="83" spans="1:9" s="8" customFormat="1" ht="72" x14ac:dyDescent="0.25">
      <c r="A83" s="6"/>
      <c r="B83" s="6"/>
      <c r="C83" s="11" t="s">
        <v>14</v>
      </c>
      <c r="D83" s="6"/>
      <c r="E83" s="6"/>
      <c r="F83" s="520">
        <v>38</v>
      </c>
      <c r="G83" s="477"/>
      <c r="H83" s="6"/>
    </row>
    <row r="84" spans="1:9" s="8" customFormat="1" x14ac:dyDescent="0.25">
      <c r="A84" s="9"/>
      <c r="B84" s="9"/>
      <c r="C84" s="9"/>
      <c r="D84" s="9"/>
      <c r="E84" s="9"/>
      <c r="F84" s="9"/>
      <c r="G84" s="9"/>
      <c r="H84" s="9"/>
    </row>
    <row r="85" spans="1:9" s="8" customFormat="1" ht="15" customHeight="1" x14ac:dyDescent="0.25">
      <c r="A85" s="142" t="s">
        <v>170</v>
      </c>
      <c r="B85" s="142"/>
      <c r="C85" s="142"/>
      <c r="D85" s="142"/>
      <c r="E85" s="142"/>
      <c r="F85" s="142"/>
      <c r="G85" s="142" t="s">
        <v>459</v>
      </c>
      <c r="H85" s="142"/>
      <c r="I85" s="142"/>
    </row>
    <row r="86" spans="1:9" s="8" customFormat="1" ht="57" x14ac:dyDescent="0.25">
      <c r="A86" s="5" t="s">
        <v>0</v>
      </c>
      <c r="B86" s="5"/>
      <c r="C86" s="5" t="s">
        <v>1</v>
      </c>
      <c r="D86" s="5"/>
      <c r="E86" s="5"/>
      <c r="F86" s="5" t="s">
        <v>2</v>
      </c>
      <c r="G86" s="5"/>
      <c r="H86" s="5" t="s">
        <v>3</v>
      </c>
    </row>
    <row r="87" spans="1:9" x14ac:dyDescent="0.25">
      <c r="A87" s="6" t="s">
        <v>4</v>
      </c>
      <c r="B87" s="6"/>
      <c r="C87" s="7" t="s">
        <v>5</v>
      </c>
      <c r="D87" s="7"/>
      <c r="E87" s="7"/>
      <c r="F87" s="376" t="s">
        <v>6</v>
      </c>
      <c r="G87" s="7"/>
      <c r="H87" s="7" t="s">
        <v>7</v>
      </c>
    </row>
    <row r="88" spans="1:9" ht="36" x14ac:dyDescent="0.25">
      <c r="A88" s="6"/>
      <c r="B88" s="6"/>
      <c r="C88" s="11" t="s">
        <v>8</v>
      </c>
      <c r="D88" s="6"/>
      <c r="E88" s="6"/>
      <c r="F88" s="521">
        <v>4.9000000000000004</v>
      </c>
      <c r="G88" s="478"/>
      <c r="H88" s="6"/>
    </row>
    <row r="89" spans="1:9" ht="36" x14ac:dyDescent="0.25">
      <c r="A89" s="6"/>
      <c r="B89" s="6"/>
      <c r="C89" s="11" t="s">
        <v>10</v>
      </c>
      <c r="D89" s="6"/>
      <c r="E89" s="6"/>
      <c r="F89" s="521">
        <v>265</v>
      </c>
      <c r="G89" s="478"/>
      <c r="H89" s="6"/>
    </row>
    <row r="90" spans="1:9" ht="36" x14ac:dyDescent="0.25">
      <c r="A90" s="6"/>
      <c r="B90" s="6"/>
      <c r="C90" s="11" t="s">
        <v>11</v>
      </c>
      <c r="D90" s="6"/>
      <c r="E90" s="6"/>
      <c r="F90" s="521">
        <v>12.3</v>
      </c>
      <c r="G90" s="478"/>
      <c r="H90" s="6"/>
    </row>
    <row r="91" spans="1:9" ht="36" x14ac:dyDescent="0.25">
      <c r="A91" s="6"/>
      <c r="B91" s="6"/>
      <c r="C91" s="11" t="s">
        <v>13</v>
      </c>
      <c r="D91" s="6"/>
      <c r="E91" s="6"/>
      <c r="F91" s="521">
        <v>13.8</v>
      </c>
      <c r="G91" s="478"/>
      <c r="H91" s="6"/>
    </row>
    <row r="92" spans="1:9" ht="72" x14ac:dyDescent="0.25">
      <c r="A92" s="6"/>
      <c r="B92" s="6"/>
      <c r="C92" s="11" t="s">
        <v>14</v>
      </c>
      <c r="D92" s="6"/>
      <c r="E92" s="6"/>
      <c r="F92" s="521">
        <v>54</v>
      </c>
      <c r="G92" s="478"/>
      <c r="H92" s="6"/>
    </row>
    <row r="93" spans="1:9" x14ac:dyDescent="0.25">
      <c r="A93" s="4"/>
      <c r="B93" s="4"/>
      <c r="C93" s="4"/>
      <c r="D93" s="4"/>
      <c r="E93" s="4"/>
      <c r="F93" s="4"/>
      <c r="G93" s="4"/>
      <c r="H93" s="4"/>
    </row>
    <row r="94" spans="1:9" ht="15" customHeight="1" x14ac:dyDescent="0.25">
      <c r="A94" s="142" t="s">
        <v>264</v>
      </c>
      <c r="B94" s="142"/>
      <c r="C94" s="142"/>
      <c r="D94" s="142"/>
      <c r="E94" s="142"/>
      <c r="F94" s="142"/>
      <c r="G94" s="142" t="s">
        <v>459</v>
      </c>
      <c r="H94" s="142"/>
      <c r="I94" s="142"/>
    </row>
    <row r="95" spans="1:9" ht="57" x14ac:dyDescent="0.25">
      <c r="A95" s="5" t="s">
        <v>0</v>
      </c>
      <c r="B95" s="5"/>
      <c r="C95" s="5" t="s">
        <v>1</v>
      </c>
      <c r="D95" s="5"/>
      <c r="E95" s="5"/>
      <c r="F95" s="5" t="s">
        <v>2</v>
      </c>
      <c r="G95" s="5"/>
      <c r="H95" s="5" t="s">
        <v>3</v>
      </c>
    </row>
    <row r="96" spans="1:9" x14ac:dyDescent="0.25">
      <c r="A96" s="6" t="s">
        <v>4</v>
      </c>
      <c r="B96" s="6"/>
      <c r="C96" s="7" t="s">
        <v>5</v>
      </c>
      <c r="D96" s="7"/>
      <c r="E96" s="7"/>
      <c r="F96" s="376" t="s">
        <v>6</v>
      </c>
      <c r="G96" s="7"/>
      <c r="H96" s="7" t="s">
        <v>7</v>
      </c>
    </row>
    <row r="97" spans="1:9" ht="36" x14ac:dyDescent="0.25">
      <c r="A97" s="6"/>
      <c r="B97" s="6"/>
      <c r="C97" s="11" t="s">
        <v>8</v>
      </c>
      <c r="D97" s="6"/>
      <c r="E97" s="6"/>
      <c r="F97" s="522">
        <v>3.4</v>
      </c>
      <c r="G97" s="479"/>
      <c r="H97" s="6"/>
    </row>
    <row r="98" spans="1:9" ht="36" x14ac:dyDescent="0.25">
      <c r="A98" s="6"/>
      <c r="B98" s="6"/>
      <c r="C98" s="11" t="s">
        <v>10</v>
      </c>
      <c r="D98" s="6"/>
      <c r="E98" s="6"/>
      <c r="F98" s="522">
        <v>310</v>
      </c>
      <c r="G98" s="479"/>
      <c r="H98" s="6"/>
    </row>
    <row r="99" spans="1:9" ht="36" x14ac:dyDescent="0.25">
      <c r="A99" s="6"/>
      <c r="B99" s="6"/>
      <c r="C99" s="11" t="s">
        <v>11</v>
      </c>
      <c r="D99" s="6"/>
      <c r="E99" s="6"/>
      <c r="F99" s="522">
        <v>15</v>
      </c>
      <c r="G99" s="479"/>
      <c r="H99" s="6"/>
    </row>
    <row r="100" spans="1:9" ht="36" x14ac:dyDescent="0.25">
      <c r="A100" s="6"/>
      <c r="B100" s="6"/>
      <c r="C100" s="11" t="s">
        <v>13</v>
      </c>
      <c r="D100" s="6"/>
      <c r="E100" s="6"/>
      <c r="F100" s="522">
        <v>20.5</v>
      </c>
      <c r="G100" s="479"/>
      <c r="H100" s="6"/>
    </row>
    <row r="101" spans="1:9" ht="72" x14ac:dyDescent="0.25">
      <c r="A101" s="6"/>
      <c r="B101" s="6"/>
      <c r="C101" s="11" t="s">
        <v>14</v>
      </c>
      <c r="D101" s="6"/>
      <c r="E101" s="6"/>
      <c r="F101" s="522">
        <v>70</v>
      </c>
      <c r="G101" s="479"/>
      <c r="H101" s="6"/>
    </row>
    <row r="102" spans="1:9" x14ac:dyDescent="0.25">
      <c r="A102" s="2"/>
      <c r="B102" s="2"/>
      <c r="C102" s="2"/>
      <c r="D102" s="2"/>
      <c r="E102" s="2"/>
      <c r="F102" s="2"/>
      <c r="G102" s="2"/>
      <c r="H102" s="2"/>
    </row>
    <row r="103" spans="1:9" ht="15" customHeight="1" x14ac:dyDescent="0.25">
      <c r="A103" s="142" t="s">
        <v>236</v>
      </c>
      <c r="B103" s="142"/>
      <c r="C103" s="142"/>
      <c r="D103" s="142"/>
      <c r="E103" s="142"/>
      <c r="F103" s="142"/>
      <c r="G103" s="142" t="s">
        <v>459</v>
      </c>
      <c r="H103" s="142"/>
      <c r="I103" s="142"/>
    </row>
    <row r="104" spans="1:9" ht="57" x14ac:dyDescent="0.25">
      <c r="A104" s="5" t="s">
        <v>0</v>
      </c>
      <c r="B104" s="5"/>
      <c r="C104" s="5" t="s">
        <v>1</v>
      </c>
      <c r="D104" s="5"/>
      <c r="E104" s="5"/>
      <c r="F104" s="5" t="s">
        <v>2</v>
      </c>
      <c r="G104" s="5"/>
      <c r="H104" s="5" t="s">
        <v>3</v>
      </c>
    </row>
    <row r="105" spans="1:9" x14ac:dyDescent="0.25">
      <c r="A105" s="6" t="s">
        <v>4</v>
      </c>
      <c r="B105" s="6"/>
      <c r="C105" s="7" t="s">
        <v>5</v>
      </c>
      <c r="D105" s="7"/>
      <c r="E105" s="7"/>
      <c r="F105" s="376" t="s">
        <v>6</v>
      </c>
      <c r="G105" s="7"/>
      <c r="H105" s="7" t="s">
        <v>7</v>
      </c>
    </row>
    <row r="106" spans="1:9" ht="36" x14ac:dyDescent="0.25">
      <c r="A106" s="6"/>
      <c r="B106" s="6"/>
      <c r="C106" s="11" t="s">
        <v>8</v>
      </c>
      <c r="D106" s="6"/>
      <c r="E106" s="6"/>
      <c r="F106" s="523" t="s">
        <v>539</v>
      </c>
      <c r="G106" s="480"/>
      <c r="H106" s="6"/>
    </row>
    <row r="107" spans="1:9" ht="36" x14ac:dyDescent="0.25">
      <c r="A107" s="6"/>
      <c r="B107" s="6"/>
      <c r="C107" s="11" t="s">
        <v>10</v>
      </c>
      <c r="D107" s="6"/>
      <c r="E107" s="6"/>
      <c r="F107" s="523">
        <v>279</v>
      </c>
      <c r="G107" s="480"/>
      <c r="H107" s="6"/>
    </row>
    <row r="108" spans="1:9" ht="36" x14ac:dyDescent="0.25">
      <c r="A108" s="6"/>
      <c r="B108" s="6"/>
      <c r="C108" s="11" t="s">
        <v>11</v>
      </c>
      <c r="D108" s="6"/>
      <c r="E108" s="6"/>
      <c r="F108" s="523">
        <v>20</v>
      </c>
      <c r="G108" s="480"/>
      <c r="H108" s="6"/>
    </row>
    <row r="109" spans="1:9" ht="36" x14ac:dyDescent="0.25">
      <c r="A109" s="6"/>
      <c r="B109" s="6"/>
      <c r="C109" s="11" t="s">
        <v>13</v>
      </c>
      <c r="D109" s="6"/>
      <c r="E109" s="6"/>
      <c r="F109" s="523">
        <v>16.3</v>
      </c>
      <c r="G109" s="480"/>
      <c r="H109" s="6"/>
    </row>
    <row r="110" spans="1:9" ht="72" x14ac:dyDescent="0.25">
      <c r="A110" s="6"/>
      <c r="B110" s="6"/>
      <c r="C110" s="11" t="s">
        <v>14</v>
      </c>
      <c r="D110" s="6"/>
      <c r="E110" s="6"/>
      <c r="F110" s="523">
        <v>66</v>
      </c>
      <c r="G110" s="480"/>
      <c r="H110" s="6"/>
    </row>
    <row r="111" spans="1:9" x14ac:dyDescent="0.25">
      <c r="A111" s="289"/>
      <c r="B111" s="289"/>
      <c r="C111" s="289"/>
      <c r="D111" s="289"/>
      <c r="E111" s="289"/>
      <c r="F111" s="289"/>
      <c r="G111" s="289"/>
      <c r="H111" s="289"/>
    </row>
    <row r="112" spans="1:9" x14ac:dyDescent="0.25">
      <c r="A112" s="289"/>
      <c r="B112" s="289"/>
      <c r="C112" s="289"/>
      <c r="D112" s="289"/>
      <c r="E112" s="289"/>
      <c r="F112" s="289"/>
      <c r="G112" s="289"/>
      <c r="H112" s="289"/>
    </row>
    <row r="113" spans="1:8" x14ac:dyDescent="0.25">
      <c r="A113" s="289"/>
      <c r="B113" s="289"/>
      <c r="C113" s="289"/>
      <c r="D113" s="289"/>
      <c r="E113" s="289"/>
      <c r="F113" s="289"/>
      <c r="G113" s="289"/>
      <c r="H113" s="289"/>
    </row>
    <row r="114" spans="1:8" x14ac:dyDescent="0.25">
      <c r="A114" s="142" t="s">
        <v>239</v>
      </c>
      <c r="B114" s="142"/>
      <c r="C114" s="142"/>
      <c r="D114" s="142"/>
      <c r="E114" s="142"/>
      <c r="F114" s="142"/>
      <c r="G114" s="142" t="s">
        <v>459</v>
      </c>
      <c r="H114" s="142"/>
    </row>
    <row r="115" spans="1:8" ht="55.5" customHeight="1" x14ac:dyDescent="0.25">
      <c r="A115" s="5" t="s">
        <v>0</v>
      </c>
      <c r="B115" s="5"/>
      <c r="C115" s="5" t="s">
        <v>1</v>
      </c>
      <c r="D115" s="5"/>
      <c r="E115" s="5"/>
      <c r="F115" s="5" t="s">
        <v>2</v>
      </c>
      <c r="G115" s="5"/>
      <c r="H115" s="5" t="s">
        <v>3</v>
      </c>
    </row>
    <row r="116" spans="1:8" x14ac:dyDescent="0.25">
      <c r="A116" s="6" t="s">
        <v>4</v>
      </c>
      <c r="B116" s="6"/>
      <c r="C116" s="7" t="s">
        <v>5</v>
      </c>
      <c r="D116" s="7"/>
      <c r="E116" s="7"/>
      <c r="F116" s="376" t="s">
        <v>6</v>
      </c>
      <c r="G116" s="7"/>
      <c r="H116" s="7" t="s">
        <v>7</v>
      </c>
    </row>
    <row r="117" spans="1:8" ht="36" x14ac:dyDescent="0.25">
      <c r="A117" s="6"/>
      <c r="B117" s="6"/>
      <c r="C117" s="11" t="s">
        <v>8</v>
      </c>
      <c r="D117" s="6"/>
      <c r="E117" s="6"/>
      <c r="F117" s="524" t="s">
        <v>539</v>
      </c>
      <c r="G117" s="481"/>
      <c r="H117" s="6"/>
    </row>
    <row r="118" spans="1:8" ht="36" x14ac:dyDescent="0.25">
      <c r="A118" s="6"/>
      <c r="B118" s="6"/>
      <c r="C118" s="11" t="s">
        <v>10</v>
      </c>
      <c r="D118" s="6"/>
      <c r="E118" s="6"/>
      <c r="F118" s="524">
        <v>291</v>
      </c>
      <c r="G118" s="481"/>
      <c r="H118" s="6"/>
    </row>
    <row r="119" spans="1:8" ht="36" x14ac:dyDescent="0.25">
      <c r="A119" s="6"/>
      <c r="B119" s="6"/>
      <c r="C119" s="11" t="s">
        <v>11</v>
      </c>
      <c r="D119" s="6"/>
      <c r="E119" s="6"/>
      <c r="F119" s="524">
        <v>16.7</v>
      </c>
      <c r="G119" s="481"/>
      <c r="H119" s="6"/>
    </row>
    <row r="120" spans="1:8" ht="36" x14ac:dyDescent="0.25">
      <c r="A120" s="6"/>
      <c r="B120" s="6"/>
      <c r="C120" s="11" t="s">
        <v>13</v>
      </c>
      <c r="D120" s="6"/>
      <c r="E120" s="6"/>
      <c r="F120" s="524">
        <v>17.100000000000001</v>
      </c>
      <c r="G120" s="481"/>
      <c r="H120" s="6"/>
    </row>
    <row r="121" spans="1:8" ht="72" x14ac:dyDescent="0.25">
      <c r="A121" s="6"/>
      <c r="B121" s="6"/>
      <c r="C121" s="11" t="s">
        <v>14</v>
      </c>
      <c r="D121" s="6"/>
      <c r="E121" s="6"/>
      <c r="F121" s="524">
        <v>65</v>
      </c>
      <c r="G121" s="481"/>
      <c r="H121" s="6"/>
    </row>
    <row r="123" spans="1:8" x14ac:dyDescent="0.25">
      <c r="A123" s="142" t="s">
        <v>506</v>
      </c>
      <c r="B123" s="142"/>
      <c r="C123" s="142"/>
      <c r="D123" s="142"/>
      <c r="E123" s="142"/>
      <c r="F123" s="142"/>
      <c r="G123" s="142" t="s">
        <v>459</v>
      </c>
      <c r="H123" s="142"/>
    </row>
    <row r="124" spans="1:8" ht="44.25" customHeight="1" x14ac:dyDescent="0.25">
      <c r="A124" s="5" t="s">
        <v>0</v>
      </c>
      <c r="B124" s="5"/>
      <c r="C124" s="5" t="s">
        <v>1</v>
      </c>
      <c r="D124" s="5"/>
      <c r="E124" s="5"/>
      <c r="F124" s="5" t="s">
        <v>2</v>
      </c>
      <c r="G124" s="5"/>
      <c r="H124" s="5" t="s">
        <v>3</v>
      </c>
    </row>
    <row r="125" spans="1:8" x14ac:dyDescent="0.25">
      <c r="A125" s="6" t="s">
        <v>4</v>
      </c>
      <c r="B125" s="6"/>
      <c r="C125" s="7" t="s">
        <v>5</v>
      </c>
      <c r="D125" s="7"/>
      <c r="E125" s="7"/>
      <c r="F125" s="376" t="s">
        <v>6</v>
      </c>
      <c r="G125" s="7"/>
      <c r="H125" s="7" t="s">
        <v>7</v>
      </c>
    </row>
    <row r="126" spans="1:8" ht="36" x14ac:dyDescent="0.25">
      <c r="A126" s="6"/>
      <c r="B126" s="6"/>
      <c r="C126" s="11" t="s">
        <v>8</v>
      </c>
      <c r="D126" s="6"/>
      <c r="E126" s="6"/>
      <c r="F126" s="525" t="s">
        <v>539</v>
      </c>
      <c r="G126" s="482"/>
      <c r="H126" s="6"/>
    </row>
    <row r="127" spans="1:8" ht="36" x14ac:dyDescent="0.25">
      <c r="A127" s="6"/>
      <c r="B127" s="6"/>
      <c r="C127" s="11" t="s">
        <v>10</v>
      </c>
      <c r="D127" s="6"/>
      <c r="E127" s="6"/>
      <c r="F127" s="525">
        <v>247</v>
      </c>
      <c r="G127" s="482"/>
      <c r="H127" s="6"/>
    </row>
    <row r="128" spans="1:8" ht="36" x14ac:dyDescent="0.25">
      <c r="A128" s="6"/>
      <c r="B128" s="6"/>
      <c r="C128" s="11" t="s">
        <v>11</v>
      </c>
      <c r="D128" s="6"/>
      <c r="E128" s="6"/>
      <c r="F128" s="525">
        <v>12.4</v>
      </c>
      <c r="G128" s="482"/>
      <c r="H128" s="6"/>
    </row>
    <row r="129" spans="1:8" ht="36" x14ac:dyDescent="0.25">
      <c r="A129" s="6"/>
      <c r="B129" s="6"/>
      <c r="C129" s="11" t="s">
        <v>13</v>
      </c>
      <c r="D129" s="6"/>
      <c r="E129" s="6"/>
      <c r="F129" s="525" t="s">
        <v>542</v>
      </c>
      <c r="G129" s="482"/>
      <c r="H129" s="6"/>
    </row>
    <row r="130" spans="1:8" ht="72" x14ac:dyDescent="0.25">
      <c r="A130" s="6"/>
      <c r="B130" s="6"/>
      <c r="C130" s="11" t="s">
        <v>14</v>
      </c>
      <c r="D130" s="6"/>
      <c r="E130" s="6"/>
      <c r="F130" s="525">
        <v>45</v>
      </c>
      <c r="G130" s="482"/>
      <c r="H130" s="6"/>
    </row>
    <row r="132" spans="1:8" x14ac:dyDescent="0.25">
      <c r="A132" s="142" t="s">
        <v>269</v>
      </c>
      <c r="B132" s="142"/>
      <c r="C132" s="142"/>
      <c r="D132" s="142"/>
      <c r="E132" s="142"/>
      <c r="F132" s="142"/>
      <c r="G132" s="142" t="s">
        <v>459</v>
      </c>
      <c r="H132" s="142"/>
    </row>
    <row r="133" spans="1:8" ht="44.25" customHeight="1" x14ac:dyDescent="0.25">
      <c r="A133" s="5" t="s">
        <v>0</v>
      </c>
      <c r="B133" s="5"/>
      <c r="C133" s="5" t="s">
        <v>1</v>
      </c>
      <c r="D133" s="5"/>
      <c r="E133" s="5"/>
      <c r="F133" s="5" t="s">
        <v>2</v>
      </c>
      <c r="G133" s="5"/>
      <c r="H133" s="5" t="s">
        <v>3</v>
      </c>
    </row>
    <row r="134" spans="1:8" x14ac:dyDescent="0.25">
      <c r="A134" s="6" t="s">
        <v>4</v>
      </c>
      <c r="B134" s="6"/>
      <c r="C134" s="7" t="s">
        <v>5</v>
      </c>
      <c r="D134" s="7"/>
      <c r="E134" s="7"/>
      <c r="F134" s="376" t="s">
        <v>6</v>
      </c>
      <c r="G134" s="7"/>
      <c r="H134" s="7" t="s">
        <v>7</v>
      </c>
    </row>
    <row r="135" spans="1:8" ht="36" x14ac:dyDescent="0.25">
      <c r="A135" s="6"/>
      <c r="B135" s="6"/>
      <c r="C135" s="11" t="s">
        <v>8</v>
      </c>
      <c r="D135" s="6"/>
      <c r="E135" s="6"/>
      <c r="F135" s="526" t="s">
        <v>539</v>
      </c>
      <c r="G135" s="483"/>
      <c r="H135" s="6"/>
    </row>
    <row r="136" spans="1:8" ht="36" x14ac:dyDescent="0.25">
      <c r="A136" s="6"/>
      <c r="B136" s="6"/>
      <c r="C136" s="11" t="s">
        <v>10</v>
      </c>
      <c r="D136" s="6"/>
      <c r="E136" s="6"/>
      <c r="F136" s="526">
        <v>173</v>
      </c>
      <c r="G136" s="483"/>
      <c r="H136" s="6"/>
    </row>
    <row r="137" spans="1:8" ht="36" x14ac:dyDescent="0.25">
      <c r="A137" s="6"/>
      <c r="B137" s="6"/>
      <c r="C137" s="11" t="s">
        <v>11</v>
      </c>
      <c r="D137" s="6"/>
      <c r="E137" s="6"/>
      <c r="F137" s="526">
        <v>14.7</v>
      </c>
      <c r="G137" s="483"/>
      <c r="H137" s="6"/>
    </row>
    <row r="138" spans="1:8" ht="36" x14ac:dyDescent="0.25">
      <c r="A138" s="6"/>
      <c r="B138" s="6"/>
      <c r="C138" s="11" t="s">
        <v>13</v>
      </c>
      <c r="D138" s="6"/>
      <c r="E138" s="6"/>
      <c r="F138" s="526">
        <v>8.1999999999999993</v>
      </c>
      <c r="G138" s="483"/>
      <c r="H138" s="6"/>
    </row>
    <row r="139" spans="1:8" ht="72" x14ac:dyDescent="0.25">
      <c r="A139" s="6"/>
      <c r="B139" s="6"/>
      <c r="C139" s="11" t="s">
        <v>14</v>
      </c>
      <c r="D139" s="6"/>
      <c r="E139" s="6"/>
      <c r="F139" s="526">
        <v>41</v>
      </c>
      <c r="G139" s="483"/>
      <c r="H139" s="6"/>
    </row>
    <row r="141" spans="1:8" x14ac:dyDescent="0.25">
      <c r="A141" s="142" t="s">
        <v>244</v>
      </c>
      <c r="B141" s="142"/>
      <c r="C141" s="142"/>
      <c r="D141" s="142"/>
      <c r="E141" s="142"/>
      <c r="F141" s="142"/>
      <c r="G141" s="142" t="s">
        <v>459</v>
      </c>
      <c r="H141" s="142"/>
    </row>
    <row r="142" spans="1:8" ht="37.5" customHeight="1" x14ac:dyDescent="0.25">
      <c r="A142" s="5" t="s">
        <v>0</v>
      </c>
      <c r="B142" s="5"/>
      <c r="C142" s="5" t="s">
        <v>1</v>
      </c>
      <c r="D142" s="5"/>
      <c r="E142" s="5"/>
      <c r="F142" s="5" t="s">
        <v>2</v>
      </c>
      <c r="G142" s="5"/>
      <c r="H142" s="5" t="s">
        <v>3</v>
      </c>
    </row>
    <row r="143" spans="1:8" x14ac:dyDescent="0.25">
      <c r="A143" s="6" t="s">
        <v>4</v>
      </c>
      <c r="B143" s="6"/>
      <c r="C143" s="7" t="s">
        <v>5</v>
      </c>
      <c r="D143" s="7"/>
      <c r="E143" s="7"/>
      <c r="F143" s="376" t="s">
        <v>6</v>
      </c>
      <c r="G143" s="7"/>
      <c r="H143" s="7" t="s">
        <v>7</v>
      </c>
    </row>
    <row r="144" spans="1:8" ht="36" x14ac:dyDescent="0.25">
      <c r="A144" s="6"/>
      <c r="B144" s="6"/>
      <c r="C144" s="11" t="s">
        <v>8</v>
      </c>
      <c r="D144" s="6"/>
      <c r="E144" s="6"/>
      <c r="F144" s="484"/>
      <c r="G144" s="484"/>
      <c r="H144" s="6"/>
    </row>
    <row r="145" spans="1:8" ht="36" x14ac:dyDescent="0.25">
      <c r="A145" s="6"/>
      <c r="B145" s="6"/>
      <c r="C145" s="11" t="s">
        <v>10</v>
      </c>
      <c r="D145" s="6"/>
      <c r="E145" s="6"/>
      <c r="F145" s="484"/>
      <c r="G145" s="484"/>
      <c r="H145" s="6"/>
    </row>
    <row r="146" spans="1:8" ht="36" x14ac:dyDescent="0.25">
      <c r="A146" s="6"/>
      <c r="B146" s="6"/>
      <c r="C146" s="11" t="s">
        <v>11</v>
      </c>
      <c r="D146" s="6"/>
      <c r="E146" s="6"/>
      <c r="F146" s="484"/>
      <c r="G146" s="484"/>
      <c r="H146" s="6"/>
    </row>
    <row r="147" spans="1:8" ht="36" x14ac:dyDescent="0.25">
      <c r="A147" s="6"/>
      <c r="B147" s="6"/>
      <c r="C147" s="11" t="s">
        <v>13</v>
      </c>
      <c r="D147" s="6"/>
      <c r="E147" s="6"/>
      <c r="F147" s="484"/>
      <c r="G147" s="484"/>
      <c r="H147" s="6"/>
    </row>
    <row r="148" spans="1:8" ht="72" x14ac:dyDescent="0.25">
      <c r="A148" s="6"/>
      <c r="B148" s="6"/>
      <c r="C148" s="11" t="s">
        <v>14</v>
      </c>
      <c r="D148" s="6"/>
      <c r="E148" s="6"/>
      <c r="F148" s="484"/>
      <c r="G148" s="484"/>
      <c r="H148" s="6"/>
    </row>
    <row r="150" spans="1:8" x14ac:dyDescent="0.25">
      <c r="A150" s="142" t="s">
        <v>249</v>
      </c>
      <c r="B150" s="142"/>
      <c r="C150" s="142"/>
      <c r="D150" s="142"/>
      <c r="E150" s="142"/>
      <c r="F150" s="142"/>
      <c r="G150" s="142" t="s">
        <v>459</v>
      </c>
      <c r="H150" s="142"/>
    </row>
    <row r="151" spans="1:8" ht="39.75" customHeight="1" x14ac:dyDescent="0.25">
      <c r="A151" s="5" t="s">
        <v>0</v>
      </c>
      <c r="B151" s="5"/>
      <c r="C151" s="5" t="s">
        <v>1</v>
      </c>
      <c r="D151" s="5"/>
      <c r="E151" s="5"/>
      <c r="F151" s="5" t="s">
        <v>2</v>
      </c>
      <c r="G151" s="5"/>
      <c r="H151" s="5" t="s">
        <v>3</v>
      </c>
    </row>
    <row r="152" spans="1:8" x14ac:dyDescent="0.25">
      <c r="A152" s="6" t="s">
        <v>4</v>
      </c>
      <c r="B152" s="6"/>
      <c r="C152" s="7" t="s">
        <v>5</v>
      </c>
      <c r="D152" s="7"/>
      <c r="E152" s="7"/>
      <c r="F152" s="376" t="s">
        <v>6</v>
      </c>
      <c r="G152" s="7"/>
      <c r="H152" s="7" t="s">
        <v>7</v>
      </c>
    </row>
    <row r="153" spans="1:8" ht="36" x14ac:dyDescent="0.25">
      <c r="A153" s="6"/>
      <c r="B153" s="6"/>
      <c r="C153" s="11" t="s">
        <v>8</v>
      </c>
      <c r="D153" s="6"/>
      <c r="E153" s="6"/>
      <c r="F153" s="485"/>
      <c r="G153" s="485"/>
      <c r="H153" s="6"/>
    </row>
    <row r="154" spans="1:8" ht="36" x14ac:dyDescent="0.25">
      <c r="A154" s="6"/>
      <c r="B154" s="6"/>
      <c r="C154" s="11" t="s">
        <v>10</v>
      </c>
      <c r="D154" s="6"/>
      <c r="E154" s="6"/>
      <c r="F154" s="485"/>
      <c r="G154" s="485"/>
      <c r="H154" s="6"/>
    </row>
    <row r="155" spans="1:8" ht="36" x14ac:dyDescent="0.25">
      <c r="A155" s="6"/>
      <c r="B155" s="6"/>
      <c r="C155" s="11" t="s">
        <v>11</v>
      </c>
      <c r="D155" s="6"/>
      <c r="E155" s="6"/>
      <c r="F155" s="485"/>
      <c r="G155" s="485"/>
      <c r="H155" s="6"/>
    </row>
    <row r="156" spans="1:8" ht="36" x14ac:dyDescent="0.25">
      <c r="A156" s="6"/>
      <c r="B156" s="6"/>
      <c r="C156" s="11" t="s">
        <v>13</v>
      </c>
      <c r="D156" s="6"/>
      <c r="E156" s="6"/>
      <c r="F156" s="485"/>
      <c r="G156" s="485"/>
      <c r="H156" s="6"/>
    </row>
    <row r="157" spans="1:8" ht="72" x14ac:dyDescent="0.25">
      <c r="A157" s="6"/>
      <c r="B157" s="6"/>
      <c r="C157" s="11" t="s">
        <v>14</v>
      </c>
      <c r="D157" s="6"/>
      <c r="E157" s="6"/>
      <c r="F157" s="485"/>
      <c r="G157" s="485"/>
      <c r="H157" s="6"/>
    </row>
    <row r="159" spans="1:8" x14ac:dyDescent="0.25">
      <c r="A159" s="142" t="s">
        <v>252</v>
      </c>
      <c r="B159" s="142"/>
      <c r="C159" s="142"/>
      <c r="D159" s="142"/>
      <c r="E159" s="142"/>
      <c r="F159" s="142"/>
      <c r="G159" s="142" t="s">
        <v>459</v>
      </c>
      <c r="H159" s="142"/>
    </row>
    <row r="160" spans="1:8" ht="37.5" customHeight="1" x14ac:dyDescent="0.25">
      <c r="A160" s="5" t="s">
        <v>0</v>
      </c>
      <c r="B160" s="5"/>
      <c r="C160" s="5" t="s">
        <v>1</v>
      </c>
      <c r="D160" s="5"/>
      <c r="E160" s="5"/>
      <c r="F160" s="5" t="s">
        <v>2</v>
      </c>
      <c r="G160" s="5"/>
      <c r="H160" s="5" t="s">
        <v>3</v>
      </c>
    </row>
    <row r="161" spans="1:8" x14ac:dyDescent="0.25">
      <c r="A161" s="6" t="s">
        <v>4</v>
      </c>
      <c r="B161" s="6"/>
      <c r="C161" s="7" t="s">
        <v>5</v>
      </c>
      <c r="D161" s="7"/>
      <c r="E161" s="7"/>
      <c r="F161" s="376" t="s">
        <v>6</v>
      </c>
      <c r="G161" s="7"/>
      <c r="H161" s="7" t="s">
        <v>7</v>
      </c>
    </row>
    <row r="162" spans="1:8" ht="36" x14ac:dyDescent="0.25">
      <c r="A162" s="6"/>
      <c r="B162" s="6"/>
      <c r="C162" s="11" t="s">
        <v>8</v>
      </c>
      <c r="D162" s="6"/>
      <c r="E162" s="6"/>
      <c r="F162" s="486" t="s">
        <v>539</v>
      </c>
      <c r="G162" s="486" t="s">
        <v>83</v>
      </c>
      <c r="H162" s="6"/>
    </row>
    <row r="163" spans="1:8" ht="36" x14ac:dyDescent="0.25">
      <c r="A163" s="6"/>
      <c r="B163" s="6"/>
      <c r="C163" s="11" t="s">
        <v>10</v>
      </c>
      <c r="D163" s="6"/>
      <c r="E163" s="6"/>
      <c r="F163" s="486" t="s">
        <v>518</v>
      </c>
      <c r="G163" s="486" t="s">
        <v>112</v>
      </c>
      <c r="H163" s="6"/>
    </row>
    <row r="164" spans="1:8" ht="36" x14ac:dyDescent="0.25">
      <c r="A164" s="6"/>
      <c r="B164" s="6"/>
      <c r="C164" s="11" t="s">
        <v>11</v>
      </c>
      <c r="D164" s="6"/>
      <c r="E164" s="6"/>
      <c r="F164" s="486" t="s">
        <v>170</v>
      </c>
      <c r="G164" s="486" t="s">
        <v>489</v>
      </c>
      <c r="H164" s="6"/>
    </row>
    <row r="165" spans="1:8" ht="36" x14ac:dyDescent="0.25">
      <c r="A165" s="6"/>
      <c r="B165" s="6"/>
      <c r="C165" s="11" t="s">
        <v>13</v>
      </c>
      <c r="D165" s="6"/>
      <c r="E165" s="6"/>
      <c r="F165" s="486" t="s">
        <v>264</v>
      </c>
      <c r="G165" s="486" t="s">
        <v>63</v>
      </c>
      <c r="H165" s="6"/>
    </row>
    <row r="166" spans="1:8" ht="72" x14ac:dyDescent="0.25">
      <c r="A166" s="6"/>
      <c r="B166" s="6"/>
      <c r="C166" s="11" t="s">
        <v>14</v>
      </c>
      <c r="D166" s="6"/>
      <c r="E166" s="6"/>
      <c r="F166" s="486" t="s">
        <v>528</v>
      </c>
      <c r="G166" s="486" t="s">
        <v>512</v>
      </c>
      <c r="H166" s="6"/>
    </row>
    <row r="170" spans="1:8" x14ac:dyDescent="0.25">
      <c r="A170" s="142" t="s">
        <v>543</v>
      </c>
      <c r="B170" s="142"/>
      <c r="C170" s="142"/>
      <c r="D170" s="142"/>
      <c r="E170" s="142"/>
      <c r="F170" s="142"/>
      <c r="G170" s="142" t="s">
        <v>459</v>
      </c>
      <c r="H170" s="142"/>
    </row>
    <row r="171" spans="1:8" ht="33" customHeight="1" x14ac:dyDescent="0.25">
      <c r="A171" s="5" t="s">
        <v>0</v>
      </c>
      <c r="B171" s="5"/>
      <c r="C171" s="5" t="s">
        <v>1</v>
      </c>
      <c r="D171" s="5"/>
      <c r="E171" s="5"/>
      <c r="F171" s="5" t="s">
        <v>2</v>
      </c>
      <c r="G171" s="5"/>
      <c r="H171" s="5" t="s">
        <v>3</v>
      </c>
    </row>
    <row r="172" spans="1:8" x14ac:dyDescent="0.25">
      <c r="A172" s="6" t="s">
        <v>4</v>
      </c>
      <c r="B172" s="6"/>
      <c r="C172" s="7" t="s">
        <v>5</v>
      </c>
      <c r="D172" s="7"/>
      <c r="E172" s="7"/>
      <c r="F172" s="376" t="s">
        <v>6</v>
      </c>
      <c r="G172" s="7"/>
      <c r="H172" s="7" t="s">
        <v>7</v>
      </c>
    </row>
    <row r="173" spans="1:8" ht="36" x14ac:dyDescent="0.25">
      <c r="A173" s="6"/>
      <c r="B173" s="6"/>
      <c r="C173" s="11" t="s">
        <v>8</v>
      </c>
      <c r="D173" s="6"/>
      <c r="E173" s="6"/>
      <c r="F173" s="487" t="s">
        <v>7</v>
      </c>
      <c r="G173" s="487" t="s">
        <v>538</v>
      </c>
      <c r="H173" s="6"/>
    </row>
    <row r="174" spans="1:8" ht="36" x14ac:dyDescent="0.25">
      <c r="A174" s="6"/>
      <c r="B174" s="6"/>
      <c r="C174" s="11" t="s">
        <v>10</v>
      </c>
      <c r="D174" s="6"/>
      <c r="E174" s="6"/>
      <c r="F174" s="487" t="s">
        <v>587</v>
      </c>
      <c r="G174" s="487" t="s">
        <v>565</v>
      </c>
      <c r="H174" s="6"/>
    </row>
    <row r="175" spans="1:8" ht="36" x14ac:dyDescent="0.25">
      <c r="A175" s="6"/>
      <c r="B175" s="6"/>
      <c r="C175" s="11" t="s">
        <v>11</v>
      </c>
      <c r="D175" s="6"/>
      <c r="E175" s="6"/>
      <c r="F175" s="487" t="s">
        <v>169</v>
      </c>
      <c r="G175" s="487" t="s">
        <v>63</v>
      </c>
      <c r="H175" s="6"/>
    </row>
    <row r="176" spans="1:8" ht="36" x14ac:dyDescent="0.25">
      <c r="A176" s="6"/>
      <c r="B176" s="6"/>
      <c r="C176" s="11" t="s">
        <v>13</v>
      </c>
      <c r="D176" s="6"/>
      <c r="E176" s="6"/>
      <c r="F176" s="487" t="s">
        <v>170</v>
      </c>
      <c r="G176" s="487" t="s">
        <v>540</v>
      </c>
      <c r="H176" s="6"/>
    </row>
    <row r="177" spans="1:8" ht="72" x14ac:dyDescent="0.25">
      <c r="A177" s="6"/>
      <c r="B177" s="6"/>
      <c r="C177" s="11" t="s">
        <v>14</v>
      </c>
      <c r="D177" s="6"/>
      <c r="E177" s="6"/>
      <c r="F177" s="487" t="s">
        <v>509</v>
      </c>
      <c r="G177" s="487" t="s">
        <v>512</v>
      </c>
      <c r="H177" s="6"/>
    </row>
    <row r="179" spans="1:8" x14ac:dyDescent="0.25">
      <c r="A179" s="142" t="s">
        <v>533</v>
      </c>
      <c r="B179" s="142"/>
      <c r="C179" s="142"/>
      <c r="D179" s="142"/>
      <c r="E179" s="142"/>
      <c r="F179" s="142"/>
      <c r="G179" s="142" t="s">
        <v>459</v>
      </c>
      <c r="H179" s="142"/>
    </row>
    <row r="180" spans="1:8" ht="57" x14ac:dyDescent="0.25">
      <c r="A180" s="5" t="s">
        <v>0</v>
      </c>
      <c r="B180" s="5"/>
      <c r="C180" s="5" t="s">
        <v>1</v>
      </c>
      <c r="D180" s="5"/>
      <c r="E180" s="5"/>
      <c r="F180" s="5" t="s">
        <v>2</v>
      </c>
      <c r="G180" s="5"/>
      <c r="H180" s="5" t="s">
        <v>3</v>
      </c>
    </row>
    <row r="181" spans="1:8" x14ac:dyDescent="0.25">
      <c r="A181" s="6" t="s">
        <v>4</v>
      </c>
      <c r="B181" s="6"/>
      <c r="C181" s="7" t="s">
        <v>5</v>
      </c>
      <c r="D181" s="7"/>
      <c r="E181" s="7"/>
      <c r="F181" s="376" t="s">
        <v>6</v>
      </c>
      <c r="G181" s="7"/>
      <c r="H181" s="7" t="s">
        <v>7</v>
      </c>
    </row>
    <row r="182" spans="1:8" ht="36" x14ac:dyDescent="0.25">
      <c r="A182" s="6"/>
      <c r="B182" s="6"/>
      <c r="C182" s="11" t="s">
        <v>8</v>
      </c>
      <c r="D182" s="6"/>
      <c r="E182" s="6"/>
      <c r="F182" s="488" t="s">
        <v>539</v>
      </c>
      <c r="G182" s="488" t="s">
        <v>83</v>
      </c>
      <c r="H182" s="6"/>
    </row>
    <row r="183" spans="1:8" ht="36" x14ac:dyDescent="0.25">
      <c r="A183" s="6"/>
      <c r="B183" s="6"/>
      <c r="C183" s="11" t="s">
        <v>10</v>
      </c>
      <c r="D183" s="6"/>
      <c r="E183" s="6"/>
      <c r="F183" s="488" t="s">
        <v>588</v>
      </c>
      <c r="G183" s="488" t="s">
        <v>565</v>
      </c>
      <c r="H183" s="6"/>
    </row>
    <row r="184" spans="1:8" ht="36" x14ac:dyDescent="0.25">
      <c r="A184" s="6"/>
      <c r="B184" s="6"/>
      <c r="C184" s="11" t="s">
        <v>11</v>
      </c>
      <c r="D184" s="6"/>
      <c r="E184" s="6"/>
      <c r="F184" s="488" t="s">
        <v>239</v>
      </c>
      <c r="G184" s="488" t="s">
        <v>489</v>
      </c>
      <c r="H184" s="6"/>
    </row>
    <row r="185" spans="1:8" ht="36" x14ac:dyDescent="0.25">
      <c r="A185" s="6"/>
      <c r="B185" s="6"/>
      <c r="C185" s="11" t="s">
        <v>13</v>
      </c>
      <c r="D185" s="6"/>
      <c r="E185" s="6"/>
      <c r="F185" s="488" t="s">
        <v>543</v>
      </c>
      <c r="G185" s="488" t="s">
        <v>489</v>
      </c>
      <c r="H185" s="6"/>
    </row>
    <row r="186" spans="1:8" ht="72" x14ac:dyDescent="0.25">
      <c r="A186" s="6"/>
      <c r="B186" s="6"/>
      <c r="C186" s="11" t="s">
        <v>14</v>
      </c>
      <c r="D186" s="6"/>
      <c r="E186" s="6"/>
      <c r="F186" s="488" t="s">
        <v>505</v>
      </c>
      <c r="G186" s="488" t="s">
        <v>512</v>
      </c>
      <c r="H186" s="6"/>
    </row>
    <row r="188" spans="1:8" x14ac:dyDescent="0.25">
      <c r="A188" s="142" t="s">
        <v>530</v>
      </c>
      <c r="B188" s="142"/>
      <c r="C188" s="142"/>
      <c r="D188" s="142"/>
      <c r="E188" s="142"/>
      <c r="F188" s="142"/>
      <c r="G188" s="142" t="s">
        <v>459</v>
      </c>
      <c r="H188" s="142"/>
    </row>
    <row r="189" spans="1:8" ht="57" x14ac:dyDescent="0.25">
      <c r="A189" s="5" t="s">
        <v>0</v>
      </c>
      <c r="B189" s="5"/>
      <c r="C189" s="5" t="s">
        <v>1</v>
      </c>
      <c r="D189" s="5"/>
      <c r="E189" s="5"/>
      <c r="F189" s="5" t="s">
        <v>2</v>
      </c>
      <c r="G189" s="5"/>
      <c r="H189" s="5" t="s">
        <v>3</v>
      </c>
    </row>
    <row r="190" spans="1:8" x14ac:dyDescent="0.25">
      <c r="A190" s="6" t="s">
        <v>4</v>
      </c>
      <c r="B190" s="6"/>
      <c r="C190" s="7" t="s">
        <v>5</v>
      </c>
      <c r="D190" s="7"/>
      <c r="E190" s="7"/>
      <c r="F190" s="376" t="s">
        <v>6</v>
      </c>
      <c r="G190" s="7"/>
      <c r="H190" s="7" t="s">
        <v>7</v>
      </c>
    </row>
    <row r="191" spans="1:8" ht="36" x14ac:dyDescent="0.25">
      <c r="A191" s="6"/>
      <c r="B191" s="6"/>
      <c r="C191" s="11" t="s">
        <v>8</v>
      </c>
      <c r="D191" s="6"/>
      <c r="E191" s="6"/>
      <c r="F191" s="489">
        <v>3.3</v>
      </c>
      <c r="G191" s="489" t="s">
        <v>589</v>
      </c>
      <c r="H191" s="6"/>
    </row>
    <row r="192" spans="1:8" ht="36" x14ac:dyDescent="0.25">
      <c r="A192" s="6"/>
      <c r="B192" s="6"/>
      <c r="C192" s="11" t="s">
        <v>10</v>
      </c>
      <c r="D192" s="6"/>
      <c r="E192" s="6"/>
      <c r="F192" s="489" t="s">
        <v>586</v>
      </c>
      <c r="G192" s="489" t="s">
        <v>510</v>
      </c>
      <c r="H192" s="6"/>
    </row>
    <row r="193" spans="1:8" ht="36" x14ac:dyDescent="0.25">
      <c r="A193" s="6"/>
      <c r="B193" s="6"/>
      <c r="C193" s="11" t="s">
        <v>11</v>
      </c>
      <c r="D193" s="6"/>
      <c r="E193" s="6"/>
      <c r="F193" s="489" t="s">
        <v>249</v>
      </c>
      <c r="G193" s="489" t="s">
        <v>59</v>
      </c>
      <c r="H193" s="6"/>
    </row>
    <row r="194" spans="1:8" ht="36" x14ac:dyDescent="0.25">
      <c r="A194" s="6"/>
      <c r="B194" s="6"/>
      <c r="C194" s="11" t="s">
        <v>13</v>
      </c>
      <c r="D194" s="6"/>
      <c r="E194" s="6"/>
      <c r="F194" s="489" t="s">
        <v>544</v>
      </c>
      <c r="G194" s="489" t="s">
        <v>67</v>
      </c>
      <c r="H194" s="6"/>
    </row>
    <row r="195" spans="1:8" ht="72" x14ac:dyDescent="0.25">
      <c r="A195" s="6"/>
      <c r="B195" s="6"/>
      <c r="C195" s="11" t="s">
        <v>14</v>
      </c>
      <c r="D195" s="6"/>
      <c r="E195" s="6"/>
      <c r="F195" s="489" t="s">
        <v>509</v>
      </c>
      <c r="G195" s="489" t="s">
        <v>512</v>
      </c>
      <c r="H195" s="6"/>
    </row>
    <row r="197" spans="1:8" x14ac:dyDescent="0.25">
      <c r="A197" s="142" t="s">
        <v>544</v>
      </c>
      <c r="B197" s="142"/>
      <c r="C197" s="142"/>
      <c r="D197" s="142"/>
      <c r="E197" s="142"/>
      <c r="F197" s="142"/>
      <c r="G197" s="142" t="s">
        <v>459</v>
      </c>
      <c r="H197" s="142"/>
    </row>
    <row r="198" spans="1:8" ht="57" x14ac:dyDescent="0.25">
      <c r="A198" s="5" t="s">
        <v>0</v>
      </c>
      <c r="B198" s="5"/>
      <c r="C198" s="5" t="s">
        <v>1</v>
      </c>
      <c r="D198" s="5"/>
      <c r="E198" s="5"/>
      <c r="F198" s="5" t="s">
        <v>2</v>
      </c>
      <c r="G198" s="5"/>
      <c r="H198" s="5" t="s">
        <v>3</v>
      </c>
    </row>
    <row r="199" spans="1:8" x14ac:dyDescent="0.25">
      <c r="A199" s="6" t="s">
        <v>4</v>
      </c>
      <c r="B199" s="6"/>
      <c r="C199" s="7" t="s">
        <v>5</v>
      </c>
      <c r="D199" s="7"/>
      <c r="E199" s="7"/>
      <c r="F199" s="376" t="s">
        <v>6</v>
      </c>
      <c r="G199" s="7"/>
      <c r="H199" s="7" t="s">
        <v>7</v>
      </c>
    </row>
    <row r="200" spans="1:8" ht="36" x14ac:dyDescent="0.25">
      <c r="A200" s="6"/>
      <c r="B200" s="6"/>
      <c r="C200" s="11" t="s">
        <v>8</v>
      </c>
      <c r="D200" s="6"/>
      <c r="E200" s="6"/>
      <c r="F200" s="490" t="s">
        <v>539</v>
      </c>
      <c r="G200" s="490" t="s">
        <v>83</v>
      </c>
      <c r="H200" s="6"/>
    </row>
    <row r="201" spans="1:8" ht="36" x14ac:dyDescent="0.25">
      <c r="A201" s="6"/>
      <c r="B201" s="6"/>
      <c r="C201" s="11" t="s">
        <v>10</v>
      </c>
      <c r="D201" s="6"/>
      <c r="E201" s="6"/>
      <c r="F201" s="490" t="s">
        <v>587</v>
      </c>
      <c r="G201" s="490" t="s">
        <v>565</v>
      </c>
      <c r="H201" s="6"/>
    </row>
    <row r="202" spans="1:8" ht="36" x14ac:dyDescent="0.25">
      <c r="A202" s="6"/>
      <c r="B202" s="6"/>
      <c r="C202" s="11" t="s">
        <v>11</v>
      </c>
      <c r="D202" s="6"/>
      <c r="E202" s="6"/>
      <c r="F202" s="490" t="s">
        <v>542</v>
      </c>
      <c r="G202" s="490" t="s">
        <v>83</v>
      </c>
      <c r="H202" s="6"/>
    </row>
    <row r="203" spans="1:8" ht="36" x14ac:dyDescent="0.25">
      <c r="A203" s="6"/>
      <c r="B203" s="6"/>
      <c r="C203" s="11" t="s">
        <v>13</v>
      </c>
      <c r="D203" s="6"/>
      <c r="E203" s="6"/>
      <c r="F203" s="490" t="s">
        <v>236</v>
      </c>
      <c r="G203" s="490" t="s">
        <v>63</v>
      </c>
      <c r="H203" s="6"/>
    </row>
    <row r="204" spans="1:8" ht="72" x14ac:dyDescent="0.25">
      <c r="A204" s="6"/>
      <c r="B204" s="6"/>
      <c r="C204" s="11" t="s">
        <v>14</v>
      </c>
      <c r="D204" s="6"/>
      <c r="E204" s="6"/>
      <c r="F204" s="490" t="s">
        <v>509</v>
      </c>
      <c r="G204" s="490" t="s">
        <v>512</v>
      </c>
      <c r="H204" s="6"/>
    </row>
    <row r="206" spans="1:8" x14ac:dyDescent="0.25">
      <c r="A206" s="142" t="s">
        <v>514</v>
      </c>
      <c r="B206" s="142"/>
      <c r="C206" s="142"/>
      <c r="D206" s="142"/>
      <c r="E206" s="142"/>
      <c r="F206" s="142"/>
      <c r="G206" s="142" t="s">
        <v>459</v>
      </c>
      <c r="H206" s="142"/>
    </row>
    <row r="207" spans="1:8" ht="57" x14ac:dyDescent="0.25">
      <c r="A207" s="5" t="s">
        <v>0</v>
      </c>
      <c r="B207" s="5"/>
      <c r="C207" s="5" t="s">
        <v>1</v>
      </c>
      <c r="D207" s="5"/>
      <c r="E207" s="5"/>
      <c r="F207" s="5" t="s">
        <v>2</v>
      </c>
      <c r="G207" s="5"/>
      <c r="H207" s="5" t="s">
        <v>3</v>
      </c>
    </row>
    <row r="208" spans="1:8" x14ac:dyDescent="0.25">
      <c r="A208" s="6" t="s">
        <v>4</v>
      </c>
      <c r="B208" s="6"/>
      <c r="C208" s="7" t="s">
        <v>5</v>
      </c>
      <c r="D208" s="7"/>
      <c r="E208" s="7"/>
      <c r="F208" s="376" t="s">
        <v>6</v>
      </c>
      <c r="G208" s="7"/>
      <c r="H208" s="7" t="s">
        <v>7</v>
      </c>
    </row>
    <row r="209" spans="1:8" ht="36" x14ac:dyDescent="0.25">
      <c r="A209" s="6"/>
      <c r="B209" s="6"/>
      <c r="C209" s="11" t="s">
        <v>8</v>
      </c>
      <c r="D209" s="6"/>
      <c r="E209" s="6"/>
      <c r="F209" s="491" t="s">
        <v>539</v>
      </c>
      <c r="G209" s="491" t="s">
        <v>83</v>
      </c>
      <c r="H209" s="6"/>
    </row>
    <row r="210" spans="1:8" ht="36" x14ac:dyDescent="0.25">
      <c r="A210" s="6"/>
      <c r="B210" s="6"/>
      <c r="C210" s="11" t="s">
        <v>10</v>
      </c>
      <c r="D210" s="6"/>
      <c r="E210" s="6"/>
      <c r="F210" s="491" t="s">
        <v>588</v>
      </c>
      <c r="G210" s="491" t="s">
        <v>565</v>
      </c>
      <c r="H210" s="6"/>
    </row>
    <row r="211" spans="1:8" ht="36" x14ac:dyDescent="0.25">
      <c r="A211" s="6"/>
      <c r="B211" s="6"/>
      <c r="C211" s="11" t="s">
        <v>11</v>
      </c>
      <c r="D211" s="6"/>
      <c r="E211" s="6"/>
      <c r="F211" s="491" t="s">
        <v>244</v>
      </c>
      <c r="G211" s="491" t="s">
        <v>59</v>
      </c>
      <c r="H211" s="6"/>
    </row>
    <row r="212" spans="1:8" ht="36" x14ac:dyDescent="0.25">
      <c r="A212" s="6"/>
      <c r="B212" s="6"/>
      <c r="C212" s="11" t="s">
        <v>13</v>
      </c>
      <c r="D212" s="6"/>
      <c r="E212" s="6"/>
      <c r="F212" s="491" t="s">
        <v>533</v>
      </c>
      <c r="G212" s="491" t="s">
        <v>67</v>
      </c>
      <c r="H212" s="6"/>
    </row>
    <row r="213" spans="1:8" ht="72" x14ac:dyDescent="0.25">
      <c r="A213" s="6"/>
      <c r="B213" s="6"/>
      <c r="C213" s="11" t="s">
        <v>14</v>
      </c>
      <c r="D213" s="6"/>
      <c r="E213" s="6"/>
      <c r="F213" s="491" t="s">
        <v>505</v>
      </c>
      <c r="G213" s="491" t="s">
        <v>512</v>
      </c>
      <c r="H213" s="6"/>
    </row>
    <row r="215" spans="1:8" x14ac:dyDescent="0.25">
      <c r="A215" s="142" t="s">
        <v>460</v>
      </c>
      <c r="B215" s="142"/>
      <c r="C215" s="142"/>
      <c r="D215" s="142"/>
      <c r="E215" s="142"/>
      <c r="F215" s="142"/>
      <c r="G215" s="142" t="s">
        <v>459</v>
      </c>
      <c r="H215" s="142"/>
    </row>
    <row r="216" spans="1:8" ht="57" x14ac:dyDescent="0.25">
      <c r="A216" s="5" t="s">
        <v>0</v>
      </c>
      <c r="B216" s="5"/>
      <c r="C216" s="5" t="s">
        <v>1</v>
      </c>
      <c r="D216" s="5"/>
      <c r="E216" s="5"/>
      <c r="F216" s="5" t="s">
        <v>2</v>
      </c>
      <c r="G216" s="5"/>
      <c r="H216" s="5" t="s">
        <v>3</v>
      </c>
    </row>
    <row r="217" spans="1:8" x14ac:dyDescent="0.25">
      <c r="A217" s="6" t="s">
        <v>4</v>
      </c>
      <c r="B217" s="6"/>
      <c r="C217" s="7" t="s">
        <v>5</v>
      </c>
      <c r="D217" s="7"/>
      <c r="E217" s="7"/>
      <c r="F217" s="376" t="s">
        <v>6</v>
      </c>
      <c r="G217" s="7"/>
      <c r="H217" s="7" t="s">
        <v>7</v>
      </c>
    </row>
    <row r="218" spans="1:8" ht="36" x14ac:dyDescent="0.25">
      <c r="A218" s="6"/>
      <c r="B218" s="6"/>
      <c r="C218" s="11" t="s">
        <v>8</v>
      </c>
      <c r="D218" s="6"/>
      <c r="E218" s="6"/>
      <c r="F218" s="492" t="s">
        <v>539</v>
      </c>
      <c r="G218" s="492" t="s">
        <v>83</v>
      </c>
      <c r="H218" s="6"/>
    </row>
    <row r="219" spans="1:8" ht="36" x14ac:dyDescent="0.25">
      <c r="A219" s="6"/>
      <c r="B219" s="6"/>
      <c r="C219" s="11" t="s">
        <v>10</v>
      </c>
      <c r="D219" s="6"/>
      <c r="E219" s="6"/>
      <c r="F219" s="492" t="s">
        <v>588</v>
      </c>
      <c r="G219" s="492" t="s">
        <v>565</v>
      </c>
      <c r="H219" s="6"/>
    </row>
    <row r="220" spans="1:8" ht="36" x14ac:dyDescent="0.25">
      <c r="A220" s="6"/>
      <c r="B220" s="6"/>
      <c r="C220" s="11" t="s">
        <v>11</v>
      </c>
      <c r="D220" s="6"/>
      <c r="E220" s="6"/>
      <c r="F220" s="492" t="s">
        <v>239</v>
      </c>
      <c r="G220" s="492" t="s">
        <v>67</v>
      </c>
      <c r="H220" s="6"/>
    </row>
    <row r="221" spans="1:8" ht="36" x14ac:dyDescent="0.25">
      <c r="A221" s="6"/>
      <c r="B221" s="6"/>
      <c r="C221" s="11" t="s">
        <v>13</v>
      </c>
      <c r="D221" s="6"/>
      <c r="E221" s="6"/>
      <c r="F221" s="492" t="s">
        <v>252</v>
      </c>
      <c r="G221" s="492" t="s">
        <v>489</v>
      </c>
      <c r="H221" s="6"/>
    </row>
    <row r="222" spans="1:8" ht="72" x14ac:dyDescent="0.25">
      <c r="A222" s="6"/>
      <c r="B222" s="6"/>
      <c r="C222" s="11" t="s">
        <v>14</v>
      </c>
      <c r="D222" s="6"/>
      <c r="E222" s="6"/>
      <c r="F222" s="492" t="s">
        <v>505</v>
      </c>
      <c r="G222" s="492" t="s">
        <v>512</v>
      </c>
      <c r="H222" s="6"/>
    </row>
    <row r="226" spans="1:8" x14ac:dyDescent="0.25">
      <c r="A226" s="142" t="s">
        <v>545</v>
      </c>
      <c r="B226" s="142"/>
      <c r="C226" s="142"/>
      <c r="D226" s="142"/>
      <c r="E226" s="142"/>
      <c r="F226" s="142"/>
      <c r="G226" s="142" t="s">
        <v>459</v>
      </c>
      <c r="H226" s="142"/>
    </row>
    <row r="227" spans="1:8" ht="57" x14ac:dyDescent="0.25">
      <c r="A227" s="5" t="s">
        <v>0</v>
      </c>
      <c r="B227" s="5"/>
      <c r="C227" s="5" t="s">
        <v>1</v>
      </c>
      <c r="D227" s="5"/>
      <c r="E227" s="5"/>
      <c r="F227" s="5" t="s">
        <v>2</v>
      </c>
      <c r="G227" s="5"/>
      <c r="H227" s="5" t="s">
        <v>3</v>
      </c>
    </row>
    <row r="228" spans="1:8" x14ac:dyDescent="0.25">
      <c r="A228" s="6" t="s">
        <v>4</v>
      </c>
      <c r="B228" s="6"/>
      <c r="C228" s="7" t="s">
        <v>5</v>
      </c>
      <c r="D228" s="7"/>
      <c r="E228" s="7"/>
      <c r="F228" s="376" t="s">
        <v>6</v>
      </c>
      <c r="G228" s="7"/>
      <c r="H228" s="7" t="s">
        <v>7</v>
      </c>
    </row>
    <row r="229" spans="1:8" ht="36" x14ac:dyDescent="0.25">
      <c r="A229" s="6"/>
      <c r="B229" s="6"/>
      <c r="C229" s="11" t="s">
        <v>8</v>
      </c>
      <c r="D229" s="6"/>
      <c r="E229" s="6"/>
      <c r="F229" s="449" t="s">
        <v>239</v>
      </c>
      <c r="G229" s="449" t="s">
        <v>63</v>
      </c>
      <c r="H229" s="6"/>
    </row>
    <row r="230" spans="1:8" ht="36" x14ac:dyDescent="0.25">
      <c r="A230" s="6"/>
      <c r="B230" s="6"/>
      <c r="C230" s="11" t="s">
        <v>10</v>
      </c>
      <c r="D230" s="6"/>
      <c r="E230" s="6"/>
      <c r="F230" s="449" t="s">
        <v>12</v>
      </c>
      <c r="G230" s="449" t="s">
        <v>538</v>
      </c>
      <c r="H230" s="6"/>
    </row>
    <row r="231" spans="1:8" ht="36" x14ac:dyDescent="0.25">
      <c r="A231" s="6"/>
      <c r="B231" s="6"/>
      <c r="C231" s="11" t="s">
        <v>11</v>
      </c>
      <c r="D231" s="6"/>
      <c r="E231" s="6"/>
      <c r="F231" s="449" t="s">
        <v>541</v>
      </c>
      <c r="G231" s="449" t="s">
        <v>112</v>
      </c>
      <c r="H231" s="6"/>
    </row>
    <row r="232" spans="1:8" ht="36" x14ac:dyDescent="0.25">
      <c r="A232" s="6"/>
      <c r="B232" s="6"/>
      <c r="C232" s="11" t="s">
        <v>13</v>
      </c>
      <c r="D232" s="6"/>
      <c r="E232" s="6"/>
      <c r="F232" s="449" t="s">
        <v>528</v>
      </c>
      <c r="G232" s="449" t="s">
        <v>512</v>
      </c>
      <c r="H232" s="6"/>
    </row>
    <row r="233" spans="1:8" ht="72" x14ac:dyDescent="0.25">
      <c r="A233" s="6"/>
      <c r="B233" s="6"/>
      <c r="C233" s="11" t="s">
        <v>14</v>
      </c>
      <c r="D233" s="6"/>
      <c r="E233" s="6"/>
      <c r="F233" s="449" t="s">
        <v>264</v>
      </c>
      <c r="G233" s="449" t="s">
        <v>489</v>
      </c>
      <c r="H233" s="6"/>
    </row>
    <row r="235" spans="1:8" x14ac:dyDescent="0.25">
      <c r="A235" s="142" t="s">
        <v>546</v>
      </c>
      <c r="B235" s="142"/>
      <c r="C235" s="142"/>
      <c r="D235" s="142"/>
      <c r="E235" s="142"/>
      <c r="F235" s="142"/>
      <c r="G235" s="142" t="s">
        <v>459</v>
      </c>
      <c r="H235" s="142"/>
    </row>
    <row r="236" spans="1:8" ht="57" x14ac:dyDescent="0.25">
      <c r="A236" s="5" t="s">
        <v>0</v>
      </c>
      <c r="B236" s="5"/>
      <c r="C236" s="5" t="s">
        <v>1</v>
      </c>
      <c r="D236" s="5"/>
      <c r="E236" s="5"/>
      <c r="F236" s="5" t="s">
        <v>2</v>
      </c>
      <c r="G236" s="5"/>
      <c r="H236" s="5" t="s">
        <v>3</v>
      </c>
    </row>
    <row r="237" spans="1:8" x14ac:dyDescent="0.25">
      <c r="A237" s="6" t="s">
        <v>4</v>
      </c>
      <c r="B237" s="6"/>
      <c r="C237" s="7" t="s">
        <v>5</v>
      </c>
      <c r="D237" s="7"/>
      <c r="E237" s="7"/>
      <c r="F237" s="376" t="s">
        <v>6</v>
      </c>
      <c r="G237" s="7"/>
      <c r="H237" s="7" t="s">
        <v>7</v>
      </c>
    </row>
    <row r="238" spans="1:8" ht="36" x14ac:dyDescent="0.25">
      <c r="A238" s="6"/>
      <c r="B238" s="6"/>
      <c r="C238" s="11" t="s">
        <v>8</v>
      </c>
      <c r="D238" s="6"/>
      <c r="E238" s="6"/>
      <c r="F238" s="449" t="s">
        <v>239</v>
      </c>
      <c r="G238" s="449" t="s">
        <v>63</v>
      </c>
      <c r="H238" s="6"/>
    </row>
    <row r="239" spans="1:8" ht="36" x14ac:dyDescent="0.25">
      <c r="A239" s="6"/>
      <c r="B239" s="6"/>
      <c r="C239" s="11" t="s">
        <v>10</v>
      </c>
      <c r="D239" s="6"/>
      <c r="E239" s="6"/>
      <c r="F239" s="449" t="s">
        <v>12</v>
      </c>
      <c r="G239" s="449" t="s">
        <v>538</v>
      </c>
      <c r="H239" s="6"/>
    </row>
    <row r="240" spans="1:8" ht="36" x14ac:dyDescent="0.25">
      <c r="A240" s="6"/>
      <c r="B240" s="6"/>
      <c r="C240" s="11" t="s">
        <v>11</v>
      </c>
      <c r="D240" s="6"/>
      <c r="E240" s="6"/>
      <c r="F240" s="449" t="s">
        <v>541</v>
      </c>
      <c r="G240" s="449" t="s">
        <v>112</v>
      </c>
      <c r="H240" s="6"/>
    </row>
    <row r="241" spans="1:8" ht="36" x14ac:dyDescent="0.25">
      <c r="A241" s="6"/>
      <c r="B241" s="6"/>
      <c r="C241" s="11" t="s">
        <v>13</v>
      </c>
      <c r="D241" s="6"/>
      <c r="E241" s="6"/>
      <c r="F241" s="449" t="s">
        <v>528</v>
      </c>
      <c r="G241" s="449" t="s">
        <v>512</v>
      </c>
      <c r="H241" s="6"/>
    </row>
    <row r="242" spans="1:8" ht="72" x14ac:dyDescent="0.25">
      <c r="A242" s="6"/>
      <c r="B242" s="6"/>
      <c r="C242" s="11" t="s">
        <v>14</v>
      </c>
      <c r="D242" s="6"/>
      <c r="E242" s="6"/>
      <c r="F242" s="449" t="s">
        <v>264</v>
      </c>
      <c r="G242" s="449" t="s">
        <v>489</v>
      </c>
      <c r="H242" s="6"/>
    </row>
    <row r="244" spans="1:8" x14ac:dyDescent="0.25">
      <c r="A244" s="142" t="s">
        <v>516</v>
      </c>
      <c r="B244" s="142"/>
      <c r="C244" s="142"/>
      <c r="D244" s="142"/>
      <c r="E244" s="142"/>
      <c r="F244" s="142"/>
      <c r="G244" s="142" t="s">
        <v>459</v>
      </c>
      <c r="H244" s="142"/>
    </row>
    <row r="245" spans="1:8" ht="57" x14ac:dyDescent="0.25">
      <c r="A245" s="5" t="s">
        <v>0</v>
      </c>
      <c r="B245" s="5"/>
      <c r="C245" s="5" t="s">
        <v>1</v>
      </c>
      <c r="D245" s="5"/>
      <c r="E245" s="5"/>
      <c r="F245" s="5" t="s">
        <v>2</v>
      </c>
      <c r="G245" s="5"/>
      <c r="H245" s="5" t="s">
        <v>3</v>
      </c>
    </row>
    <row r="246" spans="1:8" x14ac:dyDescent="0.25">
      <c r="A246" s="6" t="s">
        <v>4</v>
      </c>
      <c r="B246" s="6"/>
      <c r="C246" s="7" t="s">
        <v>5</v>
      </c>
      <c r="D246" s="7"/>
      <c r="E246" s="7"/>
      <c r="F246" s="376" t="s">
        <v>6</v>
      </c>
      <c r="G246" s="7"/>
      <c r="H246" s="7" t="s">
        <v>7</v>
      </c>
    </row>
    <row r="247" spans="1:8" ht="36" x14ac:dyDescent="0.25">
      <c r="A247" s="6"/>
      <c r="B247" s="6"/>
      <c r="C247" s="11" t="s">
        <v>8</v>
      </c>
      <c r="D247" s="6"/>
      <c r="E247" s="6"/>
      <c r="F247" s="449" t="s">
        <v>239</v>
      </c>
      <c r="G247" s="449" t="s">
        <v>63</v>
      </c>
      <c r="H247" s="6"/>
    </row>
    <row r="248" spans="1:8" ht="36" x14ac:dyDescent="0.25">
      <c r="A248" s="6"/>
      <c r="B248" s="6"/>
      <c r="C248" s="11" t="s">
        <v>10</v>
      </c>
      <c r="D248" s="6"/>
      <c r="E248" s="6"/>
      <c r="F248" s="449" t="s">
        <v>12</v>
      </c>
      <c r="G248" s="449" t="s">
        <v>538</v>
      </c>
      <c r="H248" s="6"/>
    </row>
    <row r="249" spans="1:8" ht="36" x14ac:dyDescent="0.25">
      <c r="A249" s="6"/>
      <c r="B249" s="6"/>
      <c r="C249" s="11" t="s">
        <v>11</v>
      </c>
      <c r="D249" s="6"/>
      <c r="E249" s="6"/>
      <c r="F249" s="449" t="s">
        <v>541</v>
      </c>
      <c r="G249" s="449" t="s">
        <v>112</v>
      </c>
      <c r="H249" s="6"/>
    </row>
    <row r="250" spans="1:8" ht="36" x14ac:dyDescent="0.25">
      <c r="A250" s="6"/>
      <c r="B250" s="6"/>
      <c r="C250" s="11" t="s">
        <v>13</v>
      </c>
      <c r="D250" s="6"/>
      <c r="E250" s="6"/>
      <c r="F250" s="449" t="s">
        <v>528</v>
      </c>
      <c r="G250" s="449" t="s">
        <v>512</v>
      </c>
      <c r="H250" s="6"/>
    </row>
    <row r="251" spans="1:8" ht="72" x14ac:dyDescent="0.25">
      <c r="A251" s="6"/>
      <c r="B251" s="6"/>
      <c r="C251" s="11" t="s">
        <v>14</v>
      </c>
      <c r="D251" s="6"/>
      <c r="E251" s="6"/>
      <c r="F251" s="449" t="s">
        <v>264</v>
      </c>
      <c r="G251" s="449" t="s">
        <v>489</v>
      </c>
      <c r="H251" s="6"/>
    </row>
    <row r="253" spans="1:8" x14ac:dyDescent="0.25">
      <c r="A253" s="142" t="s">
        <v>547</v>
      </c>
      <c r="B253" s="142"/>
      <c r="C253" s="142"/>
      <c r="D253" s="142"/>
      <c r="E253" s="142"/>
      <c r="F253" s="142"/>
      <c r="G253" s="142" t="s">
        <v>459</v>
      </c>
      <c r="H253" s="142"/>
    </row>
    <row r="254" spans="1:8" ht="57" x14ac:dyDescent="0.25">
      <c r="A254" s="5" t="s">
        <v>0</v>
      </c>
      <c r="B254" s="5"/>
      <c r="C254" s="5" t="s">
        <v>1</v>
      </c>
      <c r="D254" s="5"/>
      <c r="E254" s="5"/>
      <c r="F254" s="5" t="s">
        <v>2</v>
      </c>
      <c r="G254" s="5"/>
      <c r="H254" s="5" t="s">
        <v>3</v>
      </c>
    </row>
    <row r="255" spans="1:8" x14ac:dyDescent="0.25">
      <c r="A255" s="6" t="s">
        <v>4</v>
      </c>
      <c r="B255" s="6"/>
      <c r="C255" s="7" t="s">
        <v>5</v>
      </c>
      <c r="D255" s="7"/>
      <c r="E255" s="7"/>
      <c r="F255" s="376" t="s">
        <v>6</v>
      </c>
      <c r="G255" s="7"/>
      <c r="H255" s="7" t="s">
        <v>7</v>
      </c>
    </row>
    <row r="256" spans="1:8" ht="36" x14ac:dyDescent="0.25">
      <c r="A256" s="6"/>
      <c r="B256" s="6"/>
      <c r="C256" s="11" t="s">
        <v>8</v>
      </c>
      <c r="D256" s="6"/>
      <c r="E256" s="6"/>
      <c r="F256" s="449" t="s">
        <v>239</v>
      </c>
      <c r="G256" s="449" t="s">
        <v>63</v>
      </c>
      <c r="H256" s="6"/>
    </row>
    <row r="257" spans="1:8" ht="36" x14ac:dyDescent="0.25">
      <c r="A257" s="6"/>
      <c r="B257" s="6"/>
      <c r="C257" s="11" t="s">
        <v>10</v>
      </c>
      <c r="D257" s="6"/>
      <c r="E257" s="6"/>
      <c r="F257" s="449" t="s">
        <v>12</v>
      </c>
      <c r="G257" s="449" t="s">
        <v>538</v>
      </c>
      <c r="H257" s="6"/>
    </row>
    <row r="258" spans="1:8" ht="36" x14ac:dyDescent="0.25">
      <c r="A258" s="6"/>
      <c r="B258" s="6"/>
      <c r="C258" s="11" t="s">
        <v>11</v>
      </c>
      <c r="D258" s="6"/>
      <c r="E258" s="6"/>
      <c r="F258" s="449" t="s">
        <v>541</v>
      </c>
      <c r="G258" s="449" t="s">
        <v>112</v>
      </c>
      <c r="H258" s="6"/>
    </row>
    <row r="259" spans="1:8" ht="36" x14ac:dyDescent="0.25">
      <c r="A259" s="6"/>
      <c r="B259" s="6"/>
      <c r="C259" s="11" t="s">
        <v>13</v>
      </c>
      <c r="D259" s="6"/>
      <c r="E259" s="6"/>
      <c r="F259" s="449" t="s">
        <v>528</v>
      </c>
      <c r="G259" s="449" t="s">
        <v>512</v>
      </c>
      <c r="H259" s="6"/>
    </row>
    <row r="260" spans="1:8" ht="72" x14ac:dyDescent="0.25">
      <c r="A260" s="6"/>
      <c r="B260" s="6"/>
      <c r="C260" s="11" t="s">
        <v>14</v>
      </c>
      <c r="D260" s="6"/>
      <c r="E260" s="6"/>
      <c r="F260" s="449" t="s">
        <v>264</v>
      </c>
      <c r="G260" s="449" t="s">
        <v>489</v>
      </c>
      <c r="H260" s="6"/>
    </row>
    <row r="262" spans="1:8" x14ac:dyDescent="0.25">
      <c r="A262" s="142" t="s">
        <v>534</v>
      </c>
      <c r="B262" s="142"/>
      <c r="C262" s="142"/>
      <c r="D262" s="142"/>
      <c r="E262" s="142"/>
      <c r="F262" s="142"/>
      <c r="G262" s="142" t="s">
        <v>459</v>
      </c>
      <c r="H262" s="142"/>
    </row>
    <row r="263" spans="1:8" ht="57" x14ac:dyDescent="0.25">
      <c r="A263" s="5" t="s">
        <v>0</v>
      </c>
      <c r="B263" s="5"/>
      <c r="C263" s="5" t="s">
        <v>1</v>
      </c>
      <c r="D263" s="5"/>
      <c r="E263" s="5"/>
      <c r="F263" s="5" t="s">
        <v>2</v>
      </c>
      <c r="G263" s="5"/>
      <c r="H263" s="5" t="s">
        <v>3</v>
      </c>
    </row>
    <row r="264" spans="1:8" x14ac:dyDescent="0.25">
      <c r="A264" s="6" t="s">
        <v>4</v>
      </c>
      <c r="B264" s="6"/>
      <c r="C264" s="7" t="s">
        <v>5</v>
      </c>
      <c r="D264" s="7"/>
      <c r="E264" s="7"/>
      <c r="F264" s="376" t="s">
        <v>6</v>
      </c>
      <c r="G264" s="7"/>
      <c r="H264" s="7" t="s">
        <v>7</v>
      </c>
    </row>
    <row r="265" spans="1:8" ht="36" x14ac:dyDescent="0.25">
      <c r="A265" s="6"/>
      <c r="B265" s="6"/>
      <c r="C265" s="11" t="s">
        <v>8</v>
      </c>
      <c r="D265" s="6"/>
      <c r="E265" s="6"/>
      <c r="F265" s="449" t="s">
        <v>239</v>
      </c>
      <c r="G265" s="449" t="s">
        <v>63</v>
      </c>
      <c r="H265" s="6"/>
    </row>
    <row r="266" spans="1:8" ht="36" x14ac:dyDescent="0.25">
      <c r="A266" s="6"/>
      <c r="B266" s="6"/>
      <c r="C266" s="11" t="s">
        <v>10</v>
      </c>
      <c r="D266" s="6"/>
      <c r="E266" s="6"/>
      <c r="F266" s="449" t="s">
        <v>12</v>
      </c>
      <c r="G266" s="449" t="s">
        <v>538</v>
      </c>
      <c r="H266" s="6"/>
    </row>
    <row r="267" spans="1:8" ht="36" x14ac:dyDescent="0.25">
      <c r="A267" s="6"/>
      <c r="B267" s="6"/>
      <c r="C267" s="11" t="s">
        <v>11</v>
      </c>
      <c r="D267" s="6"/>
      <c r="E267" s="6"/>
      <c r="F267" s="449" t="s">
        <v>541</v>
      </c>
      <c r="G267" s="449" t="s">
        <v>112</v>
      </c>
      <c r="H267" s="6"/>
    </row>
    <row r="268" spans="1:8" ht="36" x14ac:dyDescent="0.25">
      <c r="A268" s="6"/>
      <c r="B268" s="6"/>
      <c r="C268" s="11" t="s">
        <v>13</v>
      </c>
      <c r="D268" s="6"/>
      <c r="E268" s="6"/>
      <c r="F268" s="449" t="s">
        <v>528</v>
      </c>
      <c r="G268" s="449" t="s">
        <v>512</v>
      </c>
      <c r="H268" s="6"/>
    </row>
    <row r="269" spans="1:8" ht="72" x14ac:dyDescent="0.25">
      <c r="A269" s="6"/>
      <c r="B269" s="6"/>
      <c r="C269" s="11" t="s">
        <v>14</v>
      </c>
      <c r="D269" s="6"/>
      <c r="E269" s="6"/>
      <c r="F269" s="449" t="s">
        <v>264</v>
      </c>
      <c r="G269" s="449" t="s">
        <v>489</v>
      </c>
      <c r="H269" s="6"/>
    </row>
    <row r="271" spans="1:8" x14ac:dyDescent="0.25">
      <c r="A271" s="142" t="s">
        <v>548</v>
      </c>
      <c r="B271" s="142"/>
      <c r="C271" s="142"/>
      <c r="D271" s="142"/>
      <c r="E271" s="142"/>
      <c r="F271" s="142"/>
      <c r="G271" s="142" t="s">
        <v>459</v>
      </c>
      <c r="H271" s="142"/>
    </row>
    <row r="272" spans="1:8" ht="57" x14ac:dyDescent="0.25">
      <c r="A272" s="5" t="s">
        <v>0</v>
      </c>
      <c r="B272" s="5"/>
      <c r="C272" s="5" t="s">
        <v>1</v>
      </c>
      <c r="D272" s="5"/>
      <c r="E272" s="5"/>
      <c r="F272" s="5" t="s">
        <v>2</v>
      </c>
      <c r="G272" s="5"/>
      <c r="H272" s="5" t="s">
        <v>3</v>
      </c>
    </row>
    <row r="273" spans="1:8" x14ac:dyDescent="0.25">
      <c r="A273" s="6" t="s">
        <v>4</v>
      </c>
      <c r="B273" s="6"/>
      <c r="C273" s="7" t="s">
        <v>5</v>
      </c>
      <c r="D273" s="7"/>
      <c r="E273" s="7"/>
      <c r="F273" s="376" t="s">
        <v>6</v>
      </c>
      <c r="G273" s="7"/>
      <c r="H273" s="7" t="s">
        <v>7</v>
      </c>
    </row>
    <row r="274" spans="1:8" ht="36" x14ac:dyDescent="0.25">
      <c r="A274" s="6"/>
      <c r="B274" s="6"/>
      <c r="C274" s="11" t="s">
        <v>8</v>
      </c>
      <c r="D274" s="6"/>
      <c r="E274" s="6"/>
      <c r="F274" s="449" t="s">
        <v>239</v>
      </c>
      <c r="G274" s="449" t="s">
        <v>63</v>
      </c>
      <c r="H274" s="6"/>
    </row>
    <row r="275" spans="1:8" ht="36" x14ac:dyDescent="0.25">
      <c r="A275" s="6"/>
      <c r="B275" s="6"/>
      <c r="C275" s="11" t="s">
        <v>10</v>
      </c>
      <c r="D275" s="6"/>
      <c r="E275" s="6"/>
      <c r="F275" s="449" t="s">
        <v>12</v>
      </c>
      <c r="G275" s="449" t="s">
        <v>538</v>
      </c>
      <c r="H275" s="6"/>
    </row>
    <row r="276" spans="1:8" ht="36" x14ac:dyDescent="0.25">
      <c r="A276" s="6"/>
      <c r="B276" s="6"/>
      <c r="C276" s="11" t="s">
        <v>11</v>
      </c>
      <c r="D276" s="6"/>
      <c r="E276" s="6"/>
      <c r="F276" s="449" t="s">
        <v>541</v>
      </c>
      <c r="G276" s="449" t="s">
        <v>112</v>
      </c>
      <c r="H276" s="6"/>
    </row>
    <row r="277" spans="1:8" ht="36" x14ac:dyDescent="0.25">
      <c r="A277" s="6"/>
      <c r="B277" s="6"/>
      <c r="C277" s="11" t="s">
        <v>13</v>
      </c>
      <c r="D277" s="6"/>
      <c r="E277" s="6"/>
      <c r="F277" s="449" t="s">
        <v>528</v>
      </c>
      <c r="G277" s="449" t="s">
        <v>512</v>
      </c>
      <c r="H277" s="6"/>
    </row>
    <row r="278" spans="1:8" ht="72" x14ac:dyDescent="0.25">
      <c r="A278" s="6"/>
      <c r="B278" s="6"/>
      <c r="C278" s="11" t="s">
        <v>14</v>
      </c>
      <c r="D278" s="6"/>
      <c r="E278" s="6"/>
      <c r="F278" s="449" t="s">
        <v>264</v>
      </c>
      <c r="G278" s="449" t="s">
        <v>489</v>
      </c>
      <c r="H278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K157"/>
  <sheetViews>
    <sheetView zoomScale="85" zoomScaleNormal="85" workbookViewId="0">
      <selection activeCell="J9" sqref="J9"/>
    </sheetView>
  </sheetViews>
  <sheetFormatPr defaultRowHeight="15" x14ac:dyDescent="0.25"/>
  <cols>
    <col min="1" max="1" width="9.140625" style="13"/>
    <col min="2" max="2" width="2.85546875" style="13" customWidth="1"/>
    <col min="3" max="3" width="10.28515625" style="13" bestFit="1" customWidth="1"/>
    <col min="4" max="4" width="16.7109375" style="14" customWidth="1"/>
    <col min="5" max="5" width="10.28515625" style="255" bestFit="1" customWidth="1"/>
    <col min="6" max="9" width="12.7109375" style="13" customWidth="1"/>
    <col min="10" max="10" width="22.7109375" style="13" customWidth="1"/>
    <col min="11" max="12" width="9.140625" style="13"/>
    <col min="13" max="16" width="12.7109375" style="13" customWidth="1"/>
    <col min="17" max="17" width="9.140625" style="13"/>
    <col min="18" max="24" width="9.7109375" style="13" customWidth="1"/>
    <col min="25" max="26" width="9.140625" style="13"/>
    <col min="27" max="28" width="12.7109375" style="13" customWidth="1"/>
    <col min="29" max="29" width="9.140625" style="13"/>
    <col min="30" max="35" width="10.5703125" style="13" customWidth="1"/>
    <col min="36" max="16384" width="9.140625" style="13"/>
  </cols>
  <sheetData>
    <row r="1" spans="1:37" ht="15.75" x14ac:dyDescent="0.25">
      <c r="A1" s="170"/>
      <c r="B1" s="170"/>
      <c r="C1" s="170"/>
      <c r="D1" s="245"/>
      <c r="E1" s="252"/>
      <c r="F1" s="170"/>
      <c r="G1" s="170"/>
      <c r="H1" s="170"/>
      <c r="I1" s="170"/>
      <c r="J1" s="170"/>
    </row>
    <row r="2" spans="1:37" ht="16.5" thickBot="1" x14ac:dyDescent="0.3">
      <c r="A2" s="170"/>
      <c r="B2" s="170"/>
      <c r="C2" s="170"/>
      <c r="D2" s="245"/>
      <c r="E2" s="252"/>
      <c r="F2" s="170"/>
      <c r="G2" s="170"/>
      <c r="H2" s="170"/>
      <c r="I2" s="170"/>
      <c r="J2" s="170"/>
    </row>
    <row r="3" spans="1:37" ht="42.75" customHeight="1" thickBot="1" x14ac:dyDescent="0.3">
      <c r="A3" s="170"/>
      <c r="B3" s="170"/>
      <c r="C3" s="594" t="s">
        <v>0</v>
      </c>
      <c r="D3" s="596" t="s">
        <v>15</v>
      </c>
      <c r="E3" s="598" t="s">
        <v>16</v>
      </c>
      <c r="F3" s="600" t="s">
        <v>17</v>
      </c>
      <c r="G3" s="601"/>
      <c r="H3" s="602"/>
      <c r="I3" s="600" t="s">
        <v>18</v>
      </c>
      <c r="J3" s="609" t="s">
        <v>19</v>
      </c>
      <c r="M3" s="295" t="s">
        <v>421</v>
      </c>
      <c r="N3" s="296" t="s">
        <v>422</v>
      </c>
      <c r="O3" s="425" t="s">
        <v>479</v>
      </c>
      <c r="P3" s="297" t="s">
        <v>423</v>
      </c>
      <c r="Q3" s="298"/>
      <c r="R3" s="610" t="s">
        <v>424</v>
      </c>
      <c r="S3" s="611"/>
      <c r="T3" s="611"/>
      <c r="U3" s="611"/>
      <c r="V3" s="611"/>
      <c r="W3" s="611"/>
      <c r="X3" s="612"/>
      <c r="Y3" s="299"/>
      <c r="Z3" s="300" t="s">
        <v>0</v>
      </c>
      <c r="AA3" s="301" t="s">
        <v>425</v>
      </c>
      <c r="AB3" s="302" t="s">
        <v>426</v>
      </c>
      <c r="AD3" s="610" t="s">
        <v>427</v>
      </c>
      <c r="AE3" s="611"/>
      <c r="AF3" s="611"/>
      <c r="AG3" s="611"/>
      <c r="AH3" s="611"/>
      <c r="AI3" s="611"/>
      <c r="AJ3" s="611"/>
      <c r="AK3" s="612"/>
    </row>
    <row r="4" spans="1:37" ht="19.5" customHeight="1" x14ac:dyDescent="0.25">
      <c r="A4" s="250" t="s">
        <v>23</v>
      </c>
      <c r="B4" s="170"/>
      <c r="C4" s="595"/>
      <c r="D4" s="597"/>
      <c r="E4" s="599"/>
      <c r="F4" s="603"/>
      <c r="G4" s="604"/>
      <c r="H4" s="605"/>
      <c r="I4" s="603"/>
      <c r="J4" s="609"/>
      <c r="M4" s="303">
        <v>1</v>
      </c>
      <c r="N4" s="304">
        <v>0.1</v>
      </c>
      <c r="O4" s="426">
        <v>0.01</v>
      </c>
      <c r="P4" s="305">
        <f>N4+O4</f>
        <v>0.11</v>
      </c>
      <c r="Q4" s="306"/>
      <c r="R4" s="613" t="s">
        <v>428</v>
      </c>
      <c r="S4" s="614"/>
      <c r="T4" s="614"/>
      <c r="U4" s="614"/>
      <c r="V4" s="614"/>
      <c r="W4" s="614"/>
      <c r="X4" s="307">
        <f>AVERAGE(N4:N157)</f>
        <v>0.10600000000000001</v>
      </c>
      <c r="Y4" s="299"/>
      <c r="Z4" s="300">
        <v>1</v>
      </c>
      <c r="AA4" s="308">
        <v>10</v>
      </c>
      <c r="AB4" s="309">
        <v>10</v>
      </c>
      <c r="AD4" s="613" t="s">
        <v>429</v>
      </c>
      <c r="AE4" s="614"/>
      <c r="AF4" s="614"/>
      <c r="AG4" s="614"/>
      <c r="AH4" s="614"/>
      <c r="AI4" s="614"/>
      <c r="AJ4" s="615">
        <f>AVERAGE(AA4:AA63)</f>
        <v>39.799999999999997</v>
      </c>
      <c r="AK4" s="616"/>
    </row>
    <row r="5" spans="1:37" ht="19.5" customHeight="1" x14ac:dyDescent="0.25">
      <c r="A5" s="251" t="s">
        <v>24</v>
      </c>
      <c r="B5" s="246"/>
      <c r="C5" s="595"/>
      <c r="D5" s="597"/>
      <c r="E5" s="599"/>
      <c r="F5" s="603"/>
      <c r="G5" s="604"/>
      <c r="H5" s="605"/>
      <c r="I5" s="603"/>
      <c r="J5" s="609"/>
      <c r="M5" s="310">
        <v>2</v>
      </c>
      <c r="N5" s="311">
        <v>0.11</v>
      </c>
      <c r="O5" s="426">
        <v>0.01</v>
      </c>
      <c r="P5" s="305">
        <f t="shared" ref="P5:P68" si="0">N5+O5</f>
        <v>0.12</v>
      </c>
      <c r="Q5" s="306"/>
      <c r="R5" s="590" t="s">
        <v>430</v>
      </c>
      <c r="S5" s="591"/>
      <c r="T5" s="591"/>
      <c r="U5" s="591"/>
      <c r="V5" s="591"/>
      <c r="W5" s="591"/>
      <c r="X5" s="312">
        <f>STDEV(N4:N157)</f>
        <v>5.4772255750516578E-3</v>
      </c>
      <c r="Y5" s="299"/>
      <c r="Z5" s="300">
        <v>2</v>
      </c>
      <c r="AA5" s="313">
        <v>10</v>
      </c>
      <c r="AB5" s="314">
        <v>10</v>
      </c>
      <c r="AD5" s="590" t="s">
        <v>431</v>
      </c>
      <c r="AE5" s="591"/>
      <c r="AF5" s="591"/>
      <c r="AG5" s="591"/>
      <c r="AH5" s="591"/>
      <c r="AI5" s="591"/>
      <c r="AJ5" s="592">
        <f>STDEV(AA4:AA63)</f>
        <v>39.258388309144571</v>
      </c>
      <c r="AK5" s="593"/>
    </row>
    <row r="6" spans="1:37" ht="19.5" customHeight="1" thickBot="1" x14ac:dyDescent="0.3">
      <c r="A6" s="251" t="s">
        <v>25</v>
      </c>
      <c r="B6" s="246"/>
      <c r="C6" s="595"/>
      <c r="D6" s="597"/>
      <c r="E6" s="599"/>
      <c r="F6" s="606"/>
      <c r="G6" s="607"/>
      <c r="H6" s="608"/>
      <c r="I6" s="603"/>
      <c r="J6" s="609"/>
      <c r="M6" s="310">
        <v>3</v>
      </c>
      <c r="N6" s="311">
        <v>0.11</v>
      </c>
      <c r="O6" s="426">
        <v>0.01</v>
      </c>
      <c r="P6" s="305">
        <f t="shared" si="0"/>
        <v>0.12</v>
      </c>
      <c r="Q6" s="306"/>
      <c r="R6" s="590" t="s">
        <v>432</v>
      </c>
      <c r="S6" s="591"/>
      <c r="T6" s="591"/>
      <c r="U6" s="591"/>
      <c r="V6" s="591"/>
      <c r="W6" s="591"/>
      <c r="X6" s="312">
        <v>0.12</v>
      </c>
      <c r="Y6" s="299"/>
      <c r="Z6" s="300">
        <v>3</v>
      </c>
      <c r="AA6" s="313">
        <v>10</v>
      </c>
      <c r="AB6" s="314">
        <v>10</v>
      </c>
      <c r="AD6" s="590" t="s">
        <v>433</v>
      </c>
      <c r="AE6" s="591"/>
      <c r="AF6" s="591"/>
      <c r="AG6" s="591"/>
      <c r="AH6" s="591"/>
      <c r="AI6" s="591"/>
      <c r="AJ6" s="592">
        <f>SUM(AJ4:AJ5)</f>
        <v>79.058388309144561</v>
      </c>
      <c r="AK6" s="593"/>
    </row>
    <row r="7" spans="1:37" ht="19.5" customHeight="1" thickBot="1" x14ac:dyDescent="0.3">
      <c r="A7" s="250" t="s">
        <v>26</v>
      </c>
      <c r="B7" s="170"/>
      <c r="C7" s="595"/>
      <c r="D7" s="597"/>
      <c r="E7" s="599"/>
      <c r="F7" s="291" t="s">
        <v>20</v>
      </c>
      <c r="G7" s="290" t="s">
        <v>21</v>
      </c>
      <c r="H7" s="290" t="s">
        <v>22</v>
      </c>
      <c r="I7" s="603"/>
      <c r="J7" s="609"/>
      <c r="M7" s="310">
        <v>4</v>
      </c>
      <c r="N7" s="311">
        <v>0.1</v>
      </c>
      <c r="O7" s="426">
        <v>0.01</v>
      </c>
      <c r="P7" s="305">
        <f t="shared" si="0"/>
        <v>0.11</v>
      </c>
      <c r="Q7" s="306"/>
      <c r="R7" s="590" t="s">
        <v>434</v>
      </c>
      <c r="S7" s="591"/>
      <c r="T7" s="591"/>
      <c r="U7" s="591"/>
      <c r="V7" s="591"/>
      <c r="W7" s="591"/>
      <c r="X7" s="312">
        <f>MAX(N4:N157)</f>
        <v>0.11</v>
      </c>
      <c r="Y7" s="299"/>
      <c r="Z7" s="300">
        <v>4</v>
      </c>
      <c r="AA7" s="313">
        <v>10</v>
      </c>
      <c r="AB7" s="314">
        <v>10</v>
      </c>
      <c r="AD7" s="590" t="s">
        <v>435</v>
      </c>
      <c r="AE7" s="591"/>
      <c r="AF7" s="591"/>
      <c r="AG7" s="591"/>
      <c r="AH7" s="591"/>
      <c r="AI7" s="591"/>
      <c r="AJ7" s="592">
        <f>MIN(AB4:AB63)</f>
        <v>10</v>
      </c>
      <c r="AK7" s="593"/>
    </row>
    <row r="8" spans="1:37" ht="19.5" customHeight="1" thickBot="1" x14ac:dyDescent="0.3">
      <c r="A8" s="170"/>
      <c r="B8" s="170"/>
      <c r="C8" s="292">
        <v>1</v>
      </c>
      <c r="D8" s="247">
        <v>2</v>
      </c>
      <c r="E8" s="256">
        <v>3</v>
      </c>
      <c r="F8" s="248">
        <v>4</v>
      </c>
      <c r="G8" s="248">
        <v>5</v>
      </c>
      <c r="H8" s="248">
        <v>6</v>
      </c>
      <c r="I8" s="248">
        <v>7</v>
      </c>
      <c r="J8" s="248">
        <v>8</v>
      </c>
      <c r="M8" s="310">
        <v>5</v>
      </c>
      <c r="N8" s="311">
        <v>0.11</v>
      </c>
      <c r="O8" s="426">
        <v>0.01</v>
      </c>
      <c r="P8" s="305">
        <f t="shared" si="0"/>
        <v>0.12</v>
      </c>
      <c r="Q8" s="306"/>
      <c r="R8" s="617" t="s">
        <v>436</v>
      </c>
      <c r="S8" s="618"/>
      <c r="T8" s="618"/>
      <c r="U8" s="618"/>
      <c r="V8" s="618"/>
      <c r="W8" s="618"/>
      <c r="X8" s="315">
        <f>MIN(N4:N157)</f>
        <v>0.1</v>
      </c>
      <c r="Y8" s="299"/>
      <c r="Z8" s="300">
        <v>5</v>
      </c>
      <c r="AA8" s="313">
        <v>70</v>
      </c>
      <c r="AB8" s="314">
        <v>80</v>
      </c>
      <c r="AD8" s="590" t="s">
        <v>437</v>
      </c>
      <c r="AE8" s="591"/>
      <c r="AF8" s="591"/>
      <c r="AG8" s="591"/>
      <c r="AH8" s="591"/>
      <c r="AI8" s="591"/>
      <c r="AJ8" s="592">
        <f>MAX(AB4:AB63)</f>
        <v>150</v>
      </c>
      <c r="AK8" s="593"/>
    </row>
    <row r="9" spans="1:37" ht="19.5" customHeight="1" x14ac:dyDescent="0.25">
      <c r="A9" s="170" t="str">
        <f>RIGHT(D9)</f>
        <v>1</v>
      </c>
      <c r="B9" s="170">
        <f>A9+0</f>
        <v>1</v>
      </c>
      <c r="C9" s="176"/>
      <c r="D9" s="249" t="str">
        <f>RIGHT(ЕРН_значения!A2,7)</f>
        <v>1</v>
      </c>
      <c r="E9" s="316" t="str">
        <f>IF(B9=1,$A$4,IF((B9=2),$A$5,IF((B9=3),$A$6,$A$7)))</f>
        <v>0,0-0,2</v>
      </c>
      <c r="F9" s="375">
        <f>ЕРН_значения!F7</f>
        <v>16</v>
      </c>
      <c r="G9" s="375">
        <f>ЕРН_значения!F8</f>
        <v>12.2</v>
      </c>
      <c r="H9" s="375">
        <f>VLOOKUP(ЕРН_значения!$J6,ЕРН_значения!$C3:$H9,4,0)</f>
        <v>244</v>
      </c>
      <c r="I9" s="375">
        <f>VLOOKUP(ЕРН_значения!$J9,ЕРН_значения!$C3:$H9,4,0)</f>
        <v>54</v>
      </c>
      <c r="J9" s="375" t="str">
        <f>VLOOKUP(ЕРН_значения!$J5,ЕРН_значения!$C3:$H9,4,0)</f>
        <v>менее 3</v>
      </c>
      <c r="M9" s="310">
        <v>6</v>
      </c>
      <c r="N9" s="311"/>
      <c r="O9" s="427"/>
      <c r="P9" s="305"/>
      <c r="Q9" s="170"/>
      <c r="R9" s="170"/>
      <c r="S9" s="170"/>
      <c r="T9" s="170"/>
      <c r="U9" s="170"/>
      <c r="V9" s="170"/>
      <c r="W9" s="170"/>
      <c r="X9" s="170"/>
      <c r="Y9" s="299"/>
      <c r="Z9" s="300">
        <v>6</v>
      </c>
      <c r="AA9" s="313">
        <v>46</v>
      </c>
      <c r="AB9" s="314">
        <v>57</v>
      </c>
      <c r="AD9" s="590" t="s">
        <v>438</v>
      </c>
      <c r="AE9" s="591"/>
      <c r="AF9" s="591"/>
      <c r="AG9" s="591"/>
      <c r="AH9" s="591"/>
      <c r="AI9" s="591"/>
      <c r="AJ9" s="317">
        <f>COUNTIFS(AB4:AB63,AI11)</f>
        <v>0</v>
      </c>
      <c r="AK9" s="318">
        <f>(AJ9/((COUNTA(AB4:AB63))/100))</f>
        <v>0</v>
      </c>
    </row>
    <row r="10" spans="1:37" ht="16.5" thickBot="1" x14ac:dyDescent="0.3">
      <c r="A10" s="170" t="str">
        <f t="shared" ref="A10:A54" si="1">RIGHT(D10)</f>
        <v>2</v>
      </c>
      <c r="B10" s="170">
        <f t="shared" ref="B10:B54" si="2">A10+0</f>
        <v>2</v>
      </c>
      <c r="C10" s="176"/>
      <c r="D10" s="249" t="str">
        <f>RIGHT(ЕРН_значения!A11,7)</f>
        <v>2</v>
      </c>
      <c r="E10" s="316" t="str">
        <f>IF(B10=1,$A$4,IF((B10=2),$A$5,IF((B10=3),$A$6,$A$7)))</f>
        <v>0,2-1,0</v>
      </c>
      <c r="F10" s="375">
        <f>VLOOKUP(ЕРН_значения!$J7,ЕРН_значения!$C12:$H18,4,0)</f>
        <v>13.2</v>
      </c>
      <c r="G10" s="375">
        <f>VLOOKUP(ЕРН_значения!$J8,ЕРН_значения!$C12:$H18,4,0)</f>
        <v>13</v>
      </c>
      <c r="H10" s="375">
        <f>VLOOKUP(ЕРН_значения!$J6,ЕРН_значения!$C12:$H18,4,0)</f>
        <v>278</v>
      </c>
      <c r="I10" s="375">
        <f>VLOOKUP(ЕРН_значения!$J9,ЕРН_значения!$C12:$H18,4,0)</f>
        <v>55</v>
      </c>
      <c r="J10" s="375">
        <f>VLOOKUP(ЕРН_значения!$J5,ЕРН_значения!$C12:$H18,4,0)</f>
        <v>3.2</v>
      </c>
      <c r="M10" s="310">
        <v>7</v>
      </c>
      <c r="N10" s="311"/>
      <c r="O10" s="427"/>
      <c r="P10" s="305"/>
      <c r="Q10" s="170"/>
      <c r="R10" s="170"/>
      <c r="S10" s="170"/>
      <c r="T10" s="170"/>
      <c r="U10" s="170"/>
      <c r="V10" s="170"/>
      <c r="W10" s="170"/>
      <c r="X10" s="170"/>
      <c r="Y10" s="299"/>
      <c r="Z10" s="300">
        <v>7</v>
      </c>
      <c r="AA10" s="313">
        <v>33</v>
      </c>
      <c r="AB10" s="314">
        <v>42</v>
      </c>
      <c r="AD10" s="617" t="s">
        <v>439</v>
      </c>
      <c r="AE10" s="618"/>
      <c r="AF10" s="618"/>
      <c r="AG10" s="618"/>
      <c r="AH10" s="618"/>
      <c r="AI10" s="618"/>
      <c r="AJ10" s="319">
        <f>COUNTIFS(AB4:AB63,AI12)</f>
        <v>4</v>
      </c>
      <c r="AK10" s="320">
        <f>(AJ10/((COUNTA(AB4:AB63))/100))</f>
        <v>20</v>
      </c>
    </row>
    <row r="11" spans="1:37" ht="15.75" x14ac:dyDescent="0.25">
      <c r="A11" s="170" t="str">
        <f t="shared" si="1"/>
        <v>3</v>
      </c>
      <c r="B11" s="170">
        <f t="shared" si="2"/>
        <v>3</v>
      </c>
      <c r="C11" s="176"/>
      <c r="D11" s="249" t="str">
        <f>RIGHT(ЕРН_значения!A20,7)</f>
        <v>3</v>
      </c>
      <c r="E11" s="316" t="str">
        <f t="shared" ref="E11:E54" si="3">IF(B11=1,$A$4,IF((B11=2),$A$5,IF((B11=3),$A$6,$A$7)))</f>
        <v>1,0-2,0</v>
      </c>
      <c r="F11" s="375">
        <f>VLOOKUP(ЕРН_значения!$J7,ЕРН_значения!$C21:$H27,4,0)</f>
        <v>16.8</v>
      </c>
      <c r="G11" s="375">
        <f>VLOOKUP(ЕРН_значения!$J8,ЕРН_значения!$C21:$H27,4,0)</f>
        <v>26.3</v>
      </c>
      <c r="H11" s="375">
        <f>VLOOKUP(ЕРН_значения!$J6,ЕРН_значения!$C21:$H27,4,0)</f>
        <v>360</v>
      </c>
      <c r="I11" s="375">
        <f>VLOOKUP(ЕРН_значения!$J9,ЕРН_значения!$C21:$H27,4,0)</f>
        <v>83</v>
      </c>
      <c r="J11" s="375" t="str">
        <f>VLOOKUP(ЕРН_значения!$J5,ЕРН_значения!$C21:$H27,4,0)</f>
        <v>менее 3</v>
      </c>
      <c r="M11" s="310">
        <v>8</v>
      </c>
      <c r="N11" s="311"/>
      <c r="O11" s="427"/>
      <c r="P11" s="305"/>
      <c r="Q11" s="170"/>
      <c r="R11" s="170"/>
      <c r="S11" s="170"/>
      <c r="T11" s="170"/>
      <c r="U11" s="170"/>
      <c r="V11" s="170"/>
      <c r="W11" s="170"/>
      <c r="X11" s="170"/>
      <c r="Y11" s="299"/>
      <c r="Z11" s="300">
        <v>8</v>
      </c>
      <c r="AA11" s="313">
        <v>21</v>
      </c>
      <c r="AB11" s="314">
        <v>29</v>
      </c>
      <c r="AI11" s="321" t="s">
        <v>440</v>
      </c>
    </row>
    <row r="12" spans="1:37" ht="15.75" x14ac:dyDescent="0.25">
      <c r="A12" s="170" t="str">
        <f t="shared" si="1"/>
        <v>4</v>
      </c>
      <c r="B12" s="170">
        <f t="shared" si="2"/>
        <v>4</v>
      </c>
      <c r="C12" s="176"/>
      <c r="D12" s="249" t="str">
        <f>RIGHT(ЕРН_значения!A29,7)</f>
        <v>4</v>
      </c>
      <c r="E12" s="316" t="str">
        <f t="shared" si="3"/>
        <v>2,0-3,0</v>
      </c>
      <c r="F12" s="375">
        <f>VLOOKUP(ЕРН_значения!$J7,ЕРН_значения!$C30:$H36,4,0)</f>
        <v>15.8</v>
      </c>
      <c r="G12" s="375">
        <f>VLOOKUP(ЕРН_значения!$J8,ЕРН_значения!$C30:$H36,4,0)</f>
        <v>14.6</v>
      </c>
      <c r="H12" s="375">
        <f>VLOOKUP(ЕРН_значения!$J6,ЕРН_значения!$C30:$H36,4,0)</f>
        <v>252</v>
      </c>
      <c r="I12" s="375">
        <f>VLOOKUP(ЕРН_значения!$J9,ЕРН_значения!$C30:$H36,4,0)</f>
        <v>57</v>
      </c>
      <c r="J12" s="375" t="str">
        <f>VLOOKUP(ЕРН_значения!$J5,ЕРН_значения!$C30:$H36,4,0)</f>
        <v>менее 3</v>
      </c>
      <c r="M12" s="310">
        <v>9</v>
      </c>
      <c r="N12" s="311"/>
      <c r="O12" s="427"/>
      <c r="P12" s="305"/>
      <c r="Q12" s="170"/>
      <c r="R12" s="170"/>
      <c r="S12" s="170"/>
      <c r="T12" s="170"/>
      <c r="U12" s="170"/>
      <c r="V12" s="170"/>
      <c r="W12" s="170"/>
      <c r="X12" s="170"/>
      <c r="Y12" s="299"/>
      <c r="Z12" s="300">
        <v>9</v>
      </c>
      <c r="AA12" s="313">
        <v>10</v>
      </c>
      <c r="AB12" s="314">
        <v>10</v>
      </c>
      <c r="AI12" s="321" t="s">
        <v>441</v>
      </c>
    </row>
    <row r="13" spans="1:37" ht="15.75" x14ac:dyDescent="0.25">
      <c r="A13" s="170" t="str">
        <f t="shared" si="1"/>
        <v>5</v>
      </c>
      <c r="B13" s="170">
        <f t="shared" si="2"/>
        <v>5</v>
      </c>
      <c r="C13" s="176"/>
      <c r="D13" s="249" t="str">
        <f>RIGHT(ЕРН_значения!A38,7)</f>
        <v>5</v>
      </c>
      <c r="E13" s="316" t="str">
        <f t="shared" si="3"/>
        <v>2,0-3,0</v>
      </c>
      <c r="F13" s="375">
        <f>VLOOKUP(ЕРН_значения!$J7,ЕРН_значения!$C39:$H45,4,0)</f>
        <v>15.3</v>
      </c>
      <c r="G13" s="375">
        <f>VLOOKUP(ЕРН_значения!$J8,ЕРН_значения!$C39:$H45,4,0)</f>
        <v>13.1</v>
      </c>
      <c r="H13" s="375">
        <f>VLOOKUP(ЕРН_значения!$J6,ЕРН_значения!$C39:$H45,4,0)</f>
        <v>218</v>
      </c>
      <c r="I13" s="375">
        <f>VLOOKUP(ЕРН_значения!$J9,ЕРН_значения!$C39:$H45,4,0)</f>
        <v>52</v>
      </c>
      <c r="J13" s="375" t="str">
        <f>VLOOKUP(ЕРН_значения!$J5,ЕРН_значения!$C39:$H45,4,0)</f>
        <v>менее 3</v>
      </c>
      <c r="M13" s="310">
        <v>10</v>
      </c>
      <c r="N13" s="311"/>
      <c r="O13" s="427"/>
      <c r="P13" s="305"/>
      <c r="Q13" s="170"/>
      <c r="R13" s="170"/>
      <c r="S13" s="170"/>
      <c r="T13" s="170"/>
      <c r="U13" s="170"/>
      <c r="V13" s="170"/>
      <c r="W13" s="170"/>
      <c r="X13" s="170"/>
      <c r="Y13" s="299"/>
      <c r="Z13" s="300">
        <v>10</v>
      </c>
      <c r="AA13" s="313">
        <v>17</v>
      </c>
      <c r="AB13" s="314">
        <v>24</v>
      </c>
    </row>
    <row r="14" spans="1:37" ht="15.75" x14ac:dyDescent="0.25">
      <c r="A14" s="170" t="str">
        <f t="shared" si="1"/>
        <v>6</v>
      </c>
      <c r="B14" s="170">
        <f t="shared" si="2"/>
        <v>6</v>
      </c>
      <c r="C14" s="176"/>
      <c r="D14" s="249" t="str">
        <f>RIGHT(ЕРН_значения!A47,7)</f>
        <v>6</v>
      </c>
      <c r="E14" s="316" t="str">
        <f t="shared" si="3"/>
        <v>2,0-3,0</v>
      </c>
      <c r="F14" s="375">
        <f>VLOOKUP(ЕРН_значения!$J7,ЕРН_значения!$C48:$H54,4,0)</f>
        <v>17.600000000000001</v>
      </c>
      <c r="G14" s="375">
        <f>VLOOKUP(ЕРН_значения!$J8,ЕРН_значения!$C48:$H54,4,0)</f>
        <v>20.8</v>
      </c>
      <c r="H14" s="375">
        <f>VLOOKUP(ЕРН_значения!$J6,ЕРН_значения!$C48:$H54,4,0)</f>
        <v>278</v>
      </c>
      <c r="I14" s="375">
        <f>VLOOKUP(ЕРН_значения!$J9,ЕРН_значения!$C48:$H54,4,0)</f>
        <v>70</v>
      </c>
      <c r="J14" s="375" t="str">
        <f>VLOOKUP(ЕРН_значения!$J5,ЕРН_значения!$C48:$H54,4,0)</f>
        <v>менее 3</v>
      </c>
      <c r="M14" s="310">
        <v>11</v>
      </c>
      <c r="N14" s="311"/>
      <c r="O14" s="427"/>
      <c r="P14" s="305">
        <f t="shared" si="0"/>
        <v>0</v>
      </c>
      <c r="Q14" s="170"/>
      <c r="R14" s="170"/>
      <c r="S14" s="170"/>
      <c r="T14" s="170"/>
      <c r="U14" s="170"/>
      <c r="V14" s="170"/>
      <c r="W14" s="170"/>
      <c r="X14" s="170"/>
      <c r="Y14" s="299"/>
      <c r="Z14" s="300">
        <v>11</v>
      </c>
      <c r="AA14" s="313">
        <v>110</v>
      </c>
      <c r="AB14" s="314">
        <v>130</v>
      </c>
    </row>
    <row r="15" spans="1:37" ht="15.75" x14ac:dyDescent="0.25">
      <c r="A15" s="170" t="str">
        <f t="shared" si="1"/>
        <v>7</v>
      </c>
      <c r="B15" s="170">
        <f t="shared" si="2"/>
        <v>7</v>
      </c>
      <c r="C15" s="176"/>
      <c r="D15" s="249" t="str">
        <f>RIGHT(ЕРН_значения!A58,7)</f>
        <v>7</v>
      </c>
      <c r="E15" s="316" t="str">
        <f t="shared" si="3"/>
        <v>2,0-3,0</v>
      </c>
      <c r="F15" s="375">
        <f>VLOOKUP(ЕРН_значения!$J7,ЕРН_значения!$C59:$H65,4,0)</f>
        <v>15.2</v>
      </c>
      <c r="G15" s="375">
        <f>VLOOKUP(ЕРН_значения!$J8,ЕРН_значения!$C59:$H65,4,0)</f>
        <v>18.600000000000001</v>
      </c>
      <c r="H15" s="375">
        <f>VLOOKUP(ЕРН_значения!$J6,ЕРН_значения!$C59:$H65,4,0)</f>
        <v>330</v>
      </c>
      <c r="I15" s="375">
        <f>VLOOKUP(ЕРН_значения!$J9,ЕРН_значения!$C59:$H65,4,0)</f>
        <v>69</v>
      </c>
      <c r="J15" s="375" t="str">
        <f>VLOOKUP(ЕРН_значения!$J5,ЕРН_значения!$C59:$H65,4,0)</f>
        <v>менее 3</v>
      </c>
      <c r="M15" s="310">
        <v>12</v>
      </c>
      <c r="N15" s="311"/>
      <c r="O15" s="427"/>
      <c r="P15" s="305">
        <f t="shared" si="0"/>
        <v>0</v>
      </c>
      <c r="Q15" s="170"/>
      <c r="R15" s="170"/>
      <c r="S15" s="170"/>
      <c r="T15" s="170"/>
      <c r="U15" s="170"/>
      <c r="V15" s="170"/>
      <c r="W15" s="170"/>
      <c r="X15" s="170"/>
      <c r="Y15" s="299"/>
      <c r="Z15" s="300">
        <v>12</v>
      </c>
      <c r="AA15" s="313">
        <v>130</v>
      </c>
      <c r="AB15" s="314">
        <v>150</v>
      </c>
    </row>
    <row r="16" spans="1:37" ht="15.75" x14ac:dyDescent="0.25">
      <c r="A16" s="170" t="str">
        <f t="shared" si="1"/>
        <v>8</v>
      </c>
      <c r="B16" s="170">
        <f t="shared" si="2"/>
        <v>8</v>
      </c>
      <c r="C16" s="176"/>
      <c r="D16" s="249" t="str">
        <f>RIGHT(ЕРН_значения!A67,7)</f>
        <v>8</v>
      </c>
      <c r="E16" s="316" t="str">
        <f t="shared" si="3"/>
        <v>2,0-3,0</v>
      </c>
      <c r="F16" s="375">
        <f>VLOOKUP(ЕРН_значения!$J7,ЕРН_значения!$C68:$H74,4,0)</f>
        <v>13.9</v>
      </c>
      <c r="G16" s="375">
        <f>VLOOKUP(ЕРН_значения!$J8,ЕРН_значения!$C68:$H74,4,0)</f>
        <v>16.2</v>
      </c>
      <c r="H16" s="375">
        <f>VLOOKUP(ЕРН_значения!$J6,ЕРН_значения!$C68:$H74,4,0)</f>
        <v>294</v>
      </c>
      <c r="I16" s="375">
        <f>VLOOKUP(ЕРН_значения!$J9,ЕРН_значения!$C68:$H74,4,0)</f>
        <v>61</v>
      </c>
      <c r="J16" s="375" t="str">
        <f>VLOOKUP(ЕРН_значения!$J5,ЕРН_значения!$C68:$H74,4,0)</f>
        <v>менее 3</v>
      </c>
      <c r="M16" s="310">
        <v>13</v>
      </c>
      <c r="N16" s="311"/>
      <c r="O16" s="427"/>
      <c r="P16" s="305">
        <f t="shared" si="0"/>
        <v>0</v>
      </c>
      <c r="Q16" s="170"/>
      <c r="R16" s="170"/>
      <c r="S16" s="170"/>
      <c r="T16" s="170"/>
      <c r="U16" s="170"/>
      <c r="V16" s="170"/>
      <c r="W16" s="170"/>
      <c r="X16" s="170"/>
      <c r="Y16" s="299"/>
      <c r="Z16" s="300">
        <v>13</v>
      </c>
      <c r="AA16" s="313">
        <v>14</v>
      </c>
      <c r="AB16" s="314">
        <v>23</v>
      </c>
    </row>
    <row r="17" spans="1:33" ht="15.75" x14ac:dyDescent="0.25">
      <c r="A17" s="170" t="str">
        <f t="shared" si="1"/>
        <v>9</v>
      </c>
      <c r="B17" s="170">
        <f t="shared" si="2"/>
        <v>9</v>
      </c>
      <c r="C17" s="176"/>
      <c r="D17" s="249" t="str">
        <f>RIGHT(ЕРН_значения!A76,7)</f>
        <v>9</v>
      </c>
      <c r="E17" s="316" t="str">
        <f t="shared" si="3"/>
        <v>2,0-3,0</v>
      </c>
      <c r="F17" s="375" t="str">
        <f>VLOOKUP(ЕРН_значения!$J7,ЕРН_значения!$C77:$H83,4,0)</f>
        <v>менее 8</v>
      </c>
      <c r="G17" s="375">
        <f>VLOOKUP(ЕРН_значения!$J8,ЕРН_значения!$C77:$H83,4,0)</f>
        <v>8.4</v>
      </c>
      <c r="H17" s="375">
        <f>VLOOKUP(ЕРН_значения!$J6,ЕРН_значения!$C77:$H83,4,0)</f>
        <v>235</v>
      </c>
      <c r="I17" s="375">
        <f>VLOOKUP(ЕРН_значения!$J9,ЕРН_значения!$C77:$H83,4,0)</f>
        <v>38</v>
      </c>
      <c r="J17" s="375">
        <f>VLOOKUP(ЕРН_значения!$J5,ЕРН_значения!$C77:$H83,4,0)</f>
        <v>5.2</v>
      </c>
      <c r="M17" s="310">
        <v>14</v>
      </c>
      <c r="N17" s="311"/>
      <c r="O17" s="427"/>
      <c r="P17" s="305">
        <f t="shared" si="0"/>
        <v>0</v>
      </c>
      <c r="Q17" s="245"/>
      <c r="R17" s="170"/>
      <c r="S17" s="170"/>
      <c r="T17" s="170"/>
      <c r="U17" s="170"/>
      <c r="V17" s="170"/>
      <c r="W17" s="170"/>
      <c r="X17" s="170"/>
      <c r="Y17" s="299"/>
      <c r="Z17" s="300">
        <v>14</v>
      </c>
      <c r="AA17" s="313">
        <v>90</v>
      </c>
      <c r="AB17" s="314">
        <v>110</v>
      </c>
    </row>
    <row r="18" spans="1:33" ht="15.75" x14ac:dyDescent="0.25">
      <c r="A18" s="170" t="str">
        <f t="shared" si="1"/>
        <v>0</v>
      </c>
      <c r="B18" s="170">
        <f t="shared" si="2"/>
        <v>0</v>
      </c>
      <c r="C18" s="176"/>
      <c r="D18" s="249" t="str">
        <f>RIGHT(ЕРН_значения!A85,7)</f>
        <v>10</v>
      </c>
      <c r="E18" s="316" t="str">
        <f t="shared" si="3"/>
        <v>2,0-3,0</v>
      </c>
      <c r="F18" s="375">
        <f>VLOOKUP(ЕРН_значения!$J7,ЕРН_значения!$C86:$H92,4,0)</f>
        <v>12.3</v>
      </c>
      <c r="G18" s="375">
        <f>VLOOKUP(ЕРН_значения!$J8,ЕРН_значения!$C86:$H92,4,0)</f>
        <v>13.8</v>
      </c>
      <c r="H18" s="375">
        <f>VLOOKUP(ЕРН_значения!$J6,ЕРН_значения!$C86:$H92,4,0)</f>
        <v>265</v>
      </c>
      <c r="I18" s="375">
        <f>VLOOKUP(ЕРН_значения!$J9,ЕРН_значения!$C86:$H92,4,0)</f>
        <v>54</v>
      </c>
      <c r="J18" s="375">
        <f>VLOOKUP(ЕРН_значения!$J5,ЕРН_значения!$C86:$H92,4,0)</f>
        <v>4.9000000000000004</v>
      </c>
      <c r="M18" s="310">
        <v>15</v>
      </c>
      <c r="N18" s="311"/>
      <c r="O18" s="427"/>
      <c r="P18" s="305">
        <f t="shared" si="0"/>
        <v>0</v>
      </c>
      <c r="Q18" s="170"/>
      <c r="R18" s="170"/>
      <c r="S18" s="170"/>
      <c r="T18" s="170"/>
      <c r="U18" s="170"/>
      <c r="V18" s="170"/>
      <c r="W18" s="170"/>
      <c r="X18" s="170"/>
      <c r="Y18" s="299"/>
      <c r="Z18" s="300">
        <v>15</v>
      </c>
      <c r="AA18" s="313">
        <v>58</v>
      </c>
      <c r="AB18" s="314">
        <v>70</v>
      </c>
    </row>
    <row r="19" spans="1:33" ht="15.75" x14ac:dyDescent="0.25">
      <c r="A19" s="170" t="str">
        <f t="shared" si="1"/>
        <v>1</v>
      </c>
      <c r="B19" s="170">
        <f t="shared" si="2"/>
        <v>1</v>
      </c>
      <c r="C19" s="176"/>
      <c r="D19" s="249" t="str">
        <f>RIGHT(ЕРН_значения!A94,7)</f>
        <v>11</v>
      </c>
      <c r="E19" s="316" t="str">
        <f t="shared" si="3"/>
        <v>0,0-0,2</v>
      </c>
      <c r="F19" s="375">
        <f>VLOOKUP(ЕРН_значения!$J7,ЕРН_значения!$C95:$H101,4,0)</f>
        <v>15</v>
      </c>
      <c r="G19" s="375">
        <f>VLOOKUP(ЕРН_значения!$J8,ЕРН_значения!$C95:$H101,4,0)</f>
        <v>20.5</v>
      </c>
      <c r="H19" s="375">
        <f>VLOOKUP(ЕРН_значения!$J6,ЕРН_значения!$C95:$H101,4,0)</f>
        <v>310</v>
      </c>
      <c r="I19" s="375">
        <f>VLOOKUP(ЕРН_значения!$J9,ЕРН_значения!$C95:$H101,4,0)</f>
        <v>70</v>
      </c>
      <c r="J19" s="375">
        <f>VLOOKUP(ЕРН_значения!$J5,ЕРН_значения!$C95:$H101,4,0)</f>
        <v>3.4</v>
      </c>
      <c r="M19" s="310">
        <v>16</v>
      </c>
      <c r="N19" s="311"/>
      <c r="O19" s="427"/>
      <c r="P19" s="305">
        <f t="shared" si="0"/>
        <v>0</v>
      </c>
      <c r="Q19" s="170"/>
      <c r="R19" s="170"/>
      <c r="S19" s="170"/>
      <c r="T19" s="170"/>
      <c r="U19" s="170"/>
      <c r="V19" s="170"/>
      <c r="W19" s="170"/>
      <c r="X19" s="170"/>
      <c r="Y19" s="299"/>
      <c r="Z19" s="300">
        <v>16</v>
      </c>
      <c r="AA19" s="313">
        <v>25</v>
      </c>
      <c r="AB19" s="314">
        <v>33</v>
      </c>
    </row>
    <row r="20" spans="1:33" ht="15.75" x14ac:dyDescent="0.25">
      <c r="A20" s="170" t="str">
        <f t="shared" si="1"/>
        <v>2</v>
      </c>
      <c r="B20" s="170">
        <f t="shared" si="2"/>
        <v>2</v>
      </c>
      <c r="C20" s="176"/>
      <c r="D20" s="249" t="str">
        <f>RIGHT(ЕРН_значения!A103,7)</f>
        <v>12</v>
      </c>
      <c r="E20" s="316" t="str">
        <f t="shared" si="3"/>
        <v>0,2-1,0</v>
      </c>
      <c r="F20" s="375">
        <f>VLOOKUP(ЕРН_значения!$J7,ЕРН_значения!$C104:$H110,4,0)</f>
        <v>20</v>
      </c>
      <c r="G20" s="375">
        <f>VLOOKUP(ЕРН_значения!$J8,ЕРН_значения!$C104:$H110,4,0)</f>
        <v>16.3</v>
      </c>
      <c r="H20" s="375">
        <f>VLOOKUP(ЕРН_значения!$J6,ЕРН_значения!$C104:$H110,4,0)</f>
        <v>279</v>
      </c>
      <c r="I20" s="375">
        <f>VLOOKUP(ЕРН_значения!$J9,ЕРН_значения!$C104:$H110,4,0)</f>
        <v>66</v>
      </c>
      <c r="J20" s="375" t="str">
        <f>VLOOKUP(ЕРН_значения!$J5,ЕРН_значения!$C104:$H110,4,0)</f>
        <v>менее 3</v>
      </c>
      <c r="M20" s="310">
        <v>17</v>
      </c>
      <c r="N20" s="311"/>
      <c r="O20" s="427"/>
      <c r="P20" s="305">
        <f t="shared" si="0"/>
        <v>0</v>
      </c>
      <c r="Q20" s="170"/>
      <c r="R20" s="170"/>
      <c r="S20" s="170"/>
      <c r="T20" s="170"/>
      <c r="U20" s="170"/>
      <c r="V20" s="170"/>
      <c r="W20" s="170"/>
      <c r="X20" s="170"/>
      <c r="Y20" s="299"/>
      <c r="Z20" s="300">
        <v>17</v>
      </c>
      <c r="AA20" s="313">
        <v>10</v>
      </c>
      <c r="AB20" s="314">
        <v>10</v>
      </c>
    </row>
    <row r="21" spans="1:33" ht="15.75" x14ac:dyDescent="0.25">
      <c r="A21" s="170" t="str">
        <f t="shared" si="1"/>
        <v>3</v>
      </c>
      <c r="B21" s="170">
        <f t="shared" si="2"/>
        <v>3</v>
      </c>
      <c r="C21" s="176"/>
      <c r="D21" s="249" t="str">
        <f>RIGHT(ЕРН_значения!A114,7)</f>
        <v>13</v>
      </c>
      <c r="E21" s="316" t="str">
        <f t="shared" si="3"/>
        <v>1,0-2,0</v>
      </c>
      <c r="F21" s="375">
        <f>VLOOKUP(ЕРН_значения!$J7,ЕРН_значения!$C115:$H121,4,0)</f>
        <v>16.7</v>
      </c>
      <c r="G21" s="375">
        <f>VLOOKUP(ЕРН_значения!$J8,ЕРН_значения!$C115:$H121,4,0)</f>
        <v>17.100000000000001</v>
      </c>
      <c r="H21" s="375">
        <f>VLOOKUP(ЕРН_значения!$J6,ЕРН_значения!$C115:$H121,4,0)</f>
        <v>291</v>
      </c>
      <c r="I21" s="375">
        <f>VLOOKUP(ЕРН_значения!$J9,ЕРН_значения!$C115:$H121,4,0)</f>
        <v>65</v>
      </c>
      <c r="J21" s="375" t="str">
        <f>VLOOKUP(ЕРН_значения!$J5,ЕРН_значения!$C115:$H121,4,0)</f>
        <v>менее 3</v>
      </c>
      <c r="M21" s="310">
        <v>18</v>
      </c>
      <c r="N21" s="311"/>
      <c r="O21" s="427"/>
      <c r="P21" s="305">
        <f t="shared" si="0"/>
        <v>0</v>
      </c>
      <c r="Q21" s="170"/>
      <c r="R21" s="170"/>
      <c r="S21" s="170"/>
      <c r="T21" s="170"/>
      <c r="U21" s="170"/>
      <c r="V21" s="170"/>
      <c r="W21" s="170"/>
      <c r="X21" s="170"/>
      <c r="Y21" s="299"/>
      <c r="Z21" s="300">
        <v>18</v>
      </c>
      <c r="AA21" s="313">
        <v>10</v>
      </c>
      <c r="AB21" s="314">
        <v>10</v>
      </c>
    </row>
    <row r="22" spans="1:33" ht="15.75" x14ac:dyDescent="0.25">
      <c r="A22" s="170" t="str">
        <f t="shared" si="1"/>
        <v>4</v>
      </c>
      <c r="B22" s="170">
        <f t="shared" si="2"/>
        <v>4</v>
      </c>
      <c r="C22" s="176"/>
      <c r="D22" s="249">
        <v>14</v>
      </c>
      <c r="E22" s="316" t="str">
        <f t="shared" si="3"/>
        <v>2,0-3,0</v>
      </c>
      <c r="F22" s="375">
        <f>VLOOKUP(ЕРН_значения!$J7,ЕРН_значения!$C124:$H130,4,0)</f>
        <v>12.4</v>
      </c>
      <c r="G22" s="375" t="str">
        <f>VLOOKUP(ЕРН_значения!$J8,ЕРН_значения!$C124:$H130,4,0)</f>
        <v>менее 8</v>
      </c>
      <c r="H22" s="375">
        <f>VLOOKUP(ЕРН_значения!$J6,ЕРН_значения!$C124:$H130,4,0)</f>
        <v>247</v>
      </c>
      <c r="I22" s="375">
        <f>VLOOKUP(ЕРН_значения!$J9,ЕРН_значения!$C124:$H130,4,0)</f>
        <v>45</v>
      </c>
      <c r="J22" s="375" t="str">
        <f>VLOOKUP(ЕРН_значения!$J5,ЕРН_значения!$C124:$H130,4,0)</f>
        <v>менее 3</v>
      </c>
      <c r="M22" s="310">
        <v>19</v>
      </c>
      <c r="N22" s="311"/>
      <c r="O22" s="427"/>
      <c r="P22" s="305">
        <f t="shared" si="0"/>
        <v>0</v>
      </c>
      <c r="Q22" s="170"/>
      <c r="R22" s="170"/>
      <c r="S22" s="170"/>
      <c r="T22" s="170"/>
      <c r="U22" s="170"/>
      <c r="V22" s="170"/>
      <c r="W22" s="170"/>
      <c r="X22" s="170"/>
      <c r="Y22" s="299"/>
      <c r="Z22" s="300">
        <v>19</v>
      </c>
      <c r="AA22" s="313">
        <v>12</v>
      </c>
      <c r="AB22" s="314">
        <v>18</v>
      </c>
    </row>
    <row r="23" spans="1:33" ht="15.75" x14ac:dyDescent="0.25">
      <c r="A23" s="170" t="str">
        <f t="shared" si="1"/>
        <v>5</v>
      </c>
      <c r="B23" s="170">
        <f t="shared" si="2"/>
        <v>5</v>
      </c>
      <c r="C23" s="176"/>
      <c r="D23" s="249">
        <v>15</v>
      </c>
      <c r="E23" s="316" t="str">
        <f t="shared" si="3"/>
        <v>2,0-3,0</v>
      </c>
      <c r="F23" s="375">
        <f>VLOOKUP(ЕРН_значения!$J7,ЕРН_значения!$C133:$H139,4,0)</f>
        <v>14.7</v>
      </c>
      <c r="G23" s="375">
        <f>VLOOKUP(ЕРН_значения!$J8,ЕРН_значения!$C133:$H139,4,0)</f>
        <v>8.1999999999999993</v>
      </c>
      <c r="H23" s="375">
        <f>VLOOKUP(ЕРН_значения!$J6,ЕРН_значения!$C133:$H139,4,0)</f>
        <v>173</v>
      </c>
      <c r="I23" s="375">
        <f>VLOOKUP(ЕРН_значения!$J9,ЕРН_значения!$C133:$H139,4,0)</f>
        <v>41</v>
      </c>
      <c r="J23" s="375" t="str">
        <f>VLOOKUP(ЕРН_значения!$J5,ЕРН_значения!$C133:$H139,4,0)</f>
        <v>менее 3</v>
      </c>
      <c r="M23" s="310">
        <v>20</v>
      </c>
      <c r="N23" s="311"/>
      <c r="O23" s="427"/>
      <c r="P23" s="305">
        <f t="shared" si="0"/>
        <v>0</v>
      </c>
      <c r="Q23" s="170"/>
      <c r="R23" s="170"/>
      <c r="S23" s="170"/>
      <c r="T23" s="170"/>
      <c r="U23" s="170"/>
      <c r="V23" s="170"/>
      <c r="W23" s="170"/>
      <c r="X23" s="170"/>
      <c r="Y23" s="299"/>
      <c r="Z23" s="300">
        <v>20</v>
      </c>
      <c r="AA23" s="313">
        <v>100</v>
      </c>
      <c r="AB23" s="314">
        <v>120</v>
      </c>
      <c r="AF23" s="322"/>
      <c r="AG23" s="322"/>
    </row>
    <row r="24" spans="1:33" ht="15.75" x14ac:dyDescent="0.25">
      <c r="A24" s="170" t="str">
        <f t="shared" si="1"/>
        <v>6</v>
      </c>
      <c r="B24" s="170">
        <f t="shared" si="2"/>
        <v>6</v>
      </c>
      <c r="C24" s="176"/>
      <c r="D24" s="249">
        <v>16</v>
      </c>
      <c r="E24" s="316" t="str">
        <f t="shared" si="3"/>
        <v>2,0-3,0</v>
      </c>
      <c r="F24" s="375">
        <f>VLOOKUP(ЕРН_значения!$J7,ЕРН_значения!$C142:$H148,4,0)</f>
        <v>0</v>
      </c>
      <c r="G24" s="375">
        <f>VLOOKUP(ЕРН_значения!$J8,ЕРН_значения!$C142:$H148,4,0)</f>
        <v>0</v>
      </c>
      <c r="H24" s="375">
        <f>VLOOKUP(ЕРН_значения!$J6,ЕРН_значения!$C142:$H148,4,0)</f>
        <v>0</v>
      </c>
      <c r="I24" s="375">
        <f>VLOOKUP(ЕРН_значения!$J9,ЕРН_значения!$C142:$H148,4,0)</f>
        <v>0</v>
      </c>
      <c r="J24" s="375">
        <f>VLOOKUP(ЕРН_значения!$J5,ЕРН_значения!$C142:$H148,4,0)</f>
        <v>0</v>
      </c>
      <c r="M24" s="310">
        <v>21</v>
      </c>
      <c r="N24" s="311"/>
      <c r="O24" s="427"/>
      <c r="P24" s="305">
        <f t="shared" si="0"/>
        <v>0</v>
      </c>
      <c r="Q24" s="170"/>
      <c r="R24" s="170"/>
      <c r="S24" s="170"/>
      <c r="T24" s="170"/>
      <c r="U24" s="170"/>
      <c r="V24" s="170"/>
      <c r="W24" s="170"/>
      <c r="X24" s="170"/>
      <c r="Y24" s="299"/>
      <c r="Z24" s="300">
        <v>21</v>
      </c>
      <c r="AA24" s="323"/>
      <c r="AB24" s="324"/>
      <c r="AF24" s="322"/>
      <c r="AG24" s="322"/>
    </row>
    <row r="25" spans="1:33" ht="16.5" customHeight="1" x14ac:dyDescent="0.25">
      <c r="A25" s="170" t="str">
        <f t="shared" si="1"/>
        <v>7</v>
      </c>
      <c r="B25" s="170">
        <f t="shared" si="2"/>
        <v>7</v>
      </c>
      <c r="C25" s="176"/>
      <c r="D25" s="249">
        <v>17</v>
      </c>
      <c r="E25" s="316" t="str">
        <f t="shared" si="3"/>
        <v>2,0-3,0</v>
      </c>
      <c r="F25" s="375">
        <f>VLOOKUP(ЕРН_значения!$J7,ЕРН_значения!$C151:$H157,4,0)</f>
        <v>0</v>
      </c>
      <c r="G25" s="375">
        <f>VLOOKUP(ЕРН_значения!$J8,ЕРН_значения!$C151:$H157,4,0)</f>
        <v>0</v>
      </c>
      <c r="H25" s="375">
        <f>VLOOKUP(ЕРН_значения!$J6,ЕРН_значения!$C151:$H157,4,0)</f>
        <v>0</v>
      </c>
      <c r="I25" s="375">
        <f>VLOOKUP(ЕРН_значения!$J9,ЕРН_значения!$C151:$H157,4,0)</f>
        <v>0</v>
      </c>
      <c r="J25" s="375">
        <f>VLOOKUP(ЕРН_значения!$J5,ЕРН_значения!$C151:$H157,4,0)</f>
        <v>0</v>
      </c>
      <c r="M25" s="310">
        <v>22</v>
      </c>
      <c r="N25" s="311"/>
      <c r="O25" s="427"/>
      <c r="P25" s="305">
        <f t="shared" si="0"/>
        <v>0</v>
      </c>
      <c r="Q25" s="171"/>
      <c r="R25" s="171"/>
      <c r="S25" s="171"/>
      <c r="T25" s="171"/>
      <c r="U25" s="171"/>
      <c r="V25" s="171"/>
      <c r="W25" s="171"/>
      <c r="X25" s="171"/>
      <c r="Y25" s="299"/>
      <c r="Z25" s="300">
        <v>22</v>
      </c>
      <c r="AA25" s="323"/>
      <c r="AB25" s="324"/>
    </row>
    <row r="26" spans="1:33" ht="16.5" customHeight="1" x14ac:dyDescent="0.25">
      <c r="A26" s="170" t="str">
        <f t="shared" si="1"/>
        <v>8</v>
      </c>
      <c r="B26" s="170">
        <f t="shared" si="2"/>
        <v>8</v>
      </c>
      <c r="C26" s="176"/>
      <c r="D26" s="249">
        <v>18</v>
      </c>
      <c r="E26" s="316" t="str">
        <f t="shared" si="3"/>
        <v>2,0-3,0</v>
      </c>
      <c r="F26" s="375" t="str">
        <f>VLOOKUP(ЕРН_значения!$J7,ЕРН_значения!$C160:$H166,4,0)</f>
        <v>10</v>
      </c>
      <c r="G26" s="375" t="str">
        <f>VLOOKUP(ЕРН_значения!$J8,ЕРН_значения!$C160:$H166,4,0)</f>
        <v>11</v>
      </c>
      <c r="H26" s="375" t="str">
        <f>VLOOKUP(ЕРН_значения!$J6,ЕРН_значения!$C160:$H166,4,0)</f>
        <v>270</v>
      </c>
      <c r="I26" s="375" t="str">
        <f>VLOOKUP(ЕРН_значения!$J9,ЕРН_значения!$C160:$H166,4,0)</f>
        <v>50</v>
      </c>
      <c r="J26" s="375" t="str">
        <f>VLOOKUP(ЕРН_значения!$J5,ЕРН_значения!$C160:$H166,4,0)</f>
        <v>менее 3</v>
      </c>
      <c r="M26" s="310">
        <v>23</v>
      </c>
      <c r="N26" s="311"/>
      <c r="O26" s="427"/>
      <c r="P26" s="305">
        <f t="shared" si="0"/>
        <v>0</v>
      </c>
      <c r="Q26" s="171"/>
      <c r="R26" s="171"/>
      <c r="S26" s="171"/>
      <c r="T26" s="171"/>
      <c r="U26" s="171"/>
      <c r="V26" s="171"/>
      <c r="W26" s="171"/>
      <c r="X26" s="171"/>
      <c r="Y26" s="299"/>
      <c r="Z26" s="300">
        <v>23</v>
      </c>
      <c r="AA26" s="323"/>
      <c r="AB26" s="324"/>
    </row>
    <row r="27" spans="1:33" ht="16.5" customHeight="1" x14ac:dyDescent="0.25">
      <c r="A27" s="170" t="str">
        <f t="shared" si="1"/>
        <v>9</v>
      </c>
      <c r="B27" s="170">
        <f t="shared" si="2"/>
        <v>9</v>
      </c>
      <c r="C27" s="176"/>
      <c r="D27" s="249">
        <v>19</v>
      </c>
      <c r="E27" s="316" t="str">
        <f t="shared" si="3"/>
        <v>2,0-3,0</v>
      </c>
      <c r="F27" s="375" t="str">
        <f>VLOOKUP(ЕРН_значения!$J7,ЕРН_значения!$C171:$H177,4,0)</f>
        <v>8</v>
      </c>
      <c r="G27" s="375" t="str">
        <f>VLOOKUP(ЕРН_значения!$J8,ЕРН_значения!$C171:$H177,4,0)</f>
        <v>10</v>
      </c>
      <c r="H27" s="375" t="str">
        <f>VLOOKUP(ЕРН_значения!$J6,ЕРН_значения!$C171:$H177,4,0)</f>
        <v>400</v>
      </c>
      <c r="I27" s="375" t="str">
        <f>VLOOKUP(ЕРН_значения!$J9,ЕРН_значения!$C171:$H177,4,0)</f>
        <v>60</v>
      </c>
      <c r="J27" s="375" t="str">
        <f>VLOOKUP(ЕРН_значения!$J5,ЕРН_значения!$C171:$H177,4,0)</f>
        <v>5</v>
      </c>
      <c r="M27" s="310">
        <v>24</v>
      </c>
      <c r="N27" s="311"/>
      <c r="O27" s="427"/>
      <c r="P27" s="305">
        <f t="shared" si="0"/>
        <v>0</v>
      </c>
      <c r="Q27" s="145"/>
      <c r="R27" s="145"/>
      <c r="S27" s="145"/>
      <c r="T27" s="145"/>
      <c r="U27" s="145"/>
      <c r="V27" s="145"/>
      <c r="W27" s="145"/>
      <c r="X27" s="145"/>
      <c r="Y27" s="299"/>
      <c r="Z27" s="300">
        <v>24</v>
      </c>
      <c r="AA27" s="323"/>
      <c r="AB27" s="324"/>
    </row>
    <row r="28" spans="1:33" ht="16.5" customHeight="1" x14ac:dyDescent="0.25">
      <c r="A28" s="170" t="str">
        <f t="shared" si="1"/>
        <v>0</v>
      </c>
      <c r="B28" s="170">
        <f t="shared" si="2"/>
        <v>0</v>
      </c>
      <c r="C28" s="176"/>
      <c r="D28" s="249">
        <v>20</v>
      </c>
      <c r="E28" s="316" t="str">
        <f t="shared" si="3"/>
        <v>2,0-3,0</v>
      </c>
      <c r="F28" s="375" t="str">
        <f>VLOOKUP(ЕРН_значения!$J7,ЕРН_значения!$C180:$H186,4,0)</f>
        <v>13</v>
      </c>
      <c r="G28" s="375" t="str">
        <f>VLOOKUP(ЕРН_значения!$J8,ЕРН_значения!$C180:$H186,4,0)</f>
        <v>19</v>
      </c>
      <c r="H28" s="375" t="str">
        <f>VLOOKUP(ЕРН_значения!$J6,ЕРН_значения!$C180:$H186,4,0)</f>
        <v>300</v>
      </c>
      <c r="I28" s="375" t="str">
        <f>VLOOKUP(ЕРН_значения!$J9,ЕРН_значения!$C180:$H186,4,0)</f>
        <v>70</v>
      </c>
      <c r="J28" s="375" t="str">
        <f>VLOOKUP(ЕРН_значения!$J5,ЕРН_значения!$C180:$H186,4,0)</f>
        <v>менее 3</v>
      </c>
      <c r="M28" s="310">
        <v>25</v>
      </c>
      <c r="N28" s="311"/>
      <c r="O28" s="427"/>
      <c r="P28" s="305">
        <f t="shared" si="0"/>
        <v>0</v>
      </c>
      <c r="Q28" s="145"/>
      <c r="R28" s="145"/>
      <c r="S28" s="145"/>
      <c r="T28" s="145"/>
      <c r="U28" s="145"/>
      <c r="V28" s="145"/>
      <c r="W28" s="145"/>
      <c r="X28" s="145"/>
      <c r="Y28" s="299"/>
      <c r="Z28" s="300">
        <v>25</v>
      </c>
      <c r="AA28" s="323"/>
      <c r="AB28" s="324"/>
    </row>
    <row r="29" spans="1:33" ht="15.75" x14ac:dyDescent="0.25">
      <c r="A29" s="170" t="str">
        <f t="shared" si="1"/>
        <v>1</v>
      </c>
      <c r="B29" s="170">
        <f t="shared" si="2"/>
        <v>1</v>
      </c>
      <c r="C29" s="176"/>
      <c r="D29" s="249">
        <v>21</v>
      </c>
      <c r="E29" s="316" t="str">
        <f t="shared" si="3"/>
        <v>0,0-0,2</v>
      </c>
      <c r="F29" s="375" t="str">
        <f>VLOOKUP(ЕРН_значения!$J7,ЕРН_значения!$C189:$H195,4,0)</f>
        <v>17</v>
      </c>
      <c r="G29" s="375" t="str">
        <f>VLOOKUP(ЕРН_значения!$J8,ЕРН_значения!$C189:$H195,4,0)</f>
        <v>22</v>
      </c>
      <c r="H29" s="375" t="str">
        <f>VLOOKUP(ЕРН_значения!$J6,ЕРН_значения!$C189:$H195,4,0)</f>
        <v>190</v>
      </c>
      <c r="I29" s="375" t="str">
        <f>VLOOKUP(ЕРН_значения!$J9,ЕРН_значения!$C189:$H195,4,0)</f>
        <v>60</v>
      </c>
      <c r="J29" s="375">
        <f>VLOOKUP(ЕРН_значения!$J5,ЕРН_значения!$C189:$H195,4,0)</f>
        <v>3.3</v>
      </c>
      <c r="M29" s="310">
        <v>26</v>
      </c>
      <c r="N29" s="311"/>
      <c r="O29" s="427"/>
      <c r="P29" s="305">
        <f t="shared" si="0"/>
        <v>0</v>
      </c>
      <c r="Q29" s="145"/>
      <c r="R29" s="145"/>
      <c r="S29" s="145"/>
      <c r="T29" s="145"/>
      <c r="U29" s="145"/>
      <c r="V29" s="145"/>
      <c r="W29" s="145"/>
      <c r="X29" s="145"/>
      <c r="Y29" s="299"/>
      <c r="Z29" s="300">
        <v>26</v>
      </c>
      <c r="AA29" s="323"/>
      <c r="AB29" s="324"/>
    </row>
    <row r="30" spans="1:33" ht="15.75" x14ac:dyDescent="0.25">
      <c r="A30" s="170" t="str">
        <f t="shared" si="1"/>
        <v>2</v>
      </c>
      <c r="B30" s="170">
        <f t="shared" si="2"/>
        <v>2</v>
      </c>
      <c r="C30" s="176"/>
      <c r="D30" s="249">
        <v>22</v>
      </c>
      <c r="E30" s="316" t="str">
        <f t="shared" si="3"/>
        <v>0,2-1,0</v>
      </c>
      <c r="F30" s="375" t="str">
        <f>VLOOKUP(ЕРН_значения!$J7,ЕРН_значения!$C198:$H204,4,0)</f>
        <v>менее 8</v>
      </c>
      <c r="G30" s="375" t="str">
        <f>VLOOKUP(ЕРН_значения!$J8,ЕРН_значения!$C198:$H204,4,0)</f>
        <v>12</v>
      </c>
      <c r="H30" s="375" t="str">
        <f>VLOOKUP(ЕРН_значения!$J6,ЕРН_значения!$C198:$H204,4,0)</f>
        <v>400</v>
      </c>
      <c r="I30" s="375" t="str">
        <f>VLOOKUP(ЕРН_значения!$J9,ЕРН_значения!$C198:$H204,4,0)</f>
        <v>60</v>
      </c>
      <c r="J30" s="375" t="str">
        <f>VLOOKUP(ЕРН_значения!$J5,ЕРН_значения!$C198:$H204,4,0)</f>
        <v>менее 3</v>
      </c>
      <c r="M30" s="310">
        <v>27</v>
      </c>
      <c r="N30" s="311"/>
      <c r="O30" s="427"/>
      <c r="P30" s="305">
        <f t="shared" si="0"/>
        <v>0</v>
      </c>
      <c r="Q30" s="145"/>
      <c r="R30" s="145"/>
      <c r="S30" s="145"/>
      <c r="T30" s="145"/>
      <c r="U30" s="145"/>
      <c r="V30" s="145"/>
      <c r="W30" s="145"/>
      <c r="X30" s="145"/>
      <c r="Y30" s="299"/>
      <c r="Z30" s="300">
        <v>27</v>
      </c>
      <c r="AA30" s="323"/>
      <c r="AB30" s="324"/>
    </row>
    <row r="31" spans="1:33" ht="15.75" x14ac:dyDescent="0.25">
      <c r="A31" s="170" t="str">
        <f t="shared" si="1"/>
        <v>3</v>
      </c>
      <c r="B31" s="170">
        <f t="shared" si="2"/>
        <v>3</v>
      </c>
      <c r="C31" s="176"/>
      <c r="D31" s="249">
        <v>23</v>
      </c>
      <c r="E31" s="253" t="str">
        <f t="shared" si="3"/>
        <v>1,0-2,0</v>
      </c>
      <c r="F31" s="375" t="str">
        <f>VLOOKUP(ЕРН_значения!$J7,ЕРН_значения!$C207:$H213,4,0)</f>
        <v>16</v>
      </c>
      <c r="G31" s="375" t="str">
        <f>VLOOKUP(ЕРН_значения!$J8,ЕРН_значения!$C207:$H213,4,0)</f>
        <v>20</v>
      </c>
      <c r="H31" s="375" t="str">
        <f>VLOOKUP(ЕРН_значения!$J6,ЕРН_значения!$C207:$H213,4,0)</f>
        <v>300</v>
      </c>
      <c r="I31" s="375" t="str">
        <f>VLOOKUP(ЕРН_значения!$J9,ЕРН_значения!$C207:$H213,4,0)</f>
        <v>70</v>
      </c>
      <c r="J31" s="375" t="str">
        <f>VLOOKUP(ЕРН_значения!$J5,ЕРН_значения!$C207:$H213,4,0)</f>
        <v>менее 3</v>
      </c>
      <c r="M31" s="310">
        <v>28</v>
      </c>
      <c r="N31" s="311"/>
      <c r="O31" s="427"/>
      <c r="P31" s="305">
        <f t="shared" si="0"/>
        <v>0</v>
      </c>
      <c r="Q31" s="145"/>
      <c r="R31" s="145"/>
      <c r="S31" s="145"/>
      <c r="T31" s="145"/>
      <c r="U31" s="145"/>
      <c r="V31" s="145"/>
      <c r="W31" s="145"/>
      <c r="X31" s="145"/>
      <c r="Z31" s="300">
        <v>28</v>
      </c>
      <c r="AA31" s="323"/>
      <c r="AB31" s="324"/>
    </row>
    <row r="32" spans="1:33" ht="15.75" x14ac:dyDescent="0.25">
      <c r="A32" s="170" t="str">
        <f t="shared" si="1"/>
        <v>4</v>
      </c>
      <c r="B32" s="170">
        <f t="shared" si="2"/>
        <v>4</v>
      </c>
      <c r="C32" s="176"/>
      <c r="D32" s="249">
        <v>24</v>
      </c>
      <c r="E32" s="253" t="str">
        <f t="shared" si="3"/>
        <v>2,0-3,0</v>
      </c>
      <c r="F32" s="375" t="str">
        <f>VLOOKUP(ЕРН_значения!$J7,ЕРН_значения!$C216:$H222,4,0)</f>
        <v>13</v>
      </c>
      <c r="G32" s="375" t="str">
        <f>VLOOKUP(ЕРН_значения!$J8,ЕРН_значения!$C216:$H222,4,0)</f>
        <v>18</v>
      </c>
      <c r="H32" s="375" t="str">
        <f>VLOOKUP(ЕРН_значения!$J6,ЕРН_значения!$C216:$H222,4,0)</f>
        <v>300</v>
      </c>
      <c r="I32" s="375" t="str">
        <f>VLOOKUP(ЕРН_значения!$J9,ЕРН_значения!$C216:$H222,4,0)</f>
        <v>70</v>
      </c>
      <c r="J32" s="375" t="str">
        <f>VLOOKUP(ЕРН_значения!$J5,ЕРН_значения!$C216:$H222,4,0)</f>
        <v>менее 3</v>
      </c>
      <c r="M32" s="310">
        <v>29</v>
      </c>
      <c r="N32" s="311"/>
      <c r="O32" s="427"/>
      <c r="P32" s="305">
        <f t="shared" si="0"/>
        <v>0</v>
      </c>
      <c r="Q32" s="145"/>
      <c r="R32" s="145"/>
      <c r="S32" s="145"/>
      <c r="T32" s="145"/>
      <c r="U32" s="145"/>
      <c r="V32" s="145"/>
      <c r="W32" s="145"/>
      <c r="X32" s="145"/>
      <c r="Z32" s="300">
        <v>29</v>
      </c>
      <c r="AA32" s="323"/>
      <c r="AB32" s="324"/>
    </row>
    <row r="33" spans="1:28" ht="15.75" x14ac:dyDescent="0.25">
      <c r="A33" s="170" t="str">
        <f t="shared" si="1"/>
        <v>5</v>
      </c>
      <c r="B33" s="170">
        <f t="shared" si="2"/>
        <v>5</v>
      </c>
      <c r="C33" s="176"/>
      <c r="D33" s="249">
        <v>25</v>
      </c>
      <c r="E33" s="253" t="str">
        <f t="shared" si="3"/>
        <v>2,0-3,0</v>
      </c>
      <c r="F33" s="375" t="str">
        <f>VLOOKUP(ЕРН_значения!$J7,ЕРН_значения!$C227:$H233,4,0)</f>
        <v>280</v>
      </c>
      <c r="G33" s="375" t="str">
        <f>VLOOKUP(ЕРН_значения!$J8,ЕРН_значения!$C227:$H233,4,0)</f>
        <v>50</v>
      </c>
      <c r="H33" s="375" t="str">
        <f>VLOOKUP(ЕРН_значения!$J6,ЕРН_значения!$C227:$H233,4,0)</f>
        <v>4</v>
      </c>
      <c r="I33" s="375" t="str">
        <f>VLOOKUP(ЕРН_значения!$J9,ЕРН_значения!$C227:$H233,4,0)</f>
        <v>11</v>
      </c>
      <c r="J33" s="375" t="str">
        <f>VLOOKUP(ЕРН_значения!$J5,ЕРН_значения!$C227:$H233,4,0)</f>
        <v>13</v>
      </c>
      <c r="M33" s="310">
        <v>30</v>
      </c>
      <c r="N33" s="311"/>
      <c r="O33" s="427"/>
      <c r="P33" s="305">
        <f t="shared" si="0"/>
        <v>0</v>
      </c>
      <c r="Q33" s="145"/>
      <c r="R33" s="145"/>
      <c r="S33" s="145"/>
      <c r="T33" s="145"/>
      <c r="U33" s="145"/>
      <c r="V33" s="145"/>
      <c r="W33" s="145"/>
      <c r="X33" s="145"/>
      <c r="Z33" s="300">
        <v>30</v>
      </c>
      <c r="AA33" s="323"/>
      <c r="AB33" s="324"/>
    </row>
    <row r="34" spans="1:28" ht="15.75" x14ac:dyDescent="0.25">
      <c r="A34" s="170" t="str">
        <f t="shared" si="1"/>
        <v>6</v>
      </c>
      <c r="B34" s="170">
        <f t="shared" si="2"/>
        <v>6</v>
      </c>
      <c r="C34" s="176"/>
      <c r="D34" s="249">
        <v>26</v>
      </c>
      <c r="E34" s="253" t="str">
        <f t="shared" si="3"/>
        <v>2,0-3,0</v>
      </c>
      <c r="F34" s="375" t="str">
        <f>VLOOKUP(ЕРН_значения!$J7,ЕРН_значения!$C236:$H242,4,0)</f>
        <v>280</v>
      </c>
      <c r="G34" s="375" t="str">
        <f>VLOOKUP(ЕРН_значения!$J8,ЕРН_значения!$C236:$H242,4,0)</f>
        <v>50</v>
      </c>
      <c r="H34" s="375" t="str">
        <f>VLOOKUP(ЕРН_значения!$J6,ЕРН_значения!$C236:$H242,4,0)</f>
        <v>4</v>
      </c>
      <c r="I34" s="375" t="str">
        <f>VLOOKUP(ЕРН_значения!$J9,ЕРН_значения!$C236:$H242,4,0)</f>
        <v>11</v>
      </c>
      <c r="J34" s="375" t="str">
        <f>VLOOKUP(ЕРН_значения!$J5,ЕРН_значения!$C236:$H242,4,0)</f>
        <v>13</v>
      </c>
      <c r="M34" s="310">
        <v>31</v>
      </c>
      <c r="N34" s="311"/>
      <c r="O34" s="427"/>
      <c r="P34" s="305">
        <f t="shared" si="0"/>
        <v>0</v>
      </c>
      <c r="Q34" s="145"/>
      <c r="R34" s="145"/>
      <c r="S34" s="145"/>
      <c r="T34" s="145"/>
      <c r="U34" s="145"/>
      <c r="V34" s="145"/>
      <c r="W34" s="145"/>
      <c r="X34" s="145"/>
      <c r="Z34" s="300">
        <v>31</v>
      </c>
      <c r="AA34" s="323"/>
      <c r="AB34" s="324"/>
    </row>
    <row r="35" spans="1:28" ht="15.75" x14ac:dyDescent="0.25">
      <c r="A35" s="170" t="str">
        <f t="shared" si="1"/>
        <v>7</v>
      </c>
      <c r="B35" s="170">
        <f t="shared" si="2"/>
        <v>7</v>
      </c>
      <c r="C35" s="176"/>
      <c r="D35" s="249">
        <v>27</v>
      </c>
      <c r="E35" s="253" t="str">
        <f t="shared" si="3"/>
        <v>2,0-3,0</v>
      </c>
      <c r="F35" s="375" t="str">
        <f>VLOOKUP(ЕРН_значения!$J7,ЕРН_значения!$C245:$H251,4,0)</f>
        <v>280</v>
      </c>
      <c r="G35" s="375" t="str">
        <f>VLOOKUP(ЕРН_значения!$J8,ЕРН_значения!$C245:$H251,4,0)</f>
        <v>50</v>
      </c>
      <c r="H35" s="375" t="str">
        <f>VLOOKUP(ЕРН_значения!$J6,ЕРН_значения!$C245:$H251,4,0)</f>
        <v>4</v>
      </c>
      <c r="I35" s="375" t="str">
        <f>VLOOKUP(ЕРН_значения!$J9,ЕРН_значения!$C245:$H251,4,0)</f>
        <v>11</v>
      </c>
      <c r="J35" s="375" t="str">
        <f>VLOOKUP(ЕРН_значения!$J5,ЕРН_значения!$C245:$H251,4,0)</f>
        <v>13</v>
      </c>
      <c r="M35" s="310">
        <v>32</v>
      </c>
      <c r="N35" s="311"/>
      <c r="O35" s="427"/>
      <c r="P35" s="305">
        <f t="shared" si="0"/>
        <v>0</v>
      </c>
      <c r="Q35" s="145"/>
      <c r="R35" s="145"/>
      <c r="S35" s="145"/>
      <c r="T35" s="145"/>
      <c r="U35" s="145"/>
      <c r="V35" s="145"/>
      <c r="W35" s="145"/>
      <c r="X35" s="145"/>
      <c r="Z35" s="300">
        <v>32</v>
      </c>
      <c r="AA35" s="323"/>
      <c r="AB35" s="324"/>
    </row>
    <row r="36" spans="1:28" ht="15.75" x14ac:dyDescent="0.25">
      <c r="A36" s="170" t="str">
        <f t="shared" si="1"/>
        <v>8</v>
      </c>
      <c r="B36" s="170">
        <f t="shared" si="2"/>
        <v>8</v>
      </c>
      <c r="C36" s="176"/>
      <c r="D36" s="249">
        <v>28</v>
      </c>
      <c r="E36" s="253" t="str">
        <f t="shared" si="3"/>
        <v>2,0-3,0</v>
      </c>
      <c r="F36" s="375" t="str">
        <f>VLOOKUP(ЕРН_значения!$J7,ЕРН_значения!$C254:$H260,4,0)</f>
        <v>280</v>
      </c>
      <c r="G36" s="375" t="str">
        <f>VLOOKUP(ЕРН_значения!$J8,ЕРН_значения!$C254:$H260,4,0)</f>
        <v>50</v>
      </c>
      <c r="H36" s="375" t="str">
        <f>VLOOKUP(ЕРН_значения!$J6,ЕРН_значения!$C254:$H260,4,0)</f>
        <v>4</v>
      </c>
      <c r="I36" s="375" t="str">
        <f>VLOOKUP(ЕРН_значения!$J9,ЕРН_значения!$C254:$H260,4,0)</f>
        <v>11</v>
      </c>
      <c r="J36" s="375" t="str">
        <f>VLOOKUP(ЕРН_значения!$J5,ЕРН_значения!$C254:$H260,4,0)</f>
        <v>13</v>
      </c>
      <c r="M36" s="310">
        <v>33</v>
      </c>
      <c r="N36" s="311"/>
      <c r="O36" s="427"/>
      <c r="P36" s="305">
        <f t="shared" si="0"/>
        <v>0</v>
      </c>
      <c r="Q36" s="145"/>
      <c r="R36" s="145"/>
      <c r="S36" s="145"/>
      <c r="T36" s="145"/>
      <c r="U36" s="145"/>
      <c r="V36" s="145"/>
      <c r="W36" s="145"/>
      <c r="X36" s="145"/>
      <c r="Z36" s="300">
        <v>33</v>
      </c>
      <c r="AA36" s="323"/>
      <c r="AB36" s="324"/>
    </row>
    <row r="37" spans="1:28" ht="15.75" x14ac:dyDescent="0.25">
      <c r="A37" s="170" t="str">
        <f t="shared" si="1"/>
        <v>9</v>
      </c>
      <c r="B37" s="170">
        <f t="shared" si="2"/>
        <v>9</v>
      </c>
      <c r="C37" s="176"/>
      <c r="D37" s="249">
        <v>29</v>
      </c>
      <c r="E37" s="253" t="str">
        <f t="shared" si="3"/>
        <v>2,0-3,0</v>
      </c>
      <c r="F37" s="375" t="str">
        <f>VLOOKUP(ЕРН_значения!$J7,ЕРН_значения!$C263:$H269,4,0)</f>
        <v>280</v>
      </c>
      <c r="G37" s="375" t="str">
        <f>VLOOKUP(ЕРН_значения!$J8,ЕРН_значения!$C263:$H269,4,0)</f>
        <v>50</v>
      </c>
      <c r="H37" s="375" t="str">
        <f>VLOOKUP(ЕРН_значения!$J6,ЕРН_значения!$C263:$H269,4,0)</f>
        <v>4</v>
      </c>
      <c r="I37" s="375" t="str">
        <f>VLOOKUP(ЕРН_значения!$J9,ЕРН_значения!$C263:$H269,4,0)</f>
        <v>11</v>
      </c>
      <c r="J37" s="375" t="str">
        <f>VLOOKUP(ЕРН_значения!$J5,ЕРН_значения!$C263:$H269,4,0)</f>
        <v>13</v>
      </c>
      <c r="M37" s="310">
        <v>34</v>
      </c>
      <c r="N37" s="311"/>
      <c r="O37" s="427"/>
      <c r="P37" s="305">
        <f t="shared" si="0"/>
        <v>0</v>
      </c>
      <c r="Q37" s="145"/>
      <c r="R37" s="145"/>
      <c r="S37" s="145"/>
      <c r="T37" s="145"/>
      <c r="U37" s="145"/>
      <c r="V37" s="145"/>
      <c r="W37" s="145"/>
      <c r="X37" s="145"/>
      <c r="Z37" s="300">
        <v>34</v>
      </c>
      <c r="AA37" s="323"/>
      <c r="AB37" s="324"/>
    </row>
    <row r="38" spans="1:28" ht="15.75" x14ac:dyDescent="0.25">
      <c r="A38" s="170" t="str">
        <f t="shared" si="1"/>
        <v>0</v>
      </c>
      <c r="B38" s="170">
        <f t="shared" si="2"/>
        <v>0</v>
      </c>
      <c r="C38" s="176"/>
      <c r="D38" s="249">
        <v>30</v>
      </c>
      <c r="E38" s="253" t="str">
        <f t="shared" si="3"/>
        <v>2,0-3,0</v>
      </c>
      <c r="F38" s="375" t="str">
        <f>VLOOKUP(ЕРН_значения!$J7,ЕРН_значения!$C272:$H278,4,0)</f>
        <v>280</v>
      </c>
      <c r="G38" s="375" t="str">
        <f>VLOOKUP(ЕРН_значения!$J8,ЕРН_значения!$C272:$H278,4,0)</f>
        <v>50</v>
      </c>
      <c r="H38" s="375" t="str">
        <f>VLOOKUP(ЕРН_значения!$J6,ЕРН_значения!$C272:$H278,4,0)</f>
        <v>4</v>
      </c>
      <c r="I38" s="375" t="str">
        <f>VLOOKUP(ЕРН_значения!$J9,ЕРН_значения!$C272:$H278,4,0)</f>
        <v>11</v>
      </c>
      <c r="J38" s="375" t="str">
        <f>VLOOKUP(ЕРН_значения!$J5,ЕРН_значения!$C272:$H278,4,0)</f>
        <v>13</v>
      </c>
      <c r="M38" s="310">
        <v>35</v>
      </c>
      <c r="N38" s="311"/>
      <c r="O38" s="427"/>
      <c r="P38" s="305">
        <f t="shared" si="0"/>
        <v>0</v>
      </c>
      <c r="Q38" s="145"/>
      <c r="R38" s="145"/>
      <c r="S38" s="145"/>
      <c r="T38" s="145"/>
      <c r="U38" s="145"/>
      <c r="V38" s="145"/>
      <c r="W38" s="145"/>
      <c r="X38" s="145"/>
      <c r="Z38" s="300">
        <v>35</v>
      </c>
      <c r="AA38" s="323"/>
      <c r="AB38" s="324"/>
    </row>
    <row r="39" spans="1:28" ht="15.75" x14ac:dyDescent="0.25">
      <c r="A39" s="170" t="str">
        <f t="shared" si="1"/>
        <v/>
      </c>
      <c r="B39" s="170" t="e">
        <f t="shared" si="2"/>
        <v>#VALUE!</v>
      </c>
      <c r="C39" s="176"/>
      <c r="D39" s="374" t="str">
        <f>RIGHT(ЕРН_значения!A248,7)</f>
        <v/>
      </c>
      <c r="E39" s="253" t="e">
        <f t="shared" si="3"/>
        <v>#VALUE!</v>
      </c>
      <c r="F39" s="375">
        <f>VLOOKUP(ЕРН_значения!$J7,ЕРН_значения!C3:H9,4,0)</f>
        <v>16</v>
      </c>
      <c r="G39" s="375">
        <f>ЕРН_значения!F45</f>
        <v>52</v>
      </c>
      <c r="H39" s="375">
        <f>ЕРН_значения!F45</f>
        <v>52</v>
      </c>
      <c r="I39" s="176">
        <f>[1]ЕРН_значения!$R$74</f>
        <v>0</v>
      </c>
      <c r="J39" s="176">
        <f>[1]ЕРН_значения!$R$70</f>
        <v>0</v>
      </c>
      <c r="M39" s="310">
        <v>36</v>
      </c>
      <c r="N39" s="311"/>
      <c r="O39" s="427"/>
      <c r="P39" s="305">
        <f t="shared" si="0"/>
        <v>0</v>
      </c>
      <c r="Q39" s="145"/>
      <c r="R39" s="145"/>
      <c r="S39" s="145"/>
      <c r="T39" s="145"/>
      <c r="U39" s="145"/>
      <c r="V39" s="145"/>
      <c r="W39" s="145"/>
      <c r="X39" s="145"/>
      <c r="Z39" s="300">
        <v>36</v>
      </c>
      <c r="AA39" s="323"/>
      <c r="AB39" s="324"/>
    </row>
    <row r="40" spans="1:28" ht="15.75" x14ac:dyDescent="0.25">
      <c r="A40" s="170" t="str">
        <f t="shared" si="1"/>
        <v/>
      </c>
      <c r="B40" s="170" t="e">
        <f t="shared" si="2"/>
        <v>#VALUE!</v>
      </c>
      <c r="C40" s="176"/>
      <c r="D40" s="249" t="str">
        <f>RIGHT(ЕРН_значения!A249,7)</f>
        <v/>
      </c>
      <c r="E40" s="253" t="e">
        <f t="shared" si="3"/>
        <v>#VALUE!</v>
      </c>
      <c r="F40" s="375">
        <f>VLOOKUP(ЕРН_значения!$J7,ЕРН_значения!C3:H9,4,0)</f>
        <v>16</v>
      </c>
      <c r="G40" s="176">
        <f>[1]ЕРН_значения!$R$82</f>
        <v>0</v>
      </c>
      <c r="H40" s="176">
        <f>[1]ЕРН_значения!$R$80</f>
        <v>0</v>
      </c>
      <c r="I40" s="176">
        <f>[1]ЕРН_значения!$R$83</f>
        <v>0</v>
      </c>
      <c r="J40" s="176">
        <f>[1]ЕРН_значения!$R$79</f>
        <v>0</v>
      </c>
      <c r="M40" s="310">
        <v>37</v>
      </c>
      <c r="N40" s="311"/>
      <c r="O40" s="427"/>
      <c r="P40" s="305">
        <f t="shared" si="0"/>
        <v>0</v>
      </c>
      <c r="Q40" s="145"/>
      <c r="R40" s="145"/>
      <c r="S40" s="145"/>
      <c r="T40" s="145"/>
      <c r="U40" s="145"/>
      <c r="V40" s="145"/>
      <c r="W40" s="145"/>
      <c r="X40" s="145"/>
      <c r="Z40" s="300">
        <v>37</v>
      </c>
      <c r="AA40" s="323"/>
      <c r="AB40" s="324"/>
    </row>
    <row r="41" spans="1:28" ht="15.75" x14ac:dyDescent="0.25">
      <c r="A41" s="170" t="str">
        <f t="shared" si="1"/>
        <v/>
      </c>
      <c r="B41" s="170" t="e">
        <f t="shared" si="2"/>
        <v>#VALUE!</v>
      </c>
      <c r="C41" s="176"/>
      <c r="D41" s="249" t="str">
        <f>RIGHT(ЕРН_значения!A250,7)</f>
        <v/>
      </c>
      <c r="E41" s="253" t="e">
        <f t="shared" si="3"/>
        <v>#VALUE!</v>
      </c>
      <c r="F41" s="375">
        <f>VLOOKUP(ЕРН_значения!$J7,ЕРН_значения!C3:H9,4,0)</f>
        <v>16</v>
      </c>
      <c r="G41" s="176">
        <f>[1]ЕРН_значения!$R$91</f>
        <v>0</v>
      </c>
      <c r="H41" s="176">
        <f>[1]ЕРН_значения!$R$89</f>
        <v>0</v>
      </c>
      <c r="I41" s="176">
        <f>[1]ЕРН_значения!$R$92</f>
        <v>0</v>
      </c>
      <c r="J41" s="176">
        <f>[1]ЕРН_значения!$R$88</f>
        <v>0</v>
      </c>
      <c r="M41" s="310">
        <v>38</v>
      </c>
      <c r="N41" s="311"/>
      <c r="O41" s="427"/>
      <c r="P41" s="305">
        <f t="shared" si="0"/>
        <v>0</v>
      </c>
      <c r="Q41" s="145"/>
      <c r="R41" s="145"/>
      <c r="S41" s="145"/>
      <c r="T41" s="145"/>
      <c r="U41" s="145"/>
      <c r="V41" s="145"/>
      <c r="W41" s="145"/>
      <c r="X41" s="145"/>
      <c r="Z41" s="300">
        <v>38</v>
      </c>
      <c r="AA41" s="323"/>
      <c r="AB41" s="324"/>
    </row>
    <row r="42" spans="1:28" ht="15.75" x14ac:dyDescent="0.25">
      <c r="A42" s="170" t="str">
        <f t="shared" si="1"/>
        <v/>
      </c>
      <c r="B42" s="170" t="e">
        <f t="shared" si="2"/>
        <v>#VALUE!</v>
      </c>
      <c r="C42" s="176"/>
      <c r="D42" s="249" t="str">
        <f>RIGHT(ЕРН_значения!A251,7)</f>
        <v/>
      </c>
      <c r="E42" s="253" t="e">
        <f t="shared" si="3"/>
        <v>#VALUE!</v>
      </c>
      <c r="F42" s="375">
        <f>VLOOKUP(ЕРН_значения!$J7,ЕРН_значения!C3:H9,4,0)</f>
        <v>16</v>
      </c>
      <c r="G42" s="176">
        <f>[1]ЕРН_значения!$R$100</f>
        <v>0</v>
      </c>
      <c r="H42" s="176">
        <f>[1]ЕРН_значения!$R$98</f>
        <v>0</v>
      </c>
      <c r="I42" s="176">
        <f>[1]ЕРН_значения!$R$101</f>
        <v>0</v>
      </c>
      <c r="J42" s="176">
        <f>[1]ЕРН_значения!$R$97</f>
        <v>0</v>
      </c>
      <c r="M42" s="310">
        <v>39</v>
      </c>
      <c r="N42" s="311"/>
      <c r="O42" s="427"/>
      <c r="P42" s="305">
        <f t="shared" si="0"/>
        <v>0</v>
      </c>
      <c r="Q42" s="145"/>
      <c r="R42" s="145"/>
      <c r="S42" s="145"/>
      <c r="T42" s="145"/>
      <c r="U42" s="145"/>
      <c r="V42" s="145"/>
      <c r="W42" s="145"/>
      <c r="X42" s="145"/>
      <c r="Z42" s="300">
        <v>39</v>
      </c>
      <c r="AA42" s="323"/>
      <c r="AB42" s="324"/>
    </row>
    <row r="43" spans="1:28" ht="15.75" x14ac:dyDescent="0.25">
      <c r="A43" s="170" t="str">
        <f t="shared" si="1"/>
        <v/>
      </c>
      <c r="B43" s="170" t="e">
        <f t="shared" si="2"/>
        <v>#VALUE!</v>
      </c>
      <c r="C43" s="176"/>
      <c r="D43" s="249" t="str">
        <f>RIGHT([1]ЕРН_значения!P103,7)</f>
        <v/>
      </c>
      <c r="E43" s="253" t="e">
        <f t="shared" si="3"/>
        <v>#VALUE!</v>
      </c>
      <c r="F43" s="375">
        <f>VLOOKUP(ЕРН_значения!$J7,ЕРН_значения!C3:H9,4,0)</f>
        <v>16</v>
      </c>
      <c r="G43" s="176">
        <f>[1]ЕРН_значения!$R$109</f>
        <v>0</v>
      </c>
      <c r="H43" s="176">
        <f>[1]ЕРН_значения!$R$107</f>
        <v>0</v>
      </c>
      <c r="I43" s="176">
        <f>[1]ЕРН_значения!$R$110</f>
        <v>0</v>
      </c>
      <c r="J43" s="176">
        <f>[1]ЕРН_значения!$R$106</f>
        <v>0</v>
      </c>
      <c r="M43" s="310">
        <v>40</v>
      </c>
      <c r="N43" s="311"/>
      <c r="O43" s="427"/>
      <c r="P43" s="305">
        <f t="shared" si="0"/>
        <v>0</v>
      </c>
      <c r="Q43" s="145"/>
      <c r="R43" s="145"/>
      <c r="S43" s="145"/>
      <c r="T43" s="145"/>
      <c r="U43" s="145"/>
      <c r="V43" s="145"/>
      <c r="W43" s="145"/>
      <c r="X43" s="145"/>
      <c r="Z43" s="300">
        <v>40</v>
      </c>
      <c r="AA43" s="323"/>
      <c r="AB43" s="324"/>
    </row>
    <row r="44" spans="1:28" ht="15.75" x14ac:dyDescent="0.25">
      <c r="A44" s="170" t="str">
        <f t="shared" si="1"/>
        <v/>
      </c>
      <c r="B44" s="170" t="e">
        <f t="shared" si="2"/>
        <v>#VALUE!</v>
      </c>
      <c r="C44" s="176"/>
      <c r="D44" s="249" t="str">
        <f>RIGHT([1]ЕРН_значения!U2,7)</f>
        <v/>
      </c>
      <c r="E44" s="253" t="e">
        <f t="shared" si="3"/>
        <v>#VALUE!</v>
      </c>
      <c r="F44" s="375">
        <f>VLOOKUP(ЕРН_значения!$J7,ЕРН_значения!C3:H9,4,0)</f>
        <v>16</v>
      </c>
      <c r="G44" s="176">
        <f>[1]ЕРН_значения!$W8</f>
        <v>0</v>
      </c>
      <c r="H44" s="176">
        <f>[1]ЕРН_значения!$W6</f>
        <v>0</v>
      </c>
      <c r="I44" s="176">
        <f>[1]ЕРН_значения!$W9</f>
        <v>0</v>
      </c>
      <c r="J44" s="176">
        <f>[1]ЕРН_значения!$W5</f>
        <v>0</v>
      </c>
      <c r="M44" s="310">
        <v>41</v>
      </c>
      <c r="N44" s="311"/>
      <c r="O44" s="427"/>
      <c r="P44" s="305">
        <f t="shared" si="0"/>
        <v>0</v>
      </c>
      <c r="Q44" s="145"/>
      <c r="R44" s="145"/>
      <c r="S44" s="145"/>
      <c r="T44" s="145"/>
      <c r="U44" s="145"/>
      <c r="V44" s="145"/>
      <c r="W44" s="145"/>
      <c r="X44" s="145"/>
      <c r="Z44" s="300">
        <v>41</v>
      </c>
      <c r="AA44" s="323"/>
      <c r="AB44" s="324"/>
    </row>
    <row r="45" spans="1:28" ht="15.75" x14ac:dyDescent="0.25">
      <c r="A45" s="170" t="str">
        <f t="shared" si="1"/>
        <v/>
      </c>
      <c r="B45" s="170" t="e">
        <f t="shared" si="2"/>
        <v>#VALUE!</v>
      </c>
      <c r="C45" s="176"/>
      <c r="D45" s="249" t="str">
        <f>RIGHT([1]ЕРН_значения!U11,7)</f>
        <v/>
      </c>
      <c r="E45" s="253" t="e">
        <f t="shared" si="3"/>
        <v>#VALUE!</v>
      </c>
      <c r="F45" s="375">
        <f>VLOOKUP(ЕРН_значения!$J7,ЕРН_значения!C3:H9,4,0)</f>
        <v>16</v>
      </c>
      <c r="G45" s="176">
        <f>[1]ЕРН_значения!$W17</f>
        <v>0</v>
      </c>
      <c r="H45" s="176">
        <f>[1]ЕРН_значения!$W15</f>
        <v>0</v>
      </c>
      <c r="I45" s="176">
        <f>[1]ЕРН_значения!$W18</f>
        <v>0</v>
      </c>
      <c r="J45" s="176">
        <f>[1]ЕРН_значения!$W14</f>
        <v>0</v>
      </c>
      <c r="M45" s="310">
        <v>42</v>
      </c>
      <c r="N45" s="311"/>
      <c r="O45" s="427"/>
      <c r="P45" s="305">
        <f t="shared" si="0"/>
        <v>0</v>
      </c>
      <c r="Q45" s="145"/>
      <c r="R45" s="145"/>
      <c r="S45" s="145"/>
      <c r="T45" s="145"/>
      <c r="U45" s="145"/>
      <c r="V45" s="145"/>
      <c r="W45" s="145"/>
      <c r="X45" s="145"/>
      <c r="Z45" s="300">
        <v>42</v>
      </c>
      <c r="AA45" s="323"/>
      <c r="AB45" s="324"/>
    </row>
    <row r="46" spans="1:28" ht="15.75" x14ac:dyDescent="0.25">
      <c r="A46" s="170" t="str">
        <f t="shared" si="1"/>
        <v/>
      </c>
      <c r="B46" s="170" t="e">
        <f t="shared" si="2"/>
        <v>#VALUE!</v>
      </c>
      <c r="C46" s="176"/>
      <c r="D46" s="249" t="str">
        <f>RIGHT([1]ЕРН_значения!U20,7)</f>
        <v/>
      </c>
      <c r="E46" s="253" t="e">
        <f t="shared" si="3"/>
        <v>#VALUE!</v>
      </c>
      <c r="F46" s="375">
        <f>VLOOKUP(ЕРН_значения!$J7,ЕРН_значения!C3:H9,4,0)</f>
        <v>16</v>
      </c>
      <c r="G46" s="176">
        <f>[1]ЕРН_значения!$W26</f>
        <v>0</v>
      </c>
      <c r="H46" s="176">
        <f>[1]ЕРН_значения!$W24</f>
        <v>0</v>
      </c>
      <c r="I46" s="176">
        <f>[1]ЕРН_значения!$W27</f>
        <v>0</v>
      </c>
      <c r="J46" s="176">
        <f>[1]ЕРН_значения!$W23</f>
        <v>0</v>
      </c>
      <c r="M46" s="310">
        <v>43</v>
      </c>
      <c r="N46" s="311"/>
      <c r="O46" s="427"/>
      <c r="P46" s="305">
        <f t="shared" si="0"/>
        <v>0</v>
      </c>
      <c r="Q46" s="145"/>
      <c r="R46" s="145"/>
      <c r="S46" s="145"/>
      <c r="T46" s="145"/>
      <c r="U46" s="145"/>
      <c r="V46" s="145"/>
      <c r="W46" s="145"/>
      <c r="X46" s="145"/>
      <c r="Z46" s="300">
        <v>43</v>
      </c>
      <c r="AA46" s="323"/>
      <c r="AB46" s="324"/>
    </row>
    <row r="47" spans="1:28" ht="15.75" x14ac:dyDescent="0.25">
      <c r="A47" s="170" t="str">
        <f t="shared" si="1"/>
        <v/>
      </c>
      <c r="B47" s="170" t="e">
        <f t="shared" si="2"/>
        <v>#VALUE!</v>
      </c>
      <c r="C47" s="176"/>
      <c r="D47" s="249" t="str">
        <f>RIGHT([1]ЕРН_значения!U29,7)</f>
        <v/>
      </c>
      <c r="E47" s="253" t="e">
        <f t="shared" si="3"/>
        <v>#VALUE!</v>
      </c>
      <c r="F47" s="375">
        <f>VLOOKUP(ЕРН_значения!$J7,ЕРН_значения!C3:H9,4,0)</f>
        <v>16</v>
      </c>
      <c r="G47" s="176">
        <f>[1]ЕРН_значения!$W35</f>
        <v>0</v>
      </c>
      <c r="H47" s="176">
        <f>[1]ЕРН_значения!$W33</f>
        <v>0</v>
      </c>
      <c r="I47" s="176">
        <f>[1]ЕРН_значения!$W36</f>
        <v>0</v>
      </c>
      <c r="J47" s="176">
        <f>[1]ЕРН_значения!$W32</f>
        <v>0</v>
      </c>
      <c r="M47" s="310">
        <v>44</v>
      </c>
      <c r="N47" s="311"/>
      <c r="O47" s="427"/>
      <c r="P47" s="305">
        <f t="shared" si="0"/>
        <v>0</v>
      </c>
      <c r="Q47" s="145"/>
      <c r="R47" s="145"/>
      <c r="S47" s="145"/>
      <c r="T47" s="145"/>
      <c r="U47" s="145"/>
      <c r="V47" s="145"/>
      <c r="W47" s="145"/>
      <c r="X47" s="145"/>
      <c r="Z47" s="300">
        <v>44</v>
      </c>
      <c r="AA47" s="323"/>
      <c r="AB47" s="324"/>
    </row>
    <row r="48" spans="1:28" ht="15.75" x14ac:dyDescent="0.25">
      <c r="A48" s="170" t="str">
        <f t="shared" si="1"/>
        <v/>
      </c>
      <c r="B48" s="170" t="e">
        <f t="shared" si="2"/>
        <v>#VALUE!</v>
      </c>
      <c r="C48" s="176"/>
      <c r="D48" s="249" t="str">
        <f>RIGHT([1]ЕРН_значения!U38,7)</f>
        <v/>
      </c>
      <c r="E48" s="253" t="e">
        <f t="shared" si="3"/>
        <v>#VALUE!</v>
      </c>
      <c r="F48" s="375">
        <f>VLOOKUP(ЕРН_значения!$J7,ЕРН_значения!C3:H9,4,0)</f>
        <v>16</v>
      </c>
      <c r="G48" s="176">
        <f>[1]ЕРН_значения!$W44</f>
        <v>0</v>
      </c>
      <c r="H48" s="176">
        <f>[1]ЕРН_значения!$W42</f>
        <v>0</v>
      </c>
      <c r="I48" s="176">
        <f>[1]ЕРН_значения!$W45</f>
        <v>0</v>
      </c>
      <c r="J48" s="176">
        <f>[1]ЕРН_значения!$W41</f>
        <v>0</v>
      </c>
      <c r="M48" s="310">
        <v>45</v>
      </c>
      <c r="N48" s="311"/>
      <c r="O48" s="427"/>
      <c r="P48" s="305">
        <f t="shared" si="0"/>
        <v>0</v>
      </c>
      <c r="Q48" s="145"/>
      <c r="R48" s="145"/>
      <c r="S48" s="145"/>
      <c r="T48" s="145"/>
      <c r="U48" s="145"/>
      <c r="V48" s="145"/>
      <c r="W48" s="145"/>
      <c r="X48" s="145"/>
      <c r="Z48" s="300">
        <v>45</v>
      </c>
      <c r="AA48" s="323"/>
      <c r="AB48" s="324"/>
    </row>
    <row r="49" spans="1:28" ht="15.75" x14ac:dyDescent="0.25">
      <c r="A49" s="170" t="str">
        <f t="shared" si="1"/>
        <v/>
      </c>
      <c r="B49" s="170" t="e">
        <f t="shared" si="2"/>
        <v>#VALUE!</v>
      </c>
      <c r="C49" s="176"/>
      <c r="D49" s="249" t="str">
        <f>RIGHT([1]ЕРН_значения!U47,7)</f>
        <v/>
      </c>
      <c r="E49" s="253" t="e">
        <f t="shared" si="3"/>
        <v>#VALUE!</v>
      </c>
      <c r="F49" s="375">
        <f>VLOOKUP(ЕРН_значения!$J7,ЕРН_значения!C3:H9,4,0)</f>
        <v>16</v>
      </c>
      <c r="G49" s="176">
        <f>[1]ЕРН_значения!$W$53</f>
        <v>0</v>
      </c>
      <c r="H49" s="176">
        <f>[1]ЕРН_значения!$W$51</f>
        <v>0</v>
      </c>
      <c r="I49" s="176">
        <f>[1]ЕРН_значения!$W$54</f>
        <v>0</v>
      </c>
      <c r="J49" s="176">
        <f>[1]ЕРН_значения!$W$50</f>
        <v>0</v>
      </c>
      <c r="M49" s="310">
        <v>46</v>
      </c>
      <c r="N49" s="311"/>
      <c r="O49" s="427"/>
      <c r="P49" s="305">
        <f t="shared" si="0"/>
        <v>0</v>
      </c>
      <c r="Q49" s="145"/>
      <c r="R49" s="145"/>
      <c r="S49" s="145"/>
      <c r="T49" s="145"/>
      <c r="U49" s="145"/>
      <c r="V49" s="145"/>
      <c r="W49" s="145"/>
      <c r="X49" s="145"/>
      <c r="Z49" s="300">
        <v>46</v>
      </c>
      <c r="AA49" s="323"/>
      <c r="AB49" s="324"/>
    </row>
    <row r="50" spans="1:28" ht="15.75" x14ac:dyDescent="0.25">
      <c r="A50" s="170" t="str">
        <f t="shared" si="1"/>
        <v/>
      </c>
      <c r="B50" s="170" t="e">
        <f t="shared" si="2"/>
        <v>#VALUE!</v>
      </c>
      <c r="C50" s="176"/>
      <c r="D50" s="249" t="str">
        <f>RIGHT([1]ЕРН_значения!U58,7)</f>
        <v/>
      </c>
      <c r="E50" s="253" t="e">
        <f t="shared" si="3"/>
        <v>#VALUE!</v>
      </c>
      <c r="F50" s="375">
        <f>VLOOKUP(ЕРН_значения!$J7,ЕРН_значения!C3:H9,4,0)</f>
        <v>16</v>
      </c>
      <c r="G50" s="176">
        <f>[1]ЕРН_значения!$W$64</f>
        <v>0</v>
      </c>
      <c r="H50" s="176">
        <f>[1]ЕРН_значения!$W$62</f>
        <v>0</v>
      </c>
      <c r="I50" s="176">
        <f>[1]ЕРН_значения!$W$65</f>
        <v>0</v>
      </c>
      <c r="J50" s="176">
        <f>[1]ЕРН_значения!$W$61</f>
        <v>0</v>
      </c>
      <c r="M50" s="310">
        <v>47</v>
      </c>
      <c r="N50" s="311"/>
      <c r="O50" s="427"/>
      <c r="P50" s="305">
        <f t="shared" si="0"/>
        <v>0</v>
      </c>
      <c r="Q50" s="145"/>
      <c r="R50" s="145"/>
      <c r="S50" s="145"/>
      <c r="T50" s="145"/>
      <c r="U50" s="145"/>
      <c r="V50" s="145"/>
      <c r="W50" s="145"/>
      <c r="X50" s="145"/>
      <c r="Z50" s="300">
        <v>47</v>
      </c>
      <c r="AA50" s="323"/>
      <c r="AB50" s="324"/>
    </row>
    <row r="51" spans="1:28" ht="15.75" x14ac:dyDescent="0.25">
      <c r="A51" s="170" t="str">
        <f t="shared" si="1"/>
        <v/>
      </c>
      <c r="B51" s="170" t="e">
        <f t="shared" si="2"/>
        <v>#VALUE!</v>
      </c>
      <c r="C51" s="176"/>
      <c r="D51" s="249" t="str">
        <f>RIGHT([1]ЕРН_значения!U67,7)</f>
        <v/>
      </c>
      <c r="E51" s="253" t="e">
        <f t="shared" si="3"/>
        <v>#VALUE!</v>
      </c>
      <c r="F51" s="375">
        <f>VLOOKUP(ЕРН_значения!$J7,ЕРН_значения!C3:H9,4,0)</f>
        <v>16</v>
      </c>
      <c r="G51" s="176">
        <f>[1]ЕРН_значения!$W$73</f>
        <v>0</v>
      </c>
      <c r="H51" s="176">
        <f>[1]ЕРН_значения!$W$71</f>
        <v>0</v>
      </c>
      <c r="I51" s="176">
        <f>[1]ЕРН_значения!$W$74</f>
        <v>0</v>
      </c>
      <c r="J51" s="176">
        <f>[1]ЕРН_значения!$W$70</f>
        <v>0</v>
      </c>
      <c r="M51" s="310">
        <v>48</v>
      </c>
      <c r="N51" s="311"/>
      <c r="O51" s="427"/>
      <c r="P51" s="305">
        <f t="shared" si="0"/>
        <v>0</v>
      </c>
      <c r="Q51" s="145"/>
      <c r="R51" s="145"/>
      <c r="S51" s="145"/>
      <c r="T51" s="145"/>
      <c r="U51" s="145"/>
      <c r="V51" s="145"/>
      <c r="W51" s="145"/>
      <c r="X51" s="145"/>
      <c r="Z51" s="300">
        <v>48</v>
      </c>
      <c r="AA51" s="323"/>
      <c r="AB51" s="324"/>
    </row>
    <row r="52" spans="1:28" ht="15.75" x14ac:dyDescent="0.25">
      <c r="A52" s="170" t="str">
        <f t="shared" si="1"/>
        <v/>
      </c>
      <c r="B52" s="170" t="e">
        <f t="shared" si="2"/>
        <v>#VALUE!</v>
      </c>
      <c r="C52" s="176"/>
      <c r="D52" s="249" t="str">
        <f>RIGHT([1]ЕРН_значения!U76,7)</f>
        <v/>
      </c>
      <c r="E52" s="253" t="e">
        <f t="shared" si="3"/>
        <v>#VALUE!</v>
      </c>
      <c r="F52" s="375">
        <f>VLOOKUP(ЕРН_значения!$J7,ЕРН_значения!C3:H9,4,0)</f>
        <v>16</v>
      </c>
      <c r="G52" s="176">
        <f>[1]ЕРН_значения!$W$82</f>
        <v>0</v>
      </c>
      <c r="H52" s="176">
        <f>[1]ЕРН_значения!$W$80</f>
        <v>0</v>
      </c>
      <c r="I52" s="176">
        <f>[1]ЕРН_значения!$W$83</f>
        <v>0</v>
      </c>
      <c r="J52" s="176">
        <f>[1]ЕРН_значения!$W$79</f>
        <v>0</v>
      </c>
      <c r="M52" s="310">
        <v>49</v>
      </c>
      <c r="N52" s="311"/>
      <c r="O52" s="427"/>
      <c r="P52" s="305">
        <f t="shared" si="0"/>
        <v>0</v>
      </c>
      <c r="Q52" s="145"/>
      <c r="R52" s="145"/>
      <c r="S52" s="145"/>
      <c r="T52" s="145"/>
      <c r="U52" s="145"/>
      <c r="V52" s="145"/>
      <c r="W52" s="145"/>
      <c r="X52" s="145"/>
      <c r="Z52" s="300">
        <v>49</v>
      </c>
      <c r="AA52" s="323"/>
      <c r="AB52" s="324"/>
    </row>
    <row r="53" spans="1:28" ht="15.75" x14ac:dyDescent="0.25">
      <c r="A53" s="170" t="str">
        <f t="shared" si="1"/>
        <v/>
      </c>
      <c r="B53" s="170" t="e">
        <f t="shared" si="2"/>
        <v>#VALUE!</v>
      </c>
      <c r="C53" s="176"/>
      <c r="D53" s="249" t="str">
        <f>RIGHT([1]ЕРН_значения!U85,7)</f>
        <v/>
      </c>
      <c r="E53" s="253" t="e">
        <f t="shared" si="3"/>
        <v>#VALUE!</v>
      </c>
      <c r="F53" s="375">
        <f>VLOOKUP(ЕРН_значения!$J7,ЕРН_значения!C3:H9,4,0)</f>
        <v>16</v>
      </c>
      <c r="G53" s="176">
        <f>[1]ЕРН_значения!$W$91</f>
        <v>0</v>
      </c>
      <c r="H53" s="176">
        <f>[1]ЕРН_значения!$W$89</f>
        <v>0</v>
      </c>
      <c r="I53" s="176">
        <f>[1]ЕРН_значения!$W$92</f>
        <v>0</v>
      </c>
      <c r="J53" s="176">
        <f>[1]ЕРН_значения!$W$88</f>
        <v>0</v>
      </c>
      <c r="M53" s="310">
        <v>50</v>
      </c>
      <c r="N53" s="311"/>
      <c r="O53" s="427"/>
      <c r="P53" s="305">
        <f t="shared" si="0"/>
        <v>0</v>
      </c>
      <c r="Q53" s="145"/>
      <c r="R53" s="145"/>
      <c r="S53" s="145"/>
      <c r="T53" s="145"/>
      <c r="U53" s="145"/>
      <c r="V53" s="145"/>
      <c r="W53" s="145"/>
      <c r="X53" s="145"/>
      <c r="Z53" s="300">
        <v>50</v>
      </c>
      <c r="AA53" s="323"/>
      <c r="AB53" s="324"/>
    </row>
    <row r="54" spans="1:28" ht="15.75" x14ac:dyDescent="0.25">
      <c r="A54" s="170" t="str">
        <f t="shared" si="1"/>
        <v/>
      </c>
      <c r="B54" s="170" t="e">
        <f t="shared" si="2"/>
        <v>#VALUE!</v>
      </c>
      <c r="C54" s="176"/>
      <c r="D54" s="249" t="str">
        <f>RIGHT([1]ЕРН_значения!U94,7)</f>
        <v/>
      </c>
      <c r="E54" s="253" t="e">
        <f t="shared" si="3"/>
        <v>#VALUE!</v>
      </c>
      <c r="F54" s="375">
        <f>VLOOKUP(ЕРН_значения!$J7,ЕРН_значения!C3:H9,4,0)</f>
        <v>16</v>
      </c>
      <c r="G54" s="176">
        <f>[1]ЕРН_значения!$W$100</f>
        <v>0</v>
      </c>
      <c r="H54" s="176">
        <f>[1]ЕРН_значения!$W$98</f>
        <v>0</v>
      </c>
      <c r="I54" s="176">
        <f>[1]ЕРН_значения!$W$101</f>
        <v>0</v>
      </c>
      <c r="J54" s="176">
        <f>[1]ЕРН_значения!$W$97</f>
        <v>0</v>
      </c>
      <c r="M54" s="310">
        <v>51</v>
      </c>
      <c r="N54" s="311"/>
      <c r="O54" s="427"/>
      <c r="P54" s="305">
        <f t="shared" si="0"/>
        <v>0</v>
      </c>
      <c r="Q54" s="145"/>
      <c r="R54" s="145"/>
      <c r="S54" s="145"/>
      <c r="T54" s="145"/>
      <c r="U54" s="145"/>
      <c r="V54" s="145"/>
      <c r="W54" s="145"/>
      <c r="X54" s="145"/>
      <c r="Z54" s="300">
        <v>51</v>
      </c>
      <c r="AA54" s="323"/>
      <c r="AB54" s="324"/>
    </row>
    <row r="55" spans="1:28" ht="15.75" x14ac:dyDescent="0.25">
      <c r="A55" s="170"/>
      <c r="B55" s="170"/>
      <c r="C55" s="176"/>
      <c r="D55" s="249" t="str">
        <f>RIGHT([1]ЕРН_значения!U103,7)</f>
        <v/>
      </c>
      <c r="E55" s="254"/>
      <c r="F55" s="375">
        <f>VLOOKUP(ЕРН_значения!$J7,ЕРН_значения!C3:H9,4,0)</f>
        <v>16</v>
      </c>
      <c r="G55" s="176">
        <f>[1]ЕРН_значения!$W$109</f>
        <v>0</v>
      </c>
      <c r="H55" s="176">
        <f>[1]ЕРН_значения!$W$107</f>
        <v>0</v>
      </c>
      <c r="I55" s="176">
        <f>[1]ЕРН_значения!$W$110</f>
        <v>0</v>
      </c>
      <c r="J55" s="176">
        <f>[1]ЕРН_значения!$W$106</f>
        <v>0</v>
      </c>
      <c r="M55" s="310">
        <v>52</v>
      </c>
      <c r="N55" s="311"/>
      <c r="O55" s="427"/>
      <c r="P55" s="305">
        <f t="shared" si="0"/>
        <v>0</v>
      </c>
      <c r="Q55" s="145"/>
      <c r="R55" s="145"/>
      <c r="S55" s="145"/>
      <c r="T55" s="145"/>
      <c r="U55" s="145"/>
      <c r="V55" s="145"/>
      <c r="W55" s="145"/>
      <c r="X55" s="145"/>
      <c r="Z55" s="300">
        <v>52</v>
      </c>
      <c r="AA55" s="323"/>
      <c r="AB55" s="324"/>
    </row>
    <row r="56" spans="1:28" ht="15.75" x14ac:dyDescent="0.25">
      <c r="A56" s="170" t="str">
        <f t="shared" ref="A56:A66" si="4">RIGHT(D56)</f>
        <v/>
      </c>
      <c r="B56" s="170" t="e">
        <f t="shared" ref="B56:B66" si="5">A56+0</f>
        <v>#VALUE!</v>
      </c>
      <c r="C56" s="176"/>
      <c r="D56" s="249" t="str">
        <f>RIGHT([1]ЕРН_значения!Z2,7)</f>
        <v/>
      </c>
      <c r="E56" s="253" t="e">
        <f t="shared" ref="E56:E66" si="6">IF(B56=1,$A$4,IF((B56=2),$A$5,IF((B56=3),$A$6,$A$7)))</f>
        <v>#VALUE!</v>
      </c>
      <c r="F56" s="375">
        <f>VLOOKUP(ЕРН_значения!$J7,ЕРН_значения!C3:H9,4,0)</f>
        <v>16</v>
      </c>
      <c r="G56" s="176">
        <f>[1]ЕРН_значения!$AB8</f>
        <v>0</v>
      </c>
      <c r="H56" s="176">
        <f>[1]ЕРН_значения!$AB6</f>
        <v>0</v>
      </c>
      <c r="I56" s="176">
        <f>[1]ЕРН_значения!$AB9</f>
        <v>0</v>
      </c>
      <c r="J56" s="176">
        <f>[1]ЕРН_значения!$AB5</f>
        <v>0</v>
      </c>
      <c r="M56" s="310">
        <v>53</v>
      </c>
      <c r="N56" s="311"/>
      <c r="O56" s="427"/>
      <c r="P56" s="305">
        <f t="shared" si="0"/>
        <v>0</v>
      </c>
      <c r="Q56" s="145"/>
      <c r="R56" s="145"/>
      <c r="S56" s="145"/>
      <c r="T56" s="145"/>
      <c r="U56" s="145"/>
      <c r="V56" s="145"/>
      <c r="W56" s="145"/>
      <c r="X56" s="145"/>
      <c r="Z56" s="300">
        <v>53</v>
      </c>
      <c r="AA56" s="323"/>
      <c r="AB56" s="324"/>
    </row>
    <row r="57" spans="1:28" ht="15.75" x14ac:dyDescent="0.25">
      <c r="A57" s="170" t="str">
        <f t="shared" si="4"/>
        <v/>
      </c>
      <c r="B57" s="170" t="e">
        <f t="shared" si="5"/>
        <v>#VALUE!</v>
      </c>
      <c r="C57" s="176"/>
      <c r="D57" s="249" t="str">
        <f>RIGHT([1]ЕРН_значения!Z11,7)</f>
        <v/>
      </c>
      <c r="E57" s="253" t="e">
        <f t="shared" si="6"/>
        <v>#VALUE!</v>
      </c>
      <c r="F57" s="375">
        <f>VLOOKUP(ЕРН_значения!$J7,ЕРН_значения!C3:H9,4,0)</f>
        <v>16</v>
      </c>
      <c r="G57" s="176">
        <f>[1]ЕРН_значения!$AB17</f>
        <v>0</v>
      </c>
      <c r="H57" s="176">
        <f>[1]ЕРН_значения!$AB15</f>
        <v>0</v>
      </c>
      <c r="I57" s="176">
        <f>[1]ЕРН_значения!$AB18</f>
        <v>0</v>
      </c>
      <c r="J57" s="176">
        <f>[1]ЕРН_значения!$AB14</f>
        <v>0</v>
      </c>
      <c r="M57" s="310">
        <v>54</v>
      </c>
      <c r="N57" s="311"/>
      <c r="O57" s="427"/>
      <c r="P57" s="305">
        <f t="shared" si="0"/>
        <v>0</v>
      </c>
      <c r="Q57" s="145"/>
      <c r="R57" s="145"/>
      <c r="S57" s="145"/>
      <c r="T57" s="145"/>
      <c r="U57" s="145"/>
      <c r="V57" s="145"/>
      <c r="W57" s="145"/>
      <c r="X57" s="145"/>
      <c r="Z57" s="300">
        <v>54</v>
      </c>
      <c r="AA57" s="323"/>
      <c r="AB57" s="324"/>
    </row>
    <row r="58" spans="1:28" ht="15.75" x14ac:dyDescent="0.25">
      <c r="A58" s="170" t="str">
        <f t="shared" si="4"/>
        <v/>
      </c>
      <c r="B58" s="170" t="e">
        <f t="shared" si="5"/>
        <v>#VALUE!</v>
      </c>
      <c r="C58" s="176"/>
      <c r="D58" s="249" t="str">
        <f>RIGHT([1]ЕРН_значения!Z20,7)</f>
        <v/>
      </c>
      <c r="E58" s="253" t="e">
        <f t="shared" si="6"/>
        <v>#VALUE!</v>
      </c>
      <c r="F58" s="375">
        <f>VLOOKUP(ЕРН_значения!$J7,ЕРН_значения!C3:H9,4,0)</f>
        <v>16</v>
      </c>
      <c r="G58" s="176">
        <f>[1]ЕРН_значения!$AB26</f>
        <v>0</v>
      </c>
      <c r="H58" s="176">
        <f>[1]ЕРН_значения!$AB24</f>
        <v>0</v>
      </c>
      <c r="I58" s="176">
        <f>[1]ЕРН_значения!$AB27</f>
        <v>0</v>
      </c>
      <c r="J58" s="176">
        <f>[1]ЕРН_значения!$AB23</f>
        <v>0</v>
      </c>
      <c r="M58" s="310">
        <v>55</v>
      </c>
      <c r="N58" s="311"/>
      <c r="O58" s="427"/>
      <c r="P58" s="305">
        <f t="shared" si="0"/>
        <v>0</v>
      </c>
      <c r="Q58" s="145"/>
      <c r="R58" s="145"/>
      <c r="S58" s="145"/>
      <c r="T58" s="145"/>
      <c r="U58" s="145"/>
      <c r="V58" s="145"/>
      <c r="W58" s="145"/>
      <c r="X58" s="145"/>
      <c r="Z58" s="300">
        <v>55</v>
      </c>
      <c r="AA58" s="323"/>
      <c r="AB58" s="324"/>
    </row>
    <row r="59" spans="1:28" ht="15.75" x14ac:dyDescent="0.25">
      <c r="A59" s="170" t="str">
        <f t="shared" si="4"/>
        <v/>
      </c>
      <c r="B59" s="170" t="e">
        <f t="shared" si="5"/>
        <v>#VALUE!</v>
      </c>
      <c r="C59" s="176"/>
      <c r="D59" s="249" t="str">
        <f>RIGHT([1]ЕРН_значения!Z29,7)</f>
        <v/>
      </c>
      <c r="E59" s="253" t="e">
        <f t="shared" si="6"/>
        <v>#VALUE!</v>
      </c>
      <c r="F59" s="375">
        <f>VLOOKUP(ЕРН_значения!$J7,ЕРН_значения!C3:H9,4,0)</f>
        <v>16</v>
      </c>
      <c r="G59" s="176">
        <f>[1]ЕРН_значения!$AB35</f>
        <v>0</v>
      </c>
      <c r="H59" s="176">
        <f>[1]ЕРН_значения!$AB33</f>
        <v>0</v>
      </c>
      <c r="I59" s="176">
        <f>[1]ЕРН_значения!$AB36</f>
        <v>0</v>
      </c>
      <c r="J59" s="176">
        <f>[1]ЕРН_значения!$AB32</f>
        <v>0</v>
      </c>
      <c r="M59" s="310">
        <v>56</v>
      </c>
      <c r="N59" s="311"/>
      <c r="O59" s="427"/>
      <c r="P59" s="305">
        <f t="shared" si="0"/>
        <v>0</v>
      </c>
      <c r="Q59" s="145"/>
      <c r="R59" s="145"/>
      <c r="S59" s="145"/>
      <c r="T59" s="145"/>
      <c r="U59" s="145"/>
      <c r="V59" s="145"/>
      <c r="W59" s="145"/>
      <c r="X59" s="145"/>
      <c r="Z59" s="300">
        <v>56</v>
      </c>
      <c r="AA59" s="323"/>
      <c r="AB59" s="324"/>
    </row>
    <row r="60" spans="1:28" ht="15.75" x14ac:dyDescent="0.25">
      <c r="A60" s="170" t="str">
        <f t="shared" si="4"/>
        <v/>
      </c>
      <c r="B60" s="170" t="e">
        <f t="shared" si="5"/>
        <v>#VALUE!</v>
      </c>
      <c r="C60" s="176"/>
      <c r="D60" s="249" t="str">
        <f>RIGHT([1]ЕРН_значения!Z38,7)</f>
        <v/>
      </c>
      <c r="E60" s="253" t="e">
        <f t="shared" si="6"/>
        <v>#VALUE!</v>
      </c>
      <c r="F60" s="375">
        <f>VLOOKUP(ЕРН_значения!$J7,ЕРН_значения!C3:H9,4,0)</f>
        <v>16</v>
      </c>
      <c r="G60" s="176">
        <f>[1]ЕРН_значения!$AB44</f>
        <v>0</v>
      </c>
      <c r="H60" s="176">
        <f>[1]ЕРН_значения!$AB42</f>
        <v>0</v>
      </c>
      <c r="I60" s="176">
        <f>[1]ЕРН_значения!$AB45</f>
        <v>0</v>
      </c>
      <c r="J60" s="176">
        <f>[1]ЕРН_значения!$AB41</f>
        <v>0</v>
      </c>
      <c r="M60" s="310">
        <v>57</v>
      </c>
      <c r="N60" s="311"/>
      <c r="O60" s="427"/>
      <c r="P60" s="305">
        <f t="shared" si="0"/>
        <v>0</v>
      </c>
      <c r="Q60" s="145"/>
      <c r="R60" s="145"/>
      <c r="S60" s="145"/>
      <c r="T60" s="145"/>
      <c r="U60" s="145"/>
      <c r="V60" s="145"/>
      <c r="W60" s="145"/>
      <c r="X60" s="145"/>
      <c r="Z60" s="300">
        <v>57</v>
      </c>
      <c r="AA60" s="323"/>
      <c r="AB60" s="324"/>
    </row>
    <row r="61" spans="1:28" ht="15.75" x14ac:dyDescent="0.25">
      <c r="A61" s="170" t="str">
        <f t="shared" si="4"/>
        <v/>
      </c>
      <c r="B61" s="170" t="e">
        <f t="shared" si="5"/>
        <v>#VALUE!</v>
      </c>
      <c r="C61" s="176"/>
      <c r="D61" s="249" t="str">
        <f>RIGHT([1]ЕРН_значения!Z47,7)</f>
        <v/>
      </c>
      <c r="E61" s="253" t="e">
        <f t="shared" si="6"/>
        <v>#VALUE!</v>
      </c>
      <c r="F61" s="375">
        <f>VLOOKUP(ЕРН_значения!$J7,ЕРН_значения!C3:H9,4,0)</f>
        <v>16</v>
      </c>
      <c r="G61" s="176">
        <f>[1]ЕРН_значения!$AB$53</f>
        <v>0</v>
      </c>
      <c r="H61" s="176">
        <f>[1]ЕРН_значения!$AB$51</f>
        <v>0</v>
      </c>
      <c r="I61" s="176">
        <f>[1]ЕРН_значения!$AB$54</f>
        <v>0</v>
      </c>
      <c r="J61" s="176">
        <f>[1]ЕРН_значения!$AB$50</f>
        <v>0</v>
      </c>
      <c r="M61" s="310">
        <v>58</v>
      </c>
      <c r="N61" s="311"/>
      <c r="O61" s="427"/>
      <c r="P61" s="305">
        <f t="shared" si="0"/>
        <v>0</v>
      </c>
      <c r="Q61" s="145"/>
      <c r="R61" s="145"/>
      <c r="S61" s="145"/>
      <c r="T61" s="145"/>
      <c r="U61" s="145"/>
      <c r="V61" s="145"/>
      <c r="W61" s="145"/>
      <c r="X61" s="145"/>
      <c r="Z61" s="300">
        <v>58</v>
      </c>
      <c r="AA61" s="323"/>
      <c r="AB61" s="324"/>
    </row>
    <row r="62" spans="1:28" ht="15.75" x14ac:dyDescent="0.25">
      <c r="A62" s="170" t="str">
        <f t="shared" si="4"/>
        <v/>
      </c>
      <c r="B62" s="170" t="e">
        <f t="shared" si="5"/>
        <v>#VALUE!</v>
      </c>
      <c r="C62" s="176"/>
      <c r="D62" s="249" t="str">
        <f>RIGHT([1]ЕРН_значения!Z58,7)</f>
        <v/>
      </c>
      <c r="E62" s="253" t="e">
        <f t="shared" si="6"/>
        <v>#VALUE!</v>
      </c>
      <c r="F62" s="375">
        <f>VLOOKUP(ЕРН_значения!$J7,ЕРН_значения!C3:H9,4,0)</f>
        <v>16</v>
      </c>
      <c r="G62" s="176">
        <f>[1]ЕРН_значения!$AB$64</f>
        <v>0</v>
      </c>
      <c r="H62" s="176">
        <f>[1]ЕРН_значения!$AB$62</f>
        <v>0</v>
      </c>
      <c r="I62" s="176">
        <f>[1]ЕРН_значения!$AB$65</f>
        <v>0</v>
      </c>
      <c r="J62" s="176">
        <f>[1]ЕРН_значения!$AB$61</f>
        <v>0</v>
      </c>
      <c r="M62" s="310">
        <v>59</v>
      </c>
      <c r="N62" s="311"/>
      <c r="O62" s="427"/>
      <c r="P62" s="305">
        <f t="shared" si="0"/>
        <v>0</v>
      </c>
      <c r="Q62" s="145"/>
      <c r="R62" s="145"/>
      <c r="S62" s="145"/>
      <c r="T62" s="145"/>
      <c r="U62" s="145"/>
      <c r="V62" s="145"/>
      <c r="W62" s="145"/>
      <c r="X62" s="145"/>
      <c r="Z62" s="300">
        <v>59</v>
      </c>
      <c r="AA62" s="323"/>
      <c r="AB62" s="324"/>
    </row>
    <row r="63" spans="1:28" ht="16.5" thickBot="1" x14ac:dyDescent="0.3">
      <c r="A63" s="170" t="str">
        <f t="shared" si="4"/>
        <v/>
      </c>
      <c r="B63" s="170" t="e">
        <f t="shared" si="5"/>
        <v>#VALUE!</v>
      </c>
      <c r="C63" s="176"/>
      <c r="D63" s="249" t="str">
        <f>RIGHT([1]ЕРН_значения!Z67,7)</f>
        <v/>
      </c>
      <c r="E63" s="253" t="e">
        <f t="shared" si="6"/>
        <v>#VALUE!</v>
      </c>
      <c r="F63" s="375">
        <f>VLOOKUP(ЕРН_значения!$J7,ЕРН_значения!C3:H9,4,0)</f>
        <v>16</v>
      </c>
      <c r="G63" s="176">
        <f>[1]ЕРН_значения!$AB$73</f>
        <v>0</v>
      </c>
      <c r="H63" s="176">
        <f>[1]ЕРН_значения!$AB$71</f>
        <v>0</v>
      </c>
      <c r="I63" s="176">
        <f>[1]ЕРН_значения!$AB$74</f>
        <v>0</v>
      </c>
      <c r="J63" s="176">
        <f>[1]ЕРН_значения!$AB$70</f>
        <v>0</v>
      </c>
      <c r="M63" s="310">
        <v>60</v>
      </c>
      <c r="N63" s="311"/>
      <c r="O63" s="427"/>
      <c r="P63" s="305">
        <f t="shared" si="0"/>
        <v>0</v>
      </c>
      <c r="Q63" s="145"/>
      <c r="R63" s="145"/>
      <c r="S63" s="145"/>
      <c r="T63" s="145"/>
      <c r="U63" s="145"/>
      <c r="V63" s="145"/>
      <c r="W63" s="145"/>
      <c r="X63" s="145"/>
      <c r="Z63" s="300">
        <v>60</v>
      </c>
      <c r="AA63" s="325"/>
      <c r="AB63" s="326"/>
    </row>
    <row r="64" spans="1:28" ht="15.75" x14ac:dyDescent="0.25">
      <c r="A64" s="170" t="str">
        <f t="shared" si="4"/>
        <v/>
      </c>
      <c r="B64" s="170" t="e">
        <f t="shared" si="5"/>
        <v>#VALUE!</v>
      </c>
      <c r="C64" s="176"/>
      <c r="D64" s="249" t="str">
        <f>RIGHT([1]ЕРН_значения!Z76,7)</f>
        <v/>
      </c>
      <c r="E64" s="253" t="e">
        <f t="shared" si="6"/>
        <v>#VALUE!</v>
      </c>
      <c r="F64" s="375">
        <f>VLOOKUP(ЕРН_значения!$J7,ЕРН_значения!C3:H9,4,0)</f>
        <v>16</v>
      </c>
      <c r="G64" s="176">
        <f>[1]ЕРН_значения!$AB$82</f>
        <v>0</v>
      </c>
      <c r="H64" s="176">
        <f>[1]ЕРН_значения!$AB$80</f>
        <v>0</v>
      </c>
      <c r="I64" s="176">
        <f>[1]ЕРН_значения!$AB$83</f>
        <v>0</v>
      </c>
      <c r="J64" s="176">
        <f>[1]ЕРН_значения!$AB$79</f>
        <v>0</v>
      </c>
      <c r="M64" s="310">
        <v>61</v>
      </c>
      <c r="N64" s="311"/>
      <c r="O64" s="427"/>
      <c r="P64" s="305">
        <f t="shared" si="0"/>
        <v>0</v>
      </c>
      <c r="Q64" s="145"/>
      <c r="R64" s="145"/>
      <c r="S64" s="145"/>
      <c r="T64" s="145"/>
      <c r="U64" s="145"/>
      <c r="V64" s="145"/>
      <c r="W64" s="145"/>
      <c r="X64" s="145"/>
    </row>
    <row r="65" spans="1:24" ht="15.75" x14ac:dyDescent="0.25">
      <c r="A65" s="170" t="str">
        <f t="shared" si="4"/>
        <v/>
      </c>
      <c r="B65" s="170" t="e">
        <f t="shared" si="5"/>
        <v>#VALUE!</v>
      </c>
      <c r="C65" s="176"/>
      <c r="D65" s="249" t="str">
        <f>RIGHT([1]ЕРН_значения!Z85,7)</f>
        <v/>
      </c>
      <c r="E65" s="253" t="e">
        <f t="shared" si="6"/>
        <v>#VALUE!</v>
      </c>
      <c r="F65" s="375">
        <f>VLOOKUP(ЕРН_значения!$J7,ЕРН_значения!C3:H9,4,0)</f>
        <v>16</v>
      </c>
      <c r="G65" s="176">
        <f>[1]ЕРН_значения!$AB$91</f>
        <v>0</v>
      </c>
      <c r="H65" s="176">
        <f>[1]ЕРН_значения!$AB$89</f>
        <v>0</v>
      </c>
      <c r="I65" s="176">
        <f>[1]ЕРН_значения!$AB$92</f>
        <v>0</v>
      </c>
      <c r="J65" s="176">
        <f>[1]ЕРН_значения!$AB$88</f>
        <v>0</v>
      </c>
      <c r="M65" s="310">
        <v>62</v>
      </c>
      <c r="N65" s="311"/>
      <c r="O65" s="427"/>
      <c r="P65" s="305">
        <f t="shared" si="0"/>
        <v>0</v>
      </c>
      <c r="Q65" s="145"/>
      <c r="R65" s="145"/>
      <c r="S65" s="145"/>
      <c r="T65" s="145"/>
      <c r="U65" s="145"/>
      <c r="V65" s="145"/>
      <c r="W65" s="145"/>
      <c r="X65" s="145"/>
    </row>
    <row r="66" spans="1:24" ht="15.75" x14ac:dyDescent="0.25">
      <c r="A66" s="170" t="str">
        <f t="shared" si="4"/>
        <v/>
      </c>
      <c r="B66" s="170" t="e">
        <f t="shared" si="5"/>
        <v>#VALUE!</v>
      </c>
      <c r="C66" s="176"/>
      <c r="D66" s="249" t="str">
        <f>RIGHT([1]ЕРН_значения!Z94,7)</f>
        <v/>
      </c>
      <c r="E66" s="253" t="e">
        <f t="shared" si="6"/>
        <v>#VALUE!</v>
      </c>
      <c r="F66" s="375">
        <f>VLOOKUP(ЕРН_значения!$J7,ЕРН_значения!C3:H9,4,0)</f>
        <v>16</v>
      </c>
      <c r="G66" s="176">
        <f>[1]ЕРН_значения!$AB$100</f>
        <v>0</v>
      </c>
      <c r="H66" s="176">
        <f>[1]ЕРН_значения!$AB$98</f>
        <v>0</v>
      </c>
      <c r="I66" s="176">
        <f>[1]ЕРН_значения!$AB$101</f>
        <v>0</v>
      </c>
      <c r="J66" s="176">
        <f>[1]ЕРН_значения!$AB$97</f>
        <v>0</v>
      </c>
      <c r="M66" s="310">
        <v>63</v>
      </c>
      <c r="N66" s="311"/>
      <c r="O66" s="427"/>
      <c r="P66" s="305">
        <f t="shared" si="0"/>
        <v>0</v>
      </c>
      <c r="Q66" s="145"/>
      <c r="R66" s="145"/>
      <c r="S66" s="145"/>
      <c r="T66" s="145"/>
      <c r="U66" s="145"/>
      <c r="V66" s="145"/>
      <c r="W66" s="145"/>
      <c r="X66" s="145"/>
    </row>
    <row r="67" spans="1:24" ht="15.75" x14ac:dyDescent="0.25">
      <c r="A67" s="170"/>
      <c r="B67" s="170"/>
      <c r="C67" s="176"/>
      <c r="D67" s="249" t="str">
        <f>RIGHT([1]ЕРН_значения!Z103,7)</f>
        <v/>
      </c>
      <c r="E67" s="254"/>
      <c r="F67" s="375">
        <f>VLOOKUP(ЕРН_значения!$J7,ЕРН_значения!C3:H9,4,0)</f>
        <v>16</v>
      </c>
      <c r="G67" s="176">
        <f>[1]ЕРН_значения!$AB$109</f>
        <v>0</v>
      </c>
      <c r="H67" s="176">
        <f>[1]ЕРН_значения!$AB$107</f>
        <v>0</v>
      </c>
      <c r="I67" s="176">
        <f>[1]ЕРН_значения!$AB$110</f>
        <v>0</v>
      </c>
      <c r="J67" s="176">
        <f>[1]ЕРН_значения!$AB$106</f>
        <v>0</v>
      </c>
      <c r="M67" s="310">
        <v>64</v>
      </c>
      <c r="N67" s="311"/>
      <c r="O67" s="427"/>
      <c r="P67" s="305">
        <f t="shared" si="0"/>
        <v>0</v>
      </c>
      <c r="Q67" s="145"/>
      <c r="R67" s="145"/>
      <c r="S67" s="145"/>
      <c r="T67" s="145"/>
      <c r="U67" s="145"/>
      <c r="V67" s="145"/>
      <c r="W67" s="145"/>
      <c r="X67" s="145"/>
    </row>
    <row r="68" spans="1:24" ht="15.75" x14ac:dyDescent="0.25">
      <c r="A68" s="170" t="str">
        <f>RIGHT(D68)</f>
        <v/>
      </c>
      <c r="B68" s="170" t="e">
        <f>A68+0</f>
        <v>#VALUE!</v>
      </c>
      <c r="C68" s="176"/>
      <c r="D68" s="249" t="str">
        <f>RIGHT([1]ЕРН_значения!AE2,7)</f>
        <v/>
      </c>
      <c r="E68" s="253" t="e">
        <f>IF(B68=1,$A$4,IF((B68=2),$A$5,IF((B68=3),$A$6,$A$7)))</f>
        <v>#VALUE!</v>
      </c>
      <c r="F68" s="375">
        <f>VLOOKUP(ЕРН_значения!$J7,ЕРН_значения!C3:H9,4,0)</f>
        <v>16</v>
      </c>
      <c r="G68" s="176">
        <f>[1]ЕРН_значения!$AG8</f>
        <v>0</v>
      </c>
      <c r="H68" s="176">
        <f>[1]ЕРН_значения!$AG6</f>
        <v>0</v>
      </c>
      <c r="I68" s="176">
        <f>[1]ЕРН_значения!$AG9</f>
        <v>0</v>
      </c>
      <c r="J68" s="176">
        <f>[1]ЕРН_значения!$AG5</f>
        <v>0</v>
      </c>
      <c r="M68" s="310">
        <v>65</v>
      </c>
      <c r="N68" s="311"/>
      <c r="O68" s="427"/>
      <c r="P68" s="305">
        <f t="shared" si="0"/>
        <v>0</v>
      </c>
      <c r="Q68" s="145"/>
      <c r="R68" s="145"/>
      <c r="S68" s="145"/>
      <c r="T68" s="145"/>
      <c r="U68" s="145"/>
      <c r="V68" s="145"/>
      <c r="W68" s="145"/>
      <c r="X68" s="145"/>
    </row>
    <row r="69" spans="1:24" ht="15.75" x14ac:dyDescent="0.25">
      <c r="A69" s="170" t="str">
        <f t="shared" ref="A69:A78" si="7">RIGHT(D69)</f>
        <v/>
      </c>
      <c r="B69" s="170" t="e">
        <f t="shared" ref="B69:B78" si="8">A69+0</f>
        <v>#VALUE!</v>
      </c>
      <c r="C69" s="176"/>
      <c r="D69" s="249" t="str">
        <f>RIGHT([1]ЕРН_значения!AE11,7)</f>
        <v/>
      </c>
      <c r="E69" s="253" t="e">
        <f t="shared" ref="E69:E78" si="9">IF(B69=1,$A$4,IF((B69=2),$A$5,IF((B69=3),$A$6,$A$7)))</f>
        <v>#VALUE!</v>
      </c>
      <c r="F69" s="375">
        <f>VLOOKUP(ЕРН_значения!$J7,ЕРН_значения!C3:H9,4,0)</f>
        <v>16</v>
      </c>
      <c r="G69" s="176">
        <f>[1]ЕРН_значения!$AG17</f>
        <v>0</v>
      </c>
      <c r="H69" s="176">
        <f>[1]ЕРН_значения!$AG15</f>
        <v>0</v>
      </c>
      <c r="I69" s="176">
        <f>[1]ЕРН_значения!AG18</f>
        <v>0</v>
      </c>
      <c r="J69" s="176">
        <f>[1]ЕРН_значения!$AG14</f>
        <v>0</v>
      </c>
      <c r="M69" s="310">
        <v>66</v>
      </c>
      <c r="N69" s="311"/>
      <c r="O69" s="427"/>
      <c r="P69" s="305">
        <f t="shared" ref="P69:P132" si="10">N69+O69</f>
        <v>0</v>
      </c>
      <c r="Q69" s="145"/>
      <c r="R69" s="145"/>
      <c r="S69" s="145"/>
      <c r="T69" s="145"/>
      <c r="U69" s="145"/>
      <c r="V69" s="145"/>
      <c r="W69" s="145"/>
      <c r="X69" s="145"/>
    </row>
    <row r="70" spans="1:24" ht="15.75" x14ac:dyDescent="0.25">
      <c r="A70" s="170" t="str">
        <f t="shared" si="7"/>
        <v/>
      </c>
      <c r="B70" s="170" t="e">
        <f t="shared" si="8"/>
        <v>#VALUE!</v>
      </c>
      <c r="C70" s="176"/>
      <c r="D70" s="249" t="str">
        <f>RIGHT([1]ЕРН_значения!AE20,7)</f>
        <v/>
      </c>
      <c r="E70" s="253" t="e">
        <f t="shared" si="9"/>
        <v>#VALUE!</v>
      </c>
      <c r="F70" s="375">
        <f>VLOOKUP(ЕРН_значения!$J7,ЕРН_значения!C3:H9,4,0)</f>
        <v>16</v>
      </c>
      <c r="G70" s="176">
        <f>[1]ЕРН_значения!$AG26</f>
        <v>0</v>
      </c>
      <c r="H70" s="176">
        <f>[1]ЕРН_значения!$AG24</f>
        <v>0</v>
      </c>
      <c r="I70" s="176">
        <f>[1]ЕРН_значения!AG27</f>
        <v>0</v>
      </c>
      <c r="J70" s="176">
        <f>[1]ЕРН_значения!$AG23</f>
        <v>0</v>
      </c>
      <c r="M70" s="310">
        <v>67</v>
      </c>
      <c r="N70" s="311"/>
      <c r="O70" s="427"/>
      <c r="P70" s="305">
        <f t="shared" si="10"/>
        <v>0</v>
      </c>
      <c r="Q70" s="145"/>
      <c r="R70" s="145"/>
      <c r="S70" s="145"/>
      <c r="T70" s="145"/>
      <c r="U70" s="145"/>
      <c r="V70" s="145"/>
      <c r="W70" s="145"/>
      <c r="X70" s="145"/>
    </row>
    <row r="71" spans="1:24" ht="15.75" x14ac:dyDescent="0.25">
      <c r="A71" s="170" t="str">
        <f t="shared" si="7"/>
        <v/>
      </c>
      <c r="B71" s="170" t="e">
        <f t="shared" si="8"/>
        <v>#VALUE!</v>
      </c>
      <c r="C71" s="176"/>
      <c r="D71" s="249" t="str">
        <f>RIGHT([1]ЕРН_значения!AE29,7)</f>
        <v/>
      </c>
      <c r="E71" s="253" t="e">
        <f t="shared" si="9"/>
        <v>#VALUE!</v>
      </c>
      <c r="F71" s="375">
        <f>VLOOKUP(ЕРН_значения!$J7,ЕРН_значения!C3:H9,4,0)</f>
        <v>16</v>
      </c>
      <c r="G71" s="176">
        <f>[1]ЕРН_значения!$AG35</f>
        <v>0</v>
      </c>
      <c r="H71" s="176">
        <f>[1]ЕРН_значения!$AG33</f>
        <v>0</v>
      </c>
      <c r="I71" s="176">
        <f>[1]ЕРН_значения!$AG36</f>
        <v>0</v>
      </c>
      <c r="J71" s="176">
        <f>[1]ЕРН_значения!$AG32</f>
        <v>0</v>
      </c>
      <c r="M71" s="310">
        <v>68</v>
      </c>
      <c r="N71" s="311"/>
      <c r="O71" s="427"/>
      <c r="P71" s="305">
        <f t="shared" si="10"/>
        <v>0</v>
      </c>
      <c r="Q71" s="145"/>
      <c r="R71" s="145"/>
      <c r="S71" s="145"/>
      <c r="T71" s="145"/>
      <c r="U71" s="145"/>
      <c r="V71" s="145"/>
      <c r="W71" s="145"/>
      <c r="X71" s="145"/>
    </row>
    <row r="72" spans="1:24" ht="15.75" x14ac:dyDescent="0.25">
      <c r="A72" s="170" t="str">
        <f t="shared" si="7"/>
        <v/>
      </c>
      <c r="B72" s="170" t="e">
        <f t="shared" si="8"/>
        <v>#VALUE!</v>
      </c>
      <c r="C72" s="176"/>
      <c r="D72" s="249" t="str">
        <f>RIGHT([1]ЕРН_значения!AE38,7)</f>
        <v/>
      </c>
      <c r="E72" s="253" t="e">
        <f t="shared" si="9"/>
        <v>#VALUE!</v>
      </c>
      <c r="F72" s="375">
        <f>VLOOKUP(ЕРН_значения!$J7,ЕРН_значения!C3:H9,4,0)</f>
        <v>16</v>
      </c>
      <c r="G72" s="176">
        <f>[1]ЕРН_значения!$AG44</f>
        <v>0</v>
      </c>
      <c r="H72" s="176">
        <f>[1]ЕРН_значения!$AG42</f>
        <v>0</v>
      </c>
      <c r="I72" s="176">
        <f>[1]ЕРН_значения!$AG45</f>
        <v>0</v>
      </c>
      <c r="J72" s="176">
        <f>[1]ЕРН_значения!$AG41</f>
        <v>0</v>
      </c>
      <c r="M72" s="310">
        <v>69</v>
      </c>
      <c r="N72" s="311"/>
      <c r="O72" s="427"/>
      <c r="P72" s="305">
        <f t="shared" si="10"/>
        <v>0</v>
      </c>
      <c r="Q72" s="145"/>
      <c r="R72" s="145"/>
      <c r="S72" s="145"/>
      <c r="T72" s="145"/>
      <c r="U72" s="145"/>
      <c r="V72" s="145"/>
      <c r="W72" s="145"/>
      <c r="X72" s="145"/>
    </row>
    <row r="73" spans="1:24" ht="15.75" x14ac:dyDescent="0.25">
      <c r="A73" s="170" t="str">
        <f t="shared" si="7"/>
        <v/>
      </c>
      <c r="B73" s="170" t="e">
        <f t="shared" si="8"/>
        <v>#VALUE!</v>
      </c>
      <c r="C73" s="176"/>
      <c r="D73" s="249" t="str">
        <f>RIGHT([1]ЕРН_значения!AE47,7)</f>
        <v/>
      </c>
      <c r="E73" s="253" t="e">
        <f t="shared" si="9"/>
        <v>#VALUE!</v>
      </c>
      <c r="F73" s="375">
        <f>VLOOKUP(ЕРН_значения!$J7,ЕРН_значения!C3:H9,4,0)</f>
        <v>16</v>
      </c>
      <c r="G73" s="176">
        <f>[1]ЕРН_значения!$AG$53</f>
        <v>0</v>
      </c>
      <c r="H73" s="176">
        <f>[1]ЕРН_значения!$AG$51</f>
        <v>0</v>
      </c>
      <c r="I73" s="176">
        <f>[1]ЕРН_значения!$AG$54</f>
        <v>0</v>
      </c>
      <c r="J73" s="176">
        <f>[1]ЕРН_значения!$AG$50</f>
        <v>0</v>
      </c>
      <c r="M73" s="310">
        <v>70</v>
      </c>
      <c r="N73" s="311"/>
      <c r="O73" s="427"/>
      <c r="P73" s="305">
        <f t="shared" si="10"/>
        <v>0</v>
      </c>
      <c r="Q73" s="145"/>
      <c r="R73" s="145"/>
      <c r="S73" s="145"/>
      <c r="T73" s="145"/>
      <c r="U73" s="145"/>
      <c r="V73" s="145"/>
      <c r="W73" s="145"/>
      <c r="X73" s="145"/>
    </row>
    <row r="74" spans="1:24" ht="15.75" x14ac:dyDescent="0.25">
      <c r="A74" s="170" t="str">
        <f t="shared" si="7"/>
        <v/>
      </c>
      <c r="B74" s="170" t="e">
        <f t="shared" si="8"/>
        <v>#VALUE!</v>
      </c>
      <c r="C74" s="176"/>
      <c r="D74" s="249" t="str">
        <f>RIGHT([1]ЕРН_значения!AE58,7)</f>
        <v/>
      </c>
      <c r="E74" s="253" t="e">
        <f t="shared" si="9"/>
        <v>#VALUE!</v>
      </c>
      <c r="F74" s="375">
        <f>VLOOKUP(ЕРН_значения!$J7,ЕРН_значения!C3:H9,4,0)</f>
        <v>16</v>
      </c>
      <c r="G74" s="176">
        <f>[1]ЕРН_значения!$AG$64</f>
        <v>0</v>
      </c>
      <c r="H74" s="176">
        <f>[1]ЕРН_значения!$AG$62</f>
        <v>0</v>
      </c>
      <c r="I74" s="176">
        <f>[1]ЕРН_значения!$AG$65</f>
        <v>0</v>
      </c>
      <c r="J74" s="176">
        <f>[1]ЕРН_значения!$AG$61</f>
        <v>0</v>
      </c>
      <c r="M74" s="310">
        <v>71</v>
      </c>
      <c r="N74" s="311"/>
      <c r="O74" s="427"/>
      <c r="P74" s="305">
        <f t="shared" si="10"/>
        <v>0</v>
      </c>
      <c r="Q74" s="145"/>
      <c r="R74" s="145"/>
      <c r="S74" s="145"/>
      <c r="T74" s="145"/>
      <c r="U74" s="145"/>
      <c r="V74" s="145"/>
      <c r="W74" s="145"/>
      <c r="X74" s="145"/>
    </row>
    <row r="75" spans="1:24" ht="15.75" x14ac:dyDescent="0.25">
      <c r="A75" s="170" t="str">
        <f t="shared" si="7"/>
        <v/>
      </c>
      <c r="B75" s="170" t="e">
        <f t="shared" si="8"/>
        <v>#VALUE!</v>
      </c>
      <c r="C75" s="176"/>
      <c r="D75" s="249" t="str">
        <f>RIGHT([1]ЕРН_значения!AE67,7)</f>
        <v/>
      </c>
      <c r="E75" s="253" t="e">
        <f t="shared" si="9"/>
        <v>#VALUE!</v>
      </c>
      <c r="F75" s="375">
        <f>VLOOKUP(ЕРН_значения!$J7,ЕРН_значения!C3:H9,4,0)</f>
        <v>16</v>
      </c>
      <c r="G75" s="176">
        <f>[1]ЕРН_значения!$AG$73</f>
        <v>0</v>
      </c>
      <c r="H75" s="176">
        <f>[1]ЕРН_значения!$AG$71</f>
        <v>0</v>
      </c>
      <c r="I75" s="176">
        <f>[1]ЕРН_значения!$AG$74</f>
        <v>0</v>
      </c>
      <c r="J75" s="176">
        <f>[1]ЕРН_значения!$AG$70</f>
        <v>0</v>
      </c>
      <c r="M75" s="310">
        <v>72</v>
      </c>
      <c r="N75" s="311"/>
      <c r="O75" s="427"/>
      <c r="P75" s="305">
        <f t="shared" si="10"/>
        <v>0</v>
      </c>
      <c r="Q75" s="145"/>
      <c r="R75" s="145"/>
      <c r="S75" s="145"/>
      <c r="T75" s="145"/>
      <c r="U75" s="145"/>
      <c r="V75" s="145"/>
      <c r="W75" s="145"/>
      <c r="X75" s="145"/>
    </row>
    <row r="76" spans="1:24" ht="15.75" x14ac:dyDescent="0.25">
      <c r="A76" s="170" t="str">
        <f t="shared" si="7"/>
        <v/>
      </c>
      <c r="B76" s="170" t="e">
        <f t="shared" si="8"/>
        <v>#VALUE!</v>
      </c>
      <c r="C76" s="176"/>
      <c r="D76" s="249" t="str">
        <f>RIGHT([1]ЕРН_значения!AE76,7)</f>
        <v/>
      </c>
      <c r="E76" s="253" t="e">
        <f t="shared" si="9"/>
        <v>#VALUE!</v>
      </c>
      <c r="F76" s="375">
        <f>VLOOKUP(ЕРН_значения!$J7,ЕРН_значения!C3:H9,4,0)</f>
        <v>16</v>
      </c>
      <c r="G76" s="176">
        <f>[1]ЕРН_значения!$AG$82</f>
        <v>0</v>
      </c>
      <c r="H76" s="176">
        <f>[1]ЕРН_значения!$AG$80</f>
        <v>0</v>
      </c>
      <c r="I76" s="176">
        <f>[1]ЕРН_значения!$AG$83</f>
        <v>0</v>
      </c>
      <c r="J76" s="176">
        <f>[1]ЕРН_значения!$AG$79</f>
        <v>0</v>
      </c>
      <c r="M76" s="310">
        <v>73</v>
      </c>
      <c r="N76" s="311"/>
      <c r="O76" s="427"/>
      <c r="P76" s="305">
        <f t="shared" si="10"/>
        <v>0</v>
      </c>
      <c r="Q76" s="145"/>
      <c r="R76" s="145"/>
      <c r="S76" s="145"/>
      <c r="T76" s="145"/>
      <c r="U76" s="145"/>
      <c r="V76" s="145"/>
      <c r="W76" s="145"/>
      <c r="X76" s="145"/>
    </row>
    <row r="77" spans="1:24" ht="15.75" x14ac:dyDescent="0.25">
      <c r="A77" s="170" t="str">
        <f t="shared" si="7"/>
        <v/>
      </c>
      <c r="B77" s="170" t="e">
        <f t="shared" si="8"/>
        <v>#VALUE!</v>
      </c>
      <c r="C77" s="176"/>
      <c r="D77" s="249" t="str">
        <f>RIGHT([1]ЕРН_значения!AE85,7)</f>
        <v/>
      </c>
      <c r="E77" s="253" t="e">
        <f t="shared" si="9"/>
        <v>#VALUE!</v>
      </c>
      <c r="F77" s="375">
        <f>VLOOKUP(ЕРН_значения!$J7,ЕРН_значения!C3:H9,4,0)</f>
        <v>16</v>
      </c>
      <c r="G77" s="176">
        <f>[1]ЕРН_значения!$AG$91</f>
        <v>0</v>
      </c>
      <c r="H77" s="176">
        <f>[1]ЕРН_значения!$AG$89</f>
        <v>0</v>
      </c>
      <c r="I77" s="176">
        <f>[1]ЕРН_значения!$AG$92</f>
        <v>0</v>
      </c>
      <c r="J77" s="176">
        <f>[1]ЕРН_значения!$AG$88</f>
        <v>0</v>
      </c>
      <c r="M77" s="310">
        <v>74</v>
      </c>
      <c r="N77" s="311"/>
      <c r="O77" s="427"/>
      <c r="P77" s="305">
        <f t="shared" si="10"/>
        <v>0</v>
      </c>
      <c r="Q77" s="145"/>
      <c r="R77" s="145"/>
      <c r="S77" s="145"/>
      <c r="T77" s="145"/>
      <c r="U77" s="145"/>
      <c r="V77" s="145"/>
      <c r="W77" s="145"/>
      <c r="X77" s="145"/>
    </row>
    <row r="78" spans="1:24" ht="15.75" x14ac:dyDescent="0.25">
      <c r="A78" s="170" t="str">
        <f t="shared" si="7"/>
        <v/>
      </c>
      <c r="B78" s="170" t="e">
        <f t="shared" si="8"/>
        <v>#VALUE!</v>
      </c>
      <c r="C78" s="176"/>
      <c r="D78" s="249" t="str">
        <f>RIGHT([1]ЕРН_значения!AE94,7)</f>
        <v/>
      </c>
      <c r="E78" s="253" t="e">
        <f t="shared" si="9"/>
        <v>#VALUE!</v>
      </c>
      <c r="F78" s="375">
        <f>VLOOKUP(ЕРН_значения!$J7,ЕРН_значения!C3:H9,4,0)</f>
        <v>16</v>
      </c>
      <c r="G78" s="176">
        <f>[1]ЕРН_значения!$AG$100</f>
        <v>0</v>
      </c>
      <c r="H78" s="176">
        <f>[1]ЕРН_значения!$AG$98</f>
        <v>0</v>
      </c>
      <c r="I78" s="176">
        <f>[1]ЕРН_значения!$AG$101</f>
        <v>0</v>
      </c>
      <c r="J78" s="176">
        <f>[1]ЕРН_значения!$AG$97</f>
        <v>0</v>
      </c>
      <c r="M78" s="310">
        <v>75</v>
      </c>
      <c r="N78" s="311"/>
      <c r="O78" s="427"/>
      <c r="P78" s="305">
        <f t="shared" si="10"/>
        <v>0</v>
      </c>
      <c r="Q78" s="145"/>
      <c r="R78" s="145"/>
      <c r="S78" s="145"/>
      <c r="T78" s="145"/>
      <c r="U78" s="145"/>
      <c r="V78" s="145"/>
      <c r="W78" s="145"/>
      <c r="X78" s="145"/>
    </row>
    <row r="79" spans="1:24" ht="15.75" x14ac:dyDescent="0.25">
      <c r="A79" s="170"/>
      <c r="B79" s="170"/>
      <c r="C79" s="176"/>
      <c r="D79" s="249" t="str">
        <f>RIGHT([1]ЕРН_значения!AE103,7)</f>
        <v/>
      </c>
      <c r="E79" s="253" t="s">
        <v>187</v>
      </c>
      <c r="F79" s="375">
        <f>VLOOKUP(ЕРН_значения!$J7,ЕРН_значения!C3:H9,4,0)</f>
        <v>16</v>
      </c>
      <c r="G79" s="176">
        <f>[1]ЕРН_значения!$AG$109</f>
        <v>0</v>
      </c>
      <c r="H79" s="176">
        <f>[1]ЕРН_значения!$AG$107</f>
        <v>0</v>
      </c>
      <c r="I79" s="176">
        <f>[1]ЕРН_значения!$AG$110</f>
        <v>0</v>
      </c>
      <c r="J79" s="176">
        <f>[1]ЕРН_значения!$AG$106</f>
        <v>0</v>
      </c>
      <c r="M79" s="310">
        <v>76</v>
      </c>
      <c r="N79" s="311"/>
      <c r="O79" s="427"/>
      <c r="P79" s="305">
        <f t="shared" si="10"/>
        <v>0</v>
      </c>
      <c r="Q79" s="145"/>
      <c r="R79" s="145"/>
      <c r="S79" s="145"/>
      <c r="T79" s="145"/>
      <c r="U79" s="145"/>
      <c r="V79" s="145"/>
      <c r="W79" s="145"/>
      <c r="X79" s="145"/>
    </row>
    <row r="80" spans="1:24" x14ac:dyDescent="0.25">
      <c r="M80" s="310">
        <v>77</v>
      </c>
      <c r="N80" s="311"/>
      <c r="O80" s="427"/>
      <c r="P80" s="305">
        <f t="shared" si="10"/>
        <v>0</v>
      </c>
      <c r="Q80" s="145"/>
      <c r="R80" s="145"/>
      <c r="S80" s="145"/>
      <c r="T80" s="145"/>
      <c r="U80" s="145"/>
      <c r="V80" s="145"/>
      <c r="W80" s="145"/>
      <c r="X80" s="145"/>
    </row>
    <row r="81" spans="13:24" x14ac:dyDescent="0.25">
      <c r="M81" s="310">
        <v>78</v>
      </c>
      <c r="N81" s="311"/>
      <c r="O81" s="427"/>
      <c r="P81" s="305">
        <f t="shared" si="10"/>
        <v>0</v>
      </c>
      <c r="Q81" s="145"/>
      <c r="R81" s="145"/>
      <c r="S81" s="145"/>
      <c r="T81" s="145"/>
      <c r="U81" s="145"/>
      <c r="V81" s="145"/>
      <c r="W81" s="145"/>
      <c r="X81" s="145"/>
    </row>
    <row r="82" spans="13:24" x14ac:dyDescent="0.25">
      <c r="M82" s="310">
        <v>79</v>
      </c>
      <c r="N82" s="311"/>
      <c r="O82" s="427"/>
      <c r="P82" s="305">
        <f t="shared" si="10"/>
        <v>0</v>
      </c>
      <c r="Q82" s="145"/>
      <c r="R82" s="145"/>
      <c r="S82" s="145"/>
      <c r="T82" s="145"/>
      <c r="U82" s="145"/>
      <c r="V82" s="145"/>
      <c r="W82" s="145"/>
      <c r="X82" s="145"/>
    </row>
    <row r="83" spans="13:24" x14ac:dyDescent="0.25">
      <c r="M83" s="310">
        <v>80</v>
      </c>
      <c r="N83" s="311"/>
      <c r="O83" s="427"/>
      <c r="P83" s="305">
        <f t="shared" si="10"/>
        <v>0</v>
      </c>
      <c r="Q83" s="145"/>
      <c r="R83" s="145"/>
      <c r="S83" s="145"/>
      <c r="T83" s="145"/>
      <c r="U83" s="145"/>
      <c r="V83" s="145"/>
      <c r="W83" s="145"/>
      <c r="X83" s="145"/>
    </row>
    <row r="84" spans="13:24" x14ac:dyDescent="0.25">
      <c r="M84" s="310">
        <v>81</v>
      </c>
      <c r="N84" s="311"/>
      <c r="O84" s="427"/>
      <c r="P84" s="305">
        <f t="shared" si="10"/>
        <v>0</v>
      </c>
      <c r="Q84" s="145"/>
      <c r="R84" s="145"/>
      <c r="S84" s="145"/>
      <c r="T84" s="145"/>
      <c r="U84" s="145"/>
      <c r="V84" s="145"/>
      <c r="W84" s="145"/>
      <c r="X84" s="145"/>
    </row>
    <row r="85" spans="13:24" x14ac:dyDescent="0.25">
      <c r="M85" s="310">
        <v>82</v>
      </c>
      <c r="N85" s="311"/>
      <c r="O85" s="427"/>
      <c r="P85" s="305">
        <f t="shared" si="10"/>
        <v>0</v>
      </c>
      <c r="Q85" s="145"/>
      <c r="R85" s="145"/>
      <c r="S85" s="145"/>
      <c r="T85" s="145"/>
      <c r="U85" s="145"/>
      <c r="V85" s="145"/>
      <c r="W85" s="145"/>
      <c r="X85" s="145"/>
    </row>
    <row r="86" spans="13:24" x14ac:dyDescent="0.25">
      <c r="M86" s="310">
        <v>83</v>
      </c>
      <c r="N86" s="311"/>
      <c r="O86" s="427"/>
      <c r="P86" s="305">
        <f t="shared" si="10"/>
        <v>0</v>
      </c>
      <c r="Q86" s="145"/>
      <c r="R86" s="145"/>
      <c r="S86" s="145"/>
      <c r="T86" s="145"/>
      <c r="U86" s="145"/>
      <c r="V86" s="145"/>
      <c r="W86" s="145"/>
      <c r="X86" s="145"/>
    </row>
    <row r="87" spans="13:24" x14ac:dyDescent="0.25">
      <c r="M87" s="310">
        <v>84</v>
      </c>
      <c r="N87" s="311"/>
      <c r="O87" s="427"/>
      <c r="P87" s="305">
        <f t="shared" si="10"/>
        <v>0</v>
      </c>
      <c r="Q87" s="145"/>
      <c r="R87" s="145"/>
      <c r="S87" s="145"/>
      <c r="T87" s="145"/>
      <c r="U87" s="145"/>
      <c r="V87" s="145"/>
      <c r="W87" s="145"/>
      <c r="X87" s="145"/>
    </row>
    <row r="88" spans="13:24" x14ac:dyDescent="0.25">
      <c r="M88" s="310">
        <v>85</v>
      </c>
      <c r="N88" s="311"/>
      <c r="O88" s="427"/>
      <c r="P88" s="305">
        <f t="shared" si="10"/>
        <v>0</v>
      </c>
      <c r="Q88" s="145"/>
      <c r="R88" s="145"/>
      <c r="S88" s="145"/>
      <c r="T88" s="145"/>
      <c r="U88" s="145"/>
      <c r="V88" s="145"/>
      <c r="W88" s="145"/>
      <c r="X88" s="145"/>
    </row>
    <row r="89" spans="13:24" x14ac:dyDescent="0.25">
      <c r="M89" s="310">
        <v>86</v>
      </c>
      <c r="N89" s="311"/>
      <c r="O89" s="427"/>
      <c r="P89" s="305">
        <f t="shared" si="10"/>
        <v>0</v>
      </c>
      <c r="Q89" s="145"/>
      <c r="R89" s="145"/>
      <c r="S89" s="145"/>
      <c r="T89" s="145"/>
      <c r="U89" s="145"/>
      <c r="V89" s="145"/>
      <c r="W89" s="145"/>
      <c r="X89" s="145"/>
    </row>
    <row r="90" spans="13:24" x14ac:dyDescent="0.25">
      <c r="M90" s="310">
        <v>87</v>
      </c>
      <c r="N90" s="311"/>
      <c r="O90" s="427"/>
      <c r="P90" s="305">
        <f t="shared" si="10"/>
        <v>0</v>
      </c>
      <c r="Q90" s="145"/>
      <c r="R90" s="145"/>
      <c r="S90" s="145"/>
      <c r="T90" s="145"/>
      <c r="U90" s="145"/>
      <c r="V90" s="145"/>
      <c r="W90" s="145"/>
      <c r="X90" s="145"/>
    </row>
    <row r="91" spans="13:24" x14ac:dyDescent="0.25">
      <c r="M91" s="310">
        <v>88</v>
      </c>
      <c r="N91" s="311"/>
      <c r="O91" s="427"/>
      <c r="P91" s="305">
        <f t="shared" si="10"/>
        <v>0</v>
      </c>
      <c r="Q91" s="145"/>
      <c r="R91" s="145"/>
      <c r="S91" s="145"/>
      <c r="T91" s="145"/>
      <c r="U91" s="145"/>
      <c r="V91" s="145"/>
      <c r="W91" s="145"/>
      <c r="X91" s="145"/>
    </row>
    <row r="92" spans="13:24" x14ac:dyDescent="0.25">
      <c r="M92" s="310">
        <v>89</v>
      </c>
      <c r="N92" s="311"/>
      <c r="O92" s="427"/>
      <c r="P92" s="305">
        <f t="shared" si="10"/>
        <v>0</v>
      </c>
      <c r="Q92" s="145"/>
      <c r="R92" s="145"/>
      <c r="S92" s="145"/>
      <c r="T92" s="145"/>
      <c r="U92" s="145"/>
      <c r="V92" s="145"/>
      <c r="W92" s="145"/>
      <c r="X92" s="145"/>
    </row>
    <row r="93" spans="13:24" x14ac:dyDescent="0.25">
      <c r="M93" s="310">
        <v>90</v>
      </c>
      <c r="N93" s="311"/>
      <c r="O93" s="427"/>
      <c r="P93" s="305">
        <f t="shared" si="10"/>
        <v>0</v>
      </c>
      <c r="Q93" s="145"/>
      <c r="R93" s="145"/>
      <c r="S93" s="145"/>
      <c r="T93" s="145"/>
      <c r="U93" s="145"/>
      <c r="V93" s="145"/>
      <c r="W93" s="145"/>
      <c r="X93" s="145"/>
    </row>
    <row r="94" spans="13:24" x14ac:dyDescent="0.25">
      <c r="M94" s="310">
        <v>91</v>
      </c>
      <c r="N94" s="311"/>
      <c r="O94" s="427"/>
      <c r="P94" s="305">
        <f t="shared" si="10"/>
        <v>0</v>
      </c>
      <c r="Q94" s="145"/>
      <c r="R94" s="145"/>
      <c r="S94" s="145"/>
      <c r="T94" s="145"/>
      <c r="U94" s="145"/>
      <c r="V94" s="145"/>
      <c r="W94" s="145"/>
      <c r="X94" s="145"/>
    </row>
    <row r="95" spans="13:24" x14ac:dyDescent="0.25">
      <c r="M95" s="310">
        <v>92</v>
      </c>
      <c r="N95" s="311"/>
      <c r="O95" s="427"/>
      <c r="P95" s="305">
        <f t="shared" si="10"/>
        <v>0</v>
      </c>
      <c r="Q95" s="145"/>
      <c r="R95" s="145"/>
      <c r="S95" s="145"/>
      <c r="T95" s="145"/>
      <c r="U95" s="145"/>
      <c r="V95" s="145"/>
      <c r="W95" s="145"/>
      <c r="X95" s="145"/>
    </row>
    <row r="96" spans="13:24" x14ac:dyDescent="0.25">
      <c r="M96" s="310">
        <v>93</v>
      </c>
      <c r="N96" s="311"/>
      <c r="O96" s="427"/>
      <c r="P96" s="305">
        <f t="shared" si="10"/>
        <v>0</v>
      </c>
      <c r="Q96" s="145"/>
      <c r="R96" s="145"/>
      <c r="S96" s="145"/>
      <c r="T96" s="145"/>
      <c r="U96" s="145"/>
      <c r="V96" s="145"/>
      <c r="W96" s="145"/>
      <c r="X96" s="145"/>
    </row>
    <row r="97" spans="13:24" x14ac:dyDescent="0.25">
      <c r="M97" s="310">
        <v>94</v>
      </c>
      <c r="N97" s="311"/>
      <c r="O97" s="427"/>
      <c r="P97" s="305">
        <f t="shared" si="10"/>
        <v>0</v>
      </c>
      <c r="Q97" s="145"/>
      <c r="R97" s="145"/>
      <c r="S97" s="145"/>
      <c r="T97" s="145"/>
      <c r="U97" s="145"/>
      <c r="V97" s="145"/>
      <c r="W97" s="145"/>
      <c r="X97" s="145"/>
    </row>
    <row r="98" spans="13:24" x14ac:dyDescent="0.25">
      <c r="M98" s="310">
        <v>95</v>
      </c>
      <c r="N98" s="311"/>
      <c r="O98" s="427"/>
      <c r="P98" s="305">
        <f t="shared" si="10"/>
        <v>0</v>
      </c>
      <c r="Q98" s="145"/>
      <c r="R98" s="145"/>
      <c r="S98" s="145"/>
      <c r="T98" s="145"/>
      <c r="U98" s="145"/>
      <c r="V98" s="145"/>
      <c r="W98" s="145"/>
      <c r="X98" s="145"/>
    </row>
    <row r="99" spans="13:24" x14ac:dyDescent="0.25">
      <c r="M99" s="310">
        <v>96</v>
      </c>
      <c r="N99" s="311"/>
      <c r="O99" s="427"/>
      <c r="P99" s="305">
        <f t="shared" si="10"/>
        <v>0</v>
      </c>
      <c r="Q99" s="145"/>
      <c r="R99" s="145"/>
      <c r="S99" s="145"/>
      <c r="T99" s="145"/>
      <c r="U99" s="145"/>
      <c r="V99" s="145"/>
      <c r="W99" s="145"/>
      <c r="X99" s="145"/>
    </row>
    <row r="100" spans="13:24" x14ac:dyDescent="0.25">
      <c r="M100" s="310">
        <v>97</v>
      </c>
      <c r="N100" s="311"/>
      <c r="O100" s="427"/>
      <c r="P100" s="305">
        <f t="shared" si="10"/>
        <v>0</v>
      </c>
      <c r="Q100" s="145"/>
      <c r="R100" s="145"/>
      <c r="S100" s="145"/>
      <c r="T100" s="145"/>
      <c r="U100" s="145"/>
      <c r="V100" s="145"/>
      <c r="W100" s="145"/>
      <c r="X100" s="145"/>
    </row>
    <row r="101" spans="13:24" x14ac:dyDescent="0.25">
      <c r="M101" s="310">
        <v>98</v>
      </c>
      <c r="N101" s="311"/>
      <c r="O101" s="427"/>
      <c r="P101" s="305">
        <f t="shared" si="10"/>
        <v>0</v>
      </c>
      <c r="Q101" s="145"/>
      <c r="R101" s="145"/>
      <c r="S101" s="145"/>
      <c r="T101" s="145"/>
      <c r="U101" s="145"/>
      <c r="V101" s="145"/>
      <c r="W101" s="145"/>
      <c r="X101" s="145"/>
    </row>
    <row r="102" spans="13:24" x14ac:dyDescent="0.25">
      <c r="M102" s="310">
        <v>99</v>
      </c>
      <c r="N102" s="311"/>
      <c r="O102" s="427"/>
      <c r="P102" s="305">
        <f t="shared" si="10"/>
        <v>0</v>
      </c>
      <c r="Q102" s="145"/>
      <c r="R102" s="145"/>
      <c r="S102" s="145"/>
      <c r="T102" s="145"/>
      <c r="U102" s="145"/>
      <c r="V102" s="145"/>
      <c r="W102" s="145"/>
      <c r="X102" s="145"/>
    </row>
    <row r="103" spans="13:24" x14ac:dyDescent="0.25">
      <c r="M103" s="310">
        <v>100</v>
      </c>
      <c r="N103" s="311"/>
      <c r="O103" s="427"/>
      <c r="P103" s="305">
        <f t="shared" si="10"/>
        <v>0</v>
      </c>
      <c r="Q103" s="145"/>
      <c r="R103" s="145"/>
      <c r="S103" s="145"/>
      <c r="T103" s="145"/>
      <c r="U103" s="145"/>
      <c r="V103" s="145"/>
      <c r="W103" s="145"/>
      <c r="X103" s="145"/>
    </row>
    <row r="104" spans="13:24" x14ac:dyDescent="0.25">
      <c r="M104" s="310">
        <v>101</v>
      </c>
      <c r="N104" s="311"/>
      <c r="O104" s="427"/>
      <c r="P104" s="305">
        <f t="shared" si="10"/>
        <v>0</v>
      </c>
      <c r="Q104" s="145"/>
      <c r="R104" s="145"/>
      <c r="S104" s="145"/>
      <c r="T104" s="145"/>
      <c r="U104" s="145"/>
      <c r="V104" s="145"/>
      <c r="W104" s="145"/>
      <c r="X104" s="145"/>
    </row>
    <row r="105" spans="13:24" x14ac:dyDescent="0.25">
      <c r="M105" s="310">
        <v>102</v>
      </c>
      <c r="N105" s="311"/>
      <c r="O105" s="427"/>
      <c r="P105" s="305">
        <f t="shared" si="10"/>
        <v>0</v>
      </c>
      <c r="Q105" s="145"/>
      <c r="R105" s="145"/>
      <c r="S105" s="145"/>
      <c r="T105" s="145"/>
      <c r="U105" s="145"/>
      <c r="V105" s="145"/>
      <c r="W105" s="145"/>
      <c r="X105" s="145"/>
    </row>
    <row r="106" spans="13:24" x14ac:dyDescent="0.25">
      <c r="M106" s="310">
        <v>103</v>
      </c>
      <c r="N106" s="311"/>
      <c r="O106" s="427"/>
      <c r="P106" s="305">
        <f t="shared" si="10"/>
        <v>0</v>
      </c>
      <c r="Q106" s="145"/>
      <c r="R106" s="145"/>
      <c r="S106" s="145"/>
      <c r="T106" s="145"/>
      <c r="U106" s="145"/>
      <c r="V106" s="145"/>
      <c r="W106" s="145"/>
      <c r="X106" s="145"/>
    </row>
    <row r="107" spans="13:24" x14ac:dyDescent="0.25">
      <c r="M107" s="310">
        <v>104</v>
      </c>
      <c r="N107" s="311"/>
      <c r="O107" s="427"/>
      <c r="P107" s="305">
        <f t="shared" si="10"/>
        <v>0</v>
      </c>
      <c r="Q107" s="145"/>
      <c r="R107" s="145"/>
      <c r="S107" s="145"/>
      <c r="T107" s="145"/>
      <c r="U107" s="145"/>
      <c r="V107" s="145"/>
      <c r="W107" s="145"/>
      <c r="X107" s="145"/>
    </row>
    <row r="108" spans="13:24" x14ac:dyDescent="0.25">
      <c r="M108" s="310">
        <v>105</v>
      </c>
      <c r="N108" s="311"/>
      <c r="O108" s="427"/>
      <c r="P108" s="305">
        <f t="shared" si="10"/>
        <v>0</v>
      </c>
      <c r="Q108" s="145"/>
      <c r="R108" s="145"/>
      <c r="S108" s="145"/>
      <c r="T108" s="145"/>
      <c r="U108" s="145"/>
      <c r="V108" s="145"/>
      <c r="W108" s="145"/>
      <c r="X108" s="145"/>
    </row>
    <row r="109" spans="13:24" x14ac:dyDescent="0.25">
      <c r="M109" s="310">
        <v>106</v>
      </c>
      <c r="N109" s="311"/>
      <c r="O109" s="427"/>
      <c r="P109" s="305">
        <f t="shared" si="10"/>
        <v>0</v>
      </c>
      <c r="Q109" s="145"/>
      <c r="R109" s="145"/>
      <c r="S109" s="145"/>
      <c r="T109" s="145"/>
      <c r="U109" s="145"/>
      <c r="V109" s="145"/>
      <c r="W109" s="145"/>
      <c r="X109" s="145"/>
    </row>
    <row r="110" spans="13:24" x14ac:dyDescent="0.25">
      <c r="M110" s="310">
        <v>107</v>
      </c>
      <c r="N110" s="311"/>
      <c r="O110" s="427"/>
      <c r="P110" s="305">
        <f t="shared" si="10"/>
        <v>0</v>
      </c>
      <c r="Q110" s="145"/>
      <c r="R110" s="145"/>
      <c r="S110" s="145"/>
      <c r="T110" s="145"/>
      <c r="U110" s="145"/>
      <c r="V110" s="145"/>
      <c r="W110" s="145"/>
      <c r="X110" s="145"/>
    </row>
    <row r="111" spans="13:24" x14ac:dyDescent="0.25">
      <c r="M111" s="310">
        <v>108</v>
      </c>
      <c r="N111" s="311"/>
      <c r="O111" s="427"/>
      <c r="P111" s="305">
        <f t="shared" si="10"/>
        <v>0</v>
      </c>
      <c r="Q111" s="145"/>
      <c r="R111" s="145"/>
      <c r="S111" s="145"/>
      <c r="T111" s="145"/>
      <c r="U111" s="145"/>
      <c r="V111" s="145"/>
      <c r="W111" s="145"/>
      <c r="X111" s="145"/>
    </row>
    <row r="112" spans="13:24" x14ac:dyDescent="0.25">
      <c r="M112" s="310">
        <v>109</v>
      </c>
      <c r="N112" s="311"/>
      <c r="O112" s="427"/>
      <c r="P112" s="305">
        <f t="shared" si="10"/>
        <v>0</v>
      </c>
      <c r="Q112" s="145"/>
      <c r="R112" s="145"/>
      <c r="S112" s="145"/>
      <c r="T112" s="145"/>
      <c r="U112" s="145"/>
      <c r="V112" s="145"/>
      <c r="W112" s="145"/>
      <c r="X112" s="145"/>
    </row>
    <row r="113" spans="13:24" x14ac:dyDescent="0.25">
      <c r="M113" s="310">
        <v>110</v>
      </c>
      <c r="N113" s="311"/>
      <c r="O113" s="427"/>
      <c r="P113" s="305">
        <f t="shared" si="10"/>
        <v>0</v>
      </c>
      <c r="Q113" s="145"/>
      <c r="R113" s="145"/>
      <c r="S113" s="145"/>
      <c r="T113" s="145"/>
      <c r="U113" s="145"/>
      <c r="V113" s="145"/>
      <c r="W113" s="145"/>
      <c r="X113" s="145"/>
    </row>
    <row r="114" spans="13:24" x14ac:dyDescent="0.25">
      <c r="M114" s="310">
        <v>111</v>
      </c>
      <c r="N114" s="311"/>
      <c r="O114" s="427"/>
      <c r="P114" s="305">
        <f t="shared" si="10"/>
        <v>0</v>
      </c>
      <c r="Q114" s="145"/>
      <c r="R114" s="145"/>
      <c r="S114" s="145"/>
      <c r="T114" s="145"/>
      <c r="U114" s="145"/>
      <c r="V114" s="145"/>
      <c r="W114" s="145"/>
      <c r="X114" s="145"/>
    </row>
    <row r="115" spans="13:24" x14ac:dyDescent="0.25">
      <c r="M115" s="310">
        <v>112</v>
      </c>
      <c r="N115" s="311"/>
      <c r="O115" s="427"/>
      <c r="P115" s="305">
        <f t="shared" si="10"/>
        <v>0</v>
      </c>
      <c r="Q115" s="145"/>
      <c r="R115" s="145"/>
      <c r="S115" s="145"/>
      <c r="T115" s="145"/>
      <c r="U115" s="145"/>
      <c r="V115" s="145"/>
      <c r="W115" s="145"/>
      <c r="X115" s="145"/>
    </row>
    <row r="116" spans="13:24" x14ac:dyDescent="0.25">
      <c r="M116" s="310">
        <v>113</v>
      </c>
      <c r="N116" s="311"/>
      <c r="O116" s="427"/>
      <c r="P116" s="305">
        <f t="shared" si="10"/>
        <v>0</v>
      </c>
      <c r="Q116" s="145"/>
      <c r="R116" s="145"/>
      <c r="S116" s="145"/>
      <c r="T116" s="145"/>
      <c r="U116" s="145"/>
      <c r="V116" s="145"/>
      <c r="W116" s="145"/>
      <c r="X116" s="145"/>
    </row>
    <row r="117" spans="13:24" x14ac:dyDescent="0.25">
      <c r="M117" s="310">
        <v>114</v>
      </c>
      <c r="N117" s="311"/>
      <c r="O117" s="427"/>
      <c r="P117" s="305">
        <f t="shared" si="10"/>
        <v>0</v>
      </c>
      <c r="Q117" s="145"/>
      <c r="R117" s="145"/>
      <c r="S117" s="145"/>
      <c r="T117" s="145"/>
      <c r="U117" s="145"/>
      <c r="V117" s="145"/>
      <c r="W117" s="145"/>
      <c r="X117" s="145"/>
    </row>
    <row r="118" spans="13:24" x14ac:dyDescent="0.25">
      <c r="M118" s="310">
        <v>115</v>
      </c>
      <c r="N118" s="311"/>
      <c r="O118" s="427"/>
      <c r="P118" s="305">
        <f t="shared" si="10"/>
        <v>0</v>
      </c>
      <c r="Q118" s="145"/>
      <c r="R118" s="145"/>
      <c r="S118" s="145"/>
      <c r="T118" s="145"/>
      <c r="U118" s="145"/>
      <c r="V118" s="145"/>
      <c r="W118" s="145"/>
      <c r="X118" s="145"/>
    </row>
    <row r="119" spans="13:24" x14ac:dyDescent="0.25">
      <c r="M119" s="310">
        <v>116</v>
      </c>
      <c r="N119" s="311"/>
      <c r="O119" s="427"/>
      <c r="P119" s="305">
        <f t="shared" si="10"/>
        <v>0</v>
      </c>
      <c r="Q119" s="145"/>
      <c r="R119" s="145"/>
      <c r="S119" s="145"/>
      <c r="T119" s="145"/>
      <c r="U119" s="145"/>
      <c r="V119" s="145"/>
      <c r="W119" s="145"/>
      <c r="X119" s="145"/>
    </row>
    <row r="120" spans="13:24" x14ac:dyDescent="0.25">
      <c r="M120" s="310">
        <v>117</v>
      </c>
      <c r="N120" s="311"/>
      <c r="O120" s="427"/>
      <c r="P120" s="305">
        <f t="shared" si="10"/>
        <v>0</v>
      </c>
      <c r="Q120" s="145"/>
      <c r="R120" s="145"/>
      <c r="S120" s="145"/>
      <c r="T120" s="145"/>
      <c r="U120" s="145"/>
      <c r="V120" s="145"/>
      <c r="W120" s="145"/>
      <c r="X120" s="145"/>
    </row>
    <row r="121" spans="13:24" x14ac:dyDescent="0.25">
      <c r="M121" s="310">
        <v>118</v>
      </c>
      <c r="N121" s="311"/>
      <c r="O121" s="427"/>
      <c r="P121" s="305">
        <f t="shared" si="10"/>
        <v>0</v>
      </c>
      <c r="Q121" s="145"/>
      <c r="R121" s="145"/>
      <c r="S121" s="145"/>
      <c r="T121" s="145"/>
      <c r="U121" s="145"/>
      <c r="V121" s="145"/>
      <c r="W121" s="145"/>
      <c r="X121" s="145"/>
    </row>
    <row r="122" spans="13:24" x14ac:dyDescent="0.25">
      <c r="M122" s="310">
        <v>119</v>
      </c>
      <c r="N122" s="311"/>
      <c r="O122" s="427"/>
      <c r="P122" s="305">
        <f t="shared" si="10"/>
        <v>0</v>
      </c>
      <c r="Q122" s="145"/>
      <c r="R122" s="145"/>
      <c r="S122" s="145"/>
      <c r="T122" s="145"/>
      <c r="U122" s="145"/>
      <c r="V122" s="145"/>
      <c r="W122" s="145"/>
      <c r="X122" s="145"/>
    </row>
    <row r="123" spans="13:24" x14ac:dyDescent="0.25">
      <c r="M123" s="310">
        <v>120</v>
      </c>
      <c r="N123" s="311"/>
      <c r="O123" s="427"/>
      <c r="P123" s="305">
        <f t="shared" si="10"/>
        <v>0</v>
      </c>
      <c r="Q123" s="145"/>
      <c r="R123" s="145"/>
      <c r="S123" s="145"/>
      <c r="T123" s="145"/>
      <c r="U123" s="145"/>
      <c r="V123" s="145"/>
      <c r="W123" s="145"/>
      <c r="X123" s="145"/>
    </row>
    <row r="124" spans="13:24" x14ac:dyDescent="0.25">
      <c r="M124" s="310">
        <v>121</v>
      </c>
      <c r="N124" s="311"/>
      <c r="O124" s="427"/>
      <c r="P124" s="305">
        <f t="shared" si="10"/>
        <v>0</v>
      </c>
      <c r="Q124" s="145"/>
      <c r="R124" s="145"/>
      <c r="S124" s="145"/>
      <c r="T124" s="145"/>
      <c r="U124" s="145"/>
      <c r="V124" s="145"/>
      <c r="W124" s="145"/>
      <c r="X124" s="145"/>
    </row>
    <row r="125" spans="13:24" x14ac:dyDescent="0.25">
      <c r="M125" s="310">
        <v>122</v>
      </c>
      <c r="N125" s="311"/>
      <c r="O125" s="427"/>
      <c r="P125" s="305">
        <f t="shared" si="10"/>
        <v>0</v>
      </c>
      <c r="Q125" s="145"/>
      <c r="R125" s="145"/>
      <c r="S125" s="145"/>
      <c r="T125" s="145"/>
      <c r="U125" s="145"/>
      <c r="V125" s="145"/>
      <c r="W125" s="145"/>
      <c r="X125" s="145"/>
    </row>
    <row r="126" spans="13:24" x14ac:dyDescent="0.25">
      <c r="M126" s="310">
        <v>123</v>
      </c>
      <c r="N126" s="311"/>
      <c r="O126" s="427"/>
      <c r="P126" s="305">
        <f t="shared" si="10"/>
        <v>0</v>
      </c>
      <c r="Q126" s="145"/>
      <c r="R126" s="145"/>
      <c r="S126" s="145"/>
      <c r="T126" s="145"/>
      <c r="U126" s="145"/>
      <c r="V126" s="145"/>
      <c r="W126" s="145"/>
      <c r="X126" s="145"/>
    </row>
    <row r="127" spans="13:24" x14ac:dyDescent="0.25">
      <c r="M127" s="310">
        <v>124</v>
      </c>
      <c r="N127" s="311"/>
      <c r="O127" s="427"/>
      <c r="P127" s="305">
        <f t="shared" si="10"/>
        <v>0</v>
      </c>
      <c r="Q127" s="145"/>
      <c r="R127" s="145"/>
      <c r="S127" s="145"/>
      <c r="T127" s="145"/>
      <c r="U127" s="145"/>
      <c r="V127" s="145"/>
      <c r="W127" s="145"/>
      <c r="X127" s="145"/>
    </row>
    <row r="128" spans="13:24" x14ac:dyDescent="0.25">
      <c r="M128" s="310">
        <v>125</v>
      </c>
      <c r="N128" s="311"/>
      <c r="O128" s="427"/>
      <c r="P128" s="305">
        <f t="shared" si="10"/>
        <v>0</v>
      </c>
      <c r="Q128" s="145"/>
      <c r="R128" s="145"/>
      <c r="S128" s="145"/>
      <c r="T128" s="145"/>
      <c r="U128" s="145"/>
      <c r="V128" s="145"/>
      <c r="W128" s="145"/>
      <c r="X128" s="145"/>
    </row>
    <row r="129" spans="13:24" x14ac:dyDescent="0.25">
      <c r="M129" s="310">
        <v>126</v>
      </c>
      <c r="N129" s="311"/>
      <c r="O129" s="427"/>
      <c r="P129" s="305">
        <f t="shared" si="10"/>
        <v>0</v>
      </c>
      <c r="Q129" s="145"/>
      <c r="R129" s="145"/>
      <c r="S129" s="145"/>
      <c r="T129" s="145"/>
      <c r="U129" s="145"/>
      <c r="V129" s="145"/>
      <c r="W129" s="145"/>
      <c r="X129" s="145"/>
    </row>
    <row r="130" spans="13:24" x14ac:dyDescent="0.25">
      <c r="M130" s="310">
        <v>127</v>
      </c>
      <c r="N130" s="311"/>
      <c r="O130" s="427"/>
      <c r="P130" s="305">
        <f t="shared" si="10"/>
        <v>0</v>
      </c>
      <c r="Q130" s="145"/>
      <c r="R130" s="145"/>
      <c r="S130" s="145"/>
      <c r="T130" s="145"/>
      <c r="U130" s="145"/>
      <c r="V130" s="145"/>
      <c r="W130" s="145"/>
      <c r="X130" s="145"/>
    </row>
    <row r="131" spans="13:24" x14ac:dyDescent="0.25">
      <c r="M131" s="310">
        <v>128</v>
      </c>
      <c r="N131" s="311"/>
      <c r="O131" s="427"/>
      <c r="P131" s="305">
        <f t="shared" si="10"/>
        <v>0</v>
      </c>
      <c r="Q131" s="145"/>
      <c r="R131" s="145"/>
      <c r="S131" s="145"/>
      <c r="T131" s="145"/>
      <c r="U131" s="145"/>
      <c r="V131" s="145"/>
      <c r="W131" s="145"/>
      <c r="X131" s="145"/>
    </row>
    <row r="132" spans="13:24" x14ac:dyDescent="0.25">
      <c r="M132" s="310">
        <v>129</v>
      </c>
      <c r="N132" s="311"/>
      <c r="O132" s="427"/>
      <c r="P132" s="305">
        <f t="shared" si="10"/>
        <v>0</v>
      </c>
      <c r="Q132" s="145"/>
      <c r="R132" s="145"/>
      <c r="S132" s="145"/>
      <c r="T132" s="145"/>
      <c r="U132" s="145"/>
      <c r="V132" s="145"/>
      <c r="W132" s="145"/>
      <c r="X132" s="145"/>
    </row>
    <row r="133" spans="13:24" x14ac:dyDescent="0.25">
      <c r="M133" s="310">
        <v>130</v>
      </c>
      <c r="N133" s="311"/>
      <c r="O133" s="427"/>
      <c r="P133" s="305">
        <f t="shared" ref="P133:P157" si="11">N133+O133</f>
        <v>0</v>
      </c>
      <c r="Q133" s="145"/>
      <c r="R133" s="145"/>
      <c r="S133" s="145"/>
      <c r="T133" s="145"/>
      <c r="U133" s="145"/>
      <c r="V133" s="145"/>
      <c r="W133" s="145"/>
      <c r="X133" s="145"/>
    </row>
    <row r="134" spans="13:24" x14ac:dyDescent="0.25">
      <c r="M134" s="310">
        <v>131</v>
      </c>
      <c r="N134" s="311"/>
      <c r="O134" s="427"/>
      <c r="P134" s="305">
        <f t="shared" si="11"/>
        <v>0</v>
      </c>
      <c r="Q134" s="145"/>
      <c r="R134" s="145"/>
      <c r="S134" s="145"/>
      <c r="T134" s="145"/>
      <c r="U134" s="145"/>
      <c r="V134" s="145"/>
      <c r="W134" s="145"/>
      <c r="X134" s="145"/>
    </row>
    <row r="135" spans="13:24" x14ac:dyDescent="0.25">
      <c r="M135" s="310">
        <v>132</v>
      </c>
      <c r="N135" s="311"/>
      <c r="O135" s="427"/>
      <c r="P135" s="305">
        <f t="shared" si="11"/>
        <v>0</v>
      </c>
      <c r="Q135" s="145"/>
      <c r="R135" s="145"/>
      <c r="S135" s="145"/>
      <c r="T135" s="145"/>
      <c r="U135" s="145"/>
      <c r="V135" s="145"/>
      <c r="W135" s="145"/>
      <c r="X135" s="145"/>
    </row>
    <row r="136" spans="13:24" x14ac:dyDescent="0.25">
      <c r="M136" s="310">
        <v>133</v>
      </c>
      <c r="N136" s="311"/>
      <c r="O136" s="427"/>
      <c r="P136" s="305">
        <f t="shared" si="11"/>
        <v>0</v>
      </c>
      <c r="Q136" s="145"/>
      <c r="R136" s="145"/>
      <c r="S136" s="145"/>
      <c r="T136" s="145"/>
      <c r="U136" s="145"/>
      <c r="V136" s="145"/>
      <c r="W136" s="145"/>
      <c r="X136" s="145"/>
    </row>
    <row r="137" spans="13:24" x14ac:dyDescent="0.25">
      <c r="M137" s="310">
        <v>134</v>
      </c>
      <c r="N137" s="311"/>
      <c r="O137" s="427"/>
      <c r="P137" s="305">
        <f t="shared" si="11"/>
        <v>0</v>
      </c>
      <c r="Q137" s="145"/>
      <c r="R137" s="145"/>
      <c r="S137" s="145"/>
      <c r="T137" s="145"/>
      <c r="U137" s="145"/>
      <c r="V137" s="145"/>
      <c r="W137" s="145"/>
      <c r="X137" s="145"/>
    </row>
    <row r="138" spans="13:24" x14ac:dyDescent="0.25">
      <c r="M138" s="310">
        <v>135</v>
      </c>
      <c r="N138" s="311"/>
      <c r="O138" s="427"/>
      <c r="P138" s="305">
        <f t="shared" si="11"/>
        <v>0</v>
      </c>
      <c r="Q138" s="145"/>
      <c r="R138" s="145"/>
      <c r="S138" s="145"/>
      <c r="T138" s="145"/>
      <c r="U138" s="145"/>
      <c r="V138" s="145"/>
      <c r="W138" s="145"/>
      <c r="X138" s="145"/>
    </row>
    <row r="139" spans="13:24" x14ac:dyDescent="0.25">
      <c r="M139" s="310">
        <v>136</v>
      </c>
      <c r="N139" s="311"/>
      <c r="O139" s="427"/>
      <c r="P139" s="305">
        <f t="shared" si="11"/>
        <v>0</v>
      </c>
      <c r="Q139" s="145"/>
      <c r="R139" s="145"/>
      <c r="S139" s="145"/>
      <c r="T139" s="145"/>
      <c r="U139" s="145"/>
      <c r="V139" s="145"/>
      <c r="W139" s="145"/>
      <c r="X139" s="145"/>
    </row>
    <row r="140" spans="13:24" x14ac:dyDescent="0.25">
      <c r="M140" s="310">
        <v>137</v>
      </c>
      <c r="N140" s="311"/>
      <c r="O140" s="427"/>
      <c r="P140" s="305">
        <f t="shared" si="11"/>
        <v>0</v>
      </c>
      <c r="Q140" s="145"/>
      <c r="R140" s="145"/>
      <c r="S140" s="145"/>
      <c r="T140" s="145"/>
      <c r="U140" s="145"/>
      <c r="V140" s="145"/>
      <c r="W140" s="145"/>
      <c r="X140" s="145"/>
    </row>
    <row r="141" spans="13:24" x14ac:dyDescent="0.25">
      <c r="M141" s="310">
        <v>138</v>
      </c>
      <c r="N141" s="311"/>
      <c r="O141" s="427"/>
      <c r="P141" s="305">
        <f t="shared" si="11"/>
        <v>0</v>
      </c>
      <c r="Q141" s="145"/>
      <c r="R141" s="145"/>
      <c r="S141" s="145"/>
      <c r="T141" s="145"/>
      <c r="U141" s="145"/>
      <c r="V141" s="145"/>
      <c r="W141" s="145"/>
      <c r="X141" s="145"/>
    </row>
    <row r="142" spans="13:24" x14ac:dyDescent="0.25">
      <c r="M142" s="310">
        <v>139</v>
      </c>
      <c r="N142" s="311"/>
      <c r="O142" s="427"/>
      <c r="P142" s="305">
        <f t="shared" si="11"/>
        <v>0</v>
      </c>
      <c r="Q142" s="145"/>
      <c r="R142" s="145"/>
      <c r="S142" s="145"/>
      <c r="T142" s="145"/>
      <c r="U142" s="145"/>
      <c r="V142" s="145"/>
      <c r="W142" s="145"/>
      <c r="X142" s="145"/>
    </row>
    <row r="143" spans="13:24" x14ac:dyDescent="0.25">
      <c r="M143" s="310">
        <v>140</v>
      </c>
      <c r="N143" s="311"/>
      <c r="O143" s="427"/>
      <c r="P143" s="305">
        <f t="shared" si="11"/>
        <v>0</v>
      </c>
      <c r="Q143" s="145"/>
      <c r="R143" s="145"/>
      <c r="S143" s="145"/>
      <c r="T143" s="145"/>
      <c r="U143" s="145"/>
      <c r="V143" s="145"/>
      <c r="W143" s="145"/>
      <c r="X143" s="145"/>
    </row>
    <row r="144" spans="13:24" x14ac:dyDescent="0.25">
      <c r="M144" s="310">
        <v>141</v>
      </c>
      <c r="N144" s="311"/>
      <c r="O144" s="427"/>
      <c r="P144" s="305">
        <f t="shared" si="11"/>
        <v>0</v>
      </c>
      <c r="Q144" s="145"/>
      <c r="R144" s="145"/>
      <c r="S144" s="145"/>
      <c r="T144" s="145"/>
      <c r="U144" s="145"/>
      <c r="V144" s="145"/>
      <c r="W144" s="145"/>
      <c r="X144" s="145"/>
    </row>
    <row r="145" spans="13:24" x14ac:dyDescent="0.25">
      <c r="M145" s="310">
        <v>142</v>
      </c>
      <c r="N145" s="311"/>
      <c r="O145" s="427"/>
      <c r="P145" s="305">
        <f t="shared" si="11"/>
        <v>0</v>
      </c>
      <c r="Q145" s="145"/>
      <c r="R145" s="145"/>
      <c r="S145" s="145"/>
      <c r="T145" s="145"/>
      <c r="U145" s="145"/>
      <c r="V145" s="145"/>
      <c r="W145" s="145"/>
      <c r="X145" s="145"/>
    </row>
    <row r="146" spans="13:24" x14ac:dyDescent="0.25">
      <c r="M146" s="310">
        <v>143</v>
      </c>
      <c r="N146" s="311"/>
      <c r="O146" s="427"/>
      <c r="P146" s="305">
        <f t="shared" si="11"/>
        <v>0</v>
      </c>
      <c r="Q146" s="145"/>
      <c r="R146" s="145"/>
      <c r="S146" s="145"/>
      <c r="T146" s="145"/>
      <c r="U146" s="145"/>
      <c r="V146" s="145"/>
      <c r="W146" s="145"/>
      <c r="X146" s="145"/>
    </row>
    <row r="147" spans="13:24" x14ac:dyDescent="0.25">
      <c r="M147" s="310">
        <v>144</v>
      </c>
      <c r="N147" s="311"/>
      <c r="O147" s="427"/>
      <c r="P147" s="305">
        <f t="shared" si="11"/>
        <v>0</v>
      </c>
      <c r="Q147" s="145"/>
      <c r="R147" s="145"/>
      <c r="S147" s="145"/>
      <c r="T147" s="145"/>
      <c r="U147" s="145"/>
      <c r="V147" s="145"/>
      <c r="W147" s="145"/>
      <c r="X147" s="145"/>
    </row>
    <row r="148" spans="13:24" x14ac:dyDescent="0.25">
      <c r="M148" s="310">
        <v>145</v>
      </c>
      <c r="N148" s="311"/>
      <c r="O148" s="427"/>
      <c r="P148" s="305">
        <f t="shared" si="11"/>
        <v>0</v>
      </c>
      <c r="Q148" s="145"/>
      <c r="R148" s="145"/>
      <c r="S148" s="145"/>
      <c r="T148" s="145"/>
      <c r="U148" s="145"/>
      <c r="V148" s="145"/>
      <c r="W148" s="145"/>
      <c r="X148" s="145"/>
    </row>
    <row r="149" spans="13:24" x14ac:dyDescent="0.25">
      <c r="M149" s="310">
        <v>146</v>
      </c>
      <c r="N149" s="311"/>
      <c r="O149" s="427"/>
      <c r="P149" s="305">
        <f t="shared" si="11"/>
        <v>0</v>
      </c>
      <c r="Q149" s="145"/>
      <c r="R149" s="145"/>
      <c r="S149" s="145"/>
      <c r="T149" s="145"/>
      <c r="U149" s="145"/>
      <c r="V149" s="145"/>
      <c r="W149" s="145"/>
      <c r="X149" s="145"/>
    </row>
    <row r="150" spans="13:24" x14ac:dyDescent="0.25">
      <c r="M150" s="310">
        <v>147</v>
      </c>
      <c r="N150" s="311"/>
      <c r="O150" s="427"/>
      <c r="P150" s="305">
        <f t="shared" si="11"/>
        <v>0</v>
      </c>
      <c r="Q150" s="145"/>
      <c r="R150" s="145"/>
      <c r="S150" s="145"/>
      <c r="T150" s="145"/>
      <c r="U150" s="145"/>
      <c r="V150" s="145"/>
      <c r="W150" s="145"/>
      <c r="X150" s="145"/>
    </row>
    <row r="151" spans="13:24" x14ac:dyDescent="0.25">
      <c r="M151" s="310">
        <v>148</v>
      </c>
      <c r="N151" s="311"/>
      <c r="O151" s="427"/>
      <c r="P151" s="305">
        <f t="shared" si="11"/>
        <v>0</v>
      </c>
      <c r="Q151" s="145"/>
      <c r="R151" s="145"/>
      <c r="S151" s="145"/>
      <c r="T151" s="145"/>
      <c r="U151" s="145"/>
      <c r="V151" s="145"/>
      <c r="W151" s="145"/>
      <c r="X151" s="145"/>
    </row>
    <row r="152" spans="13:24" x14ac:dyDescent="0.25">
      <c r="M152" s="310">
        <v>149</v>
      </c>
      <c r="N152" s="311"/>
      <c r="O152" s="427"/>
      <c r="P152" s="305">
        <f t="shared" si="11"/>
        <v>0</v>
      </c>
      <c r="Q152" s="145"/>
      <c r="R152" s="145"/>
      <c r="S152" s="145"/>
      <c r="T152" s="145"/>
      <c r="U152" s="145"/>
      <c r="V152" s="145"/>
      <c r="W152" s="145"/>
      <c r="X152" s="145"/>
    </row>
    <row r="153" spans="13:24" x14ac:dyDescent="0.25">
      <c r="M153" s="310">
        <v>150</v>
      </c>
      <c r="N153" s="311"/>
      <c r="O153" s="427"/>
      <c r="P153" s="305">
        <f t="shared" si="11"/>
        <v>0</v>
      </c>
      <c r="Q153" s="145"/>
      <c r="R153" s="145"/>
      <c r="S153" s="145"/>
      <c r="T153" s="145"/>
      <c r="U153" s="145"/>
      <c r="V153" s="145"/>
      <c r="W153" s="145"/>
      <c r="X153" s="145"/>
    </row>
    <row r="154" spans="13:24" x14ac:dyDescent="0.25">
      <c r="M154" s="310">
        <v>151</v>
      </c>
      <c r="N154" s="311"/>
      <c r="O154" s="427"/>
      <c r="P154" s="305">
        <f t="shared" si="11"/>
        <v>0</v>
      </c>
      <c r="Q154" s="145"/>
      <c r="R154" s="145"/>
      <c r="S154" s="145"/>
      <c r="T154" s="145"/>
      <c r="U154" s="145"/>
      <c r="V154" s="145"/>
      <c r="W154" s="145"/>
      <c r="X154" s="145"/>
    </row>
    <row r="155" spans="13:24" x14ac:dyDescent="0.25">
      <c r="M155" s="310">
        <v>152</v>
      </c>
      <c r="N155" s="311"/>
      <c r="O155" s="427"/>
      <c r="P155" s="305">
        <f t="shared" si="11"/>
        <v>0</v>
      </c>
      <c r="Q155" s="145"/>
      <c r="R155" s="145"/>
      <c r="S155" s="145"/>
      <c r="T155" s="145"/>
      <c r="U155" s="145"/>
      <c r="V155" s="145"/>
      <c r="W155" s="145"/>
      <c r="X155" s="145"/>
    </row>
    <row r="156" spans="13:24" x14ac:dyDescent="0.25">
      <c r="M156" s="310">
        <v>153</v>
      </c>
      <c r="N156" s="311"/>
      <c r="O156" s="427"/>
      <c r="P156" s="305">
        <f t="shared" si="11"/>
        <v>0</v>
      </c>
      <c r="Q156" s="145"/>
      <c r="R156" s="145"/>
      <c r="S156" s="145"/>
      <c r="T156" s="145"/>
      <c r="U156" s="145"/>
      <c r="V156" s="145"/>
      <c r="W156" s="145"/>
      <c r="X156" s="145"/>
    </row>
    <row r="157" spans="13:24" ht="15.75" thickBot="1" x14ac:dyDescent="0.3">
      <c r="M157" s="327">
        <v>154</v>
      </c>
      <c r="N157" s="328"/>
      <c r="O157" s="428"/>
      <c r="P157" s="305">
        <f t="shared" si="11"/>
        <v>0</v>
      </c>
      <c r="Q157" s="145"/>
      <c r="R157" s="145"/>
      <c r="S157" s="145"/>
      <c r="T157" s="145"/>
      <c r="U157" s="145"/>
      <c r="V157" s="145"/>
      <c r="W157" s="145"/>
      <c r="X157" s="145"/>
    </row>
  </sheetData>
  <autoFilter ref="A8:J79"/>
  <mergeCells count="25">
    <mergeCell ref="AD9:AI9"/>
    <mergeCell ref="AD10:AI10"/>
    <mergeCell ref="AJ6:AK6"/>
    <mergeCell ref="R7:W7"/>
    <mergeCell ref="AD7:AI7"/>
    <mergeCell ref="AJ7:AK7"/>
    <mergeCell ref="R8:W8"/>
    <mergeCell ref="AD8:AI8"/>
    <mergeCell ref="AJ8:AK8"/>
    <mergeCell ref="R5:W5"/>
    <mergeCell ref="AD5:AI5"/>
    <mergeCell ref="AJ5:AK5"/>
    <mergeCell ref="C3:C7"/>
    <mergeCell ref="D3:D7"/>
    <mergeCell ref="E3:E7"/>
    <mergeCell ref="F3:H6"/>
    <mergeCell ref="I3:I7"/>
    <mergeCell ref="J3:J7"/>
    <mergeCell ref="R3:X3"/>
    <mergeCell ref="AD3:AK3"/>
    <mergeCell ref="R4:W4"/>
    <mergeCell ref="AD4:AI4"/>
    <mergeCell ref="AJ4:AK4"/>
    <mergeCell ref="R6:W6"/>
    <mergeCell ref="AD6:AI6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D8:L23"/>
  <sheetViews>
    <sheetView workbookViewId="0">
      <selection activeCell="E9" sqref="E9"/>
    </sheetView>
  </sheetViews>
  <sheetFormatPr defaultRowHeight="15" x14ac:dyDescent="0.25"/>
  <sheetData>
    <row r="8" spans="4:12" x14ac:dyDescent="0.25">
      <c r="E8" t="s">
        <v>189</v>
      </c>
      <c r="F8" t="s">
        <v>190</v>
      </c>
      <c r="G8" t="s">
        <v>191</v>
      </c>
      <c r="K8" t="s">
        <v>192</v>
      </c>
    </row>
    <row r="9" spans="4:12" x14ac:dyDescent="0.25">
      <c r="D9" t="s">
        <v>192</v>
      </c>
      <c r="E9">
        <f>IF(K8=D9,VLOOKUP(E8:G8,K8:L23,2,FALSE),0)</f>
        <v>85</v>
      </c>
      <c r="F9">
        <f>IF(L8=E9,VLOOKUP(F8:H8,L8:M23,2,FALSE),0)</f>
        <v>0</v>
      </c>
      <c r="G9" t="e">
        <f t="shared" ref="G9" si="0">IF(M8=F9,VLOOKUP(G8:I8,M8:N23,2,FALSE),0)</f>
        <v>#N/A</v>
      </c>
      <c r="K9" t="s">
        <v>189</v>
      </c>
      <c r="L9">
        <v>85</v>
      </c>
    </row>
    <row r="10" spans="4:12" x14ac:dyDescent="0.25">
      <c r="D10" t="s">
        <v>193</v>
      </c>
      <c r="E10">
        <f t="shared" ref="E10:E11" si="1">IF(K9=D10,VLOOKUP(E9:G9,K9:L24,2,FALSE),0)</f>
        <v>0</v>
      </c>
      <c r="F10" t="e">
        <f t="shared" ref="F10:F11" si="2">VLOOKUP(F9:H9,L9:M24,2,FALSE)</f>
        <v>#N/A</v>
      </c>
      <c r="G10" t="e">
        <f t="shared" ref="G10:G11" si="3">VLOOKUP(G9:I9,M9:N24,2,FALSE)</f>
        <v>#N/A</v>
      </c>
      <c r="K10" t="s">
        <v>190</v>
      </c>
      <c r="L10">
        <v>86</v>
      </c>
    </row>
    <row r="11" spans="4:12" x14ac:dyDescent="0.25">
      <c r="D11" t="s">
        <v>194</v>
      </c>
      <c r="E11">
        <f t="shared" si="1"/>
        <v>0</v>
      </c>
      <c r="F11" t="e">
        <f t="shared" si="2"/>
        <v>#N/A</v>
      </c>
      <c r="G11" t="e">
        <f t="shared" si="3"/>
        <v>#N/A</v>
      </c>
      <c r="K11" t="s">
        <v>191</v>
      </c>
      <c r="L11">
        <v>87</v>
      </c>
    </row>
    <row r="14" spans="4:12" x14ac:dyDescent="0.25">
      <c r="K14" t="s">
        <v>193</v>
      </c>
    </row>
    <row r="15" spans="4:12" x14ac:dyDescent="0.25">
      <c r="K15" t="s">
        <v>189</v>
      </c>
      <c r="L15">
        <v>95</v>
      </c>
    </row>
    <row r="16" spans="4:12" x14ac:dyDescent="0.25">
      <c r="K16" t="s">
        <v>190</v>
      </c>
      <c r="L16">
        <v>96</v>
      </c>
    </row>
    <row r="17" spans="11:12" x14ac:dyDescent="0.25">
      <c r="K17" t="s">
        <v>191</v>
      </c>
      <c r="L17">
        <v>97</v>
      </c>
    </row>
    <row r="20" spans="11:12" x14ac:dyDescent="0.25">
      <c r="K20" t="s">
        <v>194</v>
      </c>
    </row>
    <row r="21" spans="11:12" x14ac:dyDescent="0.25">
      <c r="K21" t="s">
        <v>189</v>
      </c>
      <c r="L21">
        <v>5</v>
      </c>
    </row>
    <row r="22" spans="11:12" x14ac:dyDescent="0.25">
      <c r="K22" t="s">
        <v>190</v>
      </c>
      <c r="L22">
        <v>6</v>
      </c>
    </row>
    <row r="23" spans="11:12" x14ac:dyDescent="0.25">
      <c r="K23" t="s">
        <v>191</v>
      </c>
      <c r="L23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3</vt:i4>
      </vt:variant>
    </vt:vector>
  </HeadingPairs>
  <TitlesOfParts>
    <vt:vector size="11" baseType="lpstr">
      <vt:lpstr>Акт</vt:lpstr>
      <vt:lpstr>Исх.данные</vt:lpstr>
      <vt:lpstr>Таблицы</vt:lpstr>
      <vt:lpstr>Химия_12 проб</vt:lpstr>
      <vt:lpstr>Агрохим исх.данные</vt:lpstr>
      <vt:lpstr>ЕРН_значения</vt:lpstr>
      <vt:lpstr>ЕРН_МЭД_ППР_итог</vt:lpstr>
      <vt:lpstr>Лист2</vt:lpstr>
      <vt:lpstr>кадмий</vt:lpstr>
      <vt:lpstr>кобальт</vt:lpstr>
      <vt:lpstr>марганец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2025-10-01T08:07:42Z</dcterms:modified>
</cp:coreProperties>
</file>
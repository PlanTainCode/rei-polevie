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/>
  </bookViews>
  <sheets>
    <sheet name="Перечень ГТС (2)" sheetId="4" r:id="rId1"/>
    <sheet name="Для кмз" sheetId="2" r:id="rId2"/>
    <sheet name="Лист1" sheetId="3" r:id="rId3"/>
    <sheet name="Перечень ГТС" sheetId="1" r:id="rId4"/>
  </sheets>
  <calcPr calcId="145621"/>
</workbook>
</file>

<file path=xl/calcChain.xml><?xml version="1.0" encoding="utf-8"?>
<calcChain xmlns="http://schemas.openxmlformats.org/spreadsheetml/2006/main">
  <c r="K333" i="4" l="1"/>
  <c r="P332" i="4"/>
  <c r="O332" i="4"/>
  <c r="N332" i="4"/>
  <c r="N148" i="3" l="1"/>
  <c r="O148" i="3"/>
  <c r="N149" i="3"/>
  <c r="O149" i="3"/>
  <c r="N150" i="3"/>
  <c r="O150" i="3"/>
  <c r="N151" i="3"/>
  <c r="O151" i="3"/>
  <c r="N152" i="3"/>
  <c r="O152" i="3"/>
  <c r="N153" i="3"/>
  <c r="O153" i="3"/>
  <c r="N154" i="3"/>
  <c r="O154" i="3"/>
  <c r="N155" i="3"/>
  <c r="O155" i="3"/>
  <c r="N156" i="3"/>
  <c r="O156" i="3"/>
  <c r="N157" i="3"/>
  <c r="O157" i="3"/>
  <c r="N158" i="3"/>
  <c r="O158" i="3"/>
  <c r="N159" i="3"/>
  <c r="O159" i="3"/>
  <c r="N160" i="3"/>
  <c r="O160" i="3"/>
  <c r="N161" i="3"/>
  <c r="O161" i="3"/>
  <c r="N162" i="3"/>
  <c r="O162" i="3"/>
  <c r="N163" i="3"/>
  <c r="O163" i="3"/>
  <c r="N164" i="3"/>
  <c r="O164" i="3"/>
  <c r="N165" i="3"/>
  <c r="O165" i="3"/>
  <c r="N166" i="3"/>
  <c r="O166" i="3"/>
  <c r="N167" i="3"/>
  <c r="O167" i="3"/>
  <c r="N168" i="3"/>
  <c r="O168" i="3"/>
  <c r="N169" i="3"/>
  <c r="O169" i="3"/>
  <c r="N170" i="3"/>
  <c r="O170" i="3"/>
  <c r="N171" i="3"/>
  <c r="O171" i="3"/>
  <c r="N172" i="3"/>
  <c r="O172" i="3"/>
  <c r="N173" i="3"/>
  <c r="O173" i="3"/>
  <c r="N174" i="3"/>
  <c r="O174" i="3"/>
  <c r="N175" i="3"/>
  <c r="O175" i="3"/>
  <c r="N176" i="3"/>
  <c r="O176" i="3"/>
  <c r="N177" i="3"/>
  <c r="O177" i="3"/>
  <c r="N178" i="3"/>
  <c r="O178" i="3"/>
  <c r="N179" i="3"/>
  <c r="O179" i="3"/>
  <c r="N180" i="3"/>
  <c r="O180" i="3"/>
  <c r="N181" i="3"/>
  <c r="O181" i="3"/>
  <c r="N182" i="3"/>
  <c r="O182" i="3"/>
  <c r="N183" i="3"/>
  <c r="O183" i="3"/>
  <c r="N184" i="3"/>
  <c r="O184" i="3"/>
  <c r="N185" i="3"/>
  <c r="O185" i="3"/>
  <c r="N186" i="3"/>
  <c r="O186" i="3"/>
  <c r="N187" i="3"/>
  <c r="O187" i="3"/>
  <c r="N188" i="3"/>
  <c r="O188" i="3"/>
  <c r="N189" i="3"/>
  <c r="O189" i="3"/>
  <c r="N190" i="3"/>
  <c r="O190" i="3"/>
  <c r="N191" i="3"/>
  <c r="O191" i="3"/>
  <c r="N192" i="3"/>
  <c r="O192" i="3"/>
  <c r="N193" i="3"/>
  <c r="O193" i="3"/>
  <c r="N194" i="3"/>
  <c r="O194" i="3"/>
  <c r="N195" i="3"/>
  <c r="O195" i="3"/>
  <c r="N196" i="3"/>
  <c r="O196" i="3"/>
  <c r="N197" i="3"/>
  <c r="O197" i="3"/>
  <c r="N198" i="3"/>
  <c r="O198" i="3"/>
  <c r="N199" i="3"/>
  <c r="O199" i="3"/>
  <c r="N200" i="3"/>
  <c r="O200" i="3"/>
  <c r="N99" i="3" l="1"/>
  <c r="O99" i="3"/>
  <c r="N100" i="3"/>
  <c r="O100" i="3"/>
  <c r="N101" i="3"/>
  <c r="O101" i="3"/>
  <c r="N102" i="3"/>
  <c r="O102" i="3"/>
  <c r="N103" i="3"/>
  <c r="O103" i="3"/>
  <c r="N104" i="3"/>
  <c r="O104" i="3"/>
  <c r="N105" i="3"/>
  <c r="O105" i="3"/>
  <c r="N106" i="3"/>
  <c r="O106" i="3"/>
  <c r="N107" i="3"/>
  <c r="O107" i="3"/>
  <c r="N108" i="3"/>
  <c r="O108" i="3"/>
  <c r="N109" i="3"/>
  <c r="O109" i="3"/>
  <c r="N110" i="3"/>
  <c r="O110" i="3"/>
  <c r="N111" i="3"/>
  <c r="O111" i="3"/>
  <c r="N112" i="3"/>
  <c r="O112" i="3"/>
  <c r="N113" i="3"/>
  <c r="O113" i="3"/>
  <c r="N114" i="3"/>
  <c r="O114" i="3"/>
  <c r="N115" i="3"/>
  <c r="O115" i="3"/>
  <c r="N116" i="3"/>
  <c r="O116" i="3"/>
  <c r="N117" i="3"/>
  <c r="O117" i="3"/>
  <c r="N118" i="3"/>
  <c r="O118" i="3"/>
  <c r="N119" i="3"/>
  <c r="O119" i="3"/>
  <c r="N120" i="3"/>
  <c r="O120" i="3"/>
  <c r="N121" i="3"/>
  <c r="O121" i="3"/>
  <c r="N122" i="3"/>
  <c r="O122" i="3"/>
  <c r="N123" i="3"/>
  <c r="O123" i="3"/>
  <c r="N124" i="3"/>
  <c r="O124" i="3"/>
  <c r="N125" i="3"/>
  <c r="O125" i="3"/>
  <c r="N126" i="3"/>
  <c r="O126" i="3"/>
  <c r="N127" i="3"/>
  <c r="O127" i="3"/>
  <c r="N128" i="3"/>
  <c r="O128" i="3"/>
  <c r="N129" i="3"/>
  <c r="O129" i="3"/>
  <c r="N130" i="3"/>
  <c r="O130" i="3"/>
  <c r="N131" i="3"/>
  <c r="O131" i="3"/>
  <c r="N132" i="3"/>
  <c r="O132" i="3"/>
  <c r="N133" i="3"/>
  <c r="O133" i="3"/>
  <c r="N134" i="3"/>
  <c r="O134" i="3"/>
  <c r="N135" i="3"/>
  <c r="O135" i="3"/>
  <c r="N136" i="3"/>
  <c r="O136" i="3"/>
  <c r="N137" i="3"/>
  <c r="O137" i="3"/>
  <c r="N138" i="3"/>
  <c r="O138" i="3"/>
  <c r="N139" i="3"/>
  <c r="O139" i="3"/>
  <c r="N140" i="3"/>
  <c r="O140" i="3"/>
  <c r="N141" i="3"/>
  <c r="O141" i="3"/>
  <c r="N142" i="3"/>
  <c r="O142" i="3"/>
  <c r="N143" i="3"/>
  <c r="O143" i="3"/>
  <c r="N144" i="3"/>
  <c r="O144" i="3"/>
  <c r="N145" i="3"/>
  <c r="O145" i="3"/>
  <c r="N146" i="3"/>
  <c r="O146" i="3"/>
  <c r="N147" i="3"/>
  <c r="O147" i="3"/>
  <c r="N97" i="3" l="1"/>
  <c r="O97" i="3"/>
  <c r="N98" i="3"/>
  <c r="O98" i="3"/>
  <c r="N44" i="3"/>
  <c r="O44" i="3"/>
  <c r="N45" i="3"/>
  <c r="O45" i="3"/>
  <c r="N46" i="3"/>
  <c r="O46" i="3"/>
  <c r="N47" i="3"/>
  <c r="O47" i="3"/>
  <c r="N48" i="3"/>
  <c r="O48" i="3"/>
  <c r="N49" i="3"/>
  <c r="O49" i="3"/>
  <c r="N50" i="3"/>
  <c r="O50" i="3"/>
  <c r="N51" i="3"/>
  <c r="O51" i="3"/>
  <c r="N52" i="3"/>
  <c r="O52" i="3"/>
  <c r="N53" i="3"/>
  <c r="O53" i="3"/>
  <c r="N54" i="3"/>
  <c r="O54" i="3"/>
  <c r="N55" i="3"/>
  <c r="O55" i="3"/>
  <c r="N56" i="3"/>
  <c r="O56" i="3"/>
  <c r="N57" i="3"/>
  <c r="O57" i="3"/>
  <c r="N58" i="3"/>
  <c r="O58" i="3"/>
  <c r="N59" i="3"/>
  <c r="O59" i="3"/>
  <c r="N60" i="3"/>
  <c r="O60" i="3"/>
  <c r="N61" i="3"/>
  <c r="O61" i="3"/>
  <c r="N62" i="3"/>
  <c r="O62" i="3"/>
  <c r="N63" i="3"/>
  <c r="O63" i="3"/>
  <c r="N64" i="3"/>
  <c r="O64" i="3"/>
  <c r="N65" i="3"/>
  <c r="O65" i="3"/>
  <c r="N66" i="3"/>
  <c r="O66" i="3"/>
  <c r="N67" i="3"/>
  <c r="O67" i="3"/>
  <c r="N68" i="3"/>
  <c r="O68" i="3"/>
  <c r="N69" i="3"/>
  <c r="O69" i="3"/>
  <c r="N70" i="3"/>
  <c r="O70" i="3"/>
  <c r="N71" i="3"/>
  <c r="O71" i="3"/>
  <c r="N72" i="3"/>
  <c r="O72" i="3"/>
  <c r="N73" i="3"/>
  <c r="O73" i="3"/>
  <c r="N74" i="3"/>
  <c r="O74" i="3"/>
  <c r="N75" i="3"/>
  <c r="O75" i="3"/>
  <c r="N76" i="3"/>
  <c r="O76" i="3"/>
  <c r="N77" i="3"/>
  <c r="O77" i="3"/>
  <c r="N78" i="3"/>
  <c r="O78" i="3"/>
  <c r="N79" i="3"/>
  <c r="O79" i="3"/>
  <c r="N80" i="3"/>
  <c r="O80" i="3"/>
  <c r="N81" i="3"/>
  <c r="O81" i="3"/>
  <c r="N82" i="3"/>
  <c r="O82" i="3"/>
  <c r="N83" i="3"/>
  <c r="O83" i="3"/>
  <c r="N84" i="3"/>
  <c r="O84" i="3"/>
  <c r="N85" i="3"/>
  <c r="O85" i="3"/>
  <c r="N86" i="3"/>
  <c r="O86" i="3"/>
  <c r="N87" i="3"/>
  <c r="O87" i="3"/>
  <c r="N88" i="3"/>
  <c r="O88" i="3"/>
  <c r="N89" i="3"/>
  <c r="O89" i="3"/>
  <c r="N90" i="3"/>
  <c r="O90" i="3"/>
  <c r="N91" i="3"/>
  <c r="O91" i="3"/>
  <c r="N92" i="3"/>
  <c r="O92" i="3"/>
  <c r="N93" i="3"/>
  <c r="O93" i="3"/>
  <c r="N94" i="3"/>
  <c r="O94" i="3"/>
  <c r="N95" i="3"/>
  <c r="O95" i="3"/>
  <c r="N96" i="3"/>
  <c r="O96" i="3"/>
  <c r="O332" i="1" l="1"/>
  <c r="P332" i="1"/>
  <c r="N332" i="1"/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1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1" i="3"/>
  <c r="K333" i="1" l="1"/>
</calcChain>
</file>

<file path=xl/sharedStrings.xml><?xml version="1.0" encoding="utf-8"?>
<sst xmlns="http://schemas.openxmlformats.org/spreadsheetml/2006/main" count="5703" uniqueCount="1194">
  <si>
    <t>№ п/п</t>
  </si>
  <si>
    <t>Наименование водотока</t>
  </si>
  <si>
    <t>Населенный пункт</t>
  </si>
  <si>
    <t>Год ввода в эксплуатацию</t>
  </si>
  <si>
    <t>Площадь
зеркала, га</t>
  </si>
  <si>
    <t>Качественные характеристики уровня безопасности</t>
  </si>
  <si>
    <t>Горшеченский район</t>
  </si>
  <si>
    <t>р. Апочка</t>
  </si>
  <si>
    <t>с.Знаменка</t>
  </si>
  <si>
    <t>Понижен.</t>
  </si>
  <si>
    <t>р.Клещенка</t>
  </si>
  <si>
    <t xml:space="preserve">Понижен. </t>
  </si>
  <si>
    <t>руч. Ровенка</t>
  </si>
  <si>
    <t>с.Вислое</t>
  </si>
  <si>
    <t>с.Солдатское</t>
  </si>
  <si>
    <t>бал. Олымов Лог</t>
  </si>
  <si>
    <t>д.Шеенка</t>
  </si>
  <si>
    <t xml:space="preserve">Неудовлет. </t>
  </si>
  <si>
    <t>р.Боровка</t>
  </si>
  <si>
    <t>с.Степановка</t>
  </si>
  <si>
    <t>Удовлет.</t>
  </si>
  <si>
    <t>бал.Глубокий Лог</t>
  </si>
  <si>
    <t>с.Богородицкое</t>
  </si>
  <si>
    <t>р.Апочка</t>
  </si>
  <si>
    <t>с.Средние Апочки</t>
  </si>
  <si>
    <t>р.Дорожная</t>
  </si>
  <si>
    <t>с.Головище</t>
  </si>
  <si>
    <t>н/св</t>
  </si>
  <si>
    <t>д.Белгородка</t>
  </si>
  <si>
    <t>р.Быстрик</t>
  </si>
  <si>
    <t>с.Максимовка</t>
  </si>
  <si>
    <t>руч.Коровяк</t>
  </si>
  <si>
    <t>руч. б/н (б. Лог Центральный)</t>
  </si>
  <si>
    <t>п. Горшечное</t>
  </si>
  <si>
    <t>Дмитриевский район</t>
  </si>
  <si>
    <t>бал.Большой Лог</t>
  </si>
  <si>
    <t>с.Дерюгино</t>
  </si>
  <si>
    <t>р. Журавка</t>
  </si>
  <si>
    <t>п.Пацкое</t>
  </si>
  <si>
    <t>р. Харасея</t>
  </si>
  <si>
    <t>с.Осоцкое</t>
  </si>
  <si>
    <t>р.Жигаевка</t>
  </si>
  <si>
    <t>с.Генеральшино</t>
  </si>
  <si>
    <t>р.Журавка</t>
  </si>
  <si>
    <t>с.Белитино</t>
  </si>
  <si>
    <t>р.Осмонька</t>
  </si>
  <si>
    <t>с.Бычки</t>
  </si>
  <si>
    <t>бал. Орлов Лог</t>
  </si>
  <si>
    <t>с.Погодино</t>
  </si>
  <si>
    <t>с.Фатеевка</t>
  </si>
  <si>
    <t>бал.б/н</t>
  </si>
  <si>
    <t>с.Селино</t>
  </si>
  <si>
    <t>руч.Мертвая Харасея</t>
  </si>
  <si>
    <t>п.Октябрьский</t>
  </si>
  <si>
    <t>руч.Трунин</t>
  </si>
  <si>
    <t>с.Крупец</t>
  </si>
  <si>
    <t>руч. б/н</t>
  </si>
  <si>
    <t>с.Мелгора</t>
  </si>
  <si>
    <t>р.Кубанка</t>
  </si>
  <si>
    <t>с.Кубань</t>
  </si>
  <si>
    <t>р.Каменная Осмонька</t>
  </si>
  <si>
    <t>с.Черневка</t>
  </si>
  <si>
    <t>с. Погодино</t>
  </si>
  <si>
    <t>Железногорский район</t>
  </si>
  <si>
    <t>р.Свапа</t>
  </si>
  <si>
    <t>д. Старый Бузец (Копенское водохранилище)</t>
  </si>
  <si>
    <t>р.Рясник</t>
  </si>
  <si>
    <t>д. Рясник (пруд № 1)</t>
  </si>
  <si>
    <t>п. Михайловский (пруд № 2)</t>
  </si>
  <si>
    <t>р.Смородинка</t>
  </si>
  <si>
    <t>с. Ажово</t>
  </si>
  <si>
    <t>руч.Сбородный</t>
  </si>
  <si>
    <t>п. Щека</t>
  </si>
  <si>
    <t>руч.Погарщина</t>
  </si>
  <si>
    <t>г.Железногорск</t>
  </si>
  <si>
    <t>руч.Линчик</t>
  </si>
  <si>
    <t>х.Веселый</t>
  </si>
  <si>
    <t>р.Свапа (пойма)</t>
  </si>
  <si>
    <t>с.Старый Бузец (выростные пруды 9 шт)</t>
  </si>
  <si>
    <t>руч.Бутеж</t>
  </si>
  <si>
    <t>с.Рышково</t>
  </si>
  <si>
    <t>р. Свапа (пойма)</t>
  </si>
  <si>
    <t>с. Старый Бузец нагульные и зимовальные пруды 10 шт)</t>
  </si>
  <si>
    <t>с. Старый Бузец (племенной участок)</t>
  </si>
  <si>
    <t>руч.Верх.Буковица</t>
  </si>
  <si>
    <t>с. Трояново</t>
  </si>
  <si>
    <t>р.Речица</t>
  </si>
  <si>
    <t>р.Песочная</t>
  </si>
  <si>
    <t>с.Андросово</t>
  </si>
  <si>
    <t>Хвостохранилище
д. Макарово</t>
  </si>
  <si>
    <t>бал.Россошки</t>
  </si>
  <si>
    <t>Шламохранилище ДСФ</t>
  </si>
  <si>
    <t>Золотухинский район</t>
  </si>
  <si>
    <t>бал.Вязовое</t>
  </si>
  <si>
    <t>п.Золотухино</t>
  </si>
  <si>
    <t>руч.Белый Колодезь</t>
  </si>
  <si>
    <t>с.Кондринка</t>
  </si>
  <si>
    <t>бал.Ржавый Лог</t>
  </si>
  <si>
    <t>д.Реутово</t>
  </si>
  <si>
    <t>р.Моркость</t>
  </si>
  <si>
    <t>д.Матвеевка</t>
  </si>
  <si>
    <t>руч. Ржавец</t>
  </si>
  <si>
    <t>д. Сергеевка</t>
  </si>
  <si>
    <t>с.Гремячка</t>
  </si>
  <si>
    <t>с.Николаевка</t>
  </si>
  <si>
    <t>руч.Вертин</t>
  </si>
  <si>
    <t>д.Седмиховка</t>
  </si>
  <si>
    <t>руч. Штевец</t>
  </si>
  <si>
    <t>с.Вереитиново</t>
  </si>
  <si>
    <t>р.Ратен</t>
  </si>
  <si>
    <t>с.Чурилово</t>
  </si>
  <si>
    <t>бал. Крутая</t>
  </si>
  <si>
    <t>с.Первое Новоспасское</t>
  </si>
  <si>
    <t>руч.Мощенка</t>
  </si>
  <si>
    <t>д.Будановка</t>
  </si>
  <si>
    <t>руч.Сухая Неполка</t>
  </si>
  <si>
    <t>с.Федоровка</t>
  </si>
  <si>
    <t>Неудовлет.</t>
  </si>
  <si>
    <t>урочище Красный Ложок</t>
  </si>
  <si>
    <t>с.Пойменово</t>
  </si>
  <si>
    <t>р.Обметь</t>
  </si>
  <si>
    <t>с.Хворостово</t>
  </si>
  <si>
    <t>накопитель жидких промышленных отходов</t>
  </si>
  <si>
    <t>п.Солнечный</t>
  </si>
  <si>
    <t>Касторенский район</t>
  </si>
  <si>
    <t>руч.Бычок</t>
  </si>
  <si>
    <t>с.Спасовка</t>
  </si>
  <si>
    <t>Неудволет.</t>
  </si>
  <si>
    <t>руч.Жерновец</t>
  </si>
  <si>
    <t>с.Жерновец</t>
  </si>
  <si>
    <t>руч.Безымянный</t>
  </si>
  <si>
    <t>с.Котовка</t>
  </si>
  <si>
    <t>с.Горяиново</t>
  </si>
  <si>
    <t>бал.Попов Вершок</t>
  </si>
  <si>
    <t>с.Мелавка</t>
  </si>
  <si>
    <t xml:space="preserve">Понижен.
</t>
  </si>
  <si>
    <t>бал. б/н</t>
  </si>
  <si>
    <t>руч.Колябинский</t>
  </si>
  <si>
    <t>с.Успено-Раевка</t>
  </si>
  <si>
    <t>с. Егорьевка</t>
  </si>
  <si>
    <t>с.Раздолье</t>
  </si>
  <si>
    <t xml:space="preserve">руч. б/н </t>
  </si>
  <si>
    <t>с.Красная Долина</t>
  </si>
  <si>
    <t>п.Семеновский</t>
  </si>
  <si>
    <t>бал. б/н 
(Егорушкин руч.)</t>
  </si>
  <si>
    <t>с. Алексеевка</t>
  </si>
  <si>
    <t>Пойма р. Олым Пруд-охладитель</t>
  </si>
  <si>
    <t>п.Олым</t>
  </si>
  <si>
    <t>Конышевский район</t>
  </si>
  <si>
    <t>Руч. б/н</t>
  </si>
  <si>
    <t>с.Булгаковка</t>
  </si>
  <si>
    <t>р.Вабля</t>
  </si>
  <si>
    <t>с.Верхняя Вабля</t>
  </si>
  <si>
    <t>с.Нижняя Вабля (с.Глазово)</t>
  </si>
  <si>
    <t>р.Котлевка</t>
  </si>
  <si>
    <t>с. Захарково</t>
  </si>
  <si>
    <t>руч.Вандарец</t>
  </si>
  <si>
    <t>с. Малахово</t>
  </si>
  <si>
    <t>р.Платавка</t>
  </si>
  <si>
    <t>х. Трости</t>
  </si>
  <si>
    <t>с. Вожово, с. Вабля</t>
  </si>
  <si>
    <t>руч.Плотавка</t>
  </si>
  <si>
    <t>х.Заветинский</t>
  </si>
  <si>
    <t>бал. Передельный Лог</t>
  </si>
  <si>
    <t>с.Машкино</t>
  </si>
  <si>
    <t>руч.Городьков</t>
  </si>
  <si>
    <t>с.Яковлево</t>
  </si>
  <si>
    <t>р. Платавка</t>
  </si>
  <si>
    <t>с.Сосонки</t>
  </si>
  <si>
    <t>Курский район</t>
  </si>
  <si>
    <t>р.Млодать</t>
  </si>
  <si>
    <t>д. 2-е Безлесное</t>
  </si>
  <si>
    <t>Правобережная пойма р. Большая Курица</t>
  </si>
  <si>
    <t>д. Дроняево
(х. Новореченский)
[2 пруда]</t>
  </si>
  <si>
    <t>1640
(общий)</t>
  </si>
  <si>
    <t>98
[2 пруда]</t>
  </si>
  <si>
    <t>Левобережная пойма р. Большая Курица</t>
  </si>
  <si>
    <t>д.Александровка
[4 пруда]</t>
  </si>
  <si>
    <t>1010
(общий)</t>
  </si>
  <si>
    <t>78
[4 пруда]</t>
  </si>
  <si>
    <t>р. Большая Курица</t>
  </si>
  <si>
    <t>д. Курица</t>
  </si>
  <si>
    <t>р. Виногробль</t>
  </si>
  <si>
    <t>д. Семеновка</t>
  </si>
  <si>
    <t>п. Камыши</t>
  </si>
  <si>
    <t>р. Малая Курица</t>
  </si>
  <si>
    <t>с. Брежнево</t>
  </si>
  <si>
    <t>бал. Попов Лог</t>
  </si>
  <si>
    <t>х. Журавлин</t>
  </si>
  <si>
    <t>с. 1-е Винниково</t>
  </si>
  <si>
    <t>с. Большое Шумаково</t>
  </si>
  <si>
    <t>р.Большая Курица</t>
  </si>
  <si>
    <t>бал.Рассыльная</t>
  </si>
  <si>
    <t>с.Анахино</t>
  </si>
  <si>
    <t>с.Виногробль</t>
  </si>
  <si>
    <t>руч.б/н</t>
  </si>
  <si>
    <t>р.Кур</t>
  </si>
  <si>
    <t>г.Курск</t>
  </si>
  <si>
    <t>р.Большая Курица (пойма)</t>
  </si>
  <si>
    <t>д.Дроняево</t>
  </si>
  <si>
    <t>с.Нижнекасиново</t>
  </si>
  <si>
    <t xml:space="preserve">руч.б/н </t>
  </si>
  <si>
    <t>с.Троица</t>
  </si>
  <si>
    <t>руч.Безобразов-ский</t>
  </si>
  <si>
    <t>д.Безобразово</t>
  </si>
  <si>
    <t>бал.Лог Котовец</t>
  </si>
  <si>
    <t>д.Шеховцово</t>
  </si>
  <si>
    <t>п.Петринка</t>
  </si>
  <si>
    <t>бал.Незнай</t>
  </si>
  <si>
    <t>п.Черемушки</t>
  </si>
  <si>
    <t>д.1-е Цветово</t>
  </si>
  <si>
    <t>руч.Моква</t>
  </si>
  <si>
    <t>д.1-я Моква</t>
  </si>
  <si>
    <t>с.1-е Винниково</t>
  </si>
  <si>
    <t>руч.Башкино</t>
  </si>
  <si>
    <t>с.Ноздрачево</t>
  </si>
  <si>
    <t>с.Михайловка</t>
  </si>
  <si>
    <t>р. Кур</t>
  </si>
  <si>
    <t>с.1-е Шемякино</t>
  </si>
  <si>
    <t>г.Курск, Стезева дача</t>
  </si>
  <si>
    <t>х. Фроловка</t>
  </si>
  <si>
    <t>п. Косиновский</t>
  </si>
  <si>
    <t>р. Сейм (пойма) 
золошлакоотвал</t>
  </si>
  <si>
    <t>ТЭЦ-1 г.Курск</t>
  </si>
  <si>
    <t>р. Тускарь</t>
  </si>
  <si>
    <t xml:space="preserve">д. Щетинка </t>
  </si>
  <si>
    <t>Обводненный карьер «Стрелецкое озеро»</t>
  </si>
  <si>
    <t>г. Курск, ул. Тимская</t>
  </si>
  <si>
    <t>Мантуровский район</t>
  </si>
  <si>
    <t>р. Сейм Пузатый</t>
  </si>
  <si>
    <t>с.Мяснянка</t>
  </si>
  <si>
    <t>р. Оскол</t>
  </si>
  <si>
    <t>д.Александровка</t>
  </si>
  <si>
    <t>р. Стуженек</t>
  </si>
  <si>
    <t>Н/св</t>
  </si>
  <si>
    <t>с.Ястребовка</t>
  </si>
  <si>
    <t>р. Рогозец</t>
  </si>
  <si>
    <t>с.Безлепкино</t>
  </si>
  <si>
    <t xml:space="preserve">р. Кривчик </t>
  </si>
  <si>
    <t>с.Кривец</t>
  </si>
  <si>
    <t>с.Заречье</t>
  </si>
  <si>
    <t>д.Разбираевка</t>
  </si>
  <si>
    <t>р.Камышенка</t>
  </si>
  <si>
    <t>с.Репец (х.Лески)</t>
  </si>
  <si>
    <t xml:space="preserve">р. Стуженек </t>
  </si>
  <si>
    <t>с.Покровское</t>
  </si>
  <si>
    <t>с.Куськино</t>
  </si>
  <si>
    <t>с.Куськино (верхний пруд)</t>
  </si>
  <si>
    <t>р.Стужень (пойма)</t>
  </si>
  <si>
    <t>р.Рогозец</t>
  </si>
  <si>
    <t>х.Петровский</t>
  </si>
  <si>
    <t>с.Пузачи</t>
  </si>
  <si>
    <t>р.Оскол</t>
  </si>
  <si>
    <t>с.Криволаповка</t>
  </si>
  <si>
    <t>с.Репецкая Плота</t>
  </si>
  <si>
    <t>р.Сейм Пузатый</t>
  </si>
  <si>
    <t>с.1-е Засеймье</t>
  </si>
  <si>
    <t>р. Сейм (водоподпорное сооружение)</t>
  </si>
  <si>
    <t>с. 2-е Засеймье</t>
  </si>
  <si>
    <t>р. Сейм (пойма)
Пруд-охладитель</t>
  </si>
  <si>
    <t>Медвенский район</t>
  </si>
  <si>
    <t>бал. Ильиков Лог</t>
  </si>
  <si>
    <t>с.Тарусовка</t>
  </si>
  <si>
    <t>р.Немча</t>
  </si>
  <si>
    <t>с. Липник</t>
  </si>
  <si>
    <t>р.Медвенка</t>
  </si>
  <si>
    <t>с.Красный Кут</t>
  </si>
  <si>
    <t>руч.Долгий</t>
  </si>
  <si>
    <t>с. Высокое</t>
  </si>
  <si>
    <t>р. Реутец</t>
  </si>
  <si>
    <t>с.Нижний Реутец</t>
  </si>
  <si>
    <t>руч.Гаховский</t>
  </si>
  <si>
    <t>с.Гахово</t>
  </si>
  <si>
    <t>бал.Дунайский Лог</t>
  </si>
  <si>
    <t>д. Кленовое</t>
  </si>
  <si>
    <t>б. б/н</t>
  </si>
  <si>
    <t>х. Большая Радина</t>
  </si>
  <si>
    <t>руч.Дубовец</t>
  </si>
  <si>
    <t>д.Леоновка</t>
  </si>
  <si>
    <t>бал.Дунайский лог</t>
  </si>
  <si>
    <t>д.Денисовка</t>
  </si>
  <si>
    <t>с.Васильевка</t>
  </si>
  <si>
    <t>с.Петропавловка</t>
  </si>
  <si>
    <t>р.Любач</t>
  </si>
  <si>
    <t>х.Рожновка</t>
  </si>
  <si>
    <t>р.Каменец</t>
  </si>
  <si>
    <t>руч. Паники</t>
  </si>
  <si>
    <t>с.Паники</t>
  </si>
  <si>
    <t>руч.Медвенка</t>
  </si>
  <si>
    <t>п.Медвенка</t>
  </si>
  <si>
    <t>с.Черемошное</t>
  </si>
  <si>
    <t>бал.Вершки</t>
  </si>
  <si>
    <t>с.Нижний Дубовец</t>
  </si>
  <si>
    <t>бал.Высокий Лог</t>
  </si>
  <si>
    <t>х.Зеленая Степь</t>
  </si>
  <si>
    <t>д.Китаевка</t>
  </si>
  <si>
    <t>р. Реут</t>
  </si>
  <si>
    <t>х. Танеевка</t>
  </si>
  <si>
    <t>Обоянский район</t>
  </si>
  <si>
    <t>р.Запселец (пойма)</t>
  </si>
  <si>
    <t>с. Зорино</t>
  </si>
  <si>
    <t>р. Рыбинка</t>
  </si>
  <si>
    <t>х. Лыков</t>
  </si>
  <si>
    <t>Руч. б/н (р.Рыбинка)</t>
  </si>
  <si>
    <t>с.Вышнее Бабино</t>
  </si>
  <si>
    <t>р. Малая Рыбинка</t>
  </si>
  <si>
    <t>с.Косиново</t>
  </si>
  <si>
    <t>руч.Лозочки</t>
  </si>
  <si>
    <t>с.Рыбинские Буды</t>
  </si>
  <si>
    <t>р. Усланка</t>
  </si>
  <si>
    <t>с. Быканово</t>
  </si>
  <si>
    <t>руч. Нагольн. Колодезь</t>
  </si>
  <si>
    <t>с. Малые Крюки</t>
  </si>
  <si>
    <t>б.Бычки</t>
  </si>
  <si>
    <t>с.Котельниково</t>
  </si>
  <si>
    <t>бал.Оборочная</t>
  </si>
  <si>
    <t>с.Шевелево</t>
  </si>
  <si>
    <t>р. Каменка</t>
  </si>
  <si>
    <t>с.Каменка</t>
  </si>
  <si>
    <t xml:space="preserve">р. Обоянка </t>
  </si>
  <si>
    <t>с. Стрелецкое</t>
  </si>
  <si>
    <t>бал.Лог Реут</t>
  </si>
  <si>
    <t>х.Дрозды</t>
  </si>
  <si>
    <t>руч. Рудавчик</t>
  </si>
  <si>
    <t>с. Рудавец</t>
  </si>
  <si>
    <t>руч. Знобиловский</t>
  </si>
  <si>
    <t>с.Знобиловка</t>
  </si>
  <si>
    <t>бал.Камынинская</t>
  </si>
  <si>
    <t>с.Камынино</t>
  </si>
  <si>
    <t>Руч.Объезжий (бал. Камынинская)</t>
  </si>
  <si>
    <t>р.Трубеж</t>
  </si>
  <si>
    <t>п.Пасечный</t>
  </si>
  <si>
    <t>р.Усланка</t>
  </si>
  <si>
    <t>с.Быканово</t>
  </si>
  <si>
    <t>р.Туровка</t>
  </si>
  <si>
    <t>с.Чекмаревка</t>
  </si>
  <si>
    <t>с.Гридасово</t>
  </si>
  <si>
    <t>с.Усланка</t>
  </si>
  <si>
    <t>Октябрьский район</t>
  </si>
  <si>
    <t>р. Рогозна</t>
  </si>
  <si>
    <t>с. Большое Умрихино</t>
  </si>
  <si>
    <t>бал.Голубица</t>
  </si>
  <si>
    <t>с.Большое Долженково</t>
  </si>
  <si>
    <t>р.Ворожба</t>
  </si>
  <si>
    <t>р.Дичня</t>
  </si>
  <si>
    <t>д. Верхняя Малыхина</t>
  </si>
  <si>
    <t>бал.Колодезный Лог</t>
  </si>
  <si>
    <t>с.Дьяконово</t>
  </si>
  <si>
    <t>бал. Ближний Лог</t>
  </si>
  <si>
    <t>с.Митрофаново (с.Короблево)</t>
  </si>
  <si>
    <t>руч. Сухая Рогозна</t>
  </si>
  <si>
    <t>с.Верхнее Горбулино</t>
  </si>
  <si>
    <t>бал.Ржавец</t>
  </si>
  <si>
    <t>п. Черницыно</t>
  </si>
  <si>
    <t>руч. Рогозна</t>
  </si>
  <si>
    <t>с. Малое Гостево</t>
  </si>
  <si>
    <t>приток р.Ворожба</t>
  </si>
  <si>
    <t>с. Охочевка</t>
  </si>
  <si>
    <t>Пруд-накопитель на бал. Средний Лог</t>
  </si>
  <si>
    <t>н.п. Черницыно</t>
  </si>
  <si>
    <t>Поныровский район</t>
  </si>
  <si>
    <t>р. Брусовец</t>
  </si>
  <si>
    <t>с. Тифинское</t>
  </si>
  <si>
    <t>д.Теплое</t>
  </si>
  <si>
    <t>бал.Трутки</t>
  </si>
  <si>
    <t>с.Ольховатка</t>
  </si>
  <si>
    <t>с.Нижнее Смородино</t>
  </si>
  <si>
    <t>руч. Березовец</t>
  </si>
  <si>
    <t>с.Березовец</t>
  </si>
  <si>
    <t>руч. Брусовец</t>
  </si>
  <si>
    <t>с.Брусовое</t>
  </si>
  <si>
    <t>руч. Каменец</t>
  </si>
  <si>
    <t>с.Маньшино</t>
  </si>
  <si>
    <t>бал.Березов Лог</t>
  </si>
  <si>
    <t>с.1-е Поныри</t>
  </si>
  <si>
    <t>с.Карпуневка</t>
  </si>
  <si>
    <t>Пристенский район</t>
  </si>
  <si>
    <t>р. Пселец</t>
  </si>
  <si>
    <t>с.Пселец</t>
  </si>
  <si>
    <t>р. Плоская</t>
  </si>
  <si>
    <t>с. Троицкое</t>
  </si>
  <si>
    <t>р. Ржава</t>
  </si>
  <si>
    <t>п.Кировский</t>
  </si>
  <si>
    <t>с. Большие Крюки</t>
  </si>
  <si>
    <t>руч. Нагол.Колодезь</t>
  </si>
  <si>
    <t>с. Нагольное</t>
  </si>
  <si>
    <t>д. Лащинка</t>
  </si>
  <si>
    <t>1985</t>
  </si>
  <si>
    <t>руч.Черновец</t>
  </si>
  <si>
    <t>с.Черновец</t>
  </si>
  <si>
    <t>руч. Гостимерец</t>
  </si>
  <si>
    <t>с. Бобрышево</t>
  </si>
  <si>
    <t>с. Ярыгино</t>
  </si>
  <si>
    <t>руч. Ольшанка</t>
  </si>
  <si>
    <t>с.Верхняя Ольшанка</t>
  </si>
  <si>
    <t>х.Еринка</t>
  </si>
  <si>
    <t>д.Вихровка</t>
  </si>
  <si>
    <t>с.Ярыгино</t>
  </si>
  <si>
    <t>х. Подольхи</t>
  </si>
  <si>
    <t>бал. Плутавка</t>
  </si>
  <si>
    <t>бал. Васин Лог</t>
  </si>
  <si>
    <t>с.Пристенное</t>
  </si>
  <si>
    <t>Советский район</t>
  </si>
  <si>
    <t>р. Кшень</t>
  </si>
  <si>
    <t>с. Кшень</t>
  </si>
  <si>
    <t>р. Расховец</t>
  </si>
  <si>
    <t>с.Нижнее Гурово</t>
  </si>
  <si>
    <t>с.Верхние Апочки</t>
  </si>
  <si>
    <t>р.Кшень</t>
  </si>
  <si>
    <t>д. Пожидаевка</t>
  </si>
  <si>
    <t>бал.Мочаковский Лог</t>
  </si>
  <si>
    <t>х. Сенное</t>
  </si>
  <si>
    <t>р.Грязная</t>
  </si>
  <si>
    <t>р.Городище</t>
  </si>
  <si>
    <t>с.2-Подгородище</t>
  </si>
  <si>
    <t>бал.Гремячий Колодезь</t>
  </si>
  <si>
    <t>с.Верхнее Гурово</t>
  </si>
  <si>
    <t>руч.Синее Озеро</t>
  </si>
  <si>
    <t>с.Панское</t>
  </si>
  <si>
    <t>бал. Мелихов Лог
(Водопадный Колодезь)</t>
  </si>
  <si>
    <t>с.Мелихово</t>
  </si>
  <si>
    <t>с.Волжанец</t>
  </si>
  <si>
    <t>с.Шишкино</t>
  </si>
  <si>
    <t>р.Крестище</t>
  </si>
  <si>
    <t>с.Афанасьевка</t>
  </si>
  <si>
    <t>п.Кшень (верховина)</t>
  </si>
  <si>
    <t>р.Грайворонка</t>
  </si>
  <si>
    <t>с.Нижняя Грайворонка</t>
  </si>
  <si>
    <t>с. Раково</t>
  </si>
  <si>
    <t>р. Кшень 
(плотина  системы Пуаре)</t>
  </si>
  <si>
    <t>п.Кшень</t>
  </si>
  <si>
    <t>Солнцевский район</t>
  </si>
  <si>
    <t>р.Ивица</t>
  </si>
  <si>
    <t>с.Никольское</t>
  </si>
  <si>
    <t>р.Хан</t>
  </si>
  <si>
    <t>с.2-е Апухтино</t>
  </si>
  <si>
    <t>р.Лещинка</t>
  </si>
  <si>
    <t>с.Ефросимовка</t>
  </si>
  <si>
    <t>д. Нижняя Ивица</t>
  </si>
  <si>
    <t>(руч. б/н) — приток р.Лещинка</t>
  </si>
  <si>
    <t>с.Гололобовка</t>
  </si>
  <si>
    <t>руч.Колодец</t>
  </si>
  <si>
    <t>х.Ржаво -  Плота (пруд №2)</t>
  </si>
  <si>
    <t>х.Ржаво - Плота (пруд №1)</t>
  </si>
  <si>
    <t>бал.Плота</t>
  </si>
  <si>
    <t>с.Семеновка</t>
  </si>
  <si>
    <t>х.Красная Плота</t>
  </si>
  <si>
    <t>руч.Меловский</t>
  </si>
  <si>
    <t>х.Возрождение</t>
  </si>
  <si>
    <t>с.Большая Ивица</t>
  </si>
  <si>
    <t>х.Малая Ивица</t>
  </si>
  <si>
    <t>руч.Плоский</t>
  </si>
  <si>
    <t>с.Воробьевка</t>
  </si>
  <si>
    <t>р. Ивица</t>
  </si>
  <si>
    <t>с. Черемошное</t>
  </si>
  <si>
    <t>Тимский район</t>
  </si>
  <si>
    <t>р.Гнилуша</t>
  </si>
  <si>
    <t>с. Гнилое</t>
  </si>
  <si>
    <t>р. Головище</t>
  </si>
  <si>
    <t>с. Погожее</t>
  </si>
  <si>
    <t>руч.Коровинка</t>
  </si>
  <si>
    <t>с.Введенка</t>
  </si>
  <si>
    <t>д.Луневка</t>
  </si>
  <si>
    <t>с.Щиголевка</t>
  </si>
  <si>
    <t>с.Чернышевка</t>
  </si>
  <si>
    <t>п.Красный Октябрь</t>
  </si>
  <si>
    <t>руч.Леженьки</t>
  </si>
  <si>
    <t>с.Успенка</t>
  </si>
  <si>
    <t>руч. Верхняя Кшень</t>
  </si>
  <si>
    <t>с. Рогозецкий Колодезь</t>
  </si>
  <si>
    <t>Фатежский район</t>
  </si>
  <si>
    <t>руч.Хотемль</t>
  </si>
  <si>
    <t>с. Миролюбово</t>
  </si>
  <si>
    <t>р. Красавка</t>
  </si>
  <si>
    <t>с. Горки</t>
  </si>
  <si>
    <t>бал. Корытов Лог</t>
  </si>
  <si>
    <t>д. Копанёвка</t>
  </si>
  <si>
    <t>руч. Гниловодчик</t>
  </si>
  <si>
    <t>с. Хмелевое</t>
  </si>
  <si>
    <t>руч.Никовец</t>
  </si>
  <si>
    <t>с.Алисово</t>
  </si>
  <si>
    <t>р. Желень</t>
  </si>
  <si>
    <t>с.Нижний Реут</t>
  </si>
  <si>
    <t>р. Бычок</t>
  </si>
  <si>
    <t>х.Бычки</t>
  </si>
  <si>
    <t>х.Малинов</t>
  </si>
  <si>
    <t>руч.Шмарный</t>
  </si>
  <si>
    <t>д.Шмарное</t>
  </si>
  <si>
    <t>г.Фатеж (ул. Никитская и ул. Высоцкого)</t>
  </si>
  <si>
    <t>руч. Фатежик</t>
  </si>
  <si>
    <t>г. Фатеж (Фатежский городской пруд)</t>
  </si>
  <si>
    <t>с.Горки (д. Колычево)</t>
  </si>
  <si>
    <t>руч.Любаж</t>
  </si>
  <si>
    <t>с.Верхний Любаж</t>
  </si>
  <si>
    <t>Черемисиновский район</t>
  </si>
  <si>
    <t>руч. Свистун</t>
  </si>
  <si>
    <t>с. Новая Даниловка</t>
  </si>
  <si>
    <t>руч. Савинец</t>
  </si>
  <si>
    <t>с. Петрово-Хутарь</t>
  </si>
  <si>
    <t>р.Толстая</t>
  </si>
  <si>
    <t>д. Чубаровка</t>
  </si>
  <si>
    <t>р.Толстый Колодезь</t>
  </si>
  <si>
    <t>с. 2-я Знаменка</t>
  </si>
  <si>
    <t>руч.Ольховатец</t>
  </si>
  <si>
    <t>с.Нижнеольхо-ватое</t>
  </si>
  <si>
    <t>бал.Крутой Верх</t>
  </si>
  <si>
    <t>д.Хмелевская</t>
  </si>
  <si>
    <t>Щигровский район</t>
  </si>
  <si>
    <t>р. Косоржа</t>
  </si>
  <si>
    <t>с.Большой Змеинец</t>
  </si>
  <si>
    <t>д.Косоржа (Быковка)</t>
  </si>
  <si>
    <t>р.Нетрубеж</t>
  </si>
  <si>
    <t>д.Пересуха</t>
  </si>
  <si>
    <t>р. Теребуж</t>
  </si>
  <si>
    <t>д.Сербинка 
(с. Нижний Теребуж)</t>
  </si>
  <si>
    <t xml:space="preserve">Понижен. 
</t>
  </si>
  <si>
    <t>д. Кривцовка</t>
  </si>
  <si>
    <t>с.Большая Сергеевка</t>
  </si>
  <si>
    <t>руч. Полевая Плота</t>
  </si>
  <si>
    <t>с.Сергеевка</t>
  </si>
  <si>
    <t xml:space="preserve">Неудовлет.
</t>
  </si>
  <si>
    <t>с.Малый Щигорчик</t>
  </si>
  <si>
    <t>руч.Гремячий</t>
  </si>
  <si>
    <t>д. Петровка</t>
  </si>
  <si>
    <t>с.Тестово</t>
  </si>
  <si>
    <t>р. Щигор</t>
  </si>
  <si>
    <t xml:space="preserve">г.Щигры </t>
  </si>
  <si>
    <t>р.Рать</t>
  </si>
  <si>
    <t>с. 2-е Мелехино (д. Пушкарка)</t>
  </si>
  <si>
    <t>р.Озеренка</t>
  </si>
  <si>
    <t>с. Вышняя Озерна</t>
  </si>
  <si>
    <t>бал.Змеинец</t>
  </si>
  <si>
    <t>д.Заречье</t>
  </si>
  <si>
    <t>г.Щигры
ст.Удобрительная</t>
  </si>
  <si>
    <t>с.Вязовое</t>
  </si>
  <si>
    <t>р. Полевая Плота</t>
  </si>
  <si>
    <t>г. Щигры</t>
  </si>
  <si>
    <t>руч.Щигорчик</t>
  </si>
  <si>
    <t>сл.Пригородная</t>
  </si>
  <si>
    <t xml:space="preserve">д.Озерки </t>
  </si>
  <si>
    <t>руч.Кунач</t>
  </si>
  <si>
    <t>с.Грот</t>
  </si>
  <si>
    <t>д.Кунач</t>
  </si>
  <si>
    <t>руч.Гремячка</t>
  </si>
  <si>
    <t>с.Маковка</t>
  </si>
  <si>
    <t>д.Длинная</t>
  </si>
  <si>
    <t>руч. Гремячий</t>
  </si>
  <si>
    <t>д. Маковка</t>
  </si>
  <si>
    <t>р.Теребуж</t>
  </si>
  <si>
    <t>с. Богородицкое</t>
  </si>
  <si>
    <t>р. Озеренка</t>
  </si>
  <si>
    <t>с. Нижняя Озерна</t>
  </si>
  <si>
    <t>накопитель жидких промышленных отходов, пруд-охладитель</t>
  </si>
  <si>
    <t xml:space="preserve"> - бесхозяйные  ГТС</t>
  </si>
  <si>
    <t>Собственник ГТС</t>
  </si>
  <si>
    <t>Координаты</t>
  </si>
  <si>
    <r>
      <t>Объем
тыс. м</t>
    </r>
    <r>
      <rPr>
        <b/>
        <vertAlign val="superscript"/>
        <sz val="11"/>
        <rFont val="Times New Roman"/>
        <family val="1"/>
        <charset val="204"/>
      </rPr>
      <t>3</t>
    </r>
    <r>
      <rPr>
        <b/>
        <sz val="11"/>
        <color rgb="FF000000"/>
        <rFont val="Times New Roman"/>
        <family val="1"/>
        <charset val="204"/>
      </rPr>
      <t xml:space="preserve"> проектный</t>
    </r>
  </si>
  <si>
    <t>ЗАО «Рыбхоз «Знаменский»</t>
  </si>
  <si>
    <t>ООО «КурскПромСтандарт»</t>
  </si>
  <si>
    <t>МО «поселок Горшечное»</t>
  </si>
  <si>
    <t>Базаров Валерий Викторович</t>
  </si>
  <si>
    <t>НОВАЯ ГТС</t>
  </si>
  <si>
    <t>п.Первоавгустовский</t>
  </si>
  <si>
    <t>МО «Дерюгинский сельсовет»</t>
  </si>
  <si>
    <t>МО «Дмитриевский район»</t>
  </si>
  <si>
    <t>МО «Поповкинский с/с»</t>
  </si>
  <si>
    <t>МО «Первоавгустовский с/с»</t>
  </si>
  <si>
    <t>МО «Крупецкого с/с»</t>
  </si>
  <si>
    <t>Примечания/ номера из 24г</t>
  </si>
  <si>
    <t>АО «Михайловский ГОК им. А.В. Варичева»</t>
  </si>
  <si>
    <t xml:space="preserve">52.366489  </t>
  </si>
  <si>
    <t>35.428050</t>
  </si>
  <si>
    <t>МО "Разветьевский сельсовет"</t>
  </si>
  <si>
    <t>Муниципальное образование «Город Железногорск» Курской области</t>
  </si>
  <si>
    <t>ЗАО «Заря»</t>
  </si>
  <si>
    <t>ЗАО «Голубая нива»</t>
  </si>
  <si>
    <t>ЗАО «ЖВРЗ»</t>
  </si>
  <si>
    <t>ООО «Восход»</t>
  </si>
  <si>
    <t>Сельскохозяйственный производственный кооператив «Заречье»</t>
  </si>
  <si>
    <t>Рудомётов Александр Владимирович</t>
  </si>
  <si>
    <t>Капустин Сергей Игоревич</t>
  </si>
  <si>
    <t>Администрация Донского сельсовета</t>
  </si>
  <si>
    <t xml:space="preserve">Администрация Ануфриевского сельсовета </t>
  </si>
  <si>
    <t>Бобков Михаил Александрович</t>
  </si>
  <si>
    <t>ООО «Пристенская зерновая компания»</t>
  </si>
  <si>
    <t>Администрация Дмитриевского сельсовета</t>
  </si>
  <si>
    <t>Бесхозяйный объект</t>
  </si>
  <si>
    <t>Администрация Касторенского района</t>
  </si>
  <si>
    <t>ООО  «Горяйново Агро»</t>
  </si>
  <si>
    <t xml:space="preserve">МО «Мелавский сельсовет» </t>
  </si>
  <si>
    <t>Пигарев Павел Александрович</t>
  </si>
  <si>
    <t>МО «Егорьевский сельсовет»</t>
  </si>
  <si>
    <t>МО «Касторенский район»</t>
  </si>
  <si>
    <t>Администрация Касторенского района (оформляется право собственности)</t>
  </si>
  <si>
    <t>ООО «Олымский сахарный завод»</t>
  </si>
  <si>
    <t>ЗАО «Рыбхоз Прогресс»</t>
  </si>
  <si>
    <t>ЗАО «Рыбхоз Прогресс» (с марта 2022 сменился владелец на ТК Рыбхоз Прогресс).</t>
  </si>
  <si>
    <t>ИП Тертычный Борис Дмитриевич</t>
  </si>
  <si>
    <t>МО «Наумовский с/с»</t>
  </si>
  <si>
    <t>Бабанин Андрей Сергеевич</t>
  </si>
  <si>
    <t>МО «Машкинский с/с»</t>
  </si>
  <si>
    <t>«Малогородьковский с/с»</t>
  </si>
  <si>
    <t>ООО «Курск-Агро», ИНН 4625005659</t>
  </si>
  <si>
    <t>Караулов А. В.</t>
  </si>
  <si>
    <t xml:space="preserve"> 51,853694°</t>
  </si>
  <si>
    <t xml:space="preserve"> 36,000944°</t>
  </si>
  <si>
    <t xml:space="preserve"> 51,856478°</t>
  </si>
  <si>
    <t xml:space="preserve"> 36,004162°</t>
  </si>
  <si>
    <t xml:space="preserve">Андросов Д.В. </t>
  </si>
  <si>
    <t>Хижнякова Н.В.</t>
  </si>
  <si>
    <t xml:space="preserve"> Шелехова Лилия Михайловна</t>
  </si>
  <si>
    <t>МО «Курский район»</t>
  </si>
  <si>
    <t>Алексеев Игорь Иванович</t>
  </si>
  <si>
    <t>ООО «Птицефабрика Курская»</t>
  </si>
  <si>
    <t>ФГУП «Учхоз «Знаменский»</t>
  </si>
  <si>
    <t>Брусенцев С В.</t>
  </si>
  <si>
    <t>Махов С.А.</t>
  </si>
  <si>
    <t>Ващенко Ю.А.</t>
  </si>
  <si>
    <t>МО «Новопоселеновский сельсовет»</t>
  </si>
  <si>
    <t>МО «Моковский с/с»</t>
  </si>
  <si>
    <t>Захарова В.С.</t>
  </si>
  <si>
    <t>Девянин Евгений Алексеевич</t>
  </si>
  <si>
    <t>Комитет ЖКХ г. Курска</t>
  </si>
  <si>
    <t>Караулов А.В.</t>
  </si>
  <si>
    <t>Пожидаев А. А.</t>
  </si>
  <si>
    <t>МО «Нижнемедведецкий с/с»</t>
  </si>
  <si>
    <t xml:space="preserve">Филиал ПАО «Квадра»- "Курская генерация" </t>
  </si>
  <si>
    <t>ОКУ «УЭ ГТС», 400-245</t>
  </si>
  <si>
    <t>руч. Любовая Мелоница</t>
  </si>
  <si>
    <r>
      <t>руч.</t>
    </r>
    <r>
      <rPr>
        <sz val="11"/>
        <rFont val="Times New Roman"/>
        <family val="1"/>
        <charset val="204"/>
      </rPr>
      <t>б/н</t>
    </r>
  </si>
  <si>
    <t>руч. Вшивка</t>
  </si>
  <si>
    <t>с. Раздолье</t>
  </si>
  <si>
    <t>Проскурин Сергей Александрович</t>
  </si>
  <si>
    <t xml:space="preserve">МО «Медвенский район» </t>
  </si>
  <si>
    <t>ООО «Верга плюс»</t>
  </si>
  <si>
    <t xml:space="preserve">ОГУП «Курский рыборазводный завод»  </t>
  </si>
  <si>
    <t>КФХ ИП Веревкин Ю.Г.</t>
  </si>
  <si>
    <t>Комитет по управлению имуществом Курской области</t>
  </si>
  <si>
    <t>ООО рыбоводческая фирма «Нептун»</t>
  </si>
  <si>
    <t>МО «Чермошнянский сельсовет»</t>
  </si>
  <si>
    <t>ООО «Китаевка»</t>
  </si>
  <si>
    <t xml:space="preserve">51.500615 </t>
  </si>
  <si>
    <t xml:space="preserve">  36.295635</t>
  </si>
  <si>
    <t>Комитет по управлению имуществом Курской обл. ГУПКО «Курский рыборазводной завод» Мордавченко Владимир Валерьевич</t>
  </si>
  <si>
    <t>ООО «Возрождение»</t>
  </si>
  <si>
    <t xml:space="preserve">51.245257   </t>
  </si>
  <si>
    <t xml:space="preserve"> 35.844259</t>
  </si>
  <si>
    <t>Алфимов Александр Павлович</t>
  </si>
  <si>
    <t>МО «Башкатовский сельсовет»</t>
  </si>
  <si>
    <t>ИП Денисьев А. И.</t>
  </si>
  <si>
    <t>МО «Быкановский сельсовет»</t>
  </si>
  <si>
    <t>ИП Бабин Сергей
Николаевич</t>
  </si>
  <si>
    <t>ГУПКО «Курский рыборазводной завод» Мордавченко Владимир Валерьевич</t>
  </si>
  <si>
    <t>Кривошлыкова Вера Сергеевна</t>
  </si>
  <si>
    <t>ИП Денисьев Александр Иванович</t>
  </si>
  <si>
    <t>МО «Котельниковский сельсовет»</t>
  </si>
  <si>
    <t>МО «Рудавский сельсовет»</t>
  </si>
  <si>
    <t>Галкин Александр Андреевич</t>
  </si>
  <si>
    <t>МО «Афанасьевский сельсовет»</t>
  </si>
  <si>
    <t>МО «Усланский с/с»</t>
  </si>
  <si>
    <t>ФГУ «Курскмелиоводхоз»</t>
  </si>
  <si>
    <t>Маслов С.С .</t>
  </si>
  <si>
    <t xml:space="preserve">51.709923 </t>
  </si>
  <si>
    <t>35.868968</t>
  </si>
  <si>
    <t xml:space="preserve">Ломакин А.С. </t>
  </si>
  <si>
    <t xml:space="preserve"> Иванноков Н.И.</t>
  </si>
  <si>
    <t>МО «Катыренский сельсовет»</t>
  </si>
  <si>
    <t>Администрация Поселка Прямицыно</t>
  </si>
  <si>
    <t xml:space="preserve">51.625030   </t>
  </si>
  <si>
    <t>35.955087</t>
  </si>
  <si>
    <t xml:space="preserve">Волгин Л.Д. </t>
  </si>
  <si>
    <t xml:space="preserve">Агарков Г.И. </t>
  </si>
  <si>
    <t xml:space="preserve">51.521252  </t>
  </si>
  <si>
    <t xml:space="preserve">   35.915457</t>
  </si>
  <si>
    <t>Шуленин Евгений Владимирович</t>
  </si>
  <si>
    <t>МО «Ольховатского сельсовета»</t>
  </si>
  <si>
    <t>МО Верхне-Смородинского сельсовета</t>
  </si>
  <si>
    <t xml:space="preserve"> 52,174460°</t>
  </si>
  <si>
    <t xml:space="preserve"> 36,198300°</t>
  </si>
  <si>
    <t>МО «Первомайский сельсовет»</t>
  </si>
  <si>
    <t>МО «2-го Поныровского сельсовета»</t>
  </si>
  <si>
    <t>ООО «Рыбхоз «Бобрышево»</t>
  </si>
  <si>
    <t>Афанасьев Г.</t>
  </si>
  <si>
    <t>МО «поселок Кировский»</t>
  </si>
  <si>
    <t>ООО «Рыбхоз "Бобрышево»</t>
  </si>
  <si>
    <t>Курганский М. Н.</t>
  </si>
  <si>
    <t>МО «Черновецкий район»</t>
  </si>
  <si>
    <t>МО «Среднеольшанский сельсовет»</t>
  </si>
  <si>
    <t>Курганский М.Н.,
Курганская  И.В.</t>
  </si>
  <si>
    <t>Курганский М.Н.
Курганская  И.В.</t>
  </si>
  <si>
    <t>Пигорев А.А.</t>
  </si>
  <si>
    <t>Алтухов С.И.</t>
  </si>
  <si>
    <t>Сойников Александр Кузмич/ Валентина Ивановна</t>
  </si>
  <si>
    <t>МО «Пристенский с/с»</t>
  </si>
  <si>
    <t>Рыбхоз «Октябрьский»</t>
  </si>
  <si>
    <t>КФХ Барановский Сергей Витальевич</t>
  </si>
  <si>
    <t>МО «Мансуровский сельсовет»</t>
  </si>
  <si>
    <t>Бесхозяйный объект заменено СПК «Александровский»</t>
  </si>
  <si>
    <t>МО «Волжанский сельсовет»</t>
  </si>
  <si>
    <t>АО «Кшенский сахарный комбинат»</t>
  </si>
  <si>
    <t>ЗАО «Рыбхоз «Солнцевский»</t>
  </si>
  <si>
    <t>ИП Алмосов Дмитрий Иванович</t>
  </si>
  <si>
    <t>МО «Старолещинский сельсовет»</t>
  </si>
  <si>
    <t>МО «Солцевский район»</t>
  </si>
  <si>
    <t>МО «Солнцевский район»</t>
  </si>
  <si>
    <t>ООО «Защитное-Юг»</t>
  </si>
  <si>
    <t>ООО «Причал рыбака»</t>
  </si>
  <si>
    <t>МО «Ивановский сельсовет»</t>
  </si>
  <si>
    <t xml:space="preserve">МО «Шумаковский сельсовет» </t>
  </si>
  <si>
    <t xml:space="preserve">51.5864944  </t>
  </si>
  <si>
    <t>36.8274384</t>
  </si>
  <si>
    <t xml:space="preserve">МО «Ивановский сельсовет» </t>
  </si>
  <si>
    <t xml:space="preserve">51.387868   </t>
  </si>
  <si>
    <t xml:space="preserve"> 36.563785</t>
  </si>
  <si>
    <t>Дежин Владимир Александрович</t>
  </si>
  <si>
    <t>Савостин Артур Иванович</t>
  </si>
  <si>
    <t>Холин Андрей Анатольевич</t>
  </si>
  <si>
    <t>Шашков Василий Егорович</t>
  </si>
  <si>
    <t>Енин Александр Степанович</t>
  </si>
  <si>
    <t>МО «Быстрецкий сельсовет»</t>
  </si>
  <si>
    <t>Губанов Юрий Анатольевич</t>
  </si>
  <si>
    <t>Пеньков Сергей Михайлович</t>
  </si>
  <si>
    <t>МО «Ленинский сельсовет»</t>
  </si>
  <si>
    <t>МО «Верхнехотемльский с/с»</t>
  </si>
  <si>
    <t>МО «Банинский с/с»</t>
  </si>
  <si>
    <t>МО «Миленинский с/с»</t>
  </si>
  <si>
    <t>МО «Молотычевский с/с»</t>
  </si>
  <si>
    <t>Трошин С.Н.</t>
  </si>
  <si>
    <t>МО «Русановский с/с»</t>
  </si>
  <si>
    <t>МО «Большеанненковский с/с»</t>
  </si>
  <si>
    <t xml:space="preserve">52.095118 </t>
  </si>
  <si>
    <t xml:space="preserve"> 36.064587</t>
  </si>
  <si>
    <t>МО «Глебовский с/с»</t>
  </si>
  <si>
    <t>МО «город Фатеж»</t>
  </si>
  <si>
    <t xml:space="preserve">51.940865  </t>
  </si>
  <si>
    <t>35.813443</t>
  </si>
  <si>
    <t>Муниципальный район «Черемисиновский район»</t>
  </si>
  <si>
    <t>ООО «Заря»</t>
  </si>
  <si>
    <t xml:space="preserve">51.784295   </t>
  </si>
  <si>
    <t>37.224596</t>
  </si>
  <si>
    <t xml:space="preserve">51.907225   </t>
  </si>
  <si>
    <t>37.270422</t>
  </si>
  <si>
    <t>МО «Большезмеинский с/с»</t>
  </si>
  <si>
    <t>МО «Косоржанский сельсовет»»</t>
  </si>
  <si>
    <t>Коньшин Глеб Николаевич</t>
  </si>
  <si>
    <t>ООО «Руслан»</t>
  </si>
  <si>
    <t>Хижнякова Наталья Петровна</t>
  </si>
  <si>
    <t>Право общей долевой собственности (по ½)
Жилин Денис Сергеевич
Гордеев Роман Геннадьевич</t>
  </si>
  <si>
    <t>Харский Николай Петрович</t>
  </si>
  <si>
    <t>МО «г.Щигры»</t>
  </si>
  <si>
    <t>Чаркин Николай Николаевич</t>
  </si>
  <si>
    <t>МО «Защитенский сельсовет»</t>
  </si>
  <si>
    <t xml:space="preserve">МО «Большезмеинский сельсовет» </t>
  </si>
  <si>
    <t>МО г. Щигры</t>
  </si>
  <si>
    <t>МО «Вязовский с/с»</t>
  </si>
  <si>
    <t>МО «Пригородненский с/с»</t>
  </si>
  <si>
    <t>МО «Озерский сельсовет»</t>
  </si>
  <si>
    <t>Высоцкий Геннадий Валентинович</t>
  </si>
  <si>
    <t>МО «Никольский с/с»</t>
  </si>
  <si>
    <t>Носорев Эдуард Игоревич</t>
  </si>
  <si>
    <t>ОАО «СОМ»</t>
  </si>
  <si>
    <t xml:space="preserve">коментарии </t>
  </si>
  <si>
    <t>Не  проведено  обследование   паводкового  водосброса (обеспечен свободный доступ  к водосбросу)</t>
  </si>
  <si>
    <t>Не  проведено    обследование    донных  водоспусков</t>
  </si>
  <si>
    <t>в  теле  плотины  расположены  два  донных  водоспуска    и  паводковый  водосброс</t>
  </si>
  <si>
    <t xml:space="preserve">новые координаты </t>
  </si>
  <si>
    <t xml:space="preserve">51.199397  </t>
  </si>
  <si>
    <t>36.355451</t>
  </si>
  <si>
    <t>не обследован донный водоспуск</t>
  </si>
  <si>
    <t xml:space="preserve">обследование  донного  водоспуска  не  проводилось  </t>
  </si>
  <si>
    <t>с. Сельцо Грязное 
(д. Александровка)</t>
  </si>
  <si>
    <t>Обследование донного  водоспуска  не  проводилось</t>
  </si>
  <si>
    <t>ранее было указано что по данным координатам находилась 237ГТС (с.никольское)</t>
  </si>
  <si>
    <t>ранее было указано что по данным координатам находилась 238ГТС (с.2-е Апухтино)</t>
  </si>
  <si>
    <t>донный  водоспуск  расположен  в левом  плече  плотины, его  обследование  не проводилось</t>
  </si>
  <si>
    <t>В теле  плотины   размещён один паводковый   водосброс  и  один донный  водоспуск.  Сооружения в теле плотины  находятся   на большом  расстоянии  друг  от  друга</t>
  </si>
  <si>
    <t>в теле  плотины    два  донных  водоспуска  и  два  водосбросных  сооружения</t>
  </si>
  <si>
    <t>+</t>
  </si>
  <si>
    <t>НЕ ОБСЛЕДОВАНЫ (в том числе новые)</t>
  </si>
  <si>
    <t>NAME, latitude, longitude</t>
  </si>
  <si>
    <t xml:space="preserve"> 51.724597</t>
  </si>
  <si>
    <t xml:space="preserve"> 36.212763</t>
  </si>
  <si>
    <t xml:space="preserve"> 52.094149</t>
  </si>
  <si>
    <t xml:space="preserve"> 35.867493</t>
  </si>
  <si>
    <t>1, 51.4877586, 37.7399521</t>
  </si>
  <si>
    <t>2, 51.3863106, 38.0577087</t>
  </si>
  <si>
    <t>3, 51.4748344, 37.8949661</t>
  </si>
  <si>
    <t>4, 51.5884781, 38.0834579</t>
  </si>
  <si>
    <t>5, 51.4909439, 37.8334656</t>
  </si>
  <si>
    <t>6, 51.4770241, 38.1059875</t>
  </si>
  <si>
    <t>7, 51.5257607, 37.6864662</t>
  </si>
  <si>
    <t>8, 51.5226669, 37.5725746</t>
  </si>
  <si>
    <t>9, 51.5533638, 37.74049</t>
  </si>
  <si>
    <t>10, 51.4844322, 37.8736572</t>
  </si>
  <si>
    <t>11, 51.4903488, 37.9278717</t>
  </si>
  <si>
    <t>12,  51.527609,  38.045661</t>
  </si>
  <si>
    <t>13, 52.2092094, 35.0605774</t>
  </si>
  <si>
    <t>14, 52.0028839, 34.9315529</t>
  </si>
  <si>
    <t>15, 52.1370087, 34.8437996</t>
  </si>
  <si>
    <t>16, 52.0671959, 35.297905</t>
  </si>
  <si>
    <t>17, 52.0422173, 34.8942719</t>
  </si>
  <si>
    <t>18, 52.2317123, 34.9930077</t>
  </si>
  <si>
    <t>19, 52.1672859, 34.8637238</t>
  </si>
  <si>
    <t>20, 52.0455208, 34.9012337</t>
  </si>
  <si>
    <t>21, 52.2243462, 35.0537033</t>
  </si>
  <si>
    <t>22, 52.0053024, 34.7567711</t>
  </si>
  <si>
    <t>23, 52.1573067, 34.9555321</t>
  </si>
  <si>
    <t>24, 52.1381874, 35.089077</t>
  </si>
  <si>
    <t>25, 52.2465706, 35.0393486</t>
  </si>
  <si>
    <t>26, 52.2770004, 34.9172707</t>
  </si>
  <si>
    <t>27, 52.3089638, 35.075676</t>
  </si>
  <si>
    <t>28, 52.1777534, 34.8556595</t>
  </si>
  <si>
    <t>29, 52.2315102, 35.5625954</t>
  </si>
  <si>
    <t>30, 52.366489  , 35.428050</t>
  </si>
  <si>
    <t>31, 52.348408, 35.445658</t>
  </si>
  <si>
    <t>32, 52.3091469, 35.2281876</t>
  </si>
  <si>
    <t>33, 52.2883186, 35.2413406</t>
  </si>
  <si>
    <t>34, 52.3153114, 35.3580208</t>
  </si>
  <si>
    <t>35, 52.1062202, 35.5379906</t>
  </si>
  <si>
    <t>36, 52.2174606, 35.4908943</t>
  </si>
  <si>
    <t>37, 52.1460457, 35.4437294</t>
  </si>
  <si>
    <t>38, 52.2234268, 35.5369606</t>
  </si>
  <si>
    <t>39, 52.2239227, 35.5303993</t>
  </si>
  <si>
    <t>40, 52.3661079, 35.2399521</t>
  </si>
  <si>
    <t>41, 52.345918, 35.377458</t>
  </si>
  <si>
    <t>42, 52.2972336, 35.514183</t>
  </si>
  <si>
    <t>43, 52.3257751, 35.5229225</t>
  </si>
  <si>
    <t>44, 52.3571091, 35.4075165</t>
  </si>
  <si>
    <t>45, 52.122388, 36.368276</t>
  </si>
  <si>
    <t>46, 52.0713158, 36.5624428</t>
  </si>
  <si>
    <t>47, 52.0642357, 36.3461304</t>
  </si>
  <si>
    <t>48, 52.0422897, 36.42939</t>
  </si>
  <si>
    <t>49, 52.0710487, 36.4697227</t>
  </si>
  <si>
    <t>50, 52.1003036, 36.4641953</t>
  </si>
  <si>
    <t>51, 52.1858749, 36.5871506</t>
  </si>
  <si>
    <t>52, 52.0594864, 36.6213989</t>
  </si>
  <si>
    <t>53, 51.965229, 36.5758743</t>
  </si>
  <si>
    <t>54, 52.1006927, 36.3257332</t>
  </si>
  <si>
    <t>55, 51.9515266, 36.3850975</t>
  </si>
  <si>
    <t>56, 52.0340919, 36.2635307</t>
  </si>
  <si>
    <t>57, 51.9621658, 36.244133</t>
  </si>
  <si>
    <t>58, 51.9301643, 36.1540871</t>
  </si>
  <si>
    <t>59, 52.0206909, 36.336319</t>
  </si>
  <si>
    <t>60, 51.7016678, 38.0686874</t>
  </si>
  <si>
    <t>61, 51.7102852, 37.8495522</t>
  </si>
  <si>
    <t>62, 51.7409019, 38.1822739</t>
  </si>
  <si>
    <t>63, 51.8315048, 38.3945999</t>
  </si>
  <si>
    <t>64, 51.8490944, 38.3235092</t>
  </si>
  <si>
    <t>65, 51.7221718, 38.1344376</t>
  </si>
  <si>
    <t>66, 51.8293152, 37.9282951</t>
  </si>
  <si>
    <t>67, 51.8292999, 38.0309792</t>
  </si>
  <si>
    <t>68, 51.7542725, 37.9682274</t>
  </si>
  <si>
    <t>69,  51.754245,  37.999853</t>
  </si>
  <si>
    <t>70, 51.717197, 38.066315</t>
  </si>
  <si>
    <t>71, 51.9372368, 38.2985916</t>
  </si>
  <si>
    <t>72, 51.733575, 37.876104</t>
  </si>
  <si>
    <t>73, 51.7761002, 38.1504364</t>
  </si>
  <si>
    <t>74, 51.9822655, 35.3127556</t>
  </si>
  <si>
    <t>75, 51.927139, 35.453646</t>
  </si>
  <si>
    <t>76, 51.903141, 35.4564018</t>
  </si>
  <si>
    <t>77, 51.8042526, 35.3657265</t>
  </si>
  <si>
    <t>78, 51.9043999, 35.1368141</t>
  </si>
  <si>
    <t>79, 51.7991295, 35.2228699</t>
  </si>
  <si>
    <t>80, 51.9480896, 35.4503555</t>
  </si>
  <si>
    <t>81, 51.813015, 35.235749</t>
  </si>
  <si>
    <t>82, 51.9547768, 35.3156281</t>
  </si>
  <si>
    <t>83, 51.8691368, 35.51474</t>
  </si>
  <si>
    <t>84, 51.8756714, 35.2947807</t>
  </si>
  <si>
    <t>85, 51.5913315, 36.2950363</t>
  </si>
  <si>
    <t>86, 51853694, 36000944</t>
  </si>
  <si>
    <t>87, 51856478, 36004162</t>
  </si>
  <si>
    <t>88, 51.8899651, 36.0430412</t>
  </si>
  <si>
    <t>89, 51.8226852, 36.3267441</t>
  </si>
  <si>
    <t>90, 51.8057213, 36.2714577</t>
  </si>
  <si>
    <t>91, 51.8229103, 35.9549141</t>
  </si>
  <si>
    <t>92, 51.8627396, 36.0313759</t>
  </si>
  <si>
    <t>93, 51.820755, 36.483465</t>
  </si>
  <si>
    <t>94, 51.6445236, 36.3657646</t>
  </si>
  <si>
    <t>95, 51.6371498, 36.0204048</t>
  </si>
  <si>
    <t>96, 51.8469315, 36.4357185</t>
  </si>
  <si>
    <t>97, 51.844386, 36.410511</t>
  </si>
  <si>
    <t>98, 51.779468, 36.154226</t>
  </si>
  <si>
    <t>99, 51.8690605, 36.0235443</t>
  </si>
  <si>
    <t>100, 51.8622131, 36.0128822</t>
  </si>
  <si>
    <t>101, 51.8314705, 36.0028229</t>
  </si>
  <si>
    <t>102, 51.7609901, 36.5769424</t>
  </si>
  <si>
    <t>103, 51.7563286, 36.5168228</t>
  </si>
  <si>
    <t>104, 51.7284813, 36.4684753</t>
  </si>
  <si>
    <t>105, 51.5743866, 36.2427864</t>
  </si>
  <si>
    <t>106, 51.6030693, 36.2704201</t>
  </si>
  <si>
    <t>107, 51.633007, 36.097805</t>
  </si>
  <si>
    <t>108, 51.7123604, 36.1002426</t>
  </si>
  <si>
    <t>109, 51.8260498, 36.4700508</t>
  </si>
  <si>
    <t>110, 51.8231049, 36.3689499</t>
  </si>
  <si>
    <t>111, 51.8125839, 36.3140793</t>
  </si>
  <si>
    <t>112, 51.9309692, 36.0349503</t>
  </si>
  <si>
    <t>113, 51.7474556, 36.1709404</t>
  </si>
  <si>
    <t>114, 51.5812531, 36.2209015</t>
  </si>
  <si>
    <t>115, 51.8664856, 35.8950272</t>
  </si>
  <si>
    <t>116, 51.8044395, 36.1427422</t>
  </si>
  <si>
    <t>117, 51.669693, 36.1206436</t>
  </si>
  <si>
    <t>118, 51.8040352, 36.2139778</t>
  </si>
  <si>
    <t>119,  51.724597,  36.212763</t>
  </si>
  <si>
    <t>120, 51.4134102, 37.1435394</t>
  </si>
  <si>
    <t>121, 51.393706, 37.387596</t>
  </si>
  <si>
    <t>122, 51.4082222, 37.3954659</t>
  </si>
  <si>
    <t>123, 51.4557686, 37.5306129</t>
  </si>
  <si>
    <t>124, 51.5521469, 37.4456406</t>
  </si>
  <si>
    <t>125, 51.3340416, 37.0920296</t>
  </si>
  <si>
    <t>126, 51.5692139, 37.2974968</t>
  </si>
  <si>
    <t>127, 51.5325851, 37.4331322</t>
  </si>
  <si>
    <t>128, 51.4875679, 37.4389229</t>
  </si>
  <si>
    <t>129, 51.4349174, 37.4392014</t>
  </si>
  <si>
    <t>130, 51.5304146, 37.2193146</t>
  </si>
  <si>
    <t>131, 51.5307083, 37.2575111</t>
  </si>
  <si>
    <t>132, 51.4362297, 37.4500809</t>
  </si>
  <si>
    <t>133, 51.5654755, 37.4485664</t>
  </si>
  <si>
    <t>134, 51.5238113, 37.2048645</t>
  </si>
  <si>
    <t>135, 51.539299, 37.365406</t>
  </si>
  <si>
    <t>136, 51.4833755, 37.3369637</t>
  </si>
  <si>
    <t>137, 51.497514, 37.104087</t>
  </si>
  <si>
    <t>138, 51.362674, 37.059192</t>
  </si>
  <si>
    <t>139, 51.363314, 37.0589</t>
  </si>
  <si>
    <t>140, 51.5512123, 36.2031441</t>
  </si>
  <si>
    <t>141, 51.440876, 35.7721443</t>
  </si>
  <si>
    <t>142, 51.4098701, 36.2340279</t>
  </si>
  <si>
    <t>143, 51.4476624, 35.9866104</t>
  </si>
  <si>
    <t>144, 51.3664703, 36.026844</t>
  </si>
  <si>
    <t>145, 51.3683357, 35.84795</t>
  </si>
  <si>
    <t>146, 51.4451866, 36.4301414</t>
  </si>
  <si>
    <t>147??,  51.395513,  36.086586</t>
  </si>
  <si>
    <t>148, 51.4205894, 36.340992</t>
  </si>
  <si>
    <t>149, 51.5161247, 36.4304352</t>
  </si>
  <si>
    <t>150, 51.5689735, 36.243103</t>
  </si>
  <si>
    <t>151, 51.5622063, 36.2307625</t>
  </si>
  <si>
    <t>152, 51.3468246, 35.9121513</t>
  </si>
  <si>
    <t>153, 51.3522873, 35.920002</t>
  </si>
  <si>
    <t>154, 51.3682404, 36.2108421</t>
  </si>
  <si>
    <t>155, 51.4221725, 36.1214027</t>
  </si>
  <si>
    <t>156, 51.4390793, 36.2386436</t>
  </si>
  <si>
    <t>157, 51.424924, 36.30919</t>
  </si>
  <si>
    <t>158, 51.500615 ,   36.295635</t>
  </si>
  <si>
    <t>159, 51.4881859, 36.3443871</t>
  </si>
  <si>
    <t>160, 51.360246, 36.110481</t>
  </si>
  <si>
    <t>161, 51.199397  , 36.355451</t>
  </si>
  <si>
    <t>162, 51.245257   ,  35.844259</t>
  </si>
  <si>
    <t>163, 51.2780952, 35.804039</t>
  </si>
  <si>
    <t>164, 51.2521553, 35.9422607</t>
  </si>
  <si>
    <t>165, 51.2063217, 35.9508171</t>
  </si>
  <si>
    <t>166, 51.2522049, 36.1500244</t>
  </si>
  <si>
    <t>167, 51.2989349, 36.3968964</t>
  </si>
  <si>
    <t>168, 51.341156, 36.2896271</t>
  </si>
  <si>
    <t>169, 51.2236633, 36.0302467</t>
  </si>
  <si>
    <t>170, 51.1977615, 36.0181427</t>
  </si>
  <si>
    <t>171, 51.221859, 36.2829094</t>
  </si>
  <si>
    <t>172, 51.322731, 36.1566963</t>
  </si>
  <si>
    <t>173, 51.2504845, 36.3435593</t>
  </si>
  <si>
    <t>174, 51.127655, 36.3628922</t>
  </si>
  <si>
    <t>175, 51.1216469, 36.3148499</t>
  </si>
  <si>
    <t>176, 51.1327438, 36.3395271</t>
  </si>
  <si>
    <t>177, 51.26474, 36.2283325</t>
  </si>
  <si>
    <t>178, 51.266861, 36.1618767</t>
  </si>
  <si>
    <t>179, 51.2767754, 36.0905418</t>
  </si>
  <si>
    <t>180, 51.239975, 36.0949898</t>
  </si>
  <si>
    <t>181, 51.2012253, 36.1455841</t>
  </si>
  <si>
    <t>182, 51.7392464, 35.8224449</t>
  </si>
  <si>
    <t>183, 51.709923 , 35.868968</t>
  </si>
  <si>
    <t>184, 51.542614, 35.9325638</t>
  </si>
  <si>
    <t>185, 51.595932, 35.7699203</t>
  </si>
  <si>
    <t>186, 51.5989532, 35.8895454</t>
  </si>
  <si>
    <t>187, 51.6274872, 35.8259659</t>
  </si>
  <si>
    <t>188, 51.7305603, 35.8138542</t>
  </si>
  <si>
    <t>189, 51.625030   , 35.955087</t>
  </si>
  <si>
    <t>190, 51.802417, 35.850629</t>
  </si>
  <si>
    <t>191, 51.521252  ,    35.915457</t>
  </si>
  <si>
    <t>192??,  51.631367,  35.971103</t>
  </si>
  <si>
    <t>193, 52.1770897, 36.3658028</t>
  </si>
  <si>
    <t>194, 52.2773514, 35.9982605</t>
  </si>
  <si>
    <t>195, 52.2704163, 36.1112785</t>
  </si>
  <si>
    <t>196,  52.174460°,  36.198300°</t>
  </si>
  <si>
    <t>197, 52.2488098, 36.36166</t>
  </si>
  <si>
    <t>198, 52.2183723, 36.3221245</t>
  </si>
  <si>
    <t>199, 52.1875877, 36.4335632</t>
  </si>
  <si>
    <t>200, 52.3108673, 36.2530975</t>
  </si>
  <si>
    <t>201, 52.2923927, 36.240078</t>
  </si>
  <si>
    <t>202, 51.2747078, 36.5324821</t>
  </si>
  <si>
    <t>203, 51.2236557, 36.9987068</t>
  </si>
  <si>
    <t>204, 51.2943916, 36.6954422</t>
  </si>
  <si>
    <t>205, 51.3260384, 36.4486389</t>
  </si>
  <si>
    <t>206, 51.2239113, 36.5270081</t>
  </si>
  <si>
    <t>207, 51.1844559, 36.7349129</t>
  </si>
  <si>
    <t>208, 51.1689758, 36.7335434</t>
  </si>
  <si>
    <t>209, 51.2636223, 36.945591</t>
  </si>
  <si>
    <t>210, 51.2171402, 36.4195175</t>
  </si>
  <si>
    <t>211, 51.2047577, 36.7235298</t>
  </si>
  <si>
    <t>212, 51.1610374, 36.6301651</t>
  </si>
  <si>
    <t>213, 51.2595215, 36.5108833</t>
  </si>
  <si>
    <t>214, 51.2055473, 36.7542877</t>
  </si>
  <si>
    <t>215, 51.2179222, 36.7090988</t>
  </si>
  <si>
    <t>216, 51.2103348, 36.7615089</t>
  </si>
  <si>
    <t>217, 51.2102432, 36.7657204</t>
  </si>
  <si>
    <t>218, 51.2043343, 36.6984673</t>
  </si>
  <si>
    <t>219, 51.1859589, 36.8299255</t>
  </si>
  <si>
    <t>220, 51.7379036, 37.4218025</t>
  </si>
  <si>
    <t>221, 51.9334145, 37.6613274</t>
  </si>
  <si>
    <t>222, 51.597702, 37.6078758</t>
  </si>
  <si>
    <t>223, 51.76437, 37.4666939</t>
  </si>
  <si>
    <t>224, 51.6437874, 37.6806831</t>
  </si>
  <si>
    <t>225, 51.7401543, 37.6417809</t>
  </si>
  <si>
    <t>226, 51.6876564, 37.5814285</t>
  </si>
  <si>
    <t>227, 51.9667206, 37.5651932</t>
  </si>
  <si>
    <t>228, 51.7489548, 37.3671112</t>
  </si>
  <si>
    <t>229, 51.8797951, 37.6705666</t>
  </si>
  <si>
    <t>230, 51.8549347, 37.7009506</t>
  </si>
  <si>
    <t>231, 51.8885422, 37.6950531</t>
  </si>
  <si>
    <t>232, 51.7252541, 37.5234756</t>
  </si>
  <si>
    <t>233, 51.718179, 37.406159</t>
  </si>
  <si>
    <t>234, 51.799712, 37.770906</t>
  </si>
  <si>
    <t>235, 51.789283, 37.530217</t>
  </si>
  <si>
    <t>236, 51.837619, 37.698993</t>
  </si>
  <si>
    <t>237, 51.422687  ,  36.716431</t>
  </si>
  <si>
    <t>238, 51.5864944, 36.8274384</t>
  </si>
  <si>
    <t>239, 51.5381279, 36.8910942</t>
  </si>
  <si>
    <t>240, 51.4089127, 36.6906586</t>
  </si>
  <si>
    <t>241, 51.5252876, 36.9415207</t>
  </si>
  <si>
    <t>242, 51.3524437, 36.7718811</t>
  </si>
  <si>
    <t>243, 51.3483467, 36.7498665</t>
  </si>
  <si>
    <t>244, 51.4798355, 36.4936752</t>
  </si>
  <si>
    <t>245, 51.3427353, 36.7304077</t>
  </si>
  <si>
    <t>246, 51.3848648, 36.6851158</t>
  </si>
  <si>
    <t>247, 51.3638458, 36.5250931</t>
  </si>
  <si>
    <t>248, 51.3462181, 36.5864143</t>
  </si>
  <si>
    <t>249, 51.452774, 36.4687195</t>
  </si>
  <si>
    <t>250, 51.5864944  , 36.8274384</t>
  </si>
  <si>
    <t>251, 51.387868   ,  36.563785</t>
  </si>
  <si>
    <t>252, 51.6795349, 37.014576</t>
  </si>
  <si>
    <t>253, 51.6021271, 37.2557297</t>
  </si>
  <si>
    <t>254, 51.5981789, 37.2627563</t>
  </si>
  <si>
    <t>255, 51.6665192, 37.1710739</t>
  </si>
  <si>
    <t>256, 51.695076, 37.2083244</t>
  </si>
  <si>
    <t>257, 51.6815948, 37.1503448</t>
  </si>
  <si>
    <t>258, 51.5932274, 37.4425201</t>
  </si>
  <si>
    <t>259, 51.6894951, 36.9917221</t>
  </si>
  <si>
    <t>260, 51.7265472, 37.1611786</t>
  </si>
  <si>
    <t>261, 51.6921844, 37.4274292</t>
  </si>
  <si>
    <t>262, 52.050106, 35.8455315</t>
  </si>
  <si>
    <t>263, 52.1837997, 35.8730202</t>
  </si>
  <si>
    <t>264, 52.0755539, 35.8983269</t>
  </si>
  <si>
    <t>265, 52.1751137, 35.9819489</t>
  </si>
  <si>
    <t>266, 51.9751244, 35.7545395</t>
  </si>
  <si>
    <t>267, 52.194088, 35.7583618</t>
  </si>
  <si>
    <t>268, 52.095118 ,  36.064587</t>
  </si>
  <si>
    <t>269, 52.0604248, 36.0667</t>
  </si>
  <si>
    <t>270, 52.085331, 35.9924202</t>
  </si>
  <si>
    <t>271,  52.094149,  35.867493</t>
  </si>
  <si>
    <t>272, 52.0948639, 35.862957</t>
  </si>
  <si>
    <t>273, 51.940865  , 35.813443</t>
  </si>
  <si>
    <t>274, 52.2236748, 35.8644638</t>
  </si>
  <si>
    <t>275, 52.0469551, 37.0062981</t>
  </si>
  <si>
    <t>276, 51.9101105, 37.227356</t>
  </si>
  <si>
    <t>277, 51.784295   , 37.224596</t>
  </si>
  <si>
    <t>278, 51.8380775, 37.1497459</t>
  </si>
  <si>
    <t>279, 51.8443031, 37.2025948</t>
  </si>
  <si>
    <t>280, 51.9975204, 37.0137634</t>
  </si>
  <si>
    <t>281, 51.907225   , 37.270422</t>
  </si>
  <si>
    <t>282, 52.0869179, 36.872715</t>
  </si>
  <si>
    <t>283, 52.1025276, 36.7659531</t>
  </si>
  <si>
    <t>284, 52.1396675, 36.7728462</t>
  </si>
  <si>
    <t>285, 52.0374947, 36.7135086</t>
  </si>
  <si>
    <t>286, 51.9526978, 36.8209038</t>
  </si>
  <si>
    <t>287, 51.9379845, 36.8563766</t>
  </si>
  <si>
    <t>288, 51.8308754, 37.0193634</t>
  </si>
  <si>
    <t>289, 51.8431206, 37.0359497</t>
  </si>
  <si>
    <t>290, 51.9482536, 36.7671051</t>
  </si>
  <si>
    <t>291, 51.7840538, 36.644371</t>
  </si>
  <si>
    <t>292, 51.877449, 36.9195976</t>
  </si>
  <si>
    <t>293, 51.8195419, 36.7447624</t>
  </si>
  <si>
    <t>294, 51.6829758, 36.7888145</t>
  </si>
  <si>
    <t>295, 52.0861473, 36.8343582</t>
  </si>
  <si>
    <t>296, 51.8754387, 36.9743042</t>
  </si>
  <si>
    <t>297, 51.889183, 36.9779854</t>
  </si>
  <si>
    <t>298, 51.8768234, 37.002739</t>
  </si>
  <si>
    <t>299, 51.8622055, 36.8969765</t>
  </si>
  <si>
    <t>300, 51.7872124, 36.8285255</t>
  </si>
  <si>
    <t>301, 51.8560486, 36.7586937</t>
  </si>
  <si>
    <t>302, 51.836628, 36.7573776</t>
  </si>
  <si>
    <t>303, 51.9360809, 36.7586098</t>
  </si>
  <si>
    <t>304, 52.0615196, 36.9693909</t>
  </si>
  <si>
    <t>305, 51.914052, 36.739522</t>
  </si>
  <si>
    <t>306, 52.010025, 36.7157555</t>
  </si>
  <si>
    <t>307, 51.7168388, 36.7388763</t>
  </si>
  <si>
    <t>308, 51.889668, 36.879337</t>
  </si>
  <si>
    <t>Администрация Горшеченского района</t>
  </si>
  <si>
    <t>р. Герасим</t>
  </si>
  <si>
    <t>ИП «Шемелинина М.Ю.»</t>
  </si>
  <si>
    <t xml:space="preserve"> ИП «Кузьминов С.В.»</t>
  </si>
  <si>
    <t>Пикалов Николай Михайлович</t>
  </si>
  <si>
    <t>Федоринова Ю.В.</t>
  </si>
  <si>
    <t>Колюпанов Евгений Владимирович</t>
  </si>
  <si>
    <t xml:space="preserve"> ООО «Курсксахарпром»</t>
  </si>
  <si>
    <t>Ширинская Татьяна Александровна</t>
  </si>
  <si>
    <t>Мацнева Елена Александровна</t>
  </si>
  <si>
    <t>Макарский Дмитрий Викторович</t>
  </si>
  <si>
    <t>Карпачев Валерий Вячеславович</t>
  </si>
  <si>
    <t>Малыхин Андрей Николаевич</t>
  </si>
  <si>
    <t>Злобин Александр Николаевич</t>
  </si>
  <si>
    <t>Медведева Ольга Ивановна</t>
  </si>
  <si>
    <t>Попадьин Валерий Викторович</t>
  </si>
  <si>
    <t>Шмырев Владимир Васильевич</t>
  </si>
  <si>
    <t>Косилов Игорь Сергеевич</t>
  </si>
  <si>
    <t>ООО «Кривец Сахар»</t>
  </si>
  <si>
    <t>ООО «Грейнрус Агро»</t>
  </si>
  <si>
    <t>МО «Нижнереутчанский сельсовет»</t>
  </si>
  <si>
    <t>МО «посёлок Медвенка»</t>
  </si>
  <si>
    <t xml:space="preserve">ООО «Чермошное» </t>
  </si>
  <si>
    <t>Гребенников В.В.</t>
  </si>
  <si>
    <t>ООО "Мираторг-Курск"</t>
  </si>
  <si>
    <t>ПРОПУСК</t>
  </si>
  <si>
    <t xml:space="preserve">Шалиманова Надежда Александровна </t>
  </si>
  <si>
    <t>МО "Почепский с/с"</t>
  </si>
  <si>
    <t>МО "Первоавгустовский с/с"</t>
  </si>
  <si>
    <t>в соответвитвии с реестром должен быть донный водоспуск но информацция отсутсвует</t>
  </si>
  <si>
    <t>Пузанова Нина Ивановна</t>
  </si>
  <si>
    <t>Лазарев Сергей Александрович</t>
  </si>
  <si>
    <t>ООО "ГЕОПРОФИ"</t>
  </si>
  <si>
    <t>МО «Студенокский сельсовет»</t>
  </si>
  <si>
    <t xml:space="preserve"> ГТС на </t>
  </si>
  <si>
    <t xml:space="preserve"> у </t>
  </si>
  <si>
    <t xml:space="preserve">Курская область, Дмитриевский район, </t>
  </si>
  <si>
    <t xml:space="preserve">Курская область, Железногорский район, </t>
  </si>
  <si>
    <t xml:space="preserve">Курская область, Конышевский район, </t>
  </si>
  <si>
    <t>не проведено обследования водосброса (в виде быстротока)</t>
  </si>
  <si>
    <t>Заехать в Министерство</t>
  </si>
  <si>
    <t>Новикова Галина Ивановна</t>
  </si>
  <si>
    <t>Замыцкий Александр Иванович</t>
  </si>
  <si>
    <t>ООО "РСК КАМЕНЬ"</t>
  </si>
  <si>
    <t>Администрация   1-го Поныровского сельсовета</t>
  </si>
  <si>
    <t>Частная собственность</t>
  </si>
  <si>
    <t>ПРОПУСК (Мираторг выполнил реконструкцию существующих  гтс - 189  этого пруда, стал пруд накопитель. Когда будете проводить обследование, напишите что   Мираторг произвел  реконструкцию гтс существующего  пруда для производственных целей. Мы исключим из перечня гтс на б. Ржавец у п. Черницыно)</t>
  </si>
  <si>
    <t>51.375090</t>
  </si>
  <si>
    <t>36.091349</t>
  </si>
  <si>
    <r>
      <t xml:space="preserve">уточнить координаты (написал 22.05.25 Новожиловой) - </t>
    </r>
    <r>
      <rPr>
        <b/>
        <sz val="10"/>
        <color rgb="FF000000"/>
        <rFont val="Times New Roman"/>
        <family val="1"/>
        <charset val="204"/>
      </rPr>
      <t>уточнили</t>
    </r>
  </si>
  <si>
    <t>51.625045</t>
  </si>
  <si>
    <t>35.955059</t>
  </si>
  <si>
    <t>фото</t>
  </si>
  <si>
    <t>ДВ</t>
  </si>
  <si>
    <t>презентация</t>
  </si>
  <si>
    <t>ИТОГО</t>
  </si>
  <si>
    <t xml:space="preserve">Администрация Курской области </t>
  </si>
  <si>
    <t>Польшикова Елена Юрьевна</t>
  </si>
  <si>
    <t>Макеев Павел Сергеевич</t>
  </si>
  <si>
    <t xml:space="preserve">Курская область, Курский район, </t>
  </si>
  <si>
    <t xml:space="preserve">Курская область, Октябрьский район, </t>
  </si>
  <si>
    <t xml:space="preserve">Курская область, Медвенский район, </t>
  </si>
  <si>
    <t xml:space="preserve">Курская область, Обоянский район, </t>
  </si>
  <si>
    <t xml:space="preserve">Курская область, Пристенский район, </t>
  </si>
  <si>
    <t>51.372733</t>
  </si>
  <si>
    <t>36.541672</t>
  </si>
  <si>
    <t xml:space="preserve"> 51.719181</t>
  </si>
  <si>
    <t xml:space="preserve"> 38.084191</t>
  </si>
  <si>
    <t>в том году было обследовано не по тем координатам. Прошлые гидротехники ориентировались на неправильные фото а не на кмз</t>
  </si>
  <si>
    <t xml:space="preserve">51.527651 </t>
  </si>
  <si>
    <t>38.045391</t>
  </si>
  <si>
    <t>51.750076</t>
  </si>
  <si>
    <t>37.970818</t>
  </si>
  <si>
    <t>51.753887</t>
  </si>
  <si>
    <t>37.999924</t>
  </si>
  <si>
    <t xml:space="preserve">Курская область, Горшеченский район, </t>
  </si>
  <si>
    <t xml:space="preserve">Курская область, Касторенский район, </t>
  </si>
  <si>
    <t xml:space="preserve">Курская область, Мантуровский район, </t>
  </si>
  <si>
    <t xml:space="preserve">Курская область, Советский район, </t>
  </si>
  <si>
    <t xml:space="preserve">Курская область, Тимский район, </t>
  </si>
  <si>
    <t xml:space="preserve">Курская область, Черемисиновский район, </t>
  </si>
  <si>
    <t xml:space="preserve">Курская область, Щигровский район, </t>
  </si>
  <si>
    <t>ОТКАЗ</t>
  </si>
  <si>
    <t>нет фото водосброса</t>
  </si>
  <si>
    <t xml:space="preserve">проведена реконструкция и донный 1 превратился в водосброс </t>
  </si>
  <si>
    <t>нет фото Донника</t>
  </si>
  <si>
    <t>Исправить в КЭ донный водоспуск на множественное число.</t>
  </si>
  <si>
    <t>Дамба не обнаружена???</t>
  </si>
  <si>
    <t>водосброс не обнаружен, в ДВ прописано</t>
  </si>
  <si>
    <t>донного нет, в дв отражено</t>
  </si>
  <si>
    <t>ГТС нет, в ДВ отражено</t>
  </si>
  <si>
    <t>Нет фото водосброса, в ДВ надо отразить</t>
  </si>
  <si>
    <t>Донный не обследован, в ДВ надо отразить</t>
  </si>
  <si>
    <t>Донный не обследован, отразить в ДВ</t>
  </si>
  <si>
    <t>нет фото водосброса, сильные заросли, отразить в ДВ</t>
  </si>
  <si>
    <t>нет фото донного, не найден, отразить в ДВ</t>
  </si>
  <si>
    <t>нет фото донного, отразить в ДВ</t>
  </si>
  <si>
    <t>теперь нет фото водоспуска</t>
  </si>
  <si>
    <t>Отсутствует фото водосброса, сказал даст ответ позже, ждем в ДВ</t>
  </si>
  <si>
    <t xml:space="preserve">ГУПКО «Курский рыборазводной завод» </t>
  </si>
  <si>
    <t>51.545447</t>
  </si>
  <si>
    <t>37.341289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</si>
</sst>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color rgb="FF000000"/>
      <name val="Arial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1"/>
    </font>
    <font>
      <b/>
      <vertAlign val="superscript"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0"/>
      <color theme="1"/>
      <name val="Arial"/>
      <family val="2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Times New Roman"/>
      <family val="1"/>
      <charset val="204"/>
    </font>
    <font>
      <sz val="11"/>
      <color rgb="FF1A1A1A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b/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1"/>
    </font>
    <font>
      <sz val="10"/>
      <color rgb="FF000000"/>
      <name val="Times New Roman"/>
      <family val="1"/>
      <charset val="204"/>
    </font>
  </fonts>
  <fills count="2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32">
    <xf numFmtId="0" fontId="0" fillId="0" borderId="0" xfId="0"/>
    <xf numFmtId="0" fontId="4" fillId="0" borderId="0" xfId="0" applyFont="1"/>
    <xf numFmtId="0" fontId="4" fillId="0" borderId="0" xfId="0" applyFont="1"/>
    <xf numFmtId="0" fontId="4" fillId="3" borderId="0" xfId="0" applyFont="1" applyFill="1"/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8" fillId="0" borderId="2" xfId="7" applyFont="1" applyFill="1" applyBorder="1" applyAlignment="1">
      <alignment horizontal="center" vertical="center" wrapText="1"/>
    </xf>
    <xf numFmtId="0" fontId="8" fillId="0" borderId="9" xfId="7" applyFont="1" applyFill="1" applyBorder="1" applyAlignment="1">
      <alignment horizontal="center" vertical="center" wrapText="1"/>
    </xf>
    <xf numFmtId="0" fontId="8" fillId="0" borderId="13" xfId="3" applyFont="1" applyBorder="1" applyAlignment="1">
      <alignment horizontal="center" vertical="center" wrapText="1"/>
    </xf>
    <xf numFmtId="0" fontId="8" fillId="0" borderId="12" xfId="3" applyFont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2" xfId="3" applyFont="1" applyFill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11" xfId="3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8" fillId="0" borderId="9" xfId="3" applyFont="1" applyFill="1" applyBorder="1" applyAlignment="1">
      <alignment horizontal="center" vertical="center" wrapText="1"/>
    </xf>
    <xf numFmtId="0" fontId="8" fillId="0" borderId="2" xfId="7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8" fillId="0" borderId="9" xfId="7" applyFont="1" applyBorder="1" applyAlignment="1">
      <alignment horizontal="center" vertical="center" wrapText="1"/>
    </xf>
    <xf numFmtId="0" fontId="10" fillId="0" borderId="2" xfId="7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5" borderId="2" xfId="7" applyFont="1" applyFill="1" applyBorder="1" applyAlignment="1">
      <alignment horizontal="center" vertical="center" wrapText="1"/>
    </xf>
    <xf numFmtId="0" fontId="8" fillId="0" borderId="2" xfId="12" applyFont="1" applyBorder="1" applyAlignment="1">
      <alignment horizontal="center" vertical="center" wrapText="1"/>
    </xf>
    <xf numFmtId="0" fontId="8" fillId="0" borderId="2" xfId="12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8" fillId="0" borderId="9" xfId="12" applyFont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4" fillId="0" borderId="0" xfId="0" applyFont="1" applyFill="1"/>
    <xf numFmtId="0" fontId="0" fillId="0" borderId="0" xfId="0" applyFill="1"/>
    <xf numFmtId="0" fontId="6" fillId="0" borderId="16" xfId="0" applyFont="1" applyBorder="1" applyAlignment="1">
      <alignment horizontal="center" vertical="center" wrapText="1"/>
    </xf>
    <xf numFmtId="0" fontId="8" fillId="0" borderId="10" xfId="3" applyFont="1" applyFill="1" applyBorder="1" applyAlignment="1">
      <alignment horizontal="center" vertical="center" wrapText="1"/>
    </xf>
    <xf numFmtId="0" fontId="8" fillId="0" borderId="11" xfId="3" applyFont="1" applyFill="1" applyBorder="1" applyAlignment="1">
      <alignment horizontal="center" vertical="center" wrapText="1"/>
    </xf>
    <xf numFmtId="0" fontId="8" fillId="0" borderId="10" xfId="7" applyFont="1" applyFill="1" applyBorder="1" applyAlignment="1">
      <alignment horizontal="center" vertical="center" wrapText="1"/>
    </xf>
    <xf numFmtId="0" fontId="8" fillId="5" borderId="10" xfId="7" applyFont="1" applyFill="1" applyBorder="1" applyAlignment="1">
      <alignment horizontal="center" vertical="center" wrapText="1"/>
    </xf>
    <xf numFmtId="0" fontId="8" fillId="0" borderId="11" xfId="7" applyFont="1" applyFill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wrapText="1"/>
    </xf>
    <xf numFmtId="0" fontId="8" fillId="0" borderId="11" xfId="7" applyFont="1" applyBorder="1" applyAlignment="1">
      <alignment horizontal="center" vertical="center" wrapText="1"/>
    </xf>
    <xf numFmtId="0" fontId="10" fillId="0" borderId="10" xfId="7" applyFont="1" applyFill="1" applyBorder="1" applyAlignment="1">
      <alignment horizontal="center" vertical="center" wrapText="1"/>
    </xf>
    <xf numFmtId="0" fontId="8" fillId="0" borderId="10" xfId="12" applyFont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/>
    </xf>
    <xf numFmtId="0" fontId="8" fillId="0" borderId="11" xfId="12" applyFont="1" applyBorder="1" applyAlignment="1">
      <alignment horizontal="center" vertical="center" wrapText="1"/>
    </xf>
    <xf numFmtId="0" fontId="9" fillId="6" borderId="1" xfId="10" applyFont="1" applyFill="1" applyBorder="1" applyAlignment="1">
      <alignment horizontal="center" vertical="center" wrapText="1"/>
    </xf>
    <xf numFmtId="0" fontId="10" fillId="0" borderId="2" xfId="12" applyFont="1" applyFill="1" applyBorder="1" applyAlignment="1">
      <alignment horizontal="center" vertical="center" wrapText="1"/>
    </xf>
    <xf numFmtId="0" fontId="10" fillId="0" borderId="10" xfId="12" applyFont="1" applyFill="1" applyBorder="1" applyAlignment="1">
      <alignment horizontal="center" vertical="center" wrapText="1"/>
    </xf>
    <xf numFmtId="0" fontId="10" fillId="0" borderId="9" xfId="12" applyFont="1" applyFill="1" applyBorder="1" applyAlignment="1">
      <alignment horizontal="center" vertical="center" wrapText="1"/>
    </xf>
    <xf numFmtId="0" fontId="10" fillId="0" borderId="11" xfId="12" applyFont="1" applyFill="1" applyBorder="1" applyAlignment="1">
      <alignment horizontal="center" vertical="center" wrapText="1"/>
    </xf>
    <xf numFmtId="0" fontId="8" fillId="0" borderId="10" xfId="12" applyFont="1" applyFill="1" applyBorder="1" applyAlignment="1">
      <alignment horizontal="center" vertical="center" wrapText="1"/>
    </xf>
    <xf numFmtId="0" fontId="8" fillId="0" borderId="9" xfId="12" applyFont="1" applyFill="1" applyBorder="1" applyAlignment="1">
      <alignment horizontal="center" vertical="center" wrapText="1"/>
    </xf>
    <xf numFmtId="0" fontId="8" fillId="0" borderId="11" xfId="12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8" fillId="0" borderId="19" xfId="3" applyFont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8" fillId="0" borderId="19" xfId="7" applyFont="1" applyBorder="1" applyAlignment="1">
      <alignment horizontal="center" vertical="center" wrapText="1"/>
    </xf>
    <xf numFmtId="0" fontId="8" fillId="5" borderId="19" xfId="7" applyFont="1" applyFill="1" applyBorder="1" applyAlignment="1">
      <alignment horizontal="center" vertical="center" wrapText="1"/>
    </xf>
    <xf numFmtId="0" fontId="8" fillId="0" borderId="19" xfId="7" applyFont="1" applyFill="1" applyBorder="1" applyAlignment="1">
      <alignment horizontal="center" vertical="center" wrapText="1"/>
    </xf>
    <xf numFmtId="0" fontId="8" fillId="0" borderId="19" xfId="12" applyFont="1" applyBorder="1" applyAlignment="1">
      <alignment horizontal="center" vertical="center" wrapText="1"/>
    </xf>
    <xf numFmtId="0" fontId="8" fillId="0" borderId="19" xfId="12" applyFont="1" applyFill="1" applyBorder="1" applyAlignment="1">
      <alignment horizontal="center" vertical="center" wrapText="1"/>
    </xf>
    <xf numFmtId="0" fontId="8" fillId="8" borderId="19" xfId="12" applyFont="1" applyFill="1" applyBorder="1" applyAlignment="1">
      <alignment horizontal="center" vertical="center" wrapText="1"/>
    </xf>
    <xf numFmtId="0" fontId="8" fillId="0" borderId="21" xfId="12" applyFont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8" fillId="9" borderId="2" xfId="3" applyFont="1" applyFill="1" applyBorder="1" applyAlignment="1">
      <alignment horizontal="center" vertical="center" wrapText="1"/>
    </xf>
    <xf numFmtId="0" fontId="8" fillId="9" borderId="10" xfId="3" applyFont="1" applyFill="1" applyBorder="1" applyAlignment="1">
      <alignment horizontal="center" vertical="center" wrapText="1"/>
    </xf>
    <xf numFmtId="0" fontId="8" fillId="9" borderId="19" xfId="3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wrapText="1"/>
    </xf>
    <xf numFmtId="0" fontId="6" fillId="0" borderId="22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19" xfId="0" applyFont="1" applyFill="1" applyBorder="1" applyAlignment="1">
      <alignment horizontal="center" vertical="center"/>
    </xf>
    <xf numFmtId="0" fontId="9" fillId="9" borderId="13" xfId="0" applyFont="1" applyFill="1" applyBorder="1" applyAlignment="1">
      <alignment horizontal="center" vertical="center" wrapText="1"/>
    </xf>
    <xf numFmtId="0" fontId="8" fillId="9" borderId="2" xfId="7" applyFont="1" applyFill="1" applyBorder="1" applyAlignment="1">
      <alignment horizontal="center" vertical="center" wrapText="1"/>
    </xf>
    <xf numFmtId="0" fontId="8" fillId="9" borderId="10" xfId="7" applyFont="1" applyFill="1" applyBorder="1" applyAlignment="1">
      <alignment horizontal="center" vertical="center" wrapText="1"/>
    </xf>
    <xf numFmtId="0" fontId="8" fillId="9" borderId="19" xfId="7" applyFont="1" applyFill="1" applyBorder="1" applyAlignment="1">
      <alignment horizontal="center" vertical="center" wrapText="1"/>
    </xf>
    <xf numFmtId="0" fontId="8" fillId="9" borderId="2" xfId="12" applyFont="1" applyFill="1" applyBorder="1" applyAlignment="1">
      <alignment horizontal="center" vertical="center" wrapText="1"/>
    </xf>
    <xf numFmtId="0" fontId="8" fillId="9" borderId="10" xfId="12" applyFont="1" applyFill="1" applyBorder="1" applyAlignment="1">
      <alignment horizontal="center" vertical="center" wrapText="1"/>
    </xf>
    <xf numFmtId="0" fontId="8" fillId="9" borderId="19" xfId="12" applyFont="1" applyFill="1" applyBorder="1" applyAlignment="1">
      <alignment horizontal="center" vertical="center" wrapText="1"/>
    </xf>
    <xf numFmtId="0" fontId="10" fillId="9" borderId="2" xfId="12" applyFont="1" applyFill="1" applyBorder="1" applyAlignment="1">
      <alignment horizontal="center" vertical="center" wrapText="1"/>
    </xf>
    <xf numFmtId="0" fontId="10" fillId="9" borderId="10" xfId="12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8" fillId="9" borderId="9" xfId="12" applyFont="1" applyFill="1" applyBorder="1" applyAlignment="1">
      <alignment horizontal="center" vertical="center" wrapText="1"/>
    </xf>
    <xf numFmtId="0" fontId="8" fillId="9" borderId="11" xfId="12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10" fillId="10" borderId="2" xfId="12" applyFont="1" applyFill="1" applyBorder="1" applyAlignment="1">
      <alignment horizontal="center" vertical="center" wrapText="1"/>
    </xf>
    <xf numFmtId="0" fontId="10" fillId="10" borderId="10" xfId="12" applyFont="1" applyFill="1" applyBorder="1" applyAlignment="1">
      <alignment horizontal="center" vertical="center" wrapText="1"/>
    </xf>
    <xf numFmtId="0" fontId="8" fillId="10" borderId="19" xfId="12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wrapText="1"/>
    </xf>
    <xf numFmtId="0" fontId="10" fillId="9" borderId="9" xfId="12" applyFont="1" applyFill="1" applyBorder="1" applyAlignment="1">
      <alignment horizontal="center" vertical="center" wrapText="1"/>
    </xf>
    <xf numFmtId="0" fontId="10" fillId="9" borderId="11" xfId="12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wrapText="1"/>
    </xf>
    <xf numFmtId="0" fontId="4" fillId="0" borderId="2" xfId="0" applyFont="1" applyBorder="1"/>
    <xf numFmtId="0" fontId="4" fillId="3" borderId="2" xfId="0" applyFont="1" applyFill="1" applyBorder="1"/>
    <xf numFmtId="0" fontId="4" fillId="0" borderId="2" xfId="0" applyFont="1" applyFill="1" applyBorder="1"/>
    <xf numFmtId="0" fontId="8" fillId="12" borderId="2" xfId="3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/>
    </xf>
    <xf numFmtId="0" fontId="8" fillId="12" borderId="2" xfId="7" applyFont="1" applyFill="1" applyBorder="1" applyAlignment="1">
      <alignment horizontal="center" vertical="center" wrapText="1"/>
    </xf>
    <xf numFmtId="0" fontId="8" fillId="7" borderId="2" xfId="3" applyFont="1" applyFill="1" applyBorder="1" applyAlignment="1">
      <alignment horizontal="center" vertical="center" wrapText="1"/>
    </xf>
    <xf numFmtId="0" fontId="12" fillId="0" borderId="2" xfId="0" applyFont="1" applyBorder="1"/>
    <xf numFmtId="0" fontId="8" fillId="12" borderId="9" xfId="3" applyFont="1" applyFill="1" applyBorder="1" applyAlignment="1">
      <alignment horizontal="center" vertical="center" wrapText="1"/>
    </xf>
    <xf numFmtId="0" fontId="10" fillId="12" borderId="2" xfId="12" applyFont="1" applyFill="1" applyBorder="1" applyAlignment="1">
      <alignment horizontal="center" vertical="center" wrapText="1"/>
    </xf>
    <xf numFmtId="0" fontId="8" fillId="12" borderId="2" xfId="12" applyFont="1" applyFill="1" applyBorder="1" applyAlignment="1">
      <alignment horizontal="center" vertical="center" wrapText="1"/>
    </xf>
    <xf numFmtId="0" fontId="10" fillId="12" borderId="9" xfId="12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wrapText="1"/>
    </xf>
    <xf numFmtId="0" fontId="9" fillId="15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16" borderId="2" xfId="0" applyFill="1" applyBorder="1" applyAlignment="1">
      <alignment wrapText="1"/>
    </xf>
    <xf numFmtId="0" fontId="0" fillId="4" borderId="0" xfId="0" applyFill="1" applyAlignment="1">
      <alignment wrapText="1"/>
    </xf>
    <xf numFmtId="0" fontId="9" fillId="15" borderId="13" xfId="0" applyFont="1" applyFill="1" applyBorder="1" applyAlignment="1">
      <alignment horizontal="center" vertical="center" wrapText="1"/>
    </xf>
    <xf numFmtId="0" fontId="10" fillId="15" borderId="13" xfId="0" applyFont="1" applyFill="1" applyBorder="1" applyAlignment="1">
      <alignment horizontal="center" vertical="center" wrapText="1"/>
    </xf>
    <xf numFmtId="0" fontId="8" fillId="9" borderId="9" xfId="3" applyFont="1" applyFill="1" applyBorder="1" applyAlignment="1">
      <alignment horizontal="center" vertical="center" wrapText="1"/>
    </xf>
    <xf numFmtId="0" fontId="8" fillId="9" borderId="11" xfId="3" applyFont="1" applyFill="1" applyBorder="1" applyAlignment="1">
      <alignment horizontal="center" vertical="center" wrapText="1"/>
    </xf>
    <xf numFmtId="0" fontId="9" fillId="17" borderId="13" xfId="0" applyFont="1" applyFill="1" applyBorder="1" applyAlignment="1">
      <alignment horizontal="center" vertical="center" wrapText="1"/>
    </xf>
    <xf numFmtId="0" fontId="9" fillId="17" borderId="2" xfId="0" applyFont="1" applyFill="1" applyBorder="1" applyAlignment="1">
      <alignment horizontal="center" vertical="center" wrapText="1"/>
    </xf>
    <xf numFmtId="0" fontId="8" fillId="17" borderId="2" xfId="12" applyFont="1" applyFill="1" applyBorder="1" applyAlignment="1">
      <alignment horizontal="center" vertical="center" wrapText="1"/>
    </xf>
    <xf numFmtId="0" fontId="8" fillId="17" borderId="10" xfId="12" applyFont="1" applyFill="1" applyBorder="1" applyAlignment="1">
      <alignment horizontal="center" vertical="center" wrapText="1"/>
    </xf>
    <xf numFmtId="0" fontId="8" fillId="17" borderId="19" xfId="12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wrapText="1"/>
    </xf>
    <xf numFmtId="49" fontId="9" fillId="0" borderId="2" xfId="0" applyNumberFormat="1" applyFont="1" applyFill="1" applyBorder="1" applyAlignment="1">
      <alignment horizontal="center" vertical="center"/>
    </xf>
    <xf numFmtId="49" fontId="9" fillId="0" borderId="10" xfId="0" applyNumberFormat="1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wrapText="1"/>
    </xf>
    <xf numFmtId="0" fontId="8" fillId="8" borderId="2" xfId="12" applyFont="1" applyFill="1" applyBorder="1" applyAlignment="1">
      <alignment horizontal="center" vertical="center" wrapText="1"/>
    </xf>
    <xf numFmtId="0" fontId="8" fillId="8" borderId="10" xfId="12" applyFont="1" applyFill="1" applyBorder="1" applyAlignment="1">
      <alignment horizontal="center" vertical="center" wrapText="1"/>
    </xf>
    <xf numFmtId="0" fontId="10" fillId="12" borderId="2" xfId="7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/>
    </xf>
    <xf numFmtId="49" fontId="9" fillId="8" borderId="9" xfId="0" applyNumberFormat="1" applyFont="1" applyFill="1" applyBorder="1" applyAlignment="1">
      <alignment horizontal="center" vertical="center"/>
    </xf>
    <xf numFmtId="49" fontId="9" fillId="8" borderId="11" xfId="0" applyNumberFormat="1" applyFont="1" applyFill="1" applyBorder="1" applyAlignment="1">
      <alignment horizontal="center" vertical="center"/>
    </xf>
    <xf numFmtId="0" fontId="4" fillId="18" borderId="2" xfId="0" applyFont="1" applyFill="1" applyBorder="1"/>
    <xf numFmtId="0" fontId="12" fillId="18" borderId="0" xfId="0" applyFont="1" applyFill="1"/>
    <xf numFmtId="0" fontId="6" fillId="18" borderId="2" xfId="0" applyFont="1" applyFill="1" applyBorder="1" applyAlignment="1">
      <alignment horizontal="center" vertical="center"/>
    </xf>
    <xf numFmtId="0" fontId="9" fillId="15" borderId="13" xfId="0" applyFont="1" applyFill="1" applyBorder="1" applyAlignment="1">
      <alignment horizontal="center" vertical="center" wrapText="1"/>
    </xf>
    <xf numFmtId="0" fontId="9" fillId="15" borderId="13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0" fillId="19" borderId="0" xfId="0" applyFill="1"/>
    <xf numFmtId="0" fontId="0" fillId="20" borderId="0" xfId="0" applyFill="1"/>
    <xf numFmtId="0" fontId="4" fillId="7" borderId="2" xfId="0" applyFont="1" applyFill="1" applyBorder="1"/>
    <xf numFmtId="0" fontId="13" fillId="0" borderId="0" xfId="0" applyFont="1" applyFill="1" applyAlignment="1">
      <alignment horizontal="center" vertical="center"/>
    </xf>
    <xf numFmtId="0" fontId="8" fillId="7" borderId="19" xfId="7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0" fillId="21" borderId="0" xfId="0" applyFill="1"/>
    <xf numFmtId="0" fontId="0" fillId="22" borderId="0" xfId="0" applyFill="1"/>
    <xf numFmtId="0" fontId="0" fillId="22" borderId="0" xfId="0" applyFill="1" applyAlignment="1">
      <alignment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0" fillId="23" borderId="0" xfId="0" applyFill="1"/>
    <xf numFmtId="0" fontId="6" fillId="4" borderId="7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6" fillId="4" borderId="27" xfId="0" applyFont="1" applyFill="1" applyBorder="1" applyAlignment="1">
      <alignment vertical="center"/>
    </xf>
    <xf numFmtId="0" fontId="4" fillId="24" borderId="2" xfId="0" applyFont="1" applyFill="1" applyBorder="1"/>
    <xf numFmtId="0" fontId="4" fillId="7" borderId="0" xfId="0" applyFont="1" applyFill="1"/>
    <xf numFmtId="0" fontId="14" fillId="7" borderId="0" xfId="0" applyFont="1" applyFill="1"/>
    <xf numFmtId="0" fontId="4" fillId="15" borderId="2" xfId="0" applyFont="1" applyFill="1" applyBorder="1"/>
    <xf numFmtId="0" fontId="14" fillId="7" borderId="2" xfId="0" applyFont="1" applyFill="1" applyBorder="1"/>
    <xf numFmtId="0" fontId="16" fillId="7" borderId="0" xfId="0" applyFont="1" applyFill="1"/>
    <xf numFmtId="0" fontId="15" fillId="0" borderId="0" xfId="0" applyFont="1"/>
    <xf numFmtId="0" fontId="9" fillId="15" borderId="13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8" fillId="9" borderId="9" xfId="3" applyFont="1" applyFill="1" applyBorder="1" applyAlignment="1">
      <alignment horizontal="center" vertical="center" wrapText="1"/>
    </xf>
    <xf numFmtId="0" fontId="14" fillId="15" borderId="0" xfId="0" applyFont="1" applyFill="1"/>
    <xf numFmtId="0" fontId="9" fillId="15" borderId="2" xfId="0" applyFont="1" applyFill="1" applyBorder="1" applyAlignment="1">
      <alignment horizontal="center" vertical="center"/>
    </xf>
    <xf numFmtId="0" fontId="16" fillId="0" borderId="0" xfId="0" applyFont="1" applyFill="1"/>
    <xf numFmtId="0" fontId="17" fillId="0" borderId="0" xfId="0" applyFont="1"/>
    <xf numFmtId="0" fontId="14" fillId="0" borderId="0" xfId="0" applyFont="1" applyFill="1"/>
    <xf numFmtId="0" fontId="18" fillId="18" borderId="0" xfId="0" applyFont="1" applyFill="1"/>
    <xf numFmtId="0" fontId="4" fillId="18" borderId="0" xfId="0" applyFont="1" applyFill="1"/>
    <xf numFmtId="0" fontId="8" fillId="25" borderId="2" xfId="12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13" borderId="15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9" fillId="15" borderId="9" xfId="0" applyFont="1" applyFill="1" applyBorder="1" applyAlignment="1">
      <alignment horizontal="center" vertical="center" wrapText="1"/>
    </xf>
    <xf numFmtId="0" fontId="9" fillId="15" borderId="17" xfId="0" applyFont="1" applyFill="1" applyBorder="1" applyAlignment="1">
      <alignment horizontal="center" vertical="center" wrapText="1"/>
    </xf>
    <xf numFmtId="0" fontId="9" fillId="15" borderId="13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4" fillId="18" borderId="9" xfId="0" applyFont="1" applyFill="1" applyBorder="1" applyAlignment="1">
      <alignment horizontal="center"/>
    </xf>
    <xf numFmtId="0" fontId="4" fillId="18" borderId="17" xfId="0" applyFont="1" applyFill="1" applyBorder="1" applyAlignment="1">
      <alignment horizontal="center"/>
    </xf>
    <xf numFmtId="0" fontId="4" fillId="18" borderId="13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15" borderId="19" xfId="0" applyFont="1" applyFill="1" applyBorder="1" applyAlignment="1">
      <alignment horizontal="center" vertical="center"/>
    </xf>
    <xf numFmtId="0" fontId="6" fillId="15" borderId="23" xfId="0" applyFont="1" applyFill="1" applyBorder="1" applyAlignment="1">
      <alignment horizontal="center" vertical="center"/>
    </xf>
    <xf numFmtId="0" fontId="8" fillId="9" borderId="9" xfId="3" applyFont="1" applyFill="1" applyBorder="1" applyAlignment="1">
      <alignment horizontal="center" vertical="center" wrapText="1"/>
    </xf>
    <xf numFmtId="0" fontId="8" fillId="9" borderId="17" xfId="3" applyFont="1" applyFill="1" applyBorder="1" applyAlignment="1">
      <alignment horizontal="center" vertical="center" wrapText="1"/>
    </xf>
    <xf numFmtId="0" fontId="8" fillId="9" borderId="13" xfId="3" applyFont="1" applyFill="1" applyBorder="1" applyAlignment="1">
      <alignment horizontal="center" vertical="center" wrapText="1"/>
    </xf>
    <xf numFmtId="0" fontId="9" fillId="9" borderId="24" xfId="0" applyFont="1" applyFill="1" applyBorder="1" applyAlignment="1">
      <alignment horizontal="center" vertical="center"/>
    </xf>
    <xf numFmtId="0" fontId="9" fillId="9" borderId="25" xfId="0" applyFont="1" applyFill="1" applyBorder="1" applyAlignment="1">
      <alignment horizontal="center" vertical="center"/>
    </xf>
    <xf numFmtId="0" fontId="9" fillId="9" borderId="26" xfId="0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left" wrapText="1"/>
    </xf>
    <xf numFmtId="0" fontId="12" fillId="14" borderId="17" xfId="0" applyFont="1" applyFill="1" applyBorder="1" applyAlignment="1">
      <alignment horizontal="left" wrapText="1"/>
    </xf>
    <xf numFmtId="0" fontId="12" fillId="14" borderId="13" xfId="0" applyFont="1" applyFill="1" applyBorder="1" applyAlignment="1">
      <alignment horizontal="left" wrapText="1"/>
    </xf>
    <xf numFmtId="0" fontId="4" fillId="18" borderId="2" xfId="0" applyFont="1" applyFill="1" applyBorder="1" applyAlignment="1">
      <alignment horizontal="left"/>
    </xf>
    <xf numFmtId="0" fontId="9" fillId="0" borderId="0" xfId="0" applyFont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 wrapText="1"/>
    </xf>
    <xf numFmtId="0" fontId="9" fillId="9" borderId="23" xfId="0" applyFont="1" applyFill="1" applyBorder="1" applyAlignment="1">
      <alignment horizontal="center" vertical="center" wrapText="1"/>
    </xf>
    <xf numFmtId="0" fontId="8" fillId="26" borderId="2" xfId="12" applyFont="1" applyFill="1" applyBorder="1" applyAlignment="1">
      <alignment horizontal="center" vertical="center" wrapText="1"/>
    </xf>
    <xf numFmtId="0" fontId="8" fillId="26" borderId="10" xfId="12" applyFont="1" applyFill="1" applyBorder="1" applyAlignment="1">
      <alignment horizontal="center" vertical="center" wrapText="1"/>
    </xf>
  </cellXfs>
  <cellStyles count="15">
    <cellStyle name="Обычный" xfId="0" builtinId="0"/>
    <cellStyle name="Обычный 2" xfId="3"/>
    <cellStyle name="Обычный 2 2" xfId="7"/>
    <cellStyle name="Обычный 2 3" xfId="12"/>
    <cellStyle name="Обычный 3" xfId="4"/>
    <cellStyle name="Обычный 3 2" xfId="8"/>
    <cellStyle name="Обычный 3 3" xfId="13"/>
    <cellStyle name="Обычный 4" xfId="5"/>
    <cellStyle name="Обычный 4 2" xfId="9"/>
    <cellStyle name="Обычный 4 3" xfId="14"/>
    <cellStyle name="Обычный 5" xfId="2"/>
    <cellStyle name="Обычный 6" xfId="1"/>
    <cellStyle name="Обычный 7" xfId="6"/>
    <cellStyle name="Обычный 8" xfId="10"/>
    <cellStyle name="Обычный 9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33"/>
  <sheetViews>
    <sheetView tabSelected="1" zoomScaleNormal="100" workbookViewId="0">
      <pane ySplit="1" topLeftCell="A125" activePane="bottomLeft" state="frozen"/>
      <selection pane="bottomLeft" activeCell="F134" sqref="F134"/>
    </sheetView>
  </sheetViews>
  <sheetFormatPr defaultColWidth="12.140625" defaultRowHeight="15" x14ac:dyDescent="0.2"/>
  <cols>
    <col min="1" max="1" width="6.85546875" style="29" customWidth="1"/>
    <col min="2" max="2" width="33.42578125" style="29" customWidth="1"/>
    <col min="3" max="3" width="43.140625" style="29" customWidth="1"/>
    <col min="4" max="4" width="15.7109375" style="29" customWidth="1"/>
    <col min="5" max="5" width="21.7109375" style="29" customWidth="1"/>
    <col min="6" max="6" width="18.42578125" style="29" customWidth="1"/>
    <col min="7" max="7" width="24.85546875" style="29" customWidth="1"/>
    <col min="8" max="8" width="34.42578125" style="29" customWidth="1"/>
    <col min="9" max="9" width="18.140625" style="29" customWidth="1"/>
    <col min="10" max="10" width="17.85546875" style="29" customWidth="1"/>
    <col min="11" max="11" width="16.85546875" style="29" customWidth="1"/>
    <col min="12" max="12" width="52.28515625" style="85" customWidth="1"/>
    <col min="13" max="13" width="7.42578125" style="2" customWidth="1"/>
    <col min="14" max="1023" width="12.140625" style="2"/>
  </cols>
  <sheetData>
    <row r="1" spans="1:18" ht="43.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556</v>
      </c>
      <c r="F1" s="5" t="s">
        <v>4</v>
      </c>
      <c r="G1" s="5" t="s">
        <v>5</v>
      </c>
      <c r="H1" s="5" t="s">
        <v>554</v>
      </c>
      <c r="I1" s="191" t="s">
        <v>555</v>
      </c>
      <c r="J1" s="192"/>
      <c r="K1" s="44" t="s">
        <v>568</v>
      </c>
      <c r="L1" s="82" t="s">
        <v>761</v>
      </c>
      <c r="N1" s="119" t="s">
        <v>1144</v>
      </c>
      <c r="O1" s="119" t="s">
        <v>1145</v>
      </c>
      <c r="P1" s="119" t="s">
        <v>1146</v>
      </c>
      <c r="R1" s="186"/>
    </row>
    <row r="2" spans="1:18" ht="15.75" thickBot="1" x14ac:dyDescent="0.25">
      <c r="A2" s="193" t="s">
        <v>6</v>
      </c>
      <c r="B2" s="194"/>
      <c r="C2" s="194"/>
      <c r="D2" s="194"/>
      <c r="E2" s="194"/>
      <c r="F2" s="194"/>
      <c r="G2" s="194"/>
      <c r="H2" s="194"/>
      <c r="I2" s="194"/>
      <c r="J2" s="194"/>
      <c r="K2" s="64"/>
      <c r="L2" s="83"/>
      <c r="N2" s="119"/>
      <c r="O2" s="119"/>
      <c r="P2" s="119"/>
    </row>
    <row r="3" spans="1:18" x14ac:dyDescent="0.2">
      <c r="A3" s="27">
        <v>1</v>
      </c>
      <c r="B3" s="27" t="s">
        <v>7</v>
      </c>
      <c r="C3" s="27" t="s">
        <v>8</v>
      </c>
      <c r="D3" s="27">
        <v>1952</v>
      </c>
      <c r="E3" s="27">
        <v>1170</v>
      </c>
      <c r="F3" s="27">
        <v>82</v>
      </c>
      <c r="G3" s="27" t="s">
        <v>9</v>
      </c>
      <c r="H3" s="10" t="s">
        <v>557</v>
      </c>
      <c r="I3" s="10">
        <v>51.487758599999999</v>
      </c>
      <c r="J3" s="11">
        <v>37.739952099999996</v>
      </c>
      <c r="K3" s="65">
        <v>48</v>
      </c>
      <c r="L3" s="83"/>
      <c r="N3" s="148" t="s">
        <v>777</v>
      </c>
      <c r="O3" s="112"/>
      <c r="P3" s="112"/>
    </row>
    <row r="4" spans="1:18" x14ac:dyDescent="0.2">
      <c r="A4" s="27">
        <v>2</v>
      </c>
      <c r="B4" s="7" t="s">
        <v>12</v>
      </c>
      <c r="C4" s="7" t="s">
        <v>13</v>
      </c>
      <c r="D4" s="7">
        <v>1979</v>
      </c>
      <c r="E4" s="7">
        <v>1650</v>
      </c>
      <c r="F4" s="7">
        <v>60</v>
      </c>
      <c r="G4" s="7" t="s">
        <v>9</v>
      </c>
      <c r="H4" s="6" t="s">
        <v>558</v>
      </c>
      <c r="I4" s="6">
        <v>51.386310600000002</v>
      </c>
      <c r="J4" s="12">
        <v>38.057708699999999</v>
      </c>
      <c r="K4" s="65">
        <v>50</v>
      </c>
      <c r="L4" s="83"/>
      <c r="N4" s="148" t="s">
        <v>777</v>
      </c>
      <c r="O4" s="112"/>
      <c r="P4" s="112"/>
    </row>
    <row r="5" spans="1:18" ht="30" x14ac:dyDescent="0.2">
      <c r="A5" s="27">
        <v>3</v>
      </c>
      <c r="B5" s="116" t="s">
        <v>1093</v>
      </c>
      <c r="C5" s="7" t="s">
        <v>14</v>
      </c>
      <c r="D5" s="7">
        <v>1975</v>
      </c>
      <c r="E5" s="7">
        <v>1060</v>
      </c>
      <c r="F5" s="7">
        <v>53</v>
      </c>
      <c r="G5" s="7" t="s">
        <v>11</v>
      </c>
      <c r="H5" s="115" t="s">
        <v>1092</v>
      </c>
      <c r="I5" s="6">
        <v>51.474834399999999</v>
      </c>
      <c r="J5" s="12">
        <v>37.894966099999998</v>
      </c>
      <c r="K5" s="65">
        <v>51</v>
      </c>
      <c r="L5" s="83"/>
      <c r="N5" s="148" t="s">
        <v>777</v>
      </c>
      <c r="O5" s="112"/>
      <c r="P5" s="112"/>
    </row>
    <row r="6" spans="1:18" s="2" customFormat="1" ht="25.5" x14ac:dyDescent="0.2">
      <c r="A6" s="76">
        <v>4</v>
      </c>
      <c r="B6" s="77" t="s">
        <v>15</v>
      </c>
      <c r="C6" s="77" t="s">
        <v>16</v>
      </c>
      <c r="D6" s="77">
        <v>1977</v>
      </c>
      <c r="E6" s="77">
        <v>1100</v>
      </c>
      <c r="F6" s="77">
        <v>44</v>
      </c>
      <c r="G6" s="77" t="s">
        <v>17</v>
      </c>
      <c r="H6" s="117" t="s">
        <v>586</v>
      </c>
      <c r="I6" s="78">
        <v>51.588478100000003</v>
      </c>
      <c r="J6" s="79">
        <v>38.083457899999999</v>
      </c>
      <c r="K6" s="80">
        <v>52</v>
      </c>
      <c r="L6" s="81" t="s">
        <v>762</v>
      </c>
      <c r="M6" s="2" t="s">
        <v>777</v>
      </c>
      <c r="N6" s="148" t="s">
        <v>777</v>
      </c>
      <c r="O6" s="112"/>
      <c r="P6" s="112"/>
    </row>
    <row r="7" spans="1:18" ht="30" x14ac:dyDescent="0.2">
      <c r="A7" s="27">
        <v>5</v>
      </c>
      <c r="B7" s="7" t="s">
        <v>18</v>
      </c>
      <c r="C7" s="7" t="s">
        <v>19</v>
      </c>
      <c r="D7" s="7">
        <v>1997</v>
      </c>
      <c r="E7" s="7">
        <v>2150</v>
      </c>
      <c r="F7" s="7">
        <v>70</v>
      </c>
      <c r="G7" s="7" t="s">
        <v>20</v>
      </c>
      <c r="H7" s="115" t="s">
        <v>1092</v>
      </c>
      <c r="I7" s="6">
        <v>51.490943899999998</v>
      </c>
      <c r="J7" s="12">
        <v>37.833465599999997</v>
      </c>
      <c r="K7" s="65">
        <v>54</v>
      </c>
      <c r="L7" s="83"/>
      <c r="N7" s="148" t="s">
        <v>777</v>
      </c>
      <c r="O7" s="112"/>
      <c r="P7" s="112"/>
    </row>
    <row r="8" spans="1:18" x14ac:dyDescent="0.2">
      <c r="A8" s="27">
        <v>6</v>
      </c>
      <c r="B8" s="7" t="s">
        <v>21</v>
      </c>
      <c r="C8" s="7" t="s">
        <v>22</v>
      </c>
      <c r="D8" s="7">
        <v>1973</v>
      </c>
      <c r="E8" s="7">
        <v>838</v>
      </c>
      <c r="F8" s="7">
        <v>22</v>
      </c>
      <c r="G8" s="7" t="s">
        <v>9</v>
      </c>
      <c r="H8" s="6" t="s">
        <v>559</v>
      </c>
      <c r="I8" s="6">
        <v>51.477024100000001</v>
      </c>
      <c r="J8" s="12">
        <v>38.105987499999998</v>
      </c>
      <c r="K8" s="65">
        <v>55</v>
      </c>
      <c r="L8" s="83"/>
      <c r="N8" s="148" t="s">
        <v>777</v>
      </c>
      <c r="O8" s="112"/>
      <c r="P8" s="112"/>
    </row>
    <row r="9" spans="1:18" x14ac:dyDescent="0.2">
      <c r="A9" s="27">
        <v>7</v>
      </c>
      <c r="B9" s="7" t="s">
        <v>23</v>
      </c>
      <c r="C9" s="7" t="s">
        <v>24</v>
      </c>
      <c r="D9" s="7">
        <v>1951</v>
      </c>
      <c r="E9" s="7">
        <v>640</v>
      </c>
      <c r="F9" s="7">
        <v>40</v>
      </c>
      <c r="G9" s="7" t="s">
        <v>9</v>
      </c>
      <c r="H9" s="6" t="s">
        <v>557</v>
      </c>
      <c r="I9" s="6">
        <v>51.525760699999999</v>
      </c>
      <c r="J9" s="12">
        <v>37.686466199999998</v>
      </c>
      <c r="K9" s="65">
        <v>56</v>
      </c>
      <c r="L9" s="83"/>
      <c r="N9" s="148" t="s">
        <v>777</v>
      </c>
      <c r="O9" s="112"/>
      <c r="P9" s="112"/>
    </row>
    <row r="10" spans="1:18" ht="30" x14ac:dyDescent="0.2">
      <c r="A10" s="27">
        <v>8</v>
      </c>
      <c r="B10" s="7" t="s">
        <v>25</v>
      </c>
      <c r="C10" s="7" t="s">
        <v>26</v>
      </c>
      <c r="D10" s="7" t="s">
        <v>27</v>
      </c>
      <c r="E10" s="7">
        <v>129</v>
      </c>
      <c r="F10" s="7">
        <v>19</v>
      </c>
      <c r="G10" s="7" t="s">
        <v>9</v>
      </c>
      <c r="H10" s="115" t="s">
        <v>1092</v>
      </c>
      <c r="I10" s="6">
        <v>51.522666899999997</v>
      </c>
      <c r="J10" s="12">
        <v>37.572574600000003</v>
      </c>
      <c r="K10" s="65">
        <v>57</v>
      </c>
      <c r="L10" s="83"/>
      <c r="N10" s="148" t="s">
        <v>777</v>
      </c>
      <c r="O10" s="112"/>
      <c r="P10" s="112"/>
    </row>
    <row r="11" spans="1:18" x14ac:dyDescent="0.2">
      <c r="A11" s="76">
        <v>9</v>
      </c>
      <c r="B11" s="77" t="s">
        <v>10</v>
      </c>
      <c r="C11" s="77" t="s">
        <v>28</v>
      </c>
      <c r="D11" s="77">
        <v>1951</v>
      </c>
      <c r="E11" s="77">
        <v>425</v>
      </c>
      <c r="F11" s="77">
        <v>25</v>
      </c>
      <c r="G11" s="77" t="s">
        <v>11</v>
      </c>
      <c r="H11" s="78" t="s">
        <v>560</v>
      </c>
      <c r="I11" s="78">
        <v>51.5533638</v>
      </c>
      <c r="J11" s="79">
        <v>37.740490000000001</v>
      </c>
      <c r="K11" s="80">
        <v>58</v>
      </c>
      <c r="L11" s="81" t="s">
        <v>763</v>
      </c>
      <c r="M11" s="2" t="s">
        <v>777</v>
      </c>
      <c r="N11" s="148" t="s">
        <v>777</v>
      </c>
      <c r="O11" s="112"/>
      <c r="P11" s="112"/>
    </row>
    <row r="12" spans="1:18" ht="30" x14ac:dyDescent="0.2">
      <c r="A12" s="27">
        <v>10</v>
      </c>
      <c r="B12" s="7" t="s">
        <v>29</v>
      </c>
      <c r="C12" s="7" t="s">
        <v>30</v>
      </c>
      <c r="D12" s="7" t="s">
        <v>27</v>
      </c>
      <c r="E12" s="7">
        <v>120</v>
      </c>
      <c r="F12" s="7">
        <v>6</v>
      </c>
      <c r="G12" s="7" t="s">
        <v>9</v>
      </c>
      <c r="H12" s="115" t="s">
        <v>1092</v>
      </c>
      <c r="I12" s="6">
        <v>51.484432200000001</v>
      </c>
      <c r="J12" s="12">
        <v>37.873657199999997</v>
      </c>
      <c r="K12" s="65">
        <v>59</v>
      </c>
      <c r="L12" s="83"/>
      <c r="N12" s="148" t="s">
        <v>777</v>
      </c>
      <c r="O12" s="112"/>
      <c r="P12" s="112"/>
    </row>
    <row r="13" spans="1:18" x14ac:dyDescent="0.2">
      <c r="A13" s="27">
        <v>11</v>
      </c>
      <c r="B13" s="7" t="s">
        <v>31</v>
      </c>
      <c r="C13" s="7" t="s">
        <v>14</v>
      </c>
      <c r="D13" s="7">
        <v>1962</v>
      </c>
      <c r="E13" s="7">
        <v>430</v>
      </c>
      <c r="F13" s="7">
        <v>48</v>
      </c>
      <c r="G13" s="7" t="s">
        <v>9</v>
      </c>
      <c r="H13" s="117" t="s">
        <v>586</v>
      </c>
      <c r="I13" s="6">
        <v>51.4903488</v>
      </c>
      <c r="J13" s="12">
        <v>37.927871699999997</v>
      </c>
      <c r="K13" s="65">
        <v>60</v>
      </c>
      <c r="L13" s="83"/>
      <c r="N13" s="148" t="s">
        <v>777</v>
      </c>
      <c r="O13" s="112"/>
      <c r="P13" s="112"/>
    </row>
    <row r="14" spans="1:18" ht="30.75" thickBot="1" x14ac:dyDescent="0.25">
      <c r="A14" s="27">
        <v>12</v>
      </c>
      <c r="B14" s="24" t="s">
        <v>32</v>
      </c>
      <c r="C14" s="25" t="s">
        <v>33</v>
      </c>
      <c r="D14" s="25" t="s">
        <v>27</v>
      </c>
      <c r="E14" s="25">
        <v>150</v>
      </c>
      <c r="F14" s="25">
        <v>4.3</v>
      </c>
      <c r="G14" s="25" t="s">
        <v>17</v>
      </c>
      <c r="H14" s="118" t="s">
        <v>1092</v>
      </c>
      <c r="I14" s="25" t="s">
        <v>1161</v>
      </c>
      <c r="J14" s="28" t="s">
        <v>1162</v>
      </c>
      <c r="K14" s="66" t="s">
        <v>561</v>
      </c>
      <c r="L14" s="83"/>
      <c r="M14" s="2" t="s">
        <v>777</v>
      </c>
      <c r="N14" s="148" t="s">
        <v>777</v>
      </c>
      <c r="O14" s="112"/>
      <c r="P14" s="112"/>
    </row>
    <row r="15" spans="1:18" x14ac:dyDescent="0.2">
      <c r="A15" s="195" t="s">
        <v>34</v>
      </c>
      <c r="B15" s="196"/>
      <c r="C15" s="196"/>
      <c r="D15" s="196"/>
      <c r="E15" s="196"/>
      <c r="F15" s="196"/>
      <c r="G15" s="196"/>
      <c r="H15" s="196"/>
      <c r="I15" s="196"/>
      <c r="J15" s="196"/>
      <c r="K15" s="67"/>
      <c r="L15" s="83"/>
      <c r="N15" s="112"/>
      <c r="O15" s="112"/>
      <c r="P15" s="112"/>
    </row>
    <row r="16" spans="1:18" x14ac:dyDescent="0.2">
      <c r="A16" s="125">
        <v>13</v>
      </c>
      <c r="B16" s="13" t="s">
        <v>35</v>
      </c>
      <c r="C16" s="13" t="s">
        <v>36</v>
      </c>
      <c r="D16" s="13">
        <v>1975</v>
      </c>
      <c r="E16" s="13">
        <v>1610</v>
      </c>
      <c r="F16" s="13">
        <v>33</v>
      </c>
      <c r="G16" s="13" t="s">
        <v>9</v>
      </c>
      <c r="H16" s="6" t="s">
        <v>563</v>
      </c>
      <c r="I16" s="6">
        <v>52.209209399999999</v>
      </c>
      <c r="J16" s="12">
        <v>35.0605774</v>
      </c>
      <c r="K16" s="65">
        <v>61</v>
      </c>
      <c r="L16" s="83"/>
      <c r="N16" s="148" t="s">
        <v>777</v>
      </c>
      <c r="O16" s="112"/>
      <c r="P16" s="112"/>
    </row>
    <row r="17" spans="1:17" x14ac:dyDescent="0.2">
      <c r="A17" s="125">
        <v>14</v>
      </c>
      <c r="B17" s="86" t="s">
        <v>37</v>
      </c>
      <c r="C17" s="86" t="s">
        <v>38</v>
      </c>
      <c r="D17" s="86">
        <v>1983</v>
      </c>
      <c r="E17" s="86">
        <v>1520</v>
      </c>
      <c r="F17" s="86">
        <v>79</v>
      </c>
      <c r="G17" s="86" t="s">
        <v>9</v>
      </c>
      <c r="H17" s="78" t="s">
        <v>564</v>
      </c>
      <c r="I17" s="78">
        <v>52.0028839</v>
      </c>
      <c r="J17" s="79">
        <v>34.9315529</v>
      </c>
      <c r="K17" s="80">
        <v>62</v>
      </c>
      <c r="L17" s="81" t="s">
        <v>763</v>
      </c>
      <c r="M17" s="2" t="s">
        <v>777</v>
      </c>
      <c r="N17" s="148" t="s">
        <v>777</v>
      </c>
      <c r="O17" s="112"/>
      <c r="P17" s="112"/>
    </row>
    <row r="18" spans="1:17" x14ac:dyDescent="0.2">
      <c r="A18" s="125">
        <v>15</v>
      </c>
      <c r="B18" s="13" t="s">
        <v>39</v>
      </c>
      <c r="C18" s="13" t="s">
        <v>40</v>
      </c>
      <c r="D18" s="13">
        <v>1985</v>
      </c>
      <c r="E18" s="13">
        <v>4810</v>
      </c>
      <c r="F18" s="13">
        <v>260</v>
      </c>
      <c r="G18" s="13" t="s">
        <v>20</v>
      </c>
      <c r="H18" s="6" t="s">
        <v>564</v>
      </c>
      <c r="I18" s="6">
        <v>52.137008700000003</v>
      </c>
      <c r="J18" s="12">
        <v>34.843799599999997</v>
      </c>
      <c r="K18" s="65">
        <v>63</v>
      </c>
      <c r="L18" s="83"/>
      <c r="N18" s="148" t="s">
        <v>777</v>
      </c>
      <c r="O18" s="112"/>
      <c r="P18" s="112"/>
    </row>
    <row r="19" spans="1:17" x14ac:dyDescent="0.2">
      <c r="A19" s="125">
        <v>16</v>
      </c>
      <c r="B19" s="13" t="s">
        <v>41</v>
      </c>
      <c r="C19" s="13" t="s">
        <v>42</v>
      </c>
      <c r="D19" s="13">
        <v>1987</v>
      </c>
      <c r="E19" s="13">
        <v>1520</v>
      </c>
      <c r="F19" s="13">
        <v>79</v>
      </c>
      <c r="G19" s="13" t="s">
        <v>9</v>
      </c>
      <c r="H19" s="115" t="s">
        <v>564</v>
      </c>
      <c r="I19" s="6">
        <v>52.067195900000002</v>
      </c>
      <c r="J19" s="12">
        <v>35.297905</v>
      </c>
      <c r="K19" s="65">
        <v>64</v>
      </c>
      <c r="L19" s="83"/>
      <c r="N19" s="148" t="s">
        <v>777</v>
      </c>
      <c r="O19" s="112"/>
      <c r="P19" s="112"/>
    </row>
    <row r="20" spans="1:17" ht="30" x14ac:dyDescent="0.2">
      <c r="A20" s="125">
        <v>17</v>
      </c>
      <c r="B20" s="13" t="s">
        <v>43</v>
      </c>
      <c r="C20" s="13" t="s">
        <v>44</v>
      </c>
      <c r="D20" s="13">
        <v>1985</v>
      </c>
      <c r="E20" s="13">
        <v>560</v>
      </c>
      <c r="F20" s="13">
        <v>58</v>
      </c>
      <c r="G20" s="13" t="s">
        <v>9</v>
      </c>
      <c r="H20" s="115" t="s">
        <v>1118</v>
      </c>
      <c r="I20" s="6">
        <v>52.042217299999997</v>
      </c>
      <c r="J20" s="12">
        <v>34.8942719</v>
      </c>
      <c r="K20" s="65">
        <v>65</v>
      </c>
      <c r="L20" s="83"/>
      <c r="N20" s="148" t="s">
        <v>777</v>
      </c>
      <c r="O20" s="112"/>
      <c r="P20" s="112"/>
    </row>
    <row r="21" spans="1:17" x14ac:dyDescent="0.2">
      <c r="A21" s="125">
        <v>18</v>
      </c>
      <c r="B21" s="13" t="s">
        <v>45</v>
      </c>
      <c r="C21" s="13" t="s">
        <v>46</v>
      </c>
      <c r="D21" s="13">
        <v>1976</v>
      </c>
      <c r="E21" s="13">
        <v>544</v>
      </c>
      <c r="F21" s="13">
        <v>17</v>
      </c>
      <c r="G21" s="13" t="s">
        <v>9</v>
      </c>
      <c r="H21" s="115" t="s">
        <v>1120</v>
      </c>
      <c r="I21" s="6">
        <v>52.231712299999998</v>
      </c>
      <c r="J21" s="12">
        <v>34.9930077</v>
      </c>
      <c r="K21" s="65">
        <v>66</v>
      </c>
      <c r="L21" s="83"/>
      <c r="N21" s="148" t="s">
        <v>777</v>
      </c>
      <c r="O21" s="112"/>
      <c r="P21" s="112"/>
    </row>
    <row r="22" spans="1:17" x14ac:dyDescent="0.2">
      <c r="A22" s="125">
        <v>19</v>
      </c>
      <c r="B22" s="13" t="s">
        <v>47</v>
      </c>
      <c r="C22" s="13" t="s">
        <v>48</v>
      </c>
      <c r="D22" s="13">
        <v>1986</v>
      </c>
      <c r="E22" s="13">
        <v>784</v>
      </c>
      <c r="F22" s="13">
        <v>32</v>
      </c>
      <c r="G22" s="13" t="s">
        <v>9</v>
      </c>
      <c r="H22" s="115" t="s">
        <v>565</v>
      </c>
      <c r="I22" s="6">
        <v>52.167285900000003</v>
      </c>
      <c r="J22" s="12">
        <v>34.863723800000002</v>
      </c>
      <c r="K22" s="65">
        <v>67</v>
      </c>
      <c r="L22" s="83"/>
      <c r="N22" s="148" t="s">
        <v>777</v>
      </c>
      <c r="O22" s="112"/>
      <c r="P22" s="112"/>
    </row>
    <row r="23" spans="1:17" x14ac:dyDescent="0.2">
      <c r="A23" s="125">
        <v>20</v>
      </c>
      <c r="B23" s="13" t="s">
        <v>43</v>
      </c>
      <c r="C23" s="13" t="s">
        <v>49</v>
      </c>
      <c r="D23" s="13">
        <v>1976</v>
      </c>
      <c r="E23" s="13">
        <v>650</v>
      </c>
      <c r="F23" s="13">
        <v>25</v>
      </c>
      <c r="G23" s="13" t="s">
        <v>9</v>
      </c>
      <c r="H23" s="115" t="s">
        <v>1119</v>
      </c>
      <c r="I23" s="6">
        <v>52.045520799999998</v>
      </c>
      <c r="J23" s="12">
        <v>34.901233699999999</v>
      </c>
      <c r="K23" s="65">
        <v>68</v>
      </c>
      <c r="L23" s="83"/>
      <c r="N23" s="148" t="s">
        <v>777</v>
      </c>
      <c r="O23" s="112"/>
      <c r="P23" s="112"/>
    </row>
    <row r="24" spans="1:17" x14ac:dyDescent="0.2">
      <c r="A24" s="125">
        <v>21</v>
      </c>
      <c r="B24" s="13" t="s">
        <v>45</v>
      </c>
      <c r="C24" s="13" t="s">
        <v>562</v>
      </c>
      <c r="D24" s="13">
        <v>1956</v>
      </c>
      <c r="E24" s="13">
        <v>504</v>
      </c>
      <c r="F24" s="13">
        <v>25</v>
      </c>
      <c r="G24" s="13" t="s">
        <v>9</v>
      </c>
      <c r="H24" s="6" t="s">
        <v>566</v>
      </c>
      <c r="I24" s="6">
        <v>52.224346199999999</v>
      </c>
      <c r="J24" s="12">
        <v>35.053703300000002</v>
      </c>
      <c r="K24" s="65">
        <v>69</v>
      </c>
      <c r="L24" s="83"/>
      <c r="N24" s="148" t="s">
        <v>777</v>
      </c>
      <c r="O24" s="112"/>
      <c r="P24" s="112"/>
    </row>
    <row r="25" spans="1:17" x14ac:dyDescent="0.2">
      <c r="A25" s="125">
        <v>22</v>
      </c>
      <c r="B25" s="13" t="s">
        <v>50</v>
      </c>
      <c r="C25" s="13" t="s">
        <v>51</v>
      </c>
      <c r="D25" s="13">
        <v>1976</v>
      </c>
      <c r="E25" s="13">
        <v>569</v>
      </c>
      <c r="F25" s="13">
        <v>25</v>
      </c>
      <c r="G25" s="13" t="s">
        <v>9</v>
      </c>
      <c r="H25" s="115" t="s">
        <v>1119</v>
      </c>
      <c r="I25" s="6">
        <v>52.005302399999998</v>
      </c>
      <c r="J25" s="12">
        <v>34.756771100000002</v>
      </c>
      <c r="K25" s="65">
        <v>70</v>
      </c>
      <c r="L25" s="83"/>
      <c r="N25" s="148" t="s">
        <v>777</v>
      </c>
      <c r="O25" s="112"/>
      <c r="P25" s="112"/>
    </row>
    <row r="26" spans="1:17" x14ac:dyDescent="0.2">
      <c r="A26" s="125">
        <v>23</v>
      </c>
      <c r="B26" s="13" t="s">
        <v>52</v>
      </c>
      <c r="C26" s="13" t="s">
        <v>53</v>
      </c>
      <c r="D26" s="13">
        <v>1974</v>
      </c>
      <c r="E26" s="13">
        <v>564</v>
      </c>
      <c r="F26" s="13">
        <v>33</v>
      </c>
      <c r="G26" s="13" t="s">
        <v>9</v>
      </c>
      <c r="H26" s="115" t="s">
        <v>1122</v>
      </c>
      <c r="I26" s="6">
        <v>52.157306699999999</v>
      </c>
      <c r="J26" s="12">
        <v>34.955532099999999</v>
      </c>
      <c r="K26" s="65">
        <v>71</v>
      </c>
      <c r="L26" s="83"/>
      <c r="N26" s="148" t="s">
        <v>777</v>
      </c>
      <c r="O26" s="112"/>
      <c r="P26" s="112"/>
    </row>
    <row r="27" spans="1:17" x14ac:dyDescent="0.2">
      <c r="A27" s="125">
        <v>24</v>
      </c>
      <c r="B27" s="13" t="s">
        <v>54</v>
      </c>
      <c r="C27" s="13" t="s">
        <v>55</v>
      </c>
      <c r="D27" s="13">
        <v>1983</v>
      </c>
      <c r="E27" s="13">
        <v>719</v>
      </c>
      <c r="F27" s="13">
        <v>20</v>
      </c>
      <c r="G27" s="13" t="s">
        <v>9</v>
      </c>
      <c r="H27" s="6" t="s">
        <v>567</v>
      </c>
      <c r="I27" s="6">
        <v>52.1381874</v>
      </c>
      <c r="J27" s="12">
        <v>35.089077000000003</v>
      </c>
      <c r="K27" s="67">
        <v>75</v>
      </c>
      <c r="L27" s="83"/>
      <c r="N27" s="148" t="s">
        <v>777</v>
      </c>
      <c r="O27" s="112"/>
      <c r="P27" s="112"/>
    </row>
    <row r="28" spans="1:17" x14ac:dyDescent="0.2">
      <c r="A28" s="125">
        <v>25</v>
      </c>
      <c r="B28" s="13" t="s">
        <v>56</v>
      </c>
      <c r="C28" s="13" t="s">
        <v>57</v>
      </c>
      <c r="D28" s="13">
        <v>1993</v>
      </c>
      <c r="E28" s="13">
        <v>260</v>
      </c>
      <c r="F28" s="13">
        <v>18</v>
      </c>
      <c r="G28" s="13" t="s">
        <v>20</v>
      </c>
      <c r="H28" s="6" t="s">
        <v>566</v>
      </c>
      <c r="I28" s="6">
        <v>52.246570599999998</v>
      </c>
      <c r="J28" s="12">
        <v>35.039348599999997</v>
      </c>
      <c r="K28" s="65">
        <v>72</v>
      </c>
      <c r="L28" s="83"/>
      <c r="N28" s="148" t="s">
        <v>777</v>
      </c>
      <c r="O28" s="112"/>
      <c r="P28" s="112"/>
    </row>
    <row r="29" spans="1:17" x14ac:dyDescent="0.2">
      <c r="A29" s="125">
        <v>26</v>
      </c>
      <c r="B29" s="13" t="s">
        <v>58</v>
      </c>
      <c r="C29" s="13" t="s">
        <v>59</v>
      </c>
      <c r="D29" s="13">
        <v>1957</v>
      </c>
      <c r="E29" s="13">
        <v>290</v>
      </c>
      <c r="F29" s="13">
        <v>21</v>
      </c>
      <c r="G29" s="13" t="s">
        <v>20</v>
      </c>
      <c r="H29" s="115" t="s">
        <v>566</v>
      </c>
      <c r="I29" s="6">
        <v>52.277000399999999</v>
      </c>
      <c r="J29" s="12">
        <v>34.917270700000003</v>
      </c>
      <c r="K29" s="65">
        <v>73</v>
      </c>
      <c r="L29" s="83"/>
      <c r="N29" s="148" t="s">
        <v>777</v>
      </c>
      <c r="O29" s="112"/>
      <c r="P29" s="112"/>
    </row>
    <row r="30" spans="1:17" x14ac:dyDescent="0.2">
      <c r="A30" s="125">
        <v>27</v>
      </c>
      <c r="B30" s="13" t="s">
        <v>60</v>
      </c>
      <c r="C30" s="13" t="s">
        <v>61</v>
      </c>
      <c r="D30" s="13">
        <v>1987</v>
      </c>
      <c r="E30" s="13">
        <v>126</v>
      </c>
      <c r="F30" s="13">
        <v>7</v>
      </c>
      <c r="G30" s="13" t="s">
        <v>20</v>
      </c>
      <c r="H30" s="115" t="s">
        <v>1123</v>
      </c>
      <c r="I30" s="6">
        <v>52.308963800000001</v>
      </c>
      <c r="J30" s="12">
        <v>35.075676000000001</v>
      </c>
      <c r="K30" s="65">
        <v>74</v>
      </c>
      <c r="L30" s="83"/>
      <c r="N30" s="148" t="s">
        <v>777</v>
      </c>
      <c r="O30" s="112"/>
      <c r="P30" s="112"/>
    </row>
    <row r="31" spans="1:17" ht="26.25" thickBot="1" x14ac:dyDescent="0.25">
      <c r="A31" s="125">
        <v>28</v>
      </c>
      <c r="B31" s="14" t="s">
        <v>39</v>
      </c>
      <c r="C31" s="14" t="s">
        <v>62</v>
      </c>
      <c r="D31" s="14">
        <v>1973</v>
      </c>
      <c r="E31" s="14">
        <v>647</v>
      </c>
      <c r="F31" s="14">
        <v>32</v>
      </c>
      <c r="G31" s="14" t="s">
        <v>20</v>
      </c>
      <c r="H31" s="115" t="s">
        <v>565</v>
      </c>
      <c r="I31" s="6">
        <v>52.1777534</v>
      </c>
      <c r="J31" s="12">
        <v>34.855659500000002</v>
      </c>
      <c r="K31" s="65">
        <v>76</v>
      </c>
      <c r="L31" s="111" t="s">
        <v>1121</v>
      </c>
      <c r="N31" s="148" t="s">
        <v>777</v>
      </c>
      <c r="O31" s="112"/>
      <c r="P31" s="112"/>
      <c r="Q31" s="42"/>
    </row>
    <row r="32" spans="1:17" ht="14.25" x14ac:dyDescent="0.2">
      <c r="A32" s="195" t="s">
        <v>63</v>
      </c>
      <c r="B32" s="196"/>
      <c r="C32" s="196"/>
      <c r="D32" s="196"/>
      <c r="E32" s="196"/>
      <c r="F32" s="196"/>
      <c r="G32" s="196"/>
      <c r="H32" s="196"/>
      <c r="I32" s="196"/>
      <c r="J32" s="196"/>
      <c r="K32" s="68"/>
      <c r="L32" s="83"/>
      <c r="N32" s="112"/>
      <c r="O32" s="112"/>
      <c r="P32" s="112"/>
      <c r="Q32" s="42"/>
    </row>
    <row r="33" spans="1:18" ht="30" x14ac:dyDescent="0.2">
      <c r="A33" s="125">
        <v>29</v>
      </c>
      <c r="B33" s="13" t="s">
        <v>64</v>
      </c>
      <c r="C33" s="13" t="s">
        <v>65</v>
      </c>
      <c r="D33" s="13">
        <v>1976</v>
      </c>
      <c r="E33" s="13">
        <v>41100</v>
      </c>
      <c r="F33" s="13">
        <v>1407</v>
      </c>
      <c r="G33" s="13" t="s">
        <v>20</v>
      </c>
      <c r="H33" s="6" t="s">
        <v>569</v>
      </c>
      <c r="I33" s="6">
        <v>52.231510200000002</v>
      </c>
      <c r="J33" s="12">
        <v>35.562595399999999</v>
      </c>
      <c r="K33" s="65">
        <v>77</v>
      </c>
      <c r="L33" s="124" t="s">
        <v>1117</v>
      </c>
      <c r="N33" s="148" t="s">
        <v>777</v>
      </c>
      <c r="O33" s="112"/>
      <c r="P33" s="112"/>
      <c r="Q33" s="36"/>
    </row>
    <row r="34" spans="1:18" ht="30" x14ac:dyDescent="0.2">
      <c r="A34" s="125">
        <v>30</v>
      </c>
      <c r="B34" s="86" t="s">
        <v>66</v>
      </c>
      <c r="C34" s="86" t="s">
        <v>67</v>
      </c>
      <c r="D34" s="86">
        <v>1960</v>
      </c>
      <c r="E34" s="86">
        <v>2450</v>
      </c>
      <c r="F34" s="86">
        <v>180</v>
      </c>
      <c r="G34" s="86" t="s">
        <v>20</v>
      </c>
      <c r="H34" s="78" t="s">
        <v>569</v>
      </c>
      <c r="I34" s="78" t="s">
        <v>570</v>
      </c>
      <c r="J34" s="79" t="s">
        <v>571</v>
      </c>
      <c r="K34" s="80">
        <v>81</v>
      </c>
      <c r="L34" s="124" t="s">
        <v>1117</v>
      </c>
      <c r="M34" s="2" t="s">
        <v>777</v>
      </c>
      <c r="N34" s="148" t="s">
        <v>777</v>
      </c>
      <c r="O34" s="171" t="s">
        <v>777</v>
      </c>
      <c r="P34" s="148" t="s">
        <v>777</v>
      </c>
      <c r="Q34" s="36"/>
    </row>
    <row r="35" spans="1:18" ht="30" x14ac:dyDescent="0.2">
      <c r="A35" s="125">
        <v>31</v>
      </c>
      <c r="B35" s="13" t="s">
        <v>66</v>
      </c>
      <c r="C35" s="13" t="s">
        <v>68</v>
      </c>
      <c r="D35" s="13">
        <v>1960</v>
      </c>
      <c r="E35" s="13">
        <v>1500</v>
      </c>
      <c r="F35" s="13">
        <v>100</v>
      </c>
      <c r="G35" s="13" t="s">
        <v>20</v>
      </c>
      <c r="H35" s="6" t="s">
        <v>569</v>
      </c>
      <c r="I35" s="15">
        <v>52.348407999999999</v>
      </c>
      <c r="J35" s="45">
        <v>35.445658000000002</v>
      </c>
      <c r="K35" s="65">
        <v>82</v>
      </c>
      <c r="L35" s="124" t="s">
        <v>1117</v>
      </c>
      <c r="N35" s="148" t="s">
        <v>777</v>
      </c>
      <c r="O35" s="171" t="s">
        <v>777</v>
      </c>
      <c r="P35" s="148" t="s">
        <v>777</v>
      </c>
      <c r="Q35" s="36"/>
    </row>
    <row r="36" spans="1:18" x14ac:dyDescent="0.2">
      <c r="A36" s="125">
        <v>32</v>
      </c>
      <c r="B36" s="13" t="s">
        <v>69</v>
      </c>
      <c r="C36" s="13" t="s">
        <v>70</v>
      </c>
      <c r="D36" s="13">
        <v>1978</v>
      </c>
      <c r="E36" s="13">
        <v>1050</v>
      </c>
      <c r="F36" s="13">
        <v>56</v>
      </c>
      <c r="G36" s="13" t="s">
        <v>9</v>
      </c>
      <c r="H36" s="115" t="s">
        <v>1124</v>
      </c>
      <c r="I36" s="6">
        <v>52.309146900000002</v>
      </c>
      <c r="J36" s="12">
        <v>35.228187599999998</v>
      </c>
      <c r="K36" s="65">
        <v>84</v>
      </c>
      <c r="L36" s="83"/>
      <c r="N36" s="148" t="s">
        <v>777</v>
      </c>
      <c r="O36" s="112"/>
      <c r="P36" s="112"/>
      <c r="Q36" s="36"/>
    </row>
    <row r="37" spans="1:18" x14ac:dyDescent="0.2">
      <c r="A37" s="125">
        <v>33</v>
      </c>
      <c r="B37" s="86" t="s">
        <v>71</v>
      </c>
      <c r="C37" s="86" t="s">
        <v>72</v>
      </c>
      <c r="D37" s="86">
        <v>1980</v>
      </c>
      <c r="E37" s="86">
        <v>1079</v>
      </c>
      <c r="F37" s="86">
        <v>31</v>
      </c>
      <c r="G37" s="86" t="s">
        <v>9</v>
      </c>
      <c r="H37" s="78" t="s">
        <v>572</v>
      </c>
      <c r="I37" s="78">
        <v>52.288318599999997</v>
      </c>
      <c r="J37" s="79">
        <v>35.241340600000001</v>
      </c>
      <c r="K37" s="80">
        <v>85</v>
      </c>
      <c r="L37" s="81" t="s">
        <v>763</v>
      </c>
      <c r="M37" s="2" t="s">
        <v>777</v>
      </c>
      <c r="N37" s="148" t="s">
        <v>777</v>
      </c>
      <c r="O37" s="112"/>
      <c r="P37" s="112"/>
      <c r="Q37" s="36"/>
    </row>
    <row r="38" spans="1:18" ht="30" x14ac:dyDescent="0.2">
      <c r="A38" s="125">
        <v>34</v>
      </c>
      <c r="B38" s="13" t="s">
        <v>73</v>
      </c>
      <c r="C38" s="13" t="s">
        <v>74</v>
      </c>
      <c r="D38" s="13">
        <v>1972</v>
      </c>
      <c r="E38" s="13">
        <v>2520</v>
      </c>
      <c r="F38" s="13">
        <v>84</v>
      </c>
      <c r="G38" s="13" t="s">
        <v>20</v>
      </c>
      <c r="H38" s="6" t="s">
        <v>573</v>
      </c>
      <c r="I38" s="15">
        <v>52.315311399999999</v>
      </c>
      <c r="J38" s="45">
        <v>35.358020799999998</v>
      </c>
      <c r="K38" s="65">
        <v>86</v>
      </c>
      <c r="L38" s="83"/>
      <c r="N38" s="148" t="s">
        <v>777</v>
      </c>
      <c r="O38" s="171" t="s">
        <v>777</v>
      </c>
      <c r="P38" s="148" t="s">
        <v>777</v>
      </c>
      <c r="Q38" s="36"/>
    </row>
    <row r="39" spans="1:18" x14ac:dyDescent="0.2">
      <c r="A39" s="125">
        <v>35</v>
      </c>
      <c r="B39" s="13" t="s">
        <v>75</v>
      </c>
      <c r="C39" s="13" t="s">
        <v>76</v>
      </c>
      <c r="D39" s="13">
        <v>1977</v>
      </c>
      <c r="E39" s="13">
        <v>1138</v>
      </c>
      <c r="F39" s="13">
        <v>37</v>
      </c>
      <c r="G39" s="13" t="s">
        <v>20</v>
      </c>
      <c r="H39" s="6" t="s">
        <v>574</v>
      </c>
      <c r="I39" s="15">
        <v>52.106220200000003</v>
      </c>
      <c r="J39" s="45">
        <v>35.537990600000001</v>
      </c>
      <c r="K39" s="65">
        <v>87</v>
      </c>
      <c r="L39" s="83"/>
      <c r="N39" s="148" t="s">
        <v>777</v>
      </c>
      <c r="O39" s="112"/>
      <c r="P39" s="112"/>
      <c r="Q39" s="36"/>
    </row>
    <row r="40" spans="1:18" x14ac:dyDescent="0.2">
      <c r="A40" s="125">
        <v>36</v>
      </c>
      <c r="B40" s="13" t="s">
        <v>77</v>
      </c>
      <c r="C40" s="13" t="s">
        <v>78</v>
      </c>
      <c r="D40" s="13">
        <v>1978</v>
      </c>
      <c r="E40" s="13">
        <v>1675</v>
      </c>
      <c r="F40" s="13">
        <v>193.3</v>
      </c>
      <c r="G40" s="13" t="s">
        <v>20</v>
      </c>
      <c r="H40" s="6" t="s">
        <v>575</v>
      </c>
      <c r="I40" s="15">
        <v>52.217460600000003</v>
      </c>
      <c r="J40" s="45">
        <v>35.490894300000001</v>
      </c>
      <c r="K40" s="65">
        <v>88</v>
      </c>
      <c r="L40" s="83"/>
      <c r="N40" s="148" t="s">
        <v>777</v>
      </c>
      <c r="O40" s="148" t="s">
        <v>777</v>
      </c>
      <c r="P40" s="148" t="s">
        <v>777</v>
      </c>
      <c r="Q40" s="36"/>
    </row>
    <row r="41" spans="1:18" x14ac:dyDescent="0.2">
      <c r="A41" s="125">
        <v>37</v>
      </c>
      <c r="B41" s="13" t="s">
        <v>79</v>
      </c>
      <c r="C41" s="13" t="s">
        <v>80</v>
      </c>
      <c r="D41" s="13">
        <v>2004</v>
      </c>
      <c r="E41" s="13">
        <v>1040</v>
      </c>
      <c r="F41" s="13">
        <v>44</v>
      </c>
      <c r="G41" s="13" t="s">
        <v>20</v>
      </c>
      <c r="H41" s="6" t="s">
        <v>576</v>
      </c>
      <c r="I41" s="15">
        <v>52.146045700000002</v>
      </c>
      <c r="J41" s="45">
        <v>35.443729400000002</v>
      </c>
      <c r="K41" s="65">
        <v>89</v>
      </c>
      <c r="L41" s="83"/>
      <c r="N41" s="148" t="s">
        <v>777</v>
      </c>
      <c r="O41" s="148" t="s">
        <v>777</v>
      </c>
      <c r="P41" s="148" t="s">
        <v>777</v>
      </c>
      <c r="Q41" s="36"/>
    </row>
    <row r="42" spans="1:18" ht="30" x14ac:dyDescent="0.2">
      <c r="A42" s="125">
        <v>38</v>
      </c>
      <c r="B42" s="13" t="s">
        <v>81</v>
      </c>
      <c r="C42" s="13" t="s">
        <v>82</v>
      </c>
      <c r="D42" s="13">
        <v>1975</v>
      </c>
      <c r="E42" s="13">
        <v>880</v>
      </c>
      <c r="F42" s="13">
        <v>97</v>
      </c>
      <c r="G42" s="13" t="s">
        <v>20</v>
      </c>
      <c r="H42" s="6" t="s">
        <v>575</v>
      </c>
      <c r="I42" s="15">
        <v>52.223426799999999</v>
      </c>
      <c r="J42" s="45">
        <v>35.5369606</v>
      </c>
      <c r="K42" s="65">
        <v>90</v>
      </c>
      <c r="L42" s="83"/>
      <c r="N42" s="148" t="s">
        <v>777</v>
      </c>
      <c r="O42" s="171" t="s">
        <v>777</v>
      </c>
      <c r="P42" s="148" t="s">
        <v>777</v>
      </c>
      <c r="Q42" s="36"/>
    </row>
    <row r="43" spans="1:18" x14ac:dyDescent="0.2">
      <c r="A43" s="125">
        <v>39</v>
      </c>
      <c r="B43" s="13" t="s">
        <v>81</v>
      </c>
      <c r="C43" s="13" t="s">
        <v>83</v>
      </c>
      <c r="D43" s="13">
        <v>1975</v>
      </c>
      <c r="E43" s="13">
        <v>440</v>
      </c>
      <c r="F43" s="13">
        <v>76</v>
      </c>
      <c r="G43" s="13" t="s">
        <v>20</v>
      </c>
      <c r="H43" s="6" t="s">
        <v>575</v>
      </c>
      <c r="I43" s="15">
        <v>52.223922700000003</v>
      </c>
      <c r="J43" s="45">
        <v>35.530399299999999</v>
      </c>
      <c r="K43" s="65">
        <v>91</v>
      </c>
      <c r="L43" s="83"/>
      <c r="N43" s="148" t="s">
        <v>777</v>
      </c>
      <c r="O43" s="174" t="s">
        <v>777</v>
      </c>
      <c r="P43" s="174" t="s">
        <v>777</v>
      </c>
      <c r="Q43" s="184" t="s">
        <v>1178</v>
      </c>
    </row>
    <row r="44" spans="1:18" ht="26.1" customHeight="1" x14ac:dyDescent="0.2">
      <c r="A44" s="125">
        <v>40</v>
      </c>
      <c r="B44" s="13" t="s">
        <v>84</v>
      </c>
      <c r="C44" s="13" t="s">
        <v>85</v>
      </c>
      <c r="D44" s="13">
        <v>1979</v>
      </c>
      <c r="E44" s="13">
        <v>564</v>
      </c>
      <c r="F44" s="13">
        <v>28</v>
      </c>
      <c r="G44" s="13" t="s">
        <v>20</v>
      </c>
      <c r="H44" s="115" t="s">
        <v>1125</v>
      </c>
      <c r="I44" s="6">
        <v>52.366107900000003</v>
      </c>
      <c r="J44" s="12">
        <v>35.239952099999996</v>
      </c>
      <c r="K44" s="67">
        <v>92</v>
      </c>
      <c r="L44" s="83"/>
      <c r="N44" s="148" t="s">
        <v>777</v>
      </c>
      <c r="O44" s="148" t="s">
        <v>777</v>
      </c>
      <c r="P44" s="148" t="s">
        <v>777</v>
      </c>
      <c r="Q44" s="36"/>
    </row>
    <row r="45" spans="1:18" ht="30" x14ac:dyDescent="0.2">
      <c r="A45" s="125">
        <v>41</v>
      </c>
      <c r="B45" s="13" t="s">
        <v>86</v>
      </c>
      <c r="C45" s="13" t="s">
        <v>74</v>
      </c>
      <c r="D45" s="13">
        <v>1964</v>
      </c>
      <c r="E45" s="13">
        <v>250</v>
      </c>
      <c r="F45" s="13">
        <v>10</v>
      </c>
      <c r="G45" s="13" t="s">
        <v>9</v>
      </c>
      <c r="H45" s="6" t="s">
        <v>569</v>
      </c>
      <c r="I45" s="15">
        <v>52.345917999999998</v>
      </c>
      <c r="J45" s="45">
        <v>35.377457999999997</v>
      </c>
      <c r="K45" s="67">
        <v>83</v>
      </c>
      <c r="L45" s="124" t="s">
        <v>1117</v>
      </c>
      <c r="N45" s="148" t="s">
        <v>777</v>
      </c>
      <c r="O45" s="112"/>
      <c r="P45" s="112"/>
      <c r="Q45" s="36"/>
    </row>
    <row r="46" spans="1:18" x14ac:dyDescent="0.2">
      <c r="A46" s="125">
        <v>42</v>
      </c>
      <c r="B46" s="13" t="s">
        <v>87</v>
      </c>
      <c r="C46" s="13" t="s">
        <v>88</v>
      </c>
      <c r="D46" s="13">
        <v>1980</v>
      </c>
      <c r="E46" s="13">
        <v>323</v>
      </c>
      <c r="F46" s="13">
        <v>15</v>
      </c>
      <c r="G46" s="13" t="s">
        <v>9</v>
      </c>
      <c r="H46" s="6" t="s">
        <v>577</v>
      </c>
      <c r="I46" s="6">
        <v>52.297233599999998</v>
      </c>
      <c r="J46" s="12">
        <v>35.514183000000003</v>
      </c>
      <c r="K46" s="67">
        <v>93</v>
      </c>
      <c r="L46" s="83"/>
      <c r="N46" s="148" t="s">
        <v>777</v>
      </c>
      <c r="O46" s="112"/>
      <c r="P46" s="112"/>
      <c r="Q46" s="36"/>
    </row>
    <row r="47" spans="1:18" x14ac:dyDescent="0.2">
      <c r="A47" s="197">
        <v>43</v>
      </c>
      <c r="B47" s="200" t="s">
        <v>87</v>
      </c>
      <c r="C47" s="200" t="s">
        <v>89</v>
      </c>
      <c r="D47" s="200">
        <v>1975</v>
      </c>
      <c r="E47" s="200">
        <v>460000</v>
      </c>
      <c r="F47" s="200">
        <v>1300</v>
      </c>
      <c r="G47" s="200" t="s">
        <v>20</v>
      </c>
      <c r="H47" s="217" t="s">
        <v>569</v>
      </c>
      <c r="I47" s="78">
        <v>52.325775100000001</v>
      </c>
      <c r="J47" s="79">
        <v>35.5229225</v>
      </c>
      <c r="K47" s="220">
        <v>78</v>
      </c>
      <c r="L47" s="223" t="s">
        <v>1117</v>
      </c>
      <c r="M47" s="2" t="s">
        <v>777</v>
      </c>
      <c r="N47" s="226" t="s">
        <v>777</v>
      </c>
      <c r="O47" s="203" t="s">
        <v>777</v>
      </c>
      <c r="P47" s="203" t="s">
        <v>777</v>
      </c>
      <c r="Q47" s="206"/>
      <c r="R47" s="124" t="s">
        <v>1117</v>
      </c>
    </row>
    <row r="48" spans="1:18" x14ac:dyDescent="0.2">
      <c r="A48" s="198"/>
      <c r="B48" s="201"/>
      <c r="C48" s="201"/>
      <c r="D48" s="201"/>
      <c r="E48" s="201"/>
      <c r="F48" s="201"/>
      <c r="G48" s="201"/>
      <c r="H48" s="218"/>
      <c r="I48" s="182"/>
      <c r="J48" s="132"/>
      <c r="K48" s="221"/>
      <c r="L48" s="224"/>
      <c r="N48" s="226"/>
      <c r="O48" s="204"/>
      <c r="P48" s="204"/>
      <c r="Q48" s="207"/>
    </row>
    <row r="49" spans="1:17" x14ac:dyDescent="0.2">
      <c r="A49" s="198"/>
      <c r="B49" s="201"/>
      <c r="C49" s="201"/>
      <c r="D49" s="201"/>
      <c r="E49" s="201"/>
      <c r="F49" s="201"/>
      <c r="G49" s="201"/>
      <c r="H49" s="218"/>
      <c r="I49" s="182"/>
      <c r="J49" s="132"/>
      <c r="K49" s="221"/>
      <c r="L49" s="224"/>
      <c r="N49" s="226"/>
      <c r="O49" s="204"/>
      <c r="P49" s="204"/>
      <c r="Q49" s="207"/>
    </row>
    <row r="50" spans="1:17" x14ac:dyDescent="0.2">
      <c r="A50" s="199"/>
      <c r="B50" s="202"/>
      <c r="C50" s="202"/>
      <c r="D50" s="202"/>
      <c r="E50" s="202"/>
      <c r="F50" s="202"/>
      <c r="G50" s="202"/>
      <c r="H50" s="219"/>
      <c r="I50" s="182"/>
      <c r="J50" s="132"/>
      <c r="K50" s="222"/>
      <c r="L50" s="225"/>
      <c r="N50" s="226"/>
      <c r="O50" s="205"/>
      <c r="P50" s="205"/>
      <c r="Q50" s="208"/>
    </row>
    <row r="51" spans="1:17" ht="30.75" thickBot="1" x14ac:dyDescent="0.25">
      <c r="A51" s="125">
        <v>44</v>
      </c>
      <c r="B51" s="14" t="s">
        <v>90</v>
      </c>
      <c r="C51" s="14" t="s">
        <v>91</v>
      </c>
      <c r="D51" s="14">
        <v>1977</v>
      </c>
      <c r="E51" s="14">
        <v>550</v>
      </c>
      <c r="F51" s="14">
        <v>8</v>
      </c>
      <c r="G51" s="14" t="s">
        <v>20</v>
      </c>
      <c r="H51" s="16" t="s">
        <v>569</v>
      </c>
      <c r="I51" s="16">
        <v>52.357109100000002</v>
      </c>
      <c r="J51" s="17">
        <v>35.4075165</v>
      </c>
      <c r="K51" s="67">
        <v>80</v>
      </c>
      <c r="L51" s="124" t="s">
        <v>1117</v>
      </c>
      <c r="N51" s="148" t="s">
        <v>777</v>
      </c>
      <c r="O51" s="148" t="s">
        <v>777</v>
      </c>
      <c r="P51" s="148" t="s">
        <v>777</v>
      </c>
      <c r="Q51" s="36"/>
    </row>
    <row r="52" spans="1:17" ht="15.75" thickBot="1" x14ac:dyDescent="0.25">
      <c r="A52" s="209" t="s">
        <v>92</v>
      </c>
      <c r="B52" s="210"/>
      <c r="C52" s="210"/>
      <c r="D52" s="210"/>
      <c r="E52" s="210"/>
      <c r="F52" s="210"/>
      <c r="G52" s="210"/>
      <c r="H52" s="210"/>
      <c r="I52" s="210"/>
      <c r="J52" s="210"/>
      <c r="K52" s="67"/>
      <c r="L52" s="83"/>
      <c r="N52" s="112"/>
      <c r="O52" s="112"/>
      <c r="P52" s="112"/>
    </row>
    <row r="53" spans="1:17" ht="45" x14ac:dyDescent="0.2">
      <c r="A53" s="178">
        <v>45</v>
      </c>
      <c r="B53" s="18" t="s">
        <v>93</v>
      </c>
      <c r="C53" s="18" t="s">
        <v>94</v>
      </c>
      <c r="D53" s="18">
        <v>1984</v>
      </c>
      <c r="E53" s="18">
        <v>1260</v>
      </c>
      <c r="F53" s="18">
        <v>37</v>
      </c>
      <c r="G53" s="18" t="s">
        <v>9</v>
      </c>
      <c r="H53" s="15" t="s">
        <v>578</v>
      </c>
      <c r="I53" s="15">
        <v>52.122388000000001</v>
      </c>
      <c r="J53" s="45">
        <v>36.368276000000002</v>
      </c>
      <c r="K53" s="65">
        <v>94</v>
      </c>
      <c r="L53" s="83"/>
      <c r="N53" s="148" t="s">
        <v>777</v>
      </c>
      <c r="O53" s="112"/>
      <c r="P53" s="112"/>
    </row>
    <row r="54" spans="1:17" ht="30" x14ac:dyDescent="0.2">
      <c r="A54" s="178">
        <v>46</v>
      </c>
      <c r="B54" s="13" t="s">
        <v>95</v>
      </c>
      <c r="C54" s="13" t="s">
        <v>96</v>
      </c>
      <c r="D54" s="13">
        <v>1984</v>
      </c>
      <c r="E54" s="13">
        <v>1180</v>
      </c>
      <c r="F54" s="13">
        <v>29</v>
      </c>
      <c r="G54" s="13" t="s">
        <v>9</v>
      </c>
      <c r="H54" s="15" t="s">
        <v>579</v>
      </c>
      <c r="I54" s="15">
        <v>52.071315800000001</v>
      </c>
      <c r="J54" s="45">
        <v>36.562442799999999</v>
      </c>
      <c r="K54" s="65">
        <v>95</v>
      </c>
      <c r="L54" s="83"/>
      <c r="N54" s="148" t="s">
        <v>777</v>
      </c>
      <c r="O54" s="112"/>
      <c r="P54" s="112"/>
    </row>
    <row r="55" spans="1:17" x14ac:dyDescent="0.2">
      <c r="A55" s="178">
        <v>47</v>
      </c>
      <c r="B55" s="13" t="s">
        <v>97</v>
      </c>
      <c r="C55" s="13" t="s">
        <v>98</v>
      </c>
      <c r="D55" s="13">
        <v>1973</v>
      </c>
      <c r="E55" s="13">
        <v>1100</v>
      </c>
      <c r="F55" s="13">
        <v>32</v>
      </c>
      <c r="G55" s="13" t="s">
        <v>9</v>
      </c>
      <c r="H55" s="15" t="s">
        <v>580</v>
      </c>
      <c r="I55" s="15">
        <v>52.064235699999998</v>
      </c>
      <c r="J55" s="45">
        <v>36.3461304</v>
      </c>
      <c r="K55" s="65">
        <v>96</v>
      </c>
      <c r="L55" s="83"/>
      <c r="N55" s="148" t="s">
        <v>777</v>
      </c>
      <c r="O55" s="112"/>
      <c r="P55" s="112"/>
    </row>
    <row r="56" spans="1:17" ht="45" x14ac:dyDescent="0.2">
      <c r="A56" s="178">
        <v>48</v>
      </c>
      <c r="B56" s="13" t="s">
        <v>99</v>
      </c>
      <c r="C56" s="13" t="s">
        <v>100</v>
      </c>
      <c r="D56" s="13">
        <v>1984</v>
      </c>
      <c r="E56" s="13">
        <v>1400</v>
      </c>
      <c r="F56" s="13">
        <v>57</v>
      </c>
      <c r="G56" s="13" t="s">
        <v>9</v>
      </c>
      <c r="H56" s="15" t="s">
        <v>578</v>
      </c>
      <c r="I56" s="15">
        <v>52.042289699999998</v>
      </c>
      <c r="J56" s="45">
        <v>36.429389999999998</v>
      </c>
      <c r="K56" s="65">
        <v>97</v>
      </c>
      <c r="L56" s="83"/>
      <c r="N56" s="148" t="s">
        <v>777</v>
      </c>
      <c r="O56" s="112"/>
      <c r="P56" s="112"/>
    </row>
    <row r="57" spans="1:17" x14ac:dyDescent="0.2">
      <c r="A57" s="18">
        <v>49</v>
      </c>
      <c r="B57" s="13" t="s">
        <v>101</v>
      </c>
      <c r="C57" s="13" t="s">
        <v>102</v>
      </c>
      <c r="D57" s="13">
        <v>1984</v>
      </c>
      <c r="E57" s="13">
        <v>1158</v>
      </c>
      <c r="F57" s="13">
        <v>39</v>
      </c>
      <c r="G57" s="13" t="s">
        <v>9</v>
      </c>
      <c r="H57" s="115" t="s">
        <v>1094</v>
      </c>
      <c r="I57" s="15">
        <v>52.071048699999999</v>
      </c>
      <c r="J57" s="45">
        <v>36.469722699999998</v>
      </c>
      <c r="K57" s="65">
        <v>98</v>
      </c>
      <c r="L57" s="83"/>
      <c r="N57" s="148" t="s">
        <v>777</v>
      </c>
      <c r="O57" s="112"/>
      <c r="P57" s="112"/>
    </row>
    <row r="58" spans="1:17" ht="30" x14ac:dyDescent="0.2">
      <c r="A58" s="18">
        <v>50</v>
      </c>
      <c r="B58" s="13" t="s">
        <v>99</v>
      </c>
      <c r="C58" s="13" t="s">
        <v>104</v>
      </c>
      <c r="D58" s="13">
        <v>1974</v>
      </c>
      <c r="E58" s="13">
        <v>596</v>
      </c>
      <c r="F58" s="13">
        <v>30</v>
      </c>
      <c r="G58" s="13" t="s">
        <v>9</v>
      </c>
      <c r="H58" s="15" t="s">
        <v>581</v>
      </c>
      <c r="I58" s="15">
        <v>52.100303599999997</v>
      </c>
      <c r="J58" s="45">
        <v>36.4641953</v>
      </c>
      <c r="K58" s="65">
        <v>100</v>
      </c>
      <c r="L58" s="83"/>
      <c r="N58" s="148" t="s">
        <v>777</v>
      </c>
      <c r="O58" s="112"/>
      <c r="P58" s="112"/>
    </row>
    <row r="59" spans="1:17" x14ac:dyDescent="0.2">
      <c r="A59" s="18">
        <v>51</v>
      </c>
      <c r="B59" s="13" t="s">
        <v>105</v>
      </c>
      <c r="C59" s="13" t="s">
        <v>106</v>
      </c>
      <c r="D59" s="13" t="s">
        <v>27</v>
      </c>
      <c r="E59" s="13">
        <v>740</v>
      </c>
      <c r="F59" s="13">
        <v>91</v>
      </c>
      <c r="G59" s="13" t="s">
        <v>9</v>
      </c>
      <c r="H59" s="115" t="s">
        <v>1095</v>
      </c>
      <c r="I59" s="15">
        <v>52.185874900000002</v>
      </c>
      <c r="J59" s="45">
        <v>36.587150600000001</v>
      </c>
      <c r="K59" s="65">
        <v>101</v>
      </c>
      <c r="L59" s="83"/>
      <c r="N59" s="148" t="s">
        <v>777</v>
      </c>
      <c r="O59" s="112"/>
      <c r="P59" s="112"/>
    </row>
    <row r="60" spans="1:17" ht="30" x14ac:dyDescent="0.2">
      <c r="A60" s="18">
        <v>52</v>
      </c>
      <c r="B60" s="13" t="s">
        <v>107</v>
      </c>
      <c r="C60" s="13" t="s">
        <v>108</v>
      </c>
      <c r="D60" s="13">
        <v>1965</v>
      </c>
      <c r="E60" s="13">
        <v>120</v>
      </c>
      <c r="F60" s="13">
        <v>8</v>
      </c>
      <c r="G60" s="13" t="s">
        <v>20</v>
      </c>
      <c r="H60" s="15" t="s">
        <v>582</v>
      </c>
      <c r="I60" s="15">
        <v>52.059486399999997</v>
      </c>
      <c r="J60" s="45">
        <v>36.621398900000003</v>
      </c>
      <c r="K60" s="65">
        <v>102</v>
      </c>
      <c r="L60" s="83"/>
      <c r="N60" s="148" t="s">
        <v>777</v>
      </c>
      <c r="O60" s="112"/>
      <c r="P60" s="112"/>
    </row>
    <row r="61" spans="1:17" x14ac:dyDescent="0.2">
      <c r="A61" s="18">
        <v>53</v>
      </c>
      <c r="B61" s="13" t="s">
        <v>109</v>
      </c>
      <c r="C61" s="13" t="s">
        <v>110</v>
      </c>
      <c r="D61" s="13">
        <v>1940</v>
      </c>
      <c r="E61" s="13">
        <v>126</v>
      </c>
      <c r="F61" s="13">
        <v>7</v>
      </c>
      <c r="G61" s="13" t="s">
        <v>20</v>
      </c>
      <c r="H61" s="115" t="s">
        <v>1096</v>
      </c>
      <c r="I61" s="15">
        <v>51.965229000000001</v>
      </c>
      <c r="J61" s="45">
        <v>36.575874300000002</v>
      </c>
      <c r="K61" s="65">
        <v>103</v>
      </c>
      <c r="L61" s="83"/>
      <c r="N61" s="148" t="s">
        <v>777</v>
      </c>
      <c r="O61" s="112"/>
      <c r="P61" s="112"/>
    </row>
    <row r="62" spans="1:17" x14ac:dyDescent="0.2">
      <c r="A62" s="18">
        <v>54</v>
      </c>
      <c r="B62" s="13" t="s">
        <v>111</v>
      </c>
      <c r="C62" s="13" t="s">
        <v>112</v>
      </c>
      <c r="D62" s="13">
        <v>1976</v>
      </c>
      <c r="E62" s="13">
        <v>350</v>
      </c>
      <c r="F62" s="13">
        <v>10</v>
      </c>
      <c r="G62" s="13" t="s">
        <v>9</v>
      </c>
      <c r="H62" s="115" t="s">
        <v>1097</v>
      </c>
      <c r="I62" s="15">
        <v>52.100692700000003</v>
      </c>
      <c r="J62" s="45">
        <v>36.325733200000002</v>
      </c>
      <c r="K62" s="65">
        <v>104</v>
      </c>
      <c r="L62" s="83"/>
      <c r="N62" s="148" t="s">
        <v>777</v>
      </c>
      <c r="O62" s="112"/>
      <c r="P62" s="112"/>
    </row>
    <row r="63" spans="1:17" x14ac:dyDescent="0.2">
      <c r="A63" s="18">
        <v>55</v>
      </c>
      <c r="B63" s="13" t="s">
        <v>113</v>
      </c>
      <c r="C63" s="13" t="s">
        <v>114</v>
      </c>
      <c r="D63" s="13">
        <v>1970</v>
      </c>
      <c r="E63" s="13">
        <v>300</v>
      </c>
      <c r="F63" s="13">
        <v>11</v>
      </c>
      <c r="G63" s="13" t="s">
        <v>9</v>
      </c>
      <c r="H63" s="15" t="s">
        <v>583</v>
      </c>
      <c r="I63" s="15">
        <v>51.951526600000001</v>
      </c>
      <c r="J63" s="45">
        <v>36.385097500000001</v>
      </c>
      <c r="K63" s="65">
        <v>105</v>
      </c>
      <c r="L63" s="83"/>
      <c r="N63" s="148" t="s">
        <v>777</v>
      </c>
      <c r="O63" s="112"/>
      <c r="P63" s="112"/>
    </row>
    <row r="64" spans="1:17" ht="30" x14ac:dyDescent="0.2">
      <c r="A64" s="18">
        <v>56</v>
      </c>
      <c r="B64" s="13" t="s">
        <v>115</v>
      </c>
      <c r="C64" s="13" t="s">
        <v>116</v>
      </c>
      <c r="D64" s="13">
        <v>1950</v>
      </c>
      <c r="E64" s="13">
        <v>117</v>
      </c>
      <c r="F64" s="13">
        <v>13</v>
      </c>
      <c r="G64" s="13" t="s">
        <v>117</v>
      </c>
      <c r="H64" s="15" t="s">
        <v>584</v>
      </c>
      <c r="I64" s="15">
        <v>52.0340919</v>
      </c>
      <c r="J64" s="45">
        <v>36.263530699999997</v>
      </c>
      <c r="K64" s="65">
        <v>106</v>
      </c>
      <c r="L64" s="83"/>
      <c r="N64" s="148" t="s">
        <v>777</v>
      </c>
      <c r="O64" s="112"/>
      <c r="P64" s="112"/>
    </row>
    <row r="65" spans="1:19" x14ac:dyDescent="0.2">
      <c r="A65" s="18">
        <v>57</v>
      </c>
      <c r="B65" s="13" t="s">
        <v>118</v>
      </c>
      <c r="C65" s="13" t="s">
        <v>119</v>
      </c>
      <c r="D65" s="13">
        <v>1969</v>
      </c>
      <c r="E65" s="13">
        <v>430</v>
      </c>
      <c r="F65" s="13">
        <v>23</v>
      </c>
      <c r="G65" s="13" t="s">
        <v>9</v>
      </c>
      <c r="H65" s="115" t="s">
        <v>1098</v>
      </c>
      <c r="I65" s="15">
        <v>51.962165800000001</v>
      </c>
      <c r="J65" s="45">
        <v>36.244132999999998</v>
      </c>
      <c r="K65" s="65">
        <v>107</v>
      </c>
      <c r="L65" s="83"/>
      <c r="N65" s="148" t="s">
        <v>777</v>
      </c>
      <c r="O65" s="112"/>
      <c r="P65" s="112"/>
    </row>
    <row r="66" spans="1:19" ht="30" x14ac:dyDescent="0.2">
      <c r="A66" s="18">
        <v>58</v>
      </c>
      <c r="B66" s="13" t="s">
        <v>120</v>
      </c>
      <c r="C66" s="13" t="s">
        <v>121</v>
      </c>
      <c r="D66" s="13">
        <v>1966</v>
      </c>
      <c r="E66" s="13">
        <v>180</v>
      </c>
      <c r="F66" s="13">
        <v>14</v>
      </c>
      <c r="G66" s="13" t="s">
        <v>117</v>
      </c>
      <c r="H66" s="15" t="s">
        <v>585</v>
      </c>
      <c r="I66" s="15">
        <v>51.930164300000001</v>
      </c>
      <c r="J66" s="45">
        <v>36.154087099999998</v>
      </c>
      <c r="K66" s="65">
        <v>108</v>
      </c>
      <c r="L66" s="83"/>
      <c r="N66" s="148" t="s">
        <v>777</v>
      </c>
      <c r="O66" s="112"/>
      <c r="P66" s="112"/>
    </row>
    <row r="67" spans="1:19" ht="30.75" thickBot="1" x14ac:dyDescent="0.25">
      <c r="A67" s="18">
        <v>59</v>
      </c>
      <c r="B67" s="14" t="s">
        <v>122</v>
      </c>
      <c r="C67" s="14" t="s">
        <v>123</v>
      </c>
      <c r="D67" s="14" t="s">
        <v>27</v>
      </c>
      <c r="E67" s="14">
        <v>1040.8</v>
      </c>
      <c r="F67" s="14" t="s">
        <v>27</v>
      </c>
      <c r="G67" s="14" t="s">
        <v>9</v>
      </c>
      <c r="H67" s="120" t="s">
        <v>1099</v>
      </c>
      <c r="I67" s="19">
        <v>52.020690899999998</v>
      </c>
      <c r="J67" s="46">
        <v>36.336319000000003</v>
      </c>
      <c r="K67" s="65">
        <v>109</v>
      </c>
      <c r="L67" s="83"/>
      <c r="N67" s="148" t="s">
        <v>777</v>
      </c>
      <c r="O67" s="112"/>
      <c r="P67" s="112"/>
    </row>
    <row r="68" spans="1:19" ht="15.75" thickBot="1" x14ac:dyDescent="0.25">
      <c r="A68" s="211" t="s">
        <v>124</v>
      </c>
      <c r="B68" s="212"/>
      <c r="C68" s="212"/>
      <c r="D68" s="212"/>
      <c r="E68" s="212"/>
      <c r="F68" s="212"/>
      <c r="G68" s="212"/>
      <c r="H68" s="212"/>
      <c r="I68" s="212"/>
      <c r="J68" s="213"/>
      <c r="K68" s="67"/>
      <c r="L68" s="83"/>
      <c r="N68" s="112"/>
      <c r="O68" s="112"/>
      <c r="P68" s="112"/>
    </row>
    <row r="69" spans="1:19" x14ac:dyDescent="0.2">
      <c r="A69" s="110">
        <v>60</v>
      </c>
      <c r="B69" s="110" t="s">
        <v>125</v>
      </c>
      <c r="C69" s="110" t="s">
        <v>126</v>
      </c>
      <c r="D69" s="110">
        <v>1967</v>
      </c>
      <c r="E69" s="110">
        <v>1690</v>
      </c>
      <c r="F69" s="110">
        <v>90</v>
      </c>
      <c r="G69" s="110" t="s">
        <v>127</v>
      </c>
      <c r="H69" s="8" t="s">
        <v>586</v>
      </c>
      <c r="I69" s="8">
        <v>51.701667800000003</v>
      </c>
      <c r="J69" s="47">
        <v>38.068687400000002</v>
      </c>
      <c r="K69" s="69">
        <v>110</v>
      </c>
      <c r="L69" s="83"/>
      <c r="N69" s="148" t="s">
        <v>777</v>
      </c>
      <c r="O69" s="112"/>
      <c r="P69" s="112"/>
    </row>
    <row r="70" spans="1:19" x14ac:dyDescent="0.2">
      <c r="A70" s="36">
        <v>61</v>
      </c>
      <c r="B70" s="36" t="s">
        <v>128</v>
      </c>
      <c r="C70" s="36" t="s">
        <v>129</v>
      </c>
      <c r="D70" s="36">
        <v>1981</v>
      </c>
      <c r="E70" s="36">
        <v>2830</v>
      </c>
      <c r="F70" s="36">
        <v>83</v>
      </c>
      <c r="G70" s="36" t="s">
        <v>9</v>
      </c>
      <c r="H70" s="8" t="s">
        <v>586</v>
      </c>
      <c r="I70" s="8">
        <v>51.710285200000001</v>
      </c>
      <c r="J70" s="47">
        <v>37.849552199999998</v>
      </c>
      <c r="K70" s="69">
        <v>111</v>
      </c>
      <c r="L70" s="83"/>
      <c r="N70" s="148" t="s">
        <v>777</v>
      </c>
      <c r="O70" s="112"/>
      <c r="P70" s="112"/>
    </row>
    <row r="71" spans="1:19" ht="30" x14ac:dyDescent="0.2">
      <c r="A71" s="13">
        <v>62</v>
      </c>
      <c r="B71" s="13" t="s">
        <v>130</v>
      </c>
      <c r="C71" s="13" t="s">
        <v>131</v>
      </c>
      <c r="D71" s="13">
        <v>1980</v>
      </c>
      <c r="E71" s="13">
        <v>1026</v>
      </c>
      <c r="F71" s="13">
        <v>94</v>
      </c>
      <c r="G71" s="13" t="s">
        <v>9</v>
      </c>
      <c r="H71" s="8" t="s">
        <v>587</v>
      </c>
      <c r="I71" s="8">
        <v>51.740901899999997</v>
      </c>
      <c r="J71" s="47">
        <v>38.182273899999998</v>
      </c>
      <c r="K71" s="69">
        <v>112</v>
      </c>
      <c r="L71" s="83"/>
      <c r="N71" s="148" t="s">
        <v>777</v>
      </c>
      <c r="O71" s="112"/>
      <c r="P71" s="112"/>
    </row>
    <row r="72" spans="1:19" ht="15.75" x14ac:dyDescent="0.25">
      <c r="A72" s="13">
        <v>63</v>
      </c>
      <c r="B72" s="13" t="s">
        <v>56</v>
      </c>
      <c r="C72" s="13" t="s">
        <v>132</v>
      </c>
      <c r="D72" s="13">
        <v>1980</v>
      </c>
      <c r="E72" s="13">
        <v>577</v>
      </c>
      <c r="F72" s="13">
        <v>22</v>
      </c>
      <c r="G72" s="13" t="s">
        <v>9</v>
      </c>
      <c r="H72" s="8" t="s">
        <v>588</v>
      </c>
      <c r="I72" s="8">
        <v>51.831504799999998</v>
      </c>
      <c r="J72" s="47">
        <v>38.394599900000003</v>
      </c>
      <c r="K72" s="69">
        <v>113</v>
      </c>
      <c r="L72" s="83"/>
      <c r="N72" s="148" t="s">
        <v>777</v>
      </c>
      <c r="O72" s="112"/>
      <c r="P72" s="112"/>
      <c r="Q72" s="173" t="s">
        <v>1190</v>
      </c>
      <c r="R72" s="172"/>
      <c r="S72" s="172"/>
    </row>
    <row r="73" spans="1:19" ht="30" x14ac:dyDescent="0.2">
      <c r="A73" s="13">
        <v>64</v>
      </c>
      <c r="B73" s="13" t="s">
        <v>133</v>
      </c>
      <c r="C73" s="13" t="s">
        <v>134</v>
      </c>
      <c r="D73" s="13" t="s">
        <v>27</v>
      </c>
      <c r="E73" s="13">
        <v>504</v>
      </c>
      <c r="F73" s="13">
        <v>16</v>
      </c>
      <c r="G73" s="13" t="s">
        <v>135</v>
      </c>
      <c r="H73" s="8" t="s">
        <v>589</v>
      </c>
      <c r="I73" s="8">
        <v>51.849094399999998</v>
      </c>
      <c r="J73" s="47">
        <v>38.323509199999997</v>
      </c>
      <c r="K73" s="69">
        <v>114</v>
      </c>
      <c r="L73" s="83"/>
      <c r="N73" s="148" t="s">
        <v>777</v>
      </c>
      <c r="O73" s="112"/>
      <c r="P73" s="112"/>
    </row>
    <row r="74" spans="1:19" x14ac:dyDescent="0.2">
      <c r="A74" s="13">
        <v>65</v>
      </c>
      <c r="B74" s="13" t="s">
        <v>136</v>
      </c>
      <c r="C74" s="13" t="s">
        <v>104</v>
      </c>
      <c r="D74" s="13">
        <v>1974</v>
      </c>
      <c r="E74" s="13">
        <v>400</v>
      </c>
      <c r="F74" s="13">
        <v>12</v>
      </c>
      <c r="G74" s="13" t="s">
        <v>9</v>
      </c>
      <c r="H74" s="8" t="s">
        <v>590</v>
      </c>
      <c r="I74" s="8">
        <v>51.722171799999998</v>
      </c>
      <c r="J74" s="47">
        <v>38.134437599999998</v>
      </c>
      <c r="K74" s="69">
        <v>115</v>
      </c>
      <c r="L74" s="83"/>
      <c r="N74" s="148" t="s">
        <v>777</v>
      </c>
      <c r="O74" s="112"/>
      <c r="P74" s="112"/>
    </row>
    <row r="75" spans="1:19" x14ac:dyDescent="0.2">
      <c r="A75" s="13">
        <v>66</v>
      </c>
      <c r="B75" s="13" t="s">
        <v>137</v>
      </c>
      <c r="C75" s="13" t="s">
        <v>138</v>
      </c>
      <c r="D75" s="13" t="s">
        <v>27</v>
      </c>
      <c r="E75" s="13">
        <v>260</v>
      </c>
      <c r="F75" s="13">
        <v>13</v>
      </c>
      <c r="G75" s="13" t="s">
        <v>127</v>
      </c>
      <c r="H75" s="8" t="s">
        <v>586</v>
      </c>
      <c r="I75" s="8">
        <v>51.829315200000003</v>
      </c>
      <c r="J75" s="47">
        <v>37.9282951</v>
      </c>
      <c r="K75" s="69">
        <v>116</v>
      </c>
      <c r="L75" s="83"/>
      <c r="N75" s="148" t="s">
        <v>777</v>
      </c>
      <c r="O75" s="112"/>
      <c r="P75" s="112"/>
    </row>
    <row r="76" spans="1:19" x14ac:dyDescent="0.2">
      <c r="A76" s="36">
        <v>67</v>
      </c>
      <c r="B76" s="36" t="s">
        <v>137</v>
      </c>
      <c r="C76" s="36" t="s">
        <v>139</v>
      </c>
      <c r="D76" s="36" t="s">
        <v>27</v>
      </c>
      <c r="E76" s="36">
        <v>400</v>
      </c>
      <c r="F76" s="36">
        <v>10</v>
      </c>
      <c r="G76" s="36" t="s">
        <v>9</v>
      </c>
      <c r="H76" s="8" t="s">
        <v>591</v>
      </c>
      <c r="I76" s="8">
        <v>51.829299900000002</v>
      </c>
      <c r="J76" s="47">
        <v>38.030979199999997</v>
      </c>
      <c r="K76" s="69">
        <v>117</v>
      </c>
      <c r="L76" s="83"/>
      <c r="N76" s="148" t="s">
        <v>777</v>
      </c>
      <c r="O76" s="112"/>
      <c r="P76" s="112"/>
    </row>
    <row r="77" spans="1:19" x14ac:dyDescent="0.2">
      <c r="A77" s="36">
        <v>68</v>
      </c>
      <c r="B77" s="36" t="s">
        <v>136</v>
      </c>
      <c r="C77" s="36" t="s">
        <v>140</v>
      </c>
      <c r="D77" s="36" t="s">
        <v>27</v>
      </c>
      <c r="E77" s="36">
        <v>200</v>
      </c>
      <c r="F77" s="36">
        <v>16</v>
      </c>
      <c r="G77" s="36" t="s">
        <v>127</v>
      </c>
      <c r="H77" s="8" t="s">
        <v>586</v>
      </c>
      <c r="I77" s="8" t="s">
        <v>1165</v>
      </c>
      <c r="J77" s="47" t="s">
        <v>1166</v>
      </c>
      <c r="K77" s="69">
        <v>118</v>
      </c>
      <c r="L77" s="83"/>
      <c r="N77" s="174"/>
      <c r="O77" s="112"/>
      <c r="P77" s="112"/>
    </row>
    <row r="78" spans="1:19" x14ac:dyDescent="0.2">
      <c r="A78" s="21">
        <v>69</v>
      </c>
      <c r="B78" s="56" t="s">
        <v>630</v>
      </c>
      <c r="C78" s="56" t="s">
        <v>631</v>
      </c>
      <c r="D78" s="56">
        <v>1984</v>
      </c>
      <c r="E78" s="56">
        <v>610</v>
      </c>
      <c r="F78" s="56">
        <v>19</v>
      </c>
      <c r="G78" s="56" t="s">
        <v>127</v>
      </c>
      <c r="H78" s="31" t="s">
        <v>586</v>
      </c>
      <c r="I78" s="31" t="s">
        <v>1163</v>
      </c>
      <c r="J78" s="48" t="s">
        <v>1164</v>
      </c>
      <c r="K78" s="70" t="s">
        <v>561</v>
      </c>
      <c r="L78" s="83"/>
      <c r="M78" s="2" t="s">
        <v>777</v>
      </c>
      <c r="N78" s="148" t="s">
        <v>777</v>
      </c>
      <c r="O78" s="112"/>
      <c r="P78" s="112"/>
    </row>
    <row r="79" spans="1:19" x14ac:dyDescent="0.2">
      <c r="A79" s="36">
        <v>70</v>
      </c>
      <c r="B79" s="36" t="s">
        <v>141</v>
      </c>
      <c r="C79" s="36" t="s">
        <v>142</v>
      </c>
      <c r="D79" s="36" t="s">
        <v>27</v>
      </c>
      <c r="E79" s="36">
        <v>140</v>
      </c>
      <c r="F79" s="36">
        <v>10</v>
      </c>
      <c r="G79" s="36" t="s">
        <v>127</v>
      </c>
      <c r="H79" s="8" t="s">
        <v>586</v>
      </c>
      <c r="I79" s="8" t="s">
        <v>1158</v>
      </c>
      <c r="J79" s="47" t="s">
        <v>1159</v>
      </c>
      <c r="K79" s="71">
        <v>119</v>
      </c>
      <c r="L79" s="83"/>
      <c r="N79" s="148" t="s">
        <v>777</v>
      </c>
      <c r="O79" s="112"/>
      <c r="P79" s="112"/>
    </row>
    <row r="80" spans="1:19" x14ac:dyDescent="0.2">
      <c r="A80" s="36">
        <v>71</v>
      </c>
      <c r="B80" s="36" t="s">
        <v>56</v>
      </c>
      <c r="C80" s="36" t="s">
        <v>143</v>
      </c>
      <c r="D80" s="36">
        <v>1980</v>
      </c>
      <c r="E80" s="36">
        <v>401</v>
      </c>
      <c r="F80" s="36">
        <v>27</v>
      </c>
      <c r="G80" s="36" t="s">
        <v>9</v>
      </c>
      <c r="H80" s="8" t="s">
        <v>592</v>
      </c>
      <c r="I80" s="8">
        <v>51.937236800000001</v>
      </c>
      <c r="J80" s="47">
        <v>38.298591600000002</v>
      </c>
      <c r="K80" s="69">
        <v>120</v>
      </c>
      <c r="L80" s="83"/>
      <c r="N80" s="148" t="s">
        <v>777</v>
      </c>
      <c r="O80" s="112"/>
      <c r="P80" s="112"/>
    </row>
    <row r="81" spans="1:16" ht="45" x14ac:dyDescent="0.2">
      <c r="A81" s="36">
        <v>72</v>
      </c>
      <c r="B81" s="36" t="s">
        <v>144</v>
      </c>
      <c r="C81" s="36" t="s">
        <v>145</v>
      </c>
      <c r="D81" s="36" t="s">
        <v>27</v>
      </c>
      <c r="E81" s="36" t="s">
        <v>27</v>
      </c>
      <c r="F81" s="36">
        <v>8</v>
      </c>
      <c r="G81" s="36" t="s">
        <v>127</v>
      </c>
      <c r="H81" s="8" t="s">
        <v>593</v>
      </c>
      <c r="I81" s="8">
        <v>51.733575000000002</v>
      </c>
      <c r="J81" s="47">
        <v>37.876103999999998</v>
      </c>
      <c r="K81" s="158">
        <v>121</v>
      </c>
      <c r="L81" s="111" t="s">
        <v>1160</v>
      </c>
      <c r="N81" s="174"/>
      <c r="O81" s="112"/>
      <c r="P81" s="112"/>
    </row>
    <row r="82" spans="1:16" ht="15.75" thickBot="1" x14ac:dyDescent="0.25">
      <c r="A82" s="13">
        <v>73</v>
      </c>
      <c r="B82" s="14" t="s">
        <v>146</v>
      </c>
      <c r="C82" s="14" t="s">
        <v>147</v>
      </c>
      <c r="D82" s="14" t="s">
        <v>27</v>
      </c>
      <c r="E82" s="14">
        <v>1115.8</v>
      </c>
      <c r="F82" s="14">
        <v>103</v>
      </c>
      <c r="G82" s="14" t="s">
        <v>127</v>
      </c>
      <c r="H82" s="9" t="s">
        <v>594</v>
      </c>
      <c r="I82" s="9">
        <v>51.776100200000002</v>
      </c>
      <c r="J82" s="49">
        <v>38.150436399999997</v>
      </c>
      <c r="K82" s="69">
        <v>122</v>
      </c>
      <c r="L82" s="83"/>
      <c r="N82" s="148" t="s">
        <v>777</v>
      </c>
      <c r="O82" s="112"/>
      <c r="P82" s="112"/>
    </row>
    <row r="83" spans="1:16" ht="15.75" thickBot="1" x14ac:dyDescent="0.25">
      <c r="A83" s="209" t="s">
        <v>148</v>
      </c>
      <c r="B83" s="210"/>
      <c r="C83" s="210"/>
      <c r="D83" s="210"/>
      <c r="E83" s="210"/>
      <c r="F83" s="210"/>
      <c r="G83" s="210"/>
      <c r="H83" s="210"/>
      <c r="I83" s="210"/>
      <c r="J83" s="210"/>
      <c r="K83" s="67"/>
      <c r="L83" s="83"/>
      <c r="N83" s="112"/>
      <c r="O83" s="112"/>
      <c r="P83" s="112"/>
    </row>
    <row r="84" spans="1:16" x14ac:dyDescent="0.2">
      <c r="A84" s="178">
        <v>74</v>
      </c>
      <c r="B84" s="18" t="s">
        <v>149</v>
      </c>
      <c r="C84" s="18" t="s">
        <v>150</v>
      </c>
      <c r="D84" s="18">
        <v>1971</v>
      </c>
      <c r="E84" s="18">
        <v>1350</v>
      </c>
      <c r="F84" s="18">
        <v>90</v>
      </c>
      <c r="G84" s="18" t="s">
        <v>9</v>
      </c>
      <c r="H84" s="8" t="s">
        <v>595</v>
      </c>
      <c r="I84" s="8">
        <v>51.982265499999997</v>
      </c>
      <c r="J84" s="47">
        <v>35.312755600000003</v>
      </c>
      <c r="K84" s="67">
        <v>132</v>
      </c>
      <c r="L84" s="81" t="s">
        <v>1131</v>
      </c>
      <c r="N84" s="148" t="s">
        <v>777</v>
      </c>
      <c r="O84" s="112"/>
      <c r="P84" s="112"/>
    </row>
    <row r="85" spans="1:16" x14ac:dyDescent="0.2">
      <c r="A85" s="178">
        <v>75</v>
      </c>
      <c r="B85" s="13" t="s">
        <v>151</v>
      </c>
      <c r="C85" s="13" t="s">
        <v>152</v>
      </c>
      <c r="D85" s="13">
        <v>1971</v>
      </c>
      <c r="E85" s="13">
        <v>1020</v>
      </c>
      <c r="F85" s="13">
        <v>72</v>
      </c>
      <c r="G85" s="13" t="s">
        <v>9</v>
      </c>
      <c r="H85" s="8" t="s">
        <v>595</v>
      </c>
      <c r="I85" s="8">
        <v>51.927138999999997</v>
      </c>
      <c r="J85" s="47">
        <v>35.453645999999999</v>
      </c>
      <c r="K85" s="67">
        <v>130</v>
      </c>
      <c r="L85" s="83"/>
      <c r="N85" s="148" t="s">
        <v>777</v>
      </c>
      <c r="O85" s="112"/>
      <c r="P85" s="112"/>
    </row>
    <row r="86" spans="1:16" x14ac:dyDescent="0.2">
      <c r="A86" s="178">
        <v>76</v>
      </c>
      <c r="B86" s="13" t="s">
        <v>151</v>
      </c>
      <c r="C86" s="13" t="s">
        <v>153</v>
      </c>
      <c r="D86" s="13">
        <v>1980</v>
      </c>
      <c r="E86" s="13">
        <v>1090</v>
      </c>
      <c r="F86" s="13">
        <v>80</v>
      </c>
      <c r="G86" s="13" t="s">
        <v>9</v>
      </c>
      <c r="H86" s="117" t="s">
        <v>595</v>
      </c>
      <c r="I86" s="8">
        <v>51.903140999999998</v>
      </c>
      <c r="J86" s="47">
        <v>35.456401800000002</v>
      </c>
      <c r="K86" s="67">
        <v>129</v>
      </c>
      <c r="L86" s="83"/>
      <c r="N86" s="148" t="s">
        <v>777</v>
      </c>
      <c r="O86" s="112"/>
      <c r="P86" s="112"/>
    </row>
    <row r="87" spans="1:16" x14ac:dyDescent="0.2">
      <c r="A87" s="178">
        <v>77</v>
      </c>
      <c r="B87" s="13" t="s">
        <v>154</v>
      </c>
      <c r="C87" s="13" t="s">
        <v>155</v>
      </c>
      <c r="D87" s="13">
        <v>1976</v>
      </c>
      <c r="E87" s="13">
        <v>2360</v>
      </c>
      <c r="F87" s="13">
        <v>102</v>
      </c>
      <c r="G87" s="13" t="s">
        <v>9</v>
      </c>
      <c r="H87" s="20" t="s">
        <v>597</v>
      </c>
      <c r="I87" s="20">
        <v>51.804252599999998</v>
      </c>
      <c r="J87" s="50">
        <v>35.365726500000001</v>
      </c>
      <c r="K87" s="67">
        <v>125</v>
      </c>
      <c r="L87" s="83"/>
      <c r="N87" s="148" t="s">
        <v>777</v>
      </c>
      <c r="O87" s="112"/>
      <c r="P87" s="112"/>
    </row>
    <row r="88" spans="1:16" x14ac:dyDescent="0.2">
      <c r="A88" s="178">
        <v>78</v>
      </c>
      <c r="B88" s="13" t="s">
        <v>156</v>
      </c>
      <c r="C88" s="13" t="s">
        <v>157</v>
      </c>
      <c r="D88" s="13">
        <v>1979</v>
      </c>
      <c r="E88" s="13">
        <v>1620</v>
      </c>
      <c r="F88" s="13">
        <v>65</v>
      </c>
      <c r="G88" s="13" t="s">
        <v>9</v>
      </c>
      <c r="H88" s="20" t="s">
        <v>598</v>
      </c>
      <c r="I88" s="20">
        <v>51.904399900000001</v>
      </c>
      <c r="J88" s="50">
        <v>35.136814100000002</v>
      </c>
      <c r="K88" s="67">
        <v>123</v>
      </c>
      <c r="L88" s="83"/>
      <c r="N88" s="148" t="s">
        <v>777</v>
      </c>
      <c r="O88" s="112"/>
      <c r="P88" s="112"/>
    </row>
    <row r="89" spans="1:16" x14ac:dyDescent="0.2">
      <c r="A89" s="178">
        <v>79</v>
      </c>
      <c r="B89" s="13" t="s">
        <v>158</v>
      </c>
      <c r="C89" s="13" t="s">
        <v>159</v>
      </c>
      <c r="D89" s="13">
        <v>1981</v>
      </c>
      <c r="E89" s="13">
        <v>1220</v>
      </c>
      <c r="F89" s="13">
        <v>48</v>
      </c>
      <c r="G89" s="13" t="s">
        <v>9</v>
      </c>
      <c r="H89" s="20" t="s">
        <v>599</v>
      </c>
      <c r="I89" s="20">
        <v>51.799129499999999</v>
      </c>
      <c r="J89" s="50">
        <v>35.222869899999999</v>
      </c>
      <c r="K89" s="67">
        <v>126</v>
      </c>
      <c r="L89" s="83"/>
      <c r="N89" s="148" t="s">
        <v>777</v>
      </c>
      <c r="O89" s="112"/>
      <c r="P89" s="112"/>
    </row>
    <row r="90" spans="1:16" x14ac:dyDescent="0.2">
      <c r="A90" s="178">
        <v>80</v>
      </c>
      <c r="B90" s="36" t="s">
        <v>151</v>
      </c>
      <c r="C90" s="36" t="s">
        <v>160</v>
      </c>
      <c r="D90" s="36" t="s">
        <v>27</v>
      </c>
      <c r="E90" s="36">
        <v>755</v>
      </c>
      <c r="F90" s="36">
        <v>31</v>
      </c>
      <c r="G90" s="36" t="s">
        <v>9</v>
      </c>
      <c r="H90" s="117" t="s">
        <v>595</v>
      </c>
      <c r="I90" s="20">
        <v>51.948089600000003</v>
      </c>
      <c r="J90" s="50">
        <v>35.450355500000001</v>
      </c>
      <c r="K90" s="67">
        <v>131</v>
      </c>
      <c r="L90" s="83"/>
      <c r="N90" s="148" t="s">
        <v>777</v>
      </c>
      <c r="O90" s="112"/>
      <c r="P90" s="112"/>
    </row>
    <row r="91" spans="1:16" x14ac:dyDescent="0.2">
      <c r="A91" s="130">
        <v>81</v>
      </c>
      <c r="B91" s="13" t="s">
        <v>161</v>
      </c>
      <c r="C91" s="13" t="s">
        <v>162</v>
      </c>
      <c r="D91" s="13">
        <v>1981</v>
      </c>
      <c r="E91" s="13">
        <v>1220</v>
      </c>
      <c r="F91" s="13">
        <v>48</v>
      </c>
      <c r="G91" s="13" t="s">
        <v>9</v>
      </c>
      <c r="H91" s="20" t="s">
        <v>599</v>
      </c>
      <c r="I91" s="20">
        <v>51.813015</v>
      </c>
      <c r="J91" s="50">
        <v>35.235748999999998</v>
      </c>
      <c r="K91" s="67">
        <v>127</v>
      </c>
      <c r="L91" s="83"/>
      <c r="N91" s="148" t="s">
        <v>777</v>
      </c>
      <c r="O91" s="112"/>
      <c r="P91" s="112"/>
    </row>
    <row r="92" spans="1:16" x14ac:dyDescent="0.2">
      <c r="A92" s="130">
        <v>82</v>
      </c>
      <c r="B92" s="86" t="s">
        <v>163</v>
      </c>
      <c r="C92" s="86" t="s">
        <v>164</v>
      </c>
      <c r="D92" s="86">
        <v>1981</v>
      </c>
      <c r="E92" s="86">
        <v>750</v>
      </c>
      <c r="F92" s="86">
        <v>45</v>
      </c>
      <c r="G92" s="86" t="s">
        <v>9</v>
      </c>
      <c r="H92" s="117" t="s">
        <v>1133</v>
      </c>
      <c r="I92" s="89">
        <v>51.954776799999998</v>
      </c>
      <c r="J92" s="90">
        <v>35.315628099999998</v>
      </c>
      <c r="K92" s="87">
        <v>124</v>
      </c>
      <c r="L92" s="81" t="s">
        <v>763</v>
      </c>
      <c r="M92" s="2" t="s">
        <v>777</v>
      </c>
      <c r="N92" s="148" t="s">
        <v>777</v>
      </c>
      <c r="O92" s="112"/>
      <c r="P92" s="112"/>
    </row>
    <row r="93" spans="1:16" x14ac:dyDescent="0.2">
      <c r="A93" s="130">
        <v>83</v>
      </c>
      <c r="B93" s="13" t="s">
        <v>165</v>
      </c>
      <c r="C93" s="13" t="s">
        <v>166</v>
      </c>
      <c r="D93" s="13">
        <v>1985</v>
      </c>
      <c r="E93" s="13">
        <v>421</v>
      </c>
      <c r="F93" s="13">
        <v>22</v>
      </c>
      <c r="G93" s="13" t="s">
        <v>20</v>
      </c>
      <c r="H93" s="20" t="s">
        <v>601</v>
      </c>
      <c r="I93" s="20">
        <v>51.8691368</v>
      </c>
      <c r="J93" s="50">
        <v>35.514740000000003</v>
      </c>
      <c r="K93" s="67">
        <v>133</v>
      </c>
      <c r="L93" s="83"/>
      <c r="N93" s="148" t="s">
        <v>777</v>
      </c>
      <c r="O93" s="112"/>
      <c r="P93" s="112"/>
    </row>
    <row r="94" spans="1:16" ht="15.75" thickBot="1" x14ac:dyDescent="0.25">
      <c r="A94" s="130">
        <v>84</v>
      </c>
      <c r="B94" s="14" t="s">
        <v>167</v>
      </c>
      <c r="C94" s="14" t="s">
        <v>168</v>
      </c>
      <c r="D94" s="14">
        <v>1972</v>
      </c>
      <c r="E94" s="14">
        <v>326</v>
      </c>
      <c r="F94" s="14">
        <v>13</v>
      </c>
      <c r="G94" s="14" t="s">
        <v>117</v>
      </c>
      <c r="H94" s="22" t="s">
        <v>599</v>
      </c>
      <c r="I94" s="22">
        <v>51.875671400000002</v>
      </c>
      <c r="J94" s="51">
        <v>35.294780699999997</v>
      </c>
      <c r="K94" s="67">
        <v>128</v>
      </c>
      <c r="L94" s="83"/>
      <c r="N94" s="148" t="s">
        <v>777</v>
      </c>
      <c r="O94" s="112"/>
      <c r="P94" s="112"/>
    </row>
    <row r="95" spans="1:16" thickBot="1" x14ac:dyDescent="0.25">
      <c r="A95" s="193" t="s">
        <v>169</v>
      </c>
      <c r="B95" s="194"/>
      <c r="C95" s="194"/>
      <c r="D95" s="194"/>
      <c r="E95" s="194"/>
      <c r="F95" s="194"/>
      <c r="G95" s="194"/>
      <c r="H95" s="214"/>
      <c r="I95" s="214"/>
      <c r="J95" s="214"/>
      <c r="K95" s="215" t="s">
        <v>1132</v>
      </c>
      <c r="L95" s="216"/>
      <c r="N95" s="112"/>
      <c r="O95" s="112"/>
      <c r="P95" s="112"/>
    </row>
    <row r="96" spans="1:16" ht="30" x14ac:dyDescent="0.2">
      <c r="A96" s="178">
        <v>85</v>
      </c>
      <c r="B96" s="18" t="s">
        <v>170</v>
      </c>
      <c r="C96" s="18" t="s">
        <v>171</v>
      </c>
      <c r="D96" s="18">
        <v>1978</v>
      </c>
      <c r="E96" s="18">
        <v>3000</v>
      </c>
      <c r="F96" s="18">
        <v>162</v>
      </c>
      <c r="G96" s="18" t="s">
        <v>117</v>
      </c>
      <c r="H96" s="8" t="s">
        <v>602</v>
      </c>
      <c r="I96" s="8">
        <v>51.591331500000003</v>
      </c>
      <c r="J96" s="47">
        <v>36.2950363</v>
      </c>
      <c r="K96" s="71">
        <v>165</v>
      </c>
      <c r="L96" s="83"/>
      <c r="N96" s="148" t="s">
        <v>777</v>
      </c>
      <c r="O96" s="112"/>
      <c r="P96" s="112"/>
    </row>
    <row r="97" spans="1:16" ht="45" x14ac:dyDescent="0.2">
      <c r="A97" s="178">
        <v>86</v>
      </c>
      <c r="B97" s="13" t="s">
        <v>172</v>
      </c>
      <c r="C97" s="13" t="s">
        <v>173</v>
      </c>
      <c r="D97" s="13">
        <v>1973</v>
      </c>
      <c r="E97" s="13" t="s">
        <v>174</v>
      </c>
      <c r="F97" s="13" t="s">
        <v>175</v>
      </c>
      <c r="G97" s="13" t="s">
        <v>127</v>
      </c>
      <c r="H97" s="8" t="s">
        <v>603</v>
      </c>
      <c r="I97" s="8" t="s">
        <v>604</v>
      </c>
      <c r="J97" s="47" t="s">
        <v>605</v>
      </c>
      <c r="K97" s="71">
        <v>166</v>
      </c>
      <c r="L97" s="83"/>
      <c r="N97" s="148" t="s">
        <v>777</v>
      </c>
      <c r="O97" s="148" t="s">
        <v>777</v>
      </c>
      <c r="P97" s="148" t="s">
        <v>777</v>
      </c>
    </row>
    <row r="98" spans="1:16" ht="30" x14ac:dyDescent="0.2">
      <c r="A98" s="178">
        <v>87</v>
      </c>
      <c r="B98" s="13" t="s">
        <v>176</v>
      </c>
      <c r="C98" s="13" t="s">
        <v>177</v>
      </c>
      <c r="D98" s="13">
        <v>1973</v>
      </c>
      <c r="E98" s="13" t="s">
        <v>178</v>
      </c>
      <c r="F98" s="13" t="s">
        <v>179</v>
      </c>
      <c r="G98" s="13" t="s">
        <v>9</v>
      </c>
      <c r="H98" s="8" t="s">
        <v>603</v>
      </c>
      <c r="I98" s="8" t="s">
        <v>606</v>
      </c>
      <c r="J98" s="47" t="s">
        <v>607</v>
      </c>
      <c r="K98" s="71">
        <v>167</v>
      </c>
      <c r="L98" s="83"/>
      <c r="N98" s="148" t="s">
        <v>777</v>
      </c>
      <c r="O98" s="148" t="s">
        <v>777</v>
      </c>
      <c r="P98" s="148" t="s">
        <v>777</v>
      </c>
    </row>
    <row r="99" spans="1:16" x14ac:dyDescent="0.2">
      <c r="A99" s="178">
        <v>88</v>
      </c>
      <c r="B99" s="13" t="s">
        <v>180</v>
      </c>
      <c r="C99" s="13" t="s">
        <v>181</v>
      </c>
      <c r="D99" s="13">
        <v>1972</v>
      </c>
      <c r="E99" s="13">
        <v>1610</v>
      </c>
      <c r="F99" s="13">
        <v>96</v>
      </c>
      <c r="G99" s="13" t="s">
        <v>117</v>
      </c>
      <c r="H99" s="8" t="s">
        <v>608</v>
      </c>
      <c r="I99" s="8">
        <v>51.889965099999998</v>
      </c>
      <c r="J99" s="47">
        <v>36.043041199999998</v>
      </c>
      <c r="K99" s="71">
        <v>168</v>
      </c>
      <c r="L99" s="83"/>
      <c r="N99" s="148" t="s">
        <v>777</v>
      </c>
      <c r="O99" s="112"/>
      <c r="P99" s="112"/>
    </row>
    <row r="100" spans="1:16" x14ac:dyDescent="0.2">
      <c r="A100" s="178">
        <v>89</v>
      </c>
      <c r="B100" s="13" t="s">
        <v>182</v>
      </c>
      <c r="C100" s="13" t="s">
        <v>183</v>
      </c>
      <c r="D100" s="13">
        <v>1970</v>
      </c>
      <c r="E100" s="13">
        <v>1630</v>
      </c>
      <c r="F100" s="13">
        <v>70</v>
      </c>
      <c r="G100" s="13" t="s">
        <v>127</v>
      </c>
      <c r="H100" s="8" t="s">
        <v>609</v>
      </c>
      <c r="I100" s="8">
        <v>51.822685200000002</v>
      </c>
      <c r="J100" s="47">
        <v>36.326744099999999</v>
      </c>
      <c r="K100" s="71">
        <v>169</v>
      </c>
      <c r="L100" s="83"/>
      <c r="N100" s="148" t="s">
        <v>777</v>
      </c>
      <c r="O100" s="148" t="s">
        <v>777</v>
      </c>
      <c r="P100" s="148" t="s">
        <v>777</v>
      </c>
    </row>
    <row r="101" spans="1:16" x14ac:dyDescent="0.2">
      <c r="A101" s="178">
        <v>90</v>
      </c>
      <c r="B101" s="13" t="s">
        <v>182</v>
      </c>
      <c r="C101" s="13" t="s">
        <v>184</v>
      </c>
      <c r="D101" s="13" t="s">
        <v>27</v>
      </c>
      <c r="E101" s="13">
        <v>1910</v>
      </c>
      <c r="F101" s="13">
        <v>86</v>
      </c>
      <c r="G101" s="13" t="s">
        <v>117</v>
      </c>
      <c r="H101" s="8" t="s">
        <v>609</v>
      </c>
      <c r="I101" s="8">
        <v>51.805721300000002</v>
      </c>
      <c r="J101" s="47">
        <v>36.271457699999999</v>
      </c>
      <c r="K101" s="71">
        <v>170</v>
      </c>
      <c r="L101" s="83"/>
      <c r="N101" s="148" t="s">
        <v>777</v>
      </c>
      <c r="O101" s="148" t="s">
        <v>777</v>
      </c>
      <c r="P101" s="148" t="s">
        <v>777</v>
      </c>
    </row>
    <row r="102" spans="1:16" x14ac:dyDescent="0.2">
      <c r="A102" s="178">
        <v>91</v>
      </c>
      <c r="B102" s="13" t="s">
        <v>185</v>
      </c>
      <c r="C102" s="13" t="s">
        <v>186</v>
      </c>
      <c r="D102" s="13">
        <v>1976</v>
      </c>
      <c r="E102" s="13">
        <v>760</v>
      </c>
      <c r="F102" s="13">
        <v>51.4</v>
      </c>
      <c r="G102" s="13" t="s">
        <v>127</v>
      </c>
      <c r="H102" s="8" t="s">
        <v>610</v>
      </c>
      <c r="I102" s="8">
        <v>51.822910299999997</v>
      </c>
      <c r="J102" s="47">
        <v>35.954914100000003</v>
      </c>
      <c r="K102" s="71">
        <v>171</v>
      </c>
      <c r="L102" s="83"/>
      <c r="N102" s="148" t="s">
        <v>777</v>
      </c>
      <c r="O102" s="148" t="s">
        <v>777</v>
      </c>
      <c r="P102" s="148" t="s">
        <v>777</v>
      </c>
    </row>
    <row r="103" spans="1:16" x14ac:dyDescent="0.2">
      <c r="A103" s="178">
        <v>92</v>
      </c>
      <c r="B103" s="86" t="s">
        <v>187</v>
      </c>
      <c r="C103" s="86" t="s">
        <v>188</v>
      </c>
      <c r="D103" s="86">
        <v>1981</v>
      </c>
      <c r="E103" s="86">
        <v>2270</v>
      </c>
      <c r="F103" s="86">
        <v>51</v>
      </c>
      <c r="G103" s="86" t="s">
        <v>127</v>
      </c>
      <c r="H103" s="89" t="s">
        <v>611</v>
      </c>
      <c r="I103" s="89">
        <v>51.862739599999998</v>
      </c>
      <c r="J103" s="90">
        <v>36.0313759</v>
      </c>
      <c r="K103" s="91">
        <v>172</v>
      </c>
      <c r="L103" s="81" t="s">
        <v>763</v>
      </c>
      <c r="M103" s="2" t="s">
        <v>777</v>
      </c>
      <c r="N103" s="148" t="s">
        <v>777</v>
      </c>
      <c r="O103" s="148" t="s">
        <v>777</v>
      </c>
      <c r="P103" s="148" t="s">
        <v>777</v>
      </c>
    </row>
    <row r="104" spans="1:16" x14ac:dyDescent="0.2">
      <c r="A104" s="178">
        <v>93</v>
      </c>
      <c r="B104" s="13" t="s">
        <v>182</v>
      </c>
      <c r="C104" s="13" t="s">
        <v>189</v>
      </c>
      <c r="D104" s="13" t="s">
        <v>27</v>
      </c>
      <c r="E104" s="13">
        <v>1300</v>
      </c>
      <c r="F104" s="13">
        <v>24</v>
      </c>
      <c r="G104" s="13" t="s">
        <v>9</v>
      </c>
      <c r="H104" s="8" t="s">
        <v>609</v>
      </c>
      <c r="I104" s="8">
        <v>51.820754999999998</v>
      </c>
      <c r="J104" s="47">
        <v>36.483465000000002</v>
      </c>
      <c r="K104" s="71">
        <v>173</v>
      </c>
      <c r="L104" s="83"/>
      <c r="N104" s="148" t="s">
        <v>777</v>
      </c>
      <c r="O104" s="148" t="s">
        <v>777</v>
      </c>
      <c r="P104" s="148" t="s">
        <v>777</v>
      </c>
    </row>
    <row r="105" spans="1:16" x14ac:dyDescent="0.2">
      <c r="A105" s="178">
        <v>94</v>
      </c>
      <c r="B105" s="13" t="s">
        <v>170</v>
      </c>
      <c r="C105" s="13" t="s">
        <v>190</v>
      </c>
      <c r="D105" s="13">
        <v>1992</v>
      </c>
      <c r="E105" s="13">
        <v>1500</v>
      </c>
      <c r="F105" s="13">
        <v>70</v>
      </c>
      <c r="G105" s="13" t="s">
        <v>117</v>
      </c>
      <c r="H105" s="8" t="s">
        <v>612</v>
      </c>
      <c r="I105" s="8">
        <v>51.644523599999999</v>
      </c>
      <c r="J105" s="47">
        <v>36.365764599999999</v>
      </c>
      <c r="K105" s="71">
        <v>174</v>
      </c>
      <c r="L105" s="83"/>
      <c r="N105" s="148" t="s">
        <v>777</v>
      </c>
      <c r="O105" s="148" t="s">
        <v>777</v>
      </c>
      <c r="P105" s="148" t="s">
        <v>777</v>
      </c>
    </row>
    <row r="106" spans="1:16" x14ac:dyDescent="0.2">
      <c r="A106" s="178">
        <v>95</v>
      </c>
      <c r="B106" s="13" t="s">
        <v>192</v>
      </c>
      <c r="C106" s="13" t="s">
        <v>193</v>
      </c>
      <c r="D106" s="13">
        <v>1973</v>
      </c>
      <c r="E106" s="13">
        <v>635</v>
      </c>
      <c r="F106" s="13">
        <v>24</v>
      </c>
      <c r="G106" s="13" t="s">
        <v>9</v>
      </c>
      <c r="H106" s="8" t="s">
        <v>613</v>
      </c>
      <c r="I106" s="8">
        <v>51.637149800000003</v>
      </c>
      <c r="J106" s="47">
        <v>36.020404800000001</v>
      </c>
      <c r="K106" s="71">
        <v>176</v>
      </c>
      <c r="L106" s="83"/>
      <c r="N106" s="148" t="s">
        <v>777</v>
      </c>
      <c r="O106" s="148" t="s">
        <v>777</v>
      </c>
      <c r="P106" s="148" t="s">
        <v>777</v>
      </c>
    </row>
    <row r="107" spans="1:16" x14ac:dyDescent="0.2">
      <c r="A107" s="178">
        <v>96</v>
      </c>
      <c r="B107" s="13" t="s">
        <v>182</v>
      </c>
      <c r="C107" s="13" t="s">
        <v>194</v>
      </c>
      <c r="D107" s="13">
        <v>1948</v>
      </c>
      <c r="E107" s="13">
        <v>660</v>
      </c>
      <c r="F107" s="13">
        <v>24</v>
      </c>
      <c r="G107" s="13" t="s">
        <v>9</v>
      </c>
      <c r="H107" s="8" t="s">
        <v>609</v>
      </c>
      <c r="I107" s="8">
        <v>51.846931499999997</v>
      </c>
      <c r="J107" s="47">
        <v>36.4357185</v>
      </c>
      <c r="K107" s="67">
        <v>178</v>
      </c>
      <c r="L107" s="83"/>
      <c r="N107" s="148" t="s">
        <v>777</v>
      </c>
      <c r="O107" s="148" t="s">
        <v>777</v>
      </c>
      <c r="P107" s="148" t="s">
        <v>777</v>
      </c>
    </row>
    <row r="108" spans="1:16" x14ac:dyDescent="0.2">
      <c r="A108" s="178">
        <v>97</v>
      </c>
      <c r="B108" s="13" t="s">
        <v>195</v>
      </c>
      <c r="C108" s="13" t="s">
        <v>194</v>
      </c>
      <c r="D108" s="13">
        <v>1983</v>
      </c>
      <c r="E108" s="13">
        <v>535</v>
      </c>
      <c r="F108" s="13">
        <v>19</v>
      </c>
      <c r="G108" s="13" t="s">
        <v>127</v>
      </c>
      <c r="H108" s="8" t="s">
        <v>609</v>
      </c>
      <c r="I108" s="8">
        <v>51.844386</v>
      </c>
      <c r="J108" s="47">
        <v>36.410511</v>
      </c>
      <c r="K108" s="67">
        <v>177</v>
      </c>
      <c r="L108" s="83"/>
      <c r="N108" s="148" t="s">
        <v>777</v>
      </c>
      <c r="O108" s="148" t="s">
        <v>777</v>
      </c>
      <c r="P108" s="148" t="s">
        <v>777</v>
      </c>
    </row>
    <row r="109" spans="1:16" x14ac:dyDescent="0.2">
      <c r="A109" s="178">
        <v>98</v>
      </c>
      <c r="B109" s="13" t="s">
        <v>196</v>
      </c>
      <c r="C109" s="13" t="s">
        <v>197</v>
      </c>
      <c r="D109" s="13">
        <v>1968</v>
      </c>
      <c r="E109" s="13">
        <v>710</v>
      </c>
      <c r="F109" s="13">
        <v>65</v>
      </c>
      <c r="G109" s="13" t="s">
        <v>20</v>
      </c>
      <c r="H109" s="23" t="s">
        <v>614</v>
      </c>
      <c r="I109" s="23">
        <v>51.779468000000001</v>
      </c>
      <c r="J109" s="52">
        <v>36.154226000000001</v>
      </c>
      <c r="K109" s="71">
        <v>179</v>
      </c>
      <c r="L109" s="83"/>
      <c r="N109" s="148" t="s">
        <v>777</v>
      </c>
      <c r="O109" s="148" t="s">
        <v>777</v>
      </c>
      <c r="P109" s="148" t="s">
        <v>777</v>
      </c>
    </row>
    <row r="110" spans="1:16" x14ac:dyDescent="0.2">
      <c r="A110" s="178">
        <v>99</v>
      </c>
      <c r="B110" s="13" t="s">
        <v>198</v>
      </c>
      <c r="C110" s="13" t="s">
        <v>104</v>
      </c>
      <c r="D110" s="13">
        <v>1972</v>
      </c>
      <c r="E110" s="13">
        <v>580</v>
      </c>
      <c r="F110" s="13">
        <v>29</v>
      </c>
      <c r="G110" s="13" t="s">
        <v>9</v>
      </c>
      <c r="H110" s="23" t="s">
        <v>603</v>
      </c>
      <c r="I110" s="23">
        <v>51.869060500000003</v>
      </c>
      <c r="J110" s="52">
        <v>36.023544299999998</v>
      </c>
      <c r="K110" s="71">
        <v>180</v>
      </c>
      <c r="L110" s="83"/>
      <c r="N110" s="148" t="s">
        <v>777</v>
      </c>
      <c r="O110" s="148" t="s">
        <v>777</v>
      </c>
      <c r="P110" s="148" t="s">
        <v>777</v>
      </c>
    </row>
    <row r="111" spans="1:16" x14ac:dyDescent="0.2">
      <c r="A111" s="178">
        <v>100</v>
      </c>
      <c r="B111" s="13" t="s">
        <v>191</v>
      </c>
      <c r="C111" s="13" t="s">
        <v>199</v>
      </c>
      <c r="D111" s="13">
        <v>1977</v>
      </c>
      <c r="E111" s="13">
        <v>875</v>
      </c>
      <c r="F111" s="13">
        <v>50</v>
      </c>
      <c r="G111" s="13" t="s">
        <v>127</v>
      </c>
      <c r="H111" s="23" t="s">
        <v>603</v>
      </c>
      <c r="I111" s="23">
        <v>51.862213099999998</v>
      </c>
      <c r="J111" s="52">
        <v>36.0128822</v>
      </c>
      <c r="K111" s="71">
        <v>181</v>
      </c>
      <c r="L111" s="83"/>
      <c r="N111" s="148" t="s">
        <v>777</v>
      </c>
      <c r="O111" s="148" t="s">
        <v>777</v>
      </c>
      <c r="P111" s="148" t="s">
        <v>777</v>
      </c>
    </row>
    <row r="112" spans="1:16" x14ac:dyDescent="0.2">
      <c r="A112" s="178">
        <v>101</v>
      </c>
      <c r="B112" s="13" t="s">
        <v>198</v>
      </c>
      <c r="C112" s="13" t="s">
        <v>200</v>
      </c>
      <c r="D112" s="13">
        <v>1976</v>
      </c>
      <c r="E112" s="13">
        <v>924</v>
      </c>
      <c r="F112" s="13">
        <v>25</v>
      </c>
      <c r="G112" s="13" t="s">
        <v>20</v>
      </c>
      <c r="H112" s="23" t="s">
        <v>603</v>
      </c>
      <c r="I112" s="23">
        <v>51.831470500000002</v>
      </c>
      <c r="J112" s="52">
        <v>36.002822899999998</v>
      </c>
      <c r="K112" s="71">
        <v>182</v>
      </c>
      <c r="L112" s="83"/>
      <c r="N112" s="148" t="s">
        <v>777</v>
      </c>
      <c r="O112" s="148" t="s">
        <v>777</v>
      </c>
      <c r="P112" s="148" t="s">
        <v>777</v>
      </c>
    </row>
    <row r="113" spans="1:16" x14ac:dyDescent="0.2">
      <c r="A113" s="178">
        <v>102</v>
      </c>
      <c r="B113" s="13" t="s">
        <v>201</v>
      </c>
      <c r="C113" s="13" t="s">
        <v>202</v>
      </c>
      <c r="D113" s="13">
        <v>1985</v>
      </c>
      <c r="E113" s="13">
        <v>480</v>
      </c>
      <c r="F113" s="13">
        <v>31</v>
      </c>
      <c r="G113" s="13" t="s">
        <v>127</v>
      </c>
      <c r="H113" s="23" t="s">
        <v>615</v>
      </c>
      <c r="I113" s="23">
        <v>51.760990100000001</v>
      </c>
      <c r="J113" s="52">
        <v>36.5769424</v>
      </c>
      <c r="K113" s="71">
        <v>183</v>
      </c>
      <c r="L113" s="83"/>
      <c r="N113" s="148" t="s">
        <v>777</v>
      </c>
      <c r="O113" s="148" t="s">
        <v>777</v>
      </c>
      <c r="P113" s="148" t="s">
        <v>777</v>
      </c>
    </row>
    <row r="114" spans="1:16" x14ac:dyDescent="0.2">
      <c r="A114" s="178">
        <v>103</v>
      </c>
      <c r="B114" s="13" t="s">
        <v>203</v>
      </c>
      <c r="C114" s="13" t="s">
        <v>204</v>
      </c>
      <c r="D114" s="13" t="s">
        <v>27</v>
      </c>
      <c r="E114" s="13">
        <v>260</v>
      </c>
      <c r="F114" s="13">
        <v>13</v>
      </c>
      <c r="G114" s="13" t="s">
        <v>127</v>
      </c>
      <c r="H114" s="23" t="s">
        <v>616</v>
      </c>
      <c r="I114" s="23">
        <v>51.756328600000003</v>
      </c>
      <c r="J114" s="52">
        <v>36.5168228</v>
      </c>
      <c r="K114" s="71">
        <v>184</v>
      </c>
      <c r="L114" s="83"/>
      <c r="N114" s="148" t="s">
        <v>777</v>
      </c>
      <c r="O114" s="148" t="s">
        <v>777</v>
      </c>
      <c r="P114" s="148" t="s">
        <v>777</v>
      </c>
    </row>
    <row r="115" spans="1:16" x14ac:dyDescent="0.2">
      <c r="A115" s="178">
        <v>104</v>
      </c>
      <c r="B115" s="13" t="s">
        <v>205</v>
      </c>
      <c r="C115" s="13" t="s">
        <v>206</v>
      </c>
      <c r="D115" s="13" t="s">
        <v>27</v>
      </c>
      <c r="E115" s="13">
        <v>277</v>
      </c>
      <c r="F115" s="13">
        <v>14</v>
      </c>
      <c r="G115" s="13" t="s">
        <v>9</v>
      </c>
      <c r="H115" s="23" t="s">
        <v>617</v>
      </c>
      <c r="I115" s="23">
        <v>51.728481299999999</v>
      </c>
      <c r="J115" s="52">
        <v>36.468475300000001</v>
      </c>
      <c r="K115" s="71">
        <v>185</v>
      </c>
      <c r="L115" s="83"/>
      <c r="N115" s="148" t="s">
        <v>777</v>
      </c>
      <c r="O115" s="148" t="s">
        <v>777</v>
      </c>
      <c r="P115" s="148" t="s">
        <v>777</v>
      </c>
    </row>
    <row r="116" spans="1:16" ht="30" x14ac:dyDescent="0.2">
      <c r="A116" s="178">
        <v>105</v>
      </c>
      <c r="B116" s="13" t="s">
        <v>195</v>
      </c>
      <c r="C116" s="13" t="s">
        <v>207</v>
      </c>
      <c r="D116" s="13">
        <v>1983</v>
      </c>
      <c r="E116" s="13">
        <v>400</v>
      </c>
      <c r="F116" s="13">
        <v>20</v>
      </c>
      <c r="G116" s="13" t="s">
        <v>9</v>
      </c>
      <c r="H116" s="144" t="s">
        <v>602</v>
      </c>
      <c r="I116" s="23">
        <v>51.574386599999997</v>
      </c>
      <c r="J116" s="52">
        <v>36.2427864</v>
      </c>
      <c r="K116" s="71">
        <v>186</v>
      </c>
      <c r="L116" s="83"/>
      <c r="N116" s="148" t="s">
        <v>777</v>
      </c>
      <c r="O116" s="148" t="s">
        <v>777</v>
      </c>
      <c r="P116" s="148" t="s">
        <v>777</v>
      </c>
    </row>
    <row r="117" spans="1:16" ht="30" x14ac:dyDescent="0.2">
      <c r="A117" s="178">
        <v>106</v>
      </c>
      <c r="B117" s="13" t="s">
        <v>208</v>
      </c>
      <c r="C117" s="13" t="s">
        <v>209</v>
      </c>
      <c r="D117" s="13">
        <v>1977</v>
      </c>
      <c r="E117" s="13">
        <v>125</v>
      </c>
      <c r="F117" s="13">
        <v>5</v>
      </c>
      <c r="G117" s="13" t="s">
        <v>117</v>
      </c>
      <c r="H117" s="23" t="s">
        <v>602</v>
      </c>
      <c r="I117" s="23">
        <v>51.603069300000001</v>
      </c>
      <c r="J117" s="52">
        <v>36.270420100000003</v>
      </c>
      <c r="K117" s="71">
        <v>187</v>
      </c>
      <c r="L117" s="83"/>
      <c r="N117" s="148" t="s">
        <v>777</v>
      </c>
      <c r="O117" s="148" t="s">
        <v>777</v>
      </c>
      <c r="P117" s="148" t="s">
        <v>777</v>
      </c>
    </row>
    <row r="118" spans="1:16" ht="30" x14ac:dyDescent="0.2">
      <c r="A118" s="178">
        <v>107</v>
      </c>
      <c r="B118" s="13" t="s">
        <v>50</v>
      </c>
      <c r="C118" s="13" t="s">
        <v>210</v>
      </c>
      <c r="D118" s="13">
        <v>1970</v>
      </c>
      <c r="E118" s="13">
        <v>148</v>
      </c>
      <c r="F118" s="13">
        <v>10</v>
      </c>
      <c r="G118" s="13" t="s">
        <v>117</v>
      </c>
      <c r="H118" s="23" t="s">
        <v>618</v>
      </c>
      <c r="I118" s="23">
        <v>51.633006999999999</v>
      </c>
      <c r="J118" s="52">
        <v>36.097805000000001</v>
      </c>
      <c r="K118" s="71">
        <v>188</v>
      </c>
      <c r="L118" s="83"/>
      <c r="N118" s="148" t="s">
        <v>777</v>
      </c>
      <c r="O118" s="148" t="s">
        <v>777</v>
      </c>
      <c r="P118" s="148" t="s">
        <v>777</v>
      </c>
    </row>
    <row r="119" spans="1:16" x14ac:dyDescent="0.2">
      <c r="A119" s="178">
        <v>108</v>
      </c>
      <c r="B119" s="13" t="s">
        <v>211</v>
      </c>
      <c r="C119" s="13" t="s">
        <v>212</v>
      </c>
      <c r="D119" s="13">
        <v>1970</v>
      </c>
      <c r="E119" s="13">
        <v>399</v>
      </c>
      <c r="F119" s="13">
        <v>28</v>
      </c>
      <c r="G119" s="13" t="s">
        <v>127</v>
      </c>
      <c r="H119" s="23" t="s">
        <v>619</v>
      </c>
      <c r="I119" s="23">
        <v>51.712360400000001</v>
      </c>
      <c r="J119" s="52">
        <v>36.100242600000001</v>
      </c>
      <c r="K119" s="71">
        <v>189</v>
      </c>
      <c r="L119" s="83"/>
      <c r="N119" s="148" t="s">
        <v>777</v>
      </c>
      <c r="O119" s="148" t="s">
        <v>777</v>
      </c>
      <c r="P119" s="148" t="s">
        <v>777</v>
      </c>
    </row>
    <row r="120" spans="1:16" x14ac:dyDescent="0.2">
      <c r="A120" s="178">
        <v>109</v>
      </c>
      <c r="B120" s="13" t="s">
        <v>182</v>
      </c>
      <c r="C120" s="13" t="s">
        <v>213</v>
      </c>
      <c r="D120" s="13">
        <v>1971</v>
      </c>
      <c r="E120" s="13">
        <v>360</v>
      </c>
      <c r="F120" s="13">
        <v>24</v>
      </c>
      <c r="G120" s="13" t="s">
        <v>127</v>
      </c>
      <c r="H120" s="23" t="s">
        <v>620</v>
      </c>
      <c r="I120" s="23">
        <v>51.8260498</v>
      </c>
      <c r="J120" s="52">
        <v>36.470050800000003</v>
      </c>
      <c r="K120" s="71">
        <v>190</v>
      </c>
      <c r="L120" s="83"/>
      <c r="N120" s="148" t="s">
        <v>777</v>
      </c>
      <c r="O120" s="148" t="s">
        <v>777</v>
      </c>
      <c r="P120" s="148" t="s">
        <v>777</v>
      </c>
    </row>
    <row r="121" spans="1:16" x14ac:dyDescent="0.2">
      <c r="A121" s="178">
        <v>110</v>
      </c>
      <c r="B121" s="13" t="s">
        <v>214</v>
      </c>
      <c r="C121" s="13" t="s">
        <v>215</v>
      </c>
      <c r="D121" s="13">
        <v>1979</v>
      </c>
      <c r="E121" s="13">
        <v>460</v>
      </c>
      <c r="F121" s="13">
        <v>18</v>
      </c>
      <c r="G121" s="13" t="s">
        <v>9</v>
      </c>
      <c r="H121" s="23" t="s">
        <v>621</v>
      </c>
      <c r="I121" s="23">
        <v>51.823104899999997</v>
      </c>
      <c r="J121" s="52">
        <v>36.368949899999997</v>
      </c>
      <c r="K121" s="71">
        <v>191</v>
      </c>
      <c r="L121" s="83"/>
      <c r="N121" s="148" t="s">
        <v>777</v>
      </c>
      <c r="O121" s="112"/>
      <c r="P121" s="112"/>
    </row>
    <row r="122" spans="1:16" x14ac:dyDescent="0.2">
      <c r="A122" s="18">
        <v>111</v>
      </c>
      <c r="B122" s="13" t="s">
        <v>182</v>
      </c>
      <c r="C122" s="13" t="s">
        <v>216</v>
      </c>
      <c r="D122" s="13">
        <v>1948</v>
      </c>
      <c r="E122" s="13">
        <v>280</v>
      </c>
      <c r="F122" s="13">
        <v>20</v>
      </c>
      <c r="G122" s="13" t="s">
        <v>9</v>
      </c>
      <c r="H122" s="23" t="s">
        <v>609</v>
      </c>
      <c r="I122" s="23">
        <v>51.8125839</v>
      </c>
      <c r="J122" s="52">
        <v>36.314079300000003</v>
      </c>
      <c r="K122" s="71">
        <v>192</v>
      </c>
      <c r="L122" s="83"/>
      <c r="N122" s="148" t="s">
        <v>777</v>
      </c>
      <c r="O122" s="148" t="s">
        <v>777</v>
      </c>
      <c r="P122" s="148" t="s">
        <v>777</v>
      </c>
    </row>
    <row r="123" spans="1:16" x14ac:dyDescent="0.2">
      <c r="A123" s="18">
        <v>112</v>
      </c>
      <c r="B123" s="13" t="s">
        <v>191</v>
      </c>
      <c r="C123" s="13" t="s">
        <v>218</v>
      </c>
      <c r="D123" s="13">
        <v>1962</v>
      </c>
      <c r="E123" s="13">
        <v>300</v>
      </c>
      <c r="F123" s="13">
        <v>15</v>
      </c>
      <c r="G123" s="13" t="s">
        <v>117</v>
      </c>
      <c r="H123" s="23" t="s">
        <v>623</v>
      </c>
      <c r="I123" s="23">
        <v>51.9309692</v>
      </c>
      <c r="J123" s="52">
        <v>36.034950299999998</v>
      </c>
      <c r="K123" s="71">
        <v>194</v>
      </c>
      <c r="L123" s="83"/>
      <c r="N123" s="148" t="s">
        <v>777</v>
      </c>
      <c r="O123" s="112"/>
      <c r="P123" s="112"/>
    </row>
    <row r="124" spans="1:16" x14ac:dyDescent="0.2">
      <c r="A124" s="18">
        <v>113</v>
      </c>
      <c r="B124" s="13" t="s">
        <v>217</v>
      </c>
      <c r="C124" s="13" t="s">
        <v>219</v>
      </c>
      <c r="D124" s="13" t="s">
        <v>27</v>
      </c>
      <c r="E124" s="13">
        <v>350</v>
      </c>
      <c r="F124" s="13">
        <v>5</v>
      </c>
      <c r="G124" s="13" t="s">
        <v>20</v>
      </c>
      <c r="H124" s="23" t="s">
        <v>622</v>
      </c>
      <c r="I124" s="23">
        <v>51.747455600000002</v>
      </c>
      <c r="J124" s="52">
        <v>36.170940399999999</v>
      </c>
      <c r="K124" s="71">
        <v>195</v>
      </c>
      <c r="L124" s="83"/>
      <c r="N124" s="148" t="s">
        <v>777</v>
      </c>
      <c r="O124" s="112"/>
      <c r="P124" s="112"/>
    </row>
    <row r="125" spans="1:16" ht="30" x14ac:dyDescent="0.2">
      <c r="A125" s="18">
        <v>114</v>
      </c>
      <c r="B125" s="13" t="s">
        <v>50</v>
      </c>
      <c r="C125" s="13" t="s">
        <v>207</v>
      </c>
      <c r="D125" s="13">
        <v>1971</v>
      </c>
      <c r="E125" s="13">
        <v>144</v>
      </c>
      <c r="F125" s="13">
        <v>7</v>
      </c>
      <c r="G125" s="13" t="s">
        <v>127</v>
      </c>
      <c r="H125" s="8" t="s">
        <v>602</v>
      </c>
      <c r="I125" s="8">
        <v>51.581253099999998</v>
      </c>
      <c r="J125" s="47">
        <v>36.220901499999997</v>
      </c>
      <c r="K125" s="69">
        <v>196</v>
      </c>
      <c r="L125" s="83"/>
      <c r="N125" s="148" t="s">
        <v>777</v>
      </c>
      <c r="O125" s="112"/>
      <c r="P125" s="112"/>
    </row>
    <row r="126" spans="1:16" x14ac:dyDescent="0.2">
      <c r="A126" s="18">
        <v>115</v>
      </c>
      <c r="B126" s="13" t="s">
        <v>185</v>
      </c>
      <c r="C126" s="13" t="s">
        <v>220</v>
      </c>
      <c r="D126" s="13">
        <v>1954</v>
      </c>
      <c r="E126" s="13">
        <v>300</v>
      </c>
      <c r="F126" s="13">
        <v>11</v>
      </c>
      <c r="G126" s="13" t="s">
        <v>127</v>
      </c>
      <c r="H126" s="8" t="s">
        <v>624</v>
      </c>
      <c r="I126" s="8">
        <v>51.866485599999997</v>
      </c>
      <c r="J126" s="47">
        <v>35.895027200000001</v>
      </c>
      <c r="K126" s="69">
        <v>197</v>
      </c>
      <c r="L126" s="83"/>
      <c r="N126" s="148" t="s">
        <v>777</v>
      </c>
      <c r="O126" s="112"/>
      <c r="P126" s="112"/>
    </row>
    <row r="127" spans="1:16" x14ac:dyDescent="0.2">
      <c r="A127" s="18">
        <v>116</v>
      </c>
      <c r="B127" s="13" t="s">
        <v>50</v>
      </c>
      <c r="C127" s="13" t="s">
        <v>221</v>
      </c>
      <c r="D127" s="13">
        <v>1951</v>
      </c>
      <c r="E127" s="13">
        <v>72</v>
      </c>
      <c r="F127" s="13">
        <v>9</v>
      </c>
      <c r="G127" s="13" t="s">
        <v>127</v>
      </c>
      <c r="H127" s="8" t="s">
        <v>625</v>
      </c>
      <c r="I127" s="8">
        <v>51.804439500000001</v>
      </c>
      <c r="J127" s="47">
        <v>36.142742200000001</v>
      </c>
      <c r="K127" s="69">
        <v>198</v>
      </c>
      <c r="L127" s="83"/>
      <c r="N127" s="148" t="s">
        <v>777</v>
      </c>
      <c r="O127" s="112"/>
      <c r="P127" s="112"/>
    </row>
    <row r="128" spans="1:16" ht="30" x14ac:dyDescent="0.25">
      <c r="A128" s="18">
        <v>117</v>
      </c>
      <c r="B128" s="13" t="s">
        <v>222</v>
      </c>
      <c r="C128" s="13" t="s">
        <v>223</v>
      </c>
      <c r="D128" s="13">
        <v>1999</v>
      </c>
      <c r="E128" s="13">
        <v>1000</v>
      </c>
      <c r="F128" s="13">
        <v>30</v>
      </c>
      <c r="G128" s="13" t="s">
        <v>20</v>
      </c>
      <c r="H128" s="20" t="s">
        <v>626</v>
      </c>
      <c r="I128" s="20">
        <v>51.669693000000002</v>
      </c>
      <c r="J128" s="50">
        <v>36.120643600000001</v>
      </c>
      <c r="K128" s="67">
        <v>200</v>
      </c>
      <c r="L128" s="124" t="s">
        <v>1117</v>
      </c>
      <c r="N128" s="175" t="s">
        <v>1174</v>
      </c>
      <c r="O128" s="156"/>
      <c r="P128" s="156"/>
    </row>
    <row r="129" spans="1:17" x14ac:dyDescent="0.2">
      <c r="A129" s="18">
        <v>118</v>
      </c>
      <c r="B129" s="13" t="s">
        <v>224</v>
      </c>
      <c r="C129" s="13" t="s">
        <v>225</v>
      </c>
      <c r="D129" s="13">
        <v>2013</v>
      </c>
      <c r="E129" s="13">
        <v>18000</v>
      </c>
      <c r="F129" s="13">
        <v>950</v>
      </c>
      <c r="G129" s="13" t="s">
        <v>20</v>
      </c>
      <c r="H129" s="8" t="s">
        <v>627</v>
      </c>
      <c r="I129" s="8">
        <v>51.804035200000001</v>
      </c>
      <c r="J129" s="47">
        <v>36.213977800000002</v>
      </c>
      <c r="K129" s="67">
        <v>199</v>
      </c>
      <c r="L129" s="83"/>
      <c r="N129" s="148" t="s">
        <v>777</v>
      </c>
      <c r="O129" s="112"/>
      <c r="P129" s="112"/>
    </row>
    <row r="130" spans="1:17" ht="30.75" thickBot="1" x14ac:dyDescent="0.25">
      <c r="A130" s="18">
        <v>119</v>
      </c>
      <c r="B130" s="24" t="s">
        <v>226</v>
      </c>
      <c r="C130" s="24" t="s">
        <v>227</v>
      </c>
      <c r="D130" s="24">
        <v>2006</v>
      </c>
      <c r="E130" s="24">
        <v>25</v>
      </c>
      <c r="F130" s="24">
        <v>5.5</v>
      </c>
      <c r="G130" s="24" t="s">
        <v>20</v>
      </c>
      <c r="H130" s="25"/>
      <c r="I130" s="25" t="s">
        <v>780</v>
      </c>
      <c r="J130" s="28" t="s">
        <v>781</v>
      </c>
      <c r="K130" s="66" t="s">
        <v>561</v>
      </c>
      <c r="L130" s="83"/>
      <c r="M130" s="2" t="s">
        <v>777</v>
      </c>
      <c r="N130" s="148" t="s">
        <v>777</v>
      </c>
      <c r="O130" s="112"/>
      <c r="P130" s="112"/>
    </row>
    <row r="131" spans="1:17" ht="15.75" thickBot="1" x14ac:dyDescent="0.25">
      <c r="A131" s="193" t="s">
        <v>228</v>
      </c>
      <c r="B131" s="194"/>
      <c r="C131" s="194"/>
      <c r="D131" s="194"/>
      <c r="E131" s="194"/>
      <c r="F131" s="194"/>
      <c r="G131" s="194"/>
      <c r="H131" s="194"/>
      <c r="I131" s="194"/>
      <c r="J131" s="194"/>
      <c r="K131" s="67"/>
      <c r="L131" s="83"/>
      <c r="N131" s="112"/>
      <c r="O131" s="112"/>
      <c r="P131" s="112"/>
    </row>
    <row r="132" spans="1:17" x14ac:dyDescent="0.2">
      <c r="A132" s="18">
        <v>120</v>
      </c>
      <c r="B132" s="18" t="s">
        <v>229</v>
      </c>
      <c r="C132" s="18" t="s">
        <v>230</v>
      </c>
      <c r="D132" s="18">
        <v>1950</v>
      </c>
      <c r="E132" s="18">
        <v>1200</v>
      </c>
      <c r="F132" s="18">
        <v>80</v>
      </c>
      <c r="G132" s="18" t="s">
        <v>20</v>
      </c>
      <c r="H132" s="32" t="s">
        <v>632</v>
      </c>
      <c r="I132" s="32">
        <v>51.413410200000001</v>
      </c>
      <c r="J132" s="53">
        <v>37.143539400000002</v>
      </c>
      <c r="K132" s="72">
        <v>226</v>
      </c>
      <c r="L132" s="83"/>
      <c r="N132" s="148" t="s">
        <v>777</v>
      </c>
      <c r="O132" s="148" t="s">
        <v>777</v>
      </c>
      <c r="P132" s="148" t="s">
        <v>777</v>
      </c>
    </row>
    <row r="133" spans="1:17" ht="30" x14ac:dyDescent="0.25">
      <c r="A133" s="18">
        <v>121</v>
      </c>
      <c r="B133" s="13" t="s">
        <v>231</v>
      </c>
      <c r="C133" s="13" t="s">
        <v>232</v>
      </c>
      <c r="D133" s="13">
        <v>1978</v>
      </c>
      <c r="E133" s="13">
        <v>1300</v>
      </c>
      <c r="F133" s="13">
        <v>77</v>
      </c>
      <c r="G133" s="13" t="s">
        <v>135</v>
      </c>
      <c r="H133" s="121" t="s">
        <v>586</v>
      </c>
      <c r="I133" s="230">
        <v>51.539299</v>
      </c>
      <c r="J133" s="231">
        <v>37.365406</v>
      </c>
      <c r="K133" s="72">
        <v>227</v>
      </c>
      <c r="L133" s="83"/>
      <c r="N133" s="174"/>
      <c r="O133" s="112"/>
      <c r="P133" s="112"/>
      <c r="Q133" s="183" t="s">
        <v>1177</v>
      </c>
    </row>
    <row r="134" spans="1:17" x14ac:dyDescent="0.2">
      <c r="A134" s="18">
        <v>122</v>
      </c>
      <c r="B134" s="13" t="s">
        <v>233</v>
      </c>
      <c r="C134" s="13" t="s">
        <v>232</v>
      </c>
      <c r="D134" s="13" t="s">
        <v>234</v>
      </c>
      <c r="E134" s="13">
        <v>1670</v>
      </c>
      <c r="F134" s="13">
        <v>70</v>
      </c>
      <c r="G134" s="13" t="s">
        <v>9</v>
      </c>
      <c r="H134" s="122" t="s">
        <v>1100</v>
      </c>
      <c r="I134" s="32">
        <v>51.408222199999997</v>
      </c>
      <c r="J134" s="53">
        <v>37.395465899999998</v>
      </c>
      <c r="K134" s="72">
        <v>228</v>
      </c>
      <c r="L134" s="83"/>
      <c r="N134" s="148" t="s">
        <v>777</v>
      </c>
      <c r="O134" s="112"/>
      <c r="P134" s="112"/>
    </row>
    <row r="135" spans="1:17" x14ac:dyDescent="0.2">
      <c r="A135" s="18">
        <v>123</v>
      </c>
      <c r="B135" s="13" t="s">
        <v>233</v>
      </c>
      <c r="C135" s="13" t="s">
        <v>235</v>
      </c>
      <c r="D135" s="13">
        <v>1952</v>
      </c>
      <c r="E135" s="13">
        <v>4500</v>
      </c>
      <c r="F135" s="13">
        <v>173</v>
      </c>
      <c r="G135" s="13" t="s">
        <v>9</v>
      </c>
      <c r="H135" s="122" t="s">
        <v>1101</v>
      </c>
      <c r="I135" s="32">
        <v>51.455768599999999</v>
      </c>
      <c r="J135" s="53">
        <v>37.530612900000001</v>
      </c>
      <c r="K135" s="72">
        <v>229</v>
      </c>
      <c r="L135" s="83"/>
      <c r="N135" s="148" t="s">
        <v>777</v>
      </c>
      <c r="O135" s="112"/>
      <c r="P135" s="112"/>
    </row>
    <row r="136" spans="1:17" x14ac:dyDescent="0.2">
      <c r="A136" s="18">
        <v>124</v>
      </c>
      <c r="B136" s="13" t="s">
        <v>236</v>
      </c>
      <c r="C136" s="13" t="s">
        <v>237</v>
      </c>
      <c r="D136" s="13">
        <v>1954</v>
      </c>
      <c r="E136" s="13">
        <v>1740</v>
      </c>
      <c r="F136" s="13">
        <v>72</v>
      </c>
      <c r="G136" s="13" t="s">
        <v>9</v>
      </c>
      <c r="H136" s="122" t="s">
        <v>1102</v>
      </c>
      <c r="I136" s="32">
        <v>51.552146899999997</v>
      </c>
      <c r="J136" s="53">
        <v>37.445640599999997</v>
      </c>
      <c r="K136" s="72">
        <v>230</v>
      </c>
      <c r="L136" s="83"/>
      <c r="N136" s="148" t="s">
        <v>777</v>
      </c>
      <c r="O136" s="112"/>
      <c r="P136" s="112"/>
    </row>
    <row r="137" spans="1:17" x14ac:dyDescent="0.2">
      <c r="A137" s="18">
        <v>125</v>
      </c>
      <c r="B137" s="13" t="s">
        <v>238</v>
      </c>
      <c r="C137" s="13" t="s">
        <v>239</v>
      </c>
      <c r="D137" s="13">
        <v>1972</v>
      </c>
      <c r="E137" s="13">
        <v>1160</v>
      </c>
      <c r="F137" s="13">
        <v>44</v>
      </c>
      <c r="G137" s="13" t="s">
        <v>9</v>
      </c>
      <c r="H137" s="122" t="s">
        <v>1103</v>
      </c>
      <c r="I137" s="32">
        <v>51.334041599999999</v>
      </c>
      <c r="J137" s="53">
        <v>37.092029599999996</v>
      </c>
      <c r="K137" s="72">
        <v>231</v>
      </c>
      <c r="L137" s="83"/>
      <c r="N137" s="148" t="s">
        <v>777</v>
      </c>
      <c r="O137" s="112"/>
      <c r="P137" s="112"/>
    </row>
    <row r="138" spans="1:17" x14ac:dyDescent="0.2">
      <c r="A138" s="18">
        <v>126</v>
      </c>
      <c r="B138" s="13" t="s">
        <v>231</v>
      </c>
      <c r="C138" s="13" t="s">
        <v>240</v>
      </c>
      <c r="D138" s="13">
        <v>1978</v>
      </c>
      <c r="E138" s="13">
        <v>850</v>
      </c>
      <c r="F138" s="13">
        <v>50</v>
      </c>
      <c r="G138" s="13" t="s">
        <v>9</v>
      </c>
      <c r="H138" s="122" t="s">
        <v>1104</v>
      </c>
      <c r="I138" s="32">
        <v>51.569213900000001</v>
      </c>
      <c r="J138" s="53">
        <v>37.297496799999998</v>
      </c>
      <c r="K138" s="72">
        <v>232</v>
      </c>
      <c r="L138" s="83"/>
      <c r="N138" s="148" t="s">
        <v>777</v>
      </c>
      <c r="O138" s="112"/>
      <c r="P138" s="112"/>
    </row>
    <row r="139" spans="1:17" x14ac:dyDescent="0.2">
      <c r="A139" s="18">
        <v>127</v>
      </c>
      <c r="B139" s="13" t="s">
        <v>236</v>
      </c>
      <c r="C139" s="13" t="s">
        <v>241</v>
      </c>
      <c r="D139" s="13">
        <v>1972</v>
      </c>
      <c r="E139" s="13">
        <v>750</v>
      </c>
      <c r="F139" s="13">
        <v>50</v>
      </c>
      <c r="G139" s="13" t="s">
        <v>9</v>
      </c>
      <c r="H139" s="122" t="s">
        <v>1102</v>
      </c>
      <c r="I139" s="32">
        <v>51.532585099999999</v>
      </c>
      <c r="J139" s="53">
        <v>37.433132200000003</v>
      </c>
      <c r="K139" s="72">
        <v>233</v>
      </c>
      <c r="L139" s="83"/>
      <c r="N139" s="148" t="s">
        <v>777</v>
      </c>
      <c r="O139" s="112"/>
      <c r="P139" s="112"/>
    </row>
    <row r="140" spans="1:17" x14ac:dyDescent="0.2">
      <c r="A140" s="18">
        <v>128</v>
      </c>
      <c r="B140" s="13" t="s">
        <v>242</v>
      </c>
      <c r="C140" s="13" t="s">
        <v>243</v>
      </c>
      <c r="D140" s="13">
        <v>1955</v>
      </c>
      <c r="E140" s="13">
        <v>720</v>
      </c>
      <c r="F140" s="13">
        <v>40</v>
      </c>
      <c r="G140" s="13" t="s">
        <v>9</v>
      </c>
      <c r="H140" s="122" t="s">
        <v>1102</v>
      </c>
      <c r="I140" s="32">
        <v>51.487567900000002</v>
      </c>
      <c r="J140" s="53">
        <v>37.438922900000001</v>
      </c>
      <c r="K140" s="72">
        <v>234</v>
      </c>
      <c r="L140" s="83"/>
      <c r="N140" s="148" t="s">
        <v>777</v>
      </c>
      <c r="O140" s="148" t="s">
        <v>777</v>
      </c>
      <c r="P140" s="148" t="s">
        <v>777</v>
      </c>
    </row>
    <row r="141" spans="1:17" x14ac:dyDescent="0.2">
      <c r="A141" s="18">
        <v>129</v>
      </c>
      <c r="B141" s="13" t="s">
        <v>244</v>
      </c>
      <c r="C141" s="13" t="s">
        <v>245</v>
      </c>
      <c r="D141" s="13">
        <v>1951</v>
      </c>
      <c r="E141" s="13">
        <v>800</v>
      </c>
      <c r="F141" s="13">
        <v>40</v>
      </c>
      <c r="G141" s="13" t="s">
        <v>9</v>
      </c>
      <c r="H141" s="122" t="s">
        <v>1101</v>
      </c>
      <c r="I141" s="32">
        <v>51.434917400000003</v>
      </c>
      <c r="J141" s="53">
        <v>37.439201400000002</v>
      </c>
      <c r="K141" s="72">
        <v>235</v>
      </c>
      <c r="L141" s="83"/>
      <c r="N141" s="148" t="s">
        <v>777</v>
      </c>
      <c r="O141" s="112"/>
      <c r="P141" s="112"/>
    </row>
    <row r="142" spans="1:17" x14ac:dyDescent="0.2">
      <c r="A142" s="18">
        <v>130</v>
      </c>
      <c r="B142" s="13" t="s">
        <v>56</v>
      </c>
      <c r="C142" s="13" t="s">
        <v>246</v>
      </c>
      <c r="D142" s="13">
        <v>1950</v>
      </c>
      <c r="E142" s="13">
        <v>185</v>
      </c>
      <c r="F142" s="13">
        <v>15</v>
      </c>
      <c r="G142" s="13" t="s">
        <v>17</v>
      </c>
      <c r="H142" s="122" t="s">
        <v>1105</v>
      </c>
      <c r="I142" s="32">
        <v>51.5304146</v>
      </c>
      <c r="J142" s="53">
        <v>37.219314599999997</v>
      </c>
      <c r="K142" s="72">
        <v>237</v>
      </c>
      <c r="L142" s="83"/>
      <c r="N142" s="148" t="s">
        <v>777</v>
      </c>
      <c r="O142" s="112"/>
      <c r="P142" s="112"/>
    </row>
    <row r="143" spans="1:17" x14ac:dyDescent="0.2">
      <c r="A143" s="18">
        <v>131</v>
      </c>
      <c r="B143" s="13" t="s">
        <v>56</v>
      </c>
      <c r="C143" s="13" t="s">
        <v>247</v>
      </c>
      <c r="D143" s="13">
        <v>1970</v>
      </c>
      <c r="E143" s="13">
        <v>420</v>
      </c>
      <c r="F143" s="13">
        <v>15</v>
      </c>
      <c r="G143" s="13" t="s">
        <v>17</v>
      </c>
      <c r="H143" s="122" t="s">
        <v>1106</v>
      </c>
      <c r="I143" s="32">
        <v>51.530708300000001</v>
      </c>
      <c r="J143" s="53">
        <v>37.257511100000002</v>
      </c>
      <c r="K143" s="72">
        <v>238</v>
      </c>
      <c r="L143" s="83"/>
      <c r="N143" s="148" t="s">
        <v>777</v>
      </c>
      <c r="O143" s="112"/>
      <c r="P143" s="112"/>
    </row>
    <row r="144" spans="1:17" x14ac:dyDescent="0.2">
      <c r="A144" s="18">
        <v>132</v>
      </c>
      <c r="B144" s="13" t="s">
        <v>248</v>
      </c>
      <c r="C144" s="13" t="s">
        <v>245</v>
      </c>
      <c r="D144" s="13">
        <v>1952</v>
      </c>
      <c r="E144" s="13">
        <v>334</v>
      </c>
      <c r="F144" s="13">
        <v>27</v>
      </c>
      <c r="G144" s="13" t="s">
        <v>9</v>
      </c>
      <c r="H144" s="122" t="s">
        <v>1101</v>
      </c>
      <c r="I144" s="32">
        <v>51.436229699999998</v>
      </c>
      <c r="J144" s="53">
        <v>37.450080900000003</v>
      </c>
      <c r="K144" s="72">
        <v>239</v>
      </c>
      <c r="L144" s="83"/>
      <c r="N144" s="148" t="s">
        <v>777</v>
      </c>
      <c r="O144" s="112"/>
      <c r="P144" s="112"/>
    </row>
    <row r="145" spans="1:17" x14ac:dyDescent="0.2">
      <c r="A145" s="18">
        <v>133</v>
      </c>
      <c r="B145" s="13" t="s">
        <v>249</v>
      </c>
      <c r="C145" s="13" t="s">
        <v>250</v>
      </c>
      <c r="D145" s="13">
        <v>1962</v>
      </c>
      <c r="E145" s="13">
        <v>130</v>
      </c>
      <c r="F145" s="13">
        <v>10</v>
      </c>
      <c r="G145" s="13" t="s">
        <v>127</v>
      </c>
      <c r="H145" s="122" t="s">
        <v>1102</v>
      </c>
      <c r="I145" s="32">
        <v>51.565475499999998</v>
      </c>
      <c r="J145" s="53">
        <v>37.448566399999997</v>
      </c>
      <c r="K145" s="72">
        <v>240</v>
      </c>
      <c r="L145" s="83"/>
      <c r="N145" s="148" t="s">
        <v>777</v>
      </c>
      <c r="O145" s="112"/>
      <c r="P145" s="112"/>
    </row>
    <row r="146" spans="1:17" ht="15.75" x14ac:dyDescent="0.25">
      <c r="A146" s="18">
        <v>134</v>
      </c>
      <c r="B146" s="13" t="s">
        <v>50</v>
      </c>
      <c r="C146" s="13" t="s">
        <v>251</v>
      </c>
      <c r="D146" s="13">
        <v>1952</v>
      </c>
      <c r="E146" s="13">
        <v>300</v>
      </c>
      <c r="F146" s="13">
        <v>13</v>
      </c>
      <c r="G146" s="13" t="s">
        <v>127</v>
      </c>
      <c r="H146" s="122" t="s">
        <v>1106</v>
      </c>
      <c r="I146" s="32">
        <v>51.523811299999998</v>
      </c>
      <c r="J146" s="53">
        <v>37.204864499999999</v>
      </c>
      <c r="K146" s="72">
        <v>241</v>
      </c>
      <c r="L146" s="83"/>
      <c r="N146" s="174"/>
      <c r="O146" s="112"/>
      <c r="P146" s="112"/>
      <c r="Q146" s="183" t="s">
        <v>1175</v>
      </c>
    </row>
    <row r="147" spans="1:17" x14ac:dyDescent="0.2">
      <c r="A147" s="18">
        <v>135</v>
      </c>
      <c r="B147" s="13" t="s">
        <v>252</v>
      </c>
      <c r="C147" s="13" t="s">
        <v>253</v>
      </c>
      <c r="D147" s="13">
        <v>1976</v>
      </c>
      <c r="E147" s="13">
        <v>220</v>
      </c>
      <c r="F147" s="13">
        <v>15</v>
      </c>
      <c r="G147" s="13" t="s">
        <v>9</v>
      </c>
      <c r="H147" s="122" t="s">
        <v>1107</v>
      </c>
      <c r="I147" s="230" t="s">
        <v>1192</v>
      </c>
      <c r="J147" s="231" t="s">
        <v>1193</v>
      </c>
      <c r="K147" s="72">
        <v>242</v>
      </c>
      <c r="L147" s="83"/>
      <c r="N147" s="148" t="s">
        <v>777</v>
      </c>
      <c r="O147" s="112"/>
      <c r="P147" s="112"/>
    </row>
    <row r="148" spans="1:17" x14ac:dyDescent="0.2">
      <c r="A148" s="18">
        <v>136</v>
      </c>
      <c r="B148" s="13" t="s">
        <v>242</v>
      </c>
      <c r="C148" s="13" t="s">
        <v>254</v>
      </c>
      <c r="D148" s="13">
        <v>1970</v>
      </c>
      <c r="E148" s="13">
        <v>110</v>
      </c>
      <c r="F148" s="13">
        <v>11</v>
      </c>
      <c r="G148" s="13" t="s">
        <v>127</v>
      </c>
      <c r="H148" s="122" t="s">
        <v>1108</v>
      </c>
      <c r="I148" s="32">
        <v>51.483375500000001</v>
      </c>
      <c r="J148" s="53">
        <v>37.336963699999998</v>
      </c>
      <c r="K148" s="72">
        <v>243</v>
      </c>
      <c r="L148" s="83"/>
      <c r="N148" s="148" t="s">
        <v>777</v>
      </c>
      <c r="O148" s="148" t="s">
        <v>777</v>
      </c>
      <c r="P148" s="148" t="s">
        <v>777</v>
      </c>
    </row>
    <row r="149" spans="1:17" x14ac:dyDescent="0.2">
      <c r="A149" s="18">
        <v>137</v>
      </c>
      <c r="B149" s="13" t="s">
        <v>255</v>
      </c>
      <c r="C149" s="13" t="s">
        <v>256</v>
      </c>
      <c r="D149" s="13" t="s">
        <v>27</v>
      </c>
      <c r="E149" s="13" t="s">
        <v>27</v>
      </c>
      <c r="F149" s="13" t="s">
        <v>27</v>
      </c>
      <c r="G149" s="13" t="s">
        <v>20</v>
      </c>
      <c r="H149" s="122" t="s">
        <v>1109</v>
      </c>
      <c r="I149" s="32">
        <v>51.497514000000002</v>
      </c>
      <c r="J149" s="53">
        <v>37.104087</v>
      </c>
      <c r="K149" s="67">
        <v>246</v>
      </c>
      <c r="L149" s="83"/>
      <c r="N149" s="148" t="s">
        <v>777</v>
      </c>
      <c r="O149" s="112"/>
      <c r="P149" s="112"/>
    </row>
    <row r="150" spans="1:17" ht="30" x14ac:dyDescent="0.2">
      <c r="A150" s="18">
        <v>138</v>
      </c>
      <c r="B150" s="13" t="s">
        <v>257</v>
      </c>
      <c r="C150" s="13" t="s">
        <v>258</v>
      </c>
      <c r="D150" s="13" t="s">
        <v>27</v>
      </c>
      <c r="E150" s="13" t="s">
        <v>27</v>
      </c>
      <c r="F150" s="13" t="s">
        <v>27</v>
      </c>
      <c r="G150" s="13" t="s">
        <v>20</v>
      </c>
      <c r="H150" s="121" t="s">
        <v>586</v>
      </c>
      <c r="I150" s="32">
        <v>51.362673999999998</v>
      </c>
      <c r="J150" s="53">
        <v>37.059192000000003</v>
      </c>
      <c r="K150" s="67">
        <v>245</v>
      </c>
      <c r="L150" s="83"/>
      <c r="N150" s="148" t="s">
        <v>777</v>
      </c>
      <c r="O150" s="112"/>
      <c r="P150" s="112"/>
    </row>
    <row r="151" spans="1:17" ht="30.75" thickBot="1" x14ac:dyDescent="0.25">
      <c r="A151" s="18">
        <v>139</v>
      </c>
      <c r="B151" s="14" t="s">
        <v>259</v>
      </c>
      <c r="C151" s="14" t="s">
        <v>258</v>
      </c>
      <c r="D151" s="14" t="s">
        <v>27</v>
      </c>
      <c r="E151" s="14" t="s">
        <v>27</v>
      </c>
      <c r="F151" s="14">
        <v>6</v>
      </c>
      <c r="G151" s="14" t="s">
        <v>20</v>
      </c>
      <c r="H151" s="122" t="s">
        <v>1110</v>
      </c>
      <c r="I151" s="32">
        <v>51.363314000000003</v>
      </c>
      <c r="J151" s="53">
        <v>37.058900000000001</v>
      </c>
      <c r="K151" s="67">
        <v>244</v>
      </c>
      <c r="L151" s="83"/>
      <c r="N151" s="148" t="s">
        <v>777</v>
      </c>
      <c r="O151" s="112"/>
      <c r="P151" s="112"/>
    </row>
    <row r="152" spans="1:17" ht="15.75" thickBot="1" x14ac:dyDescent="0.25">
      <c r="A152" s="193" t="s">
        <v>260</v>
      </c>
      <c r="B152" s="194"/>
      <c r="C152" s="194"/>
      <c r="D152" s="194"/>
      <c r="E152" s="194"/>
      <c r="F152" s="194"/>
      <c r="G152" s="194"/>
      <c r="H152" s="194"/>
      <c r="I152" s="194"/>
      <c r="J152" s="194"/>
      <c r="K152" s="67"/>
      <c r="L152" s="83"/>
      <c r="N152" s="112"/>
      <c r="O152" s="112"/>
      <c r="P152" s="112"/>
    </row>
    <row r="153" spans="1:17" x14ac:dyDescent="0.2">
      <c r="A153" s="18">
        <v>140</v>
      </c>
      <c r="B153" s="18" t="s">
        <v>261</v>
      </c>
      <c r="C153" s="18" t="s">
        <v>262</v>
      </c>
      <c r="D153" s="18">
        <v>1980</v>
      </c>
      <c r="E153" s="18">
        <v>4000</v>
      </c>
      <c r="F153" s="18">
        <v>130</v>
      </c>
      <c r="G153" s="18" t="s">
        <v>20</v>
      </c>
      <c r="H153" s="122" t="s">
        <v>633</v>
      </c>
      <c r="I153" s="32">
        <v>51.551212300000003</v>
      </c>
      <c r="J153" s="53">
        <v>36.203144100000003</v>
      </c>
      <c r="K153" s="72">
        <v>248</v>
      </c>
      <c r="L153" s="83"/>
      <c r="N153" s="148" t="s">
        <v>777</v>
      </c>
      <c r="O153" s="148" t="s">
        <v>777</v>
      </c>
      <c r="P153" s="148" t="s">
        <v>777</v>
      </c>
    </row>
    <row r="154" spans="1:17" x14ac:dyDescent="0.2">
      <c r="A154" s="18">
        <v>141</v>
      </c>
      <c r="B154" s="13" t="s">
        <v>263</v>
      </c>
      <c r="C154" s="13" t="s">
        <v>264</v>
      </c>
      <c r="D154" s="13">
        <v>1987</v>
      </c>
      <c r="E154" s="13">
        <v>2200</v>
      </c>
      <c r="F154" s="13">
        <v>86</v>
      </c>
      <c r="G154" s="13" t="s">
        <v>20</v>
      </c>
      <c r="H154" s="122" t="s">
        <v>634</v>
      </c>
      <c r="I154" s="32">
        <v>51.440876000000003</v>
      </c>
      <c r="J154" s="53">
        <v>35.772144300000001</v>
      </c>
      <c r="K154" s="72">
        <v>249</v>
      </c>
      <c r="L154" s="83"/>
      <c r="N154" s="148" t="s">
        <v>777</v>
      </c>
      <c r="O154" s="148" t="s">
        <v>777</v>
      </c>
      <c r="P154" s="148" t="s">
        <v>777</v>
      </c>
    </row>
    <row r="155" spans="1:17" ht="25.5" x14ac:dyDescent="0.2">
      <c r="A155" s="181">
        <v>142</v>
      </c>
      <c r="B155" s="86" t="s">
        <v>265</v>
      </c>
      <c r="C155" s="86" t="s">
        <v>266</v>
      </c>
      <c r="D155" s="86">
        <v>1978</v>
      </c>
      <c r="E155" s="86">
        <v>2020</v>
      </c>
      <c r="F155" s="86">
        <v>105</v>
      </c>
      <c r="G155" s="86" t="s">
        <v>20</v>
      </c>
      <c r="H155" s="122" t="s">
        <v>1111</v>
      </c>
      <c r="I155" s="92">
        <v>51.409870099999999</v>
      </c>
      <c r="J155" s="93">
        <v>36.234027900000001</v>
      </c>
      <c r="K155" s="94">
        <v>250</v>
      </c>
      <c r="L155" s="81" t="s">
        <v>764</v>
      </c>
      <c r="M155" s="2" t="s">
        <v>777</v>
      </c>
      <c r="N155" s="148" t="s">
        <v>777</v>
      </c>
      <c r="O155" s="148" t="s">
        <v>777</v>
      </c>
      <c r="P155" s="148" t="s">
        <v>777</v>
      </c>
    </row>
    <row r="156" spans="1:17" ht="30" x14ac:dyDescent="0.2">
      <c r="A156" s="18">
        <v>143</v>
      </c>
      <c r="B156" s="13" t="s">
        <v>267</v>
      </c>
      <c r="C156" s="13" t="s">
        <v>268</v>
      </c>
      <c r="D156" s="13">
        <v>1968</v>
      </c>
      <c r="E156" s="13">
        <v>1280</v>
      </c>
      <c r="F156" s="13">
        <v>44</v>
      </c>
      <c r="G156" s="13" t="s">
        <v>9</v>
      </c>
      <c r="H156" s="122" t="s">
        <v>635</v>
      </c>
      <c r="I156" s="32">
        <v>51.447662399999999</v>
      </c>
      <c r="J156" s="53">
        <v>35.986610400000004</v>
      </c>
      <c r="K156" s="72">
        <v>251</v>
      </c>
      <c r="L156" s="83"/>
      <c r="N156" s="148" t="s">
        <v>777</v>
      </c>
      <c r="O156" s="148" t="s">
        <v>777</v>
      </c>
      <c r="P156" s="148" t="s">
        <v>777</v>
      </c>
    </row>
    <row r="157" spans="1:17" x14ac:dyDescent="0.2">
      <c r="A157" s="18">
        <v>144</v>
      </c>
      <c r="B157" s="13" t="s">
        <v>269</v>
      </c>
      <c r="C157" s="13" t="s">
        <v>270</v>
      </c>
      <c r="D157" s="13">
        <v>1980</v>
      </c>
      <c r="E157" s="13">
        <v>1660</v>
      </c>
      <c r="F157" s="13">
        <v>44</v>
      </c>
      <c r="G157" s="13" t="s">
        <v>20</v>
      </c>
      <c r="H157" s="122" t="s">
        <v>636</v>
      </c>
      <c r="I157" s="32">
        <v>51.366470300000003</v>
      </c>
      <c r="J157" s="53">
        <v>36.026843999999997</v>
      </c>
      <c r="K157" s="72">
        <v>252</v>
      </c>
      <c r="L157" s="83"/>
      <c r="N157" s="148" t="s">
        <v>777</v>
      </c>
      <c r="O157" s="148" t="s">
        <v>777</v>
      </c>
      <c r="P157" s="148" t="s">
        <v>777</v>
      </c>
    </row>
    <row r="158" spans="1:17" x14ac:dyDescent="0.2">
      <c r="A158" s="18">
        <v>145</v>
      </c>
      <c r="B158" s="13" t="s">
        <v>271</v>
      </c>
      <c r="C158" s="13" t="s">
        <v>272</v>
      </c>
      <c r="D158" s="13">
        <v>1982</v>
      </c>
      <c r="E158" s="13">
        <v>1045</v>
      </c>
      <c r="F158" s="13">
        <v>30</v>
      </c>
      <c r="G158" s="13" t="s">
        <v>127</v>
      </c>
      <c r="H158" s="122" t="s">
        <v>633</v>
      </c>
      <c r="I158" s="32">
        <v>51.368335700000003</v>
      </c>
      <c r="J158" s="53">
        <v>35.847949999999997</v>
      </c>
      <c r="K158" s="72">
        <v>253</v>
      </c>
      <c r="L158" s="83"/>
      <c r="N158" s="148" t="s">
        <v>777</v>
      </c>
      <c r="O158" s="148" t="s">
        <v>777</v>
      </c>
      <c r="P158" s="148" t="s">
        <v>777</v>
      </c>
    </row>
    <row r="159" spans="1:17" x14ac:dyDescent="0.2">
      <c r="A159" s="18">
        <v>146</v>
      </c>
      <c r="B159" s="13" t="s">
        <v>273</v>
      </c>
      <c r="C159" s="13" t="s">
        <v>274</v>
      </c>
      <c r="D159" s="13">
        <v>1968</v>
      </c>
      <c r="E159" s="13">
        <v>1021</v>
      </c>
      <c r="F159" s="13">
        <v>34</v>
      </c>
      <c r="G159" s="13" t="s">
        <v>9</v>
      </c>
      <c r="H159" s="122" t="s">
        <v>633</v>
      </c>
      <c r="I159" s="32">
        <v>51.4451866</v>
      </c>
      <c r="J159" s="53">
        <v>36.430141399999997</v>
      </c>
      <c r="K159" s="72">
        <v>254</v>
      </c>
      <c r="L159" s="83"/>
      <c r="N159" s="148" t="s">
        <v>777</v>
      </c>
      <c r="O159" s="148" t="s">
        <v>777</v>
      </c>
      <c r="P159" s="148" t="s">
        <v>777</v>
      </c>
      <c r="Q159" s="188" t="s">
        <v>1180</v>
      </c>
    </row>
    <row r="160" spans="1:17" ht="25.5" x14ac:dyDescent="0.2">
      <c r="A160" s="34">
        <v>147</v>
      </c>
      <c r="B160" s="21" t="s">
        <v>275</v>
      </c>
      <c r="C160" s="21" t="s">
        <v>276</v>
      </c>
      <c r="D160" s="21" t="s">
        <v>27</v>
      </c>
      <c r="E160" s="21">
        <v>96</v>
      </c>
      <c r="F160" s="21">
        <v>6.1</v>
      </c>
      <c r="G160" s="21" t="s">
        <v>20</v>
      </c>
      <c r="H160" s="116" t="s">
        <v>1112</v>
      </c>
      <c r="I160" s="139" t="s">
        <v>1139</v>
      </c>
      <c r="J160" s="140" t="s">
        <v>1140</v>
      </c>
      <c r="K160" s="66" t="s">
        <v>561</v>
      </c>
      <c r="L160" s="141" t="s">
        <v>1141</v>
      </c>
      <c r="M160" s="2" t="s">
        <v>777</v>
      </c>
      <c r="N160" s="148" t="s">
        <v>777</v>
      </c>
      <c r="O160" s="148" t="s">
        <v>777</v>
      </c>
      <c r="P160" s="148" t="s">
        <v>777</v>
      </c>
    </row>
    <row r="161" spans="1:17" x14ac:dyDescent="0.2">
      <c r="A161" s="18">
        <v>148</v>
      </c>
      <c r="B161" s="13" t="s">
        <v>277</v>
      </c>
      <c r="C161" s="13" t="s">
        <v>278</v>
      </c>
      <c r="D161" s="13">
        <v>1982</v>
      </c>
      <c r="E161" s="13">
        <v>780</v>
      </c>
      <c r="F161" s="13">
        <v>32</v>
      </c>
      <c r="G161" s="13" t="s">
        <v>127</v>
      </c>
      <c r="H161" s="122" t="s">
        <v>633</v>
      </c>
      <c r="I161" s="32">
        <v>51.420589399999997</v>
      </c>
      <c r="J161" s="53">
        <v>36.340992</v>
      </c>
      <c r="K161" s="67">
        <v>256</v>
      </c>
      <c r="L161" s="83"/>
      <c r="N161" s="148" t="s">
        <v>777</v>
      </c>
      <c r="O161" s="148" t="s">
        <v>777</v>
      </c>
      <c r="P161" s="148" t="s">
        <v>777</v>
      </c>
    </row>
    <row r="162" spans="1:17" x14ac:dyDescent="0.2">
      <c r="A162" s="18">
        <v>149</v>
      </c>
      <c r="B162" s="13" t="s">
        <v>279</v>
      </c>
      <c r="C162" s="13" t="s">
        <v>280</v>
      </c>
      <c r="D162" s="13">
        <v>1970</v>
      </c>
      <c r="E162" s="13">
        <v>550</v>
      </c>
      <c r="F162" s="13">
        <v>32</v>
      </c>
      <c r="G162" s="13" t="s">
        <v>117</v>
      </c>
      <c r="H162" s="122" t="s">
        <v>633</v>
      </c>
      <c r="I162" s="32">
        <v>51.516124699999999</v>
      </c>
      <c r="J162" s="53">
        <v>36.430435199999998</v>
      </c>
      <c r="K162" s="67">
        <v>255</v>
      </c>
      <c r="L162" s="83"/>
      <c r="N162" s="148" t="s">
        <v>777</v>
      </c>
      <c r="O162" s="148" t="s">
        <v>777</v>
      </c>
      <c r="P162" s="148" t="s">
        <v>777</v>
      </c>
    </row>
    <row r="163" spans="1:17" ht="30" x14ac:dyDescent="0.2">
      <c r="A163" s="18">
        <v>150</v>
      </c>
      <c r="B163" s="13" t="s">
        <v>170</v>
      </c>
      <c r="C163" s="13" t="s">
        <v>281</v>
      </c>
      <c r="D163" s="13">
        <v>1983</v>
      </c>
      <c r="E163" s="13">
        <v>716</v>
      </c>
      <c r="F163" s="13">
        <v>33</v>
      </c>
      <c r="G163" s="13" t="s">
        <v>9</v>
      </c>
      <c r="H163" s="190" t="s">
        <v>1191</v>
      </c>
      <c r="I163" s="57">
        <v>51.568973499999998</v>
      </c>
      <c r="J163" s="58">
        <v>36.243102999999998</v>
      </c>
      <c r="K163" s="72">
        <v>257</v>
      </c>
      <c r="L163" s="83"/>
      <c r="N163" s="148" t="s">
        <v>777</v>
      </c>
      <c r="O163" s="148" t="s">
        <v>777</v>
      </c>
      <c r="P163" s="148" t="s">
        <v>777</v>
      </c>
    </row>
    <row r="164" spans="1:17" ht="30" x14ac:dyDescent="0.25">
      <c r="A164" s="18">
        <v>151</v>
      </c>
      <c r="B164" s="13" t="s">
        <v>170</v>
      </c>
      <c r="C164" s="13" t="s">
        <v>282</v>
      </c>
      <c r="D164" s="13">
        <v>1973</v>
      </c>
      <c r="E164" s="13">
        <v>1000</v>
      </c>
      <c r="F164" s="13">
        <v>30</v>
      </c>
      <c r="G164" s="13" t="s">
        <v>9</v>
      </c>
      <c r="H164" s="190" t="s">
        <v>1191</v>
      </c>
      <c r="I164" s="57">
        <v>51.5622063</v>
      </c>
      <c r="J164" s="58">
        <v>36.230762499999997</v>
      </c>
      <c r="K164" s="72">
        <v>258</v>
      </c>
      <c r="L164" s="83"/>
      <c r="N164" s="148" t="s">
        <v>777</v>
      </c>
      <c r="O164" s="148" t="s">
        <v>777</v>
      </c>
      <c r="P164" s="148" t="s">
        <v>777</v>
      </c>
      <c r="Q164" s="187"/>
    </row>
    <row r="165" spans="1:17" x14ac:dyDescent="0.2">
      <c r="A165" s="181">
        <v>152</v>
      </c>
      <c r="B165" s="86" t="s">
        <v>283</v>
      </c>
      <c r="C165" s="86" t="s">
        <v>284</v>
      </c>
      <c r="D165" s="86">
        <v>1951</v>
      </c>
      <c r="E165" s="86">
        <v>650</v>
      </c>
      <c r="F165" s="86">
        <v>26</v>
      </c>
      <c r="G165" s="86" t="s">
        <v>117</v>
      </c>
      <c r="H165" s="121" t="s">
        <v>633</v>
      </c>
      <c r="I165" s="95">
        <v>51.346824599999998</v>
      </c>
      <c r="J165" s="96">
        <v>35.912151299999998</v>
      </c>
      <c r="K165" s="94">
        <v>259</v>
      </c>
      <c r="L165" s="81" t="s">
        <v>765</v>
      </c>
      <c r="M165" s="2" t="s">
        <v>777</v>
      </c>
      <c r="N165" s="148" t="s">
        <v>777</v>
      </c>
      <c r="O165" s="148" t="s">
        <v>777</v>
      </c>
      <c r="P165" s="148" t="s">
        <v>777</v>
      </c>
    </row>
    <row r="166" spans="1:17" ht="30" x14ac:dyDescent="0.2">
      <c r="A166" s="181">
        <v>153</v>
      </c>
      <c r="B166" s="86" t="s">
        <v>285</v>
      </c>
      <c r="C166" s="86" t="s">
        <v>284</v>
      </c>
      <c r="D166" s="86">
        <v>1975</v>
      </c>
      <c r="E166" s="86">
        <v>973</v>
      </c>
      <c r="F166" s="86">
        <v>27</v>
      </c>
      <c r="G166" s="86" t="s">
        <v>20</v>
      </c>
      <c r="H166" s="121" t="s">
        <v>638</v>
      </c>
      <c r="I166" s="95">
        <v>51.3522873</v>
      </c>
      <c r="J166" s="96">
        <v>35.920001999999997</v>
      </c>
      <c r="K166" s="94">
        <v>260</v>
      </c>
      <c r="L166" s="81" t="s">
        <v>765</v>
      </c>
      <c r="M166" s="2" t="s">
        <v>777</v>
      </c>
      <c r="N166" s="148" t="s">
        <v>777</v>
      </c>
      <c r="O166" s="148" t="s">
        <v>777</v>
      </c>
      <c r="P166" s="148" t="s">
        <v>777</v>
      </c>
    </row>
    <row r="167" spans="1:17" x14ac:dyDescent="0.2">
      <c r="A167" s="18">
        <v>154</v>
      </c>
      <c r="B167" s="13" t="s">
        <v>286</v>
      </c>
      <c r="C167" s="13" t="s">
        <v>287</v>
      </c>
      <c r="D167" s="13">
        <v>1952</v>
      </c>
      <c r="E167" s="13">
        <v>162</v>
      </c>
      <c r="F167" s="13">
        <v>9</v>
      </c>
      <c r="G167" s="13" t="s">
        <v>9</v>
      </c>
      <c r="H167" s="122" t="s">
        <v>1111</v>
      </c>
      <c r="I167" s="57">
        <v>51.368240399999998</v>
      </c>
      <c r="J167" s="58">
        <v>36.210842100000001</v>
      </c>
      <c r="K167" s="72">
        <v>261</v>
      </c>
      <c r="L167" s="83"/>
      <c r="N167" s="148" t="s">
        <v>777</v>
      </c>
      <c r="O167" s="148" t="s">
        <v>777</v>
      </c>
      <c r="P167" s="148" t="s">
        <v>777</v>
      </c>
      <c r="Q167" s="189" t="s">
        <v>1181</v>
      </c>
    </row>
    <row r="168" spans="1:17" x14ac:dyDescent="0.2">
      <c r="A168" s="18">
        <v>155</v>
      </c>
      <c r="B168" s="13" t="s">
        <v>288</v>
      </c>
      <c r="C168" s="13" t="s">
        <v>289</v>
      </c>
      <c r="D168" s="13">
        <v>1945</v>
      </c>
      <c r="E168" s="13">
        <v>200</v>
      </c>
      <c r="F168" s="13">
        <v>10</v>
      </c>
      <c r="G168" s="13" t="s">
        <v>20</v>
      </c>
      <c r="H168" s="122" t="s">
        <v>633</v>
      </c>
      <c r="I168" s="57">
        <v>51.422172500000002</v>
      </c>
      <c r="J168" s="58">
        <v>36.121402699999997</v>
      </c>
      <c r="K168" s="72">
        <v>262</v>
      </c>
      <c r="L168" s="83"/>
      <c r="N168" s="148" t="s">
        <v>777</v>
      </c>
      <c r="O168" s="148" t="s">
        <v>777</v>
      </c>
      <c r="P168" s="148" t="s">
        <v>777</v>
      </c>
    </row>
    <row r="169" spans="1:17" x14ac:dyDescent="0.2">
      <c r="A169" s="18">
        <v>156</v>
      </c>
      <c r="B169" s="13" t="s">
        <v>195</v>
      </c>
      <c r="C169" s="13" t="s">
        <v>290</v>
      </c>
      <c r="D169" s="13">
        <v>1970</v>
      </c>
      <c r="E169" s="13">
        <v>182</v>
      </c>
      <c r="F169" s="13">
        <v>18</v>
      </c>
      <c r="G169" s="13" t="s">
        <v>117</v>
      </c>
      <c r="H169" s="121" t="s">
        <v>1114</v>
      </c>
      <c r="I169" s="57">
        <v>51.439079300000003</v>
      </c>
      <c r="J169" s="58">
        <v>36.238643600000003</v>
      </c>
      <c r="K169" s="72">
        <v>263</v>
      </c>
      <c r="L169" s="83"/>
      <c r="N169" s="148" t="s">
        <v>777</v>
      </c>
      <c r="O169" s="148" t="s">
        <v>777</v>
      </c>
      <c r="P169" s="148" t="s">
        <v>777</v>
      </c>
    </row>
    <row r="170" spans="1:17" x14ac:dyDescent="0.2">
      <c r="A170" s="181">
        <v>157</v>
      </c>
      <c r="B170" s="86" t="s">
        <v>291</v>
      </c>
      <c r="C170" s="86" t="s">
        <v>292</v>
      </c>
      <c r="D170" s="86">
        <v>1948</v>
      </c>
      <c r="E170" s="86">
        <v>160</v>
      </c>
      <c r="F170" s="86">
        <v>11</v>
      </c>
      <c r="G170" s="86" t="s">
        <v>117</v>
      </c>
      <c r="H170" s="121" t="s">
        <v>639</v>
      </c>
      <c r="I170" s="95">
        <v>51.424923999999997</v>
      </c>
      <c r="J170" s="96">
        <v>36.309190000000001</v>
      </c>
      <c r="K170" s="94">
        <v>264</v>
      </c>
      <c r="L170" s="81" t="s">
        <v>765</v>
      </c>
      <c r="M170" s="2" t="s">
        <v>777</v>
      </c>
      <c r="N170" s="148" t="s">
        <v>777</v>
      </c>
      <c r="O170" s="148" t="s">
        <v>777</v>
      </c>
      <c r="P170" s="148" t="s">
        <v>777</v>
      </c>
    </row>
    <row r="171" spans="1:17" x14ac:dyDescent="0.2">
      <c r="A171" s="181">
        <v>158</v>
      </c>
      <c r="B171" s="86" t="s">
        <v>293</v>
      </c>
      <c r="C171" s="86" t="s">
        <v>294</v>
      </c>
      <c r="D171" s="86">
        <v>1951</v>
      </c>
      <c r="E171" s="86">
        <v>239</v>
      </c>
      <c r="F171" s="86">
        <v>11</v>
      </c>
      <c r="G171" s="86" t="s">
        <v>117</v>
      </c>
      <c r="H171" s="121" t="s">
        <v>640</v>
      </c>
      <c r="I171" s="95" t="s">
        <v>641</v>
      </c>
      <c r="J171" s="96" t="s">
        <v>642</v>
      </c>
      <c r="K171" s="94">
        <v>265</v>
      </c>
      <c r="L171" s="81" t="s">
        <v>765</v>
      </c>
      <c r="M171" s="2" t="s">
        <v>777</v>
      </c>
      <c r="N171" s="148" t="s">
        <v>777</v>
      </c>
      <c r="O171" s="148" t="s">
        <v>777</v>
      </c>
      <c r="P171" s="148" t="s">
        <v>777</v>
      </c>
      <c r="Q171" s="189" t="s">
        <v>1182</v>
      </c>
    </row>
    <row r="172" spans="1:17" x14ac:dyDescent="0.2">
      <c r="A172" s="18">
        <v>159</v>
      </c>
      <c r="B172" s="13" t="s">
        <v>293</v>
      </c>
      <c r="C172" s="13" t="s">
        <v>295</v>
      </c>
      <c r="D172" s="13">
        <v>1951</v>
      </c>
      <c r="E172" s="13">
        <v>215</v>
      </c>
      <c r="F172" s="13">
        <v>14</v>
      </c>
      <c r="G172" s="13" t="s">
        <v>127</v>
      </c>
      <c r="H172" s="121" t="s">
        <v>640</v>
      </c>
      <c r="I172" s="57">
        <v>51.488185899999998</v>
      </c>
      <c r="J172" s="58">
        <v>36.344387099999999</v>
      </c>
      <c r="K172" s="72">
        <v>266</v>
      </c>
      <c r="L172" s="83"/>
      <c r="N172" s="148" t="s">
        <v>777</v>
      </c>
      <c r="O172" s="148" t="s">
        <v>777</v>
      </c>
      <c r="P172" s="148" t="s">
        <v>777</v>
      </c>
    </row>
    <row r="173" spans="1:17" ht="30.75" thickBot="1" x14ac:dyDescent="0.25">
      <c r="A173" s="35">
        <v>160</v>
      </c>
      <c r="B173" s="14" t="s">
        <v>296</v>
      </c>
      <c r="C173" s="14" t="s">
        <v>297</v>
      </c>
      <c r="D173" s="14" t="s">
        <v>27</v>
      </c>
      <c r="E173" s="14" t="s">
        <v>27</v>
      </c>
      <c r="F173" s="14" t="s">
        <v>27</v>
      </c>
      <c r="G173" s="14" t="s">
        <v>127</v>
      </c>
      <c r="H173" s="123" t="s">
        <v>1112</v>
      </c>
      <c r="I173" s="59">
        <v>51.360245999999997</v>
      </c>
      <c r="J173" s="60">
        <v>36.110481</v>
      </c>
      <c r="K173" s="72">
        <v>267</v>
      </c>
      <c r="L173" s="83"/>
      <c r="N173" s="148" t="s">
        <v>777</v>
      </c>
      <c r="O173" s="148" t="s">
        <v>777</v>
      </c>
      <c r="P173" s="148" t="s">
        <v>777</v>
      </c>
    </row>
    <row r="174" spans="1:17" ht="15.75" thickBot="1" x14ac:dyDescent="0.25">
      <c r="A174" s="193" t="s">
        <v>298</v>
      </c>
      <c r="B174" s="194"/>
      <c r="C174" s="194"/>
      <c r="D174" s="194"/>
      <c r="E174" s="194"/>
      <c r="F174" s="194"/>
      <c r="G174" s="194"/>
      <c r="H174" s="194"/>
      <c r="I174" s="194"/>
      <c r="J174" s="194"/>
      <c r="K174" s="67"/>
      <c r="L174" s="83"/>
      <c r="N174" s="112"/>
      <c r="O174" s="112"/>
      <c r="P174" s="112"/>
    </row>
    <row r="175" spans="1:17" ht="30" x14ac:dyDescent="0.2">
      <c r="A175" s="181">
        <v>161</v>
      </c>
      <c r="B175" s="181" t="s">
        <v>299</v>
      </c>
      <c r="C175" s="181" t="s">
        <v>300</v>
      </c>
      <c r="D175" s="181">
        <v>1975</v>
      </c>
      <c r="E175" s="181">
        <v>1425</v>
      </c>
      <c r="F175" s="181">
        <v>67</v>
      </c>
      <c r="G175" s="181" t="s">
        <v>20</v>
      </c>
      <c r="H175" s="190" t="s">
        <v>1191</v>
      </c>
      <c r="I175" s="92" t="s">
        <v>766</v>
      </c>
      <c r="J175" s="93" t="s">
        <v>767</v>
      </c>
      <c r="K175" s="94">
        <v>268</v>
      </c>
      <c r="L175" s="81" t="s">
        <v>765</v>
      </c>
      <c r="M175" s="2" t="s">
        <v>777</v>
      </c>
      <c r="N175" s="148" t="s">
        <v>777</v>
      </c>
      <c r="O175" s="148" t="s">
        <v>777</v>
      </c>
      <c r="P175" s="148" t="s">
        <v>777</v>
      </c>
    </row>
    <row r="176" spans="1:17" x14ac:dyDescent="0.2">
      <c r="A176" s="181">
        <v>162</v>
      </c>
      <c r="B176" s="86" t="s">
        <v>301</v>
      </c>
      <c r="C176" s="86" t="s">
        <v>302</v>
      </c>
      <c r="D176" s="86">
        <v>1979</v>
      </c>
      <c r="E176" s="86">
        <v>1310</v>
      </c>
      <c r="F176" s="86">
        <v>44</v>
      </c>
      <c r="G176" s="86" t="s">
        <v>20</v>
      </c>
      <c r="H176" s="92" t="s">
        <v>644</v>
      </c>
      <c r="I176" s="92" t="s">
        <v>645</v>
      </c>
      <c r="J176" s="93" t="s">
        <v>646</v>
      </c>
      <c r="K176" s="94">
        <v>269</v>
      </c>
      <c r="L176" s="81" t="s">
        <v>765</v>
      </c>
      <c r="M176" s="2" t="s">
        <v>777</v>
      </c>
      <c r="N176" s="148" t="s">
        <v>777</v>
      </c>
      <c r="O176" s="148" t="s">
        <v>777</v>
      </c>
      <c r="P176" s="148" t="s">
        <v>777</v>
      </c>
    </row>
    <row r="177" spans="1:19" x14ac:dyDescent="0.2">
      <c r="A177" s="18">
        <v>163</v>
      </c>
      <c r="B177" s="13" t="s">
        <v>303</v>
      </c>
      <c r="C177" s="13" t="s">
        <v>304</v>
      </c>
      <c r="D177" s="13">
        <v>1980</v>
      </c>
      <c r="E177" s="13">
        <v>1640</v>
      </c>
      <c r="F177" s="13">
        <v>65</v>
      </c>
      <c r="G177" s="13" t="s">
        <v>9</v>
      </c>
      <c r="H177" s="32" t="s">
        <v>647</v>
      </c>
      <c r="I177" s="33">
        <v>51.278095200000003</v>
      </c>
      <c r="J177" s="61">
        <v>35.804039000000003</v>
      </c>
      <c r="K177" s="72">
        <v>270</v>
      </c>
      <c r="L177" s="83"/>
      <c r="N177" s="148" t="s">
        <v>777</v>
      </c>
      <c r="O177" s="148" t="s">
        <v>777</v>
      </c>
      <c r="P177" s="148" t="s">
        <v>777</v>
      </c>
    </row>
    <row r="178" spans="1:19" ht="15.75" x14ac:dyDescent="0.25">
      <c r="A178" s="18">
        <v>164</v>
      </c>
      <c r="B178" s="13" t="s">
        <v>305</v>
      </c>
      <c r="C178" s="13" t="s">
        <v>306</v>
      </c>
      <c r="D178" s="13">
        <v>1973</v>
      </c>
      <c r="E178" s="13">
        <v>1569</v>
      </c>
      <c r="F178" s="13">
        <v>32</v>
      </c>
      <c r="G178" s="13" t="s">
        <v>9</v>
      </c>
      <c r="H178" s="32" t="s">
        <v>648</v>
      </c>
      <c r="I178" s="33">
        <v>51.252155299999998</v>
      </c>
      <c r="J178" s="61">
        <v>35.942260699999999</v>
      </c>
      <c r="K178" s="72">
        <v>271</v>
      </c>
      <c r="L178" s="83"/>
      <c r="N178" s="148" t="s">
        <v>777</v>
      </c>
      <c r="O178" s="174" t="s">
        <v>777</v>
      </c>
      <c r="P178" s="148" t="s">
        <v>777</v>
      </c>
      <c r="Q178" s="183" t="s">
        <v>1179</v>
      </c>
    </row>
    <row r="179" spans="1:19" x14ac:dyDescent="0.2">
      <c r="A179" s="18">
        <v>165</v>
      </c>
      <c r="B179" s="13" t="s">
        <v>307</v>
      </c>
      <c r="C179" s="13" t="s">
        <v>308</v>
      </c>
      <c r="D179" s="13">
        <v>1984</v>
      </c>
      <c r="E179" s="13">
        <v>1310</v>
      </c>
      <c r="F179" s="13">
        <v>44</v>
      </c>
      <c r="G179" s="13" t="s">
        <v>20</v>
      </c>
      <c r="H179" s="32" t="s">
        <v>649</v>
      </c>
      <c r="I179" s="32">
        <v>51.206321699999997</v>
      </c>
      <c r="J179" s="53">
        <v>35.950817100000002</v>
      </c>
      <c r="K179" s="72">
        <v>272</v>
      </c>
      <c r="L179" s="83"/>
      <c r="N179" s="148" t="s">
        <v>777</v>
      </c>
      <c r="O179" s="148" t="s">
        <v>777</v>
      </c>
      <c r="P179" s="148" t="s">
        <v>777</v>
      </c>
    </row>
    <row r="180" spans="1:19" ht="30" x14ac:dyDescent="0.2">
      <c r="A180" s="18">
        <v>166</v>
      </c>
      <c r="B180" s="13" t="s">
        <v>309</v>
      </c>
      <c r="C180" s="13" t="s">
        <v>310</v>
      </c>
      <c r="D180" s="13">
        <v>1984</v>
      </c>
      <c r="E180" s="13">
        <v>1500</v>
      </c>
      <c r="F180" s="13">
        <v>35</v>
      </c>
      <c r="G180" s="13" t="s">
        <v>117</v>
      </c>
      <c r="H180" s="190" t="s">
        <v>1191</v>
      </c>
      <c r="I180" s="32">
        <v>51.252204900000002</v>
      </c>
      <c r="J180" s="53">
        <v>36.1500244</v>
      </c>
      <c r="K180" s="72">
        <v>273</v>
      </c>
      <c r="L180" s="83"/>
      <c r="N180" s="148" t="s">
        <v>777</v>
      </c>
      <c r="O180" s="148" t="s">
        <v>777</v>
      </c>
      <c r="P180" s="148" t="s">
        <v>777</v>
      </c>
    </row>
    <row r="181" spans="1:19" ht="30" x14ac:dyDescent="0.25">
      <c r="A181" s="18">
        <v>167</v>
      </c>
      <c r="B181" s="13" t="s">
        <v>311</v>
      </c>
      <c r="C181" s="13" t="s">
        <v>312</v>
      </c>
      <c r="D181" s="13">
        <v>1980</v>
      </c>
      <c r="E181" s="13">
        <v>1800</v>
      </c>
      <c r="F181" s="13">
        <v>74</v>
      </c>
      <c r="G181" s="13" t="s">
        <v>9</v>
      </c>
      <c r="H181" s="32" t="s">
        <v>651</v>
      </c>
      <c r="I181" s="32">
        <v>51.298934899999999</v>
      </c>
      <c r="J181" s="53">
        <v>36.396896400000003</v>
      </c>
      <c r="K181" s="72">
        <v>274</v>
      </c>
      <c r="L181" s="83"/>
      <c r="N181" s="148" t="s">
        <v>777</v>
      </c>
      <c r="O181" s="174" t="s">
        <v>777</v>
      </c>
      <c r="P181" s="148" t="s">
        <v>777</v>
      </c>
      <c r="Q181" s="183" t="s">
        <v>1179</v>
      </c>
    </row>
    <row r="182" spans="1:19" ht="30" x14ac:dyDescent="0.3">
      <c r="A182" s="181">
        <v>168</v>
      </c>
      <c r="B182" s="86" t="s">
        <v>313</v>
      </c>
      <c r="C182" s="86" t="s">
        <v>314</v>
      </c>
      <c r="D182" s="86">
        <v>1976</v>
      </c>
      <c r="E182" s="86">
        <v>1060</v>
      </c>
      <c r="F182" s="86">
        <v>25</v>
      </c>
      <c r="G182" s="86" t="s">
        <v>9</v>
      </c>
      <c r="H182" s="190" t="s">
        <v>1191</v>
      </c>
      <c r="I182" s="92">
        <v>51.341155999999998</v>
      </c>
      <c r="J182" s="93">
        <v>36.289627099999997</v>
      </c>
      <c r="K182" s="94">
        <v>275</v>
      </c>
      <c r="L182" s="81" t="s">
        <v>768</v>
      </c>
      <c r="M182" s="2" t="s">
        <v>777</v>
      </c>
      <c r="N182" s="148" t="s">
        <v>777</v>
      </c>
      <c r="O182" s="148" t="s">
        <v>777</v>
      </c>
      <c r="P182" s="148" t="s">
        <v>777</v>
      </c>
      <c r="Q182" s="185"/>
      <c r="R182" s="42"/>
      <c r="S182" s="42"/>
    </row>
    <row r="183" spans="1:19" x14ac:dyDescent="0.2">
      <c r="A183" s="18">
        <v>169</v>
      </c>
      <c r="B183" s="13" t="s">
        <v>315</v>
      </c>
      <c r="C183" s="13" t="s">
        <v>316</v>
      </c>
      <c r="D183" s="13">
        <v>1995</v>
      </c>
      <c r="E183" s="13">
        <v>2260</v>
      </c>
      <c r="F183" s="13">
        <v>21</v>
      </c>
      <c r="G183" s="13" t="s">
        <v>9</v>
      </c>
      <c r="H183" s="32" t="s">
        <v>653</v>
      </c>
      <c r="I183" s="32">
        <v>51.223663299999998</v>
      </c>
      <c r="J183" s="53">
        <v>36.030246699999999</v>
      </c>
      <c r="K183" s="72">
        <v>276</v>
      </c>
      <c r="L183" s="83"/>
      <c r="N183" s="148" t="s">
        <v>777</v>
      </c>
      <c r="O183" s="148" t="s">
        <v>777</v>
      </c>
      <c r="P183" s="148" t="s">
        <v>777</v>
      </c>
    </row>
    <row r="184" spans="1:19" x14ac:dyDescent="0.2">
      <c r="A184" s="18">
        <v>170</v>
      </c>
      <c r="B184" s="13" t="s">
        <v>317</v>
      </c>
      <c r="C184" s="13" t="s">
        <v>318</v>
      </c>
      <c r="D184" s="13">
        <v>1981</v>
      </c>
      <c r="E184" s="13">
        <v>1370</v>
      </c>
      <c r="F184" s="13">
        <v>55</v>
      </c>
      <c r="G184" s="13" t="s">
        <v>20</v>
      </c>
      <c r="H184" s="32" t="s">
        <v>654</v>
      </c>
      <c r="I184" s="32">
        <v>51.197761499999999</v>
      </c>
      <c r="J184" s="53">
        <v>36.018142699999999</v>
      </c>
      <c r="K184" s="72">
        <v>277</v>
      </c>
      <c r="L184" s="83"/>
      <c r="N184" s="148" t="s">
        <v>777</v>
      </c>
      <c r="O184" s="112"/>
      <c r="P184" s="112"/>
    </row>
    <row r="185" spans="1:19" ht="30" x14ac:dyDescent="0.3">
      <c r="A185" s="18">
        <v>171</v>
      </c>
      <c r="B185" s="36" t="s">
        <v>319</v>
      </c>
      <c r="C185" s="36" t="s">
        <v>320</v>
      </c>
      <c r="D185" s="36">
        <v>1986</v>
      </c>
      <c r="E185" s="36">
        <v>580</v>
      </c>
      <c r="F185" s="37">
        <v>23</v>
      </c>
      <c r="G185" s="36" t="s">
        <v>117</v>
      </c>
      <c r="H185" s="190" t="s">
        <v>1191</v>
      </c>
      <c r="I185" s="142">
        <v>51.221859000000002</v>
      </c>
      <c r="J185" s="143">
        <v>36.282909400000001</v>
      </c>
      <c r="K185" s="72">
        <v>278</v>
      </c>
      <c r="L185" s="83"/>
      <c r="N185" s="148" t="s">
        <v>777</v>
      </c>
      <c r="O185" s="112"/>
      <c r="P185" s="112"/>
      <c r="Q185" s="176" t="s">
        <v>1183</v>
      </c>
      <c r="R185" s="172"/>
      <c r="S185" s="172"/>
    </row>
    <row r="186" spans="1:19" x14ac:dyDescent="0.2">
      <c r="A186" s="18">
        <v>172</v>
      </c>
      <c r="B186" s="13" t="s">
        <v>321</v>
      </c>
      <c r="C186" s="13" t="s">
        <v>322</v>
      </c>
      <c r="D186" s="13">
        <v>1982</v>
      </c>
      <c r="E186" s="13">
        <v>980</v>
      </c>
      <c r="F186" s="13">
        <v>27</v>
      </c>
      <c r="G186" s="13" t="s">
        <v>9</v>
      </c>
      <c r="H186" s="32" t="s">
        <v>655</v>
      </c>
      <c r="I186" s="32">
        <v>51.322730999999997</v>
      </c>
      <c r="J186" s="53">
        <v>36.1566963</v>
      </c>
      <c r="K186" s="72">
        <v>279</v>
      </c>
      <c r="L186" s="83"/>
      <c r="N186" s="148" t="s">
        <v>777</v>
      </c>
      <c r="O186" s="112"/>
      <c r="P186" s="112"/>
    </row>
    <row r="187" spans="1:19" x14ac:dyDescent="0.2">
      <c r="A187" s="18">
        <v>173</v>
      </c>
      <c r="B187" s="13" t="s">
        <v>323</v>
      </c>
      <c r="C187" s="13" t="s">
        <v>324</v>
      </c>
      <c r="D187" s="13">
        <v>1963</v>
      </c>
      <c r="E187" s="13">
        <v>700</v>
      </c>
      <c r="F187" s="13">
        <v>35</v>
      </c>
      <c r="G187" s="13" t="s">
        <v>20</v>
      </c>
      <c r="H187" s="32" t="s">
        <v>656</v>
      </c>
      <c r="I187" s="32">
        <v>51.250484499999999</v>
      </c>
      <c r="J187" s="53">
        <v>36.343559300000003</v>
      </c>
      <c r="K187" s="72">
        <v>281</v>
      </c>
      <c r="L187" s="83"/>
      <c r="N187" s="148" t="s">
        <v>777</v>
      </c>
      <c r="O187" s="112"/>
      <c r="P187" s="112"/>
    </row>
    <row r="188" spans="1:19" x14ac:dyDescent="0.2">
      <c r="A188" s="18">
        <v>174</v>
      </c>
      <c r="B188" s="13" t="s">
        <v>325</v>
      </c>
      <c r="C188" s="13" t="s">
        <v>326</v>
      </c>
      <c r="D188" s="13">
        <v>1982</v>
      </c>
      <c r="E188" s="13">
        <v>381</v>
      </c>
      <c r="F188" s="13">
        <v>13</v>
      </c>
      <c r="G188" s="13" t="s">
        <v>117</v>
      </c>
      <c r="H188" s="32" t="s">
        <v>657</v>
      </c>
      <c r="I188" s="32">
        <v>51.127654999999997</v>
      </c>
      <c r="J188" s="53">
        <v>36.362892199999997</v>
      </c>
      <c r="K188" s="72">
        <v>282</v>
      </c>
      <c r="L188" s="83"/>
      <c r="N188" s="148" t="s">
        <v>777</v>
      </c>
      <c r="O188" s="112"/>
      <c r="P188" s="112"/>
    </row>
    <row r="189" spans="1:19" x14ac:dyDescent="0.2">
      <c r="A189" s="18">
        <v>175</v>
      </c>
      <c r="B189" s="13" t="s">
        <v>327</v>
      </c>
      <c r="C189" s="13" t="s">
        <v>328</v>
      </c>
      <c r="D189" s="13">
        <v>1982</v>
      </c>
      <c r="E189" s="13">
        <v>240</v>
      </c>
      <c r="F189" s="13">
        <v>6</v>
      </c>
      <c r="G189" s="13" t="s">
        <v>127</v>
      </c>
      <c r="H189" s="32" t="s">
        <v>657</v>
      </c>
      <c r="I189" s="32">
        <v>51.121646900000002</v>
      </c>
      <c r="J189" s="53">
        <v>36.314849899999999</v>
      </c>
      <c r="K189" s="72">
        <v>283</v>
      </c>
      <c r="L189" s="83"/>
      <c r="N189" s="148" t="s">
        <v>777</v>
      </c>
      <c r="O189" s="112"/>
      <c r="P189" s="112"/>
    </row>
    <row r="190" spans="1:19" x14ac:dyDescent="0.2">
      <c r="A190" s="18">
        <v>176</v>
      </c>
      <c r="B190" s="13" t="s">
        <v>329</v>
      </c>
      <c r="C190" s="13" t="s">
        <v>328</v>
      </c>
      <c r="D190" s="13">
        <v>1982</v>
      </c>
      <c r="E190" s="13">
        <v>436</v>
      </c>
      <c r="F190" s="13">
        <v>17</v>
      </c>
      <c r="G190" s="13" t="s">
        <v>127</v>
      </c>
      <c r="H190" s="32" t="s">
        <v>658</v>
      </c>
      <c r="I190" s="32">
        <v>51.1327438</v>
      </c>
      <c r="J190" s="53">
        <v>36.339527099999998</v>
      </c>
      <c r="K190" s="72">
        <v>284</v>
      </c>
      <c r="L190" s="83"/>
      <c r="N190" s="148" t="s">
        <v>777</v>
      </c>
      <c r="O190" s="112"/>
      <c r="P190" s="112"/>
    </row>
    <row r="191" spans="1:19" x14ac:dyDescent="0.2">
      <c r="A191" s="18">
        <v>177</v>
      </c>
      <c r="B191" s="13" t="s">
        <v>330</v>
      </c>
      <c r="C191" s="13" t="s">
        <v>331</v>
      </c>
      <c r="D191" s="13">
        <v>1986</v>
      </c>
      <c r="E191" s="13">
        <v>229</v>
      </c>
      <c r="F191" s="13">
        <v>8</v>
      </c>
      <c r="G191" s="13" t="s">
        <v>9</v>
      </c>
      <c r="H191" s="32" t="s">
        <v>650</v>
      </c>
      <c r="I191" s="32">
        <v>51.264740000000003</v>
      </c>
      <c r="J191" s="53">
        <v>36.2283325</v>
      </c>
      <c r="K191" s="72">
        <v>285</v>
      </c>
      <c r="L191" s="83"/>
      <c r="N191" s="148" t="s">
        <v>777</v>
      </c>
      <c r="O191" s="112"/>
      <c r="P191" s="112"/>
    </row>
    <row r="192" spans="1:19" ht="15.75" x14ac:dyDescent="0.25">
      <c r="A192" s="18">
        <v>178</v>
      </c>
      <c r="B192" s="13" t="s">
        <v>332</v>
      </c>
      <c r="C192" s="13" t="s">
        <v>333</v>
      </c>
      <c r="D192" s="13" t="s">
        <v>27</v>
      </c>
      <c r="E192" s="13">
        <v>300</v>
      </c>
      <c r="F192" s="13">
        <v>19</v>
      </c>
      <c r="G192" s="13" t="s">
        <v>127</v>
      </c>
      <c r="H192" s="32" t="s">
        <v>650</v>
      </c>
      <c r="I192" s="32">
        <v>51.266860999999999</v>
      </c>
      <c r="J192" s="53">
        <v>36.161876700000001</v>
      </c>
      <c r="K192" s="72">
        <v>286</v>
      </c>
      <c r="L192" s="83"/>
      <c r="N192" s="148" t="s">
        <v>777</v>
      </c>
      <c r="O192" s="112"/>
      <c r="P192" s="112"/>
      <c r="Q192" s="173" t="s">
        <v>1184</v>
      </c>
      <c r="R192" s="172"/>
    </row>
    <row r="193" spans="1:16" x14ac:dyDescent="0.2">
      <c r="A193" s="18">
        <v>179</v>
      </c>
      <c r="B193" s="13" t="s">
        <v>334</v>
      </c>
      <c r="C193" s="13" t="s">
        <v>335</v>
      </c>
      <c r="D193" s="13" t="s">
        <v>27</v>
      </c>
      <c r="E193" s="13">
        <v>120</v>
      </c>
      <c r="F193" s="13">
        <v>8</v>
      </c>
      <c r="G193" s="13" t="s">
        <v>9</v>
      </c>
      <c r="H193" s="122" t="s">
        <v>1150</v>
      </c>
      <c r="I193" s="32">
        <v>51.276775399999998</v>
      </c>
      <c r="J193" s="53">
        <v>36.090541799999997</v>
      </c>
      <c r="K193" s="72">
        <v>287</v>
      </c>
      <c r="L193" s="83"/>
      <c r="N193" s="148" t="s">
        <v>777</v>
      </c>
      <c r="O193" s="112"/>
      <c r="P193" s="112"/>
    </row>
    <row r="194" spans="1:16" x14ac:dyDescent="0.2">
      <c r="A194" s="18">
        <v>180</v>
      </c>
      <c r="B194" s="13" t="s">
        <v>334</v>
      </c>
      <c r="C194" s="13" t="s">
        <v>336</v>
      </c>
      <c r="D194" s="13">
        <v>1988</v>
      </c>
      <c r="E194" s="13">
        <v>400</v>
      </c>
      <c r="F194" s="13">
        <v>35</v>
      </c>
      <c r="G194" s="13" t="s">
        <v>9</v>
      </c>
      <c r="H194" s="122" t="s">
        <v>1149</v>
      </c>
      <c r="I194" s="32">
        <v>51.239975000000001</v>
      </c>
      <c r="J194" s="53">
        <v>36.0949898</v>
      </c>
      <c r="K194" s="72">
        <v>288</v>
      </c>
      <c r="L194" s="83"/>
      <c r="N194" s="148" t="s">
        <v>777</v>
      </c>
      <c r="O194" s="112"/>
      <c r="P194" s="112"/>
    </row>
    <row r="195" spans="1:16" ht="15.75" thickBot="1" x14ac:dyDescent="0.25">
      <c r="A195" s="35">
        <v>181</v>
      </c>
      <c r="B195" s="14" t="s">
        <v>332</v>
      </c>
      <c r="C195" s="14" t="s">
        <v>337</v>
      </c>
      <c r="D195" s="14" t="s">
        <v>27</v>
      </c>
      <c r="E195" s="14" t="s">
        <v>27</v>
      </c>
      <c r="F195" s="14" t="s">
        <v>27</v>
      </c>
      <c r="G195" s="14" t="s">
        <v>20</v>
      </c>
      <c r="H195" s="38" t="s">
        <v>659</v>
      </c>
      <c r="I195" s="38">
        <v>51.201225299999997</v>
      </c>
      <c r="J195" s="55">
        <v>36.145584100000001</v>
      </c>
      <c r="K195" s="72">
        <v>289</v>
      </c>
      <c r="L195" s="83"/>
      <c r="N195" s="148" t="s">
        <v>777</v>
      </c>
      <c r="O195" s="112"/>
      <c r="P195" s="112"/>
    </row>
    <row r="196" spans="1:16" ht="15.75" thickBot="1" x14ac:dyDescent="0.25">
      <c r="A196" s="193" t="s">
        <v>338</v>
      </c>
      <c r="B196" s="194"/>
      <c r="C196" s="194"/>
      <c r="D196" s="194"/>
      <c r="E196" s="194"/>
      <c r="F196" s="194"/>
      <c r="G196" s="194"/>
      <c r="H196" s="194"/>
      <c r="I196" s="194"/>
      <c r="J196" s="194"/>
      <c r="K196" s="67"/>
      <c r="L196" s="83"/>
      <c r="N196" s="112"/>
      <c r="O196" s="112"/>
      <c r="P196" s="112"/>
    </row>
    <row r="197" spans="1:16" x14ac:dyDescent="0.2">
      <c r="A197" s="18">
        <v>182</v>
      </c>
      <c r="B197" s="18" t="s">
        <v>339</v>
      </c>
      <c r="C197" s="18" t="s">
        <v>340</v>
      </c>
      <c r="D197" s="18">
        <v>1980</v>
      </c>
      <c r="E197" s="18">
        <v>2990</v>
      </c>
      <c r="F197" s="18">
        <v>109</v>
      </c>
      <c r="G197" s="18" t="s">
        <v>20</v>
      </c>
      <c r="H197" s="122" t="s">
        <v>660</v>
      </c>
      <c r="I197" s="33">
        <v>51.739246399999999</v>
      </c>
      <c r="J197" s="61">
        <v>35.822444900000001</v>
      </c>
      <c r="K197" s="73">
        <v>290</v>
      </c>
      <c r="L197" s="83"/>
      <c r="N197" s="148" t="s">
        <v>777</v>
      </c>
      <c r="O197" s="112"/>
      <c r="P197" s="112"/>
    </row>
    <row r="198" spans="1:16" x14ac:dyDescent="0.2">
      <c r="A198" s="181">
        <v>183</v>
      </c>
      <c r="B198" s="86" t="s">
        <v>341</v>
      </c>
      <c r="C198" s="86" t="s">
        <v>342</v>
      </c>
      <c r="D198" s="86">
        <v>1980</v>
      </c>
      <c r="E198" s="86">
        <v>2370</v>
      </c>
      <c r="F198" s="86">
        <v>63</v>
      </c>
      <c r="G198" s="86" t="s">
        <v>20</v>
      </c>
      <c r="H198" s="122" t="s">
        <v>661</v>
      </c>
      <c r="I198" s="92" t="s">
        <v>662</v>
      </c>
      <c r="J198" s="93" t="s">
        <v>663</v>
      </c>
      <c r="K198" s="94">
        <v>291</v>
      </c>
      <c r="L198" s="81" t="s">
        <v>765</v>
      </c>
      <c r="M198" s="2" t="s">
        <v>777</v>
      </c>
      <c r="N198" s="148" t="s">
        <v>777</v>
      </c>
      <c r="O198" s="112"/>
      <c r="P198" s="112"/>
    </row>
    <row r="199" spans="1:16" x14ac:dyDescent="0.2">
      <c r="A199" s="18">
        <v>184</v>
      </c>
      <c r="B199" s="13" t="s">
        <v>343</v>
      </c>
      <c r="C199" s="13" t="s">
        <v>103</v>
      </c>
      <c r="D199" s="13">
        <v>1985</v>
      </c>
      <c r="E199" s="13">
        <v>3120</v>
      </c>
      <c r="F199" s="13">
        <v>112</v>
      </c>
      <c r="G199" s="13" t="s">
        <v>20</v>
      </c>
      <c r="H199" s="122" t="s">
        <v>664</v>
      </c>
      <c r="I199" s="33">
        <v>51.542614</v>
      </c>
      <c r="J199" s="61">
        <v>35.932563799999997</v>
      </c>
      <c r="K199" s="73">
        <v>292</v>
      </c>
      <c r="L199" s="83"/>
      <c r="N199" s="148" t="s">
        <v>777</v>
      </c>
      <c r="O199" s="112"/>
      <c r="P199" s="112"/>
    </row>
    <row r="200" spans="1:16" x14ac:dyDescent="0.2">
      <c r="A200" s="18">
        <v>185</v>
      </c>
      <c r="B200" s="13" t="s">
        <v>344</v>
      </c>
      <c r="C200" s="13" t="s">
        <v>345</v>
      </c>
      <c r="D200" s="13">
        <v>1975</v>
      </c>
      <c r="E200" s="13">
        <v>1060</v>
      </c>
      <c r="F200" s="13">
        <v>52</v>
      </c>
      <c r="G200" s="13" t="s">
        <v>9</v>
      </c>
      <c r="H200" s="122" t="s">
        <v>665</v>
      </c>
      <c r="I200" s="33">
        <v>51.595931999999998</v>
      </c>
      <c r="J200" s="61">
        <v>35.769920300000003</v>
      </c>
      <c r="K200" s="73">
        <v>293</v>
      </c>
      <c r="L200" s="83"/>
      <c r="N200" s="148" t="s">
        <v>777</v>
      </c>
      <c r="O200" s="112"/>
      <c r="P200" s="112"/>
    </row>
    <row r="201" spans="1:16" x14ac:dyDescent="0.2">
      <c r="A201" s="18">
        <v>186</v>
      </c>
      <c r="B201" s="13" t="s">
        <v>346</v>
      </c>
      <c r="C201" s="13" t="s">
        <v>347</v>
      </c>
      <c r="D201" s="13">
        <v>1974</v>
      </c>
      <c r="E201" s="13">
        <v>485</v>
      </c>
      <c r="F201" s="13">
        <v>16</v>
      </c>
      <c r="G201" s="13" t="s">
        <v>117</v>
      </c>
      <c r="H201" s="122" t="s">
        <v>1111</v>
      </c>
      <c r="I201" s="33">
        <v>51.598953199999997</v>
      </c>
      <c r="J201" s="61">
        <v>35.889545400000003</v>
      </c>
      <c r="K201" s="73">
        <v>294</v>
      </c>
      <c r="L201" s="83"/>
      <c r="N201" s="148" t="s">
        <v>777</v>
      </c>
      <c r="O201" s="112"/>
      <c r="P201" s="112"/>
    </row>
    <row r="202" spans="1:16" x14ac:dyDescent="0.2">
      <c r="A202" s="18">
        <v>187</v>
      </c>
      <c r="B202" s="13" t="s">
        <v>348</v>
      </c>
      <c r="C202" s="13" t="s">
        <v>349</v>
      </c>
      <c r="D202" s="13">
        <v>1961</v>
      </c>
      <c r="E202" s="13">
        <v>120</v>
      </c>
      <c r="F202" s="13">
        <v>8</v>
      </c>
      <c r="G202" s="13" t="s">
        <v>9</v>
      </c>
      <c r="H202" s="122" t="s">
        <v>666</v>
      </c>
      <c r="I202" s="33">
        <v>51.627487199999997</v>
      </c>
      <c r="J202" s="61">
        <v>35.8259659</v>
      </c>
      <c r="K202" s="73">
        <v>295</v>
      </c>
      <c r="L202" s="83"/>
      <c r="N202" s="148" t="s">
        <v>777</v>
      </c>
      <c r="O202" s="148" t="s">
        <v>777</v>
      </c>
      <c r="P202" s="148" t="s">
        <v>777</v>
      </c>
    </row>
    <row r="203" spans="1:16" x14ac:dyDescent="0.2">
      <c r="A203" s="18">
        <v>188</v>
      </c>
      <c r="B203" s="13" t="s">
        <v>350</v>
      </c>
      <c r="C203" s="13" t="s">
        <v>351</v>
      </c>
      <c r="D203" s="13">
        <v>1950</v>
      </c>
      <c r="E203" s="13">
        <v>180</v>
      </c>
      <c r="F203" s="13">
        <v>12</v>
      </c>
      <c r="G203" s="13" t="s">
        <v>117</v>
      </c>
      <c r="H203" s="122" t="s">
        <v>1115</v>
      </c>
      <c r="I203" s="33">
        <v>51.7305603</v>
      </c>
      <c r="J203" s="61">
        <v>35.813854200000002</v>
      </c>
      <c r="K203" s="73">
        <v>296</v>
      </c>
      <c r="L203" s="83"/>
      <c r="N203" s="148" t="s">
        <v>777</v>
      </c>
      <c r="O203" s="112"/>
      <c r="P203" s="112"/>
    </row>
    <row r="204" spans="1:16" ht="30" x14ac:dyDescent="0.2">
      <c r="A204" s="133">
        <v>189</v>
      </c>
      <c r="B204" s="134" t="s">
        <v>352</v>
      </c>
      <c r="C204" s="134" t="s">
        <v>353</v>
      </c>
      <c r="D204" s="134">
        <v>1970</v>
      </c>
      <c r="E204" s="134">
        <v>200</v>
      </c>
      <c r="F204" s="134">
        <v>16</v>
      </c>
      <c r="G204" s="134" t="s">
        <v>9</v>
      </c>
      <c r="H204" s="135" t="s">
        <v>667</v>
      </c>
      <c r="I204" s="135" t="s">
        <v>668</v>
      </c>
      <c r="J204" s="136" t="s">
        <v>669</v>
      </c>
      <c r="K204" s="137">
        <v>297</v>
      </c>
      <c r="L204" s="138" t="s">
        <v>765</v>
      </c>
      <c r="M204" s="2" t="s">
        <v>777</v>
      </c>
      <c r="N204" s="112"/>
      <c r="O204" s="112"/>
      <c r="P204" s="112"/>
    </row>
    <row r="205" spans="1:16" x14ac:dyDescent="0.2">
      <c r="A205" s="18">
        <v>190</v>
      </c>
      <c r="B205" s="13" t="s">
        <v>354</v>
      </c>
      <c r="C205" s="13" t="s">
        <v>355</v>
      </c>
      <c r="D205" s="13">
        <v>1950</v>
      </c>
      <c r="E205" s="13">
        <v>180</v>
      </c>
      <c r="F205" s="13">
        <v>12</v>
      </c>
      <c r="G205" s="13" t="s">
        <v>117</v>
      </c>
      <c r="H205" s="122" t="s">
        <v>670</v>
      </c>
      <c r="I205" s="33">
        <v>51.802416999999998</v>
      </c>
      <c r="J205" s="61">
        <v>35.850628999999998</v>
      </c>
      <c r="K205" s="73">
        <v>298</v>
      </c>
      <c r="L205" s="83"/>
      <c r="N205" s="148" t="s">
        <v>777</v>
      </c>
      <c r="O205" s="112"/>
      <c r="P205" s="112"/>
    </row>
    <row r="206" spans="1:16" x14ac:dyDescent="0.2">
      <c r="A206" s="181">
        <v>191</v>
      </c>
      <c r="B206" s="86" t="s">
        <v>356</v>
      </c>
      <c r="C206" s="86" t="s">
        <v>357</v>
      </c>
      <c r="D206" s="86">
        <v>1985</v>
      </c>
      <c r="E206" s="86">
        <v>189</v>
      </c>
      <c r="F206" s="86">
        <v>6</v>
      </c>
      <c r="G206" s="86" t="s">
        <v>17</v>
      </c>
      <c r="H206" s="122" t="s">
        <v>671</v>
      </c>
      <c r="I206" s="92" t="s">
        <v>672</v>
      </c>
      <c r="J206" s="93" t="s">
        <v>673</v>
      </c>
      <c r="K206" s="94">
        <v>299</v>
      </c>
      <c r="L206" s="81" t="s">
        <v>765</v>
      </c>
      <c r="M206" s="2" t="s">
        <v>777</v>
      </c>
      <c r="N206" s="148" t="s">
        <v>777</v>
      </c>
      <c r="O206" s="112"/>
      <c r="P206" s="112"/>
    </row>
    <row r="207" spans="1:16" ht="77.25" thickBot="1" x14ac:dyDescent="0.25">
      <c r="A207" s="39">
        <v>192</v>
      </c>
      <c r="B207" s="24" t="s">
        <v>358</v>
      </c>
      <c r="C207" s="24" t="s">
        <v>359</v>
      </c>
      <c r="D207" s="24">
        <v>2021</v>
      </c>
      <c r="E207" s="24">
        <v>122.6</v>
      </c>
      <c r="F207" s="24">
        <v>9.1999999999999993</v>
      </c>
      <c r="G207" s="24" t="s">
        <v>20</v>
      </c>
      <c r="H207" s="145" t="s">
        <v>1116</v>
      </c>
      <c r="I207" s="146" t="s">
        <v>1142</v>
      </c>
      <c r="J207" s="147" t="s">
        <v>1143</v>
      </c>
      <c r="K207" s="66" t="s">
        <v>561</v>
      </c>
      <c r="L207" s="124" t="s">
        <v>1138</v>
      </c>
      <c r="M207" s="2" t="s">
        <v>777</v>
      </c>
      <c r="N207" s="148" t="s">
        <v>777</v>
      </c>
      <c r="O207" s="114"/>
      <c r="P207" s="114"/>
    </row>
    <row r="208" spans="1:16" ht="15.75" thickBot="1" x14ac:dyDescent="0.25">
      <c r="A208" s="209" t="s">
        <v>360</v>
      </c>
      <c r="B208" s="210"/>
      <c r="C208" s="210"/>
      <c r="D208" s="210"/>
      <c r="E208" s="210"/>
      <c r="F208" s="210"/>
      <c r="G208" s="210"/>
      <c r="H208" s="210"/>
      <c r="I208" s="210"/>
      <c r="J208" s="210"/>
      <c r="K208" s="67"/>
      <c r="L208" s="83"/>
      <c r="N208" s="112"/>
      <c r="O208" s="112"/>
      <c r="P208" s="112"/>
    </row>
    <row r="209" spans="1:16" x14ac:dyDescent="0.2">
      <c r="A209" s="18">
        <v>193</v>
      </c>
      <c r="B209" s="18" t="s">
        <v>361</v>
      </c>
      <c r="C209" s="18" t="s">
        <v>362</v>
      </c>
      <c r="D209" s="18">
        <v>1983</v>
      </c>
      <c r="E209" s="18">
        <v>1350</v>
      </c>
      <c r="F209" s="18">
        <v>34</v>
      </c>
      <c r="G209" s="18" t="s">
        <v>9</v>
      </c>
      <c r="H209" s="32" t="s">
        <v>674</v>
      </c>
      <c r="I209" s="32">
        <v>52.177089700000003</v>
      </c>
      <c r="J209" s="53">
        <v>36.365802799999997</v>
      </c>
      <c r="K209" s="67">
        <v>303</v>
      </c>
      <c r="L209" s="83"/>
      <c r="N209" s="148" t="s">
        <v>777</v>
      </c>
      <c r="O209" s="112"/>
      <c r="P209" s="112"/>
    </row>
    <row r="210" spans="1:16" x14ac:dyDescent="0.2">
      <c r="A210" s="18">
        <v>194</v>
      </c>
      <c r="B210" s="13" t="s">
        <v>50</v>
      </c>
      <c r="C210" s="13" t="s">
        <v>363</v>
      </c>
      <c r="D210" s="13">
        <v>1976</v>
      </c>
      <c r="E210" s="13">
        <v>512</v>
      </c>
      <c r="F210" s="13">
        <v>10</v>
      </c>
      <c r="G210" s="13" t="s">
        <v>9</v>
      </c>
      <c r="H210" s="122" t="s">
        <v>675</v>
      </c>
      <c r="I210" s="32">
        <v>52.277351400000001</v>
      </c>
      <c r="J210" s="53">
        <v>35.998260500000001</v>
      </c>
      <c r="K210" s="67">
        <v>306</v>
      </c>
      <c r="L210" s="83"/>
      <c r="N210" s="148" t="s">
        <v>777</v>
      </c>
      <c r="O210" s="112"/>
      <c r="P210" s="112"/>
    </row>
    <row r="211" spans="1:16" x14ac:dyDescent="0.2">
      <c r="A211" s="18">
        <v>195</v>
      </c>
      <c r="B211" s="13" t="s">
        <v>364</v>
      </c>
      <c r="C211" s="13" t="s">
        <v>365</v>
      </c>
      <c r="D211" s="13">
        <v>1972</v>
      </c>
      <c r="E211" s="13">
        <v>710</v>
      </c>
      <c r="F211" s="13">
        <v>16</v>
      </c>
      <c r="G211" s="13" t="s">
        <v>9</v>
      </c>
      <c r="H211" s="32" t="s">
        <v>675</v>
      </c>
      <c r="I211" s="32">
        <v>52.270416300000001</v>
      </c>
      <c r="J211" s="53">
        <v>36.111278499999997</v>
      </c>
      <c r="K211" s="67">
        <v>307</v>
      </c>
      <c r="L211" s="83"/>
      <c r="N211" s="148" t="s">
        <v>777</v>
      </c>
      <c r="O211" s="112"/>
      <c r="P211" s="112"/>
    </row>
    <row r="212" spans="1:16" ht="30" x14ac:dyDescent="0.2">
      <c r="A212" s="18">
        <v>196</v>
      </c>
      <c r="B212" s="13" t="s">
        <v>69</v>
      </c>
      <c r="C212" s="13" t="s">
        <v>366</v>
      </c>
      <c r="D212" s="13">
        <v>1978</v>
      </c>
      <c r="E212" s="13">
        <v>870</v>
      </c>
      <c r="F212" s="13">
        <v>35</v>
      </c>
      <c r="G212" s="13" t="s">
        <v>9</v>
      </c>
      <c r="H212" s="32" t="s">
        <v>676</v>
      </c>
      <c r="I212" s="32" t="s">
        <v>677</v>
      </c>
      <c r="J212" s="53" t="s">
        <v>678</v>
      </c>
      <c r="K212" s="67">
        <v>300</v>
      </c>
      <c r="L212" s="83"/>
      <c r="N212" s="148" t="s">
        <v>777</v>
      </c>
      <c r="O212" s="112"/>
      <c r="P212" s="112"/>
    </row>
    <row r="213" spans="1:16" x14ac:dyDescent="0.2">
      <c r="A213" s="18">
        <v>197</v>
      </c>
      <c r="B213" s="13" t="s">
        <v>367</v>
      </c>
      <c r="C213" s="13" t="s">
        <v>368</v>
      </c>
      <c r="D213" s="13">
        <v>1976</v>
      </c>
      <c r="E213" s="13">
        <v>708</v>
      </c>
      <c r="F213" s="13">
        <v>12</v>
      </c>
      <c r="G213" s="13" t="s">
        <v>9</v>
      </c>
      <c r="H213" s="32" t="s">
        <v>679</v>
      </c>
      <c r="I213" s="32">
        <v>52.248809799999997</v>
      </c>
      <c r="J213" s="53">
        <v>36.361660000000001</v>
      </c>
      <c r="K213" s="67">
        <v>301</v>
      </c>
      <c r="L213" s="83"/>
      <c r="N213" s="148" t="s">
        <v>777</v>
      </c>
      <c r="O213" s="112"/>
      <c r="P213" s="112"/>
    </row>
    <row r="214" spans="1:16" x14ac:dyDescent="0.2">
      <c r="A214" s="18">
        <v>198</v>
      </c>
      <c r="B214" s="13" t="s">
        <v>369</v>
      </c>
      <c r="C214" s="13" t="s">
        <v>370</v>
      </c>
      <c r="D214" s="13">
        <v>1981</v>
      </c>
      <c r="E214" s="13">
        <v>940</v>
      </c>
      <c r="F214" s="13">
        <v>37</v>
      </c>
      <c r="G214" s="13" t="s">
        <v>9</v>
      </c>
      <c r="H214" s="122" t="s">
        <v>1134</v>
      </c>
      <c r="I214" s="32">
        <v>52.218372299999999</v>
      </c>
      <c r="J214" s="53">
        <v>36.322124500000001</v>
      </c>
      <c r="K214" s="67">
        <v>304</v>
      </c>
      <c r="L214" s="83"/>
      <c r="N214" s="148" t="s">
        <v>777</v>
      </c>
      <c r="O214" s="148" t="s">
        <v>777</v>
      </c>
      <c r="P214" s="148" t="s">
        <v>777</v>
      </c>
    </row>
    <row r="215" spans="1:16" x14ac:dyDescent="0.2">
      <c r="A215" s="181">
        <v>199</v>
      </c>
      <c r="B215" s="86" t="s">
        <v>371</v>
      </c>
      <c r="C215" s="86" t="s">
        <v>372</v>
      </c>
      <c r="D215" s="86">
        <v>1988</v>
      </c>
      <c r="E215" s="86">
        <v>900</v>
      </c>
      <c r="F215" s="86">
        <v>32</v>
      </c>
      <c r="G215" s="86" t="s">
        <v>20</v>
      </c>
      <c r="H215" s="92" t="s">
        <v>1135</v>
      </c>
      <c r="I215" s="92">
        <v>52.187587700000002</v>
      </c>
      <c r="J215" s="93">
        <v>36.433563200000002</v>
      </c>
      <c r="K215" s="87">
        <v>305</v>
      </c>
      <c r="L215" s="81" t="s">
        <v>769</v>
      </c>
      <c r="M215" s="2" t="s">
        <v>777</v>
      </c>
      <c r="N215" s="148" t="s">
        <v>777</v>
      </c>
      <c r="O215" s="148" t="s">
        <v>777</v>
      </c>
      <c r="P215" s="148" t="s">
        <v>777</v>
      </c>
    </row>
    <row r="216" spans="1:16" ht="30" x14ac:dyDescent="0.2">
      <c r="A216" s="18">
        <v>200</v>
      </c>
      <c r="B216" s="13" t="s">
        <v>373</v>
      </c>
      <c r="C216" s="13" t="s">
        <v>374</v>
      </c>
      <c r="D216" s="13">
        <v>1978</v>
      </c>
      <c r="E216" s="13">
        <v>360</v>
      </c>
      <c r="F216" s="13">
        <v>15</v>
      </c>
      <c r="G216" s="13" t="s">
        <v>117</v>
      </c>
      <c r="H216" s="122" t="s">
        <v>1136</v>
      </c>
      <c r="I216" s="32">
        <v>52.310867299999998</v>
      </c>
      <c r="J216" s="53">
        <v>36.253097500000003</v>
      </c>
      <c r="K216" s="67">
        <v>308</v>
      </c>
      <c r="L216" s="83"/>
      <c r="N216" s="148" t="s">
        <v>777</v>
      </c>
      <c r="O216" s="112"/>
      <c r="P216" s="112"/>
    </row>
    <row r="217" spans="1:16" ht="30.75" thickBot="1" x14ac:dyDescent="0.25">
      <c r="A217" s="35">
        <v>201</v>
      </c>
      <c r="B217" s="14" t="s">
        <v>56</v>
      </c>
      <c r="C217" s="14" t="s">
        <v>375</v>
      </c>
      <c r="D217" s="14">
        <v>1947</v>
      </c>
      <c r="E217" s="14">
        <v>120</v>
      </c>
      <c r="F217" s="14">
        <v>8</v>
      </c>
      <c r="G217" s="14" t="s">
        <v>9</v>
      </c>
      <c r="H217" s="38" t="s">
        <v>680</v>
      </c>
      <c r="I217" s="38">
        <v>52.292392700000001</v>
      </c>
      <c r="J217" s="55">
        <v>36.240077999999997</v>
      </c>
      <c r="K217" s="67">
        <v>302</v>
      </c>
      <c r="L217" s="83"/>
      <c r="N217" s="148" t="s">
        <v>777</v>
      </c>
      <c r="O217" s="112"/>
      <c r="P217" s="112"/>
    </row>
    <row r="218" spans="1:16" ht="15.75" thickBot="1" x14ac:dyDescent="0.25">
      <c r="A218" s="193" t="s">
        <v>376</v>
      </c>
      <c r="B218" s="194"/>
      <c r="C218" s="194"/>
      <c r="D218" s="194"/>
      <c r="E218" s="194"/>
      <c r="F218" s="194"/>
      <c r="G218" s="194"/>
      <c r="H218" s="194"/>
      <c r="I218" s="194"/>
      <c r="J218" s="194"/>
      <c r="K218" s="67"/>
      <c r="L218" s="83"/>
      <c r="N218" s="112"/>
      <c r="O218" s="112"/>
      <c r="P218" s="112"/>
    </row>
    <row r="219" spans="1:16" x14ac:dyDescent="0.2">
      <c r="A219" s="18">
        <v>202</v>
      </c>
      <c r="B219" s="18" t="s">
        <v>377</v>
      </c>
      <c r="C219" s="18" t="s">
        <v>378</v>
      </c>
      <c r="D219" s="18">
        <v>1965</v>
      </c>
      <c r="E219" s="18">
        <v>1433</v>
      </c>
      <c r="F219" s="18">
        <v>43</v>
      </c>
      <c r="G219" s="18" t="s">
        <v>20</v>
      </c>
      <c r="H219" s="32" t="s">
        <v>681</v>
      </c>
      <c r="I219" s="32">
        <v>51.274707800000002</v>
      </c>
      <c r="J219" s="53">
        <v>36.532482100000003</v>
      </c>
      <c r="K219" s="72">
        <v>309</v>
      </c>
      <c r="L219" s="83"/>
      <c r="N219" s="148" t="s">
        <v>777</v>
      </c>
      <c r="O219" s="148" t="s">
        <v>777</v>
      </c>
      <c r="P219" s="148" t="s">
        <v>777</v>
      </c>
    </row>
    <row r="220" spans="1:16" x14ac:dyDescent="0.2">
      <c r="A220" s="18">
        <v>203</v>
      </c>
      <c r="B220" s="13" t="s">
        <v>379</v>
      </c>
      <c r="C220" s="13" t="s">
        <v>380</v>
      </c>
      <c r="D220" s="13">
        <v>1977</v>
      </c>
      <c r="E220" s="13">
        <v>1550</v>
      </c>
      <c r="F220" s="13">
        <v>42</v>
      </c>
      <c r="G220" s="13" t="s">
        <v>9</v>
      </c>
      <c r="H220" s="32" t="s">
        <v>682</v>
      </c>
      <c r="I220" s="32">
        <v>51.223655700000002</v>
      </c>
      <c r="J220" s="53">
        <v>36.998706800000001</v>
      </c>
      <c r="K220" s="72">
        <v>310</v>
      </c>
      <c r="L220" s="83"/>
      <c r="N220" s="148" t="s">
        <v>777</v>
      </c>
      <c r="O220" s="112"/>
      <c r="P220" s="112"/>
    </row>
    <row r="221" spans="1:16" x14ac:dyDescent="0.2">
      <c r="A221" s="18">
        <v>204</v>
      </c>
      <c r="B221" s="13" t="s">
        <v>381</v>
      </c>
      <c r="C221" s="13" t="s">
        <v>382</v>
      </c>
      <c r="D221" s="13">
        <v>1961</v>
      </c>
      <c r="E221" s="13">
        <v>1850</v>
      </c>
      <c r="F221" s="13">
        <v>79</v>
      </c>
      <c r="G221" s="13" t="s">
        <v>9</v>
      </c>
      <c r="H221" s="32" t="s">
        <v>683</v>
      </c>
      <c r="I221" s="32">
        <v>51.294391599999997</v>
      </c>
      <c r="J221" s="53">
        <v>36.695442200000002</v>
      </c>
      <c r="K221" s="72">
        <v>311</v>
      </c>
      <c r="L221" s="83"/>
      <c r="N221" s="148" t="s">
        <v>777</v>
      </c>
      <c r="O221" s="148" t="s">
        <v>777</v>
      </c>
      <c r="P221" s="148" t="s">
        <v>777</v>
      </c>
    </row>
    <row r="222" spans="1:16" x14ac:dyDescent="0.2">
      <c r="A222" s="18">
        <v>205</v>
      </c>
      <c r="B222" s="13" t="s">
        <v>628</v>
      </c>
      <c r="C222" s="13" t="s">
        <v>383</v>
      </c>
      <c r="D222" s="13">
        <v>1963</v>
      </c>
      <c r="E222" s="13">
        <v>1400</v>
      </c>
      <c r="F222" s="13">
        <v>55</v>
      </c>
      <c r="G222" s="13" t="s">
        <v>20</v>
      </c>
      <c r="H222" s="32" t="s">
        <v>684</v>
      </c>
      <c r="I222" s="32">
        <v>51.326038400000002</v>
      </c>
      <c r="J222" s="53">
        <v>36.448638899999999</v>
      </c>
      <c r="K222" s="72">
        <v>312</v>
      </c>
      <c r="L222" s="83"/>
      <c r="N222" s="148" t="s">
        <v>777</v>
      </c>
      <c r="O222" s="148" t="s">
        <v>777</v>
      </c>
      <c r="P222" s="148" t="s">
        <v>777</v>
      </c>
    </row>
    <row r="223" spans="1:16" x14ac:dyDescent="0.2">
      <c r="A223" s="18">
        <v>206</v>
      </c>
      <c r="B223" s="13" t="s">
        <v>384</v>
      </c>
      <c r="C223" s="13" t="s">
        <v>385</v>
      </c>
      <c r="D223" s="13">
        <v>1963</v>
      </c>
      <c r="E223" s="13">
        <v>863</v>
      </c>
      <c r="F223" s="13">
        <v>50</v>
      </c>
      <c r="G223" s="13" t="s">
        <v>20</v>
      </c>
      <c r="H223" s="32" t="s">
        <v>681</v>
      </c>
      <c r="I223" s="32">
        <v>51.223911299999997</v>
      </c>
      <c r="J223" s="53">
        <v>36.527008100000003</v>
      </c>
      <c r="K223" s="72">
        <v>313</v>
      </c>
      <c r="L223" s="83"/>
      <c r="N223" s="148" t="s">
        <v>777</v>
      </c>
      <c r="O223" s="148" t="s">
        <v>777</v>
      </c>
      <c r="P223" s="148" t="s">
        <v>777</v>
      </c>
    </row>
    <row r="224" spans="1:16" x14ac:dyDescent="0.2">
      <c r="A224" s="18">
        <v>207</v>
      </c>
      <c r="B224" s="13" t="s">
        <v>56</v>
      </c>
      <c r="C224" s="13" t="s">
        <v>386</v>
      </c>
      <c r="D224" s="13">
        <v>1997</v>
      </c>
      <c r="E224" s="13">
        <v>660</v>
      </c>
      <c r="F224" s="13">
        <v>20</v>
      </c>
      <c r="G224" s="13" t="s">
        <v>9</v>
      </c>
      <c r="H224" s="32" t="s">
        <v>685</v>
      </c>
      <c r="I224" s="32">
        <v>51.184455900000003</v>
      </c>
      <c r="J224" s="53">
        <v>36.734912899999998</v>
      </c>
      <c r="K224" s="72">
        <v>314</v>
      </c>
      <c r="L224" s="83"/>
      <c r="N224" s="148" t="s">
        <v>777</v>
      </c>
      <c r="O224" s="112"/>
      <c r="P224" s="112"/>
    </row>
    <row r="225" spans="1:16" x14ac:dyDescent="0.2">
      <c r="A225" s="18">
        <v>208</v>
      </c>
      <c r="B225" s="13" t="s">
        <v>56</v>
      </c>
      <c r="C225" s="13" t="s">
        <v>386</v>
      </c>
      <c r="D225" s="13" t="s">
        <v>387</v>
      </c>
      <c r="E225" s="13">
        <v>142</v>
      </c>
      <c r="F225" s="13">
        <v>7</v>
      </c>
      <c r="G225" s="13" t="s">
        <v>117</v>
      </c>
      <c r="H225" s="32" t="s">
        <v>685</v>
      </c>
      <c r="I225" s="32">
        <v>51.168975799999998</v>
      </c>
      <c r="J225" s="53">
        <v>36.733543400000002</v>
      </c>
      <c r="K225" s="72">
        <v>315</v>
      </c>
      <c r="L225" s="83"/>
      <c r="N225" s="148" t="s">
        <v>777</v>
      </c>
      <c r="O225" s="112"/>
      <c r="P225" s="112"/>
    </row>
    <row r="226" spans="1:16" x14ac:dyDescent="0.2">
      <c r="A226" s="18">
        <v>209</v>
      </c>
      <c r="B226" s="13" t="s">
        <v>388</v>
      </c>
      <c r="C226" s="13" t="s">
        <v>389</v>
      </c>
      <c r="D226" s="13">
        <v>1954</v>
      </c>
      <c r="E226" s="13">
        <v>710</v>
      </c>
      <c r="F226" s="13">
        <v>25</v>
      </c>
      <c r="G226" s="13" t="s">
        <v>9</v>
      </c>
      <c r="H226" s="32" t="s">
        <v>686</v>
      </c>
      <c r="I226" s="32">
        <v>51.263622300000002</v>
      </c>
      <c r="J226" s="53">
        <v>36.945591</v>
      </c>
      <c r="K226" s="72">
        <v>316</v>
      </c>
      <c r="L226" s="83"/>
      <c r="N226" s="148" t="s">
        <v>777</v>
      </c>
      <c r="O226" s="112"/>
      <c r="P226" s="112"/>
    </row>
    <row r="227" spans="1:16" x14ac:dyDescent="0.2">
      <c r="A227" s="18">
        <v>210</v>
      </c>
      <c r="B227" s="13" t="s">
        <v>390</v>
      </c>
      <c r="C227" s="13" t="s">
        <v>391</v>
      </c>
      <c r="D227" s="13">
        <v>1965</v>
      </c>
      <c r="E227" s="13">
        <v>693</v>
      </c>
      <c r="F227" s="13">
        <v>23</v>
      </c>
      <c r="G227" s="13" t="s">
        <v>127</v>
      </c>
      <c r="H227" s="32" t="s">
        <v>684</v>
      </c>
      <c r="I227" s="32">
        <v>51.217140200000003</v>
      </c>
      <c r="J227" s="53">
        <v>36.419517499999998</v>
      </c>
      <c r="K227" s="72">
        <v>317</v>
      </c>
      <c r="L227" s="83"/>
      <c r="N227" s="148" t="s">
        <v>777</v>
      </c>
      <c r="O227" s="148" t="s">
        <v>777</v>
      </c>
      <c r="P227" s="148" t="s">
        <v>777</v>
      </c>
    </row>
    <row r="228" spans="1:16" x14ac:dyDescent="0.2">
      <c r="A228" s="18">
        <v>211</v>
      </c>
      <c r="B228" s="13" t="s">
        <v>141</v>
      </c>
      <c r="C228" s="13" t="s">
        <v>392</v>
      </c>
      <c r="D228" s="13">
        <v>1997</v>
      </c>
      <c r="E228" s="13">
        <v>675</v>
      </c>
      <c r="F228" s="13">
        <v>27</v>
      </c>
      <c r="G228" s="13" t="s">
        <v>127</v>
      </c>
      <c r="H228" s="32" t="s">
        <v>685</v>
      </c>
      <c r="I228" s="32">
        <v>51.204757700000002</v>
      </c>
      <c r="J228" s="53">
        <v>36.723529800000001</v>
      </c>
      <c r="K228" s="72">
        <v>318</v>
      </c>
      <c r="L228" s="83"/>
      <c r="N228" s="148" t="s">
        <v>777</v>
      </c>
      <c r="O228" s="112"/>
      <c r="P228" s="112"/>
    </row>
    <row r="229" spans="1:16" ht="30" x14ac:dyDescent="0.2">
      <c r="A229" s="18">
        <v>212</v>
      </c>
      <c r="B229" s="13" t="s">
        <v>393</v>
      </c>
      <c r="C229" s="13" t="s">
        <v>394</v>
      </c>
      <c r="D229" s="13">
        <v>1965</v>
      </c>
      <c r="E229" s="13">
        <v>580</v>
      </c>
      <c r="F229" s="13">
        <v>26</v>
      </c>
      <c r="G229" s="13" t="s">
        <v>117</v>
      </c>
      <c r="H229" s="32" t="s">
        <v>687</v>
      </c>
      <c r="I229" s="32">
        <v>51.161037399999998</v>
      </c>
      <c r="J229" s="53">
        <v>36.630165099999999</v>
      </c>
      <c r="K229" s="72">
        <v>319</v>
      </c>
      <c r="L229" s="83"/>
      <c r="N229" s="148" t="s">
        <v>777</v>
      </c>
      <c r="O229" s="112"/>
      <c r="P229" s="112"/>
    </row>
    <row r="230" spans="1:16" x14ac:dyDescent="0.2">
      <c r="A230" s="18">
        <v>213</v>
      </c>
      <c r="B230" s="13" t="s">
        <v>377</v>
      </c>
      <c r="C230" s="13" t="s">
        <v>395</v>
      </c>
      <c r="D230" s="13">
        <v>1965</v>
      </c>
      <c r="E230" s="13">
        <v>440</v>
      </c>
      <c r="F230" s="13">
        <v>21</v>
      </c>
      <c r="G230" s="13" t="s">
        <v>17</v>
      </c>
      <c r="H230" s="32" t="s">
        <v>684</v>
      </c>
      <c r="I230" s="32">
        <v>51.259521499999998</v>
      </c>
      <c r="J230" s="53">
        <v>36.510883300000003</v>
      </c>
      <c r="K230" s="72">
        <v>320</v>
      </c>
      <c r="L230" s="83"/>
      <c r="N230" s="148" t="s">
        <v>777</v>
      </c>
      <c r="O230" s="148" t="s">
        <v>777</v>
      </c>
      <c r="P230" s="148" t="s">
        <v>777</v>
      </c>
    </row>
    <row r="231" spans="1:16" ht="30" x14ac:dyDescent="0.2">
      <c r="A231" s="18">
        <v>214</v>
      </c>
      <c r="B231" s="13" t="s">
        <v>141</v>
      </c>
      <c r="C231" s="13" t="s">
        <v>396</v>
      </c>
      <c r="D231" s="13">
        <v>1998</v>
      </c>
      <c r="E231" s="13">
        <v>395</v>
      </c>
      <c r="F231" s="13">
        <v>14</v>
      </c>
      <c r="G231" s="13" t="s">
        <v>117</v>
      </c>
      <c r="H231" s="32" t="s">
        <v>688</v>
      </c>
      <c r="I231" s="32">
        <v>51.205547299999999</v>
      </c>
      <c r="J231" s="53">
        <v>36.754287699999999</v>
      </c>
      <c r="K231" s="72">
        <v>321</v>
      </c>
      <c r="L231" s="83"/>
      <c r="N231" s="148" t="s">
        <v>777</v>
      </c>
      <c r="O231" s="112"/>
      <c r="P231" s="112"/>
    </row>
    <row r="232" spans="1:16" ht="30" x14ac:dyDescent="0.2">
      <c r="A232" s="18">
        <v>215</v>
      </c>
      <c r="B232" s="13" t="s">
        <v>56</v>
      </c>
      <c r="C232" s="13" t="s">
        <v>397</v>
      </c>
      <c r="D232" s="13">
        <v>1991</v>
      </c>
      <c r="E232" s="13">
        <v>349</v>
      </c>
      <c r="F232" s="13">
        <v>15</v>
      </c>
      <c r="G232" s="13" t="s">
        <v>117</v>
      </c>
      <c r="H232" s="32" t="s">
        <v>689</v>
      </c>
      <c r="I232" s="32">
        <v>51.217922199999997</v>
      </c>
      <c r="J232" s="53">
        <v>36.7090988</v>
      </c>
      <c r="K232" s="72">
        <v>322</v>
      </c>
      <c r="L232" s="83"/>
      <c r="N232" s="148" t="s">
        <v>777</v>
      </c>
      <c r="O232" s="112"/>
      <c r="P232" s="112"/>
    </row>
    <row r="233" spans="1:16" s="3" customFormat="1" x14ac:dyDescent="0.2">
      <c r="A233" s="18">
        <v>216</v>
      </c>
      <c r="B233" s="13" t="s">
        <v>56</v>
      </c>
      <c r="C233" s="13" t="s">
        <v>398</v>
      </c>
      <c r="D233" s="13">
        <v>1972</v>
      </c>
      <c r="E233" s="13">
        <v>225</v>
      </c>
      <c r="F233" s="13">
        <v>15</v>
      </c>
      <c r="G233" s="13" t="s">
        <v>127</v>
      </c>
      <c r="H233" s="32" t="s">
        <v>690</v>
      </c>
      <c r="I233" s="32">
        <v>51.210334799999998</v>
      </c>
      <c r="J233" s="53">
        <v>36.761508900000003</v>
      </c>
      <c r="K233" s="72">
        <v>323</v>
      </c>
      <c r="L233" s="84"/>
      <c r="N233" s="148" t="s">
        <v>777</v>
      </c>
      <c r="O233" s="113"/>
      <c r="P233" s="113"/>
    </row>
    <row r="234" spans="1:16" x14ac:dyDescent="0.2">
      <c r="A234" s="18">
        <v>217</v>
      </c>
      <c r="B234" s="13" t="s">
        <v>399</v>
      </c>
      <c r="C234" s="13" t="s">
        <v>398</v>
      </c>
      <c r="D234" s="13">
        <v>1997</v>
      </c>
      <c r="E234" s="13">
        <v>132</v>
      </c>
      <c r="F234" s="13">
        <v>7</v>
      </c>
      <c r="G234" s="13" t="s">
        <v>117</v>
      </c>
      <c r="H234" s="32" t="s">
        <v>691</v>
      </c>
      <c r="I234" s="32">
        <v>51.210243200000001</v>
      </c>
      <c r="J234" s="53">
        <v>36.765720399999999</v>
      </c>
      <c r="K234" s="72">
        <v>324</v>
      </c>
      <c r="L234" s="83"/>
      <c r="N234" s="148" t="s">
        <v>777</v>
      </c>
      <c r="O234" s="112"/>
      <c r="P234" s="112"/>
    </row>
    <row r="235" spans="1:16" ht="30" x14ac:dyDescent="0.2">
      <c r="A235" s="18">
        <v>218</v>
      </c>
      <c r="B235" s="13" t="s">
        <v>56</v>
      </c>
      <c r="C235" s="13" t="s">
        <v>397</v>
      </c>
      <c r="D235" s="13">
        <v>1958</v>
      </c>
      <c r="E235" s="13">
        <v>125</v>
      </c>
      <c r="F235" s="13">
        <v>8</v>
      </c>
      <c r="G235" s="13" t="s">
        <v>117</v>
      </c>
      <c r="H235" s="32" t="s">
        <v>692</v>
      </c>
      <c r="I235" s="32">
        <v>51.204334299999999</v>
      </c>
      <c r="J235" s="53">
        <v>36.698467299999997</v>
      </c>
      <c r="K235" s="72">
        <v>325</v>
      </c>
      <c r="L235" s="83"/>
      <c r="N235" s="148" t="s">
        <v>777</v>
      </c>
      <c r="O235" s="112"/>
      <c r="P235" s="112"/>
    </row>
    <row r="236" spans="1:16" ht="15.75" thickBot="1" x14ac:dyDescent="0.25">
      <c r="A236" s="35">
        <v>219</v>
      </c>
      <c r="B236" s="14" t="s">
        <v>400</v>
      </c>
      <c r="C236" s="14" t="s">
        <v>401</v>
      </c>
      <c r="D236" s="14">
        <v>1954</v>
      </c>
      <c r="E236" s="14">
        <v>160</v>
      </c>
      <c r="F236" s="14">
        <v>9</v>
      </c>
      <c r="G236" s="14" t="s">
        <v>117</v>
      </c>
      <c r="H236" s="38" t="s">
        <v>693</v>
      </c>
      <c r="I236" s="38">
        <v>51.185958900000003</v>
      </c>
      <c r="J236" s="55">
        <v>36.829925500000002</v>
      </c>
      <c r="K236" s="72">
        <v>326</v>
      </c>
      <c r="L236" s="83"/>
      <c r="N236" s="148" t="s">
        <v>777</v>
      </c>
      <c r="O236" s="148" t="s">
        <v>777</v>
      </c>
      <c r="P236" s="148" t="s">
        <v>777</v>
      </c>
    </row>
    <row r="237" spans="1:16" ht="15.75" thickBot="1" x14ac:dyDescent="0.25">
      <c r="A237" s="193" t="s">
        <v>402</v>
      </c>
      <c r="B237" s="194"/>
      <c r="C237" s="194"/>
      <c r="D237" s="194"/>
      <c r="E237" s="194"/>
      <c r="F237" s="194"/>
      <c r="G237" s="194"/>
      <c r="H237" s="194"/>
      <c r="I237" s="194"/>
      <c r="J237" s="194"/>
      <c r="K237" s="67"/>
      <c r="L237" s="83"/>
      <c r="N237" s="112"/>
      <c r="O237" s="112"/>
      <c r="P237" s="112"/>
    </row>
    <row r="238" spans="1:16" x14ac:dyDescent="0.2">
      <c r="A238" s="18">
        <v>220</v>
      </c>
      <c r="B238" s="18" t="s">
        <v>403</v>
      </c>
      <c r="C238" s="18" t="s">
        <v>404</v>
      </c>
      <c r="D238" s="18">
        <v>1975</v>
      </c>
      <c r="E238" s="18">
        <v>3850</v>
      </c>
      <c r="F238" s="18">
        <v>130</v>
      </c>
      <c r="G238" s="18" t="s">
        <v>127</v>
      </c>
      <c r="H238" s="32" t="s">
        <v>694</v>
      </c>
      <c r="I238" s="32">
        <v>51.737903600000003</v>
      </c>
      <c r="J238" s="53">
        <v>37.421802499999998</v>
      </c>
      <c r="K238" s="72">
        <v>346</v>
      </c>
      <c r="L238" s="83"/>
      <c r="N238" s="148" t="s">
        <v>777</v>
      </c>
      <c r="O238" s="112"/>
      <c r="P238" s="112"/>
    </row>
    <row r="239" spans="1:16" x14ac:dyDescent="0.2">
      <c r="A239" s="18">
        <v>221</v>
      </c>
      <c r="B239" s="36" t="s">
        <v>405</v>
      </c>
      <c r="C239" s="36" t="s">
        <v>406</v>
      </c>
      <c r="D239" s="36" t="s">
        <v>27</v>
      </c>
      <c r="E239" s="36">
        <v>2310</v>
      </c>
      <c r="F239" s="36">
        <v>96</v>
      </c>
      <c r="G239" s="36" t="s">
        <v>127</v>
      </c>
      <c r="H239" s="32" t="s">
        <v>586</v>
      </c>
      <c r="I239" s="32">
        <v>51.933414499999998</v>
      </c>
      <c r="J239" s="53">
        <v>37.661327399999998</v>
      </c>
      <c r="K239" s="72">
        <v>347</v>
      </c>
      <c r="L239" s="83"/>
      <c r="N239" s="148" t="s">
        <v>777</v>
      </c>
      <c r="O239" s="112"/>
      <c r="P239" s="112"/>
    </row>
    <row r="240" spans="1:16" ht="30" x14ac:dyDescent="0.2">
      <c r="A240" s="18">
        <v>222</v>
      </c>
      <c r="B240" s="36" t="s">
        <v>23</v>
      </c>
      <c r="C240" s="36" t="s">
        <v>407</v>
      </c>
      <c r="D240" s="36">
        <v>1988</v>
      </c>
      <c r="E240" s="36">
        <v>807</v>
      </c>
      <c r="F240" s="36">
        <v>29</v>
      </c>
      <c r="G240" s="36" t="s">
        <v>11</v>
      </c>
      <c r="H240" s="32" t="s">
        <v>695</v>
      </c>
      <c r="I240" s="32">
        <v>51.597701999999998</v>
      </c>
      <c r="J240" s="53">
        <v>37.607875800000002</v>
      </c>
      <c r="K240" s="72">
        <v>348</v>
      </c>
      <c r="L240" s="83"/>
      <c r="N240" s="148" t="s">
        <v>777</v>
      </c>
      <c r="O240" s="112"/>
      <c r="P240" s="112"/>
    </row>
    <row r="241" spans="1:16" x14ac:dyDescent="0.2">
      <c r="A241" s="18">
        <v>223</v>
      </c>
      <c r="B241" s="36" t="s">
        <v>408</v>
      </c>
      <c r="C241" s="36" t="s">
        <v>409</v>
      </c>
      <c r="D241" s="36">
        <v>1972</v>
      </c>
      <c r="E241" s="36">
        <v>600</v>
      </c>
      <c r="F241" s="36">
        <v>50</v>
      </c>
      <c r="G241" s="36" t="s">
        <v>20</v>
      </c>
      <c r="H241" s="32" t="s">
        <v>696</v>
      </c>
      <c r="I241" s="32">
        <v>51.76437</v>
      </c>
      <c r="J241" s="53">
        <v>37.466693900000003</v>
      </c>
      <c r="K241" s="72">
        <v>349</v>
      </c>
      <c r="L241" s="83"/>
      <c r="N241" s="148" t="s">
        <v>777</v>
      </c>
      <c r="O241" s="112"/>
      <c r="P241" s="112"/>
    </row>
    <row r="242" spans="1:16" x14ac:dyDescent="0.2">
      <c r="A242" s="18">
        <v>224</v>
      </c>
      <c r="B242" s="36" t="s">
        <v>410</v>
      </c>
      <c r="C242" s="36" t="s">
        <v>411</v>
      </c>
      <c r="D242" s="36">
        <v>1980</v>
      </c>
      <c r="E242" s="36">
        <v>830</v>
      </c>
      <c r="F242" s="36">
        <v>50</v>
      </c>
      <c r="G242" s="36" t="s">
        <v>127</v>
      </c>
      <c r="H242" s="32" t="s">
        <v>586</v>
      </c>
      <c r="I242" s="32">
        <v>51.643787400000001</v>
      </c>
      <c r="J242" s="53">
        <v>37.680683100000003</v>
      </c>
      <c r="K242" s="72">
        <v>350</v>
      </c>
      <c r="L242" s="83"/>
      <c r="N242" s="148" t="s">
        <v>777</v>
      </c>
      <c r="O242" s="112"/>
      <c r="P242" s="112"/>
    </row>
    <row r="243" spans="1:16" ht="30" x14ac:dyDescent="0.2">
      <c r="A243" s="18">
        <v>225</v>
      </c>
      <c r="B243" s="13" t="s">
        <v>412</v>
      </c>
      <c r="C243" s="37" t="s">
        <v>770</v>
      </c>
      <c r="D243" s="13">
        <v>1980</v>
      </c>
      <c r="E243" s="13">
        <v>921</v>
      </c>
      <c r="F243" s="13">
        <v>28</v>
      </c>
      <c r="G243" s="13" t="s">
        <v>127</v>
      </c>
      <c r="H243" s="32" t="s">
        <v>697</v>
      </c>
      <c r="I243" s="32">
        <v>51.7401543</v>
      </c>
      <c r="J243" s="53">
        <v>37.641780900000001</v>
      </c>
      <c r="K243" s="72">
        <v>351</v>
      </c>
      <c r="L243" s="83"/>
      <c r="N243" s="148" t="s">
        <v>777</v>
      </c>
      <c r="O243" s="112"/>
      <c r="P243" s="112"/>
    </row>
    <row r="244" spans="1:16" x14ac:dyDescent="0.2">
      <c r="A244" s="18">
        <v>226</v>
      </c>
      <c r="B244" s="36" t="s">
        <v>413</v>
      </c>
      <c r="C244" s="36" t="s">
        <v>414</v>
      </c>
      <c r="D244" s="36" t="s">
        <v>27</v>
      </c>
      <c r="E244" s="36" t="s">
        <v>27</v>
      </c>
      <c r="F244" s="36" t="s">
        <v>27</v>
      </c>
      <c r="G244" s="36" t="s">
        <v>117</v>
      </c>
      <c r="H244" s="32" t="s">
        <v>586</v>
      </c>
      <c r="I244" s="32">
        <v>51.687656400000002</v>
      </c>
      <c r="J244" s="53">
        <v>37.581428500000001</v>
      </c>
      <c r="K244" s="72">
        <v>352</v>
      </c>
      <c r="L244" s="83"/>
      <c r="N244" s="148" t="s">
        <v>777</v>
      </c>
      <c r="O244" s="112"/>
      <c r="P244" s="112"/>
    </row>
    <row r="245" spans="1:16" x14ac:dyDescent="0.2">
      <c r="A245" s="18">
        <v>227</v>
      </c>
      <c r="B245" s="36" t="s">
        <v>415</v>
      </c>
      <c r="C245" s="36" t="s">
        <v>416</v>
      </c>
      <c r="D245" s="36">
        <v>1980</v>
      </c>
      <c r="E245" s="36">
        <v>684</v>
      </c>
      <c r="F245" s="36">
        <v>21</v>
      </c>
      <c r="G245" s="36" t="s">
        <v>127</v>
      </c>
      <c r="H245" s="32" t="s">
        <v>586</v>
      </c>
      <c r="I245" s="32">
        <v>51.966720600000002</v>
      </c>
      <c r="J245" s="53">
        <v>37.565193200000003</v>
      </c>
      <c r="K245" s="72">
        <v>353</v>
      </c>
      <c r="L245" s="83"/>
      <c r="N245" s="148" t="s">
        <v>777</v>
      </c>
      <c r="O245" s="112"/>
      <c r="P245" s="112"/>
    </row>
    <row r="246" spans="1:16" x14ac:dyDescent="0.2">
      <c r="A246" s="18">
        <v>228</v>
      </c>
      <c r="B246" s="13" t="s">
        <v>417</v>
      </c>
      <c r="C246" s="13" t="s">
        <v>418</v>
      </c>
      <c r="D246" s="13">
        <v>1973</v>
      </c>
      <c r="E246" s="13">
        <v>100</v>
      </c>
      <c r="F246" s="13">
        <v>10</v>
      </c>
      <c r="G246" s="13" t="s">
        <v>20</v>
      </c>
      <c r="H246" s="32" t="s">
        <v>696</v>
      </c>
      <c r="I246" s="32">
        <v>51.7489548</v>
      </c>
      <c r="J246" s="53">
        <v>37.367111199999997</v>
      </c>
      <c r="K246" s="72">
        <v>354</v>
      </c>
      <c r="L246" s="83"/>
      <c r="N246" s="148" t="s">
        <v>777</v>
      </c>
      <c r="O246" s="112"/>
      <c r="P246" s="112"/>
    </row>
    <row r="247" spans="1:16" ht="30" x14ac:dyDescent="0.2">
      <c r="A247" s="18">
        <v>229</v>
      </c>
      <c r="B247" s="36" t="s">
        <v>419</v>
      </c>
      <c r="C247" s="36" t="s">
        <v>420</v>
      </c>
      <c r="D247" s="36" t="s">
        <v>27</v>
      </c>
      <c r="E247" s="36">
        <v>130</v>
      </c>
      <c r="F247" s="36">
        <v>10</v>
      </c>
      <c r="G247" s="36" t="s">
        <v>20</v>
      </c>
      <c r="H247" s="32" t="s">
        <v>698</v>
      </c>
      <c r="I247" s="32">
        <v>51.879795100000003</v>
      </c>
      <c r="J247" s="53">
        <v>37.670566600000001</v>
      </c>
      <c r="K247" s="72">
        <v>355</v>
      </c>
      <c r="L247" s="83"/>
      <c r="N247" s="148" t="s">
        <v>777</v>
      </c>
      <c r="O247" s="112"/>
      <c r="P247" s="112"/>
    </row>
    <row r="248" spans="1:16" x14ac:dyDescent="0.2">
      <c r="A248" s="18">
        <v>230</v>
      </c>
      <c r="B248" s="36" t="s">
        <v>195</v>
      </c>
      <c r="C248" s="36" t="s">
        <v>421</v>
      </c>
      <c r="D248" s="36" t="s">
        <v>27</v>
      </c>
      <c r="E248" s="36">
        <v>144</v>
      </c>
      <c r="F248" s="36">
        <v>4</v>
      </c>
      <c r="G248" s="36" t="s">
        <v>127</v>
      </c>
      <c r="H248" s="32" t="s">
        <v>586</v>
      </c>
      <c r="I248" s="32">
        <v>51.854934700000001</v>
      </c>
      <c r="J248" s="53">
        <v>37.700950599999999</v>
      </c>
      <c r="K248" s="72">
        <v>356</v>
      </c>
      <c r="L248" s="83"/>
      <c r="N248" s="148" t="s">
        <v>777</v>
      </c>
      <c r="O248" s="112"/>
      <c r="P248" s="112"/>
    </row>
    <row r="249" spans="1:16" x14ac:dyDescent="0.2">
      <c r="A249" s="18">
        <v>231</v>
      </c>
      <c r="B249" s="36" t="s">
        <v>195</v>
      </c>
      <c r="C249" s="36" t="s">
        <v>422</v>
      </c>
      <c r="D249" s="36">
        <v>1974</v>
      </c>
      <c r="E249" s="36">
        <v>475</v>
      </c>
      <c r="F249" s="36">
        <v>15</v>
      </c>
      <c r="G249" s="36" t="s">
        <v>127</v>
      </c>
      <c r="H249" s="32" t="s">
        <v>698</v>
      </c>
      <c r="I249" s="32">
        <v>51.888542200000003</v>
      </c>
      <c r="J249" s="53">
        <v>37.695053100000003</v>
      </c>
      <c r="K249" s="72">
        <v>357</v>
      </c>
      <c r="L249" s="83"/>
      <c r="N249" s="148" t="s">
        <v>777</v>
      </c>
      <c r="O249" s="112"/>
      <c r="P249" s="112"/>
    </row>
    <row r="250" spans="1:16" x14ac:dyDescent="0.2">
      <c r="A250" s="18">
        <v>232</v>
      </c>
      <c r="B250" s="36" t="s">
        <v>423</v>
      </c>
      <c r="C250" s="36" t="s">
        <v>424</v>
      </c>
      <c r="D250" s="36">
        <v>1976</v>
      </c>
      <c r="E250" s="36">
        <v>386</v>
      </c>
      <c r="F250" s="36">
        <v>20</v>
      </c>
      <c r="G250" s="36" t="s">
        <v>127</v>
      </c>
      <c r="H250" s="32" t="s">
        <v>586</v>
      </c>
      <c r="I250" s="32">
        <v>51.725254100000001</v>
      </c>
      <c r="J250" s="53">
        <v>37.523475599999998</v>
      </c>
      <c r="K250" s="72">
        <v>358</v>
      </c>
      <c r="L250" s="83"/>
      <c r="N250" s="148" t="s">
        <v>777</v>
      </c>
      <c r="O250" s="112"/>
      <c r="P250" s="112"/>
    </row>
    <row r="251" spans="1:16" x14ac:dyDescent="0.2">
      <c r="A251" s="18">
        <v>233</v>
      </c>
      <c r="B251" s="36" t="s">
        <v>408</v>
      </c>
      <c r="C251" s="36" t="s">
        <v>425</v>
      </c>
      <c r="D251" s="36">
        <v>1970</v>
      </c>
      <c r="E251" s="36">
        <v>259</v>
      </c>
      <c r="F251" s="36">
        <v>26</v>
      </c>
      <c r="G251" s="36" t="s">
        <v>17</v>
      </c>
      <c r="H251" s="32" t="s">
        <v>694</v>
      </c>
      <c r="I251" s="32">
        <v>51.718178999999999</v>
      </c>
      <c r="J251" s="53">
        <v>37.406159000000002</v>
      </c>
      <c r="K251" s="72">
        <v>359</v>
      </c>
      <c r="L251" s="83"/>
      <c r="N251" s="148" t="s">
        <v>777</v>
      </c>
      <c r="O251" s="112"/>
      <c r="P251" s="112"/>
    </row>
    <row r="252" spans="1:16" x14ac:dyDescent="0.2">
      <c r="A252" s="18">
        <v>234</v>
      </c>
      <c r="B252" s="36" t="s">
        <v>426</v>
      </c>
      <c r="C252" s="36" t="s">
        <v>427</v>
      </c>
      <c r="D252" s="36">
        <v>1972</v>
      </c>
      <c r="E252" s="36">
        <v>220</v>
      </c>
      <c r="F252" s="36">
        <v>10</v>
      </c>
      <c r="G252" s="36" t="s">
        <v>127</v>
      </c>
      <c r="H252" s="32" t="s">
        <v>586</v>
      </c>
      <c r="I252" s="32">
        <v>51.817776000000002</v>
      </c>
      <c r="J252" s="53">
        <v>37.75797</v>
      </c>
      <c r="K252" s="72">
        <v>360</v>
      </c>
      <c r="L252" s="83"/>
      <c r="N252" s="148" t="s">
        <v>777</v>
      </c>
      <c r="O252" s="112"/>
      <c r="P252" s="112"/>
    </row>
    <row r="253" spans="1:16" x14ac:dyDescent="0.2">
      <c r="A253" s="18">
        <v>235</v>
      </c>
      <c r="B253" s="13" t="s">
        <v>403</v>
      </c>
      <c r="C253" s="13" t="s">
        <v>428</v>
      </c>
      <c r="D253" s="13">
        <v>1972</v>
      </c>
      <c r="E253" s="13">
        <v>600</v>
      </c>
      <c r="F253" s="13">
        <v>50</v>
      </c>
      <c r="G253" s="13" t="s">
        <v>20</v>
      </c>
      <c r="H253" s="32" t="s">
        <v>696</v>
      </c>
      <c r="I253" s="32">
        <v>51.789282999999998</v>
      </c>
      <c r="J253" s="53">
        <v>37.530217</v>
      </c>
      <c r="K253" s="72">
        <v>361</v>
      </c>
      <c r="L253" s="83"/>
      <c r="N253" s="148" t="s">
        <v>777</v>
      </c>
      <c r="O253" s="112"/>
      <c r="P253" s="112"/>
    </row>
    <row r="254" spans="1:16" ht="30.75" thickBot="1" x14ac:dyDescent="0.25">
      <c r="A254" s="180">
        <v>236</v>
      </c>
      <c r="B254" s="179" t="s">
        <v>429</v>
      </c>
      <c r="C254" s="179" t="s">
        <v>430</v>
      </c>
      <c r="D254" s="179" t="s">
        <v>27</v>
      </c>
      <c r="E254" s="179" t="s">
        <v>27</v>
      </c>
      <c r="F254" s="179">
        <v>79</v>
      </c>
      <c r="G254" s="179" t="s">
        <v>9</v>
      </c>
      <c r="H254" s="99" t="s">
        <v>699</v>
      </c>
      <c r="I254" s="99">
        <v>51.837618999999997</v>
      </c>
      <c r="J254" s="100">
        <v>37.698993000000002</v>
      </c>
      <c r="K254" s="94">
        <v>362</v>
      </c>
      <c r="L254" s="81" t="s">
        <v>765</v>
      </c>
      <c r="M254" s="2" t="s">
        <v>777</v>
      </c>
      <c r="N254" s="148" t="s">
        <v>777</v>
      </c>
      <c r="O254" s="112"/>
      <c r="P254" s="112"/>
    </row>
    <row r="255" spans="1:16" ht="15.75" thickBot="1" x14ac:dyDescent="0.25">
      <c r="A255" s="193" t="s">
        <v>431</v>
      </c>
      <c r="B255" s="194"/>
      <c r="C255" s="194"/>
      <c r="D255" s="194"/>
      <c r="E255" s="194"/>
      <c r="F255" s="194"/>
      <c r="G255" s="194"/>
      <c r="H255" s="214"/>
      <c r="I255" s="214"/>
      <c r="J255" s="214"/>
      <c r="K255" s="67"/>
      <c r="L255" s="83"/>
      <c r="N255" s="112"/>
      <c r="O255" s="112"/>
      <c r="P255" s="112"/>
    </row>
    <row r="256" spans="1:16" x14ac:dyDescent="0.2">
      <c r="A256" s="181">
        <v>237</v>
      </c>
      <c r="B256" s="181" t="s">
        <v>432</v>
      </c>
      <c r="C256" s="181" t="s">
        <v>433</v>
      </c>
      <c r="D256" s="181">
        <v>1979</v>
      </c>
      <c r="E256" s="181">
        <v>2500</v>
      </c>
      <c r="F256" s="181">
        <v>133</v>
      </c>
      <c r="G256" s="181" t="s">
        <v>9</v>
      </c>
      <c r="H256" s="95" t="s">
        <v>700</v>
      </c>
      <c r="I256" s="95">
        <v>51.422687000000003</v>
      </c>
      <c r="J256" s="96">
        <v>36.716431</v>
      </c>
      <c r="K256" s="94">
        <v>363</v>
      </c>
      <c r="L256" s="81" t="s">
        <v>765</v>
      </c>
      <c r="M256" s="2" t="s">
        <v>777</v>
      </c>
      <c r="N256" s="148" t="s">
        <v>777</v>
      </c>
      <c r="O256" s="112"/>
      <c r="P256" s="112"/>
    </row>
    <row r="257" spans="1:18" x14ac:dyDescent="0.2">
      <c r="A257" s="181">
        <v>238</v>
      </c>
      <c r="B257" s="86" t="s">
        <v>434</v>
      </c>
      <c r="C257" s="86" t="s">
        <v>435</v>
      </c>
      <c r="D257" s="86">
        <v>1975</v>
      </c>
      <c r="E257" s="86">
        <v>1245</v>
      </c>
      <c r="F257" s="86">
        <v>74</v>
      </c>
      <c r="G257" s="86" t="s">
        <v>9</v>
      </c>
      <c r="H257" s="95" t="s">
        <v>701</v>
      </c>
      <c r="I257" s="95">
        <v>51.586494399999999</v>
      </c>
      <c r="J257" s="96">
        <v>36.827438399999998</v>
      </c>
      <c r="K257" s="94">
        <v>364</v>
      </c>
      <c r="L257" s="81" t="s">
        <v>771</v>
      </c>
      <c r="M257" s="2" t="s">
        <v>777</v>
      </c>
      <c r="N257" s="148" t="s">
        <v>777</v>
      </c>
      <c r="O257" s="112"/>
      <c r="P257" s="112"/>
    </row>
    <row r="258" spans="1:18" x14ac:dyDescent="0.2">
      <c r="A258" s="18">
        <v>239</v>
      </c>
      <c r="B258" s="13" t="s">
        <v>436</v>
      </c>
      <c r="C258" s="13" t="s">
        <v>437</v>
      </c>
      <c r="D258" s="13">
        <v>1986</v>
      </c>
      <c r="E258" s="13">
        <v>1040</v>
      </c>
      <c r="F258" s="13">
        <v>68</v>
      </c>
      <c r="G258" s="13" t="s">
        <v>9</v>
      </c>
      <c r="H258" s="57" t="s">
        <v>702</v>
      </c>
      <c r="I258" s="57">
        <v>51.538127899999999</v>
      </c>
      <c r="J258" s="58">
        <v>36.891094199999998</v>
      </c>
      <c r="K258" s="72">
        <v>365</v>
      </c>
      <c r="L258" s="83"/>
      <c r="N258" s="148" t="s">
        <v>777</v>
      </c>
      <c r="O258" s="112"/>
      <c r="P258" s="112"/>
    </row>
    <row r="259" spans="1:18" ht="25.5" x14ac:dyDescent="0.2">
      <c r="A259" s="101">
        <v>240</v>
      </c>
      <c r="B259" s="102" t="s">
        <v>432</v>
      </c>
      <c r="C259" s="102" t="s">
        <v>438</v>
      </c>
      <c r="D259" s="102">
        <v>1986</v>
      </c>
      <c r="E259" s="102">
        <v>1010</v>
      </c>
      <c r="F259" s="102">
        <v>60</v>
      </c>
      <c r="G259" s="102" t="s">
        <v>127</v>
      </c>
      <c r="H259" s="103" t="s">
        <v>703</v>
      </c>
      <c r="I259" s="103">
        <v>51.408912700000002</v>
      </c>
      <c r="J259" s="104">
        <v>36.690658599999999</v>
      </c>
      <c r="K259" s="105">
        <v>366</v>
      </c>
      <c r="L259" s="106" t="s">
        <v>772</v>
      </c>
      <c r="N259" s="148" t="s">
        <v>777</v>
      </c>
      <c r="O259" s="112"/>
      <c r="P259" s="112"/>
    </row>
    <row r="260" spans="1:18" x14ac:dyDescent="0.2">
      <c r="A260" s="18">
        <v>241</v>
      </c>
      <c r="B260" s="13" t="s">
        <v>439</v>
      </c>
      <c r="C260" s="13" t="s">
        <v>440</v>
      </c>
      <c r="D260" s="13">
        <v>1950</v>
      </c>
      <c r="E260" s="13">
        <v>540</v>
      </c>
      <c r="F260" s="13">
        <v>36</v>
      </c>
      <c r="G260" s="13" t="s">
        <v>9</v>
      </c>
      <c r="H260" s="57" t="s">
        <v>704</v>
      </c>
      <c r="I260" s="57">
        <v>51.525287599999999</v>
      </c>
      <c r="J260" s="58">
        <v>36.941520699999998</v>
      </c>
      <c r="K260" s="72">
        <v>367</v>
      </c>
      <c r="L260" s="83"/>
      <c r="N260" s="148" t="s">
        <v>777</v>
      </c>
      <c r="O260" s="112"/>
      <c r="P260" s="112"/>
    </row>
    <row r="261" spans="1:18" x14ac:dyDescent="0.2">
      <c r="A261" s="18">
        <v>242</v>
      </c>
      <c r="B261" s="13" t="s">
        <v>441</v>
      </c>
      <c r="C261" s="13" t="s">
        <v>442</v>
      </c>
      <c r="D261" s="13">
        <v>1950</v>
      </c>
      <c r="E261" s="13">
        <v>540</v>
      </c>
      <c r="F261" s="13">
        <v>30</v>
      </c>
      <c r="G261" s="13" t="s">
        <v>127</v>
      </c>
      <c r="H261" s="57" t="s">
        <v>704</v>
      </c>
      <c r="I261" s="57">
        <v>51.352443700000002</v>
      </c>
      <c r="J261" s="58">
        <v>36.771881100000002</v>
      </c>
      <c r="K261" s="72">
        <v>368</v>
      </c>
      <c r="L261" s="83"/>
      <c r="N261" s="148" t="s">
        <v>777</v>
      </c>
      <c r="O261" s="112"/>
      <c r="P261" s="112"/>
    </row>
    <row r="262" spans="1:18" x14ac:dyDescent="0.2">
      <c r="A262" s="18">
        <v>243</v>
      </c>
      <c r="B262" s="13" t="s">
        <v>441</v>
      </c>
      <c r="C262" s="13" t="s">
        <v>443</v>
      </c>
      <c r="D262" s="13">
        <v>1960</v>
      </c>
      <c r="E262" s="13">
        <v>675</v>
      </c>
      <c r="F262" s="13">
        <v>22</v>
      </c>
      <c r="G262" s="13" t="s">
        <v>127</v>
      </c>
      <c r="H262" s="57" t="s">
        <v>704</v>
      </c>
      <c r="I262" s="57">
        <v>51.3483467</v>
      </c>
      <c r="J262" s="58">
        <v>36.749866500000003</v>
      </c>
      <c r="K262" s="72">
        <v>369</v>
      </c>
      <c r="L262" s="83"/>
      <c r="N262" s="148" t="s">
        <v>777</v>
      </c>
      <c r="O262" s="112"/>
      <c r="P262" s="112"/>
    </row>
    <row r="263" spans="1:18" x14ac:dyDescent="0.2">
      <c r="A263" s="18">
        <v>244</v>
      </c>
      <c r="B263" s="13" t="s">
        <v>444</v>
      </c>
      <c r="C263" s="13" t="s">
        <v>445</v>
      </c>
      <c r="D263" s="13">
        <v>1989</v>
      </c>
      <c r="E263" s="13">
        <v>800</v>
      </c>
      <c r="F263" s="13">
        <v>32</v>
      </c>
      <c r="G263" s="13" t="s">
        <v>9</v>
      </c>
      <c r="H263" s="57" t="s">
        <v>705</v>
      </c>
      <c r="I263" s="57">
        <v>51.4798355</v>
      </c>
      <c r="J263" s="58">
        <v>36.493675199999998</v>
      </c>
      <c r="K263" s="74">
        <v>370</v>
      </c>
      <c r="L263" s="83"/>
      <c r="N263" s="148" t="s">
        <v>777</v>
      </c>
      <c r="O263" s="112"/>
      <c r="P263" s="112"/>
    </row>
    <row r="264" spans="1:18" x14ac:dyDescent="0.2">
      <c r="A264" s="18">
        <v>245</v>
      </c>
      <c r="B264" s="13" t="s">
        <v>441</v>
      </c>
      <c r="C264" s="13" t="s">
        <v>446</v>
      </c>
      <c r="D264" s="13">
        <v>1950</v>
      </c>
      <c r="E264" s="13">
        <v>517</v>
      </c>
      <c r="F264" s="13">
        <v>32</v>
      </c>
      <c r="G264" s="13" t="s">
        <v>127</v>
      </c>
      <c r="H264" s="57" t="s">
        <v>704</v>
      </c>
      <c r="I264" s="57">
        <v>51.342735300000001</v>
      </c>
      <c r="J264" s="58">
        <v>36.730407700000001</v>
      </c>
      <c r="K264" s="72">
        <v>371</v>
      </c>
      <c r="L264" s="83"/>
      <c r="N264" s="148" t="s">
        <v>777</v>
      </c>
      <c r="O264" s="112"/>
      <c r="P264" s="112"/>
    </row>
    <row r="265" spans="1:18" x14ac:dyDescent="0.2">
      <c r="A265" s="18">
        <v>246</v>
      </c>
      <c r="B265" s="13" t="s">
        <v>447</v>
      </c>
      <c r="C265" s="13" t="s">
        <v>448</v>
      </c>
      <c r="D265" s="13">
        <v>1970</v>
      </c>
      <c r="E265" s="13">
        <v>324</v>
      </c>
      <c r="F265" s="13">
        <v>20</v>
      </c>
      <c r="G265" s="13" t="s">
        <v>9</v>
      </c>
      <c r="H265" s="57" t="s">
        <v>706</v>
      </c>
      <c r="I265" s="57">
        <v>51.384864800000003</v>
      </c>
      <c r="J265" s="58">
        <v>36.685115799999998</v>
      </c>
      <c r="K265" s="72">
        <v>372</v>
      </c>
      <c r="L265" s="83"/>
      <c r="N265" s="148" t="s">
        <v>777</v>
      </c>
      <c r="O265" s="112"/>
      <c r="P265" s="112"/>
    </row>
    <row r="266" spans="1:18" ht="15.75" x14ac:dyDescent="0.25">
      <c r="A266" s="110">
        <v>247</v>
      </c>
      <c r="B266" s="36" t="s">
        <v>432</v>
      </c>
      <c r="C266" s="36" t="s">
        <v>449</v>
      </c>
      <c r="D266" s="36">
        <v>1953</v>
      </c>
      <c r="E266" s="36">
        <v>126</v>
      </c>
      <c r="F266" s="36">
        <v>8</v>
      </c>
      <c r="G266" s="36" t="s">
        <v>9</v>
      </c>
      <c r="H266" s="57" t="s">
        <v>704</v>
      </c>
      <c r="I266" s="157" t="s">
        <v>1156</v>
      </c>
      <c r="J266" s="58" t="s">
        <v>1157</v>
      </c>
      <c r="K266" s="73">
        <v>373</v>
      </c>
      <c r="L266" s="81" t="s">
        <v>765</v>
      </c>
      <c r="N266" s="148" t="s">
        <v>777</v>
      </c>
      <c r="O266" s="112"/>
      <c r="P266" s="112"/>
      <c r="Q266" s="173" t="s">
        <v>1185</v>
      </c>
      <c r="R266" s="172"/>
    </row>
    <row r="267" spans="1:18" ht="15.75" x14ac:dyDescent="0.25">
      <c r="A267" s="18">
        <v>248</v>
      </c>
      <c r="B267" s="13" t="s">
        <v>50</v>
      </c>
      <c r="C267" s="13" t="s">
        <v>450</v>
      </c>
      <c r="D267" s="13">
        <v>1972</v>
      </c>
      <c r="E267" s="13">
        <v>180</v>
      </c>
      <c r="F267" s="13">
        <v>12</v>
      </c>
      <c r="G267" s="13" t="s">
        <v>117</v>
      </c>
      <c r="H267" s="57" t="s">
        <v>707</v>
      </c>
      <c r="I267" s="57">
        <v>51.346218100000002</v>
      </c>
      <c r="J267" s="58">
        <v>36.586414300000001</v>
      </c>
      <c r="K267" s="72">
        <v>374</v>
      </c>
      <c r="L267" s="83"/>
      <c r="N267" s="148" t="s">
        <v>777</v>
      </c>
      <c r="O267" s="112"/>
      <c r="P267" s="112"/>
      <c r="Q267" s="173" t="s">
        <v>1185</v>
      </c>
    </row>
    <row r="268" spans="1:18" x14ac:dyDescent="0.2">
      <c r="A268" s="18">
        <v>249</v>
      </c>
      <c r="B268" s="13" t="s">
        <v>451</v>
      </c>
      <c r="C268" s="13" t="s">
        <v>452</v>
      </c>
      <c r="D268" s="13">
        <v>1970</v>
      </c>
      <c r="E268" s="13">
        <v>180</v>
      </c>
      <c r="F268" s="13">
        <v>18</v>
      </c>
      <c r="G268" s="13" t="s">
        <v>117</v>
      </c>
      <c r="H268" s="57" t="s">
        <v>708</v>
      </c>
      <c r="I268" s="57">
        <v>51.435516999999997</v>
      </c>
      <c r="J268" s="58">
        <v>36.462999000000003</v>
      </c>
      <c r="K268" s="74">
        <v>375</v>
      </c>
      <c r="L268" s="81" t="s">
        <v>765</v>
      </c>
      <c r="N268" s="148" t="s">
        <v>777</v>
      </c>
      <c r="O268" s="112"/>
      <c r="P268" s="112"/>
    </row>
    <row r="269" spans="1:18" ht="33.75" customHeight="1" x14ac:dyDescent="0.2">
      <c r="A269" s="101">
        <v>250</v>
      </c>
      <c r="B269" s="102" t="s">
        <v>434</v>
      </c>
      <c r="C269" s="102" t="s">
        <v>424</v>
      </c>
      <c r="D269" s="102">
        <v>1951</v>
      </c>
      <c r="E269" s="102">
        <v>450</v>
      </c>
      <c r="F269" s="102">
        <v>36</v>
      </c>
      <c r="G269" s="102" t="s">
        <v>20</v>
      </c>
      <c r="H269" s="103" t="s">
        <v>704</v>
      </c>
      <c r="I269" s="103" t="s">
        <v>709</v>
      </c>
      <c r="J269" s="104" t="s">
        <v>710</v>
      </c>
      <c r="K269" s="105">
        <v>376</v>
      </c>
      <c r="L269" s="106" t="s">
        <v>773</v>
      </c>
      <c r="N269" s="148" t="s">
        <v>777</v>
      </c>
      <c r="O269" s="112"/>
      <c r="P269" s="112"/>
    </row>
    <row r="270" spans="1:18" ht="15.75" thickBot="1" x14ac:dyDescent="0.25">
      <c r="A270" s="180">
        <v>251</v>
      </c>
      <c r="B270" s="179" t="s">
        <v>453</v>
      </c>
      <c r="C270" s="179" t="s">
        <v>454</v>
      </c>
      <c r="D270" s="179" t="s">
        <v>27</v>
      </c>
      <c r="E270" s="179">
        <v>126</v>
      </c>
      <c r="F270" s="179">
        <v>3</v>
      </c>
      <c r="G270" s="179" t="s">
        <v>117</v>
      </c>
      <c r="H270" s="107" t="s">
        <v>711</v>
      </c>
      <c r="I270" s="107" t="s">
        <v>712</v>
      </c>
      <c r="J270" s="108" t="s">
        <v>713</v>
      </c>
      <c r="K270" s="94">
        <v>377</v>
      </c>
      <c r="L270" s="81" t="s">
        <v>765</v>
      </c>
      <c r="M270" s="2" t="s">
        <v>777</v>
      </c>
      <c r="N270" s="148" t="s">
        <v>777</v>
      </c>
      <c r="O270" s="112"/>
      <c r="P270" s="112"/>
    </row>
    <row r="271" spans="1:18" ht="15.75" thickBot="1" x14ac:dyDescent="0.25">
      <c r="A271" s="193" t="s">
        <v>455</v>
      </c>
      <c r="B271" s="194"/>
      <c r="C271" s="194"/>
      <c r="D271" s="194"/>
      <c r="E271" s="194"/>
      <c r="F271" s="194"/>
      <c r="G271" s="194"/>
      <c r="H271" s="194"/>
      <c r="I271" s="194"/>
      <c r="J271" s="194"/>
      <c r="K271" s="67"/>
      <c r="L271" s="83"/>
      <c r="N271" s="112"/>
      <c r="O271" s="112"/>
      <c r="P271" s="112"/>
    </row>
    <row r="272" spans="1:18" x14ac:dyDescent="0.2">
      <c r="A272" s="18">
        <v>252</v>
      </c>
      <c r="B272" s="18" t="s">
        <v>456</v>
      </c>
      <c r="C272" s="18" t="s">
        <v>457</v>
      </c>
      <c r="D272" s="18">
        <v>1980</v>
      </c>
      <c r="E272" s="18">
        <v>1281</v>
      </c>
      <c r="F272" s="18">
        <v>56</v>
      </c>
      <c r="G272" s="18" t="s">
        <v>9</v>
      </c>
      <c r="H272" s="32" t="s">
        <v>714</v>
      </c>
      <c r="I272" s="32">
        <v>51.6795349</v>
      </c>
      <c r="J272" s="53">
        <v>37.014575999999998</v>
      </c>
      <c r="K272" s="72">
        <v>397</v>
      </c>
      <c r="L272" s="83"/>
      <c r="N272" s="148" t="s">
        <v>777</v>
      </c>
      <c r="O272" s="112"/>
      <c r="P272" s="112"/>
    </row>
    <row r="273" spans="1:16" x14ac:dyDescent="0.2">
      <c r="A273" s="18">
        <v>253</v>
      </c>
      <c r="B273" s="13" t="s">
        <v>458</v>
      </c>
      <c r="C273" s="13" t="s">
        <v>459</v>
      </c>
      <c r="D273" s="13">
        <v>1983</v>
      </c>
      <c r="E273" s="13">
        <v>1820</v>
      </c>
      <c r="F273" s="13">
        <v>76</v>
      </c>
      <c r="G273" s="13" t="s">
        <v>127</v>
      </c>
      <c r="H273" s="32" t="s">
        <v>715</v>
      </c>
      <c r="I273" s="32">
        <v>51.602127099999997</v>
      </c>
      <c r="J273" s="53">
        <v>37.255729700000003</v>
      </c>
      <c r="K273" s="72">
        <v>398</v>
      </c>
      <c r="L273" s="83"/>
      <c r="N273" s="148" t="s">
        <v>777</v>
      </c>
      <c r="O273" s="112"/>
      <c r="P273" s="112"/>
    </row>
    <row r="274" spans="1:16" x14ac:dyDescent="0.2">
      <c r="A274" s="18">
        <v>254</v>
      </c>
      <c r="B274" s="13" t="s">
        <v>458</v>
      </c>
      <c r="C274" s="13" t="s">
        <v>459</v>
      </c>
      <c r="D274" s="13">
        <v>1955</v>
      </c>
      <c r="E274" s="13">
        <v>760</v>
      </c>
      <c r="F274" s="13">
        <v>32</v>
      </c>
      <c r="G274" s="13" t="s">
        <v>9</v>
      </c>
      <c r="H274" s="32" t="s">
        <v>715</v>
      </c>
      <c r="I274" s="32">
        <v>51.598178900000001</v>
      </c>
      <c r="J274" s="53">
        <v>37.262756299999999</v>
      </c>
      <c r="K274" s="72">
        <v>399</v>
      </c>
      <c r="L274" s="83"/>
      <c r="N274" s="148" t="s">
        <v>777</v>
      </c>
      <c r="O274" s="112"/>
      <c r="P274" s="112"/>
    </row>
    <row r="275" spans="1:16" x14ac:dyDescent="0.2">
      <c r="A275" s="18">
        <v>255</v>
      </c>
      <c r="B275" s="13" t="s">
        <v>460</v>
      </c>
      <c r="C275" s="13" t="s">
        <v>461</v>
      </c>
      <c r="D275" s="13">
        <v>1988</v>
      </c>
      <c r="E275" s="13">
        <v>1200</v>
      </c>
      <c r="F275" s="13">
        <v>45</v>
      </c>
      <c r="G275" s="13" t="s">
        <v>127</v>
      </c>
      <c r="H275" s="32" t="s">
        <v>716</v>
      </c>
      <c r="I275" s="32">
        <v>51.666519200000003</v>
      </c>
      <c r="J275" s="53">
        <v>37.171073900000003</v>
      </c>
      <c r="K275" s="72">
        <v>400</v>
      </c>
      <c r="L275" s="83"/>
      <c r="N275" s="148" t="s">
        <v>777</v>
      </c>
      <c r="O275" s="112"/>
      <c r="P275" s="112"/>
    </row>
    <row r="276" spans="1:16" x14ac:dyDescent="0.2">
      <c r="A276" s="18">
        <v>256</v>
      </c>
      <c r="B276" s="13" t="s">
        <v>101</v>
      </c>
      <c r="C276" s="13" t="s">
        <v>462</v>
      </c>
      <c r="D276" s="13">
        <v>1995</v>
      </c>
      <c r="E276" s="13">
        <v>538</v>
      </c>
      <c r="F276" s="13">
        <v>20</v>
      </c>
      <c r="G276" s="13" t="s">
        <v>11</v>
      </c>
      <c r="H276" s="32" t="s">
        <v>717</v>
      </c>
      <c r="I276" s="32">
        <v>51.695076</v>
      </c>
      <c r="J276" s="53">
        <v>37.208324400000002</v>
      </c>
      <c r="K276" s="72">
        <v>401</v>
      </c>
      <c r="L276" s="83"/>
      <c r="N276" s="148" t="s">
        <v>777</v>
      </c>
      <c r="O276" s="112"/>
      <c r="P276" s="112"/>
    </row>
    <row r="277" spans="1:16" x14ac:dyDescent="0.2">
      <c r="A277" s="18">
        <v>257</v>
      </c>
      <c r="B277" s="13" t="s">
        <v>195</v>
      </c>
      <c r="C277" s="13" t="s">
        <v>463</v>
      </c>
      <c r="D277" s="13" t="s">
        <v>27</v>
      </c>
      <c r="E277" s="13">
        <v>250</v>
      </c>
      <c r="F277" s="13">
        <v>20</v>
      </c>
      <c r="G277" s="13" t="s">
        <v>9</v>
      </c>
      <c r="H277" s="32" t="s">
        <v>718</v>
      </c>
      <c r="I277" s="32">
        <v>51.681594799999999</v>
      </c>
      <c r="J277" s="53">
        <v>37.150344799999999</v>
      </c>
      <c r="K277" s="72">
        <v>402</v>
      </c>
      <c r="L277" s="83"/>
      <c r="N277" s="148" t="s">
        <v>777</v>
      </c>
      <c r="O277" s="112"/>
      <c r="P277" s="112"/>
    </row>
    <row r="278" spans="1:16" x14ac:dyDescent="0.2">
      <c r="A278" s="18">
        <v>258</v>
      </c>
      <c r="B278" s="13" t="s">
        <v>629</v>
      </c>
      <c r="C278" s="13" t="s">
        <v>464</v>
      </c>
      <c r="D278" s="13" t="s">
        <v>27</v>
      </c>
      <c r="E278" s="13">
        <v>330</v>
      </c>
      <c r="F278" s="13">
        <v>30</v>
      </c>
      <c r="G278" s="13" t="s">
        <v>127</v>
      </c>
      <c r="H278" s="32" t="s">
        <v>719</v>
      </c>
      <c r="I278" s="32">
        <v>51.593227400000004</v>
      </c>
      <c r="J278" s="53">
        <v>37.442520100000003</v>
      </c>
      <c r="K278" s="72">
        <v>403</v>
      </c>
      <c r="L278" s="83"/>
      <c r="N278" s="148" t="s">
        <v>777</v>
      </c>
      <c r="O278" s="112"/>
      <c r="P278" s="112"/>
    </row>
    <row r="279" spans="1:16" x14ac:dyDescent="0.2">
      <c r="A279" s="18">
        <v>259</v>
      </c>
      <c r="B279" s="13" t="s">
        <v>456</v>
      </c>
      <c r="C279" s="13" t="s">
        <v>465</v>
      </c>
      <c r="D279" s="13">
        <v>1971</v>
      </c>
      <c r="E279" s="13">
        <v>180</v>
      </c>
      <c r="F279" s="13">
        <v>13</v>
      </c>
      <c r="G279" s="13" t="s">
        <v>127</v>
      </c>
      <c r="H279" s="32" t="s">
        <v>720</v>
      </c>
      <c r="I279" s="32">
        <v>51.689495100000002</v>
      </c>
      <c r="J279" s="53">
        <v>36.991722099999997</v>
      </c>
      <c r="K279" s="72">
        <v>406</v>
      </c>
      <c r="L279" s="83"/>
      <c r="N279" s="148" t="s">
        <v>777</v>
      </c>
      <c r="O279" s="112"/>
      <c r="P279" s="112"/>
    </row>
    <row r="280" spans="1:16" x14ac:dyDescent="0.2">
      <c r="A280" s="18">
        <v>260</v>
      </c>
      <c r="B280" s="13" t="s">
        <v>466</v>
      </c>
      <c r="C280" s="13" t="s">
        <v>467</v>
      </c>
      <c r="D280" s="13" t="s">
        <v>27</v>
      </c>
      <c r="E280" s="13">
        <v>370</v>
      </c>
      <c r="F280" s="13">
        <v>40</v>
      </c>
      <c r="G280" s="13" t="s">
        <v>127</v>
      </c>
      <c r="H280" s="32" t="s">
        <v>721</v>
      </c>
      <c r="I280" s="32">
        <v>51.726547199999999</v>
      </c>
      <c r="J280" s="53">
        <v>37.1611786</v>
      </c>
      <c r="K280" s="72">
        <v>407</v>
      </c>
      <c r="L280" s="83"/>
      <c r="N280" s="148" t="s">
        <v>777</v>
      </c>
      <c r="O280" s="112"/>
      <c r="P280" s="112"/>
    </row>
    <row r="281" spans="1:16" ht="15.75" thickBot="1" x14ac:dyDescent="0.25">
      <c r="A281" s="18">
        <v>261</v>
      </c>
      <c r="B281" s="14" t="s">
        <v>468</v>
      </c>
      <c r="C281" s="14" t="s">
        <v>469</v>
      </c>
      <c r="D281" s="14" t="s">
        <v>27</v>
      </c>
      <c r="E281" s="14" t="s">
        <v>27</v>
      </c>
      <c r="F281" s="14" t="s">
        <v>27</v>
      </c>
      <c r="G281" s="14" t="s">
        <v>127</v>
      </c>
      <c r="H281" s="38" t="s">
        <v>722</v>
      </c>
      <c r="I281" s="38">
        <v>51.692184400000002</v>
      </c>
      <c r="J281" s="55">
        <v>37.427429199999999</v>
      </c>
      <c r="K281" s="72">
        <v>408</v>
      </c>
      <c r="L281" s="83"/>
      <c r="N281" s="148" t="s">
        <v>777</v>
      </c>
      <c r="O281" s="112"/>
      <c r="P281" s="112"/>
    </row>
    <row r="282" spans="1:16" ht="15.75" thickBot="1" x14ac:dyDescent="0.25">
      <c r="A282" s="209" t="s">
        <v>470</v>
      </c>
      <c r="B282" s="210"/>
      <c r="C282" s="210"/>
      <c r="D282" s="210"/>
      <c r="E282" s="210"/>
      <c r="F282" s="210"/>
      <c r="G282" s="210"/>
      <c r="H282" s="210"/>
      <c r="I282" s="210"/>
      <c r="J282" s="210"/>
      <c r="K282" s="67"/>
      <c r="L282" s="83"/>
      <c r="N282" s="112"/>
      <c r="O282" s="112"/>
      <c r="P282" s="112"/>
    </row>
    <row r="283" spans="1:16" x14ac:dyDescent="0.2">
      <c r="A283" s="18">
        <v>262</v>
      </c>
      <c r="B283" s="18" t="s">
        <v>471</v>
      </c>
      <c r="C283" s="18" t="s">
        <v>472</v>
      </c>
      <c r="D283" s="18">
        <v>1980</v>
      </c>
      <c r="E283" s="18">
        <v>2950</v>
      </c>
      <c r="F283" s="18">
        <v>122</v>
      </c>
      <c r="G283" s="18" t="s">
        <v>20</v>
      </c>
      <c r="H283" s="122" t="s">
        <v>723</v>
      </c>
      <c r="I283" s="32">
        <v>52.050106</v>
      </c>
      <c r="J283" s="53">
        <v>35.8455315</v>
      </c>
      <c r="K283" s="72">
        <v>409</v>
      </c>
      <c r="L283" s="83"/>
      <c r="N283" s="148" t="s">
        <v>777</v>
      </c>
      <c r="O283" s="148" t="s">
        <v>777</v>
      </c>
      <c r="P283" s="148" t="s">
        <v>777</v>
      </c>
    </row>
    <row r="284" spans="1:16" x14ac:dyDescent="0.2">
      <c r="A284" s="18">
        <v>263</v>
      </c>
      <c r="B284" s="13" t="s">
        <v>473</v>
      </c>
      <c r="C284" s="13" t="s">
        <v>474</v>
      </c>
      <c r="D284" s="13">
        <v>1981</v>
      </c>
      <c r="E284" s="13">
        <v>1290</v>
      </c>
      <c r="F284" s="13">
        <v>35</v>
      </c>
      <c r="G284" s="13" t="s">
        <v>9</v>
      </c>
      <c r="H284" s="122" t="s">
        <v>724</v>
      </c>
      <c r="I284" s="32">
        <v>52.183799700000002</v>
      </c>
      <c r="J284" s="53">
        <v>35.873020199999999</v>
      </c>
      <c r="K284" s="72">
        <v>410</v>
      </c>
      <c r="L284" s="83"/>
      <c r="N284" s="148" t="s">
        <v>777</v>
      </c>
      <c r="O284" s="148" t="s">
        <v>777</v>
      </c>
      <c r="P284" s="148" t="s">
        <v>777</v>
      </c>
    </row>
    <row r="285" spans="1:16" x14ac:dyDescent="0.2">
      <c r="A285" s="18">
        <v>264</v>
      </c>
      <c r="B285" s="13" t="s">
        <v>475</v>
      </c>
      <c r="C285" s="13" t="s">
        <v>476</v>
      </c>
      <c r="D285" s="13">
        <v>1978</v>
      </c>
      <c r="E285" s="13">
        <v>1420</v>
      </c>
      <c r="F285" s="13">
        <v>45</v>
      </c>
      <c r="G285" s="13" t="s">
        <v>9</v>
      </c>
      <c r="H285" s="122" t="s">
        <v>725</v>
      </c>
      <c r="I285" s="32">
        <v>52.075553900000003</v>
      </c>
      <c r="J285" s="53">
        <v>35.898326900000001</v>
      </c>
      <c r="K285" s="72">
        <v>411</v>
      </c>
      <c r="L285" s="83"/>
      <c r="N285" s="148" t="s">
        <v>777</v>
      </c>
      <c r="O285" s="148" t="s">
        <v>777</v>
      </c>
      <c r="P285" s="148" t="s">
        <v>777</v>
      </c>
    </row>
    <row r="286" spans="1:16" x14ac:dyDescent="0.2">
      <c r="A286" s="18">
        <v>265</v>
      </c>
      <c r="B286" s="13" t="s">
        <v>477</v>
      </c>
      <c r="C286" s="13" t="s">
        <v>478</v>
      </c>
      <c r="D286" s="13">
        <v>1979</v>
      </c>
      <c r="E286" s="13">
        <v>1330</v>
      </c>
      <c r="F286" s="13">
        <v>52</v>
      </c>
      <c r="G286" s="13" t="s">
        <v>9</v>
      </c>
      <c r="H286" s="122" t="s">
        <v>726</v>
      </c>
      <c r="I286" s="33">
        <v>52.175113699999997</v>
      </c>
      <c r="J286" s="61">
        <v>35.981948899999999</v>
      </c>
      <c r="K286" s="72">
        <v>412</v>
      </c>
      <c r="L286" s="83"/>
      <c r="N286" s="148" t="s">
        <v>777</v>
      </c>
      <c r="O286" s="112"/>
      <c r="P286" s="112"/>
    </row>
    <row r="287" spans="1:16" x14ac:dyDescent="0.2">
      <c r="A287" s="18">
        <v>266</v>
      </c>
      <c r="B287" s="13" t="s">
        <v>479</v>
      </c>
      <c r="C287" s="13" t="s">
        <v>480</v>
      </c>
      <c r="D287" s="13">
        <v>1980</v>
      </c>
      <c r="E287" s="13">
        <v>1950</v>
      </c>
      <c r="F287" s="13">
        <v>88</v>
      </c>
      <c r="G287" s="13" t="s">
        <v>20</v>
      </c>
      <c r="H287" s="122" t="s">
        <v>727</v>
      </c>
      <c r="I287" s="33">
        <v>51.975124399999999</v>
      </c>
      <c r="J287" s="61">
        <v>35.7545395</v>
      </c>
      <c r="K287" s="72">
        <v>413</v>
      </c>
      <c r="L287" s="83"/>
      <c r="N287" s="148" t="s">
        <v>777</v>
      </c>
      <c r="O287" s="148" t="s">
        <v>777</v>
      </c>
      <c r="P287" s="148" t="s">
        <v>777</v>
      </c>
    </row>
    <row r="288" spans="1:16" x14ac:dyDescent="0.2">
      <c r="A288" s="18">
        <v>267</v>
      </c>
      <c r="B288" s="13" t="s">
        <v>481</v>
      </c>
      <c r="C288" s="13" t="s">
        <v>482</v>
      </c>
      <c r="D288" s="13">
        <v>1981</v>
      </c>
      <c r="E288" s="13">
        <v>2500</v>
      </c>
      <c r="F288" s="13">
        <v>120</v>
      </c>
      <c r="G288" s="13" t="s">
        <v>9</v>
      </c>
      <c r="H288" s="122" t="s">
        <v>728</v>
      </c>
      <c r="I288" s="33">
        <v>52.194088000000001</v>
      </c>
      <c r="J288" s="61">
        <v>35.758361800000003</v>
      </c>
      <c r="K288" s="72">
        <v>414</v>
      </c>
      <c r="L288" s="83"/>
      <c r="N288" s="148" t="s">
        <v>777</v>
      </c>
      <c r="O288" s="148" t="s">
        <v>777</v>
      </c>
      <c r="P288" s="148" t="s">
        <v>777</v>
      </c>
    </row>
    <row r="289" spans="1:16" x14ac:dyDescent="0.2">
      <c r="A289" s="181">
        <v>268</v>
      </c>
      <c r="B289" s="86" t="s">
        <v>483</v>
      </c>
      <c r="C289" s="86" t="s">
        <v>484</v>
      </c>
      <c r="D289" s="86">
        <v>1982</v>
      </c>
      <c r="E289" s="86">
        <v>920</v>
      </c>
      <c r="F289" s="86">
        <v>33</v>
      </c>
      <c r="G289" s="86" t="s">
        <v>20</v>
      </c>
      <c r="H289" s="122" t="s">
        <v>729</v>
      </c>
      <c r="I289" s="92" t="s">
        <v>730</v>
      </c>
      <c r="J289" s="93" t="s">
        <v>731</v>
      </c>
      <c r="K289" s="94">
        <v>415</v>
      </c>
      <c r="L289" s="81" t="s">
        <v>765</v>
      </c>
      <c r="M289" s="2" t="s">
        <v>777</v>
      </c>
      <c r="N289" s="148" t="s">
        <v>777</v>
      </c>
      <c r="O289" s="148" t="s">
        <v>777</v>
      </c>
      <c r="P289" s="148" t="s">
        <v>777</v>
      </c>
    </row>
    <row r="290" spans="1:16" x14ac:dyDescent="0.2">
      <c r="A290" s="18">
        <v>269</v>
      </c>
      <c r="B290" s="13" t="s">
        <v>195</v>
      </c>
      <c r="C290" s="13" t="s">
        <v>485</v>
      </c>
      <c r="D290" s="13">
        <v>1958</v>
      </c>
      <c r="E290" s="13">
        <v>449</v>
      </c>
      <c r="F290" s="13">
        <v>13</v>
      </c>
      <c r="G290" s="13" t="s">
        <v>9</v>
      </c>
      <c r="H290" s="122" t="s">
        <v>732</v>
      </c>
      <c r="I290" s="33">
        <v>52.0604248</v>
      </c>
      <c r="J290" s="61">
        <v>36.066699999999997</v>
      </c>
      <c r="K290" s="72">
        <v>416</v>
      </c>
      <c r="L290" s="83"/>
      <c r="N290" s="148" t="s">
        <v>777</v>
      </c>
      <c r="O290" s="148" t="s">
        <v>777</v>
      </c>
      <c r="P290" s="148" t="s">
        <v>777</v>
      </c>
    </row>
    <row r="291" spans="1:16" x14ac:dyDescent="0.2">
      <c r="A291" s="18">
        <v>270</v>
      </c>
      <c r="B291" s="13" t="s">
        <v>486</v>
      </c>
      <c r="C291" s="13" t="s">
        <v>487</v>
      </c>
      <c r="D291" s="13">
        <v>1949</v>
      </c>
      <c r="E291" s="13">
        <v>132</v>
      </c>
      <c r="F291" s="13">
        <v>4</v>
      </c>
      <c r="G291" s="13" t="s">
        <v>9</v>
      </c>
      <c r="H291" s="122" t="s">
        <v>732</v>
      </c>
      <c r="I291" s="32">
        <v>52.085330999999996</v>
      </c>
      <c r="J291" s="53">
        <v>35.992420199999998</v>
      </c>
      <c r="K291" s="72">
        <v>417</v>
      </c>
      <c r="L291" s="83"/>
      <c r="N291" s="148" t="s">
        <v>777</v>
      </c>
      <c r="O291" s="148" t="s">
        <v>777</v>
      </c>
      <c r="P291" s="148" t="s">
        <v>777</v>
      </c>
    </row>
    <row r="292" spans="1:16" x14ac:dyDescent="0.2">
      <c r="A292" s="34">
        <v>271</v>
      </c>
      <c r="B292" s="40" t="s">
        <v>56</v>
      </c>
      <c r="C292" s="40" t="s">
        <v>488</v>
      </c>
      <c r="D292" s="40" t="s">
        <v>27</v>
      </c>
      <c r="E292" s="40">
        <v>70</v>
      </c>
      <c r="F292" s="40">
        <v>2.2999999999999998</v>
      </c>
      <c r="G292" s="40" t="s">
        <v>127</v>
      </c>
      <c r="H292" s="122" t="s">
        <v>586</v>
      </c>
      <c r="I292" s="26" t="s">
        <v>782</v>
      </c>
      <c r="J292" s="54" t="s">
        <v>783</v>
      </c>
      <c r="K292" s="66" t="s">
        <v>561</v>
      </c>
      <c r="L292" s="83"/>
      <c r="M292" s="2" t="s">
        <v>777</v>
      </c>
      <c r="N292" s="148" t="s">
        <v>777</v>
      </c>
      <c r="O292" s="148" t="s">
        <v>777</v>
      </c>
      <c r="P292" s="148" t="s">
        <v>777</v>
      </c>
    </row>
    <row r="293" spans="1:16" x14ac:dyDescent="0.2">
      <c r="A293" s="18">
        <v>272</v>
      </c>
      <c r="B293" s="13" t="s">
        <v>489</v>
      </c>
      <c r="C293" s="13" t="s">
        <v>490</v>
      </c>
      <c r="D293" s="13">
        <v>1975</v>
      </c>
      <c r="E293" s="13">
        <v>343</v>
      </c>
      <c r="F293" s="13">
        <v>20</v>
      </c>
      <c r="G293" s="13" t="s">
        <v>127</v>
      </c>
      <c r="H293" s="122" t="s">
        <v>733</v>
      </c>
      <c r="I293" s="33">
        <v>52.0948639</v>
      </c>
      <c r="J293" s="61">
        <v>35.862957000000002</v>
      </c>
      <c r="K293" s="72">
        <v>418</v>
      </c>
      <c r="L293" s="83"/>
      <c r="N293" s="148" t="s">
        <v>777</v>
      </c>
      <c r="O293" s="148" t="s">
        <v>777</v>
      </c>
      <c r="P293" s="148" t="s">
        <v>777</v>
      </c>
    </row>
    <row r="294" spans="1:16" x14ac:dyDescent="0.2">
      <c r="A294" s="181">
        <v>273</v>
      </c>
      <c r="B294" s="86" t="s">
        <v>195</v>
      </c>
      <c r="C294" s="86" t="s">
        <v>491</v>
      </c>
      <c r="D294" s="86">
        <v>1951</v>
      </c>
      <c r="E294" s="86">
        <v>180</v>
      </c>
      <c r="F294" s="86">
        <v>12</v>
      </c>
      <c r="G294" s="86" t="s">
        <v>117</v>
      </c>
      <c r="H294" s="122" t="s">
        <v>1137</v>
      </c>
      <c r="I294" s="92" t="s">
        <v>734</v>
      </c>
      <c r="J294" s="93" t="s">
        <v>735</v>
      </c>
      <c r="K294" s="94">
        <v>419</v>
      </c>
      <c r="L294" s="81" t="s">
        <v>765</v>
      </c>
      <c r="M294" s="2" t="s">
        <v>777</v>
      </c>
      <c r="N294" s="148" t="s">
        <v>777</v>
      </c>
      <c r="O294" s="148" t="s">
        <v>777</v>
      </c>
      <c r="P294" s="148" t="s">
        <v>777</v>
      </c>
    </row>
    <row r="295" spans="1:16" ht="15.75" thickBot="1" x14ac:dyDescent="0.25">
      <c r="A295" s="35">
        <v>274</v>
      </c>
      <c r="B295" s="14" t="s">
        <v>492</v>
      </c>
      <c r="C295" s="14" t="s">
        <v>493</v>
      </c>
      <c r="D295" s="14">
        <v>1951</v>
      </c>
      <c r="E295" s="14">
        <v>400</v>
      </c>
      <c r="F295" s="14">
        <v>20</v>
      </c>
      <c r="G295" s="14" t="s">
        <v>9</v>
      </c>
      <c r="H295" s="122" t="s">
        <v>1137</v>
      </c>
      <c r="I295" s="62">
        <v>52.223674799999998</v>
      </c>
      <c r="J295" s="63">
        <v>35.864463800000003</v>
      </c>
      <c r="K295" s="72">
        <v>420</v>
      </c>
      <c r="L295" s="83"/>
      <c r="N295" s="148" t="s">
        <v>777</v>
      </c>
      <c r="O295" s="148" t="s">
        <v>777</v>
      </c>
      <c r="P295" s="148" t="s">
        <v>777</v>
      </c>
    </row>
    <row r="296" spans="1:16" ht="15.75" thickBot="1" x14ac:dyDescent="0.25">
      <c r="A296" s="193" t="s">
        <v>494</v>
      </c>
      <c r="B296" s="194"/>
      <c r="C296" s="194"/>
      <c r="D296" s="194"/>
      <c r="E296" s="194"/>
      <c r="F296" s="194"/>
      <c r="G296" s="194"/>
      <c r="H296" s="194"/>
      <c r="I296" s="194"/>
      <c r="J296" s="194"/>
      <c r="K296" s="67"/>
      <c r="L296" s="83"/>
      <c r="N296" s="112"/>
      <c r="O296" s="112"/>
      <c r="P296" s="112"/>
    </row>
    <row r="297" spans="1:16" ht="30" x14ac:dyDescent="0.2">
      <c r="A297" s="18">
        <v>275</v>
      </c>
      <c r="B297" s="18" t="s">
        <v>495</v>
      </c>
      <c r="C297" s="18" t="s">
        <v>496</v>
      </c>
      <c r="D297" s="18">
        <v>1975</v>
      </c>
      <c r="E297" s="18">
        <v>560</v>
      </c>
      <c r="F297" s="18">
        <v>14</v>
      </c>
      <c r="G297" s="18" t="s">
        <v>9</v>
      </c>
      <c r="H297" s="33" t="s">
        <v>736</v>
      </c>
      <c r="I297" s="33">
        <v>52.046955099999998</v>
      </c>
      <c r="J297" s="61">
        <v>37.006298100000002</v>
      </c>
      <c r="K297" s="72">
        <v>431</v>
      </c>
      <c r="L297" s="83"/>
      <c r="N297" s="148" t="s">
        <v>777</v>
      </c>
      <c r="O297" s="112"/>
      <c r="P297" s="112"/>
    </row>
    <row r="298" spans="1:16" ht="25.5" x14ac:dyDescent="0.2">
      <c r="A298" s="181">
        <v>276</v>
      </c>
      <c r="B298" s="86" t="s">
        <v>497</v>
      </c>
      <c r="C298" s="86" t="s">
        <v>498</v>
      </c>
      <c r="D298" s="86">
        <v>1977</v>
      </c>
      <c r="E298" s="86">
        <v>860</v>
      </c>
      <c r="F298" s="86">
        <v>24</v>
      </c>
      <c r="G298" s="86" t="s">
        <v>9</v>
      </c>
      <c r="H298" s="92" t="s">
        <v>737</v>
      </c>
      <c r="I298" s="92">
        <v>51.910110500000002</v>
      </c>
      <c r="J298" s="93">
        <v>37.227356</v>
      </c>
      <c r="K298" s="94">
        <v>432</v>
      </c>
      <c r="L298" s="81" t="s">
        <v>774</v>
      </c>
      <c r="M298" s="2" t="s">
        <v>777</v>
      </c>
      <c r="N298" s="148" t="s">
        <v>777</v>
      </c>
      <c r="O298" s="112"/>
      <c r="P298" s="112"/>
    </row>
    <row r="299" spans="1:16" ht="30" x14ac:dyDescent="0.2">
      <c r="A299" s="181">
        <v>277</v>
      </c>
      <c r="B299" s="86" t="s">
        <v>499</v>
      </c>
      <c r="C299" s="86" t="s">
        <v>500</v>
      </c>
      <c r="D299" s="86" t="s">
        <v>27</v>
      </c>
      <c r="E299" s="86">
        <v>375</v>
      </c>
      <c r="F299" s="86">
        <v>12</v>
      </c>
      <c r="G299" s="86" t="s">
        <v>9</v>
      </c>
      <c r="H299" s="92" t="s">
        <v>736</v>
      </c>
      <c r="I299" s="92" t="s">
        <v>738</v>
      </c>
      <c r="J299" s="93" t="s">
        <v>739</v>
      </c>
      <c r="K299" s="94">
        <v>433</v>
      </c>
      <c r="L299" s="81" t="s">
        <v>765</v>
      </c>
      <c r="M299" s="2" t="s">
        <v>777</v>
      </c>
      <c r="N299" s="148" t="s">
        <v>777</v>
      </c>
      <c r="O299" s="112"/>
      <c r="P299" s="112"/>
    </row>
    <row r="300" spans="1:16" ht="30" x14ac:dyDescent="0.2">
      <c r="A300" s="18">
        <v>278</v>
      </c>
      <c r="B300" s="13" t="s">
        <v>501</v>
      </c>
      <c r="C300" s="13" t="s">
        <v>216</v>
      </c>
      <c r="D300" s="13" t="s">
        <v>27</v>
      </c>
      <c r="E300" s="13">
        <v>140</v>
      </c>
      <c r="F300" s="13">
        <v>11</v>
      </c>
      <c r="G300" s="13" t="s">
        <v>9</v>
      </c>
      <c r="H300" s="33" t="s">
        <v>736</v>
      </c>
      <c r="I300" s="33">
        <v>51.838077499999997</v>
      </c>
      <c r="J300" s="61">
        <v>37.149745899999999</v>
      </c>
      <c r="K300" s="72">
        <v>434</v>
      </c>
      <c r="L300" s="83"/>
      <c r="N300" s="148" t="s">
        <v>777</v>
      </c>
      <c r="O300" s="112"/>
      <c r="P300" s="112"/>
    </row>
    <row r="301" spans="1:16" ht="30" x14ac:dyDescent="0.2">
      <c r="A301" s="18">
        <v>279</v>
      </c>
      <c r="B301" s="13" t="s">
        <v>501</v>
      </c>
      <c r="C301" s="13" t="s">
        <v>502</v>
      </c>
      <c r="D301" s="13" t="s">
        <v>27</v>
      </c>
      <c r="E301" s="13">
        <v>120</v>
      </c>
      <c r="F301" s="13">
        <v>10</v>
      </c>
      <c r="G301" s="13" t="s">
        <v>9</v>
      </c>
      <c r="H301" s="33" t="s">
        <v>736</v>
      </c>
      <c r="I301" s="33">
        <v>51.844303099999998</v>
      </c>
      <c r="J301" s="61">
        <v>37.2025948</v>
      </c>
      <c r="K301" s="72">
        <v>435</v>
      </c>
      <c r="L301" s="83"/>
      <c r="N301" s="148" t="s">
        <v>777</v>
      </c>
      <c r="O301" s="112"/>
      <c r="P301" s="112"/>
    </row>
    <row r="302" spans="1:16" ht="30" x14ac:dyDescent="0.2">
      <c r="A302" s="18">
        <v>280</v>
      </c>
      <c r="B302" s="13" t="s">
        <v>503</v>
      </c>
      <c r="C302" s="13" t="s">
        <v>504</v>
      </c>
      <c r="D302" s="13">
        <v>1981</v>
      </c>
      <c r="E302" s="13">
        <v>350</v>
      </c>
      <c r="F302" s="13">
        <v>23</v>
      </c>
      <c r="G302" s="13" t="s">
        <v>9</v>
      </c>
      <c r="H302" s="33" t="s">
        <v>736</v>
      </c>
      <c r="I302" s="33">
        <v>51.997520399999999</v>
      </c>
      <c r="J302" s="61">
        <v>37.013763400000002</v>
      </c>
      <c r="K302" s="72">
        <v>436</v>
      </c>
      <c r="L302" s="83"/>
      <c r="N302" s="148" t="s">
        <v>777</v>
      </c>
      <c r="O302" s="112"/>
      <c r="P302" s="112"/>
    </row>
    <row r="303" spans="1:16" ht="30.75" thickBot="1" x14ac:dyDescent="0.25">
      <c r="A303" s="180">
        <v>281</v>
      </c>
      <c r="B303" s="179" t="s">
        <v>505</v>
      </c>
      <c r="C303" s="179" t="s">
        <v>506</v>
      </c>
      <c r="D303" s="179" t="s">
        <v>27</v>
      </c>
      <c r="E303" s="179">
        <v>240</v>
      </c>
      <c r="F303" s="179">
        <v>8</v>
      </c>
      <c r="G303" s="179" t="s">
        <v>9</v>
      </c>
      <c r="H303" s="99" t="s">
        <v>736</v>
      </c>
      <c r="I303" s="99" t="s">
        <v>740</v>
      </c>
      <c r="J303" s="100" t="s">
        <v>741</v>
      </c>
      <c r="K303" s="94">
        <v>437</v>
      </c>
      <c r="L303" s="81" t="s">
        <v>765</v>
      </c>
      <c r="M303" s="2" t="s">
        <v>777</v>
      </c>
      <c r="N303" s="148" t="s">
        <v>777</v>
      </c>
      <c r="O303" s="112"/>
      <c r="P303" s="112"/>
    </row>
    <row r="304" spans="1:16" ht="15.75" thickBot="1" x14ac:dyDescent="0.25">
      <c r="A304" s="193" t="s">
        <v>507</v>
      </c>
      <c r="B304" s="194"/>
      <c r="C304" s="194"/>
      <c r="D304" s="194"/>
      <c r="E304" s="194"/>
      <c r="F304" s="194"/>
      <c r="G304" s="194"/>
      <c r="H304" s="194"/>
      <c r="I304" s="194"/>
      <c r="J304" s="194"/>
      <c r="K304" s="67"/>
      <c r="L304" s="83"/>
      <c r="N304" s="112"/>
      <c r="O304" s="112"/>
      <c r="P304" s="112"/>
    </row>
    <row r="305" spans="1:18" x14ac:dyDescent="0.2">
      <c r="A305" s="18">
        <v>282</v>
      </c>
      <c r="B305" s="13" t="s">
        <v>508</v>
      </c>
      <c r="C305" s="13" t="s">
        <v>509</v>
      </c>
      <c r="D305" s="13">
        <v>1984</v>
      </c>
      <c r="E305" s="13">
        <v>1720</v>
      </c>
      <c r="F305" s="13">
        <v>49</v>
      </c>
      <c r="G305" s="13" t="s">
        <v>127</v>
      </c>
      <c r="H305" s="32" t="s">
        <v>742</v>
      </c>
      <c r="I305" s="32">
        <v>52.086917900000003</v>
      </c>
      <c r="J305" s="53">
        <v>36.872714999999999</v>
      </c>
      <c r="K305" s="72">
        <v>439</v>
      </c>
      <c r="L305" s="83"/>
      <c r="N305" s="148" t="s">
        <v>777</v>
      </c>
      <c r="O305" s="112"/>
      <c r="P305" s="112"/>
    </row>
    <row r="306" spans="1:18" ht="15.75" x14ac:dyDescent="0.25">
      <c r="A306" s="18">
        <v>283</v>
      </c>
      <c r="B306" s="13" t="s">
        <v>508</v>
      </c>
      <c r="C306" s="13" t="s">
        <v>510</v>
      </c>
      <c r="D306" s="13" t="s">
        <v>27</v>
      </c>
      <c r="E306" s="13" t="s">
        <v>27</v>
      </c>
      <c r="F306" s="13" t="s">
        <v>27</v>
      </c>
      <c r="G306" s="13" t="s">
        <v>117</v>
      </c>
      <c r="H306" s="32" t="s">
        <v>743</v>
      </c>
      <c r="I306" s="32">
        <v>52.102527600000002</v>
      </c>
      <c r="J306" s="53">
        <v>36.765953099999997</v>
      </c>
      <c r="K306" s="72">
        <v>440</v>
      </c>
      <c r="L306" s="83"/>
      <c r="N306" s="148" t="s">
        <v>777</v>
      </c>
      <c r="O306" s="112"/>
      <c r="P306" s="112"/>
      <c r="Q306" s="173" t="s">
        <v>1186</v>
      </c>
      <c r="R306" s="172"/>
    </row>
    <row r="307" spans="1:18" x14ac:dyDescent="0.2">
      <c r="A307" s="18">
        <v>284</v>
      </c>
      <c r="B307" s="13" t="s">
        <v>511</v>
      </c>
      <c r="C307" s="13" t="s">
        <v>512</v>
      </c>
      <c r="D307" s="13" t="s">
        <v>27</v>
      </c>
      <c r="E307" s="13" t="s">
        <v>27</v>
      </c>
      <c r="F307" s="13" t="s">
        <v>27</v>
      </c>
      <c r="G307" s="13" t="s">
        <v>117</v>
      </c>
      <c r="H307" s="32" t="s">
        <v>586</v>
      </c>
      <c r="I307" s="32">
        <v>52.139667500000002</v>
      </c>
      <c r="J307" s="53">
        <v>36.772846199999996</v>
      </c>
      <c r="K307" s="72">
        <v>441</v>
      </c>
      <c r="L307" s="83"/>
      <c r="N307" s="148" t="s">
        <v>777</v>
      </c>
      <c r="O307" s="112"/>
      <c r="P307" s="112"/>
    </row>
    <row r="308" spans="1:18" ht="30" x14ac:dyDescent="0.2">
      <c r="A308" s="18">
        <v>285</v>
      </c>
      <c r="B308" s="13" t="s">
        <v>513</v>
      </c>
      <c r="C308" s="13" t="s">
        <v>514</v>
      </c>
      <c r="D308" s="13">
        <v>1977</v>
      </c>
      <c r="E308" s="13">
        <v>1830</v>
      </c>
      <c r="F308" s="13">
        <v>67</v>
      </c>
      <c r="G308" s="13" t="s">
        <v>515</v>
      </c>
      <c r="H308" s="32" t="s">
        <v>744</v>
      </c>
      <c r="I308" s="32">
        <v>52.037494700000003</v>
      </c>
      <c r="J308" s="53">
        <v>36.713508599999997</v>
      </c>
      <c r="K308" s="72">
        <v>442</v>
      </c>
      <c r="L308" s="83"/>
      <c r="N308" s="148" t="s">
        <v>777</v>
      </c>
      <c r="O308" s="112"/>
      <c r="P308" s="112"/>
    </row>
    <row r="309" spans="1:18" x14ac:dyDescent="0.2">
      <c r="A309" s="110">
        <v>286</v>
      </c>
      <c r="B309" s="36" t="s">
        <v>224</v>
      </c>
      <c r="C309" s="36" t="s">
        <v>516</v>
      </c>
      <c r="D309" s="36">
        <v>1983</v>
      </c>
      <c r="E309" s="36">
        <v>1750</v>
      </c>
      <c r="F309" s="36">
        <v>44</v>
      </c>
      <c r="G309" s="36" t="s">
        <v>9</v>
      </c>
      <c r="H309" s="33" t="s">
        <v>586</v>
      </c>
      <c r="I309" s="32">
        <v>51.952697800000003</v>
      </c>
      <c r="J309" s="53">
        <v>36.820903800000004</v>
      </c>
      <c r="K309" s="72">
        <v>443</v>
      </c>
      <c r="L309" s="83"/>
      <c r="N309" s="148" t="s">
        <v>777</v>
      </c>
      <c r="O309" s="112"/>
      <c r="P309" s="112"/>
    </row>
    <row r="310" spans="1:18" ht="38.25" x14ac:dyDescent="0.2">
      <c r="A310" s="181">
        <v>287</v>
      </c>
      <c r="B310" s="109" t="s">
        <v>224</v>
      </c>
      <c r="C310" s="109" t="s">
        <v>517</v>
      </c>
      <c r="D310" s="109">
        <v>1983</v>
      </c>
      <c r="E310" s="109">
        <v>1130</v>
      </c>
      <c r="F310" s="109">
        <v>83</v>
      </c>
      <c r="G310" s="109" t="s">
        <v>117</v>
      </c>
      <c r="H310" s="92" t="s">
        <v>586</v>
      </c>
      <c r="I310" s="92">
        <v>51.937984499999999</v>
      </c>
      <c r="J310" s="93">
        <v>36.856376599999997</v>
      </c>
      <c r="K310" s="94">
        <v>444</v>
      </c>
      <c r="L310" s="81" t="s">
        <v>775</v>
      </c>
      <c r="M310" s="2" t="s">
        <v>777</v>
      </c>
      <c r="N310" s="148" t="s">
        <v>777</v>
      </c>
      <c r="O310" s="112"/>
      <c r="P310" s="112"/>
    </row>
    <row r="311" spans="1:18" ht="30" x14ac:dyDescent="0.2">
      <c r="A311" s="18">
        <v>288</v>
      </c>
      <c r="B311" s="13" t="s">
        <v>518</v>
      </c>
      <c r="C311" s="13" t="s">
        <v>519</v>
      </c>
      <c r="D311" s="13">
        <v>1981</v>
      </c>
      <c r="E311" s="13">
        <v>1400</v>
      </c>
      <c r="F311" s="13">
        <v>51</v>
      </c>
      <c r="G311" s="13" t="s">
        <v>520</v>
      </c>
      <c r="H311" s="32" t="s">
        <v>745</v>
      </c>
      <c r="I311" s="32">
        <v>51.830875399999996</v>
      </c>
      <c r="J311" s="53">
        <v>37.019363400000003</v>
      </c>
      <c r="K311" s="72">
        <v>445</v>
      </c>
      <c r="L311" s="83"/>
      <c r="N311" s="148" t="s">
        <v>777</v>
      </c>
      <c r="O311" s="112"/>
      <c r="P311" s="112"/>
    </row>
    <row r="312" spans="1:18" ht="15.75" x14ac:dyDescent="0.25">
      <c r="A312" s="181">
        <v>289</v>
      </c>
      <c r="B312" s="86" t="s">
        <v>518</v>
      </c>
      <c r="C312" s="86" t="s">
        <v>521</v>
      </c>
      <c r="D312" s="86">
        <v>1976</v>
      </c>
      <c r="E312" s="86">
        <v>1310</v>
      </c>
      <c r="F312" s="86">
        <v>47</v>
      </c>
      <c r="G312" s="86" t="s">
        <v>127</v>
      </c>
      <c r="H312" s="92" t="s">
        <v>746</v>
      </c>
      <c r="I312" s="92">
        <v>51.843120599999999</v>
      </c>
      <c r="J312" s="93">
        <v>37.035949700000003</v>
      </c>
      <c r="K312" s="94">
        <v>446</v>
      </c>
      <c r="L312" s="81" t="s">
        <v>771</v>
      </c>
      <c r="M312" s="2" t="s">
        <v>777</v>
      </c>
      <c r="N312" s="148" t="s">
        <v>777</v>
      </c>
      <c r="O312" s="112"/>
      <c r="P312" s="112"/>
      <c r="Q312" s="173" t="s">
        <v>1187</v>
      </c>
    </row>
    <row r="313" spans="1:18" ht="60" x14ac:dyDescent="0.2">
      <c r="A313" s="18">
        <v>290</v>
      </c>
      <c r="B313" s="13" t="s">
        <v>522</v>
      </c>
      <c r="C313" s="13" t="s">
        <v>523</v>
      </c>
      <c r="D313" s="13">
        <v>1985</v>
      </c>
      <c r="E313" s="13">
        <v>1440</v>
      </c>
      <c r="F313" s="13">
        <v>53</v>
      </c>
      <c r="G313" s="13" t="s">
        <v>117</v>
      </c>
      <c r="H313" s="32" t="s">
        <v>747</v>
      </c>
      <c r="I313" s="32">
        <v>51.948253600000001</v>
      </c>
      <c r="J313" s="53">
        <v>36.767105100000002</v>
      </c>
      <c r="K313" s="72">
        <v>447</v>
      </c>
      <c r="L313" s="83"/>
      <c r="N313" s="148" t="s">
        <v>777</v>
      </c>
      <c r="O313" s="112"/>
      <c r="P313" s="112"/>
    </row>
    <row r="314" spans="1:18" ht="15.75" x14ac:dyDescent="0.25">
      <c r="A314" s="181">
        <v>291</v>
      </c>
      <c r="B314" s="86" t="s">
        <v>56</v>
      </c>
      <c r="C314" s="86" t="s">
        <v>524</v>
      </c>
      <c r="D314" s="86">
        <v>1978</v>
      </c>
      <c r="E314" s="86">
        <v>1130</v>
      </c>
      <c r="F314" s="86">
        <v>34</v>
      </c>
      <c r="G314" s="86" t="s">
        <v>17</v>
      </c>
      <c r="H314" s="92" t="s">
        <v>748</v>
      </c>
      <c r="I314" s="92">
        <v>51.784053800000002</v>
      </c>
      <c r="J314" s="93">
        <v>36.644371</v>
      </c>
      <c r="K314" s="94">
        <v>449</v>
      </c>
      <c r="L314" s="81" t="s">
        <v>771</v>
      </c>
      <c r="M314" s="2" t="s">
        <v>777</v>
      </c>
      <c r="N314" s="156"/>
      <c r="O314" s="112"/>
      <c r="P314" s="112"/>
      <c r="Q314" s="173" t="s">
        <v>1189</v>
      </c>
    </row>
    <row r="315" spans="1:18" x14ac:dyDescent="0.2">
      <c r="A315" s="18">
        <v>292</v>
      </c>
      <c r="B315" s="13" t="s">
        <v>525</v>
      </c>
      <c r="C315" s="13" t="s">
        <v>526</v>
      </c>
      <c r="D315" s="13">
        <v>1962</v>
      </c>
      <c r="E315" s="13">
        <v>1000</v>
      </c>
      <c r="F315" s="13">
        <v>50</v>
      </c>
      <c r="G315" s="13" t="s">
        <v>9</v>
      </c>
      <c r="H315" s="32" t="s">
        <v>749</v>
      </c>
      <c r="I315" s="32">
        <v>51.877448999999999</v>
      </c>
      <c r="J315" s="53">
        <v>36.919597600000003</v>
      </c>
      <c r="K315" s="72">
        <v>450</v>
      </c>
      <c r="L315" s="83"/>
      <c r="N315" s="148" t="s">
        <v>777</v>
      </c>
      <c r="O315" s="112"/>
      <c r="P315" s="112"/>
    </row>
    <row r="316" spans="1:18" x14ac:dyDescent="0.2">
      <c r="A316" s="18">
        <v>293</v>
      </c>
      <c r="B316" s="13" t="s">
        <v>527</v>
      </c>
      <c r="C316" s="13" t="s">
        <v>528</v>
      </c>
      <c r="D316" s="13">
        <v>1988</v>
      </c>
      <c r="E316" s="13">
        <v>3320</v>
      </c>
      <c r="F316" s="13">
        <v>164</v>
      </c>
      <c r="G316" s="13" t="s">
        <v>9</v>
      </c>
      <c r="H316" s="32" t="s">
        <v>750</v>
      </c>
      <c r="I316" s="32">
        <v>51.819541899999997</v>
      </c>
      <c r="J316" s="53">
        <v>36.744762399999999</v>
      </c>
      <c r="K316" s="72">
        <v>451</v>
      </c>
      <c r="L316" s="83"/>
      <c r="N316" s="148" t="s">
        <v>777</v>
      </c>
      <c r="O316" s="112"/>
      <c r="P316" s="112"/>
    </row>
    <row r="317" spans="1:18" ht="15.75" x14ac:dyDescent="0.25">
      <c r="A317" s="18">
        <v>294</v>
      </c>
      <c r="B317" s="13" t="s">
        <v>529</v>
      </c>
      <c r="C317" s="13" t="s">
        <v>530</v>
      </c>
      <c r="D317" s="13">
        <v>1950</v>
      </c>
      <c r="E317" s="13">
        <v>535</v>
      </c>
      <c r="F317" s="13">
        <v>41</v>
      </c>
      <c r="G317" s="13" t="s">
        <v>117</v>
      </c>
      <c r="H317" s="32" t="s">
        <v>751</v>
      </c>
      <c r="I317" s="32">
        <v>51.682975800000001</v>
      </c>
      <c r="J317" s="53">
        <v>36.788814500000001</v>
      </c>
      <c r="K317" s="72">
        <v>452</v>
      </c>
      <c r="L317" s="83"/>
      <c r="N317" s="148" t="s">
        <v>777</v>
      </c>
      <c r="O317" s="112"/>
      <c r="P317" s="112"/>
      <c r="Q317" s="187"/>
    </row>
    <row r="318" spans="1:18" x14ac:dyDescent="0.2">
      <c r="A318" s="18">
        <v>295</v>
      </c>
      <c r="B318" s="13" t="s">
        <v>531</v>
      </c>
      <c r="C318" s="13" t="s">
        <v>532</v>
      </c>
      <c r="D318" s="13">
        <v>1980</v>
      </c>
      <c r="E318" s="13">
        <v>1131</v>
      </c>
      <c r="F318" s="13">
        <v>42</v>
      </c>
      <c r="G318" s="13" t="s">
        <v>127</v>
      </c>
      <c r="H318" s="32" t="s">
        <v>752</v>
      </c>
      <c r="I318" s="32">
        <v>52.0861473</v>
      </c>
      <c r="J318" s="53">
        <v>36.834358199999997</v>
      </c>
      <c r="K318" s="72">
        <v>453</v>
      </c>
      <c r="L318" s="83"/>
      <c r="N318" s="148" t="s">
        <v>777</v>
      </c>
      <c r="O318" s="112"/>
      <c r="P318" s="112"/>
    </row>
    <row r="319" spans="1:18" ht="30" x14ac:dyDescent="0.2">
      <c r="A319" s="18">
        <v>296</v>
      </c>
      <c r="B319" s="13" t="s">
        <v>525</v>
      </c>
      <c r="C319" s="13" t="s">
        <v>533</v>
      </c>
      <c r="D319" s="13">
        <v>1954</v>
      </c>
      <c r="E319" s="13">
        <v>600</v>
      </c>
      <c r="F319" s="13">
        <v>31</v>
      </c>
      <c r="G319" s="13" t="s">
        <v>117</v>
      </c>
      <c r="H319" s="32" t="s">
        <v>753</v>
      </c>
      <c r="I319" s="32">
        <v>51.875438699999997</v>
      </c>
      <c r="J319" s="53">
        <v>36.974304199999999</v>
      </c>
      <c r="K319" s="72">
        <v>454</v>
      </c>
      <c r="L319" s="83"/>
      <c r="N319" s="148" t="s">
        <v>777</v>
      </c>
      <c r="O319" s="112"/>
      <c r="P319" s="112"/>
    </row>
    <row r="320" spans="1:18" x14ac:dyDescent="0.2">
      <c r="A320" s="181">
        <v>297</v>
      </c>
      <c r="B320" s="86" t="s">
        <v>195</v>
      </c>
      <c r="C320" s="86" t="s">
        <v>534</v>
      </c>
      <c r="D320" s="86">
        <v>1977</v>
      </c>
      <c r="E320" s="86">
        <v>640</v>
      </c>
      <c r="F320" s="86">
        <v>28</v>
      </c>
      <c r="G320" s="86" t="s">
        <v>117</v>
      </c>
      <c r="H320" s="92" t="s">
        <v>754</v>
      </c>
      <c r="I320" s="92">
        <v>51.889183000000003</v>
      </c>
      <c r="J320" s="93">
        <v>36.977985400000001</v>
      </c>
      <c r="K320" s="94">
        <v>455</v>
      </c>
      <c r="L320" s="81" t="s">
        <v>771</v>
      </c>
      <c r="M320" s="2" t="s">
        <v>777</v>
      </c>
      <c r="N320" s="148" t="s">
        <v>777</v>
      </c>
      <c r="O320" s="112"/>
      <c r="P320" s="112"/>
    </row>
    <row r="321" spans="1:1023" x14ac:dyDescent="0.2">
      <c r="A321" s="181">
        <v>298</v>
      </c>
      <c r="B321" s="86" t="s">
        <v>535</v>
      </c>
      <c r="C321" s="86" t="s">
        <v>536</v>
      </c>
      <c r="D321" s="86">
        <v>1976</v>
      </c>
      <c r="E321" s="86">
        <v>600</v>
      </c>
      <c r="F321" s="86">
        <v>29</v>
      </c>
      <c r="G321" s="86" t="s">
        <v>9</v>
      </c>
      <c r="H321" s="92" t="s">
        <v>753</v>
      </c>
      <c r="I321" s="92">
        <v>51.876823399999999</v>
      </c>
      <c r="J321" s="93">
        <v>37.002738999999998</v>
      </c>
      <c r="K321" s="94">
        <v>456</v>
      </c>
      <c r="L321" s="81" t="s">
        <v>771</v>
      </c>
      <c r="M321" s="2" t="s">
        <v>777</v>
      </c>
      <c r="N321" s="148" t="s">
        <v>777</v>
      </c>
      <c r="O321" s="112"/>
      <c r="P321" s="112"/>
    </row>
    <row r="322" spans="1:1023" x14ac:dyDescent="0.2">
      <c r="A322" s="18">
        <v>299</v>
      </c>
      <c r="B322" s="13" t="s">
        <v>537</v>
      </c>
      <c r="C322" s="13" t="s">
        <v>538</v>
      </c>
      <c r="D322" s="13" t="s">
        <v>27</v>
      </c>
      <c r="E322" s="13">
        <v>610</v>
      </c>
      <c r="F322" s="13">
        <v>25</v>
      </c>
      <c r="G322" s="13" t="s">
        <v>17</v>
      </c>
      <c r="H322" s="32" t="s">
        <v>755</v>
      </c>
      <c r="I322" s="32">
        <v>51.862205500000002</v>
      </c>
      <c r="J322" s="53">
        <v>36.896976500000001</v>
      </c>
      <c r="K322" s="72">
        <v>457</v>
      </c>
      <c r="L322" s="83"/>
      <c r="N322" s="148" t="s">
        <v>777</v>
      </c>
      <c r="O322" s="112"/>
      <c r="P322" s="112"/>
    </row>
    <row r="323" spans="1:1023" x14ac:dyDescent="0.2">
      <c r="A323" s="18">
        <v>300</v>
      </c>
      <c r="B323" s="13" t="s">
        <v>527</v>
      </c>
      <c r="C323" s="13" t="s">
        <v>539</v>
      </c>
      <c r="D323" s="13" t="s">
        <v>27</v>
      </c>
      <c r="E323" s="13">
        <v>150</v>
      </c>
      <c r="F323" s="13">
        <v>8</v>
      </c>
      <c r="G323" s="13" t="s">
        <v>117</v>
      </c>
      <c r="H323" s="32" t="s">
        <v>756</v>
      </c>
      <c r="I323" s="32">
        <v>51.787212400000001</v>
      </c>
      <c r="J323" s="53">
        <v>36.828525499999998</v>
      </c>
      <c r="K323" s="72">
        <v>458</v>
      </c>
      <c r="L323" s="83"/>
      <c r="N323" s="148" t="s">
        <v>777</v>
      </c>
      <c r="O323" s="112"/>
      <c r="P323" s="112"/>
    </row>
    <row r="324" spans="1:1023" x14ac:dyDescent="0.2">
      <c r="A324" s="18">
        <v>301</v>
      </c>
      <c r="B324" s="13" t="s">
        <v>540</v>
      </c>
      <c r="C324" s="13" t="s">
        <v>541</v>
      </c>
      <c r="D324" s="13">
        <v>1972</v>
      </c>
      <c r="E324" s="13">
        <v>280</v>
      </c>
      <c r="F324" s="13">
        <v>16</v>
      </c>
      <c r="G324" s="13" t="s">
        <v>117</v>
      </c>
      <c r="H324" s="32" t="s">
        <v>586</v>
      </c>
      <c r="I324" s="32">
        <v>51.856048600000001</v>
      </c>
      <c r="J324" s="53">
        <v>36.758693700000002</v>
      </c>
      <c r="K324" s="72">
        <v>459</v>
      </c>
      <c r="L324" s="83"/>
      <c r="N324" s="148" t="s">
        <v>777</v>
      </c>
      <c r="O324" s="112"/>
      <c r="P324" s="112"/>
    </row>
    <row r="325" spans="1:1023" x14ac:dyDescent="0.2">
      <c r="A325" s="18">
        <v>302</v>
      </c>
      <c r="B325" s="13" t="s">
        <v>540</v>
      </c>
      <c r="C325" s="13" t="s">
        <v>542</v>
      </c>
      <c r="D325" s="13">
        <v>1972</v>
      </c>
      <c r="E325" s="13">
        <v>438</v>
      </c>
      <c r="F325" s="13">
        <v>30</v>
      </c>
      <c r="G325" s="13" t="s">
        <v>9</v>
      </c>
      <c r="H325" s="32" t="s">
        <v>757</v>
      </c>
      <c r="I325" s="32">
        <v>51.836627999999997</v>
      </c>
      <c r="J325" s="53">
        <v>36.757377599999998</v>
      </c>
      <c r="K325" s="72">
        <v>460</v>
      </c>
      <c r="L325" s="83"/>
      <c r="N325" s="148" t="s">
        <v>777</v>
      </c>
      <c r="O325" s="112"/>
      <c r="P325" s="112"/>
    </row>
    <row r="326" spans="1:1023" s="43" customFormat="1" ht="60" x14ac:dyDescent="0.25">
      <c r="A326" s="181">
        <v>303</v>
      </c>
      <c r="B326" s="37" t="s">
        <v>543</v>
      </c>
      <c r="C326" s="37" t="s">
        <v>544</v>
      </c>
      <c r="D326" s="86">
        <v>1968</v>
      </c>
      <c r="E326" s="86">
        <v>430</v>
      </c>
      <c r="F326" s="86">
        <v>27</v>
      </c>
      <c r="G326" s="86" t="s">
        <v>127</v>
      </c>
      <c r="H326" s="92" t="s">
        <v>747</v>
      </c>
      <c r="I326" s="57">
        <v>51.9360809</v>
      </c>
      <c r="J326" s="58">
        <v>36.758609800000002</v>
      </c>
      <c r="K326" s="87">
        <v>461</v>
      </c>
      <c r="L326" s="81" t="s">
        <v>771</v>
      </c>
      <c r="M326" s="42" t="s">
        <v>777</v>
      </c>
      <c r="N326" s="148" t="s">
        <v>777</v>
      </c>
      <c r="O326" s="114"/>
      <c r="P326" s="114"/>
      <c r="Q326" s="187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  <c r="BG326" s="42"/>
      <c r="BH326" s="42"/>
      <c r="BI326" s="42"/>
      <c r="BJ326" s="42"/>
      <c r="BK326" s="42"/>
      <c r="BL326" s="42"/>
      <c r="BM326" s="42"/>
      <c r="BN326" s="42"/>
      <c r="BO326" s="42"/>
      <c r="BP326" s="42"/>
      <c r="BQ326" s="42"/>
      <c r="BR326" s="42"/>
      <c r="BS326" s="42"/>
      <c r="BT326" s="42"/>
      <c r="BU326" s="42"/>
      <c r="BV326" s="42"/>
      <c r="BW326" s="42"/>
      <c r="BX326" s="42"/>
      <c r="BY326" s="42"/>
      <c r="BZ326" s="42"/>
      <c r="CA326" s="42"/>
      <c r="CB326" s="42"/>
      <c r="CC326" s="42"/>
      <c r="CD326" s="42"/>
      <c r="CE326" s="42"/>
      <c r="CF326" s="42"/>
      <c r="CG326" s="42"/>
      <c r="CH326" s="42"/>
      <c r="CI326" s="42"/>
      <c r="CJ326" s="42"/>
      <c r="CK326" s="42"/>
      <c r="CL326" s="42"/>
      <c r="CM326" s="42"/>
      <c r="CN326" s="42"/>
      <c r="CO326" s="42"/>
      <c r="CP326" s="42"/>
      <c r="CQ326" s="42"/>
      <c r="CR326" s="42"/>
      <c r="CS326" s="42"/>
      <c r="CT326" s="42"/>
      <c r="CU326" s="42"/>
      <c r="CV326" s="42"/>
      <c r="CW326" s="42"/>
      <c r="CX326" s="42"/>
      <c r="CY326" s="42"/>
      <c r="CZ326" s="42"/>
      <c r="DA326" s="42"/>
      <c r="DB326" s="42"/>
      <c r="DC326" s="42"/>
      <c r="DD326" s="42"/>
      <c r="DE326" s="42"/>
      <c r="DF326" s="42"/>
      <c r="DG326" s="42"/>
      <c r="DH326" s="42"/>
      <c r="DI326" s="42"/>
      <c r="DJ326" s="42"/>
      <c r="DK326" s="42"/>
      <c r="DL326" s="42"/>
      <c r="DM326" s="42"/>
      <c r="DN326" s="42"/>
      <c r="DO326" s="42"/>
      <c r="DP326" s="42"/>
      <c r="DQ326" s="42"/>
      <c r="DR326" s="42"/>
      <c r="DS326" s="42"/>
      <c r="DT326" s="42"/>
      <c r="DU326" s="42"/>
      <c r="DV326" s="42"/>
      <c r="DW326" s="42"/>
      <c r="DX326" s="42"/>
      <c r="DY326" s="42"/>
      <c r="DZ326" s="42"/>
      <c r="EA326" s="42"/>
      <c r="EB326" s="42"/>
      <c r="EC326" s="42"/>
      <c r="ED326" s="42"/>
      <c r="EE326" s="42"/>
      <c r="EF326" s="42"/>
      <c r="EG326" s="42"/>
      <c r="EH326" s="42"/>
      <c r="EI326" s="42"/>
      <c r="EJ326" s="42"/>
      <c r="EK326" s="42"/>
      <c r="EL326" s="42"/>
      <c r="EM326" s="42"/>
      <c r="EN326" s="42"/>
      <c r="EO326" s="42"/>
      <c r="EP326" s="42"/>
      <c r="EQ326" s="42"/>
      <c r="ER326" s="42"/>
      <c r="ES326" s="42"/>
      <c r="ET326" s="42"/>
      <c r="EU326" s="42"/>
      <c r="EV326" s="42"/>
      <c r="EW326" s="42"/>
      <c r="EX326" s="42"/>
      <c r="EY326" s="42"/>
      <c r="EZ326" s="42"/>
      <c r="FA326" s="42"/>
      <c r="FB326" s="42"/>
      <c r="FC326" s="42"/>
      <c r="FD326" s="42"/>
      <c r="FE326" s="42"/>
      <c r="FF326" s="42"/>
      <c r="FG326" s="42"/>
      <c r="FH326" s="42"/>
      <c r="FI326" s="42"/>
      <c r="FJ326" s="42"/>
      <c r="FK326" s="42"/>
      <c r="FL326" s="42"/>
      <c r="FM326" s="42"/>
      <c r="FN326" s="42"/>
      <c r="FO326" s="42"/>
      <c r="FP326" s="42"/>
      <c r="FQ326" s="42"/>
      <c r="FR326" s="42"/>
      <c r="FS326" s="42"/>
      <c r="FT326" s="42"/>
      <c r="FU326" s="42"/>
      <c r="FV326" s="42"/>
      <c r="FW326" s="42"/>
      <c r="FX326" s="42"/>
      <c r="FY326" s="42"/>
      <c r="FZ326" s="42"/>
      <c r="GA326" s="42"/>
      <c r="GB326" s="42"/>
      <c r="GC326" s="42"/>
      <c r="GD326" s="42"/>
      <c r="GE326" s="42"/>
      <c r="GF326" s="42"/>
      <c r="GG326" s="42"/>
      <c r="GH326" s="42"/>
      <c r="GI326" s="42"/>
      <c r="GJ326" s="42"/>
      <c r="GK326" s="42"/>
      <c r="GL326" s="42"/>
      <c r="GM326" s="42"/>
      <c r="GN326" s="42"/>
      <c r="GO326" s="42"/>
      <c r="GP326" s="42"/>
      <c r="GQ326" s="42"/>
      <c r="GR326" s="42"/>
      <c r="GS326" s="42"/>
      <c r="GT326" s="42"/>
      <c r="GU326" s="42"/>
      <c r="GV326" s="42"/>
      <c r="GW326" s="42"/>
      <c r="GX326" s="42"/>
      <c r="GY326" s="42"/>
      <c r="GZ326" s="42"/>
      <c r="HA326" s="42"/>
      <c r="HB326" s="42"/>
      <c r="HC326" s="42"/>
      <c r="HD326" s="42"/>
      <c r="HE326" s="42"/>
      <c r="HF326" s="42"/>
      <c r="HG326" s="42"/>
      <c r="HH326" s="42"/>
      <c r="HI326" s="42"/>
      <c r="HJ326" s="42"/>
      <c r="HK326" s="42"/>
      <c r="HL326" s="42"/>
      <c r="HM326" s="42"/>
      <c r="HN326" s="42"/>
      <c r="HO326" s="42"/>
      <c r="HP326" s="42"/>
      <c r="HQ326" s="42"/>
      <c r="HR326" s="42"/>
      <c r="HS326" s="42"/>
      <c r="HT326" s="42"/>
      <c r="HU326" s="42"/>
      <c r="HV326" s="42"/>
      <c r="HW326" s="42"/>
      <c r="HX326" s="42"/>
      <c r="HY326" s="42"/>
      <c r="HZ326" s="42"/>
      <c r="IA326" s="42"/>
      <c r="IB326" s="42"/>
      <c r="IC326" s="42"/>
      <c r="ID326" s="42"/>
      <c r="IE326" s="42"/>
      <c r="IF326" s="42"/>
      <c r="IG326" s="42"/>
      <c r="IH326" s="42"/>
      <c r="II326" s="42"/>
      <c r="IJ326" s="42"/>
      <c r="IK326" s="42"/>
      <c r="IL326" s="42"/>
      <c r="IM326" s="42"/>
      <c r="IN326" s="42"/>
      <c r="IO326" s="42"/>
      <c r="IP326" s="42"/>
      <c r="IQ326" s="42"/>
      <c r="IR326" s="42"/>
      <c r="IS326" s="42"/>
      <c r="IT326" s="42"/>
      <c r="IU326" s="42"/>
      <c r="IV326" s="42"/>
      <c r="IW326" s="42"/>
      <c r="IX326" s="42"/>
      <c r="IY326" s="42"/>
      <c r="IZ326" s="42"/>
      <c r="JA326" s="42"/>
      <c r="JB326" s="42"/>
      <c r="JC326" s="42"/>
      <c r="JD326" s="42"/>
      <c r="JE326" s="42"/>
      <c r="JF326" s="42"/>
      <c r="JG326" s="42"/>
      <c r="JH326" s="42"/>
      <c r="JI326" s="42"/>
      <c r="JJ326" s="42"/>
      <c r="JK326" s="42"/>
      <c r="JL326" s="42"/>
      <c r="JM326" s="42"/>
      <c r="JN326" s="42"/>
      <c r="JO326" s="42"/>
      <c r="JP326" s="42"/>
      <c r="JQ326" s="42"/>
      <c r="JR326" s="42"/>
      <c r="JS326" s="42"/>
      <c r="JT326" s="42"/>
      <c r="JU326" s="42"/>
      <c r="JV326" s="42"/>
      <c r="JW326" s="42"/>
      <c r="JX326" s="42"/>
      <c r="JY326" s="42"/>
      <c r="JZ326" s="42"/>
      <c r="KA326" s="42"/>
      <c r="KB326" s="42"/>
      <c r="KC326" s="42"/>
      <c r="KD326" s="42"/>
      <c r="KE326" s="42"/>
      <c r="KF326" s="42"/>
      <c r="KG326" s="42"/>
      <c r="KH326" s="42"/>
      <c r="KI326" s="42"/>
      <c r="KJ326" s="42"/>
      <c r="KK326" s="42"/>
      <c r="KL326" s="42"/>
      <c r="KM326" s="42"/>
      <c r="KN326" s="42"/>
      <c r="KO326" s="42"/>
      <c r="KP326" s="42"/>
      <c r="KQ326" s="42"/>
      <c r="KR326" s="42"/>
      <c r="KS326" s="42"/>
      <c r="KT326" s="42"/>
      <c r="KU326" s="42"/>
      <c r="KV326" s="42"/>
      <c r="KW326" s="42"/>
      <c r="KX326" s="42"/>
      <c r="KY326" s="42"/>
      <c r="KZ326" s="42"/>
      <c r="LA326" s="42"/>
      <c r="LB326" s="42"/>
      <c r="LC326" s="42"/>
      <c r="LD326" s="42"/>
      <c r="LE326" s="42"/>
      <c r="LF326" s="42"/>
      <c r="LG326" s="42"/>
      <c r="LH326" s="42"/>
      <c r="LI326" s="42"/>
      <c r="LJ326" s="42"/>
      <c r="LK326" s="42"/>
      <c r="LL326" s="42"/>
      <c r="LM326" s="42"/>
      <c r="LN326" s="42"/>
      <c r="LO326" s="42"/>
      <c r="LP326" s="42"/>
      <c r="LQ326" s="42"/>
      <c r="LR326" s="42"/>
      <c r="LS326" s="42"/>
      <c r="LT326" s="42"/>
      <c r="LU326" s="42"/>
      <c r="LV326" s="42"/>
      <c r="LW326" s="42"/>
      <c r="LX326" s="42"/>
      <c r="LY326" s="42"/>
      <c r="LZ326" s="42"/>
      <c r="MA326" s="42"/>
      <c r="MB326" s="42"/>
      <c r="MC326" s="42"/>
      <c r="MD326" s="42"/>
      <c r="ME326" s="42"/>
      <c r="MF326" s="42"/>
      <c r="MG326" s="42"/>
      <c r="MH326" s="42"/>
      <c r="MI326" s="42"/>
      <c r="MJ326" s="42"/>
      <c r="MK326" s="42"/>
      <c r="ML326" s="42"/>
      <c r="MM326" s="42"/>
      <c r="MN326" s="42"/>
      <c r="MO326" s="42"/>
      <c r="MP326" s="42"/>
      <c r="MQ326" s="42"/>
      <c r="MR326" s="42"/>
      <c r="MS326" s="42"/>
      <c r="MT326" s="42"/>
      <c r="MU326" s="42"/>
      <c r="MV326" s="42"/>
      <c r="MW326" s="42"/>
      <c r="MX326" s="42"/>
      <c r="MY326" s="42"/>
      <c r="MZ326" s="42"/>
      <c r="NA326" s="42"/>
      <c r="NB326" s="42"/>
      <c r="NC326" s="42"/>
      <c r="ND326" s="42"/>
      <c r="NE326" s="42"/>
      <c r="NF326" s="42"/>
      <c r="NG326" s="42"/>
      <c r="NH326" s="42"/>
      <c r="NI326" s="42"/>
      <c r="NJ326" s="42"/>
      <c r="NK326" s="42"/>
      <c r="NL326" s="42"/>
      <c r="NM326" s="42"/>
      <c r="NN326" s="42"/>
      <c r="NO326" s="42"/>
      <c r="NP326" s="42"/>
      <c r="NQ326" s="42"/>
      <c r="NR326" s="42"/>
      <c r="NS326" s="42"/>
      <c r="NT326" s="42"/>
      <c r="NU326" s="42"/>
      <c r="NV326" s="42"/>
      <c r="NW326" s="42"/>
      <c r="NX326" s="42"/>
      <c r="NY326" s="42"/>
      <c r="NZ326" s="42"/>
      <c r="OA326" s="42"/>
      <c r="OB326" s="42"/>
      <c r="OC326" s="42"/>
      <c r="OD326" s="42"/>
      <c r="OE326" s="42"/>
      <c r="OF326" s="42"/>
      <c r="OG326" s="42"/>
      <c r="OH326" s="42"/>
      <c r="OI326" s="42"/>
      <c r="OJ326" s="42"/>
      <c r="OK326" s="42"/>
      <c r="OL326" s="42"/>
      <c r="OM326" s="42"/>
      <c r="ON326" s="42"/>
      <c r="OO326" s="42"/>
      <c r="OP326" s="42"/>
      <c r="OQ326" s="42"/>
      <c r="OR326" s="42"/>
      <c r="OS326" s="42"/>
      <c r="OT326" s="42"/>
      <c r="OU326" s="42"/>
      <c r="OV326" s="42"/>
      <c r="OW326" s="42"/>
      <c r="OX326" s="42"/>
      <c r="OY326" s="42"/>
      <c r="OZ326" s="42"/>
      <c r="PA326" s="42"/>
      <c r="PB326" s="42"/>
      <c r="PC326" s="42"/>
      <c r="PD326" s="42"/>
      <c r="PE326" s="42"/>
      <c r="PF326" s="42"/>
      <c r="PG326" s="42"/>
      <c r="PH326" s="42"/>
      <c r="PI326" s="42"/>
      <c r="PJ326" s="42"/>
      <c r="PK326" s="42"/>
      <c r="PL326" s="42"/>
      <c r="PM326" s="42"/>
      <c r="PN326" s="42"/>
      <c r="PO326" s="42"/>
      <c r="PP326" s="42"/>
      <c r="PQ326" s="42"/>
      <c r="PR326" s="42"/>
      <c r="PS326" s="42"/>
      <c r="PT326" s="42"/>
      <c r="PU326" s="42"/>
      <c r="PV326" s="42"/>
      <c r="PW326" s="42"/>
      <c r="PX326" s="42"/>
      <c r="PY326" s="42"/>
      <c r="PZ326" s="42"/>
      <c r="QA326" s="42"/>
      <c r="QB326" s="42"/>
      <c r="QC326" s="42"/>
      <c r="QD326" s="42"/>
      <c r="QE326" s="42"/>
      <c r="QF326" s="42"/>
      <c r="QG326" s="42"/>
      <c r="QH326" s="42"/>
      <c r="QI326" s="42"/>
      <c r="QJ326" s="42"/>
      <c r="QK326" s="42"/>
      <c r="QL326" s="42"/>
      <c r="QM326" s="42"/>
      <c r="QN326" s="42"/>
      <c r="QO326" s="42"/>
      <c r="QP326" s="42"/>
      <c r="QQ326" s="42"/>
      <c r="QR326" s="42"/>
      <c r="QS326" s="42"/>
      <c r="QT326" s="42"/>
      <c r="QU326" s="42"/>
      <c r="QV326" s="42"/>
      <c r="QW326" s="42"/>
      <c r="QX326" s="42"/>
      <c r="QY326" s="42"/>
      <c r="QZ326" s="42"/>
      <c r="RA326" s="42"/>
      <c r="RB326" s="42"/>
      <c r="RC326" s="42"/>
      <c r="RD326" s="42"/>
      <c r="RE326" s="42"/>
      <c r="RF326" s="42"/>
      <c r="RG326" s="42"/>
      <c r="RH326" s="42"/>
      <c r="RI326" s="42"/>
      <c r="RJ326" s="42"/>
      <c r="RK326" s="42"/>
      <c r="RL326" s="42"/>
      <c r="RM326" s="42"/>
      <c r="RN326" s="42"/>
      <c r="RO326" s="42"/>
      <c r="RP326" s="42"/>
      <c r="RQ326" s="42"/>
      <c r="RR326" s="42"/>
      <c r="RS326" s="42"/>
      <c r="RT326" s="42"/>
      <c r="RU326" s="42"/>
      <c r="RV326" s="42"/>
      <c r="RW326" s="42"/>
      <c r="RX326" s="42"/>
      <c r="RY326" s="42"/>
      <c r="RZ326" s="42"/>
      <c r="SA326" s="42"/>
      <c r="SB326" s="42"/>
      <c r="SC326" s="42"/>
      <c r="SD326" s="42"/>
      <c r="SE326" s="42"/>
      <c r="SF326" s="42"/>
      <c r="SG326" s="42"/>
      <c r="SH326" s="42"/>
      <c r="SI326" s="42"/>
      <c r="SJ326" s="42"/>
      <c r="SK326" s="42"/>
      <c r="SL326" s="42"/>
      <c r="SM326" s="42"/>
      <c r="SN326" s="42"/>
      <c r="SO326" s="42"/>
      <c r="SP326" s="42"/>
      <c r="SQ326" s="42"/>
      <c r="SR326" s="42"/>
      <c r="SS326" s="42"/>
      <c r="ST326" s="42"/>
      <c r="SU326" s="42"/>
      <c r="SV326" s="42"/>
      <c r="SW326" s="42"/>
      <c r="SX326" s="42"/>
      <c r="SY326" s="42"/>
      <c r="SZ326" s="42"/>
      <c r="TA326" s="42"/>
      <c r="TB326" s="42"/>
      <c r="TC326" s="42"/>
      <c r="TD326" s="42"/>
      <c r="TE326" s="42"/>
      <c r="TF326" s="42"/>
      <c r="TG326" s="42"/>
      <c r="TH326" s="42"/>
      <c r="TI326" s="42"/>
      <c r="TJ326" s="42"/>
      <c r="TK326" s="42"/>
      <c r="TL326" s="42"/>
      <c r="TM326" s="42"/>
      <c r="TN326" s="42"/>
      <c r="TO326" s="42"/>
      <c r="TP326" s="42"/>
      <c r="TQ326" s="42"/>
      <c r="TR326" s="42"/>
      <c r="TS326" s="42"/>
      <c r="TT326" s="42"/>
      <c r="TU326" s="42"/>
      <c r="TV326" s="42"/>
      <c r="TW326" s="42"/>
      <c r="TX326" s="42"/>
      <c r="TY326" s="42"/>
      <c r="TZ326" s="42"/>
      <c r="UA326" s="42"/>
      <c r="UB326" s="42"/>
      <c r="UC326" s="42"/>
      <c r="UD326" s="42"/>
      <c r="UE326" s="42"/>
      <c r="UF326" s="42"/>
      <c r="UG326" s="42"/>
      <c r="UH326" s="42"/>
      <c r="UI326" s="42"/>
      <c r="UJ326" s="42"/>
      <c r="UK326" s="42"/>
      <c r="UL326" s="42"/>
      <c r="UM326" s="42"/>
      <c r="UN326" s="42"/>
      <c r="UO326" s="42"/>
      <c r="UP326" s="42"/>
      <c r="UQ326" s="42"/>
      <c r="UR326" s="42"/>
      <c r="US326" s="42"/>
      <c r="UT326" s="42"/>
      <c r="UU326" s="42"/>
      <c r="UV326" s="42"/>
      <c r="UW326" s="42"/>
      <c r="UX326" s="42"/>
      <c r="UY326" s="42"/>
      <c r="UZ326" s="42"/>
      <c r="VA326" s="42"/>
      <c r="VB326" s="42"/>
      <c r="VC326" s="42"/>
      <c r="VD326" s="42"/>
      <c r="VE326" s="42"/>
      <c r="VF326" s="42"/>
      <c r="VG326" s="42"/>
      <c r="VH326" s="42"/>
      <c r="VI326" s="42"/>
      <c r="VJ326" s="42"/>
      <c r="VK326" s="42"/>
      <c r="VL326" s="42"/>
      <c r="VM326" s="42"/>
      <c r="VN326" s="42"/>
      <c r="VO326" s="42"/>
      <c r="VP326" s="42"/>
      <c r="VQ326" s="42"/>
      <c r="VR326" s="42"/>
      <c r="VS326" s="42"/>
      <c r="VT326" s="42"/>
      <c r="VU326" s="42"/>
      <c r="VV326" s="42"/>
      <c r="VW326" s="42"/>
      <c r="VX326" s="42"/>
      <c r="VY326" s="42"/>
      <c r="VZ326" s="42"/>
      <c r="WA326" s="42"/>
      <c r="WB326" s="42"/>
      <c r="WC326" s="42"/>
      <c r="WD326" s="42"/>
      <c r="WE326" s="42"/>
      <c r="WF326" s="42"/>
      <c r="WG326" s="42"/>
      <c r="WH326" s="42"/>
      <c r="WI326" s="42"/>
      <c r="WJ326" s="42"/>
      <c r="WK326" s="42"/>
      <c r="WL326" s="42"/>
      <c r="WM326" s="42"/>
      <c r="WN326" s="42"/>
      <c r="WO326" s="42"/>
      <c r="WP326" s="42"/>
      <c r="WQ326" s="42"/>
      <c r="WR326" s="42"/>
      <c r="WS326" s="42"/>
      <c r="WT326" s="42"/>
      <c r="WU326" s="42"/>
      <c r="WV326" s="42"/>
      <c r="WW326" s="42"/>
      <c r="WX326" s="42"/>
      <c r="WY326" s="42"/>
      <c r="WZ326" s="42"/>
      <c r="XA326" s="42"/>
      <c r="XB326" s="42"/>
      <c r="XC326" s="42"/>
      <c r="XD326" s="42"/>
      <c r="XE326" s="42"/>
      <c r="XF326" s="42"/>
      <c r="XG326" s="42"/>
      <c r="XH326" s="42"/>
      <c r="XI326" s="42"/>
      <c r="XJ326" s="42"/>
      <c r="XK326" s="42"/>
      <c r="XL326" s="42"/>
      <c r="XM326" s="42"/>
      <c r="XN326" s="42"/>
      <c r="XO326" s="42"/>
      <c r="XP326" s="42"/>
      <c r="XQ326" s="42"/>
      <c r="XR326" s="42"/>
      <c r="XS326" s="42"/>
      <c r="XT326" s="42"/>
      <c r="XU326" s="42"/>
      <c r="XV326" s="42"/>
      <c r="XW326" s="42"/>
      <c r="XX326" s="42"/>
      <c r="XY326" s="42"/>
      <c r="XZ326" s="42"/>
      <c r="YA326" s="42"/>
      <c r="YB326" s="42"/>
      <c r="YC326" s="42"/>
      <c r="YD326" s="42"/>
      <c r="YE326" s="42"/>
      <c r="YF326" s="42"/>
      <c r="YG326" s="42"/>
      <c r="YH326" s="42"/>
      <c r="YI326" s="42"/>
      <c r="YJ326" s="42"/>
      <c r="YK326" s="42"/>
      <c r="YL326" s="42"/>
      <c r="YM326" s="42"/>
      <c r="YN326" s="42"/>
      <c r="YO326" s="42"/>
      <c r="YP326" s="42"/>
      <c r="YQ326" s="42"/>
      <c r="YR326" s="42"/>
      <c r="YS326" s="42"/>
      <c r="YT326" s="42"/>
      <c r="YU326" s="42"/>
      <c r="YV326" s="42"/>
      <c r="YW326" s="42"/>
      <c r="YX326" s="42"/>
      <c r="YY326" s="42"/>
      <c r="YZ326" s="42"/>
      <c r="ZA326" s="42"/>
      <c r="ZB326" s="42"/>
      <c r="ZC326" s="42"/>
      <c r="ZD326" s="42"/>
      <c r="ZE326" s="42"/>
      <c r="ZF326" s="42"/>
      <c r="ZG326" s="42"/>
      <c r="ZH326" s="42"/>
      <c r="ZI326" s="42"/>
      <c r="ZJ326" s="42"/>
      <c r="ZK326" s="42"/>
      <c r="ZL326" s="42"/>
      <c r="ZM326" s="42"/>
      <c r="ZN326" s="42"/>
      <c r="ZO326" s="42"/>
      <c r="ZP326" s="42"/>
      <c r="ZQ326" s="42"/>
      <c r="ZR326" s="42"/>
      <c r="ZS326" s="42"/>
      <c r="ZT326" s="42"/>
      <c r="ZU326" s="42"/>
      <c r="ZV326" s="42"/>
      <c r="ZW326" s="42"/>
      <c r="ZX326" s="42"/>
      <c r="ZY326" s="42"/>
      <c r="ZZ326" s="42"/>
      <c r="AAA326" s="42"/>
      <c r="AAB326" s="42"/>
      <c r="AAC326" s="42"/>
      <c r="AAD326" s="42"/>
      <c r="AAE326" s="42"/>
      <c r="AAF326" s="42"/>
      <c r="AAG326" s="42"/>
      <c r="AAH326" s="42"/>
      <c r="AAI326" s="42"/>
      <c r="AAJ326" s="42"/>
      <c r="AAK326" s="42"/>
      <c r="AAL326" s="42"/>
      <c r="AAM326" s="42"/>
      <c r="AAN326" s="42"/>
      <c r="AAO326" s="42"/>
      <c r="AAP326" s="42"/>
      <c r="AAQ326" s="42"/>
      <c r="AAR326" s="42"/>
      <c r="AAS326" s="42"/>
      <c r="AAT326" s="42"/>
      <c r="AAU326" s="42"/>
      <c r="AAV326" s="42"/>
      <c r="AAW326" s="42"/>
      <c r="AAX326" s="42"/>
      <c r="AAY326" s="42"/>
      <c r="AAZ326" s="42"/>
      <c r="ABA326" s="42"/>
      <c r="ABB326" s="42"/>
      <c r="ABC326" s="42"/>
      <c r="ABD326" s="42"/>
      <c r="ABE326" s="42"/>
      <c r="ABF326" s="42"/>
      <c r="ABG326" s="42"/>
      <c r="ABH326" s="42"/>
      <c r="ABI326" s="42"/>
      <c r="ABJ326" s="42"/>
      <c r="ABK326" s="42"/>
      <c r="ABL326" s="42"/>
      <c r="ABM326" s="42"/>
      <c r="ABN326" s="42"/>
      <c r="ABO326" s="42"/>
      <c r="ABP326" s="42"/>
      <c r="ABQ326" s="42"/>
      <c r="ABR326" s="42"/>
      <c r="ABS326" s="42"/>
      <c r="ABT326" s="42"/>
      <c r="ABU326" s="42"/>
      <c r="ABV326" s="42"/>
      <c r="ABW326" s="42"/>
      <c r="ABX326" s="42"/>
      <c r="ABY326" s="42"/>
      <c r="ABZ326" s="42"/>
      <c r="ACA326" s="42"/>
      <c r="ACB326" s="42"/>
      <c r="ACC326" s="42"/>
      <c r="ACD326" s="42"/>
      <c r="ACE326" s="42"/>
      <c r="ACF326" s="42"/>
      <c r="ACG326" s="42"/>
      <c r="ACH326" s="42"/>
      <c r="ACI326" s="42"/>
      <c r="ACJ326" s="42"/>
      <c r="ACK326" s="42"/>
      <c r="ACL326" s="42"/>
      <c r="ACM326" s="42"/>
      <c r="ACN326" s="42"/>
      <c r="ACO326" s="42"/>
      <c r="ACP326" s="42"/>
      <c r="ACQ326" s="42"/>
      <c r="ACR326" s="42"/>
      <c r="ACS326" s="42"/>
      <c r="ACT326" s="42"/>
      <c r="ACU326" s="42"/>
      <c r="ACV326" s="42"/>
      <c r="ACW326" s="42"/>
      <c r="ACX326" s="42"/>
      <c r="ACY326" s="42"/>
      <c r="ACZ326" s="42"/>
      <c r="ADA326" s="42"/>
      <c r="ADB326" s="42"/>
      <c r="ADC326" s="42"/>
      <c r="ADD326" s="42"/>
      <c r="ADE326" s="42"/>
      <c r="ADF326" s="42"/>
      <c r="ADG326" s="42"/>
      <c r="ADH326" s="42"/>
      <c r="ADI326" s="42"/>
      <c r="ADJ326" s="42"/>
      <c r="ADK326" s="42"/>
      <c r="ADL326" s="42"/>
      <c r="ADM326" s="42"/>
      <c r="ADN326" s="42"/>
      <c r="ADO326" s="42"/>
      <c r="ADP326" s="42"/>
      <c r="ADQ326" s="42"/>
      <c r="ADR326" s="42"/>
      <c r="ADS326" s="42"/>
      <c r="ADT326" s="42"/>
      <c r="ADU326" s="42"/>
      <c r="ADV326" s="42"/>
      <c r="ADW326" s="42"/>
      <c r="ADX326" s="42"/>
      <c r="ADY326" s="42"/>
      <c r="ADZ326" s="42"/>
      <c r="AEA326" s="42"/>
      <c r="AEB326" s="42"/>
      <c r="AEC326" s="42"/>
      <c r="AED326" s="42"/>
      <c r="AEE326" s="42"/>
      <c r="AEF326" s="42"/>
      <c r="AEG326" s="42"/>
      <c r="AEH326" s="42"/>
      <c r="AEI326" s="42"/>
      <c r="AEJ326" s="42"/>
      <c r="AEK326" s="42"/>
      <c r="AEL326" s="42"/>
      <c r="AEM326" s="42"/>
      <c r="AEN326" s="42"/>
      <c r="AEO326" s="42"/>
      <c r="AEP326" s="42"/>
      <c r="AEQ326" s="42"/>
      <c r="AER326" s="42"/>
      <c r="AES326" s="42"/>
      <c r="AET326" s="42"/>
      <c r="AEU326" s="42"/>
      <c r="AEV326" s="42"/>
      <c r="AEW326" s="42"/>
      <c r="AEX326" s="42"/>
      <c r="AEY326" s="42"/>
      <c r="AEZ326" s="42"/>
      <c r="AFA326" s="42"/>
      <c r="AFB326" s="42"/>
      <c r="AFC326" s="42"/>
      <c r="AFD326" s="42"/>
      <c r="AFE326" s="42"/>
      <c r="AFF326" s="42"/>
      <c r="AFG326" s="42"/>
      <c r="AFH326" s="42"/>
      <c r="AFI326" s="42"/>
      <c r="AFJ326" s="42"/>
      <c r="AFK326" s="42"/>
      <c r="AFL326" s="42"/>
      <c r="AFM326" s="42"/>
      <c r="AFN326" s="42"/>
      <c r="AFO326" s="42"/>
      <c r="AFP326" s="42"/>
      <c r="AFQ326" s="42"/>
      <c r="AFR326" s="42"/>
      <c r="AFS326" s="42"/>
      <c r="AFT326" s="42"/>
      <c r="AFU326" s="42"/>
      <c r="AFV326" s="42"/>
      <c r="AFW326" s="42"/>
      <c r="AFX326" s="42"/>
      <c r="AFY326" s="42"/>
      <c r="AFZ326" s="42"/>
      <c r="AGA326" s="42"/>
      <c r="AGB326" s="42"/>
      <c r="AGC326" s="42"/>
      <c r="AGD326" s="42"/>
      <c r="AGE326" s="42"/>
      <c r="AGF326" s="42"/>
      <c r="AGG326" s="42"/>
      <c r="AGH326" s="42"/>
      <c r="AGI326" s="42"/>
      <c r="AGJ326" s="42"/>
      <c r="AGK326" s="42"/>
      <c r="AGL326" s="42"/>
      <c r="AGM326" s="42"/>
      <c r="AGN326" s="42"/>
      <c r="AGO326" s="42"/>
      <c r="AGP326" s="42"/>
      <c r="AGQ326" s="42"/>
      <c r="AGR326" s="42"/>
      <c r="AGS326" s="42"/>
      <c r="AGT326" s="42"/>
      <c r="AGU326" s="42"/>
      <c r="AGV326" s="42"/>
      <c r="AGW326" s="42"/>
      <c r="AGX326" s="42"/>
      <c r="AGY326" s="42"/>
      <c r="AGZ326" s="42"/>
      <c r="AHA326" s="42"/>
      <c r="AHB326" s="42"/>
      <c r="AHC326" s="42"/>
      <c r="AHD326" s="42"/>
      <c r="AHE326" s="42"/>
      <c r="AHF326" s="42"/>
      <c r="AHG326" s="42"/>
      <c r="AHH326" s="42"/>
      <c r="AHI326" s="42"/>
      <c r="AHJ326" s="42"/>
      <c r="AHK326" s="42"/>
      <c r="AHL326" s="42"/>
      <c r="AHM326" s="42"/>
      <c r="AHN326" s="42"/>
      <c r="AHO326" s="42"/>
      <c r="AHP326" s="42"/>
      <c r="AHQ326" s="42"/>
      <c r="AHR326" s="42"/>
      <c r="AHS326" s="42"/>
      <c r="AHT326" s="42"/>
      <c r="AHU326" s="42"/>
      <c r="AHV326" s="42"/>
      <c r="AHW326" s="42"/>
      <c r="AHX326" s="42"/>
      <c r="AHY326" s="42"/>
      <c r="AHZ326" s="42"/>
      <c r="AIA326" s="42"/>
      <c r="AIB326" s="42"/>
      <c r="AIC326" s="42"/>
      <c r="AID326" s="42"/>
      <c r="AIE326" s="42"/>
      <c r="AIF326" s="42"/>
      <c r="AIG326" s="42"/>
      <c r="AIH326" s="42"/>
      <c r="AII326" s="42"/>
      <c r="AIJ326" s="42"/>
      <c r="AIK326" s="42"/>
      <c r="AIL326" s="42"/>
      <c r="AIM326" s="42"/>
      <c r="AIN326" s="42"/>
      <c r="AIO326" s="42"/>
      <c r="AIP326" s="42"/>
      <c r="AIQ326" s="42"/>
      <c r="AIR326" s="42"/>
      <c r="AIS326" s="42"/>
      <c r="AIT326" s="42"/>
      <c r="AIU326" s="42"/>
      <c r="AIV326" s="42"/>
      <c r="AIW326" s="42"/>
      <c r="AIX326" s="42"/>
      <c r="AIY326" s="42"/>
      <c r="AIZ326" s="42"/>
      <c r="AJA326" s="42"/>
      <c r="AJB326" s="42"/>
      <c r="AJC326" s="42"/>
      <c r="AJD326" s="42"/>
      <c r="AJE326" s="42"/>
      <c r="AJF326" s="42"/>
      <c r="AJG326" s="42"/>
      <c r="AJH326" s="42"/>
      <c r="AJI326" s="42"/>
      <c r="AJJ326" s="42"/>
      <c r="AJK326" s="42"/>
      <c r="AJL326" s="42"/>
      <c r="AJM326" s="42"/>
      <c r="AJN326" s="42"/>
      <c r="AJO326" s="42"/>
      <c r="AJP326" s="42"/>
      <c r="AJQ326" s="42"/>
      <c r="AJR326" s="42"/>
      <c r="AJS326" s="42"/>
      <c r="AJT326" s="42"/>
      <c r="AJU326" s="42"/>
      <c r="AJV326" s="42"/>
      <c r="AJW326" s="42"/>
      <c r="AJX326" s="42"/>
      <c r="AJY326" s="42"/>
      <c r="AJZ326" s="42"/>
      <c r="AKA326" s="42"/>
      <c r="AKB326" s="42"/>
      <c r="AKC326" s="42"/>
      <c r="AKD326" s="42"/>
      <c r="AKE326" s="42"/>
      <c r="AKF326" s="42"/>
      <c r="AKG326" s="42"/>
      <c r="AKH326" s="42"/>
      <c r="AKI326" s="42"/>
      <c r="AKJ326" s="42"/>
      <c r="AKK326" s="42"/>
      <c r="AKL326" s="42"/>
      <c r="AKM326" s="42"/>
      <c r="AKN326" s="42"/>
      <c r="AKO326" s="42"/>
      <c r="AKP326" s="42"/>
      <c r="AKQ326" s="42"/>
      <c r="AKR326" s="42"/>
      <c r="AKS326" s="42"/>
      <c r="AKT326" s="42"/>
      <c r="AKU326" s="42"/>
      <c r="AKV326" s="42"/>
      <c r="AKW326" s="42"/>
      <c r="AKX326" s="42"/>
      <c r="AKY326" s="42"/>
      <c r="AKZ326" s="42"/>
      <c r="ALA326" s="42"/>
      <c r="ALB326" s="42"/>
      <c r="ALC326" s="42"/>
      <c r="ALD326" s="42"/>
      <c r="ALE326" s="42"/>
      <c r="ALF326" s="42"/>
      <c r="ALG326" s="42"/>
      <c r="ALH326" s="42"/>
      <c r="ALI326" s="42"/>
      <c r="ALJ326" s="42"/>
      <c r="ALK326" s="42"/>
      <c r="ALL326" s="42"/>
      <c r="ALM326" s="42"/>
      <c r="ALN326" s="42"/>
      <c r="ALO326" s="42"/>
      <c r="ALP326" s="42"/>
      <c r="ALQ326" s="42"/>
      <c r="ALR326" s="42"/>
      <c r="ALS326" s="42"/>
      <c r="ALT326" s="42"/>
      <c r="ALU326" s="42"/>
      <c r="ALV326" s="42"/>
      <c r="ALW326" s="42"/>
      <c r="ALX326" s="42"/>
      <c r="ALY326" s="42"/>
      <c r="ALZ326" s="42"/>
      <c r="AMA326" s="42"/>
      <c r="AMB326" s="42"/>
      <c r="AMC326" s="42"/>
      <c r="AMD326" s="42"/>
      <c r="AME326" s="42"/>
      <c r="AMF326" s="42"/>
      <c r="AMG326" s="42"/>
      <c r="AMH326" s="42"/>
      <c r="AMI326" s="42"/>
    </row>
    <row r="327" spans="1:1023" x14ac:dyDescent="0.2">
      <c r="A327" s="181">
        <v>304</v>
      </c>
      <c r="B327" s="86" t="s">
        <v>508</v>
      </c>
      <c r="C327" s="86" t="s">
        <v>545</v>
      </c>
      <c r="D327" s="86">
        <v>1950</v>
      </c>
      <c r="E327" s="86">
        <v>200</v>
      </c>
      <c r="F327" s="86">
        <v>17</v>
      </c>
      <c r="G327" s="86" t="s">
        <v>127</v>
      </c>
      <c r="H327" s="92" t="s">
        <v>758</v>
      </c>
      <c r="I327" s="92">
        <v>52.061519599999997</v>
      </c>
      <c r="J327" s="93">
        <v>36.9693909</v>
      </c>
      <c r="K327" s="94">
        <v>462</v>
      </c>
      <c r="L327" s="81" t="s">
        <v>771</v>
      </c>
      <c r="M327" s="2" t="s">
        <v>777</v>
      </c>
      <c r="N327" s="148" t="s">
        <v>777</v>
      </c>
      <c r="O327" s="112"/>
      <c r="P327" s="112"/>
    </row>
    <row r="328" spans="1:1023" ht="60" x14ac:dyDescent="0.2">
      <c r="A328" s="18">
        <v>305</v>
      </c>
      <c r="B328" s="13" t="s">
        <v>546</v>
      </c>
      <c r="C328" s="13" t="s">
        <v>547</v>
      </c>
      <c r="D328" s="13" t="s">
        <v>27</v>
      </c>
      <c r="E328" s="13">
        <v>430</v>
      </c>
      <c r="F328" s="13">
        <v>27</v>
      </c>
      <c r="G328" s="13" t="s">
        <v>127</v>
      </c>
      <c r="H328" s="32" t="s">
        <v>747</v>
      </c>
      <c r="I328" s="32">
        <v>51.914051999999998</v>
      </c>
      <c r="J328" s="53">
        <v>36.739522000000001</v>
      </c>
      <c r="K328" s="72">
        <v>463</v>
      </c>
      <c r="L328" s="83"/>
      <c r="N328" s="148" t="s">
        <v>777</v>
      </c>
      <c r="O328" s="112"/>
      <c r="P328" s="112"/>
    </row>
    <row r="329" spans="1:1023" x14ac:dyDescent="0.25">
      <c r="A329" s="18">
        <v>306</v>
      </c>
      <c r="B329" s="13" t="s">
        <v>548</v>
      </c>
      <c r="C329" s="13" t="s">
        <v>549</v>
      </c>
      <c r="D329" s="13" t="s">
        <v>27</v>
      </c>
      <c r="E329" s="13">
        <v>210</v>
      </c>
      <c r="F329" s="13">
        <v>9</v>
      </c>
      <c r="G329" s="13" t="s">
        <v>20</v>
      </c>
      <c r="H329" s="32" t="s">
        <v>759</v>
      </c>
      <c r="I329" s="32">
        <v>52.010024999999999</v>
      </c>
      <c r="J329" s="53">
        <v>36.7157555</v>
      </c>
      <c r="K329" s="72">
        <v>464</v>
      </c>
      <c r="L329" s="83"/>
      <c r="N329" s="148" t="s">
        <v>777</v>
      </c>
      <c r="O329" s="112"/>
      <c r="P329" s="112"/>
      <c r="Q329" s="177" t="s">
        <v>1176</v>
      </c>
    </row>
    <row r="330" spans="1:1023" ht="26.25" x14ac:dyDescent="0.25">
      <c r="A330" s="181">
        <v>307</v>
      </c>
      <c r="B330" s="86" t="s">
        <v>550</v>
      </c>
      <c r="C330" s="86" t="s">
        <v>551</v>
      </c>
      <c r="D330" s="86">
        <v>1950</v>
      </c>
      <c r="E330" s="86">
        <v>535</v>
      </c>
      <c r="F330" s="86">
        <v>38</v>
      </c>
      <c r="G330" s="86" t="s">
        <v>9</v>
      </c>
      <c r="H330" s="92" t="s">
        <v>751</v>
      </c>
      <c r="I330" s="92">
        <v>51.716838799999998</v>
      </c>
      <c r="J330" s="93">
        <v>36.738876300000001</v>
      </c>
      <c r="K330" s="94">
        <v>465</v>
      </c>
      <c r="L330" s="81" t="s">
        <v>776</v>
      </c>
      <c r="M330" s="2" t="s">
        <v>777</v>
      </c>
      <c r="N330" s="148" t="s">
        <v>777</v>
      </c>
      <c r="O330" s="112"/>
      <c r="P330" s="112"/>
      <c r="Q330" s="173" t="s">
        <v>1188</v>
      </c>
    </row>
    <row r="331" spans="1:1023" ht="30.75" thickBot="1" x14ac:dyDescent="0.25">
      <c r="A331" s="18">
        <v>308</v>
      </c>
      <c r="B331" s="41" t="s">
        <v>552</v>
      </c>
      <c r="C331" s="13" t="s">
        <v>536</v>
      </c>
      <c r="D331" s="13" t="s">
        <v>27</v>
      </c>
      <c r="E331" s="13" t="s">
        <v>27</v>
      </c>
      <c r="F331" s="13" t="s">
        <v>27</v>
      </c>
      <c r="G331" s="13" t="s">
        <v>9</v>
      </c>
      <c r="H331" s="32" t="s">
        <v>760</v>
      </c>
      <c r="I331" s="32">
        <v>51.889668</v>
      </c>
      <c r="J331" s="53">
        <v>36.879337</v>
      </c>
      <c r="K331" s="75">
        <v>466</v>
      </c>
      <c r="L331" s="83"/>
      <c r="N331" s="148" t="s">
        <v>777</v>
      </c>
      <c r="O331" s="112"/>
      <c r="P331" s="112"/>
    </row>
    <row r="332" spans="1:1023" x14ac:dyDescent="0.2">
      <c r="M332" s="149" t="s">
        <v>1147</v>
      </c>
      <c r="N332" s="150">
        <f>COUNTIF(N2:N331, "+")</f>
        <v>301</v>
      </c>
      <c r="O332" s="150">
        <f t="shared" ref="O332:P332" si="0">COUNTIF(O2:O331, "+")</f>
        <v>89</v>
      </c>
      <c r="P332" s="150">
        <f t="shared" si="0"/>
        <v>89</v>
      </c>
    </row>
    <row r="333" spans="1:1023" ht="29.25" customHeight="1" x14ac:dyDescent="0.2">
      <c r="C333" s="30"/>
      <c r="D333" s="227" t="s">
        <v>553</v>
      </c>
      <c r="E333" s="227"/>
      <c r="F333" s="227"/>
      <c r="G333" s="227"/>
      <c r="I333" s="228" t="s">
        <v>778</v>
      </c>
      <c r="J333" s="229"/>
      <c r="K333" s="77">
        <f>COUNTIF($M$3:$M$499, "+")</f>
        <v>43</v>
      </c>
    </row>
  </sheetData>
  <mergeCells count="37">
    <mergeCell ref="A174:J174"/>
    <mergeCell ref="A196:J196"/>
    <mergeCell ref="A208:J208"/>
    <mergeCell ref="D333:G333"/>
    <mergeCell ref="I333:J333"/>
    <mergeCell ref="A237:J237"/>
    <mergeCell ref="A255:J255"/>
    <mergeCell ref="A271:J271"/>
    <mergeCell ref="A282:J282"/>
    <mergeCell ref="A296:J296"/>
    <mergeCell ref="A304:J304"/>
    <mergeCell ref="A218:J218"/>
    <mergeCell ref="P47:P50"/>
    <mergeCell ref="Q47:Q50"/>
    <mergeCell ref="A52:J52"/>
    <mergeCell ref="A68:J68"/>
    <mergeCell ref="A83:J83"/>
    <mergeCell ref="A95:J95"/>
    <mergeCell ref="K95:L95"/>
    <mergeCell ref="G47:G50"/>
    <mergeCell ref="H47:H50"/>
    <mergeCell ref="K47:K50"/>
    <mergeCell ref="L47:L50"/>
    <mergeCell ref="N47:N50"/>
    <mergeCell ref="O47:O50"/>
    <mergeCell ref="A131:J131"/>
    <mergeCell ref="A152:J152"/>
    <mergeCell ref="I1:J1"/>
    <mergeCell ref="A2:J2"/>
    <mergeCell ref="A15:J15"/>
    <mergeCell ref="A32:J32"/>
    <mergeCell ref="A47:A50"/>
    <mergeCell ref="B47:B50"/>
    <mergeCell ref="C47:C50"/>
    <mergeCell ref="D47:D50"/>
    <mergeCell ref="E47:E50"/>
    <mergeCell ref="F47:F50"/>
  </mergeCells>
  <pageMargins left="1.1812499999999999" right="0.78749999999999998" top="0.78749999999999998" bottom="0.78749999999999998" header="0.51180555555555496" footer="0.51180555555555496"/>
  <pageSetup paperSize="9" scale="86" firstPageNumber="0" orientation="portrait" horizontalDpi="300" verticalDpi="300" r:id="rId1"/>
  <rowBreaks count="1" manualBreakCount="1">
    <brk id="29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9"/>
  <sheetViews>
    <sheetView workbookViewId="0">
      <selection activeCell="L1" sqref="L1"/>
    </sheetView>
  </sheetViews>
  <sheetFormatPr defaultRowHeight="12.75" x14ac:dyDescent="0.2"/>
  <sheetData>
    <row r="1" spans="1:1" x14ac:dyDescent="0.2">
      <c r="A1" t="s">
        <v>779</v>
      </c>
    </row>
    <row r="2" spans="1:1" x14ac:dyDescent="0.2">
      <c r="A2" t="s">
        <v>784</v>
      </c>
    </row>
    <row r="3" spans="1:1" x14ac:dyDescent="0.2">
      <c r="A3" t="s">
        <v>785</v>
      </c>
    </row>
    <row r="4" spans="1:1" x14ac:dyDescent="0.2">
      <c r="A4" t="s">
        <v>786</v>
      </c>
    </row>
    <row r="5" spans="1:1" x14ac:dyDescent="0.2">
      <c r="A5" t="s">
        <v>787</v>
      </c>
    </row>
    <row r="6" spans="1:1" x14ac:dyDescent="0.2">
      <c r="A6" t="s">
        <v>788</v>
      </c>
    </row>
    <row r="7" spans="1:1" x14ac:dyDescent="0.2">
      <c r="A7" t="s">
        <v>789</v>
      </c>
    </row>
    <row r="8" spans="1:1" x14ac:dyDescent="0.2">
      <c r="A8" t="s">
        <v>790</v>
      </c>
    </row>
    <row r="9" spans="1:1" x14ac:dyDescent="0.2">
      <c r="A9" t="s">
        <v>791</v>
      </c>
    </row>
    <row r="10" spans="1:1" x14ac:dyDescent="0.2">
      <c r="A10" t="s">
        <v>792</v>
      </c>
    </row>
    <row r="11" spans="1:1" x14ac:dyDescent="0.2">
      <c r="A11" t="s">
        <v>793</v>
      </c>
    </row>
    <row r="12" spans="1:1" x14ac:dyDescent="0.2">
      <c r="A12" t="s">
        <v>794</v>
      </c>
    </row>
    <row r="13" spans="1:1" x14ac:dyDescent="0.2">
      <c r="A13" t="s">
        <v>795</v>
      </c>
    </row>
    <row r="14" spans="1:1" x14ac:dyDescent="0.2">
      <c r="A14" t="s">
        <v>796</v>
      </c>
    </row>
    <row r="15" spans="1:1" x14ac:dyDescent="0.2">
      <c r="A15" t="s">
        <v>797</v>
      </c>
    </row>
    <row r="16" spans="1:1" x14ac:dyDescent="0.2">
      <c r="A16" t="s">
        <v>798</v>
      </c>
    </row>
    <row r="17" spans="1:1" x14ac:dyDescent="0.2">
      <c r="A17" t="s">
        <v>799</v>
      </c>
    </row>
    <row r="18" spans="1:1" x14ac:dyDescent="0.2">
      <c r="A18" t="s">
        <v>800</v>
      </c>
    </row>
    <row r="19" spans="1:1" x14ac:dyDescent="0.2">
      <c r="A19" t="s">
        <v>801</v>
      </c>
    </row>
    <row r="20" spans="1:1" x14ac:dyDescent="0.2">
      <c r="A20" t="s">
        <v>802</v>
      </c>
    </row>
    <row r="21" spans="1:1" x14ac:dyDescent="0.2">
      <c r="A21" t="s">
        <v>803</v>
      </c>
    </row>
    <row r="22" spans="1:1" x14ac:dyDescent="0.2">
      <c r="A22" t="s">
        <v>804</v>
      </c>
    </row>
    <row r="23" spans="1:1" x14ac:dyDescent="0.2">
      <c r="A23" t="s">
        <v>805</v>
      </c>
    </row>
    <row r="24" spans="1:1" x14ac:dyDescent="0.2">
      <c r="A24" t="s">
        <v>806</v>
      </c>
    </row>
    <row r="25" spans="1:1" x14ac:dyDescent="0.2">
      <c r="A25" t="s">
        <v>807</v>
      </c>
    </row>
    <row r="26" spans="1:1" x14ac:dyDescent="0.2">
      <c r="A26" t="s">
        <v>808</v>
      </c>
    </row>
    <row r="27" spans="1:1" x14ac:dyDescent="0.2">
      <c r="A27" t="s">
        <v>809</v>
      </c>
    </row>
    <row r="28" spans="1:1" x14ac:dyDescent="0.2">
      <c r="A28" t="s">
        <v>810</v>
      </c>
    </row>
    <row r="29" spans="1:1" x14ac:dyDescent="0.2">
      <c r="A29" t="s">
        <v>811</v>
      </c>
    </row>
    <row r="30" spans="1:1" x14ac:dyDescent="0.2">
      <c r="A30" t="s">
        <v>812</v>
      </c>
    </row>
    <row r="31" spans="1:1" x14ac:dyDescent="0.2">
      <c r="A31" t="s">
        <v>813</v>
      </c>
    </row>
    <row r="32" spans="1:1" x14ac:dyDescent="0.2">
      <c r="A32" t="s">
        <v>814</v>
      </c>
    </row>
    <row r="33" spans="1:1" x14ac:dyDescent="0.2">
      <c r="A33" t="s">
        <v>815</v>
      </c>
    </row>
    <row r="34" spans="1:1" x14ac:dyDescent="0.2">
      <c r="A34" t="s">
        <v>816</v>
      </c>
    </row>
    <row r="35" spans="1:1" x14ac:dyDescent="0.2">
      <c r="A35" t="s">
        <v>817</v>
      </c>
    </row>
    <row r="36" spans="1:1" x14ac:dyDescent="0.2">
      <c r="A36" t="s">
        <v>818</v>
      </c>
    </row>
    <row r="37" spans="1:1" x14ac:dyDescent="0.2">
      <c r="A37" t="s">
        <v>819</v>
      </c>
    </row>
    <row r="38" spans="1:1" x14ac:dyDescent="0.2">
      <c r="A38" t="s">
        <v>820</v>
      </c>
    </row>
    <row r="39" spans="1:1" x14ac:dyDescent="0.2">
      <c r="A39" t="s">
        <v>821</v>
      </c>
    </row>
    <row r="40" spans="1:1" x14ac:dyDescent="0.2">
      <c r="A40" t="s">
        <v>822</v>
      </c>
    </row>
    <row r="41" spans="1:1" x14ac:dyDescent="0.2">
      <c r="A41" t="s">
        <v>823</v>
      </c>
    </row>
    <row r="42" spans="1:1" x14ac:dyDescent="0.2">
      <c r="A42" t="s">
        <v>824</v>
      </c>
    </row>
    <row r="43" spans="1:1" x14ac:dyDescent="0.2">
      <c r="A43" t="s">
        <v>825</v>
      </c>
    </row>
    <row r="44" spans="1:1" x14ac:dyDescent="0.2">
      <c r="A44" t="s">
        <v>826</v>
      </c>
    </row>
    <row r="45" spans="1:1" x14ac:dyDescent="0.2">
      <c r="A45" t="s">
        <v>827</v>
      </c>
    </row>
    <row r="46" spans="1:1" x14ac:dyDescent="0.2">
      <c r="A46" t="s">
        <v>828</v>
      </c>
    </row>
    <row r="47" spans="1:1" x14ac:dyDescent="0.2">
      <c r="A47" t="s">
        <v>829</v>
      </c>
    </row>
    <row r="48" spans="1:1" x14ac:dyDescent="0.2">
      <c r="A48" t="s">
        <v>830</v>
      </c>
    </row>
    <row r="49" spans="1:1" x14ac:dyDescent="0.2">
      <c r="A49" t="s">
        <v>831</v>
      </c>
    </row>
    <row r="50" spans="1:1" x14ac:dyDescent="0.2">
      <c r="A50" t="s">
        <v>832</v>
      </c>
    </row>
    <row r="51" spans="1:1" x14ac:dyDescent="0.2">
      <c r="A51" t="s">
        <v>833</v>
      </c>
    </row>
    <row r="52" spans="1:1" x14ac:dyDescent="0.2">
      <c r="A52" t="s">
        <v>834</v>
      </c>
    </row>
    <row r="53" spans="1:1" x14ac:dyDescent="0.2">
      <c r="A53" t="s">
        <v>835</v>
      </c>
    </row>
    <row r="54" spans="1:1" x14ac:dyDescent="0.2">
      <c r="A54" t="s">
        <v>836</v>
      </c>
    </row>
    <row r="55" spans="1:1" x14ac:dyDescent="0.2">
      <c r="A55" t="s">
        <v>837</v>
      </c>
    </row>
    <row r="56" spans="1:1" x14ac:dyDescent="0.2">
      <c r="A56" t="s">
        <v>838</v>
      </c>
    </row>
    <row r="57" spans="1:1" x14ac:dyDescent="0.2">
      <c r="A57" t="s">
        <v>839</v>
      </c>
    </row>
    <row r="58" spans="1:1" x14ac:dyDescent="0.2">
      <c r="A58" t="s">
        <v>840</v>
      </c>
    </row>
    <row r="59" spans="1:1" x14ac:dyDescent="0.2">
      <c r="A59" t="s">
        <v>841</v>
      </c>
    </row>
    <row r="60" spans="1:1" x14ac:dyDescent="0.2">
      <c r="A60" t="s">
        <v>842</v>
      </c>
    </row>
    <row r="61" spans="1:1" x14ac:dyDescent="0.2">
      <c r="A61" t="s">
        <v>843</v>
      </c>
    </row>
    <row r="62" spans="1:1" x14ac:dyDescent="0.2">
      <c r="A62" t="s">
        <v>844</v>
      </c>
    </row>
    <row r="63" spans="1:1" x14ac:dyDescent="0.2">
      <c r="A63" t="s">
        <v>845</v>
      </c>
    </row>
    <row r="64" spans="1:1" x14ac:dyDescent="0.2">
      <c r="A64" t="s">
        <v>846</v>
      </c>
    </row>
    <row r="65" spans="1:1" x14ac:dyDescent="0.2">
      <c r="A65" t="s">
        <v>847</v>
      </c>
    </row>
    <row r="66" spans="1:1" x14ac:dyDescent="0.2">
      <c r="A66" t="s">
        <v>848</v>
      </c>
    </row>
    <row r="67" spans="1:1" x14ac:dyDescent="0.2">
      <c r="A67" t="s">
        <v>849</v>
      </c>
    </row>
    <row r="68" spans="1:1" x14ac:dyDescent="0.2">
      <c r="A68" t="s">
        <v>850</v>
      </c>
    </row>
    <row r="69" spans="1:1" x14ac:dyDescent="0.2">
      <c r="A69" t="s">
        <v>851</v>
      </c>
    </row>
    <row r="70" spans="1:1" x14ac:dyDescent="0.2">
      <c r="A70" t="s">
        <v>852</v>
      </c>
    </row>
    <row r="71" spans="1:1" x14ac:dyDescent="0.2">
      <c r="A71" t="s">
        <v>853</v>
      </c>
    </row>
    <row r="72" spans="1:1" x14ac:dyDescent="0.2">
      <c r="A72" t="s">
        <v>854</v>
      </c>
    </row>
    <row r="73" spans="1:1" x14ac:dyDescent="0.2">
      <c r="A73" t="s">
        <v>855</v>
      </c>
    </row>
    <row r="74" spans="1:1" x14ac:dyDescent="0.2">
      <c r="A74" t="s">
        <v>856</v>
      </c>
    </row>
    <row r="75" spans="1:1" x14ac:dyDescent="0.2">
      <c r="A75" t="s">
        <v>857</v>
      </c>
    </row>
    <row r="76" spans="1:1" x14ac:dyDescent="0.2">
      <c r="A76" t="s">
        <v>858</v>
      </c>
    </row>
    <row r="77" spans="1:1" x14ac:dyDescent="0.2">
      <c r="A77" t="s">
        <v>859</v>
      </c>
    </row>
    <row r="78" spans="1:1" x14ac:dyDescent="0.2">
      <c r="A78" t="s">
        <v>860</v>
      </c>
    </row>
    <row r="79" spans="1:1" x14ac:dyDescent="0.2">
      <c r="A79" t="s">
        <v>861</v>
      </c>
    </row>
    <row r="80" spans="1:1" x14ac:dyDescent="0.2">
      <c r="A80" t="s">
        <v>862</v>
      </c>
    </row>
    <row r="81" spans="1:1" x14ac:dyDescent="0.2">
      <c r="A81" t="s">
        <v>863</v>
      </c>
    </row>
    <row r="82" spans="1:1" x14ac:dyDescent="0.2">
      <c r="A82" t="s">
        <v>864</v>
      </c>
    </row>
    <row r="83" spans="1:1" x14ac:dyDescent="0.2">
      <c r="A83" t="s">
        <v>865</v>
      </c>
    </row>
    <row r="84" spans="1:1" x14ac:dyDescent="0.2">
      <c r="A84" t="s">
        <v>866</v>
      </c>
    </row>
    <row r="85" spans="1:1" x14ac:dyDescent="0.2">
      <c r="A85" t="s">
        <v>867</v>
      </c>
    </row>
    <row r="86" spans="1:1" x14ac:dyDescent="0.2">
      <c r="A86" t="s">
        <v>868</v>
      </c>
    </row>
    <row r="87" spans="1:1" x14ac:dyDescent="0.2">
      <c r="A87" t="s">
        <v>869</v>
      </c>
    </row>
    <row r="88" spans="1:1" x14ac:dyDescent="0.2">
      <c r="A88" t="s">
        <v>870</v>
      </c>
    </row>
    <row r="89" spans="1:1" x14ac:dyDescent="0.2">
      <c r="A89" t="s">
        <v>871</v>
      </c>
    </row>
    <row r="90" spans="1:1" x14ac:dyDescent="0.2">
      <c r="A90" t="s">
        <v>872</v>
      </c>
    </row>
    <row r="91" spans="1:1" x14ac:dyDescent="0.2">
      <c r="A91" t="s">
        <v>873</v>
      </c>
    </row>
    <row r="92" spans="1:1" x14ac:dyDescent="0.2">
      <c r="A92" t="s">
        <v>874</v>
      </c>
    </row>
    <row r="93" spans="1:1" x14ac:dyDescent="0.2">
      <c r="A93" t="s">
        <v>875</v>
      </c>
    </row>
    <row r="94" spans="1:1" x14ac:dyDescent="0.2">
      <c r="A94" t="s">
        <v>876</v>
      </c>
    </row>
    <row r="95" spans="1:1" x14ac:dyDescent="0.2">
      <c r="A95" t="s">
        <v>877</v>
      </c>
    </row>
    <row r="96" spans="1:1" x14ac:dyDescent="0.2">
      <c r="A96" t="s">
        <v>878</v>
      </c>
    </row>
    <row r="97" spans="1:1" x14ac:dyDescent="0.2">
      <c r="A97" t="s">
        <v>879</v>
      </c>
    </row>
    <row r="98" spans="1:1" x14ac:dyDescent="0.2">
      <c r="A98" t="s">
        <v>880</v>
      </c>
    </row>
    <row r="99" spans="1:1" x14ac:dyDescent="0.2">
      <c r="A99" t="s">
        <v>881</v>
      </c>
    </row>
    <row r="100" spans="1:1" x14ac:dyDescent="0.2">
      <c r="A100" t="s">
        <v>882</v>
      </c>
    </row>
    <row r="101" spans="1:1" x14ac:dyDescent="0.2">
      <c r="A101" t="s">
        <v>883</v>
      </c>
    </row>
    <row r="102" spans="1:1" x14ac:dyDescent="0.2">
      <c r="A102" t="s">
        <v>884</v>
      </c>
    </row>
    <row r="103" spans="1:1" x14ac:dyDescent="0.2">
      <c r="A103" t="s">
        <v>885</v>
      </c>
    </row>
    <row r="104" spans="1:1" x14ac:dyDescent="0.2">
      <c r="A104" t="s">
        <v>886</v>
      </c>
    </row>
    <row r="105" spans="1:1" x14ac:dyDescent="0.2">
      <c r="A105" t="s">
        <v>887</v>
      </c>
    </row>
    <row r="106" spans="1:1" x14ac:dyDescent="0.2">
      <c r="A106" t="s">
        <v>888</v>
      </c>
    </row>
    <row r="107" spans="1:1" x14ac:dyDescent="0.2">
      <c r="A107" t="s">
        <v>889</v>
      </c>
    </row>
    <row r="108" spans="1:1" x14ac:dyDescent="0.2">
      <c r="A108" t="s">
        <v>890</v>
      </c>
    </row>
    <row r="109" spans="1:1" x14ac:dyDescent="0.2">
      <c r="A109" t="s">
        <v>891</v>
      </c>
    </row>
    <row r="110" spans="1:1" x14ac:dyDescent="0.2">
      <c r="A110" t="s">
        <v>892</v>
      </c>
    </row>
    <row r="111" spans="1:1" x14ac:dyDescent="0.2">
      <c r="A111" t="s">
        <v>893</v>
      </c>
    </row>
    <row r="112" spans="1:1" x14ac:dyDescent="0.2">
      <c r="A112" t="s">
        <v>894</v>
      </c>
    </row>
    <row r="113" spans="1:1" x14ac:dyDescent="0.2">
      <c r="A113" t="s">
        <v>895</v>
      </c>
    </row>
    <row r="114" spans="1:1" x14ac:dyDescent="0.2">
      <c r="A114" t="s">
        <v>896</v>
      </c>
    </row>
    <row r="115" spans="1:1" x14ac:dyDescent="0.2">
      <c r="A115" t="s">
        <v>897</v>
      </c>
    </row>
    <row r="116" spans="1:1" x14ac:dyDescent="0.2">
      <c r="A116" t="s">
        <v>898</v>
      </c>
    </row>
    <row r="117" spans="1:1" x14ac:dyDescent="0.2">
      <c r="A117" t="s">
        <v>899</v>
      </c>
    </row>
    <row r="118" spans="1:1" x14ac:dyDescent="0.2">
      <c r="A118" t="s">
        <v>900</v>
      </c>
    </row>
    <row r="119" spans="1:1" x14ac:dyDescent="0.2">
      <c r="A119" t="s">
        <v>901</v>
      </c>
    </row>
    <row r="120" spans="1:1" x14ac:dyDescent="0.2">
      <c r="A120" t="s">
        <v>902</v>
      </c>
    </row>
    <row r="121" spans="1:1" x14ac:dyDescent="0.2">
      <c r="A121" t="s">
        <v>903</v>
      </c>
    </row>
    <row r="122" spans="1:1" x14ac:dyDescent="0.2">
      <c r="A122" t="s">
        <v>904</v>
      </c>
    </row>
    <row r="123" spans="1:1" x14ac:dyDescent="0.2">
      <c r="A123" t="s">
        <v>905</v>
      </c>
    </row>
    <row r="124" spans="1:1" x14ac:dyDescent="0.2">
      <c r="A124" t="s">
        <v>906</v>
      </c>
    </row>
    <row r="125" spans="1:1" x14ac:dyDescent="0.2">
      <c r="A125" t="s">
        <v>907</v>
      </c>
    </row>
    <row r="126" spans="1:1" x14ac:dyDescent="0.2">
      <c r="A126" t="s">
        <v>908</v>
      </c>
    </row>
    <row r="127" spans="1:1" x14ac:dyDescent="0.2">
      <c r="A127" t="s">
        <v>909</v>
      </c>
    </row>
    <row r="128" spans="1:1" x14ac:dyDescent="0.2">
      <c r="A128" t="s">
        <v>910</v>
      </c>
    </row>
    <row r="129" spans="1:1" x14ac:dyDescent="0.2">
      <c r="A129" t="s">
        <v>911</v>
      </c>
    </row>
    <row r="130" spans="1:1" x14ac:dyDescent="0.2">
      <c r="A130" t="s">
        <v>912</v>
      </c>
    </row>
    <row r="131" spans="1:1" x14ac:dyDescent="0.2">
      <c r="A131" t="s">
        <v>913</v>
      </c>
    </row>
    <row r="132" spans="1:1" x14ac:dyDescent="0.2">
      <c r="A132" t="s">
        <v>914</v>
      </c>
    </row>
    <row r="133" spans="1:1" x14ac:dyDescent="0.2">
      <c r="A133" t="s">
        <v>915</v>
      </c>
    </row>
    <row r="134" spans="1:1" x14ac:dyDescent="0.2">
      <c r="A134" t="s">
        <v>916</v>
      </c>
    </row>
    <row r="135" spans="1:1" x14ac:dyDescent="0.2">
      <c r="A135" t="s">
        <v>917</v>
      </c>
    </row>
    <row r="136" spans="1:1" x14ac:dyDescent="0.2">
      <c r="A136" t="s">
        <v>918</v>
      </c>
    </row>
    <row r="137" spans="1:1" x14ac:dyDescent="0.2">
      <c r="A137" t="s">
        <v>919</v>
      </c>
    </row>
    <row r="138" spans="1:1" x14ac:dyDescent="0.2">
      <c r="A138" t="s">
        <v>920</v>
      </c>
    </row>
    <row r="139" spans="1:1" x14ac:dyDescent="0.2">
      <c r="A139" t="s">
        <v>921</v>
      </c>
    </row>
    <row r="140" spans="1:1" x14ac:dyDescent="0.2">
      <c r="A140" t="s">
        <v>922</v>
      </c>
    </row>
    <row r="141" spans="1:1" x14ac:dyDescent="0.2">
      <c r="A141" t="s">
        <v>923</v>
      </c>
    </row>
    <row r="142" spans="1:1" x14ac:dyDescent="0.2">
      <c r="A142" t="s">
        <v>924</v>
      </c>
    </row>
    <row r="143" spans="1:1" x14ac:dyDescent="0.2">
      <c r="A143" t="s">
        <v>925</v>
      </c>
    </row>
    <row r="144" spans="1:1" x14ac:dyDescent="0.2">
      <c r="A144" t="s">
        <v>926</v>
      </c>
    </row>
    <row r="145" spans="1:1" x14ac:dyDescent="0.2">
      <c r="A145" t="s">
        <v>927</v>
      </c>
    </row>
    <row r="146" spans="1:1" x14ac:dyDescent="0.2">
      <c r="A146" t="s">
        <v>928</v>
      </c>
    </row>
    <row r="147" spans="1:1" x14ac:dyDescent="0.2">
      <c r="A147" t="s">
        <v>929</v>
      </c>
    </row>
    <row r="148" spans="1:1" x14ac:dyDescent="0.2">
      <c r="A148" t="s">
        <v>930</v>
      </c>
    </row>
    <row r="149" spans="1:1" x14ac:dyDescent="0.2">
      <c r="A149" t="s">
        <v>931</v>
      </c>
    </row>
    <row r="150" spans="1:1" x14ac:dyDescent="0.2">
      <c r="A150" t="s">
        <v>932</v>
      </c>
    </row>
    <row r="151" spans="1:1" x14ac:dyDescent="0.2">
      <c r="A151" t="s">
        <v>933</v>
      </c>
    </row>
    <row r="152" spans="1:1" x14ac:dyDescent="0.2">
      <c r="A152" t="s">
        <v>934</v>
      </c>
    </row>
    <row r="153" spans="1:1" x14ac:dyDescent="0.2">
      <c r="A153" t="s">
        <v>935</v>
      </c>
    </row>
    <row r="154" spans="1:1" x14ac:dyDescent="0.2">
      <c r="A154" t="s">
        <v>936</v>
      </c>
    </row>
    <row r="155" spans="1:1" x14ac:dyDescent="0.2">
      <c r="A155" t="s">
        <v>937</v>
      </c>
    </row>
    <row r="156" spans="1:1" x14ac:dyDescent="0.2">
      <c r="A156" t="s">
        <v>938</v>
      </c>
    </row>
    <row r="157" spans="1:1" x14ac:dyDescent="0.2">
      <c r="A157" t="s">
        <v>939</v>
      </c>
    </row>
    <row r="158" spans="1:1" x14ac:dyDescent="0.2">
      <c r="A158" t="s">
        <v>940</v>
      </c>
    </row>
    <row r="159" spans="1:1" x14ac:dyDescent="0.2">
      <c r="A159" t="s">
        <v>941</v>
      </c>
    </row>
    <row r="160" spans="1:1" x14ac:dyDescent="0.2">
      <c r="A160" t="s">
        <v>942</v>
      </c>
    </row>
    <row r="161" spans="1:1" x14ac:dyDescent="0.2">
      <c r="A161" t="s">
        <v>943</v>
      </c>
    </row>
    <row r="162" spans="1:1" x14ac:dyDescent="0.2">
      <c r="A162" t="s">
        <v>944</v>
      </c>
    </row>
    <row r="163" spans="1:1" x14ac:dyDescent="0.2">
      <c r="A163" t="s">
        <v>945</v>
      </c>
    </row>
    <row r="164" spans="1:1" x14ac:dyDescent="0.2">
      <c r="A164" t="s">
        <v>946</v>
      </c>
    </row>
    <row r="165" spans="1:1" x14ac:dyDescent="0.2">
      <c r="A165" t="s">
        <v>947</v>
      </c>
    </row>
    <row r="166" spans="1:1" x14ac:dyDescent="0.2">
      <c r="A166" t="s">
        <v>948</v>
      </c>
    </row>
    <row r="167" spans="1:1" x14ac:dyDescent="0.2">
      <c r="A167" t="s">
        <v>949</v>
      </c>
    </row>
    <row r="168" spans="1:1" x14ac:dyDescent="0.2">
      <c r="A168" t="s">
        <v>950</v>
      </c>
    </row>
    <row r="169" spans="1:1" x14ac:dyDescent="0.2">
      <c r="A169" t="s">
        <v>951</v>
      </c>
    </row>
    <row r="170" spans="1:1" x14ac:dyDescent="0.2">
      <c r="A170" t="s">
        <v>952</v>
      </c>
    </row>
    <row r="171" spans="1:1" x14ac:dyDescent="0.2">
      <c r="A171" t="s">
        <v>953</v>
      </c>
    </row>
    <row r="172" spans="1:1" x14ac:dyDescent="0.2">
      <c r="A172" t="s">
        <v>954</v>
      </c>
    </row>
    <row r="173" spans="1:1" x14ac:dyDescent="0.2">
      <c r="A173" t="s">
        <v>955</v>
      </c>
    </row>
    <row r="174" spans="1:1" x14ac:dyDescent="0.2">
      <c r="A174" t="s">
        <v>956</v>
      </c>
    </row>
    <row r="175" spans="1:1" x14ac:dyDescent="0.2">
      <c r="A175" t="s">
        <v>957</v>
      </c>
    </row>
    <row r="176" spans="1:1" x14ac:dyDescent="0.2">
      <c r="A176" t="s">
        <v>958</v>
      </c>
    </row>
    <row r="177" spans="1:1" x14ac:dyDescent="0.2">
      <c r="A177" t="s">
        <v>959</v>
      </c>
    </row>
    <row r="178" spans="1:1" x14ac:dyDescent="0.2">
      <c r="A178" t="s">
        <v>960</v>
      </c>
    </row>
    <row r="179" spans="1:1" x14ac:dyDescent="0.2">
      <c r="A179" t="s">
        <v>961</v>
      </c>
    </row>
    <row r="180" spans="1:1" x14ac:dyDescent="0.2">
      <c r="A180" t="s">
        <v>962</v>
      </c>
    </row>
    <row r="181" spans="1:1" x14ac:dyDescent="0.2">
      <c r="A181" t="s">
        <v>963</v>
      </c>
    </row>
    <row r="182" spans="1:1" x14ac:dyDescent="0.2">
      <c r="A182" t="s">
        <v>964</v>
      </c>
    </row>
    <row r="183" spans="1:1" x14ac:dyDescent="0.2">
      <c r="A183" t="s">
        <v>965</v>
      </c>
    </row>
    <row r="184" spans="1:1" x14ac:dyDescent="0.2">
      <c r="A184" t="s">
        <v>966</v>
      </c>
    </row>
    <row r="185" spans="1:1" x14ac:dyDescent="0.2">
      <c r="A185" t="s">
        <v>967</v>
      </c>
    </row>
    <row r="186" spans="1:1" x14ac:dyDescent="0.2">
      <c r="A186" t="s">
        <v>968</v>
      </c>
    </row>
    <row r="187" spans="1:1" x14ac:dyDescent="0.2">
      <c r="A187" t="s">
        <v>969</v>
      </c>
    </row>
    <row r="188" spans="1:1" x14ac:dyDescent="0.2">
      <c r="A188" t="s">
        <v>970</v>
      </c>
    </row>
    <row r="189" spans="1:1" x14ac:dyDescent="0.2">
      <c r="A189" t="s">
        <v>971</v>
      </c>
    </row>
    <row r="190" spans="1:1" x14ac:dyDescent="0.2">
      <c r="A190" t="s">
        <v>972</v>
      </c>
    </row>
    <row r="191" spans="1:1" x14ac:dyDescent="0.2">
      <c r="A191" t="s">
        <v>973</v>
      </c>
    </row>
    <row r="192" spans="1:1" x14ac:dyDescent="0.2">
      <c r="A192" t="s">
        <v>974</v>
      </c>
    </row>
    <row r="193" spans="1:1" x14ac:dyDescent="0.2">
      <c r="A193" t="s">
        <v>975</v>
      </c>
    </row>
    <row r="194" spans="1:1" x14ac:dyDescent="0.2">
      <c r="A194" t="s">
        <v>976</v>
      </c>
    </row>
    <row r="195" spans="1:1" x14ac:dyDescent="0.2">
      <c r="A195" t="s">
        <v>977</v>
      </c>
    </row>
    <row r="196" spans="1:1" x14ac:dyDescent="0.2">
      <c r="A196" t="s">
        <v>978</v>
      </c>
    </row>
    <row r="197" spans="1:1" x14ac:dyDescent="0.2">
      <c r="A197" t="s">
        <v>979</v>
      </c>
    </row>
    <row r="198" spans="1:1" x14ac:dyDescent="0.2">
      <c r="A198" t="s">
        <v>980</v>
      </c>
    </row>
    <row r="199" spans="1:1" x14ac:dyDescent="0.2">
      <c r="A199" t="s">
        <v>981</v>
      </c>
    </row>
    <row r="200" spans="1:1" x14ac:dyDescent="0.2">
      <c r="A200" t="s">
        <v>982</v>
      </c>
    </row>
    <row r="201" spans="1:1" x14ac:dyDescent="0.2">
      <c r="A201" t="s">
        <v>983</v>
      </c>
    </row>
    <row r="202" spans="1:1" x14ac:dyDescent="0.2">
      <c r="A202" t="s">
        <v>984</v>
      </c>
    </row>
    <row r="203" spans="1:1" x14ac:dyDescent="0.2">
      <c r="A203" t="s">
        <v>985</v>
      </c>
    </row>
    <row r="204" spans="1:1" x14ac:dyDescent="0.2">
      <c r="A204" t="s">
        <v>986</v>
      </c>
    </row>
    <row r="205" spans="1:1" x14ac:dyDescent="0.2">
      <c r="A205" t="s">
        <v>987</v>
      </c>
    </row>
    <row r="206" spans="1:1" x14ac:dyDescent="0.2">
      <c r="A206" t="s">
        <v>988</v>
      </c>
    </row>
    <row r="207" spans="1:1" x14ac:dyDescent="0.2">
      <c r="A207" t="s">
        <v>989</v>
      </c>
    </row>
    <row r="208" spans="1:1" x14ac:dyDescent="0.2">
      <c r="A208" t="s">
        <v>990</v>
      </c>
    </row>
    <row r="209" spans="1:1" x14ac:dyDescent="0.2">
      <c r="A209" t="s">
        <v>991</v>
      </c>
    </row>
    <row r="210" spans="1:1" x14ac:dyDescent="0.2">
      <c r="A210" t="s">
        <v>992</v>
      </c>
    </row>
    <row r="211" spans="1:1" x14ac:dyDescent="0.2">
      <c r="A211" t="s">
        <v>993</v>
      </c>
    </row>
    <row r="212" spans="1:1" x14ac:dyDescent="0.2">
      <c r="A212" t="s">
        <v>994</v>
      </c>
    </row>
    <row r="213" spans="1:1" x14ac:dyDescent="0.2">
      <c r="A213" t="s">
        <v>995</v>
      </c>
    </row>
    <row r="214" spans="1:1" x14ac:dyDescent="0.2">
      <c r="A214" t="s">
        <v>996</v>
      </c>
    </row>
    <row r="215" spans="1:1" x14ac:dyDescent="0.2">
      <c r="A215" t="s">
        <v>997</v>
      </c>
    </row>
    <row r="216" spans="1:1" x14ac:dyDescent="0.2">
      <c r="A216" t="s">
        <v>998</v>
      </c>
    </row>
    <row r="217" spans="1:1" x14ac:dyDescent="0.2">
      <c r="A217" t="s">
        <v>999</v>
      </c>
    </row>
    <row r="218" spans="1:1" x14ac:dyDescent="0.2">
      <c r="A218" t="s">
        <v>1000</v>
      </c>
    </row>
    <row r="219" spans="1:1" x14ac:dyDescent="0.2">
      <c r="A219" t="s">
        <v>1001</v>
      </c>
    </row>
    <row r="220" spans="1:1" x14ac:dyDescent="0.2">
      <c r="A220" t="s">
        <v>1002</v>
      </c>
    </row>
    <row r="221" spans="1:1" x14ac:dyDescent="0.2">
      <c r="A221" t="s">
        <v>1003</v>
      </c>
    </row>
    <row r="222" spans="1:1" x14ac:dyDescent="0.2">
      <c r="A222" t="s">
        <v>1004</v>
      </c>
    </row>
    <row r="223" spans="1:1" x14ac:dyDescent="0.2">
      <c r="A223" t="s">
        <v>1005</v>
      </c>
    </row>
    <row r="224" spans="1:1" x14ac:dyDescent="0.2">
      <c r="A224" t="s">
        <v>1006</v>
      </c>
    </row>
    <row r="225" spans="1:1" x14ac:dyDescent="0.2">
      <c r="A225" t="s">
        <v>1007</v>
      </c>
    </row>
    <row r="226" spans="1:1" x14ac:dyDescent="0.2">
      <c r="A226" t="s">
        <v>1008</v>
      </c>
    </row>
    <row r="227" spans="1:1" x14ac:dyDescent="0.2">
      <c r="A227" t="s">
        <v>1009</v>
      </c>
    </row>
    <row r="228" spans="1:1" x14ac:dyDescent="0.2">
      <c r="A228" t="s">
        <v>1010</v>
      </c>
    </row>
    <row r="229" spans="1:1" x14ac:dyDescent="0.2">
      <c r="A229" t="s">
        <v>1011</v>
      </c>
    </row>
    <row r="230" spans="1:1" x14ac:dyDescent="0.2">
      <c r="A230" t="s">
        <v>1012</v>
      </c>
    </row>
    <row r="231" spans="1:1" x14ac:dyDescent="0.2">
      <c r="A231" t="s">
        <v>1013</v>
      </c>
    </row>
    <row r="232" spans="1:1" x14ac:dyDescent="0.2">
      <c r="A232" t="s">
        <v>1014</v>
      </c>
    </row>
    <row r="233" spans="1:1" x14ac:dyDescent="0.2">
      <c r="A233" t="s">
        <v>1015</v>
      </c>
    </row>
    <row r="234" spans="1:1" x14ac:dyDescent="0.2">
      <c r="A234" t="s">
        <v>1016</v>
      </c>
    </row>
    <row r="235" spans="1:1" x14ac:dyDescent="0.2">
      <c r="A235" t="s">
        <v>1017</v>
      </c>
    </row>
    <row r="236" spans="1:1" x14ac:dyDescent="0.2">
      <c r="A236" t="s">
        <v>1018</v>
      </c>
    </row>
    <row r="237" spans="1:1" x14ac:dyDescent="0.2">
      <c r="A237" t="s">
        <v>1019</v>
      </c>
    </row>
    <row r="238" spans="1:1" x14ac:dyDescent="0.2">
      <c r="A238" t="s">
        <v>1020</v>
      </c>
    </row>
    <row r="239" spans="1:1" x14ac:dyDescent="0.2">
      <c r="A239" t="s">
        <v>1021</v>
      </c>
    </row>
    <row r="240" spans="1:1" x14ac:dyDescent="0.2">
      <c r="A240" t="s">
        <v>1022</v>
      </c>
    </row>
    <row r="241" spans="1:1" x14ac:dyDescent="0.2">
      <c r="A241" t="s">
        <v>1023</v>
      </c>
    </row>
    <row r="242" spans="1:1" x14ac:dyDescent="0.2">
      <c r="A242" t="s">
        <v>1024</v>
      </c>
    </row>
    <row r="243" spans="1:1" x14ac:dyDescent="0.2">
      <c r="A243" t="s">
        <v>1025</v>
      </c>
    </row>
    <row r="244" spans="1:1" x14ac:dyDescent="0.2">
      <c r="A244" t="s">
        <v>1026</v>
      </c>
    </row>
    <row r="245" spans="1:1" x14ac:dyDescent="0.2">
      <c r="A245" t="s">
        <v>1027</v>
      </c>
    </row>
    <row r="246" spans="1:1" x14ac:dyDescent="0.2">
      <c r="A246" t="s">
        <v>1028</v>
      </c>
    </row>
    <row r="247" spans="1:1" x14ac:dyDescent="0.2">
      <c r="A247" t="s">
        <v>1029</v>
      </c>
    </row>
    <row r="248" spans="1:1" x14ac:dyDescent="0.2">
      <c r="A248" t="s">
        <v>1030</v>
      </c>
    </row>
    <row r="249" spans="1:1" x14ac:dyDescent="0.2">
      <c r="A249" t="s">
        <v>1031</v>
      </c>
    </row>
    <row r="250" spans="1:1" x14ac:dyDescent="0.2">
      <c r="A250" t="s">
        <v>1032</v>
      </c>
    </row>
    <row r="251" spans="1:1" x14ac:dyDescent="0.2">
      <c r="A251" t="s">
        <v>1033</v>
      </c>
    </row>
    <row r="252" spans="1:1" x14ac:dyDescent="0.2">
      <c r="A252" t="s">
        <v>1034</v>
      </c>
    </row>
    <row r="253" spans="1:1" x14ac:dyDescent="0.2">
      <c r="A253" t="s">
        <v>1035</v>
      </c>
    </row>
    <row r="254" spans="1:1" x14ac:dyDescent="0.2">
      <c r="A254" t="s">
        <v>1036</v>
      </c>
    </row>
    <row r="255" spans="1:1" x14ac:dyDescent="0.2">
      <c r="A255" t="s">
        <v>1037</v>
      </c>
    </row>
    <row r="256" spans="1:1" x14ac:dyDescent="0.2">
      <c r="A256" t="s">
        <v>1038</v>
      </c>
    </row>
    <row r="257" spans="1:1" x14ac:dyDescent="0.2">
      <c r="A257" t="s">
        <v>1039</v>
      </c>
    </row>
    <row r="258" spans="1:1" x14ac:dyDescent="0.2">
      <c r="A258" t="s">
        <v>1040</v>
      </c>
    </row>
    <row r="259" spans="1:1" x14ac:dyDescent="0.2">
      <c r="A259" t="s">
        <v>1041</v>
      </c>
    </row>
    <row r="260" spans="1:1" x14ac:dyDescent="0.2">
      <c r="A260" t="s">
        <v>1042</v>
      </c>
    </row>
    <row r="261" spans="1:1" x14ac:dyDescent="0.2">
      <c r="A261" t="s">
        <v>1043</v>
      </c>
    </row>
    <row r="262" spans="1:1" x14ac:dyDescent="0.2">
      <c r="A262" t="s">
        <v>1044</v>
      </c>
    </row>
    <row r="263" spans="1:1" x14ac:dyDescent="0.2">
      <c r="A263" t="s">
        <v>1045</v>
      </c>
    </row>
    <row r="264" spans="1:1" x14ac:dyDescent="0.2">
      <c r="A264" t="s">
        <v>1046</v>
      </c>
    </row>
    <row r="265" spans="1:1" x14ac:dyDescent="0.2">
      <c r="A265" t="s">
        <v>1047</v>
      </c>
    </row>
    <row r="266" spans="1:1" x14ac:dyDescent="0.2">
      <c r="A266" t="s">
        <v>1048</v>
      </c>
    </row>
    <row r="267" spans="1:1" x14ac:dyDescent="0.2">
      <c r="A267" t="s">
        <v>1049</v>
      </c>
    </row>
    <row r="268" spans="1:1" x14ac:dyDescent="0.2">
      <c r="A268" t="s">
        <v>1050</v>
      </c>
    </row>
    <row r="269" spans="1:1" x14ac:dyDescent="0.2">
      <c r="A269" t="s">
        <v>1051</v>
      </c>
    </row>
    <row r="270" spans="1:1" x14ac:dyDescent="0.2">
      <c r="A270" t="s">
        <v>1052</v>
      </c>
    </row>
    <row r="271" spans="1:1" x14ac:dyDescent="0.2">
      <c r="A271" t="s">
        <v>1053</v>
      </c>
    </row>
    <row r="272" spans="1:1" x14ac:dyDescent="0.2">
      <c r="A272" t="s">
        <v>1054</v>
      </c>
    </row>
    <row r="273" spans="1:1" x14ac:dyDescent="0.2">
      <c r="A273" t="s">
        <v>1055</v>
      </c>
    </row>
    <row r="274" spans="1:1" x14ac:dyDescent="0.2">
      <c r="A274" t="s">
        <v>1056</v>
      </c>
    </row>
    <row r="275" spans="1:1" x14ac:dyDescent="0.2">
      <c r="A275" t="s">
        <v>1057</v>
      </c>
    </row>
    <row r="276" spans="1:1" x14ac:dyDescent="0.2">
      <c r="A276" t="s">
        <v>1058</v>
      </c>
    </row>
    <row r="277" spans="1:1" x14ac:dyDescent="0.2">
      <c r="A277" t="s">
        <v>1059</v>
      </c>
    </row>
    <row r="278" spans="1:1" x14ac:dyDescent="0.2">
      <c r="A278" t="s">
        <v>1060</v>
      </c>
    </row>
    <row r="279" spans="1:1" x14ac:dyDescent="0.2">
      <c r="A279" t="s">
        <v>1061</v>
      </c>
    </row>
    <row r="280" spans="1:1" x14ac:dyDescent="0.2">
      <c r="A280" t="s">
        <v>1062</v>
      </c>
    </row>
    <row r="281" spans="1:1" x14ac:dyDescent="0.2">
      <c r="A281" t="s">
        <v>1063</v>
      </c>
    </row>
    <row r="282" spans="1:1" x14ac:dyDescent="0.2">
      <c r="A282" t="s">
        <v>1064</v>
      </c>
    </row>
    <row r="283" spans="1:1" x14ac:dyDescent="0.2">
      <c r="A283" t="s">
        <v>1065</v>
      </c>
    </row>
    <row r="284" spans="1:1" x14ac:dyDescent="0.2">
      <c r="A284" t="s">
        <v>1066</v>
      </c>
    </row>
    <row r="285" spans="1:1" x14ac:dyDescent="0.2">
      <c r="A285" t="s">
        <v>1067</v>
      </c>
    </row>
    <row r="286" spans="1:1" x14ac:dyDescent="0.2">
      <c r="A286" t="s">
        <v>1068</v>
      </c>
    </row>
    <row r="287" spans="1:1" x14ac:dyDescent="0.2">
      <c r="A287" t="s">
        <v>1069</v>
      </c>
    </row>
    <row r="288" spans="1:1" x14ac:dyDescent="0.2">
      <c r="A288" t="s">
        <v>1070</v>
      </c>
    </row>
    <row r="289" spans="1:1" x14ac:dyDescent="0.2">
      <c r="A289" t="s">
        <v>1071</v>
      </c>
    </row>
    <row r="290" spans="1:1" x14ac:dyDescent="0.2">
      <c r="A290" t="s">
        <v>1072</v>
      </c>
    </row>
    <row r="291" spans="1:1" x14ac:dyDescent="0.2">
      <c r="A291" t="s">
        <v>1073</v>
      </c>
    </row>
    <row r="292" spans="1:1" x14ac:dyDescent="0.2">
      <c r="A292" t="s">
        <v>1074</v>
      </c>
    </row>
    <row r="293" spans="1:1" x14ac:dyDescent="0.2">
      <c r="A293" t="s">
        <v>1075</v>
      </c>
    </row>
    <row r="294" spans="1:1" x14ac:dyDescent="0.2">
      <c r="A294" t="s">
        <v>1076</v>
      </c>
    </row>
    <row r="295" spans="1:1" x14ac:dyDescent="0.2">
      <c r="A295" t="s">
        <v>1077</v>
      </c>
    </row>
    <row r="296" spans="1:1" x14ac:dyDescent="0.2">
      <c r="A296" t="s">
        <v>1078</v>
      </c>
    </row>
    <row r="297" spans="1:1" x14ac:dyDescent="0.2">
      <c r="A297" t="s">
        <v>1079</v>
      </c>
    </row>
    <row r="298" spans="1:1" x14ac:dyDescent="0.2">
      <c r="A298" t="s">
        <v>1080</v>
      </c>
    </row>
    <row r="299" spans="1:1" x14ac:dyDescent="0.2">
      <c r="A299" t="s">
        <v>1081</v>
      </c>
    </row>
    <row r="300" spans="1:1" x14ac:dyDescent="0.2">
      <c r="A300" t="s">
        <v>1082</v>
      </c>
    </row>
    <row r="301" spans="1:1" x14ac:dyDescent="0.2">
      <c r="A301" t="s">
        <v>1083</v>
      </c>
    </row>
    <row r="302" spans="1:1" x14ac:dyDescent="0.2">
      <c r="A302" t="s">
        <v>1084</v>
      </c>
    </row>
    <row r="303" spans="1:1" x14ac:dyDescent="0.2">
      <c r="A303" t="s">
        <v>1085</v>
      </c>
    </row>
    <row r="304" spans="1:1" x14ac:dyDescent="0.2">
      <c r="A304" t="s">
        <v>1086</v>
      </c>
    </row>
    <row r="305" spans="1:1" x14ac:dyDescent="0.2">
      <c r="A305" t="s">
        <v>1087</v>
      </c>
    </row>
    <row r="306" spans="1:1" x14ac:dyDescent="0.2">
      <c r="A306" t="s">
        <v>1088</v>
      </c>
    </row>
    <row r="307" spans="1:1" x14ac:dyDescent="0.2">
      <c r="A307" t="s">
        <v>1089</v>
      </c>
    </row>
    <row r="308" spans="1:1" x14ac:dyDescent="0.2">
      <c r="A308" t="s">
        <v>1090</v>
      </c>
    </row>
    <row r="309" spans="1:1" x14ac:dyDescent="0.2">
      <c r="A309" t="s">
        <v>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0"/>
  <sheetViews>
    <sheetView topLeftCell="A145" workbookViewId="0">
      <selection activeCell="L151" sqref="L151:M200"/>
    </sheetView>
  </sheetViews>
  <sheetFormatPr defaultRowHeight="12.75" x14ac:dyDescent="0.2"/>
  <cols>
    <col min="14" max="14" width="57.42578125" style="126" customWidth="1"/>
    <col min="15" max="15" width="43.140625" customWidth="1"/>
  </cols>
  <sheetData>
    <row r="1" spans="1:15" ht="75" x14ac:dyDescent="0.2">
      <c r="A1" s="125">
        <v>13</v>
      </c>
      <c r="B1" s="125" t="s">
        <v>1126</v>
      </c>
      <c r="C1" s="13" t="s">
        <v>35</v>
      </c>
      <c r="D1" s="13" t="s">
        <v>1127</v>
      </c>
      <c r="E1" s="13" t="s">
        <v>1128</v>
      </c>
      <c r="F1" s="13" t="s">
        <v>36</v>
      </c>
      <c r="G1" s="13">
        <v>1975</v>
      </c>
      <c r="H1" s="13">
        <v>1610</v>
      </c>
      <c r="I1" s="13">
        <v>33</v>
      </c>
      <c r="J1" s="13" t="s">
        <v>9</v>
      </c>
      <c r="K1" s="6" t="s">
        <v>563</v>
      </c>
      <c r="L1" s="6">
        <v>52.209209399999999</v>
      </c>
      <c r="M1" s="12">
        <v>35.0605774</v>
      </c>
      <c r="N1" s="127" t="str">
        <f>CONCATENATE(A1, ,B1,C1,D1,F1)</f>
        <v>13 ГТС на бал.Большой Лог у с.Дерюгино</v>
      </c>
      <c r="O1" s="127" t="str">
        <f>CONCATENATE(E1,F1)</f>
        <v>Курская область, Дмитриевский район, с.Дерюгино</v>
      </c>
    </row>
    <row r="2" spans="1:15" ht="75" x14ac:dyDescent="0.2">
      <c r="A2" s="125">
        <v>14</v>
      </c>
      <c r="B2" s="125" t="s">
        <v>1126</v>
      </c>
      <c r="C2" s="86" t="s">
        <v>37</v>
      </c>
      <c r="D2" s="13" t="s">
        <v>1127</v>
      </c>
      <c r="E2" s="13" t="s">
        <v>1128</v>
      </c>
      <c r="F2" s="86" t="s">
        <v>38</v>
      </c>
      <c r="G2" s="86">
        <v>1983</v>
      </c>
      <c r="H2" s="86">
        <v>1520</v>
      </c>
      <c r="I2" s="86">
        <v>79</v>
      </c>
      <c r="J2" s="86" t="s">
        <v>9</v>
      </c>
      <c r="K2" s="78" t="s">
        <v>564</v>
      </c>
      <c r="L2" s="78">
        <v>52.0028839</v>
      </c>
      <c r="M2" s="79">
        <v>34.9315529</v>
      </c>
      <c r="N2" s="127" t="str">
        <f t="shared" ref="N2:N43" si="0">CONCATENATE(A2, ,B2,C2,D2,F2)</f>
        <v>14 ГТС на р. Журавка у п.Пацкое</v>
      </c>
      <c r="O2" s="127" t="str">
        <f t="shared" ref="O2:O43" si="1">CONCATENATE(E2,F2)</f>
        <v>Курская область, Дмитриевский район, п.Пацкое</v>
      </c>
    </row>
    <row r="3" spans="1:15" ht="75" x14ac:dyDescent="0.2">
      <c r="A3" s="125">
        <v>15</v>
      </c>
      <c r="B3" s="125" t="s">
        <v>1126</v>
      </c>
      <c r="C3" s="13" t="s">
        <v>39</v>
      </c>
      <c r="D3" s="13" t="s">
        <v>1127</v>
      </c>
      <c r="E3" s="13" t="s">
        <v>1128</v>
      </c>
      <c r="F3" s="13" t="s">
        <v>40</v>
      </c>
      <c r="G3" s="13">
        <v>1985</v>
      </c>
      <c r="H3" s="13">
        <v>4810</v>
      </c>
      <c r="I3" s="13">
        <v>260</v>
      </c>
      <c r="J3" s="13" t="s">
        <v>20</v>
      </c>
      <c r="K3" s="6" t="s">
        <v>564</v>
      </c>
      <c r="L3" s="6">
        <v>52.137008700000003</v>
      </c>
      <c r="M3" s="12">
        <v>34.843799599999997</v>
      </c>
      <c r="N3" s="127" t="str">
        <f t="shared" si="0"/>
        <v>15 ГТС на р. Харасея у с.Осоцкое</v>
      </c>
      <c r="O3" s="127" t="str">
        <f t="shared" si="1"/>
        <v>Курская область, Дмитриевский район, с.Осоцкое</v>
      </c>
    </row>
    <row r="4" spans="1:15" ht="75" x14ac:dyDescent="0.2">
      <c r="A4" s="125">
        <v>16</v>
      </c>
      <c r="B4" s="125" t="s">
        <v>1126</v>
      </c>
      <c r="C4" s="13" t="s">
        <v>41</v>
      </c>
      <c r="D4" s="13" t="s">
        <v>1127</v>
      </c>
      <c r="E4" s="13" t="s">
        <v>1128</v>
      </c>
      <c r="F4" s="13" t="s">
        <v>42</v>
      </c>
      <c r="G4" s="13">
        <v>1987</v>
      </c>
      <c r="H4" s="13">
        <v>1520</v>
      </c>
      <c r="I4" s="13">
        <v>79</v>
      </c>
      <c r="J4" s="13" t="s">
        <v>9</v>
      </c>
      <c r="K4" s="115" t="s">
        <v>564</v>
      </c>
      <c r="L4" s="6">
        <v>52.067195900000002</v>
      </c>
      <c r="M4" s="12">
        <v>35.297905</v>
      </c>
      <c r="N4" s="127" t="str">
        <f t="shared" si="0"/>
        <v>16 ГТС на р.Жигаевка у с.Генеральшино</v>
      </c>
      <c r="O4" s="127" t="str">
        <f t="shared" si="1"/>
        <v>Курская область, Дмитриевский район, с.Генеральшино</v>
      </c>
    </row>
    <row r="5" spans="1:15" ht="90" x14ac:dyDescent="0.2">
      <c r="A5" s="125">
        <v>17</v>
      </c>
      <c r="B5" s="125" t="s">
        <v>1126</v>
      </c>
      <c r="C5" s="13" t="s">
        <v>43</v>
      </c>
      <c r="D5" s="13" t="s">
        <v>1127</v>
      </c>
      <c r="E5" s="13" t="s">
        <v>1128</v>
      </c>
      <c r="F5" s="13" t="s">
        <v>44</v>
      </c>
      <c r="G5" s="13">
        <v>1985</v>
      </c>
      <c r="H5" s="13">
        <v>560</v>
      </c>
      <c r="I5" s="13">
        <v>58</v>
      </c>
      <c r="J5" s="13" t="s">
        <v>9</v>
      </c>
      <c r="K5" s="115" t="s">
        <v>1118</v>
      </c>
      <c r="L5" s="6">
        <v>52.042217299999997</v>
      </c>
      <c r="M5" s="12">
        <v>34.8942719</v>
      </c>
      <c r="N5" s="127" t="str">
        <f t="shared" si="0"/>
        <v>17 ГТС на р.Журавка у с.Белитино</v>
      </c>
      <c r="O5" s="127" t="str">
        <f t="shared" si="1"/>
        <v>Курская область, Дмитриевский район, с.Белитино</v>
      </c>
    </row>
    <row r="6" spans="1:15" ht="75" x14ac:dyDescent="0.2">
      <c r="A6" s="125">
        <v>18</v>
      </c>
      <c r="B6" s="125" t="s">
        <v>1126</v>
      </c>
      <c r="C6" s="13" t="s">
        <v>45</v>
      </c>
      <c r="D6" s="13" t="s">
        <v>1127</v>
      </c>
      <c r="E6" s="13" t="s">
        <v>1128</v>
      </c>
      <c r="F6" s="13" t="s">
        <v>46</v>
      </c>
      <c r="G6" s="13">
        <v>1976</v>
      </c>
      <c r="H6" s="13">
        <v>544</v>
      </c>
      <c r="I6" s="13">
        <v>17</v>
      </c>
      <c r="J6" s="13" t="s">
        <v>9</v>
      </c>
      <c r="K6" s="115" t="s">
        <v>1120</v>
      </c>
      <c r="L6" s="6">
        <v>52.231712299999998</v>
      </c>
      <c r="M6" s="12">
        <v>34.9930077</v>
      </c>
      <c r="N6" s="127" t="str">
        <f t="shared" si="0"/>
        <v>18 ГТС на р.Осмонька у с.Бычки</v>
      </c>
      <c r="O6" s="127" t="str">
        <f t="shared" si="1"/>
        <v>Курская область, Дмитриевский район, с.Бычки</v>
      </c>
    </row>
    <row r="7" spans="1:15" ht="75" x14ac:dyDescent="0.2">
      <c r="A7" s="125">
        <v>19</v>
      </c>
      <c r="B7" s="125" t="s">
        <v>1126</v>
      </c>
      <c r="C7" s="13" t="s">
        <v>47</v>
      </c>
      <c r="D7" s="13" t="s">
        <v>1127</v>
      </c>
      <c r="E7" s="13" t="s">
        <v>1128</v>
      </c>
      <c r="F7" s="13" t="s">
        <v>48</v>
      </c>
      <c r="G7" s="13">
        <v>1986</v>
      </c>
      <c r="H7" s="13">
        <v>784</v>
      </c>
      <c r="I7" s="13">
        <v>32</v>
      </c>
      <c r="J7" s="13" t="s">
        <v>9</v>
      </c>
      <c r="K7" s="115" t="s">
        <v>565</v>
      </c>
      <c r="L7" s="6">
        <v>52.167285900000003</v>
      </c>
      <c r="M7" s="12">
        <v>34.863723800000002</v>
      </c>
      <c r="N7" s="127" t="str">
        <f t="shared" si="0"/>
        <v>19 ГТС на бал. Орлов Лог у с.Погодино</v>
      </c>
      <c r="O7" s="127" t="str">
        <f t="shared" si="1"/>
        <v>Курская область, Дмитриевский район, с.Погодино</v>
      </c>
    </row>
    <row r="8" spans="1:15" ht="75" x14ac:dyDescent="0.2">
      <c r="A8" s="125">
        <v>20</v>
      </c>
      <c r="B8" s="125" t="s">
        <v>1126</v>
      </c>
      <c r="C8" s="13" t="s">
        <v>43</v>
      </c>
      <c r="D8" s="13" t="s">
        <v>1127</v>
      </c>
      <c r="E8" s="13" t="s">
        <v>1128</v>
      </c>
      <c r="F8" s="13" t="s">
        <v>49</v>
      </c>
      <c r="G8" s="13">
        <v>1976</v>
      </c>
      <c r="H8" s="13">
        <v>650</v>
      </c>
      <c r="I8" s="13">
        <v>25</v>
      </c>
      <c r="J8" s="13" t="s">
        <v>9</v>
      </c>
      <c r="K8" s="115" t="s">
        <v>1119</v>
      </c>
      <c r="L8" s="6">
        <v>52.045520799999998</v>
      </c>
      <c r="M8" s="12">
        <v>34.901233699999999</v>
      </c>
      <c r="N8" s="127" t="str">
        <f t="shared" si="0"/>
        <v>20 ГТС на р.Журавка у с.Фатеевка</v>
      </c>
      <c r="O8" s="127" t="str">
        <f t="shared" si="1"/>
        <v>Курская область, Дмитриевский район, с.Фатеевка</v>
      </c>
    </row>
    <row r="9" spans="1:15" ht="75" x14ac:dyDescent="0.2">
      <c r="A9" s="125">
        <v>21</v>
      </c>
      <c r="B9" s="125" t="s">
        <v>1126</v>
      </c>
      <c r="C9" s="13" t="s">
        <v>45</v>
      </c>
      <c r="D9" s="13" t="s">
        <v>1127</v>
      </c>
      <c r="E9" s="13" t="s">
        <v>1128</v>
      </c>
      <c r="F9" s="13" t="s">
        <v>562</v>
      </c>
      <c r="G9" s="13">
        <v>1956</v>
      </c>
      <c r="H9" s="13">
        <v>504</v>
      </c>
      <c r="I9" s="13">
        <v>25</v>
      </c>
      <c r="J9" s="13" t="s">
        <v>9</v>
      </c>
      <c r="K9" s="6" t="s">
        <v>566</v>
      </c>
      <c r="L9" s="6">
        <v>52.224346199999999</v>
      </c>
      <c r="M9" s="12">
        <v>35.053703300000002</v>
      </c>
      <c r="N9" s="127" t="str">
        <f t="shared" si="0"/>
        <v>21 ГТС на р.Осмонька у п.Первоавгустовский</v>
      </c>
      <c r="O9" s="127" t="str">
        <f t="shared" si="1"/>
        <v>Курская область, Дмитриевский район, п.Первоавгустовский</v>
      </c>
    </row>
    <row r="10" spans="1:15" ht="75" x14ac:dyDescent="0.2">
      <c r="A10" s="125">
        <v>22</v>
      </c>
      <c r="B10" s="125" t="s">
        <v>1126</v>
      </c>
      <c r="C10" s="13" t="s">
        <v>50</v>
      </c>
      <c r="D10" s="13" t="s">
        <v>1127</v>
      </c>
      <c r="E10" s="13" t="s">
        <v>1128</v>
      </c>
      <c r="F10" s="13" t="s">
        <v>51</v>
      </c>
      <c r="G10" s="13">
        <v>1976</v>
      </c>
      <c r="H10" s="13">
        <v>569</v>
      </c>
      <c r="I10" s="13">
        <v>25</v>
      </c>
      <c r="J10" s="13" t="s">
        <v>9</v>
      </c>
      <c r="K10" s="115" t="s">
        <v>1119</v>
      </c>
      <c r="L10" s="6">
        <v>52.005302399999998</v>
      </c>
      <c r="M10" s="12">
        <v>34.756771100000002</v>
      </c>
      <c r="N10" s="127" t="str">
        <f t="shared" si="0"/>
        <v>22 ГТС на бал.б/н у с.Селино</v>
      </c>
      <c r="O10" s="127" t="str">
        <f t="shared" si="1"/>
        <v>Курская область, Дмитриевский район, с.Селино</v>
      </c>
    </row>
    <row r="11" spans="1:15" ht="75" x14ac:dyDescent="0.2">
      <c r="A11" s="125">
        <v>23</v>
      </c>
      <c r="B11" s="125" t="s">
        <v>1126</v>
      </c>
      <c r="C11" s="13" t="s">
        <v>52</v>
      </c>
      <c r="D11" s="13" t="s">
        <v>1127</v>
      </c>
      <c r="E11" s="13" t="s">
        <v>1128</v>
      </c>
      <c r="F11" s="13" t="s">
        <v>53</v>
      </c>
      <c r="G11" s="13">
        <v>1974</v>
      </c>
      <c r="H11" s="13">
        <v>564</v>
      </c>
      <c r="I11" s="13">
        <v>33</v>
      </c>
      <c r="J11" s="13" t="s">
        <v>9</v>
      </c>
      <c r="K11" s="115" t="s">
        <v>1122</v>
      </c>
      <c r="L11" s="6">
        <v>52.157306699999999</v>
      </c>
      <c r="M11" s="12">
        <v>34.955532099999999</v>
      </c>
      <c r="N11" s="127" t="str">
        <f t="shared" si="0"/>
        <v>23 ГТС на руч.Мертвая Харасея у п.Октябрьский</v>
      </c>
      <c r="O11" s="127" t="str">
        <f t="shared" si="1"/>
        <v>Курская область, Дмитриевский район, п.Октябрьский</v>
      </c>
    </row>
    <row r="12" spans="1:15" ht="75" x14ac:dyDescent="0.2">
      <c r="A12" s="125">
        <v>24</v>
      </c>
      <c r="B12" s="125" t="s">
        <v>1126</v>
      </c>
      <c r="C12" s="13" t="s">
        <v>54</v>
      </c>
      <c r="D12" s="13" t="s">
        <v>1127</v>
      </c>
      <c r="E12" s="13" t="s">
        <v>1128</v>
      </c>
      <c r="F12" s="13" t="s">
        <v>55</v>
      </c>
      <c r="G12" s="13">
        <v>1983</v>
      </c>
      <c r="H12" s="13">
        <v>719</v>
      </c>
      <c r="I12" s="13">
        <v>20</v>
      </c>
      <c r="J12" s="13" t="s">
        <v>9</v>
      </c>
      <c r="K12" s="6" t="s">
        <v>567</v>
      </c>
      <c r="L12" s="6">
        <v>52.1381874</v>
      </c>
      <c r="M12" s="12">
        <v>35.089077000000003</v>
      </c>
      <c r="N12" s="127" t="str">
        <f t="shared" si="0"/>
        <v>24 ГТС на руч.Трунин у с.Крупец</v>
      </c>
      <c r="O12" s="127" t="str">
        <f t="shared" si="1"/>
        <v>Курская область, Дмитриевский район, с.Крупец</v>
      </c>
    </row>
    <row r="13" spans="1:15" ht="75" x14ac:dyDescent="0.2">
      <c r="A13" s="125">
        <v>25</v>
      </c>
      <c r="B13" s="125" t="s">
        <v>1126</v>
      </c>
      <c r="C13" s="13" t="s">
        <v>56</v>
      </c>
      <c r="D13" s="13" t="s">
        <v>1127</v>
      </c>
      <c r="E13" s="13" t="s">
        <v>1128</v>
      </c>
      <c r="F13" s="13" t="s">
        <v>57</v>
      </c>
      <c r="G13" s="13">
        <v>1993</v>
      </c>
      <c r="H13" s="13">
        <v>260</v>
      </c>
      <c r="I13" s="13">
        <v>18</v>
      </c>
      <c r="J13" s="13" t="s">
        <v>20</v>
      </c>
      <c r="K13" s="6" t="s">
        <v>566</v>
      </c>
      <c r="L13" s="6">
        <v>52.246570599999998</v>
      </c>
      <c r="M13" s="12">
        <v>35.039348599999997</v>
      </c>
      <c r="N13" s="127" t="str">
        <f t="shared" si="0"/>
        <v>25 ГТС на руч. б/н у с.Мелгора</v>
      </c>
      <c r="O13" s="127" t="str">
        <f t="shared" si="1"/>
        <v>Курская область, Дмитриевский район, с.Мелгора</v>
      </c>
    </row>
    <row r="14" spans="1:15" ht="75" x14ac:dyDescent="0.2">
      <c r="A14" s="125">
        <v>26</v>
      </c>
      <c r="B14" s="125" t="s">
        <v>1126</v>
      </c>
      <c r="C14" s="13" t="s">
        <v>58</v>
      </c>
      <c r="D14" s="13" t="s">
        <v>1127</v>
      </c>
      <c r="E14" s="13" t="s">
        <v>1128</v>
      </c>
      <c r="F14" s="13" t="s">
        <v>59</v>
      </c>
      <c r="G14" s="13">
        <v>1957</v>
      </c>
      <c r="H14" s="13">
        <v>290</v>
      </c>
      <c r="I14" s="13">
        <v>21</v>
      </c>
      <c r="J14" s="13" t="s">
        <v>20</v>
      </c>
      <c r="K14" s="115" t="s">
        <v>566</v>
      </c>
      <c r="L14" s="6">
        <v>52.277000399999999</v>
      </c>
      <c r="M14" s="12">
        <v>34.917270700000003</v>
      </c>
      <c r="N14" s="127" t="str">
        <f t="shared" si="0"/>
        <v>26 ГТС на р.Кубанка у с.Кубань</v>
      </c>
      <c r="O14" s="127" t="str">
        <f t="shared" si="1"/>
        <v>Курская область, Дмитриевский район, с.Кубань</v>
      </c>
    </row>
    <row r="15" spans="1:15" ht="75" x14ac:dyDescent="0.2">
      <c r="A15" s="125">
        <v>27</v>
      </c>
      <c r="B15" s="125" t="s">
        <v>1126</v>
      </c>
      <c r="C15" s="13" t="s">
        <v>60</v>
      </c>
      <c r="D15" s="13" t="s">
        <v>1127</v>
      </c>
      <c r="E15" s="13" t="s">
        <v>1128</v>
      </c>
      <c r="F15" s="13" t="s">
        <v>61</v>
      </c>
      <c r="G15" s="13">
        <v>1987</v>
      </c>
      <c r="H15" s="13">
        <v>126</v>
      </c>
      <c r="I15" s="13">
        <v>7</v>
      </c>
      <c r="J15" s="13" t="s">
        <v>20</v>
      </c>
      <c r="K15" s="115" t="s">
        <v>1123</v>
      </c>
      <c r="L15" s="6">
        <v>52.308963800000001</v>
      </c>
      <c r="M15" s="12">
        <v>35.075676000000001</v>
      </c>
      <c r="N15" s="127" t="str">
        <f t="shared" si="0"/>
        <v>27 ГТС на р.Каменная Осмонька у с.Черневка</v>
      </c>
      <c r="O15" s="127" t="str">
        <f t="shared" si="1"/>
        <v>Курская область, Дмитриевский район, с.Черневка</v>
      </c>
    </row>
    <row r="16" spans="1:15" ht="75" x14ac:dyDescent="0.2">
      <c r="A16" s="125">
        <v>28</v>
      </c>
      <c r="B16" s="125" t="s">
        <v>1126</v>
      </c>
      <c r="C16" s="14" t="s">
        <v>39</v>
      </c>
      <c r="D16" s="13" t="s">
        <v>1127</v>
      </c>
      <c r="E16" s="13" t="s">
        <v>1128</v>
      </c>
      <c r="F16" s="14" t="s">
        <v>62</v>
      </c>
      <c r="G16" s="14">
        <v>1973</v>
      </c>
      <c r="H16" s="14">
        <v>647</v>
      </c>
      <c r="I16" s="14">
        <v>32</v>
      </c>
      <c r="J16" s="14" t="s">
        <v>20</v>
      </c>
      <c r="K16" s="115" t="s">
        <v>565</v>
      </c>
      <c r="L16" s="6">
        <v>52.1777534</v>
      </c>
      <c r="M16" s="12">
        <v>34.855659500000002</v>
      </c>
      <c r="N16" s="127" t="str">
        <f t="shared" si="0"/>
        <v>28 ГТС на р. Харасея у с. Погодино</v>
      </c>
      <c r="O16" s="127" t="str">
        <f t="shared" si="1"/>
        <v>Курская область, Дмитриевский район, с. Погодино</v>
      </c>
    </row>
    <row r="17" spans="1:15" ht="105" x14ac:dyDescent="0.2">
      <c r="A17" s="125">
        <v>29</v>
      </c>
      <c r="B17" s="125" t="s">
        <v>1126</v>
      </c>
      <c r="C17" s="13" t="s">
        <v>64</v>
      </c>
      <c r="D17" s="13" t="s">
        <v>1127</v>
      </c>
      <c r="E17" s="13" t="s">
        <v>1129</v>
      </c>
      <c r="F17" s="13" t="s">
        <v>65</v>
      </c>
      <c r="G17" s="13">
        <v>1976</v>
      </c>
      <c r="H17" s="13">
        <v>41100</v>
      </c>
      <c r="I17" s="13">
        <v>1407</v>
      </c>
      <c r="J17" s="13" t="s">
        <v>20</v>
      </c>
      <c r="K17" s="6" t="s">
        <v>569</v>
      </c>
      <c r="L17" s="6">
        <v>52.231510200000002</v>
      </c>
      <c r="M17" s="12">
        <v>35.562595399999999</v>
      </c>
      <c r="N17" s="128" t="str">
        <f t="shared" si="0"/>
        <v>29 ГТС на р.Свапа у д. Старый Бузец (Копенское водохранилище)</v>
      </c>
      <c r="O17" s="128" t="str">
        <f t="shared" si="1"/>
        <v>Курская область, Железногорский район, д. Старый Бузец (Копенское водохранилище)</v>
      </c>
    </row>
    <row r="18" spans="1:15" ht="105" x14ac:dyDescent="0.2">
      <c r="A18" s="125">
        <v>30</v>
      </c>
      <c r="B18" s="125" t="s">
        <v>1126</v>
      </c>
      <c r="C18" s="86" t="s">
        <v>66</v>
      </c>
      <c r="D18" s="13" t="s">
        <v>1127</v>
      </c>
      <c r="E18" s="13" t="s">
        <v>1129</v>
      </c>
      <c r="F18" s="86" t="s">
        <v>67</v>
      </c>
      <c r="G18" s="86">
        <v>1960</v>
      </c>
      <c r="H18" s="86">
        <v>2450</v>
      </c>
      <c r="I18" s="86">
        <v>180</v>
      </c>
      <c r="J18" s="86" t="s">
        <v>20</v>
      </c>
      <c r="K18" s="78" t="s">
        <v>569</v>
      </c>
      <c r="L18" s="78" t="s">
        <v>570</v>
      </c>
      <c r="M18" s="79" t="s">
        <v>571</v>
      </c>
      <c r="N18" s="128" t="str">
        <f t="shared" si="0"/>
        <v>30 ГТС на р.Рясник у д. Рясник (пруд № 1)</v>
      </c>
      <c r="O18" s="128" t="str">
        <f t="shared" si="1"/>
        <v>Курская область, Железногорский район, д. Рясник (пруд № 1)</v>
      </c>
    </row>
    <row r="19" spans="1:15" ht="105" x14ac:dyDescent="0.2">
      <c r="A19" s="125">
        <v>31</v>
      </c>
      <c r="B19" s="125" t="s">
        <v>1126</v>
      </c>
      <c r="C19" s="13" t="s">
        <v>66</v>
      </c>
      <c r="D19" s="13" t="s">
        <v>1127</v>
      </c>
      <c r="E19" s="13" t="s">
        <v>1129</v>
      </c>
      <c r="F19" s="13" t="s">
        <v>68</v>
      </c>
      <c r="G19" s="13">
        <v>1960</v>
      </c>
      <c r="H19" s="13">
        <v>1500</v>
      </c>
      <c r="I19" s="13">
        <v>100</v>
      </c>
      <c r="J19" s="13" t="s">
        <v>20</v>
      </c>
      <c r="K19" s="6" t="s">
        <v>569</v>
      </c>
      <c r="L19" s="15">
        <v>52.348407999999999</v>
      </c>
      <c r="M19" s="45">
        <v>35.445658000000002</v>
      </c>
      <c r="N19" s="128" t="str">
        <f t="shared" si="0"/>
        <v>31 ГТС на р.Рясник у п. Михайловский (пруд № 2)</v>
      </c>
      <c r="O19" s="128" t="str">
        <f t="shared" si="1"/>
        <v>Курская область, Железногорский район, п. Михайловский (пруд № 2)</v>
      </c>
    </row>
    <row r="20" spans="1:15" ht="75" x14ac:dyDescent="0.2">
      <c r="A20" s="125">
        <v>32</v>
      </c>
      <c r="B20" s="125" t="s">
        <v>1126</v>
      </c>
      <c r="C20" s="13" t="s">
        <v>69</v>
      </c>
      <c r="D20" s="13" t="s">
        <v>1127</v>
      </c>
      <c r="E20" s="13" t="s">
        <v>1129</v>
      </c>
      <c r="F20" s="13" t="s">
        <v>70</v>
      </c>
      <c r="G20" s="13">
        <v>1978</v>
      </c>
      <c r="H20" s="13">
        <v>1050</v>
      </c>
      <c r="I20" s="13">
        <v>56</v>
      </c>
      <c r="J20" s="13" t="s">
        <v>9</v>
      </c>
      <c r="K20" s="115" t="s">
        <v>1124</v>
      </c>
      <c r="L20" s="6">
        <v>52.309146900000002</v>
      </c>
      <c r="M20" s="12">
        <v>35.228187599999998</v>
      </c>
      <c r="N20" s="128" t="str">
        <f t="shared" si="0"/>
        <v>32 ГТС на р.Смородинка у с. Ажово</v>
      </c>
      <c r="O20" s="128" t="str">
        <f t="shared" si="1"/>
        <v>Курская область, Железногорский район, с. Ажово</v>
      </c>
    </row>
    <row r="21" spans="1:15" ht="75" x14ac:dyDescent="0.2">
      <c r="A21" s="125">
        <v>33</v>
      </c>
      <c r="B21" s="125" t="s">
        <v>1126</v>
      </c>
      <c r="C21" s="86" t="s">
        <v>71</v>
      </c>
      <c r="D21" s="13" t="s">
        <v>1127</v>
      </c>
      <c r="E21" s="13" t="s">
        <v>1129</v>
      </c>
      <c r="F21" s="86" t="s">
        <v>72</v>
      </c>
      <c r="G21" s="86">
        <v>1980</v>
      </c>
      <c r="H21" s="86">
        <v>1079</v>
      </c>
      <c r="I21" s="86">
        <v>31</v>
      </c>
      <c r="J21" s="86" t="s">
        <v>9</v>
      </c>
      <c r="K21" s="78" t="s">
        <v>572</v>
      </c>
      <c r="L21" s="78">
        <v>52.288318599999997</v>
      </c>
      <c r="M21" s="79">
        <v>35.241340600000001</v>
      </c>
      <c r="N21" s="128" t="str">
        <f t="shared" si="0"/>
        <v>33 ГТС на руч.Сбородный у п. Щека</v>
      </c>
      <c r="O21" s="128" t="str">
        <f t="shared" si="1"/>
        <v>Курская область, Железногорский район, п. Щека</v>
      </c>
    </row>
    <row r="22" spans="1:15" ht="135" x14ac:dyDescent="0.2">
      <c r="A22" s="125">
        <v>34</v>
      </c>
      <c r="B22" s="125" t="s">
        <v>1126</v>
      </c>
      <c r="C22" s="13" t="s">
        <v>73</v>
      </c>
      <c r="D22" s="13" t="s">
        <v>1127</v>
      </c>
      <c r="E22" s="13" t="s">
        <v>1129</v>
      </c>
      <c r="F22" s="13" t="s">
        <v>74</v>
      </c>
      <c r="G22" s="13">
        <v>1972</v>
      </c>
      <c r="H22" s="13">
        <v>2520</v>
      </c>
      <c r="I22" s="13">
        <v>84</v>
      </c>
      <c r="J22" s="13" t="s">
        <v>20</v>
      </c>
      <c r="K22" s="6" t="s">
        <v>573</v>
      </c>
      <c r="L22" s="15">
        <v>52.315311399999999</v>
      </c>
      <c r="M22" s="45">
        <v>35.358020799999998</v>
      </c>
      <c r="N22" s="128" t="str">
        <f t="shared" si="0"/>
        <v>34 ГТС на руч.Погарщина у г.Железногорск</v>
      </c>
      <c r="O22" s="128" t="str">
        <f t="shared" si="1"/>
        <v>Курская область, Железногорский район, г.Железногорск</v>
      </c>
    </row>
    <row r="23" spans="1:15" ht="75" x14ac:dyDescent="0.2">
      <c r="A23" s="125">
        <v>35</v>
      </c>
      <c r="B23" s="125" t="s">
        <v>1126</v>
      </c>
      <c r="C23" s="13" t="s">
        <v>75</v>
      </c>
      <c r="D23" s="13" t="s">
        <v>1127</v>
      </c>
      <c r="E23" s="13" t="s">
        <v>1129</v>
      </c>
      <c r="F23" s="13" t="s">
        <v>76</v>
      </c>
      <c r="G23" s="13">
        <v>1977</v>
      </c>
      <c r="H23" s="13">
        <v>1138</v>
      </c>
      <c r="I23" s="13">
        <v>37</v>
      </c>
      <c r="J23" s="13" t="s">
        <v>20</v>
      </c>
      <c r="K23" s="6" t="s">
        <v>574</v>
      </c>
      <c r="L23" s="15">
        <v>52.106220200000003</v>
      </c>
      <c r="M23" s="45">
        <v>35.537990600000001</v>
      </c>
      <c r="N23" s="128" t="str">
        <f t="shared" si="0"/>
        <v>35 ГТС на руч.Линчик у х.Веселый</v>
      </c>
      <c r="O23" s="128" t="str">
        <f t="shared" si="1"/>
        <v>Курская область, Железногорский район, х.Веселый</v>
      </c>
    </row>
    <row r="24" spans="1:15" ht="90" x14ac:dyDescent="0.2">
      <c r="A24" s="125">
        <v>36</v>
      </c>
      <c r="B24" s="125" t="s">
        <v>1126</v>
      </c>
      <c r="C24" s="13" t="s">
        <v>77</v>
      </c>
      <c r="D24" s="13" t="s">
        <v>1127</v>
      </c>
      <c r="E24" s="13" t="s">
        <v>1129</v>
      </c>
      <c r="F24" s="13" t="s">
        <v>78</v>
      </c>
      <c r="G24" s="13">
        <v>1978</v>
      </c>
      <c r="H24" s="13">
        <v>1675</v>
      </c>
      <c r="I24" s="13">
        <v>193.3</v>
      </c>
      <c r="J24" s="13" t="s">
        <v>20</v>
      </c>
      <c r="K24" s="6" t="s">
        <v>575</v>
      </c>
      <c r="L24" s="15">
        <v>52.217460600000003</v>
      </c>
      <c r="M24" s="45">
        <v>35.490894300000001</v>
      </c>
      <c r="N24" s="128" t="str">
        <f t="shared" si="0"/>
        <v>36 ГТС на р.Свапа (пойма) у с.Старый Бузец (выростные пруды 9 шт)</v>
      </c>
      <c r="O24" s="128" t="str">
        <f t="shared" si="1"/>
        <v>Курская область, Железногорский район, с.Старый Бузец (выростные пруды 9 шт)</v>
      </c>
    </row>
    <row r="25" spans="1:15" ht="75" x14ac:dyDescent="0.2">
      <c r="A25" s="125">
        <v>37</v>
      </c>
      <c r="B25" s="125" t="s">
        <v>1126</v>
      </c>
      <c r="C25" s="13" t="s">
        <v>79</v>
      </c>
      <c r="D25" s="13" t="s">
        <v>1127</v>
      </c>
      <c r="E25" s="13" t="s">
        <v>1129</v>
      </c>
      <c r="F25" s="13" t="s">
        <v>80</v>
      </c>
      <c r="G25" s="13">
        <v>2004</v>
      </c>
      <c r="H25" s="13">
        <v>1040</v>
      </c>
      <c r="I25" s="13">
        <v>44</v>
      </c>
      <c r="J25" s="13" t="s">
        <v>20</v>
      </c>
      <c r="K25" s="6" t="s">
        <v>576</v>
      </c>
      <c r="L25" s="15">
        <v>52.146045700000002</v>
      </c>
      <c r="M25" s="45">
        <v>35.443729400000002</v>
      </c>
      <c r="N25" s="128" t="str">
        <f t="shared" si="0"/>
        <v>37 ГТС на руч.Бутеж у с.Рышково</v>
      </c>
      <c r="O25" s="128" t="str">
        <f t="shared" si="1"/>
        <v>Курская область, Железногорский район, с.Рышково</v>
      </c>
    </row>
    <row r="26" spans="1:15" ht="135" x14ac:dyDescent="0.2">
      <c r="A26" s="125">
        <v>38</v>
      </c>
      <c r="B26" s="125" t="s">
        <v>1126</v>
      </c>
      <c r="C26" s="13" t="s">
        <v>81</v>
      </c>
      <c r="D26" s="13" t="s">
        <v>1127</v>
      </c>
      <c r="E26" s="13" t="s">
        <v>1129</v>
      </c>
      <c r="F26" s="13" t="s">
        <v>82</v>
      </c>
      <c r="G26" s="13">
        <v>1975</v>
      </c>
      <c r="H26" s="13">
        <v>880</v>
      </c>
      <c r="I26" s="13">
        <v>97</v>
      </c>
      <c r="J26" s="13" t="s">
        <v>20</v>
      </c>
      <c r="K26" s="6" t="s">
        <v>575</v>
      </c>
      <c r="L26" s="15">
        <v>52.223426799999999</v>
      </c>
      <c r="M26" s="45">
        <v>35.5369606</v>
      </c>
      <c r="N26" s="128" t="str">
        <f t="shared" si="0"/>
        <v>38 ГТС на р. Свапа (пойма) у с. Старый Бузец нагульные и зимовальные пруды 10 шт)</v>
      </c>
      <c r="O26" s="128" t="str">
        <f t="shared" si="1"/>
        <v>Курская область, Железногорский район, с. Старый Бузец нагульные и зимовальные пруды 10 шт)</v>
      </c>
    </row>
    <row r="27" spans="1:15" ht="90" x14ac:dyDescent="0.2">
      <c r="A27" s="125">
        <v>39</v>
      </c>
      <c r="B27" s="125" t="s">
        <v>1126</v>
      </c>
      <c r="C27" s="13" t="s">
        <v>81</v>
      </c>
      <c r="D27" s="13" t="s">
        <v>1127</v>
      </c>
      <c r="E27" s="13" t="s">
        <v>1129</v>
      </c>
      <c r="F27" s="13" t="s">
        <v>83</v>
      </c>
      <c r="G27" s="13">
        <v>1975</v>
      </c>
      <c r="H27" s="13">
        <v>440</v>
      </c>
      <c r="I27" s="13">
        <v>76</v>
      </c>
      <c r="J27" s="13" t="s">
        <v>20</v>
      </c>
      <c r="K27" s="6" t="s">
        <v>575</v>
      </c>
      <c r="L27" s="15">
        <v>52.223922700000003</v>
      </c>
      <c r="M27" s="45">
        <v>35.530399299999999</v>
      </c>
      <c r="N27" s="128" t="str">
        <f t="shared" si="0"/>
        <v>39 ГТС на р. Свапа (пойма) у с. Старый Бузец (племенной участок)</v>
      </c>
      <c r="O27" s="128" t="str">
        <f t="shared" si="1"/>
        <v>Курская область, Железногорский район, с. Старый Бузец (племенной участок)</v>
      </c>
    </row>
    <row r="28" spans="1:15" ht="75" x14ac:dyDescent="0.2">
      <c r="A28" s="125">
        <v>40</v>
      </c>
      <c r="B28" s="125" t="s">
        <v>1126</v>
      </c>
      <c r="C28" s="13" t="s">
        <v>84</v>
      </c>
      <c r="D28" s="13" t="s">
        <v>1127</v>
      </c>
      <c r="E28" s="13" t="s">
        <v>1129</v>
      </c>
      <c r="F28" s="13" t="s">
        <v>85</v>
      </c>
      <c r="G28" s="13">
        <v>1979</v>
      </c>
      <c r="H28" s="13">
        <v>564</v>
      </c>
      <c r="I28" s="13">
        <v>28</v>
      </c>
      <c r="J28" s="13" t="s">
        <v>20</v>
      </c>
      <c r="K28" s="115" t="s">
        <v>1125</v>
      </c>
      <c r="L28" s="6">
        <v>52.366107900000003</v>
      </c>
      <c r="M28" s="12">
        <v>35.239952099999996</v>
      </c>
      <c r="N28" s="128" t="str">
        <f t="shared" si="0"/>
        <v>40 ГТС на руч.Верх.Буковица у с. Трояново</v>
      </c>
      <c r="O28" s="128" t="str">
        <f t="shared" si="1"/>
        <v>Курская область, Железногорский район, с. Трояново</v>
      </c>
    </row>
    <row r="29" spans="1:15" ht="105" x14ac:dyDescent="0.2">
      <c r="A29" s="125">
        <v>41</v>
      </c>
      <c r="B29" s="125" t="s">
        <v>1126</v>
      </c>
      <c r="C29" s="13" t="s">
        <v>86</v>
      </c>
      <c r="D29" s="13" t="s">
        <v>1127</v>
      </c>
      <c r="E29" s="13" t="s">
        <v>1129</v>
      </c>
      <c r="F29" s="13" t="s">
        <v>74</v>
      </c>
      <c r="G29" s="13">
        <v>1964</v>
      </c>
      <c r="H29" s="13">
        <v>250</v>
      </c>
      <c r="I29" s="13">
        <v>10</v>
      </c>
      <c r="J29" s="13" t="s">
        <v>9</v>
      </c>
      <c r="K29" s="6" t="s">
        <v>569</v>
      </c>
      <c r="L29" s="15">
        <v>52.345917999999998</v>
      </c>
      <c r="M29" s="45">
        <v>35.377457999999997</v>
      </c>
      <c r="N29" s="128" t="str">
        <f t="shared" si="0"/>
        <v>41 ГТС на р.Речица у г.Железногорск</v>
      </c>
      <c r="O29" s="128" t="str">
        <f t="shared" si="1"/>
        <v>Курская область, Железногорский район, г.Железногорск</v>
      </c>
    </row>
    <row r="30" spans="1:15" ht="75" x14ac:dyDescent="0.2">
      <c r="A30" s="13">
        <v>42</v>
      </c>
      <c r="B30" s="125" t="s">
        <v>1126</v>
      </c>
      <c r="C30" s="13" t="s">
        <v>87</v>
      </c>
      <c r="D30" s="13" t="s">
        <v>1127</v>
      </c>
      <c r="E30" s="13" t="s">
        <v>1129</v>
      </c>
      <c r="F30" s="13" t="s">
        <v>88</v>
      </c>
      <c r="G30" s="13">
        <v>1980</v>
      </c>
      <c r="H30" s="13">
        <v>323</v>
      </c>
      <c r="I30" s="13">
        <v>15</v>
      </c>
      <c r="J30" s="13" t="s">
        <v>9</v>
      </c>
      <c r="K30" s="6" t="s">
        <v>577</v>
      </c>
      <c r="L30" s="6">
        <v>52.297233599999998</v>
      </c>
      <c r="M30" s="12">
        <v>35.514183000000003</v>
      </c>
      <c r="N30" s="128" t="str">
        <f t="shared" si="0"/>
        <v>42 ГТС на р.Песочная у с.Андросово</v>
      </c>
      <c r="O30" s="128" t="str">
        <f t="shared" si="1"/>
        <v>Курская область, Железногорский район, с.Андросово</v>
      </c>
    </row>
    <row r="31" spans="1:15" ht="105" x14ac:dyDescent="0.2">
      <c r="A31" s="86">
        <v>43</v>
      </c>
      <c r="B31" s="125" t="s">
        <v>1126</v>
      </c>
      <c r="C31" s="86" t="s">
        <v>87</v>
      </c>
      <c r="D31" s="13" t="s">
        <v>1127</v>
      </c>
      <c r="E31" s="13" t="s">
        <v>1129</v>
      </c>
      <c r="F31" s="86" t="s">
        <v>89</v>
      </c>
      <c r="G31" s="86">
        <v>1975</v>
      </c>
      <c r="H31" s="86">
        <v>460000</v>
      </c>
      <c r="I31" s="86">
        <v>1300</v>
      </c>
      <c r="J31" s="86" t="s">
        <v>20</v>
      </c>
      <c r="K31" s="78" t="s">
        <v>569</v>
      </c>
      <c r="L31" s="78">
        <v>52.325775100000001</v>
      </c>
      <c r="M31" s="79">
        <v>35.5229225</v>
      </c>
      <c r="N31" s="128" t="str">
        <f t="shared" si="0"/>
        <v>43 ГТС на р.Песочная у Хвостохранилище
д. Макарово</v>
      </c>
      <c r="O31" s="128" t="str">
        <f t="shared" si="1"/>
        <v>Курская область, Железногорский район, Хвостохранилище
д. Макарово</v>
      </c>
    </row>
    <row r="32" spans="1:15" ht="105" x14ac:dyDescent="0.2">
      <c r="A32" s="13">
        <v>44</v>
      </c>
      <c r="B32" s="125" t="s">
        <v>1126</v>
      </c>
      <c r="C32" s="14" t="s">
        <v>90</v>
      </c>
      <c r="D32" s="13" t="s">
        <v>1127</v>
      </c>
      <c r="E32" s="13" t="s">
        <v>1129</v>
      </c>
      <c r="F32" s="14" t="s">
        <v>91</v>
      </c>
      <c r="G32" s="14">
        <v>1977</v>
      </c>
      <c r="H32" s="14">
        <v>550</v>
      </c>
      <c r="I32" s="14">
        <v>8</v>
      </c>
      <c r="J32" s="14" t="s">
        <v>20</v>
      </c>
      <c r="K32" s="16" t="s">
        <v>569</v>
      </c>
      <c r="L32" s="16">
        <v>52.357109100000002</v>
      </c>
      <c r="M32" s="17">
        <v>35.4075165</v>
      </c>
      <c r="N32" s="128" t="str">
        <f t="shared" si="0"/>
        <v>44 ГТС на бал.Россошки у Шламохранилище ДСФ</v>
      </c>
      <c r="O32" s="128" t="str">
        <f t="shared" si="1"/>
        <v>Курская область, Железногорский район, Шламохранилище ДСФ</v>
      </c>
    </row>
    <row r="33" spans="1:20" ht="75" x14ac:dyDescent="0.2">
      <c r="A33" s="18">
        <v>74</v>
      </c>
      <c r="B33" s="125" t="s">
        <v>1126</v>
      </c>
      <c r="C33" s="18" t="s">
        <v>149</v>
      </c>
      <c r="D33" s="13" t="s">
        <v>1127</v>
      </c>
      <c r="E33" s="13" t="s">
        <v>1130</v>
      </c>
      <c r="F33" s="18" t="s">
        <v>150</v>
      </c>
      <c r="G33" s="18">
        <v>1971</v>
      </c>
      <c r="H33" s="18">
        <v>1350</v>
      </c>
      <c r="I33" s="18">
        <v>90</v>
      </c>
      <c r="J33" s="18" t="s">
        <v>9</v>
      </c>
      <c r="K33" s="8" t="s">
        <v>595</v>
      </c>
      <c r="L33" s="8">
        <v>51.982265499999997</v>
      </c>
      <c r="M33" s="47">
        <v>35.312755600000003</v>
      </c>
      <c r="N33" s="126" t="str">
        <f t="shared" si="0"/>
        <v>74 ГТС на Руч. б/н у с.Булгаковка</v>
      </c>
      <c r="O33" s="126" t="str">
        <f t="shared" si="1"/>
        <v>Курская область, Конышевский район, с.Булгаковка</v>
      </c>
    </row>
    <row r="34" spans="1:20" ht="75" x14ac:dyDescent="0.2">
      <c r="A34" s="18">
        <v>75</v>
      </c>
      <c r="B34" s="125" t="s">
        <v>1126</v>
      </c>
      <c r="C34" s="13" t="s">
        <v>151</v>
      </c>
      <c r="D34" s="13" t="s">
        <v>1127</v>
      </c>
      <c r="E34" s="13" t="s">
        <v>1130</v>
      </c>
      <c r="F34" s="13" t="s">
        <v>152</v>
      </c>
      <c r="G34" s="13">
        <v>1971</v>
      </c>
      <c r="H34" s="13">
        <v>1020</v>
      </c>
      <c r="I34" s="13">
        <v>72</v>
      </c>
      <c r="J34" s="13" t="s">
        <v>9</v>
      </c>
      <c r="K34" s="8" t="s">
        <v>595</v>
      </c>
      <c r="L34" s="8">
        <v>51.927138999999997</v>
      </c>
      <c r="M34" s="47">
        <v>35.453645999999999</v>
      </c>
      <c r="N34" s="126" t="str">
        <f t="shared" si="0"/>
        <v>75 ГТС на р.Вабля у с.Верхняя Вабля</v>
      </c>
      <c r="O34" s="126" t="str">
        <f t="shared" si="1"/>
        <v>Курская область, Конышевский район, с.Верхняя Вабля</v>
      </c>
    </row>
    <row r="35" spans="1:20" ht="195" x14ac:dyDescent="0.2">
      <c r="A35" s="18">
        <v>76</v>
      </c>
      <c r="B35" s="125" t="s">
        <v>1126</v>
      </c>
      <c r="C35" s="13" t="s">
        <v>151</v>
      </c>
      <c r="D35" s="13" t="s">
        <v>1127</v>
      </c>
      <c r="E35" s="13" t="s">
        <v>1130</v>
      </c>
      <c r="F35" s="13" t="s">
        <v>153</v>
      </c>
      <c r="G35" s="13">
        <v>1980</v>
      </c>
      <c r="H35" s="13">
        <v>1090</v>
      </c>
      <c r="I35" s="13">
        <v>80</v>
      </c>
      <c r="J35" s="13" t="s">
        <v>9</v>
      </c>
      <c r="K35" s="8" t="s">
        <v>596</v>
      </c>
      <c r="L35" s="8">
        <v>51.903140999999998</v>
      </c>
      <c r="M35" s="47">
        <v>35.456401800000002</v>
      </c>
      <c r="N35" s="126" t="str">
        <f t="shared" si="0"/>
        <v>76 ГТС на р.Вабля у с.Нижняя Вабля (с.Глазово)</v>
      </c>
      <c r="O35" s="126" t="str">
        <f t="shared" si="1"/>
        <v>Курская область, Конышевский район, с.Нижняя Вабля (с.Глазово)</v>
      </c>
    </row>
    <row r="36" spans="1:20" ht="90" x14ac:dyDescent="0.2">
      <c r="A36" s="18">
        <v>77</v>
      </c>
      <c r="B36" s="125" t="s">
        <v>1126</v>
      </c>
      <c r="C36" s="13" t="s">
        <v>154</v>
      </c>
      <c r="D36" s="13" t="s">
        <v>1127</v>
      </c>
      <c r="E36" s="13" t="s">
        <v>1130</v>
      </c>
      <c r="F36" s="13" t="s">
        <v>155</v>
      </c>
      <c r="G36" s="13">
        <v>1976</v>
      </c>
      <c r="H36" s="13">
        <v>2360</v>
      </c>
      <c r="I36" s="13">
        <v>102</v>
      </c>
      <c r="J36" s="13" t="s">
        <v>9</v>
      </c>
      <c r="K36" s="20" t="s">
        <v>597</v>
      </c>
      <c r="L36" s="20">
        <v>51.804252599999998</v>
      </c>
      <c r="M36" s="50">
        <v>35.365726500000001</v>
      </c>
      <c r="N36" s="126" t="str">
        <f t="shared" si="0"/>
        <v>77 ГТС на р.Котлевка у с. Захарково</v>
      </c>
      <c r="O36" s="126" t="str">
        <f t="shared" si="1"/>
        <v>Курская область, Конышевский район, с. Захарково</v>
      </c>
    </row>
    <row r="37" spans="1:20" ht="75" x14ac:dyDescent="0.2">
      <c r="A37" s="18">
        <v>78</v>
      </c>
      <c r="B37" s="125" t="s">
        <v>1126</v>
      </c>
      <c r="C37" s="13" t="s">
        <v>156</v>
      </c>
      <c r="D37" s="13" t="s">
        <v>1127</v>
      </c>
      <c r="E37" s="13" t="s">
        <v>1130</v>
      </c>
      <c r="F37" s="13" t="s">
        <v>157</v>
      </c>
      <c r="G37" s="13">
        <v>1979</v>
      </c>
      <c r="H37" s="13">
        <v>1620</v>
      </c>
      <c r="I37" s="13">
        <v>65</v>
      </c>
      <c r="J37" s="13" t="s">
        <v>9</v>
      </c>
      <c r="K37" s="20" t="s">
        <v>598</v>
      </c>
      <c r="L37" s="20">
        <v>51.904399900000001</v>
      </c>
      <c r="M37" s="50">
        <v>35.136814100000002</v>
      </c>
      <c r="N37" s="126" t="str">
        <f t="shared" si="0"/>
        <v>78 ГТС на руч.Вандарец у с. Малахово</v>
      </c>
      <c r="O37" s="126" t="str">
        <f t="shared" si="1"/>
        <v>Курская область, Конышевский район, с. Малахово</v>
      </c>
    </row>
    <row r="38" spans="1:20" ht="75" x14ac:dyDescent="0.2">
      <c r="A38" s="18">
        <v>79</v>
      </c>
      <c r="B38" s="125" t="s">
        <v>1126</v>
      </c>
      <c r="C38" s="13" t="s">
        <v>158</v>
      </c>
      <c r="D38" s="13" t="s">
        <v>1127</v>
      </c>
      <c r="E38" s="13" t="s">
        <v>1130</v>
      </c>
      <c r="F38" s="13" t="s">
        <v>159</v>
      </c>
      <c r="G38" s="13">
        <v>1981</v>
      </c>
      <c r="H38" s="13">
        <v>1220</v>
      </c>
      <c r="I38" s="13">
        <v>48</v>
      </c>
      <c r="J38" s="13" t="s">
        <v>9</v>
      </c>
      <c r="K38" s="20" t="s">
        <v>599</v>
      </c>
      <c r="L38" s="20">
        <v>51.799129499999999</v>
      </c>
      <c r="M38" s="50">
        <v>35.222869899999999</v>
      </c>
      <c r="N38" s="126" t="str">
        <f t="shared" si="0"/>
        <v>79 ГТС на р.Платавка у х. Трости</v>
      </c>
      <c r="O38" s="126" t="str">
        <f t="shared" si="1"/>
        <v>Курская область, Конышевский район, х. Трости</v>
      </c>
    </row>
    <row r="39" spans="1:20" ht="75" x14ac:dyDescent="0.2">
      <c r="A39" s="18">
        <v>80</v>
      </c>
      <c r="B39" s="125" t="s">
        <v>1126</v>
      </c>
      <c r="C39" s="36" t="s">
        <v>151</v>
      </c>
      <c r="D39" s="13" t="s">
        <v>1127</v>
      </c>
      <c r="E39" s="13" t="s">
        <v>1130</v>
      </c>
      <c r="F39" s="36" t="s">
        <v>160</v>
      </c>
      <c r="G39" s="36" t="s">
        <v>27</v>
      </c>
      <c r="H39" s="36">
        <v>755</v>
      </c>
      <c r="I39" s="36">
        <v>31</v>
      </c>
      <c r="J39" s="36" t="s">
        <v>9</v>
      </c>
      <c r="K39" s="8" t="s">
        <v>586</v>
      </c>
      <c r="L39" s="20">
        <v>51.948089600000003</v>
      </c>
      <c r="M39" s="50">
        <v>35.450355500000001</v>
      </c>
      <c r="N39" s="126" t="str">
        <f t="shared" si="0"/>
        <v>80 ГТС на р.Вабля у с. Вожово, с. Вабля</v>
      </c>
      <c r="O39" s="126" t="str">
        <f t="shared" si="1"/>
        <v>Курская область, Конышевский район, с. Вожово, с. Вабля</v>
      </c>
    </row>
    <row r="40" spans="1:20" ht="75" x14ac:dyDescent="0.2">
      <c r="A40" s="18">
        <v>81</v>
      </c>
      <c r="B40" s="125" t="s">
        <v>1126</v>
      </c>
      <c r="C40" s="13" t="s">
        <v>161</v>
      </c>
      <c r="D40" s="13" t="s">
        <v>1127</v>
      </c>
      <c r="E40" s="13" t="s">
        <v>1130</v>
      </c>
      <c r="F40" s="13" t="s">
        <v>162</v>
      </c>
      <c r="G40" s="13">
        <v>1981</v>
      </c>
      <c r="H40" s="13">
        <v>1220</v>
      </c>
      <c r="I40" s="13">
        <v>48</v>
      </c>
      <c r="J40" s="13" t="s">
        <v>9</v>
      </c>
      <c r="K40" s="20" t="s">
        <v>599</v>
      </c>
      <c r="L40" s="20">
        <v>51.813015</v>
      </c>
      <c r="M40" s="50">
        <v>35.235748999999998</v>
      </c>
      <c r="N40" s="126" t="str">
        <f t="shared" si="0"/>
        <v>81 ГТС на руч.Плотавка у х.Заветинский</v>
      </c>
      <c r="O40" s="126" t="str">
        <f t="shared" si="1"/>
        <v>Курская область, Конышевский район, х.Заветинский</v>
      </c>
    </row>
    <row r="41" spans="1:20" ht="75" x14ac:dyDescent="0.2">
      <c r="A41" s="88">
        <v>82</v>
      </c>
      <c r="B41" s="125" t="s">
        <v>1126</v>
      </c>
      <c r="C41" s="86" t="s">
        <v>163</v>
      </c>
      <c r="D41" s="13" t="s">
        <v>1127</v>
      </c>
      <c r="E41" s="13" t="s">
        <v>1130</v>
      </c>
      <c r="F41" s="86" t="s">
        <v>164</v>
      </c>
      <c r="G41" s="86">
        <v>1981</v>
      </c>
      <c r="H41" s="86">
        <v>750</v>
      </c>
      <c r="I41" s="86">
        <v>45</v>
      </c>
      <c r="J41" s="86" t="s">
        <v>9</v>
      </c>
      <c r="K41" s="89" t="s">
        <v>600</v>
      </c>
      <c r="L41" s="89">
        <v>51.954776799999998</v>
      </c>
      <c r="M41" s="90">
        <v>35.315628099999998</v>
      </c>
      <c r="N41" s="126" t="str">
        <f t="shared" si="0"/>
        <v>82 ГТС на бал. Передельный Лог у с.Машкино</v>
      </c>
      <c r="O41" s="126" t="str">
        <f t="shared" si="1"/>
        <v>Курская область, Конышевский район, с.Машкино</v>
      </c>
    </row>
    <row r="42" spans="1:20" ht="75" x14ac:dyDescent="0.2">
      <c r="A42" s="18">
        <v>83</v>
      </c>
      <c r="B42" s="125" t="s">
        <v>1126</v>
      </c>
      <c r="C42" s="13" t="s">
        <v>165</v>
      </c>
      <c r="D42" s="13" t="s">
        <v>1127</v>
      </c>
      <c r="E42" s="13" t="s">
        <v>1130</v>
      </c>
      <c r="F42" s="13" t="s">
        <v>166</v>
      </c>
      <c r="G42" s="13">
        <v>1985</v>
      </c>
      <c r="H42" s="13">
        <v>421</v>
      </c>
      <c r="I42" s="13">
        <v>22</v>
      </c>
      <c r="J42" s="13" t="s">
        <v>20</v>
      </c>
      <c r="K42" s="20" t="s">
        <v>601</v>
      </c>
      <c r="L42" s="20">
        <v>51.8691368</v>
      </c>
      <c r="M42" s="50">
        <v>35.514740000000003</v>
      </c>
      <c r="N42" s="126" t="str">
        <f t="shared" si="0"/>
        <v>83 ГТС на руч.Городьков у с.Яковлево</v>
      </c>
      <c r="O42" s="126" t="str">
        <f t="shared" si="1"/>
        <v>Курская область, Конышевский район, с.Яковлево</v>
      </c>
    </row>
    <row r="43" spans="1:20" ht="75" x14ac:dyDescent="0.2">
      <c r="A43" s="18">
        <v>84</v>
      </c>
      <c r="B43" s="125" t="s">
        <v>1126</v>
      </c>
      <c r="C43" s="14" t="s">
        <v>167</v>
      </c>
      <c r="D43" s="13" t="s">
        <v>1127</v>
      </c>
      <c r="E43" s="13" t="s">
        <v>1130</v>
      </c>
      <c r="F43" s="14" t="s">
        <v>168</v>
      </c>
      <c r="G43" s="14">
        <v>1972</v>
      </c>
      <c r="H43" s="14">
        <v>326</v>
      </c>
      <c r="I43" s="14">
        <v>13</v>
      </c>
      <c r="J43" s="14" t="s">
        <v>117</v>
      </c>
      <c r="K43" s="22" t="s">
        <v>599</v>
      </c>
      <c r="L43" s="22">
        <v>51.875671400000002</v>
      </c>
      <c r="M43" s="51">
        <v>35.294780699999997</v>
      </c>
      <c r="N43" s="126" t="str">
        <f t="shared" si="0"/>
        <v>84 ГТС на р. Платавка у с.Сосонки</v>
      </c>
      <c r="O43" s="126" t="str">
        <f t="shared" si="1"/>
        <v>Курская область, Конышевский район, с.Сосонки</v>
      </c>
    </row>
    <row r="44" spans="1:20" x14ac:dyDescent="0.2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26" t="str">
        <f t="shared" ref="N44:N96" si="2">CONCATENATE(A44, ,B44,C44,D44,F44)</f>
        <v/>
      </c>
      <c r="O44" s="126" t="str">
        <f t="shared" ref="O44:O96" si="3">CONCATENATE(E44,F44)</f>
        <v/>
      </c>
      <c r="P44" s="154"/>
      <c r="Q44" s="154"/>
      <c r="R44" s="154"/>
      <c r="S44" s="154"/>
      <c r="T44" s="154"/>
    </row>
    <row r="45" spans="1:20" ht="105" x14ac:dyDescent="0.2">
      <c r="A45" s="18">
        <v>117</v>
      </c>
      <c r="B45" s="125" t="s">
        <v>1126</v>
      </c>
      <c r="C45" s="13" t="s">
        <v>222</v>
      </c>
      <c r="D45" s="13" t="s">
        <v>1127</v>
      </c>
      <c r="E45" s="13" t="s">
        <v>1151</v>
      </c>
      <c r="F45" s="13" t="s">
        <v>223</v>
      </c>
      <c r="G45" s="13">
        <v>1999</v>
      </c>
      <c r="H45" s="13">
        <v>1000</v>
      </c>
      <c r="I45" s="13">
        <v>30</v>
      </c>
      <c r="J45" s="13" t="s">
        <v>20</v>
      </c>
      <c r="K45" s="20" t="s">
        <v>626</v>
      </c>
      <c r="L45" s="20">
        <v>51.669693000000002</v>
      </c>
      <c r="M45" s="50">
        <v>36.120643600000001</v>
      </c>
      <c r="N45" s="126" t="str">
        <f t="shared" si="2"/>
        <v>117 ГТС на р. Сейм (пойма) 
золошлакоотвал у ТЭЦ-1 г.Курск</v>
      </c>
      <c r="O45" s="126" t="str">
        <f t="shared" si="3"/>
        <v>Курская область, Курский район, ТЭЦ-1 г.Курск</v>
      </c>
    </row>
    <row r="46" spans="1:20" x14ac:dyDescent="0.2">
      <c r="A46" s="155"/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26" t="str">
        <f t="shared" si="2"/>
        <v/>
      </c>
      <c r="O46" s="126" t="str">
        <f t="shared" si="3"/>
        <v/>
      </c>
      <c r="P46" s="155"/>
      <c r="Q46" s="155"/>
      <c r="R46" s="155"/>
      <c r="S46" s="155"/>
    </row>
    <row r="47" spans="1:20" ht="75" x14ac:dyDescent="0.2">
      <c r="A47" s="18">
        <v>184</v>
      </c>
      <c r="B47" s="125" t="s">
        <v>1126</v>
      </c>
      <c r="C47" s="13" t="s">
        <v>343</v>
      </c>
      <c r="D47" s="13" t="s">
        <v>1127</v>
      </c>
      <c r="E47" s="13" t="s">
        <v>1152</v>
      </c>
      <c r="F47" s="13" t="s">
        <v>103</v>
      </c>
      <c r="G47" s="13">
        <v>1985</v>
      </c>
      <c r="H47" s="13">
        <v>3120</v>
      </c>
      <c r="I47" s="13">
        <v>112</v>
      </c>
      <c r="J47" s="13" t="s">
        <v>20</v>
      </c>
      <c r="K47" s="122" t="s">
        <v>664</v>
      </c>
      <c r="L47" s="33">
        <v>51.542614</v>
      </c>
      <c r="M47" s="61">
        <v>35.932563799999997</v>
      </c>
      <c r="N47" s="126" t="str">
        <f t="shared" si="2"/>
        <v>184 ГТС на р.Ворожба у с.Гремячка</v>
      </c>
      <c r="O47" s="126" t="str">
        <f t="shared" si="3"/>
        <v>Курская область, Октябрьский район, с.Гремячка</v>
      </c>
    </row>
    <row r="48" spans="1:20" ht="75" x14ac:dyDescent="0.2">
      <c r="A48" s="18">
        <v>186</v>
      </c>
      <c r="B48" s="125" t="s">
        <v>1126</v>
      </c>
      <c r="C48" s="13" t="s">
        <v>346</v>
      </c>
      <c r="D48" s="13" t="s">
        <v>1127</v>
      </c>
      <c r="E48" s="13" t="s">
        <v>1152</v>
      </c>
      <c r="F48" s="13" t="s">
        <v>347</v>
      </c>
      <c r="G48" s="13">
        <v>1974</v>
      </c>
      <c r="H48" s="13">
        <v>485</v>
      </c>
      <c r="I48" s="13">
        <v>16</v>
      </c>
      <c r="J48" s="13" t="s">
        <v>117</v>
      </c>
      <c r="K48" s="122" t="s">
        <v>1111</v>
      </c>
      <c r="L48" s="33">
        <v>51.598953199999997</v>
      </c>
      <c r="M48" s="61">
        <v>35.889545400000003</v>
      </c>
      <c r="N48" s="126" t="str">
        <f t="shared" si="2"/>
        <v>186 ГТС на бал.Колодезный Лог у с.Дьяконово</v>
      </c>
      <c r="O48" s="126" t="str">
        <f t="shared" si="3"/>
        <v>Курская область, Октябрьский район, с.Дьяконово</v>
      </c>
    </row>
    <row r="49" spans="1:20" ht="75" x14ac:dyDescent="0.2">
      <c r="A49" s="153">
        <v>191</v>
      </c>
      <c r="B49" s="125" t="s">
        <v>1126</v>
      </c>
      <c r="C49" s="86" t="s">
        <v>356</v>
      </c>
      <c r="D49" s="13" t="s">
        <v>1127</v>
      </c>
      <c r="E49" s="13" t="s">
        <v>1152</v>
      </c>
      <c r="F49" s="86" t="s">
        <v>357</v>
      </c>
      <c r="G49" s="86">
        <v>1985</v>
      </c>
      <c r="H49" s="86">
        <v>189</v>
      </c>
      <c r="I49" s="86">
        <v>6</v>
      </c>
      <c r="J49" s="86" t="s">
        <v>17</v>
      </c>
      <c r="K49" s="122" t="s">
        <v>671</v>
      </c>
      <c r="L49" s="92" t="s">
        <v>672</v>
      </c>
      <c r="M49" s="93" t="s">
        <v>673</v>
      </c>
      <c r="N49" s="126" t="str">
        <f t="shared" si="2"/>
        <v>191 ГТС на приток р.Ворожба у с. Охочевка</v>
      </c>
      <c r="O49" s="126" t="str">
        <f t="shared" si="3"/>
        <v>Курская область, Октябрьский район, с. Охочевка</v>
      </c>
    </row>
    <row r="50" spans="1:20" ht="90" x14ac:dyDescent="0.2">
      <c r="A50" s="39">
        <v>192</v>
      </c>
      <c r="B50" s="125" t="s">
        <v>1126</v>
      </c>
      <c r="C50" s="24" t="s">
        <v>358</v>
      </c>
      <c r="D50" s="13" t="s">
        <v>1127</v>
      </c>
      <c r="E50" s="13" t="s">
        <v>1152</v>
      </c>
      <c r="F50" s="24" t="s">
        <v>359</v>
      </c>
      <c r="G50" s="24">
        <v>2021</v>
      </c>
      <c r="H50" s="24">
        <v>122.6</v>
      </c>
      <c r="I50" s="24">
        <v>9.1999999999999993</v>
      </c>
      <c r="J50" s="24" t="s">
        <v>20</v>
      </c>
      <c r="K50" s="145" t="s">
        <v>1116</v>
      </c>
      <c r="L50" s="146" t="s">
        <v>1142</v>
      </c>
      <c r="M50" s="147" t="s">
        <v>1143</v>
      </c>
      <c r="N50" s="126" t="str">
        <f t="shared" si="2"/>
        <v>192 ГТС на Пруд-накопитель на бал. Средний Лог у н.п. Черницыно</v>
      </c>
      <c r="O50" s="126" t="str">
        <f t="shared" si="3"/>
        <v>Курская область, Октябрьский район, н.п. Черницыно</v>
      </c>
    </row>
    <row r="51" spans="1:20" x14ac:dyDescent="0.2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26" t="str">
        <f t="shared" si="2"/>
        <v/>
      </c>
      <c r="O51" s="126" t="str">
        <f t="shared" si="3"/>
        <v/>
      </c>
      <c r="P51" s="155"/>
      <c r="Q51" s="155"/>
      <c r="R51" s="155"/>
      <c r="S51" s="155"/>
      <c r="T51" s="155"/>
    </row>
    <row r="52" spans="1:20" ht="75" x14ac:dyDescent="0.2">
      <c r="A52" s="18">
        <v>140</v>
      </c>
      <c r="B52" s="125" t="s">
        <v>1126</v>
      </c>
      <c r="C52" s="18" t="s">
        <v>261</v>
      </c>
      <c r="D52" s="13" t="s">
        <v>1127</v>
      </c>
      <c r="E52" s="13" t="s">
        <v>1153</v>
      </c>
      <c r="F52" s="18" t="s">
        <v>262</v>
      </c>
      <c r="G52" s="18">
        <v>1980</v>
      </c>
      <c r="H52" s="18">
        <v>4000</v>
      </c>
      <c r="I52" s="18">
        <v>130</v>
      </c>
      <c r="J52" s="18" t="s">
        <v>20</v>
      </c>
      <c r="K52" s="122" t="s">
        <v>633</v>
      </c>
      <c r="L52" s="32">
        <v>51.551212300000003</v>
      </c>
      <c r="M52" s="53">
        <v>36.203144100000003</v>
      </c>
      <c r="N52" s="126" t="str">
        <f t="shared" si="2"/>
        <v>140 ГТС на бал. Ильиков Лог у с.Тарусовка</v>
      </c>
      <c r="O52" s="126" t="str">
        <f t="shared" si="3"/>
        <v>Курская область, Медвенский район, с.Тарусовка</v>
      </c>
    </row>
    <row r="53" spans="1:20" ht="75" x14ac:dyDescent="0.2">
      <c r="A53" s="18">
        <v>141</v>
      </c>
      <c r="B53" s="125" t="s">
        <v>1126</v>
      </c>
      <c r="C53" s="13" t="s">
        <v>263</v>
      </c>
      <c r="D53" s="13" t="s">
        <v>1127</v>
      </c>
      <c r="E53" s="13" t="s">
        <v>1153</v>
      </c>
      <c r="F53" s="13" t="s">
        <v>264</v>
      </c>
      <c r="G53" s="13">
        <v>1987</v>
      </c>
      <c r="H53" s="13">
        <v>2200</v>
      </c>
      <c r="I53" s="13">
        <v>86</v>
      </c>
      <c r="J53" s="13" t="s">
        <v>20</v>
      </c>
      <c r="K53" s="122" t="s">
        <v>634</v>
      </c>
      <c r="L53" s="32">
        <v>51.440876000000003</v>
      </c>
      <c r="M53" s="53">
        <v>35.772144300000001</v>
      </c>
      <c r="N53" s="126" t="str">
        <f t="shared" si="2"/>
        <v>141 ГТС на р.Немча у с. Липник</v>
      </c>
      <c r="O53" s="126" t="str">
        <f t="shared" si="3"/>
        <v>Курская область, Медвенский район, с. Липник</v>
      </c>
    </row>
    <row r="54" spans="1:20" ht="75" x14ac:dyDescent="0.2">
      <c r="A54" s="153">
        <v>142</v>
      </c>
      <c r="B54" s="125" t="s">
        <v>1126</v>
      </c>
      <c r="C54" s="86" t="s">
        <v>265</v>
      </c>
      <c r="D54" s="13" t="s">
        <v>1127</v>
      </c>
      <c r="E54" s="13" t="s">
        <v>1153</v>
      </c>
      <c r="F54" s="86" t="s">
        <v>266</v>
      </c>
      <c r="G54" s="86">
        <v>1978</v>
      </c>
      <c r="H54" s="86">
        <v>2020</v>
      </c>
      <c r="I54" s="86">
        <v>105</v>
      </c>
      <c r="J54" s="86" t="s">
        <v>20</v>
      </c>
      <c r="K54" s="122" t="s">
        <v>1111</v>
      </c>
      <c r="L54" s="92">
        <v>51.409870099999999</v>
      </c>
      <c r="M54" s="93">
        <v>36.234027900000001</v>
      </c>
      <c r="N54" s="126" t="str">
        <f t="shared" si="2"/>
        <v>142 ГТС на р.Медвенка у с.Красный Кут</v>
      </c>
      <c r="O54" s="126" t="str">
        <f t="shared" si="3"/>
        <v>Курская область, Медвенский район, с.Красный Кут</v>
      </c>
    </row>
    <row r="55" spans="1:20" ht="90" x14ac:dyDescent="0.2">
      <c r="A55" s="18">
        <v>143</v>
      </c>
      <c r="B55" s="125" t="s">
        <v>1126</v>
      </c>
      <c r="C55" s="13" t="s">
        <v>267</v>
      </c>
      <c r="D55" s="13" t="s">
        <v>1127</v>
      </c>
      <c r="E55" s="13" t="s">
        <v>1153</v>
      </c>
      <c r="F55" s="13" t="s">
        <v>268</v>
      </c>
      <c r="G55" s="13">
        <v>1968</v>
      </c>
      <c r="H55" s="13">
        <v>1280</v>
      </c>
      <c r="I55" s="13">
        <v>44</v>
      </c>
      <c r="J55" s="13" t="s">
        <v>9</v>
      </c>
      <c r="K55" s="122" t="s">
        <v>635</v>
      </c>
      <c r="L55" s="32">
        <v>51.447662399999999</v>
      </c>
      <c r="M55" s="53">
        <v>35.986610400000004</v>
      </c>
      <c r="N55" s="126" t="str">
        <f t="shared" si="2"/>
        <v>143 ГТС на руч.Долгий у с. Высокое</v>
      </c>
      <c r="O55" s="126" t="str">
        <f t="shared" si="3"/>
        <v>Курская область, Медвенский район, с. Высокое</v>
      </c>
    </row>
    <row r="56" spans="1:20" ht="75" x14ac:dyDescent="0.2">
      <c r="A56" s="18">
        <v>144</v>
      </c>
      <c r="B56" s="125" t="s">
        <v>1126</v>
      </c>
      <c r="C56" s="13" t="s">
        <v>269</v>
      </c>
      <c r="D56" s="13" t="s">
        <v>1127</v>
      </c>
      <c r="E56" s="13" t="s">
        <v>1153</v>
      </c>
      <c r="F56" s="13" t="s">
        <v>270</v>
      </c>
      <c r="G56" s="13">
        <v>1980</v>
      </c>
      <c r="H56" s="13">
        <v>1660</v>
      </c>
      <c r="I56" s="13">
        <v>44</v>
      </c>
      <c r="J56" s="13" t="s">
        <v>20</v>
      </c>
      <c r="K56" s="122" t="s">
        <v>636</v>
      </c>
      <c r="L56" s="32">
        <v>51.366470300000003</v>
      </c>
      <c r="M56" s="53">
        <v>36.026843999999997</v>
      </c>
      <c r="N56" s="126" t="str">
        <f t="shared" si="2"/>
        <v>144 ГТС на р. Реутец у с.Нижний Реутец</v>
      </c>
      <c r="O56" s="126" t="str">
        <f t="shared" si="3"/>
        <v>Курская область, Медвенский район, с.Нижний Реутец</v>
      </c>
    </row>
    <row r="57" spans="1:20" ht="75" x14ac:dyDescent="0.2">
      <c r="A57" s="18">
        <v>145</v>
      </c>
      <c r="B57" s="125" t="s">
        <v>1126</v>
      </c>
      <c r="C57" s="13" t="s">
        <v>271</v>
      </c>
      <c r="D57" s="13" t="s">
        <v>1127</v>
      </c>
      <c r="E57" s="13" t="s">
        <v>1153</v>
      </c>
      <c r="F57" s="13" t="s">
        <v>272</v>
      </c>
      <c r="G57" s="13">
        <v>1982</v>
      </c>
      <c r="H57" s="13">
        <v>1045</v>
      </c>
      <c r="I57" s="13">
        <v>30</v>
      </c>
      <c r="J57" s="13" t="s">
        <v>127</v>
      </c>
      <c r="K57" s="122" t="s">
        <v>633</v>
      </c>
      <c r="L57" s="32">
        <v>51.368335700000003</v>
      </c>
      <c r="M57" s="53">
        <v>35.847949999999997</v>
      </c>
      <c r="N57" s="126" t="str">
        <f t="shared" si="2"/>
        <v>145 ГТС на руч.Гаховский у с.Гахово</v>
      </c>
      <c r="O57" s="126" t="str">
        <f t="shared" si="3"/>
        <v>Курская область, Медвенский район, с.Гахово</v>
      </c>
    </row>
    <row r="58" spans="1:20" ht="75" x14ac:dyDescent="0.2">
      <c r="A58" s="18">
        <v>146</v>
      </c>
      <c r="B58" s="125" t="s">
        <v>1126</v>
      </c>
      <c r="C58" s="13" t="s">
        <v>273</v>
      </c>
      <c r="D58" s="13" t="s">
        <v>1127</v>
      </c>
      <c r="E58" s="13" t="s">
        <v>1153</v>
      </c>
      <c r="F58" s="13" t="s">
        <v>274</v>
      </c>
      <c r="G58" s="13">
        <v>1968</v>
      </c>
      <c r="H58" s="13">
        <v>1021</v>
      </c>
      <c r="I58" s="13">
        <v>34</v>
      </c>
      <c r="J58" s="13" t="s">
        <v>9</v>
      </c>
      <c r="K58" s="122" t="s">
        <v>633</v>
      </c>
      <c r="L58" s="32">
        <v>51.4451866</v>
      </c>
      <c r="M58" s="53">
        <v>36.430141399999997</v>
      </c>
      <c r="N58" s="126" t="str">
        <f t="shared" si="2"/>
        <v>146 ГТС на бал.Дунайский Лог у д. Кленовое</v>
      </c>
      <c r="O58" s="126" t="str">
        <f t="shared" si="3"/>
        <v>Курская область, Медвенский район, д. Кленовое</v>
      </c>
    </row>
    <row r="59" spans="1:20" ht="75" x14ac:dyDescent="0.2">
      <c r="A59" s="34">
        <v>147</v>
      </c>
      <c r="B59" s="125" t="s">
        <v>1126</v>
      </c>
      <c r="C59" s="21" t="s">
        <v>275</v>
      </c>
      <c r="D59" s="13" t="s">
        <v>1127</v>
      </c>
      <c r="E59" s="13" t="s">
        <v>1153</v>
      </c>
      <c r="F59" s="21" t="s">
        <v>276</v>
      </c>
      <c r="G59" s="21" t="s">
        <v>27</v>
      </c>
      <c r="H59" s="21">
        <v>96</v>
      </c>
      <c r="I59" s="21">
        <v>6.1</v>
      </c>
      <c r="J59" s="21" t="s">
        <v>20</v>
      </c>
      <c r="K59" s="116" t="s">
        <v>1112</v>
      </c>
      <c r="L59" s="139" t="s">
        <v>1139</v>
      </c>
      <c r="M59" s="140" t="s">
        <v>1140</v>
      </c>
      <c r="N59" s="126" t="str">
        <f t="shared" si="2"/>
        <v>147 ГТС на б. б/н у х. Большая Радина</v>
      </c>
      <c r="O59" s="126" t="str">
        <f t="shared" si="3"/>
        <v>Курская область, Медвенский район, х. Большая Радина</v>
      </c>
    </row>
    <row r="60" spans="1:20" ht="75" x14ac:dyDescent="0.2">
      <c r="A60" s="18">
        <v>148</v>
      </c>
      <c r="B60" s="125" t="s">
        <v>1126</v>
      </c>
      <c r="C60" s="13" t="s">
        <v>277</v>
      </c>
      <c r="D60" s="13" t="s">
        <v>1127</v>
      </c>
      <c r="E60" s="13" t="s">
        <v>1153</v>
      </c>
      <c r="F60" s="13" t="s">
        <v>278</v>
      </c>
      <c r="G60" s="13">
        <v>1982</v>
      </c>
      <c r="H60" s="13">
        <v>780</v>
      </c>
      <c r="I60" s="13">
        <v>32</v>
      </c>
      <c r="J60" s="13" t="s">
        <v>127</v>
      </c>
      <c r="K60" s="122" t="s">
        <v>633</v>
      </c>
      <c r="L60" s="32">
        <v>51.420589399999997</v>
      </c>
      <c r="M60" s="53">
        <v>36.340992</v>
      </c>
      <c r="N60" s="126" t="str">
        <f t="shared" si="2"/>
        <v>148 ГТС на руч.Дубовец у д.Леоновка</v>
      </c>
      <c r="O60" s="126" t="str">
        <f t="shared" si="3"/>
        <v>Курская область, Медвенский район, д.Леоновка</v>
      </c>
    </row>
    <row r="61" spans="1:20" ht="75" x14ac:dyDescent="0.2">
      <c r="A61" s="18">
        <v>149</v>
      </c>
      <c r="B61" s="125" t="s">
        <v>1126</v>
      </c>
      <c r="C61" s="13" t="s">
        <v>279</v>
      </c>
      <c r="D61" s="13" t="s">
        <v>1127</v>
      </c>
      <c r="E61" s="13" t="s">
        <v>1153</v>
      </c>
      <c r="F61" s="13" t="s">
        <v>280</v>
      </c>
      <c r="G61" s="13">
        <v>1970</v>
      </c>
      <c r="H61" s="13">
        <v>550</v>
      </c>
      <c r="I61" s="13">
        <v>32</v>
      </c>
      <c r="J61" s="13" t="s">
        <v>117</v>
      </c>
      <c r="K61" s="122" t="s">
        <v>633</v>
      </c>
      <c r="L61" s="32">
        <v>51.516124699999999</v>
      </c>
      <c r="M61" s="53">
        <v>36.430435199999998</v>
      </c>
      <c r="N61" s="126" t="str">
        <f t="shared" si="2"/>
        <v>149 ГТС на бал.Дунайский лог у д.Денисовка</v>
      </c>
      <c r="O61" s="126" t="str">
        <f t="shared" si="3"/>
        <v>Курская область, Медвенский район, д.Денисовка</v>
      </c>
    </row>
    <row r="62" spans="1:20" ht="120" x14ac:dyDescent="0.2">
      <c r="A62" s="18">
        <v>150</v>
      </c>
      <c r="B62" s="125" t="s">
        <v>1126</v>
      </c>
      <c r="C62" s="13" t="s">
        <v>170</v>
      </c>
      <c r="D62" s="13" t="s">
        <v>1127</v>
      </c>
      <c r="E62" s="13" t="s">
        <v>1153</v>
      </c>
      <c r="F62" s="13" t="s">
        <v>281</v>
      </c>
      <c r="G62" s="13">
        <v>1983</v>
      </c>
      <c r="H62" s="13">
        <v>716</v>
      </c>
      <c r="I62" s="13">
        <v>33</v>
      </c>
      <c r="J62" s="13" t="s">
        <v>9</v>
      </c>
      <c r="K62" s="121" t="s">
        <v>637</v>
      </c>
      <c r="L62" s="57">
        <v>51.568973499999998</v>
      </c>
      <c r="M62" s="58">
        <v>36.243102999999998</v>
      </c>
      <c r="N62" s="126" t="str">
        <f t="shared" si="2"/>
        <v>150 ГТС на р.Млодать у с.Васильевка</v>
      </c>
      <c r="O62" s="126" t="str">
        <f t="shared" si="3"/>
        <v>Курская область, Медвенский район, с.Васильевка</v>
      </c>
    </row>
    <row r="63" spans="1:20" ht="120" x14ac:dyDescent="0.2">
      <c r="A63" s="18">
        <v>151</v>
      </c>
      <c r="B63" s="125" t="s">
        <v>1126</v>
      </c>
      <c r="C63" s="13" t="s">
        <v>170</v>
      </c>
      <c r="D63" s="13" t="s">
        <v>1127</v>
      </c>
      <c r="E63" s="13" t="s">
        <v>1153</v>
      </c>
      <c r="F63" s="13" t="s">
        <v>282</v>
      </c>
      <c r="G63" s="13">
        <v>1973</v>
      </c>
      <c r="H63" s="13">
        <v>1000</v>
      </c>
      <c r="I63" s="13">
        <v>30</v>
      </c>
      <c r="J63" s="13" t="s">
        <v>9</v>
      </c>
      <c r="K63" s="121" t="s">
        <v>637</v>
      </c>
      <c r="L63" s="57">
        <v>51.5622063</v>
      </c>
      <c r="M63" s="58">
        <v>36.230762499999997</v>
      </c>
      <c r="N63" s="126" t="str">
        <f t="shared" si="2"/>
        <v>151 ГТС на р.Млодать у с.Петропавловка</v>
      </c>
      <c r="O63" s="126" t="str">
        <f t="shared" si="3"/>
        <v>Курская область, Медвенский район, с.Петропавловка</v>
      </c>
    </row>
    <row r="64" spans="1:20" ht="75" x14ac:dyDescent="0.2">
      <c r="A64" s="153">
        <v>152</v>
      </c>
      <c r="B64" s="125" t="s">
        <v>1126</v>
      </c>
      <c r="C64" s="86" t="s">
        <v>283</v>
      </c>
      <c r="D64" s="13" t="s">
        <v>1127</v>
      </c>
      <c r="E64" s="13" t="s">
        <v>1153</v>
      </c>
      <c r="F64" s="86" t="s">
        <v>284</v>
      </c>
      <c r="G64" s="86">
        <v>1951</v>
      </c>
      <c r="H64" s="86">
        <v>650</v>
      </c>
      <c r="I64" s="86">
        <v>26</v>
      </c>
      <c r="J64" s="86" t="s">
        <v>117</v>
      </c>
      <c r="K64" s="121" t="s">
        <v>633</v>
      </c>
      <c r="L64" s="95">
        <v>51.346824599999998</v>
      </c>
      <c r="M64" s="96">
        <v>35.912151299999998</v>
      </c>
      <c r="N64" s="126" t="str">
        <f t="shared" si="2"/>
        <v>152 ГТС на р.Любач у х.Рожновка</v>
      </c>
      <c r="O64" s="126" t="str">
        <f t="shared" si="3"/>
        <v>Курская область, Медвенский район, х.Рожновка</v>
      </c>
    </row>
    <row r="65" spans="1:20" ht="90" x14ac:dyDescent="0.2">
      <c r="A65" s="153">
        <v>153</v>
      </c>
      <c r="B65" s="125" t="s">
        <v>1126</v>
      </c>
      <c r="C65" s="86" t="s">
        <v>285</v>
      </c>
      <c r="D65" s="13" t="s">
        <v>1127</v>
      </c>
      <c r="E65" s="13" t="s">
        <v>1153</v>
      </c>
      <c r="F65" s="86" t="s">
        <v>284</v>
      </c>
      <c r="G65" s="86">
        <v>1975</v>
      </c>
      <c r="H65" s="86">
        <v>973</v>
      </c>
      <c r="I65" s="86">
        <v>27</v>
      </c>
      <c r="J65" s="86" t="s">
        <v>20</v>
      </c>
      <c r="K65" s="121" t="s">
        <v>638</v>
      </c>
      <c r="L65" s="95">
        <v>51.3522873</v>
      </c>
      <c r="M65" s="96">
        <v>35.920001999999997</v>
      </c>
      <c r="N65" s="126" t="str">
        <f t="shared" si="2"/>
        <v>153 ГТС на р.Каменец у х.Рожновка</v>
      </c>
      <c r="O65" s="126" t="str">
        <f t="shared" si="3"/>
        <v>Курская область, Медвенский район, х.Рожновка</v>
      </c>
    </row>
    <row r="66" spans="1:20" ht="75" x14ac:dyDescent="0.2">
      <c r="A66" s="18">
        <v>154</v>
      </c>
      <c r="B66" s="125" t="s">
        <v>1126</v>
      </c>
      <c r="C66" s="13" t="s">
        <v>286</v>
      </c>
      <c r="D66" s="13" t="s">
        <v>1127</v>
      </c>
      <c r="E66" s="13" t="s">
        <v>1153</v>
      </c>
      <c r="F66" s="13" t="s">
        <v>287</v>
      </c>
      <c r="G66" s="13">
        <v>1952</v>
      </c>
      <c r="H66" s="13">
        <v>162</v>
      </c>
      <c r="I66" s="13">
        <v>9</v>
      </c>
      <c r="J66" s="13" t="s">
        <v>9</v>
      </c>
      <c r="K66" s="122" t="s">
        <v>1111</v>
      </c>
      <c r="L66" s="57">
        <v>51.368240399999998</v>
      </c>
      <c r="M66" s="58">
        <v>36.210842100000001</v>
      </c>
      <c r="N66" s="126" t="str">
        <f t="shared" si="2"/>
        <v>154 ГТС на руч. Паники у с.Паники</v>
      </c>
      <c r="O66" s="126" t="str">
        <f t="shared" si="3"/>
        <v>Курская область, Медвенский район, с.Паники</v>
      </c>
    </row>
    <row r="67" spans="1:20" ht="75" x14ac:dyDescent="0.2">
      <c r="A67" s="18">
        <v>155</v>
      </c>
      <c r="B67" s="125" t="s">
        <v>1126</v>
      </c>
      <c r="C67" s="13" t="s">
        <v>288</v>
      </c>
      <c r="D67" s="13" t="s">
        <v>1127</v>
      </c>
      <c r="E67" s="13" t="s">
        <v>1153</v>
      </c>
      <c r="F67" s="13" t="s">
        <v>289</v>
      </c>
      <c r="G67" s="13">
        <v>1945</v>
      </c>
      <c r="H67" s="13">
        <v>200</v>
      </c>
      <c r="I67" s="13">
        <v>10</v>
      </c>
      <c r="J67" s="13" t="s">
        <v>20</v>
      </c>
      <c r="K67" s="121" t="s">
        <v>1113</v>
      </c>
      <c r="L67" s="57">
        <v>51.422172500000002</v>
      </c>
      <c r="M67" s="58">
        <v>36.121402699999997</v>
      </c>
      <c r="N67" s="126" t="str">
        <f t="shared" si="2"/>
        <v>155 ГТС на руч.Медвенка у п.Медвенка</v>
      </c>
      <c r="O67" s="126" t="str">
        <f t="shared" si="3"/>
        <v>Курская область, Медвенский район, п.Медвенка</v>
      </c>
    </row>
    <row r="68" spans="1:20" ht="75" x14ac:dyDescent="0.2">
      <c r="A68" s="18">
        <v>156</v>
      </c>
      <c r="B68" s="125" t="s">
        <v>1126</v>
      </c>
      <c r="C68" s="13" t="s">
        <v>195</v>
      </c>
      <c r="D68" s="13" t="s">
        <v>1127</v>
      </c>
      <c r="E68" s="13" t="s">
        <v>1153</v>
      </c>
      <c r="F68" s="13" t="s">
        <v>290</v>
      </c>
      <c r="G68" s="13">
        <v>1970</v>
      </c>
      <c r="H68" s="13">
        <v>182</v>
      </c>
      <c r="I68" s="13">
        <v>18</v>
      </c>
      <c r="J68" s="13" t="s">
        <v>117</v>
      </c>
      <c r="K68" s="121" t="s">
        <v>1114</v>
      </c>
      <c r="L68" s="57">
        <v>51.439079300000003</v>
      </c>
      <c r="M68" s="58">
        <v>36.238643600000003</v>
      </c>
      <c r="N68" s="126" t="str">
        <f t="shared" si="2"/>
        <v>156 ГТС на руч.б/н у с.Черемошное</v>
      </c>
      <c r="O68" s="126" t="str">
        <f t="shared" si="3"/>
        <v>Курская область, Медвенский район, с.Черемошное</v>
      </c>
    </row>
    <row r="69" spans="1:20" ht="90" x14ac:dyDescent="0.2">
      <c r="A69" s="153">
        <v>157</v>
      </c>
      <c r="B69" s="125" t="s">
        <v>1126</v>
      </c>
      <c r="C69" s="86" t="s">
        <v>291</v>
      </c>
      <c r="D69" s="13" t="s">
        <v>1127</v>
      </c>
      <c r="E69" s="13" t="s">
        <v>1153</v>
      </c>
      <c r="F69" s="86" t="s">
        <v>292</v>
      </c>
      <c r="G69" s="86">
        <v>1948</v>
      </c>
      <c r="H69" s="86">
        <v>160</v>
      </c>
      <c r="I69" s="86">
        <v>11</v>
      </c>
      <c r="J69" s="86" t="s">
        <v>117</v>
      </c>
      <c r="K69" s="121" t="s">
        <v>639</v>
      </c>
      <c r="L69" s="95">
        <v>51.424923999999997</v>
      </c>
      <c r="M69" s="96">
        <v>36.309190000000001</v>
      </c>
      <c r="N69" s="126" t="str">
        <f t="shared" si="2"/>
        <v>157 ГТС на бал.Вершки у с.Нижний Дубовец</v>
      </c>
      <c r="O69" s="126" t="str">
        <f t="shared" si="3"/>
        <v>Курская область, Медвенский район, с.Нижний Дубовец</v>
      </c>
    </row>
    <row r="70" spans="1:20" ht="75" x14ac:dyDescent="0.2">
      <c r="A70" s="153">
        <v>158</v>
      </c>
      <c r="B70" s="125" t="s">
        <v>1126</v>
      </c>
      <c r="C70" s="86" t="s">
        <v>293</v>
      </c>
      <c r="D70" s="13" t="s">
        <v>1127</v>
      </c>
      <c r="E70" s="13" t="s">
        <v>1153</v>
      </c>
      <c r="F70" s="86" t="s">
        <v>294</v>
      </c>
      <c r="G70" s="86">
        <v>1951</v>
      </c>
      <c r="H70" s="86">
        <v>239</v>
      </c>
      <c r="I70" s="86">
        <v>11</v>
      </c>
      <c r="J70" s="86" t="s">
        <v>117</v>
      </c>
      <c r="K70" s="121" t="s">
        <v>640</v>
      </c>
      <c r="L70" s="95" t="s">
        <v>641</v>
      </c>
      <c r="M70" s="96" t="s">
        <v>642</v>
      </c>
      <c r="N70" s="126" t="str">
        <f t="shared" si="2"/>
        <v>158 ГТС на бал.Высокий Лог у х.Зеленая Степь</v>
      </c>
      <c r="O70" s="126" t="str">
        <f t="shared" si="3"/>
        <v>Курская область, Медвенский район, х.Зеленая Степь</v>
      </c>
    </row>
    <row r="71" spans="1:20" ht="75" x14ac:dyDescent="0.2">
      <c r="A71" s="18">
        <v>159</v>
      </c>
      <c r="B71" s="125" t="s">
        <v>1126</v>
      </c>
      <c r="C71" s="13" t="s">
        <v>293</v>
      </c>
      <c r="D71" s="13" t="s">
        <v>1127</v>
      </c>
      <c r="E71" s="13" t="s">
        <v>1153</v>
      </c>
      <c r="F71" s="13" t="s">
        <v>295</v>
      </c>
      <c r="G71" s="13">
        <v>1951</v>
      </c>
      <c r="H71" s="13">
        <v>215</v>
      </c>
      <c r="I71" s="13">
        <v>14</v>
      </c>
      <c r="J71" s="13" t="s">
        <v>127</v>
      </c>
      <c r="K71" s="121" t="s">
        <v>640</v>
      </c>
      <c r="L71" s="57">
        <v>51.488185899999998</v>
      </c>
      <c r="M71" s="58">
        <v>36.344387099999999</v>
      </c>
      <c r="N71" s="126" t="str">
        <f t="shared" si="2"/>
        <v>159 ГТС на бал.Высокий Лог у д.Китаевка</v>
      </c>
      <c r="O71" s="126" t="str">
        <f t="shared" si="3"/>
        <v>Курская область, Медвенский район, д.Китаевка</v>
      </c>
    </row>
    <row r="72" spans="1:20" ht="90" x14ac:dyDescent="0.2">
      <c r="A72" s="35">
        <v>160</v>
      </c>
      <c r="B72" s="125" t="s">
        <v>1126</v>
      </c>
      <c r="C72" s="14" t="s">
        <v>296</v>
      </c>
      <c r="D72" s="13" t="s">
        <v>1127</v>
      </c>
      <c r="E72" s="13" t="s">
        <v>1153</v>
      </c>
      <c r="F72" s="14" t="s">
        <v>297</v>
      </c>
      <c r="G72" s="14" t="s">
        <v>27</v>
      </c>
      <c r="H72" s="14" t="s">
        <v>27</v>
      </c>
      <c r="I72" s="14" t="s">
        <v>27</v>
      </c>
      <c r="J72" s="14" t="s">
        <v>127</v>
      </c>
      <c r="K72" s="123" t="s">
        <v>1112</v>
      </c>
      <c r="L72" s="59">
        <v>51.360245999999997</v>
      </c>
      <c r="M72" s="60">
        <v>36.110481</v>
      </c>
      <c r="N72" s="126" t="str">
        <f t="shared" si="2"/>
        <v>160 ГТС на р. Реут у х. Танеевка</v>
      </c>
      <c r="O72" s="126" t="str">
        <f t="shared" si="3"/>
        <v>Курская область, Медвенский район, х. Танеевка</v>
      </c>
    </row>
    <row r="73" spans="1:20" x14ac:dyDescent="0.2">
      <c r="A73" s="155"/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26" t="str">
        <f t="shared" si="2"/>
        <v/>
      </c>
      <c r="O73" s="126" t="str">
        <f t="shared" si="3"/>
        <v/>
      </c>
      <c r="P73" s="155"/>
      <c r="Q73" s="155"/>
      <c r="R73" s="155"/>
      <c r="S73" s="155"/>
      <c r="T73" s="155"/>
    </row>
    <row r="74" spans="1:20" ht="300" x14ac:dyDescent="0.2">
      <c r="A74" s="153">
        <v>161</v>
      </c>
      <c r="B74" s="125" t="s">
        <v>1126</v>
      </c>
      <c r="C74" s="153" t="s">
        <v>299</v>
      </c>
      <c r="D74" s="13" t="s">
        <v>1127</v>
      </c>
      <c r="E74" s="13" t="s">
        <v>1154</v>
      </c>
      <c r="F74" s="153" t="s">
        <v>300</v>
      </c>
      <c r="G74" s="153">
        <v>1975</v>
      </c>
      <c r="H74" s="153">
        <v>1425</v>
      </c>
      <c r="I74" s="153">
        <v>67</v>
      </c>
      <c r="J74" s="153" t="s">
        <v>20</v>
      </c>
      <c r="K74" s="92" t="s">
        <v>643</v>
      </c>
      <c r="L74" s="92" t="s">
        <v>766</v>
      </c>
      <c r="M74" s="93" t="s">
        <v>767</v>
      </c>
      <c r="N74" s="126" t="str">
        <f t="shared" si="2"/>
        <v>161 ГТС на р.Запселец (пойма) у с. Зорино</v>
      </c>
      <c r="O74" s="126" t="str">
        <f t="shared" si="3"/>
        <v>Курская область, Обоянский район, с. Зорино</v>
      </c>
    </row>
    <row r="75" spans="1:20" ht="60" x14ac:dyDescent="0.2">
      <c r="A75" s="153">
        <v>162</v>
      </c>
      <c r="B75" s="125" t="s">
        <v>1126</v>
      </c>
      <c r="C75" s="86" t="s">
        <v>301</v>
      </c>
      <c r="D75" s="13" t="s">
        <v>1127</v>
      </c>
      <c r="E75" s="13" t="s">
        <v>1154</v>
      </c>
      <c r="F75" s="86" t="s">
        <v>302</v>
      </c>
      <c r="G75" s="86">
        <v>1979</v>
      </c>
      <c r="H75" s="86">
        <v>1310</v>
      </c>
      <c r="I75" s="86">
        <v>44</v>
      </c>
      <c r="J75" s="86" t="s">
        <v>20</v>
      </c>
      <c r="K75" s="92" t="s">
        <v>644</v>
      </c>
      <c r="L75" s="92" t="s">
        <v>645</v>
      </c>
      <c r="M75" s="93" t="s">
        <v>646</v>
      </c>
      <c r="N75" s="126" t="str">
        <f t="shared" si="2"/>
        <v>162 ГТС на р. Рыбинка у х. Лыков</v>
      </c>
      <c r="O75" s="126" t="str">
        <f t="shared" si="3"/>
        <v>Курская область, Обоянский район, х. Лыков</v>
      </c>
    </row>
    <row r="76" spans="1:20" ht="90" x14ac:dyDescent="0.2">
      <c r="A76" s="18">
        <v>163</v>
      </c>
      <c r="B76" s="125" t="s">
        <v>1126</v>
      </c>
      <c r="C76" s="13" t="s">
        <v>303</v>
      </c>
      <c r="D76" s="13" t="s">
        <v>1127</v>
      </c>
      <c r="E76" s="13" t="s">
        <v>1154</v>
      </c>
      <c r="F76" s="13" t="s">
        <v>304</v>
      </c>
      <c r="G76" s="13">
        <v>1980</v>
      </c>
      <c r="H76" s="13">
        <v>1640</v>
      </c>
      <c r="I76" s="13">
        <v>65</v>
      </c>
      <c r="J76" s="13" t="s">
        <v>9</v>
      </c>
      <c r="K76" s="32" t="s">
        <v>647</v>
      </c>
      <c r="L76" s="33">
        <v>51.278095200000003</v>
      </c>
      <c r="M76" s="61">
        <v>35.804039000000003</v>
      </c>
      <c r="N76" s="126" t="str">
        <f t="shared" si="2"/>
        <v>163 ГТС на Руч. б/н (р.Рыбинка) у с.Вышнее Бабино</v>
      </c>
      <c r="O76" s="126" t="str">
        <f t="shared" si="3"/>
        <v>Курская область, Обоянский район, с.Вышнее Бабино</v>
      </c>
    </row>
    <row r="77" spans="1:20" ht="75" x14ac:dyDescent="0.2">
      <c r="A77" s="18">
        <v>164</v>
      </c>
      <c r="B77" s="125" t="s">
        <v>1126</v>
      </c>
      <c r="C77" s="13" t="s">
        <v>305</v>
      </c>
      <c r="D77" s="13" t="s">
        <v>1127</v>
      </c>
      <c r="E77" s="13" t="s">
        <v>1154</v>
      </c>
      <c r="F77" s="13" t="s">
        <v>306</v>
      </c>
      <c r="G77" s="13">
        <v>1973</v>
      </c>
      <c r="H77" s="13">
        <v>1569</v>
      </c>
      <c r="I77" s="13">
        <v>32</v>
      </c>
      <c r="J77" s="13" t="s">
        <v>9</v>
      </c>
      <c r="K77" s="32" t="s">
        <v>648</v>
      </c>
      <c r="L77" s="33">
        <v>51.252155299999998</v>
      </c>
      <c r="M77" s="61">
        <v>35.942260699999999</v>
      </c>
      <c r="N77" s="126" t="str">
        <f t="shared" si="2"/>
        <v>164 ГТС на р. Малая Рыбинка у с.Косиново</v>
      </c>
      <c r="O77" s="126" t="str">
        <f t="shared" si="3"/>
        <v>Курская область, Обоянский район, с.Косиново</v>
      </c>
    </row>
    <row r="78" spans="1:20" ht="60" x14ac:dyDescent="0.2">
      <c r="A78" s="18">
        <v>165</v>
      </c>
      <c r="B78" s="125" t="s">
        <v>1126</v>
      </c>
      <c r="C78" s="13" t="s">
        <v>307</v>
      </c>
      <c r="D78" s="13" t="s">
        <v>1127</v>
      </c>
      <c r="E78" s="13" t="s">
        <v>1154</v>
      </c>
      <c r="F78" s="13" t="s">
        <v>308</v>
      </c>
      <c r="G78" s="13">
        <v>1984</v>
      </c>
      <c r="H78" s="13">
        <v>1310</v>
      </c>
      <c r="I78" s="13">
        <v>44</v>
      </c>
      <c r="J78" s="13" t="s">
        <v>20</v>
      </c>
      <c r="K78" s="32" t="s">
        <v>649</v>
      </c>
      <c r="L78" s="32">
        <v>51.206321699999997</v>
      </c>
      <c r="M78" s="53">
        <v>35.950817100000002</v>
      </c>
      <c r="N78" s="126" t="str">
        <f t="shared" si="2"/>
        <v>165 ГТС на руч.Лозочки у с.Рыбинские Буды</v>
      </c>
      <c r="O78" s="126" t="str">
        <f t="shared" si="3"/>
        <v>Курская область, Обоянский район, с.Рыбинские Буды</v>
      </c>
    </row>
    <row r="79" spans="1:20" ht="75" x14ac:dyDescent="0.2">
      <c r="A79" s="18">
        <v>166</v>
      </c>
      <c r="B79" s="125" t="s">
        <v>1126</v>
      </c>
      <c r="C79" s="13" t="s">
        <v>309</v>
      </c>
      <c r="D79" s="13" t="s">
        <v>1127</v>
      </c>
      <c r="E79" s="13" t="s">
        <v>1154</v>
      </c>
      <c r="F79" s="13" t="s">
        <v>310</v>
      </c>
      <c r="G79" s="13">
        <v>1984</v>
      </c>
      <c r="H79" s="13">
        <v>1500</v>
      </c>
      <c r="I79" s="13">
        <v>35</v>
      </c>
      <c r="J79" s="13" t="s">
        <v>117</v>
      </c>
      <c r="K79" s="32" t="s">
        <v>650</v>
      </c>
      <c r="L79" s="32">
        <v>51.252204900000002</v>
      </c>
      <c r="M79" s="53">
        <v>36.1500244</v>
      </c>
      <c r="N79" s="126" t="str">
        <f t="shared" si="2"/>
        <v>166 ГТС на р. Усланка у с. Быканово</v>
      </c>
      <c r="O79" s="126" t="str">
        <f t="shared" si="3"/>
        <v>Курская область, Обоянский район, с. Быканово</v>
      </c>
    </row>
    <row r="80" spans="1:20" ht="75" x14ac:dyDescent="0.2">
      <c r="A80" s="18">
        <v>167</v>
      </c>
      <c r="B80" s="125" t="s">
        <v>1126</v>
      </c>
      <c r="C80" s="13" t="s">
        <v>311</v>
      </c>
      <c r="D80" s="13" t="s">
        <v>1127</v>
      </c>
      <c r="E80" s="13" t="s">
        <v>1154</v>
      </c>
      <c r="F80" s="13" t="s">
        <v>312</v>
      </c>
      <c r="G80" s="13">
        <v>1980</v>
      </c>
      <c r="H80" s="13">
        <v>1800</v>
      </c>
      <c r="I80" s="13">
        <v>74</v>
      </c>
      <c r="J80" s="13" t="s">
        <v>9</v>
      </c>
      <c r="K80" s="32" t="s">
        <v>651</v>
      </c>
      <c r="L80" s="32">
        <v>51.298934899999999</v>
      </c>
      <c r="M80" s="53">
        <v>36.396896400000003</v>
      </c>
      <c r="N80" s="126" t="str">
        <f t="shared" si="2"/>
        <v>167 ГТС на руч. Нагольн. Колодезь у с. Малые Крюки</v>
      </c>
      <c r="O80" s="126" t="str">
        <f t="shared" si="3"/>
        <v>Курская область, Обоянский район, с. Малые Крюки</v>
      </c>
    </row>
    <row r="81" spans="1:15" ht="180" x14ac:dyDescent="0.2">
      <c r="A81" s="153">
        <v>168</v>
      </c>
      <c r="B81" s="125" t="s">
        <v>1126</v>
      </c>
      <c r="C81" s="86" t="s">
        <v>313</v>
      </c>
      <c r="D81" s="13" t="s">
        <v>1127</v>
      </c>
      <c r="E81" s="13" t="s">
        <v>1154</v>
      </c>
      <c r="F81" s="86" t="s">
        <v>314</v>
      </c>
      <c r="G81" s="86">
        <v>1976</v>
      </c>
      <c r="H81" s="86">
        <v>1060</v>
      </c>
      <c r="I81" s="86">
        <v>25</v>
      </c>
      <c r="J81" s="86" t="s">
        <v>9</v>
      </c>
      <c r="K81" s="92" t="s">
        <v>652</v>
      </c>
      <c r="L81" s="92">
        <v>51.341155999999998</v>
      </c>
      <c r="M81" s="93">
        <v>36.289627099999997</v>
      </c>
      <c r="N81" s="126" t="str">
        <f t="shared" si="2"/>
        <v>168 ГТС на б.Бычки у с.Котельниково</v>
      </c>
      <c r="O81" s="126" t="str">
        <f t="shared" si="3"/>
        <v>Курская область, Обоянский район, с.Котельниково</v>
      </c>
    </row>
    <row r="82" spans="1:15" ht="75" x14ac:dyDescent="0.2">
      <c r="A82" s="18">
        <v>169</v>
      </c>
      <c r="B82" s="125" t="s">
        <v>1126</v>
      </c>
      <c r="C82" s="13" t="s">
        <v>315</v>
      </c>
      <c r="D82" s="13" t="s">
        <v>1127</v>
      </c>
      <c r="E82" s="13" t="s">
        <v>1154</v>
      </c>
      <c r="F82" s="13" t="s">
        <v>316</v>
      </c>
      <c r="G82" s="13">
        <v>1995</v>
      </c>
      <c r="H82" s="13">
        <v>2260</v>
      </c>
      <c r="I82" s="13">
        <v>21</v>
      </c>
      <c r="J82" s="13" t="s">
        <v>9</v>
      </c>
      <c r="K82" s="32" t="s">
        <v>653</v>
      </c>
      <c r="L82" s="32">
        <v>51.223663299999998</v>
      </c>
      <c r="M82" s="53">
        <v>36.030246699999999</v>
      </c>
      <c r="N82" s="126" t="str">
        <f t="shared" si="2"/>
        <v>169 ГТС на бал.Оборочная у с.Шевелево</v>
      </c>
      <c r="O82" s="126" t="str">
        <f t="shared" si="3"/>
        <v>Курская область, Обоянский район, с.Шевелево</v>
      </c>
    </row>
    <row r="83" spans="1:15" ht="105" x14ac:dyDescent="0.2">
      <c r="A83" s="18">
        <v>170</v>
      </c>
      <c r="B83" s="125" t="s">
        <v>1126</v>
      </c>
      <c r="C83" s="13" t="s">
        <v>317</v>
      </c>
      <c r="D83" s="13" t="s">
        <v>1127</v>
      </c>
      <c r="E83" s="13" t="s">
        <v>1154</v>
      </c>
      <c r="F83" s="13" t="s">
        <v>318</v>
      </c>
      <c r="G83" s="13">
        <v>1981</v>
      </c>
      <c r="H83" s="13">
        <v>1370</v>
      </c>
      <c r="I83" s="13">
        <v>55</v>
      </c>
      <c r="J83" s="13" t="s">
        <v>20</v>
      </c>
      <c r="K83" s="32" t="s">
        <v>654</v>
      </c>
      <c r="L83" s="32">
        <v>51.197761499999999</v>
      </c>
      <c r="M83" s="53">
        <v>36.018142699999999</v>
      </c>
      <c r="N83" s="126" t="str">
        <f t="shared" si="2"/>
        <v>170 ГТС на р. Каменка у с.Каменка</v>
      </c>
      <c r="O83" s="126" t="str">
        <f t="shared" si="3"/>
        <v>Курская область, Обоянский район, с.Каменка</v>
      </c>
    </row>
    <row r="84" spans="1:15" ht="60" x14ac:dyDescent="0.2">
      <c r="A84" s="18">
        <v>171</v>
      </c>
      <c r="B84" s="125" t="s">
        <v>1126</v>
      </c>
      <c r="C84" s="36" t="s">
        <v>319</v>
      </c>
      <c r="D84" s="13" t="s">
        <v>1127</v>
      </c>
      <c r="E84" s="13" t="s">
        <v>1154</v>
      </c>
      <c r="F84" s="36" t="s">
        <v>320</v>
      </c>
      <c r="G84" s="36">
        <v>1986</v>
      </c>
      <c r="H84" s="36">
        <v>580</v>
      </c>
      <c r="I84" s="37">
        <v>23</v>
      </c>
      <c r="J84" s="36" t="s">
        <v>117</v>
      </c>
      <c r="K84" s="122" t="s">
        <v>1148</v>
      </c>
      <c r="L84" s="142">
        <v>51.221859000000002</v>
      </c>
      <c r="M84" s="143">
        <v>36.282909400000001</v>
      </c>
      <c r="N84" s="126" t="str">
        <f t="shared" si="2"/>
        <v>171 ГТС на р. Обоянка  у с. Стрелецкое</v>
      </c>
      <c r="O84" s="126" t="str">
        <f t="shared" si="3"/>
        <v>Курская область, Обоянский район, с. Стрелецкое</v>
      </c>
    </row>
    <row r="85" spans="1:15" ht="90" x14ac:dyDescent="0.2">
      <c r="A85" s="18">
        <v>172</v>
      </c>
      <c r="B85" s="125" t="s">
        <v>1126</v>
      </c>
      <c r="C85" s="13" t="s">
        <v>321</v>
      </c>
      <c r="D85" s="13" t="s">
        <v>1127</v>
      </c>
      <c r="E85" s="13" t="s">
        <v>1154</v>
      </c>
      <c r="F85" s="13" t="s">
        <v>322</v>
      </c>
      <c r="G85" s="13">
        <v>1982</v>
      </c>
      <c r="H85" s="13">
        <v>980</v>
      </c>
      <c r="I85" s="13">
        <v>27</v>
      </c>
      <c r="J85" s="13" t="s">
        <v>9</v>
      </c>
      <c r="K85" s="32" t="s">
        <v>655</v>
      </c>
      <c r="L85" s="32">
        <v>51.322730999999997</v>
      </c>
      <c r="M85" s="53">
        <v>36.1566963</v>
      </c>
      <c r="N85" s="126" t="str">
        <f t="shared" si="2"/>
        <v>172 ГТС на бал.Лог Реут у х.Дрозды</v>
      </c>
      <c r="O85" s="126" t="str">
        <f t="shared" si="3"/>
        <v>Курская область, Обоянский район, х.Дрозды</v>
      </c>
    </row>
    <row r="86" spans="1:15" ht="75" x14ac:dyDescent="0.2">
      <c r="A86" s="18">
        <v>173</v>
      </c>
      <c r="B86" s="125" t="s">
        <v>1126</v>
      </c>
      <c r="C86" s="13" t="s">
        <v>323</v>
      </c>
      <c r="D86" s="13" t="s">
        <v>1127</v>
      </c>
      <c r="E86" s="13" t="s">
        <v>1154</v>
      </c>
      <c r="F86" s="13" t="s">
        <v>324</v>
      </c>
      <c r="G86" s="13">
        <v>1963</v>
      </c>
      <c r="H86" s="13">
        <v>700</v>
      </c>
      <c r="I86" s="13">
        <v>35</v>
      </c>
      <c r="J86" s="13" t="s">
        <v>20</v>
      </c>
      <c r="K86" s="32" t="s">
        <v>656</v>
      </c>
      <c r="L86" s="32">
        <v>51.250484499999999</v>
      </c>
      <c r="M86" s="53">
        <v>36.343559300000003</v>
      </c>
      <c r="N86" s="126" t="str">
        <f t="shared" si="2"/>
        <v>173 ГТС на руч. Рудавчик у с. Рудавец</v>
      </c>
      <c r="O86" s="126" t="str">
        <f t="shared" si="3"/>
        <v>Курская область, Обоянский район, с. Рудавец</v>
      </c>
    </row>
    <row r="87" spans="1:15" ht="75" x14ac:dyDescent="0.2">
      <c r="A87" s="18">
        <v>174</v>
      </c>
      <c r="B87" s="125" t="s">
        <v>1126</v>
      </c>
      <c r="C87" s="13" t="s">
        <v>325</v>
      </c>
      <c r="D87" s="13" t="s">
        <v>1127</v>
      </c>
      <c r="E87" s="13" t="s">
        <v>1154</v>
      </c>
      <c r="F87" s="13" t="s">
        <v>326</v>
      </c>
      <c r="G87" s="13">
        <v>1982</v>
      </c>
      <c r="H87" s="13">
        <v>381</v>
      </c>
      <c r="I87" s="13">
        <v>13</v>
      </c>
      <c r="J87" s="13" t="s">
        <v>117</v>
      </c>
      <c r="K87" s="32" t="s">
        <v>657</v>
      </c>
      <c r="L87" s="32">
        <v>51.127654999999997</v>
      </c>
      <c r="M87" s="53">
        <v>36.362892199999997</v>
      </c>
      <c r="N87" s="126" t="str">
        <f t="shared" si="2"/>
        <v>174 ГТС на руч. Знобиловский у с.Знобиловка</v>
      </c>
      <c r="O87" s="126" t="str">
        <f t="shared" si="3"/>
        <v>Курская область, Обоянский район, с.Знобиловка</v>
      </c>
    </row>
    <row r="88" spans="1:15" ht="75" x14ac:dyDescent="0.2">
      <c r="A88" s="18">
        <v>175</v>
      </c>
      <c r="B88" s="125" t="s">
        <v>1126</v>
      </c>
      <c r="C88" s="13" t="s">
        <v>327</v>
      </c>
      <c r="D88" s="13" t="s">
        <v>1127</v>
      </c>
      <c r="E88" s="13" t="s">
        <v>1154</v>
      </c>
      <c r="F88" s="13" t="s">
        <v>328</v>
      </c>
      <c r="G88" s="13">
        <v>1982</v>
      </c>
      <c r="H88" s="13">
        <v>240</v>
      </c>
      <c r="I88" s="13">
        <v>6</v>
      </c>
      <c r="J88" s="13" t="s">
        <v>127</v>
      </c>
      <c r="K88" s="32" t="s">
        <v>657</v>
      </c>
      <c r="L88" s="32">
        <v>51.121646900000002</v>
      </c>
      <c r="M88" s="53">
        <v>36.314849899999999</v>
      </c>
      <c r="N88" s="126" t="str">
        <f t="shared" si="2"/>
        <v>175 ГТС на бал.Камынинская у с.Камынино</v>
      </c>
      <c r="O88" s="126" t="str">
        <f t="shared" si="3"/>
        <v>Курская область, Обоянский район, с.Камынино</v>
      </c>
    </row>
    <row r="89" spans="1:15" ht="75" x14ac:dyDescent="0.2">
      <c r="A89" s="18">
        <v>176</v>
      </c>
      <c r="B89" s="125" t="s">
        <v>1126</v>
      </c>
      <c r="C89" s="13" t="s">
        <v>329</v>
      </c>
      <c r="D89" s="13" t="s">
        <v>1127</v>
      </c>
      <c r="E89" s="13" t="s">
        <v>1154</v>
      </c>
      <c r="F89" s="13" t="s">
        <v>328</v>
      </c>
      <c r="G89" s="13">
        <v>1982</v>
      </c>
      <c r="H89" s="13">
        <v>436</v>
      </c>
      <c r="I89" s="13">
        <v>17</v>
      </c>
      <c r="J89" s="13" t="s">
        <v>127</v>
      </c>
      <c r="K89" s="32" t="s">
        <v>658</v>
      </c>
      <c r="L89" s="32">
        <v>51.1327438</v>
      </c>
      <c r="M89" s="53">
        <v>36.339527099999998</v>
      </c>
      <c r="N89" s="126" t="str">
        <f t="shared" si="2"/>
        <v>176 ГТС на Руч.Объезжий (бал. Камынинская) у с.Камынино</v>
      </c>
      <c r="O89" s="126" t="str">
        <f t="shared" si="3"/>
        <v>Курская область, Обоянский район, с.Камынино</v>
      </c>
    </row>
    <row r="90" spans="1:15" ht="75" x14ac:dyDescent="0.2">
      <c r="A90" s="18">
        <v>177</v>
      </c>
      <c r="B90" s="125" t="s">
        <v>1126</v>
      </c>
      <c r="C90" s="13" t="s">
        <v>330</v>
      </c>
      <c r="D90" s="13" t="s">
        <v>1127</v>
      </c>
      <c r="E90" s="13" t="s">
        <v>1154</v>
      </c>
      <c r="F90" s="13" t="s">
        <v>331</v>
      </c>
      <c r="G90" s="13">
        <v>1986</v>
      </c>
      <c r="H90" s="13">
        <v>229</v>
      </c>
      <c r="I90" s="13">
        <v>8</v>
      </c>
      <c r="J90" s="13" t="s">
        <v>9</v>
      </c>
      <c r="K90" s="32" t="s">
        <v>650</v>
      </c>
      <c r="L90" s="32">
        <v>51.264740000000003</v>
      </c>
      <c r="M90" s="53">
        <v>36.2283325</v>
      </c>
      <c r="N90" s="126" t="str">
        <f t="shared" si="2"/>
        <v>177 ГТС на р.Трубеж у п.Пасечный</v>
      </c>
      <c r="O90" s="126" t="str">
        <f t="shared" si="3"/>
        <v>Курская область, Обоянский район, п.Пасечный</v>
      </c>
    </row>
    <row r="91" spans="1:15" ht="75" x14ac:dyDescent="0.2">
      <c r="A91" s="18">
        <v>178</v>
      </c>
      <c r="B91" s="125" t="s">
        <v>1126</v>
      </c>
      <c r="C91" s="13" t="s">
        <v>332</v>
      </c>
      <c r="D91" s="13" t="s">
        <v>1127</v>
      </c>
      <c r="E91" s="13" t="s">
        <v>1154</v>
      </c>
      <c r="F91" s="13" t="s">
        <v>333</v>
      </c>
      <c r="G91" s="13" t="s">
        <v>27</v>
      </c>
      <c r="H91" s="13">
        <v>300</v>
      </c>
      <c r="I91" s="13">
        <v>19</v>
      </c>
      <c r="J91" s="13" t="s">
        <v>127</v>
      </c>
      <c r="K91" s="32" t="s">
        <v>650</v>
      </c>
      <c r="L91" s="32">
        <v>51.266860999999999</v>
      </c>
      <c r="M91" s="53">
        <v>36.161876700000001</v>
      </c>
      <c r="N91" s="126" t="str">
        <f t="shared" si="2"/>
        <v>178 ГТС на р.Усланка у с.Быканово</v>
      </c>
      <c r="O91" s="126" t="str">
        <f t="shared" si="3"/>
        <v>Курская область, Обоянский район, с.Быканово</v>
      </c>
    </row>
    <row r="92" spans="1:15" ht="60" x14ac:dyDescent="0.2">
      <c r="A92" s="18">
        <v>179</v>
      </c>
      <c r="B92" s="125" t="s">
        <v>1126</v>
      </c>
      <c r="C92" s="13" t="s">
        <v>334</v>
      </c>
      <c r="D92" s="13" t="s">
        <v>1127</v>
      </c>
      <c r="E92" s="13" t="s">
        <v>1154</v>
      </c>
      <c r="F92" s="13" t="s">
        <v>335</v>
      </c>
      <c r="G92" s="13" t="s">
        <v>27</v>
      </c>
      <c r="H92" s="13">
        <v>120</v>
      </c>
      <c r="I92" s="13">
        <v>8</v>
      </c>
      <c r="J92" s="13" t="s">
        <v>9</v>
      </c>
      <c r="K92" s="122" t="s">
        <v>1150</v>
      </c>
      <c r="L92" s="32">
        <v>51.276775399999998</v>
      </c>
      <c r="M92" s="53">
        <v>36.090541799999997</v>
      </c>
      <c r="N92" s="126" t="str">
        <f t="shared" si="2"/>
        <v>179 ГТС на р.Туровка у с.Чекмаревка</v>
      </c>
      <c r="O92" s="126" t="str">
        <f t="shared" si="3"/>
        <v>Курская область, Обоянский район, с.Чекмаревка</v>
      </c>
    </row>
    <row r="93" spans="1:15" ht="60" x14ac:dyDescent="0.2">
      <c r="A93" s="18">
        <v>180</v>
      </c>
      <c r="B93" s="125" t="s">
        <v>1126</v>
      </c>
      <c r="C93" s="13" t="s">
        <v>334</v>
      </c>
      <c r="D93" s="13" t="s">
        <v>1127</v>
      </c>
      <c r="E93" s="13" t="s">
        <v>1154</v>
      </c>
      <c r="F93" s="13" t="s">
        <v>336</v>
      </c>
      <c r="G93" s="13">
        <v>1988</v>
      </c>
      <c r="H93" s="13">
        <v>400</v>
      </c>
      <c r="I93" s="13">
        <v>35</v>
      </c>
      <c r="J93" s="13" t="s">
        <v>9</v>
      </c>
      <c r="K93" s="122" t="s">
        <v>1149</v>
      </c>
      <c r="L93" s="32">
        <v>51.239975000000001</v>
      </c>
      <c r="M93" s="53">
        <v>36.0949898</v>
      </c>
      <c r="N93" s="126" t="str">
        <f t="shared" si="2"/>
        <v>180 ГТС на р.Туровка у с.Гридасово</v>
      </c>
      <c r="O93" s="126" t="str">
        <f t="shared" si="3"/>
        <v>Курская область, Обоянский район, с.Гридасово</v>
      </c>
    </row>
    <row r="94" spans="1:15" ht="60" x14ac:dyDescent="0.2">
      <c r="A94" s="35">
        <v>181</v>
      </c>
      <c r="B94" s="125" t="s">
        <v>1126</v>
      </c>
      <c r="C94" s="14" t="s">
        <v>332</v>
      </c>
      <c r="D94" s="13" t="s">
        <v>1127</v>
      </c>
      <c r="E94" s="13" t="s">
        <v>1154</v>
      </c>
      <c r="F94" s="14" t="s">
        <v>337</v>
      </c>
      <c r="G94" s="14" t="s">
        <v>27</v>
      </c>
      <c r="H94" s="14" t="s">
        <v>27</v>
      </c>
      <c r="I94" s="14" t="s">
        <v>27</v>
      </c>
      <c r="J94" s="14" t="s">
        <v>20</v>
      </c>
      <c r="K94" s="38" t="s">
        <v>659</v>
      </c>
      <c r="L94" s="38">
        <v>51.201225299999997</v>
      </c>
      <c r="M94" s="55">
        <v>36.145584100000001</v>
      </c>
      <c r="N94" s="126" t="str">
        <f t="shared" si="2"/>
        <v>181 ГТС на р.Усланка у с.Усланка</v>
      </c>
      <c r="O94" s="126" t="str">
        <f t="shared" si="3"/>
        <v>Курская область, Обоянский район, с.Усланка</v>
      </c>
    </row>
    <row r="95" spans="1:15" s="155" customFormat="1" x14ac:dyDescent="0.2">
      <c r="N95" s="126" t="str">
        <f t="shared" si="2"/>
        <v/>
      </c>
      <c r="O95" s="126" t="str">
        <f t="shared" si="3"/>
        <v/>
      </c>
    </row>
    <row r="96" spans="1:15" ht="75" x14ac:dyDescent="0.2">
      <c r="A96" s="18">
        <v>210</v>
      </c>
      <c r="B96" s="125" t="s">
        <v>1126</v>
      </c>
      <c r="C96" s="13" t="s">
        <v>390</v>
      </c>
      <c r="D96" s="13" t="s">
        <v>1127</v>
      </c>
      <c r="E96" s="13" t="s">
        <v>1155</v>
      </c>
      <c r="F96" s="13" t="s">
        <v>391</v>
      </c>
      <c r="G96" s="13">
        <v>1965</v>
      </c>
      <c r="H96" s="13">
        <v>693</v>
      </c>
      <c r="I96" s="13">
        <v>23</v>
      </c>
      <c r="J96" s="13" t="s">
        <v>127</v>
      </c>
      <c r="K96" s="32" t="s">
        <v>684</v>
      </c>
      <c r="L96" s="32">
        <v>51.217140200000003</v>
      </c>
      <c r="M96" s="53">
        <v>36.419517499999998</v>
      </c>
      <c r="N96" s="126" t="str">
        <f t="shared" si="2"/>
        <v>210 ГТС на руч. Гостимерец у с. Бобрышево</v>
      </c>
      <c r="O96" s="126" t="str">
        <f t="shared" si="3"/>
        <v>Курская область, Пристенский район, с. Бобрышево</v>
      </c>
    </row>
    <row r="97" spans="1:21" x14ac:dyDescent="0.2">
      <c r="N97" s="126" t="str">
        <f t="shared" ref="N97:N98" si="4">CONCATENATE(A97, ,B97,C97,D97,F97)</f>
        <v/>
      </c>
      <c r="O97" s="126" t="str">
        <f t="shared" ref="O97:O98" si="5">CONCATENATE(E97,F97)</f>
        <v/>
      </c>
    </row>
    <row r="98" spans="1:21" ht="75" x14ac:dyDescent="0.2">
      <c r="A98" s="18">
        <v>205</v>
      </c>
      <c r="B98" s="125" t="s">
        <v>1126</v>
      </c>
      <c r="C98" s="13" t="s">
        <v>628</v>
      </c>
      <c r="D98" s="13" t="s">
        <v>1127</v>
      </c>
      <c r="E98" s="13" t="s">
        <v>1155</v>
      </c>
      <c r="F98" s="13" t="s">
        <v>383</v>
      </c>
      <c r="G98" s="13">
        <v>1963</v>
      </c>
      <c r="H98" s="13">
        <v>1400</v>
      </c>
      <c r="I98" s="13">
        <v>55</v>
      </c>
      <c r="J98" s="13" t="s">
        <v>20</v>
      </c>
      <c r="K98" s="32" t="s">
        <v>684</v>
      </c>
      <c r="L98" s="32">
        <v>51.326038400000002</v>
      </c>
      <c r="M98" s="53">
        <v>36.448638899999999</v>
      </c>
      <c r="N98" s="126" t="str">
        <f t="shared" si="4"/>
        <v>205 ГТС на руч. Любовая Мелоница у с. Большие Крюки</v>
      </c>
      <c r="O98" s="126" t="str">
        <f t="shared" si="5"/>
        <v>Курская область, Пристенский район, с. Большие Крюки</v>
      </c>
    </row>
    <row r="99" spans="1:21" x14ac:dyDescent="0.2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2"/>
      <c r="N99" s="163" t="str">
        <f t="shared" ref="N99:N147" si="6">CONCATENATE(A99, ,B99,C99,D99,F99)</f>
        <v/>
      </c>
      <c r="O99" s="163" t="str">
        <f t="shared" ref="O99:O147" si="7">CONCATENATE(E99,F99)</f>
        <v/>
      </c>
      <c r="P99" s="162"/>
      <c r="Q99" s="161"/>
      <c r="R99" s="161"/>
      <c r="S99" s="161"/>
      <c r="T99" s="161"/>
      <c r="U99" s="161"/>
    </row>
    <row r="100" spans="1:21" ht="75" x14ac:dyDescent="0.2">
      <c r="A100" s="27">
        <v>1</v>
      </c>
      <c r="B100" s="125" t="s">
        <v>1126</v>
      </c>
      <c r="C100" s="27" t="s">
        <v>7</v>
      </c>
      <c r="D100" s="13" t="s">
        <v>1127</v>
      </c>
      <c r="E100" s="13" t="s">
        <v>1167</v>
      </c>
      <c r="F100" s="27" t="s">
        <v>8</v>
      </c>
      <c r="G100" s="27">
        <v>1952</v>
      </c>
      <c r="H100" s="27">
        <v>1170</v>
      </c>
      <c r="I100" s="27">
        <v>82</v>
      </c>
      <c r="J100" s="27" t="s">
        <v>9</v>
      </c>
      <c r="K100" s="10" t="s">
        <v>557</v>
      </c>
      <c r="L100" s="10">
        <v>51.487758599999999</v>
      </c>
      <c r="M100" s="11">
        <v>37.739952099999996</v>
      </c>
      <c r="N100" s="126" t="str">
        <f t="shared" si="6"/>
        <v>1 ГТС на р. Апочка у с.Знаменка</v>
      </c>
      <c r="O100" s="126" t="str">
        <f t="shared" si="7"/>
        <v>Курская область, Горшеченский район, с.Знаменка</v>
      </c>
    </row>
    <row r="101" spans="1:21" ht="75" x14ac:dyDescent="0.2">
      <c r="A101" s="27">
        <v>2</v>
      </c>
      <c r="B101" s="125" t="s">
        <v>1126</v>
      </c>
      <c r="C101" s="7" t="s">
        <v>12</v>
      </c>
      <c r="D101" s="13" t="s">
        <v>1127</v>
      </c>
      <c r="E101" s="13" t="s">
        <v>1167</v>
      </c>
      <c r="F101" s="7" t="s">
        <v>13</v>
      </c>
      <c r="G101" s="7">
        <v>1979</v>
      </c>
      <c r="H101" s="7">
        <v>1650</v>
      </c>
      <c r="I101" s="7">
        <v>60</v>
      </c>
      <c r="J101" s="7" t="s">
        <v>9</v>
      </c>
      <c r="K101" s="6" t="s">
        <v>558</v>
      </c>
      <c r="L101" s="6">
        <v>51.386310600000002</v>
      </c>
      <c r="M101" s="12">
        <v>38.057708699999999</v>
      </c>
      <c r="N101" s="126" t="str">
        <f t="shared" si="6"/>
        <v>2 ГТС на руч. Ровенка у с.Вислое</v>
      </c>
      <c r="O101" s="126" t="str">
        <f t="shared" si="7"/>
        <v>Курская область, Горшеченский район, с.Вислое</v>
      </c>
    </row>
    <row r="102" spans="1:21" ht="75" x14ac:dyDescent="0.2">
      <c r="A102" s="27">
        <v>3</v>
      </c>
      <c r="B102" s="125" t="s">
        <v>1126</v>
      </c>
      <c r="C102" s="116" t="s">
        <v>1093</v>
      </c>
      <c r="D102" s="13" t="s">
        <v>1127</v>
      </c>
      <c r="E102" s="13" t="s">
        <v>1167</v>
      </c>
      <c r="F102" s="7" t="s">
        <v>14</v>
      </c>
      <c r="G102" s="7">
        <v>1975</v>
      </c>
      <c r="H102" s="7">
        <v>1060</v>
      </c>
      <c r="I102" s="7">
        <v>53</v>
      </c>
      <c r="J102" s="7" t="s">
        <v>11</v>
      </c>
      <c r="K102" s="115" t="s">
        <v>1092</v>
      </c>
      <c r="L102" s="6">
        <v>51.474834399999999</v>
      </c>
      <c r="M102" s="12">
        <v>37.894966099999998</v>
      </c>
      <c r="N102" s="126" t="str">
        <f t="shared" si="6"/>
        <v>3 ГТС на р. Герасим у с.Солдатское</v>
      </c>
      <c r="O102" s="126" t="str">
        <f t="shared" si="7"/>
        <v>Курская область, Горшеченский район, с.Солдатское</v>
      </c>
    </row>
    <row r="103" spans="1:21" ht="75" x14ac:dyDescent="0.2">
      <c r="A103" s="76">
        <v>4</v>
      </c>
      <c r="B103" s="125" t="s">
        <v>1126</v>
      </c>
      <c r="C103" s="77" t="s">
        <v>15</v>
      </c>
      <c r="D103" s="13" t="s">
        <v>1127</v>
      </c>
      <c r="E103" s="13" t="s">
        <v>1167</v>
      </c>
      <c r="F103" s="77" t="s">
        <v>16</v>
      </c>
      <c r="G103" s="77">
        <v>1977</v>
      </c>
      <c r="H103" s="77">
        <v>1100</v>
      </c>
      <c r="I103" s="77">
        <v>44</v>
      </c>
      <c r="J103" s="77" t="s">
        <v>17</v>
      </c>
      <c r="K103" s="117" t="s">
        <v>586</v>
      </c>
      <c r="L103" s="78">
        <v>51.588478100000003</v>
      </c>
      <c r="M103" s="79">
        <v>38.083457899999999</v>
      </c>
      <c r="N103" s="126" t="str">
        <f t="shared" si="6"/>
        <v>4 ГТС на бал. Олымов Лог у д.Шеенка</v>
      </c>
      <c r="O103" s="126" t="str">
        <f t="shared" si="7"/>
        <v>Курская область, Горшеченский район, д.Шеенка</v>
      </c>
    </row>
    <row r="104" spans="1:21" ht="75" x14ac:dyDescent="0.2">
      <c r="A104" s="27">
        <v>5</v>
      </c>
      <c r="B104" s="125" t="s">
        <v>1126</v>
      </c>
      <c r="C104" s="7" t="s">
        <v>18</v>
      </c>
      <c r="D104" s="13" t="s">
        <v>1127</v>
      </c>
      <c r="E104" s="13" t="s">
        <v>1167</v>
      </c>
      <c r="F104" s="7" t="s">
        <v>19</v>
      </c>
      <c r="G104" s="7">
        <v>1997</v>
      </c>
      <c r="H104" s="7">
        <v>2150</v>
      </c>
      <c r="I104" s="7">
        <v>70</v>
      </c>
      <c r="J104" s="7" t="s">
        <v>20</v>
      </c>
      <c r="K104" s="115" t="s">
        <v>1092</v>
      </c>
      <c r="L104" s="6">
        <v>51.490943899999998</v>
      </c>
      <c r="M104" s="12">
        <v>37.833465599999997</v>
      </c>
      <c r="N104" s="126" t="str">
        <f t="shared" si="6"/>
        <v>5 ГТС на р.Боровка у с.Степановка</v>
      </c>
      <c r="O104" s="126" t="str">
        <f t="shared" si="7"/>
        <v>Курская область, Горшеченский район, с.Степановка</v>
      </c>
    </row>
    <row r="105" spans="1:21" ht="75" x14ac:dyDescent="0.2">
      <c r="A105" s="27">
        <v>6</v>
      </c>
      <c r="B105" s="125" t="s">
        <v>1126</v>
      </c>
      <c r="C105" s="7" t="s">
        <v>21</v>
      </c>
      <c r="D105" s="13" t="s">
        <v>1127</v>
      </c>
      <c r="E105" s="13" t="s">
        <v>1167</v>
      </c>
      <c r="F105" s="7" t="s">
        <v>22</v>
      </c>
      <c r="G105" s="7">
        <v>1973</v>
      </c>
      <c r="H105" s="7">
        <v>838</v>
      </c>
      <c r="I105" s="7">
        <v>22</v>
      </c>
      <c r="J105" s="7" t="s">
        <v>9</v>
      </c>
      <c r="K105" s="6" t="s">
        <v>559</v>
      </c>
      <c r="L105" s="6">
        <v>51.477024100000001</v>
      </c>
      <c r="M105" s="12">
        <v>38.105987499999998</v>
      </c>
      <c r="N105" s="126" t="str">
        <f t="shared" si="6"/>
        <v>6 ГТС на бал.Глубокий Лог у с.Богородицкое</v>
      </c>
      <c r="O105" s="126" t="str">
        <f t="shared" si="7"/>
        <v>Курская область, Горшеченский район, с.Богородицкое</v>
      </c>
    </row>
    <row r="106" spans="1:21" ht="75" x14ac:dyDescent="0.2">
      <c r="A106" s="27">
        <v>7</v>
      </c>
      <c r="B106" s="125" t="s">
        <v>1126</v>
      </c>
      <c r="C106" s="7" t="s">
        <v>23</v>
      </c>
      <c r="D106" s="13" t="s">
        <v>1127</v>
      </c>
      <c r="E106" s="13" t="s">
        <v>1167</v>
      </c>
      <c r="F106" s="7" t="s">
        <v>24</v>
      </c>
      <c r="G106" s="7">
        <v>1951</v>
      </c>
      <c r="H106" s="7">
        <v>640</v>
      </c>
      <c r="I106" s="7">
        <v>40</v>
      </c>
      <c r="J106" s="7" t="s">
        <v>9</v>
      </c>
      <c r="K106" s="6" t="s">
        <v>557</v>
      </c>
      <c r="L106" s="6">
        <v>51.525760699999999</v>
      </c>
      <c r="M106" s="12">
        <v>37.686466199999998</v>
      </c>
      <c r="N106" s="126" t="str">
        <f t="shared" si="6"/>
        <v>7 ГТС на р.Апочка у с.Средние Апочки</v>
      </c>
      <c r="O106" s="126" t="str">
        <f t="shared" si="7"/>
        <v>Курская область, Горшеченский район, с.Средние Апочки</v>
      </c>
    </row>
    <row r="107" spans="1:21" ht="75" x14ac:dyDescent="0.2">
      <c r="A107" s="27">
        <v>8</v>
      </c>
      <c r="B107" s="125" t="s">
        <v>1126</v>
      </c>
      <c r="C107" s="7" t="s">
        <v>25</v>
      </c>
      <c r="D107" s="13" t="s">
        <v>1127</v>
      </c>
      <c r="E107" s="13" t="s">
        <v>1167</v>
      </c>
      <c r="F107" s="7" t="s">
        <v>26</v>
      </c>
      <c r="G107" s="7" t="s">
        <v>27</v>
      </c>
      <c r="H107" s="7">
        <v>129</v>
      </c>
      <c r="I107" s="7">
        <v>19</v>
      </c>
      <c r="J107" s="7" t="s">
        <v>9</v>
      </c>
      <c r="K107" s="115" t="s">
        <v>1092</v>
      </c>
      <c r="L107" s="6">
        <v>51.522666899999997</v>
      </c>
      <c r="M107" s="12">
        <v>37.572574600000003</v>
      </c>
      <c r="N107" s="126" t="str">
        <f t="shared" si="6"/>
        <v>8 ГТС на р.Дорожная у с.Головище</v>
      </c>
      <c r="O107" s="126" t="str">
        <f t="shared" si="7"/>
        <v>Курская область, Горшеченский район, с.Головище</v>
      </c>
    </row>
    <row r="108" spans="1:21" ht="75" x14ac:dyDescent="0.2">
      <c r="A108" s="76">
        <v>9</v>
      </c>
      <c r="B108" s="125" t="s">
        <v>1126</v>
      </c>
      <c r="C108" s="77" t="s">
        <v>10</v>
      </c>
      <c r="D108" s="13" t="s">
        <v>1127</v>
      </c>
      <c r="E108" s="13" t="s">
        <v>1167</v>
      </c>
      <c r="F108" s="77" t="s">
        <v>28</v>
      </c>
      <c r="G108" s="77">
        <v>1951</v>
      </c>
      <c r="H108" s="77">
        <v>425</v>
      </c>
      <c r="I108" s="77">
        <v>25</v>
      </c>
      <c r="J108" s="77" t="s">
        <v>11</v>
      </c>
      <c r="K108" s="78" t="s">
        <v>560</v>
      </c>
      <c r="L108" s="78">
        <v>51.5533638</v>
      </c>
      <c r="M108" s="79">
        <v>37.740490000000001</v>
      </c>
      <c r="N108" s="126" t="str">
        <f t="shared" si="6"/>
        <v>9 ГТС на р.Клещенка у д.Белгородка</v>
      </c>
      <c r="O108" s="126" t="str">
        <f t="shared" si="7"/>
        <v>Курская область, Горшеченский район, д.Белгородка</v>
      </c>
    </row>
    <row r="109" spans="1:21" ht="75" x14ac:dyDescent="0.2">
      <c r="A109" s="27">
        <v>10</v>
      </c>
      <c r="B109" s="125" t="s">
        <v>1126</v>
      </c>
      <c r="C109" s="7" t="s">
        <v>29</v>
      </c>
      <c r="D109" s="13" t="s">
        <v>1127</v>
      </c>
      <c r="E109" s="13" t="s">
        <v>1167</v>
      </c>
      <c r="F109" s="7" t="s">
        <v>30</v>
      </c>
      <c r="G109" s="7" t="s">
        <v>27</v>
      </c>
      <c r="H109" s="7">
        <v>120</v>
      </c>
      <c r="I109" s="7">
        <v>6</v>
      </c>
      <c r="J109" s="7" t="s">
        <v>9</v>
      </c>
      <c r="K109" s="115" t="s">
        <v>1092</v>
      </c>
      <c r="L109" s="6">
        <v>51.484432200000001</v>
      </c>
      <c r="M109" s="12">
        <v>37.873657199999997</v>
      </c>
      <c r="N109" s="126" t="str">
        <f t="shared" si="6"/>
        <v>10 ГТС на р.Быстрик у с.Максимовка</v>
      </c>
      <c r="O109" s="126" t="str">
        <f t="shared" si="7"/>
        <v>Курская область, Горшеченский район, с.Максимовка</v>
      </c>
    </row>
    <row r="110" spans="1:21" ht="75" x14ac:dyDescent="0.2">
      <c r="A110" s="27">
        <v>11</v>
      </c>
      <c r="B110" s="125" t="s">
        <v>1126</v>
      </c>
      <c r="C110" s="7" t="s">
        <v>31</v>
      </c>
      <c r="D110" s="13" t="s">
        <v>1127</v>
      </c>
      <c r="E110" s="13" t="s">
        <v>1167</v>
      </c>
      <c r="F110" s="7" t="s">
        <v>14</v>
      </c>
      <c r="G110" s="7">
        <v>1962</v>
      </c>
      <c r="H110" s="7">
        <v>430</v>
      </c>
      <c r="I110" s="7">
        <v>48</v>
      </c>
      <c r="J110" s="7" t="s">
        <v>9</v>
      </c>
      <c r="K110" s="117" t="s">
        <v>586</v>
      </c>
      <c r="L110" s="6">
        <v>51.4903488</v>
      </c>
      <c r="M110" s="12">
        <v>37.927871699999997</v>
      </c>
      <c r="N110" s="126" t="str">
        <f t="shared" si="6"/>
        <v>11 ГТС на руч.Коровяк у с.Солдатское</v>
      </c>
      <c r="O110" s="126" t="str">
        <f t="shared" si="7"/>
        <v>Курская область, Горшеченский район, с.Солдатское</v>
      </c>
    </row>
    <row r="111" spans="1:21" ht="75" x14ac:dyDescent="0.2">
      <c r="A111" s="27">
        <v>12</v>
      </c>
      <c r="B111" s="125" t="s">
        <v>1126</v>
      </c>
      <c r="C111" s="24" t="s">
        <v>32</v>
      </c>
      <c r="D111" s="13" t="s">
        <v>1127</v>
      </c>
      <c r="E111" s="13" t="s">
        <v>1167</v>
      </c>
      <c r="F111" s="25" t="s">
        <v>33</v>
      </c>
      <c r="G111" s="25" t="s">
        <v>27</v>
      </c>
      <c r="H111" s="25">
        <v>150</v>
      </c>
      <c r="I111" s="25">
        <v>4.3</v>
      </c>
      <c r="J111" s="25" t="s">
        <v>17</v>
      </c>
      <c r="K111" s="118" t="s">
        <v>1092</v>
      </c>
      <c r="L111" s="25">
        <v>51.527650999999999</v>
      </c>
      <c r="M111" s="28">
        <v>38.045391000000002</v>
      </c>
      <c r="N111" s="126" t="str">
        <f t="shared" si="6"/>
        <v>12 ГТС на руч. б/н (б. Лог Центральный) у п. Горшечное</v>
      </c>
      <c r="O111" s="126" t="str">
        <f t="shared" si="7"/>
        <v>Курская область, Горшеченский район, п. Горшечное</v>
      </c>
    </row>
    <row r="112" spans="1:21" ht="75" x14ac:dyDescent="0.2">
      <c r="A112" s="110">
        <v>60</v>
      </c>
      <c r="B112" s="125" t="s">
        <v>1126</v>
      </c>
      <c r="C112" s="110" t="s">
        <v>125</v>
      </c>
      <c r="D112" s="13" t="s">
        <v>1127</v>
      </c>
      <c r="E112" s="13" t="s">
        <v>1168</v>
      </c>
      <c r="F112" s="110" t="s">
        <v>126</v>
      </c>
      <c r="G112" s="110">
        <v>1967</v>
      </c>
      <c r="H112" s="110">
        <v>1690</v>
      </c>
      <c r="I112" s="110">
        <v>90</v>
      </c>
      <c r="J112" s="110" t="s">
        <v>127</v>
      </c>
      <c r="K112" s="8" t="s">
        <v>586</v>
      </c>
      <c r="L112" s="8">
        <v>51.701667800000003</v>
      </c>
      <c r="M112" s="47">
        <v>38.068687400000002</v>
      </c>
      <c r="N112" s="126" t="str">
        <f t="shared" si="6"/>
        <v>60 ГТС на руч.Бычок у с.Спасовка</v>
      </c>
      <c r="O112" s="126" t="str">
        <f t="shared" si="7"/>
        <v>Курская область, Касторенский район, с.Спасовка</v>
      </c>
    </row>
    <row r="113" spans="1:15" ht="75" x14ac:dyDescent="0.2">
      <c r="A113" s="36">
        <v>61</v>
      </c>
      <c r="B113" s="125" t="s">
        <v>1126</v>
      </c>
      <c r="C113" s="36" t="s">
        <v>128</v>
      </c>
      <c r="D113" s="13" t="s">
        <v>1127</v>
      </c>
      <c r="E113" s="13" t="s">
        <v>1168</v>
      </c>
      <c r="F113" s="36" t="s">
        <v>129</v>
      </c>
      <c r="G113" s="36">
        <v>1981</v>
      </c>
      <c r="H113" s="36">
        <v>2830</v>
      </c>
      <c r="I113" s="36">
        <v>83</v>
      </c>
      <c r="J113" s="36" t="s">
        <v>9</v>
      </c>
      <c r="K113" s="8" t="s">
        <v>586</v>
      </c>
      <c r="L113" s="8">
        <v>51.710285200000001</v>
      </c>
      <c r="M113" s="47">
        <v>37.849552199999998</v>
      </c>
      <c r="N113" s="126" t="str">
        <f t="shared" si="6"/>
        <v>61 ГТС на руч.Жерновец у с.Жерновец</v>
      </c>
      <c r="O113" s="126" t="str">
        <f t="shared" si="7"/>
        <v>Курская область, Касторенский район, с.Жерновец</v>
      </c>
    </row>
    <row r="114" spans="1:15" ht="75" x14ac:dyDescent="0.2">
      <c r="A114" s="13">
        <v>62</v>
      </c>
      <c r="B114" s="125" t="s">
        <v>1126</v>
      </c>
      <c r="C114" s="13" t="s">
        <v>130</v>
      </c>
      <c r="D114" s="13" t="s">
        <v>1127</v>
      </c>
      <c r="E114" s="13" t="s">
        <v>1168</v>
      </c>
      <c r="F114" s="13" t="s">
        <v>131</v>
      </c>
      <c r="G114" s="13">
        <v>1980</v>
      </c>
      <c r="H114" s="13">
        <v>1026</v>
      </c>
      <c r="I114" s="13">
        <v>94</v>
      </c>
      <c r="J114" s="13" t="s">
        <v>9</v>
      </c>
      <c r="K114" s="8" t="s">
        <v>587</v>
      </c>
      <c r="L114" s="8">
        <v>51.740901899999997</v>
      </c>
      <c r="M114" s="47">
        <v>38.182273899999998</v>
      </c>
      <c r="N114" s="126" t="str">
        <f t="shared" si="6"/>
        <v>62 ГТС на руч.Безымянный у с.Котовка</v>
      </c>
      <c r="O114" s="126" t="str">
        <f t="shared" si="7"/>
        <v>Курская область, Касторенский район, с.Котовка</v>
      </c>
    </row>
    <row r="115" spans="1:15" ht="75" x14ac:dyDescent="0.2">
      <c r="A115" s="13">
        <v>63</v>
      </c>
      <c r="B115" s="125" t="s">
        <v>1126</v>
      </c>
      <c r="C115" s="13" t="s">
        <v>56</v>
      </c>
      <c r="D115" s="13" t="s">
        <v>1127</v>
      </c>
      <c r="E115" s="13" t="s">
        <v>1168</v>
      </c>
      <c r="F115" s="13" t="s">
        <v>132</v>
      </c>
      <c r="G115" s="13">
        <v>1980</v>
      </c>
      <c r="H115" s="13">
        <v>577</v>
      </c>
      <c r="I115" s="13">
        <v>22</v>
      </c>
      <c r="J115" s="13" t="s">
        <v>9</v>
      </c>
      <c r="K115" s="8" t="s">
        <v>588</v>
      </c>
      <c r="L115" s="8">
        <v>51.831504799999998</v>
      </c>
      <c r="M115" s="47">
        <v>38.394599900000003</v>
      </c>
      <c r="N115" s="126" t="str">
        <f t="shared" si="6"/>
        <v>63 ГТС на руч. б/н у с.Горяиново</v>
      </c>
      <c r="O115" s="126" t="str">
        <f t="shared" si="7"/>
        <v>Курская область, Касторенский район, с.Горяиново</v>
      </c>
    </row>
    <row r="116" spans="1:15" ht="75" x14ac:dyDescent="0.2">
      <c r="A116" s="13">
        <v>64</v>
      </c>
      <c r="B116" s="125" t="s">
        <v>1126</v>
      </c>
      <c r="C116" s="13" t="s">
        <v>133</v>
      </c>
      <c r="D116" s="13" t="s">
        <v>1127</v>
      </c>
      <c r="E116" s="13" t="s">
        <v>1168</v>
      </c>
      <c r="F116" s="13" t="s">
        <v>134</v>
      </c>
      <c r="G116" s="13" t="s">
        <v>27</v>
      </c>
      <c r="H116" s="13">
        <v>504</v>
      </c>
      <c r="I116" s="13">
        <v>16</v>
      </c>
      <c r="J116" s="13" t="s">
        <v>135</v>
      </c>
      <c r="K116" s="8" t="s">
        <v>589</v>
      </c>
      <c r="L116" s="8">
        <v>51.849094399999998</v>
      </c>
      <c r="M116" s="47">
        <v>38.323509199999997</v>
      </c>
      <c r="N116" s="126" t="str">
        <f t="shared" si="6"/>
        <v>64 ГТС на бал.Попов Вершок у с.Мелавка</v>
      </c>
      <c r="O116" s="126" t="str">
        <f t="shared" si="7"/>
        <v>Курская область, Касторенский район, с.Мелавка</v>
      </c>
    </row>
    <row r="117" spans="1:15" ht="75" x14ac:dyDescent="0.2">
      <c r="A117" s="13">
        <v>65</v>
      </c>
      <c r="B117" s="125" t="s">
        <v>1126</v>
      </c>
      <c r="C117" s="13" t="s">
        <v>136</v>
      </c>
      <c r="D117" s="13" t="s">
        <v>1127</v>
      </c>
      <c r="E117" s="13" t="s">
        <v>1168</v>
      </c>
      <c r="F117" s="13" t="s">
        <v>104</v>
      </c>
      <c r="G117" s="13">
        <v>1974</v>
      </c>
      <c r="H117" s="13">
        <v>400</v>
      </c>
      <c r="I117" s="13">
        <v>12</v>
      </c>
      <c r="J117" s="13" t="s">
        <v>9</v>
      </c>
      <c r="K117" s="8" t="s">
        <v>590</v>
      </c>
      <c r="L117" s="8">
        <v>51.722171799999998</v>
      </c>
      <c r="M117" s="47">
        <v>38.134437599999998</v>
      </c>
      <c r="N117" s="126" t="str">
        <f t="shared" si="6"/>
        <v>65 ГТС на бал. б/н у с.Николаевка</v>
      </c>
      <c r="O117" s="126" t="str">
        <f t="shared" si="7"/>
        <v>Курская область, Касторенский район, с.Николаевка</v>
      </c>
    </row>
    <row r="118" spans="1:15" ht="75" x14ac:dyDescent="0.2">
      <c r="A118" s="13">
        <v>66</v>
      </c>
      <c r="B118" s="125" t="s">
        <v>1126</v>
      </c>
      <c r="C118" s="13" t="s">
        <v>137</v>
      </c>
      <c r="D118" s="13" t="s">
        <v>1127</v>
      </c>
      <c r="E118" s="13" t="s">
        <v>1168</v>
      </c>
      <c r="F118" s="13" t="s">
        <v>138</v>
      </c>
      <c r="G118" s="13" t="s">
        <v>27</v>
      </c>
      <c r="H118" s="13">
        <v>260</v>
      </c>
      <c r="I118" s="13">
        <v>13</v>
      </c>
      <c r="J118" s="13" t="s">
        <v>127</v>
      </c>
      <c r="K118" s="8" t="s">
        <v>586</v>
      </c>
      <c r="L118" s="8">
        <v>51.829315200000003</v>
      </c>
      <c r="M118" s="47">
        <v>37.9282951</v>
      </c>
      <c r="N118" s="126" t="str">
        <f t="shared" si="6"/>
        <v>66 ГТС на руч.Колябинский у с.Успено-Раевка</v>
      </c>
      <c r="O118" s="126" t="str">
        <f t="shared" si="7"/>
        <v>Курская область, Касторенский район, с.Успено-Раевка</v>
      </c>
    </row>
    <row r="119" spans="1:15" ht="75" x14ac:dyDescent="0.2">
      <c r="A119" s="36">
        <v>67</v>
      </c>
      <c r="B119" s="125" t="s">
        <v>1126</v>
      </c>
      <c r="C119" s="36" t="s">
        <v>137</v>
      </c>
      <c r="D119" s="13" t="s">
        <v>1127</v>
      </c>
      <c r="E119" s="13" t="s">
        <v>1168</v>
      </c>
      <c r="F119" s="36" t="s">
        <v>139</v>
      </c>
      <c r="G119" s="36" t="s">
        <v>27</v>
      </c>
      <c r="H119" s="36">
        <v>400</v>
      </c>
      <c r="I119" s="36">
        <v>10</v>
      </c>
      <c r="J119" s="36" t="s">
        <v>9</v>
      </c>
      <c r="K119" s="8" t="s">
        <v>591</v>
      </c>
      <c r="L119" s="8">
        <v>51.829299900000002</v>
      </c>
      <c r="M119" s="47">
        <v>38.030979199999997</v>
      </c>
      <c r="N119" s="126" t="str">
        <f t="shared" si="6"/>
        <v>67 ГТС на руч.Колябинский у с. Егорьевка</v>
      </c>
      <c r="O119" s="126" t="str">
        <f t="shared" si="7"/>
        <v>Курская область, Касторенский район, с. Егорьевка</v>
      </c>
    </row>
    <row r="120" spans="1:15" ht="75" x14ac:dyDescent="0.2">
      <c r="A120" s="36">
        <v>68</v>
      </c>
      <c r="B120" s="125" t="s">
        <v>1126</v>
      </c>
      <c r="C120" s="36" t="s">
        <v>136</v>
      </c>
      <c r="D120" s="13" t="s">
        <v>1127</v>
      </c>
      <c r="E120" s="13" t="s">
        <v>1168</v>
      </c>
      <c r="F120" s="36" t="s">
        <v>140</v>
      </c>
      <c r="G120" s="36" t="s">
        <v>27</v>
      </c>
      <c r="H120" s="36">
        <v>200</v>
      </c>
      <c r="I120" s="36">
        <v>16</v>
      </c>
      <c r="J120" s="36" t="s">
        <v>127</v>
      </c>
      <c r="K120" s="8" t="s">
        <v>586</v>
      </c>
      <c r="L120" s="8" t="s">
        <v>1165</v>
      </c>
      <c r="M120" s="47" t="s">
        <v>1166</v>
      </c>
      <c r="N120" s="126" t="str">
        <f t="shared" si="6"/>
        <v>68 ГТС на бал. б/н у с.Раздолье</v>
      </c>
      <c r="O120" s="126" t="str">
        <f t="shared" si="7"/>
        <v>Курская область, Касторенский район, с.Раздолье</v>
      </c>
    </row>
    <row r="121" spans="1:15" ht="75" x14ac:dyDescent="0.2">
      <c r="A121" s="21">
        <v>69</v>
      </c>
      <c r="B121" s="125" t="s">
        <v>1126</v>
      </c>
      <c r="C121" s="56" t="s">
        <v>630</v>
      </c>
      <c r="D121" s="13" t="s">
        <v>1127</v>
      </c>
      <c r="E121" s="13" t="s">
        <v>1168</v>
      </c>
      <c r="F121" s="56" t="s">
        <v>631</v>
      </c>
      <c r="G121" s="56">
        <v>1984</v>
      </c>
      <c r="H121" s="56">
        <v>610</v>
      </c>
      <c r="I121" s="56">
        <v>19</v>
      </c>
      <c r="J121" s="56" t="s">
        <v>127</v>
      </c>
      <c r="K121" s="31" t="s">
        <v>586</v>
      </c>
      <c r="L121" s="31" t="s">
        <v>1163</v>
      </c>
      <c r="M121" s="48" t="s">
        <v>1164</v>
      </c>
      <c r="N121" s="126" t="str">
        <f t="shared" si="6"/>
        <v>69 ГТС на руч. Вшивка у с. Раздолье</v>
      </c>
      <c r="O121" s="126" t="str">
        <f t="shared" si="7"/>
        <v>Курская область, Касторенский район, с. Раздолье</v>
      </c>
    </row>
    <row r="122" spans="1:15" ht="75" x14ac:dyDescent="0.2">
      <c r="A122" s="36">
        <v>70</v>
      </c>
      <c r="B122" s="125" t="s">
        <v>1126</v>
      </c>
      <c r="C122" s="36" t="s">
        <v>141</v>
      </c>
      <c r="D122" s="13" t="s">
        <v>1127</v>
      </c>
      <c r="E122" s="13" t="s">
        <v>1168</v>
      </c>
      <c r="F122" s="36" t="s">
        <v>142</v>
      </c>
      <c r="G122" s="36" t="s">
        <v>27</v>
      </c>
      <c r="H122" s="36">
        <v>140</v>
      </c>
      <c r="I122" s="36">
        <v>10</v>
      </c>
      <c r="J122" s="36" t="s">
        <v>127</v>
      </c>
      <c r="K122" s="8" t="s">
        <v>586</v>
      </c>
      <c r="L122" s="8" t="s">
        <v>1158</v>
      </c>
      <c r="M122" s="47" t="s">
        <v>1159</v>
      </c>
      <c r="N122" s="126" t="str">
        <f t="shared" si="6"/>
        <v>70 ГТС на руч. б/н  у с.Красная Долина</v>
      </c>
      <c r="O122" s="126" t="str">
        <f t="shared" si="7"/>
        <v>Курская область, Касторенский район, с.Красная Долина</v>
      </c>
    </row>
    <row r="123" spans="1:15" ht="75" x14ac:dyDescent="0.2">
      <c r="A123" s="36">
        <v>71</v>
      </c>
      <c r="B123" s="125" t="s">
        <v>1126</v>
      </c>
      <c r="C123" s="36" t="s">
        <v>56</v>
      </c>
      <c r="D123" s="13" t="s">
        <v>1127</v>
      </c>
      <c r="E123" s="13" t="s">
        <v>1168</v>
      </c>
      <c r="F123" s="36" t="s">
        <v>143</v>
      </c>
      <c r="G123" s="36">
        <v>1980</v>
      </c>
      <c r="H123" s="36">
        <v>401</v>
      </c>
      <c r="I123" s="36">
        <v>27</v>
      </c>
      <c r="J123" s="36" t="s">
        <v>9</v>
      </c>
      <c r="K123" s="8" t="s">
        <v>592</v>
      </c>
      <c r="L123" s="8">
        <v>51.937236800000001</v>
      </c>
      <c r="M123" s="47">
        <v>38.298591600000002</v>
      </c>
      <c r="N123" s="126" t="str">
        <f t="shared" si="6"/>
        <v>71 ГТС на руч. б/н у п.Семеновский</v>
      </c>
      <c r="O123" s="126" t="str">
        <f t="shared" si="7"/>
        <v>Курская область, Касторенский район, п.Семеновский</v>
      </c>
    </row>
    <row r="124" spans="1:15" ht="150" x14ac:dyDescent="0.2">
      <c r="A124" s="36">
        <v>72</v>
      </c>
      <c r="B124" s="125" t="s">
        <v>1126</v>
      </c>
      <c r="C124" s="36" t="s">
        <v>144</v>
      </c>
      <c r="D124" s="13" t="s">
        <v>1127</v>
      </c>
      <c r="E124" s="13" t="s">
        <v>1168</v>
      </c>
      <c r="F124" s="36" t="s">
        <v>145</v>
      </c>
      <c r="G124" s="36" t="s">
        <v>27</v>
      </c>
      <c r="H124" s="36" t="s">
        <v>27</v>
      </c>
      <c r="I124" s="36">
        <v>8</v>
      </c>
      <c r="J124" s="36" t="s">
        <v>127</v>
      </c>
      <c r="K124" s="8" t="s">
        <v>593</v>
      </c>
      <c r="L124" s="8">
        <v>51.733575000000002</v>
      </c>
      <c r="M124" s="47">
        <v>37.876103999999998</v>
      </c>
      <c r="N124" s="126" t="str">
        <f t="shared" si="6"/>
        <v>72 ГТС на бал. б/н 
(Егорушкин руч.) у с. Алексеевка</v>
      </c>
      <c r="O124" s="126" t="str">
        <f t="shared" si="7"/>
        <v>Курская область, Касторенский район, с. Алексеевка</v>
      </c>
    </row>
    <row r="125" spans="1:15" ht="75" x14ac:dyDescent="0.2">
      <c r="A125" s="13">
        <v>73</v>
      </c>
      <c r="B125" s="125" t="s">
        <v>1126</v>
      </c>
      <c r="C125" s="14" t="s">
        <v>146</v>
      </c>
      <c r="D125" s="13" t="s">
        <v>1127</v>
      </c>
      <c r="E125" s="13" t="s">
        <v>1168</v>
      </c>
      <c r="F125" s="14" t="s">
        <v>147</v>
      </c>
      <c r="G125" s="14" t="s">
        <v>27</v>
      </c>
      <c r="H125" s="14">
        <v>1115.8</v>
      </c>
      <c r="I125" s="14">
        <v>103</v>
      </c>
      <c r="J125" s="14" t="s">
        <v>127</v>
      </c>
      <c r="K125" s="9" t="s">
        <v>594</v>
      </c>
      <c r="L125" s="9">
        <v>51.776100200000002</v>
      </c>
      <c r="M125" s="49">
        <v>38.150436399999997</v>
      </c>
      <c r="N125" s="126" t="str">
        <f t="shared" si="6"/>
        <v>73 ГТС на Пойма р. Олым Пруд-охладитель у п.Олым</v>
      </c>
      <c r="O125" s="126" t="str">
        <f t="shared" si="7"/>
        <v>Курская область, Касторенский район, п.Олым</v>
      </c>
    </row>
    <row r="126" spans="1:15" ht="75" x14ac:dyDescent="0.2">
      <c r="A126" s="18">
        <v>121</v>
      </c>
      <c r="B126" s="125" t="s">
        <v>1126</v>
      </c>
      <c r="C126" s="13" t="s">
        <v>231</v>
      </c>
      <c r="D126" s="13" t="s">
        <v>1127</v>
      </c>
      <c r="E126" s="13" t="s">
        <v>1169</v>
      </c>
      <c r="F126" s="13" t="s">
        <v>232</v>
      </c>
      <c r="G126" s="13">
        <v>1978</v>
      </c>
      <c r="H126" s="13">
        <v>1300</v>
      </c>
      <c r="I126" s="13">
        <v>77</v>
      </c>
      <c r="J126" s="13" t="s">
        <v>135</v>
      </c>
      <c r="K126" s="121" t="s">
        <v>586</v>
      </c>
      <c r="L126" s="32">
        <v>51.393706000000002</v>
      </c>
      <c r="M126" s="53">
        <v>37.387596000000002</v>
      </c>
      <c r="N126" s="126" t="str">
        <f t="shared" si="6"/>
        <v>121 ГТС на р. Оскол у д.Александровка</v>
      </c>
      <c r="O126" s="126" t="str">
        <f t="shared" si="7"/>
        <v>Курская область, Мантуровский район, д.Александровка</v>
      </c>
    </row>
    <row r="127" spans="1:15" ht="75" x14ac:dyDescent="0.2">
      <c r="A127" s="18">
        <v>122</v>
      </c>
      <c r="B127" s="125" t="s">
        <v>1126</v>
      </c>
      <c r="C127" s="13" t="s">
        <v>233</v>
      </c>
      <c r="D127" s="13" t="s">
        <v>1127</v>
      </c>
      <c r="E127" s="13" t="s">
        <v>1169</v>
      </c>
      <c r="F127" s="13" t="s">
        <v>232</v>
      </c>
      <c r="G127" s="13" t="s">
        <v>234</v>
      </c>
      <c r="H127" s="13">
        <v>1670</v>
      </c>
      <c r="I127" s="13">
        <v>70</v>
      </c>
      <c r="J127" s="13" t="s">
        <v>9</v>
      </c>
      <c r="K127" s="122" t="s">
        <v>1100</v>
      </c>
      <c r="L127" s="32">
        <v>51.408222199999997</v>
      </c>
      <c r="M127" s="53">
        <v>37.395465899999998</v>
      </c>
      <c r="N127" s="126" t="str">
        <f t="shared" si="6"/>
        <v>122 ГТС на р. Стуженек у д.Александровка</v>
      </c>
      <c r="O127" s="126" t="str">
        <f t="shared" si="7"/>
        <v>Курская область, Мантуровский район, д.Александровка</v>
      </c>
    </row>
    <row r="128" spans="1:15" ht="75" x14ac:dyDescent="0.2">
      <c r="A128" s="18">
        <v>123</v>
      </c>
      <c r="B128" s="125" t="s">
        <v>1126</v>
      </c>
      <c r="C128" s="13" t="s">
        <v>233</v>
      </c>
      <c r="D128" s="13" t="s">
        <v>1127</v>
      </c>
      <c r="E128" s="13" t="s">
        <v>1169</v>
      </c>
      <c r="F128" s="13" t="s">
        <v>235</v>
      </c>
      <c r="G128" s="13">
        <v>1952</v>
      </c>
      <c r="H128" s="13">
        <v>4500</v>
      </c>
      <c r="I128" s="13">
        <v>173</v>
      </c>
      <c r="J128" s="13" t="s">
        <v>9</v>
      </c>
      <c r="K128" s="122" t="s">
        <v>1101</v>
      </c>
      <c r="L128" s="32">
        <v>51.455768599999999</v>
      </c>
      <c r="M128" s="53">
        <v>37.530612900000001</v>
      </c>
      <c r="N128" s="126" t="str">
        <f t="shared" si="6"/>
        <v>123 ГТС на р. Стуженек у с.Ястребовка</v>
      </c>
      <c r="O128" s="126" t="str">
        <f t="shared" si="7"/>
        <v>Курская область, Мантуровский район, с.Ястребовка</v>
      </c>
    </row>
    <row r="129" spans="1:15" ht="75" x14ac:dyDescent="0.2">
      <c r="A129" s="18">
        <v>124</v>
      </c>
      <c r="B129" s="125" t="s">
        <v>1126</v>
      </c>
      <c r="C129" s="13" t="s">
        <v>236</v>
      </c>
      <c r="D129" s="13" t="s">
        <v>1127</v>
      </c>
      <c r="E129" s="13" t="s">
        <v>1169</v>
      </c>
      <c r="F129" s="13" t="s">
        <v>237</v>
      </c>
      <c r="G129" s="13">
        <v>1954</v>
      </c>
      <c r="H129" s="13">
        <v>1740</v>
      </c>
      <c r="I129" s="13">
        <v>72</v>
      </c>
      <c r="J129" s="13" t="s">
        <v>9</v>
      </c>
      <c r="K129" s="122" t="s">
        <v>1102</v>
      </c>
      <c r="L129" s="32">
        <v>51.552146899999997</v>
      </c>
      <c r="M129" s="53">
        <v>37.445640599999997</v>
      </c>
      <c r="N129" s="126" t="str">
        <f t="shared" si="6"/>
        <v>124 ГТС на р. Рогозец у с.Безлепкино</v>
      </c>
      <c r="O129" s="126" t="str">
        <f t="shared" si="7"/>
        <v>Курская область, Мантуровский район, с.Безлепкино</v>
      </c>
    </row>
    <row r="130" spans="1:15" ht="75" x14ac:dyDescent="0.2">
      <c r="A130" s="18">
        <v>126</v>
      </c>
      <c r="B130" s="125" t="s">
        <v>1126</v>
      </c>
      <c r="C130" s="13" t="s">
        <v>231</v>
      </c>
      <c r="D130" s="13" t="s">
        <v>1127</v>
      </c>
      <c r="E130" s="13" t="s">
        <v>1169</v>
      </c>
      <c r="F130" s="13" t="s">
        <v>240</v>
      </c>
      <c r="G130" s="13">
        <v>1978</v>
      </c>
      <c r="H130" s="13">
        <v>850</v>
      </c>
      <c r="I130" s="13">
        <v>50</v>
      </c>
      <c r="J130" s="13" t="s">
        <v>9</v>
      </c>
      <c r="K130" s="122" t="s">
        <v>1104</v>
      </c>
      <c r="L130" s="32">
        <v>51.569213900000001</v>
      </c>
      <c r="M130" s="53">
        <v>37.297496799999998</v>
      </c>
      <c r="N130" s="126" t="str">
        <f t="shared" si="6"/>
        <v>126 ГТС на р. Оскол у с.Заречье</v>
      </c>
      <c r="O130" s="126" t="str">
        <f t="shared" si="7"/>
        <v>Курская область, Мантуровский район, с.Заречье</v>
      </c>
    </row>
    <row r="131" spans="1:15" ht="75" x14ac:dyDescent="0.2">
      <c r="A131" s="18">
        <v>127</v>
      </c>
      <c r="B131" s="125" t="s">
        <v>1126</v>
      </c>
      <c r="C131" s="13" t="s">
        <v>236</v>
      </c>
      <c r="D131" s="13" t="s">
        <v>1127</v>
      </c>
      <c r="E131" s="13" t="s">
        <v>1169</v>
      </c>
      <c r="F131" s="13" t="s">
        <v>241</v>
      </c>
      <c r="G131" s="13">
        <v>1972</v>
      </c>
      <c r="H131" s="13">
        <v>750</v>
      </c>
      <c r="I131" s="13">
        <v>50</v>
      </c>
      <c r="J131" s="13" t="s">
        <v>9</v>
      </c>
      <c r="K131" s="122" t="s">
        <v>1102</v>
      </c>
      <c r="L131" s="32">
        <v>51.532585099999999</v>
      </c>
      <c r="M131" s="53">
        <v>37.433132200000003</v>
      </c>
      <c r="N131" s="126" t="str">
        <f t="shared" si="6"/>
        <v>127 ГТС на р. Рогозец у д.Разбираевка</v>
      </c>
      <c r="O131" s="126" t="str">
        <f t="shared" si="7"/>
        <v>Курская область, Мантуровский район, д.Разбираевка</v>
      </c>
    </row>
    <row r="132" spans="1:15" ht="75" x14ac:dyDescent="0.2">
      <c r="A132" s="18">
        <v>129</v>
      </c>
      <c r="B132" s="125" t="s">
        <v>1126</v>
      </c>
      <c r="C132" s="13" t="s">
        <v>244</v>
      </c>
      <c r="D132" s="13" t="s">
        <v>1127</v>
      </c>
      <c r="E132" s="13" t="s">
        <v>1169</v>
      </c>
      <c r="F132" s="13" t="s">
        <v>245</v>
      </c>
      <c r="G132" s="13">
        <v>1951</v>
      </c>
      <c r="H132" s="13">
        <v>800</v>
      </c>
      <c r="I132" s="13">
        <v>40</v>
      </c>
      <c r="J132" s="13" t="s">
        <v>9</v>
      </c>
      <c r="K132" s="122" t="s">
        <v>1101</v>
      </c>
      <c r="L132" s="32">
        <v>51.434917400000003</v>
      </c>
      <c r="M132" s="53">
        <v>37.439201400000002</v>
      </c>
      <c r="N132" s="126" t="str">
        <f t="shared" si="6"/>
        <v>129 ГТС на р. Стуженек  у с.Покровское</v>
      </c>
      <c r="O132" s="126" t="str">
        <f t="shared" si="7"/>
        <v>Курская область, Мантуровский район, с.Покровское</v>
      </c>
    </row>
    <row r="133" spans="1:15" ht="75" x14ac:dyDescent="0.2">
      <c r="A133" s="18">
        <v>132</v>
      </c>
      <c r="B133" s="125" t="s">
        <v>1126</v>
      </c>
      <c r="C133" s="13" t="s">
        <v>248</v>
      </c>
      <c r="D133" s="13" t="s">
        <v>1127</v>
      </c>
      <c r="E133" s="13" t="s">
        <v>1169</v>
      </c>
      <c r="F133" s="13" t="s">
        <v>245</v>
      </c>
      <c r="G133" s="13">
        <v>1952</v>
      </c>
      <c r="H133" s="13">
        <v>334</v>
      </c>
      <c r="I133" s="13">
        <v>27</v>
      </c>
      <c r="J133" s="13" t="s">
        <v>9</v>
      </c>
      <c r="K133" s="122" t="s">
        <v>1101</v>
      </c>
      <c r="L133" s="32">
        <v>51.436229699999998</v>
      </c>
      <c r="M133" s="53">
        <v>37.450080900000003</v>
      </c>
      <c r="N133" s="126" t="str">
        <f t="shared" si="6"/>
        <v>132 ГТС на р.Стужень (пойма) у с.Покровское</v>
      </c>
      <c r="O133" s="126" t="str">
        <f t="shared" si="7"/>
        <v>Курская область, Мантуровский район, с.Покровское</v>
      </c>
    </row>
    <row r="134" spans="1:15" ht="75" x14ac:dyDescent="0.2">
      <c r="A134" s="18">
        <v>133</v>
      </c>
      <c r="B134" s="125" t="s">
        <v>1126</v>
      </c>
      <c r="C134" s="13" t="s">
        <v>249</v>
      </c>
      <c r="D134" s="13" t="s">
        <v>1127</v>
      </c>
      <c r="E134" s="13" t="s">
        <v>1169</v>
      </c>
      <c r="F134" s="13" t="s">
        <v>250</v>
      </c>
      <c r="G134" s="13">
        <v>1962</v>
      </c>
      <c r="H134" s="13">
        <v>130</v>
      </c>
      <c r="I134" s="13">
        <v>10</v>
      </c>
      <c r="J134" s="13" t="s">
        <v>127</v>
      </c>
      <c r="K134" s="122" t="s">
        <v>1102</v>
      </c>
      <c r="L134" s="32">
        <v>51.565475499999998</v>
      </c>
      <c r="M134" s="53">
        <v>37.448566399999997</v>
      </c>
      <c r="N134" s="126" t="str">
        <f t="shared" si="6"/>
        <v>133 ГТС на р.Рогозец у х.Петровский</v>
      </c>
      <c r="O134" s="126" t="str">
        <f t="shared" si="7"/>
        <v>Курская область, Мантуровский район, х.Петровский</v>
      </c>
    </row>
    <row r="135" spans="1:15" ht="75" x14ac:dyDescent="0.2">
      <c r="A135" s="18">
        <v>135</v>
      </c>
      <c r="B135" s="125" t="s">
        <v>1126</v>
      </c>
      <c r="C135" s="13" t="s">
        <v>252</v>
      </c>
      <c r="D135" s="13" t="s">
        <v>1127</v>
      </c>
      <c r="E135" s="13" t="s">
        <v>1169</v>
      </c>
      <c r="F135" s="13" t="s">
        <v>253</v>
      </c>
      <c r="G135" s="13">
        <v>1976</v>
      </c>
      <c r="H135" s="13">
        <v>220</v>
      </c>
      <c r="I135" s="13">
        <v>15</v>
      </c>
      <c r="J135" s="13" t="s">
        <v>9</v>
      </c>
      <c r="K135" s="122" t="s">
        <v>1107</v>
      </c>
      <c r="L135" s="32">
        <v>51.539299</v>
      </c>
      <c r="M135" s="53">
        <v>37.365406</v>
      </c>
      <c r="N135" s="126" t="str">
        <f t="shared" si="6"/>
        <v>135 ГТС на р.Оскол у с.Криволаповка</v>
      </c>
      <c r="O135" s="126" t="str">
        <f t="shared" si="7"/>
        <v>Курская область, Мантуровский район, с.Криволаповка</v>
      </c>
    </row>
    <row r="136" spans="1:15" ht="90" x14ac:dyDescent="0.2">
      <c r="A136" s="39">
        <v>192</v>
      </c>
      <c r="B136" s="125" t="s">
        <v>1126</v>
      </c>
      <c r="C136" s="24" t="s">
        <v>358</v>
      </c>
      <c r="D136" s="13" t="s">
        <v>1127</v>
      </c>
      <c r="E136" s="13" t="s">
        <v>1152</v>
      </c>
      <c r="F136" s="24" t="s">
        <v>359</v>
      </c>
      <c r="G136" s="24">
        <v>2021</v>
      </c>
      <c r="H136" s="24">
        <v>122.6</v>
      </c>
      <c r="I136" s="24">
        <v>9.1999999999999993</v>
      </c>
      <c r="J136" s="24" t="s">
        <v>20</v>
      </c>
      <c r="K136" s="145" t="s">
        <v>1116</v>
      </c>
      <c r="L136" s="146" t="s">
        <v>1142</v>
      </c>
      <c r="M136" s="147" t="s">
        <v>1143</v>
      </c>
      <c r="N136" s="126" t="str">
        <f t="shared" si="6"/>
        <v>192 ГТС на Пруд-накопитель на бал. Средний Лог у н.п. Черницыно</v>
      </c>
      <c r="O136" s="126" t="str">
        <f t="shared" si="7"/>
        <v>Курская область, Октябрьский район, н.п. Черницыно</v>
      </c>
    </row>
    <row r="137" spans="1:15" ht="90" x14ac:dyDescent="0.2">
      <c r="A137" s="18">
        <v>222</v>
      </c>
      <c r="B137" s="125" t="s">
        <v>1126</v>
      </c>
      <c r="C137" s="36" t="s">
        <v>23</v>
      </c>
      <c r="D137" s="13" t="s">
        <v>1127</v>
      </c>
      <c r="E137" s="13" t="s">
        <v>1170</v>
      </c>
      <c r="F137" s="36" t="s">
        <v>407</v>
      </c>
      <c r="G137" s="36">
        <v>1988</v>
      </c>
      <c r="H137" s="36">
        <v>807</v>
      </c>
      <c r="I137" s="36">
        <v>29</v>
      </c>
      <c r="J137" s="36" t="s">
        <v>11</v>
      </c>
      <c r="K137" s="32" t="s">
        <v>695</v>
      </c>
      <c r="L137" s="32">
        <v>51.597701999999998</v>
      </c>
      <c r="M137" s="53">
        <v>37.607875800000002</v>
      </c>
      <c r="N137" s="126" t="str">
        <f t="shared" si="6"/>
        <v>222 ГТС на р.Апочка у с.Верхние Апочки</v>
      </c>
      <c r="O137" s="126" t="str">
        <f t="shared" si="7"/>
        <v>Курская область, Советский район, с.Верхние Апочки</v>
      </c>
    </row>
    <row r="138" spans="1:15" ht="60" x14ac:dyDescent="0.2">
      <c r="A138" s="18">
        <v>224</v>
      </c>
      <c r="B138" s="125" t="s">
        <v>1126</v>
      </c>
      <c r="C138" s="36" t="s">
        <v>410</v>
      </c>
      <c r="D138" s="13" t="s">
        <v>1127</v>
      </c>
      <c r="E138" s="13" t="s">
        <v>1170</v>
      </c>
      <c r="F138" s="36" t="s">
        <v>411</v>
      </c>
      <c r="G138" s="36">
        <v>1980</v>
      </c>
      <c r="H138" s="36">
        <v>830</v>
      </c>
      <c r="I138" s="36">
        <v>50</v>
      </c>
      <c r="J138" s="36" t="s">
        <v>127</v>
      </c>
      <c r="K138" s="32" t="s">
        <v>586</v>
      </c>
      <c r="L138" s="32">
        <v>51.643787400000001</v>
      </c>
      <c r="M138" s="53">
        <v>37.680683100000003</v>
      </c>
      <c r="N138" s="126" t="str">
        <f t="shared" si="6"/>
        <v>224 ГТС на бал.Мочаковский Лог у х. Сенное</v>
      </c>
      <c r="O138" s="126" t="str">
        <f t="shared" si="7"/>
        <v>Курская область, Советский район, х. Сенное</v>
      </c>
    </row>
    <row r="139" spans="1:15" ht="120" x14ac:dyDescent="0.2">
      <c r="A139" s="18">
        <v>225</v>
      </c>
      <c r="B139" s="125" t="s">
        <v>1126</v>
      </c>
      <c r="C139" s="13" t="s">
        <v>412</v>
      </c>
      <c r="D139" s="13" t="s">
        <v>1127</v>
      </c>
      <c r="E139" s="13" t="s">
        <v>1170</v>
      </c>
      <c r="F139" s="37" t="s">
        <v>770</v>
      </c>
      <c r="G139" s="13">
        <v>1980</v>
      </c>
      <c r="H139" s="13">
        <v>921</v>
      </c>
      <c r="I139" s="13">
        <v>28</v>
      </c>
      <c r="J139" s="13" t="s">
        <v>127</v>
      </c>
      <c r="K139" s="32" t="s">
        <v>697</v>
      </c>
      <c r="L139" s="32">
        <v>51.7401543</v>
      </c>
      <c r="M139" s="53">
        <v>37.641780900000001</v>
      </c>
      <c r="N139" s="126" t="str">
        <f t="shared" si="6"/>
        <v>225 ГТС на р.Грязная у с. Сельцо Грязное 
(д. Александровка)</v>
      </c>
      <c r="O139" s="126" t="str">
        <f t="shared" si="7"/>
        <v>Курская область, Советский район, с. Сельцо Грязное 
(д. Александровка)</v>
      </c>
    </row>
    <row r="140" spans="1:15" ht="60" x14ac:dyDescent="0.2">
      <c r="A140" s="18">
        <v>226</v>
      </c>
      <c r="B140" s="125" t="s">
        <v>1126</v>
      </c>
      <c r="C140" s="36" t="s">
        <v>413</v>
      </c>
      <c r="D140" s="13" t="s">
        <v>1127</v>
      </c>
      <c r="E140" s="13" t="s">
        <v>1170</v>
      </c>
      <c r="F140" s="36" t="s">
        <v>414</v>
      </c>
      <c r="G140" s="36" t="s">
        <v>27</v>
      </c>
      <c r="H140" s="36" t="s">
        <v>27</v>
      </c>
      <c r="I140" s="36" t="s">
        <v>27</v>
      </c>
      <c r="J140" s="36" t="s">
        <v>117</v>
      </c>
      <c r="K140" s="32" t="s">
        <v>586</v>
      </c>
      <c r="L140" s="32">
        <v>51.687656400000002</v>
      </c>
      <c r="M140" s="53">
        <v>37.581428500000001</v>
      </c>
      <c r="N140" s="126" t="str">
        <f t="shared" si="6"/>
        <v>226 ГТС на р.Городище у с.2-Подгородище</v>
      </c>
      <c r="O140" s="126" t="str">
        <f t="shared" si="7"/>
        <v>Курская область, Советский район, с.2-Подгородище</v>
      </c>
    </row>
    <row r="141" spans="1:15" ht="60" x14ac:dyDescent="0.2">
      <c r="A141" s="18">
        <v>230</v>
      </c>
      <c r="B141" s="125" t="s">
        <v>1126</v>
      </c>
      <c r="C141" s="36" t="s">
        <v>195</v>
      </c>
      <c r="D141" s="13" t="s">
        <v>1127</v>
      </c>
      <c r="E141" s="13" t="s">
        <v>1170</v>
      </c>
      <c r="F141" s="36" t="s">
        <v>421</v>
      </c>
      <c r="G141" s="36" t="s">
        <v>27</v>
      </c>
      <c r="H141" s="36">
        <v>144</v>
      </c>
      <c r="I141" s="36">
        <v>4</v>
      </c>
      <c r="J141" s="36" t="s">
        <v>127</v>
      </c>
      <c r="K141" s="32" t="s">
        <v>586</v>
      </c>
      <c r="L141" s="32">
        <v>51.854934700000001</v>
      </c>
      <c r="M141" s="53">
        <v>37.700950599999999</v>
      </c>
      <c r="N141" s="126" t="str">
        <f t="shared" si="6"/>
        <v>230 ГТС на руч.б/н у с.Волжанец</v>
      </c>
      <c r="O141" s="126" t="str">
        <f t="shared" si="7"/>
        <v>Курская область, Советский район, с.Волжанец</v>
      </c>
    </row>
    <row r="142" spans="1:15" ht="60" x14ac:dyDescent="0.2">
      <c r="A142" s="18">
        <v>232</v>
      </c>
      <c r="B142" s="125" t="s">
        <v>1126</v>
      </c>
      <c r="C142" s="36" t="s">
        <v>423</v>
      </c>
      <c r="D142" s="13" t="s">
        <v>1127</v>
      </c>
      <c r="E142" s="13" t="s">
        <v>1170</v>
      </c>
      <c r="F142" s="36" t="s">
        <v>424</v>
      </c>
      <c r="G142" s="36">
        <v>1976</v>
      </c>
      <c r="H142" s="36">
        <v>386</v>
      </c>
      <c r="I142" s="36">
        <v>20</v>
      </c>
      <c r="J142" s="36" t="s">
        <v>127</v>
      </c>
      <c r="K142" s="32" t="s">
        <v>586</v>
      </c>
      <c r="L142" s="32">
        <v>51.725254100000001</v>
      </c>
      <c r="M142" s="53">
        <v>37.523475599999998</v>
      </c>
      <c r="N142" s="126" t="str">
        <f t="shared" si="6"/>
        <v>232 ГТС на р.Крестище у с.Афанасьевка</v>
      </c>
      <c r="O142" s="126" t="str">
        <f t="shared" si="7"/>
        <v>Курская область, Советский район, с.Афанасьевка</v>
      </c>
    </row>
    <row r="143" spans="1:15" ht="60" x14ac:dyDescent="0.2">
      <c r="A143" s="18">
        <v>234</v>
      </c>
      <c r="B143" s="125" t="s">
        <v>1126</v>
      </c>
      <c r="C143" s="36" t="s">
        <v>426</v>
      </c>
      <c r="D143" s="13" t="s">
        <v>1127</v>
      </c>
      <c r="E143" s="13" t="s">
        <v>1170</v>
      </c>
      <c r="F143" s="36" t="s">
        <v>427</v>
      </c>
      <c r="G143" s="36">
        <v>1972</v>
      </c>
      <c r="H143" s="36">
        <v>220</v>
      </c>
      <c r="I143" s="36">
        <v>10</v>
      </c>
      <c r="J143" s="36" t="s">
        <v>127</v>
      </c>
      <c r="K143" s="32" t="s">
        <v>586</v>
      </c>
      <c r="L143" s="32">
        <v>51.799712</v>
      </c>
      <c r="M143" s="53">
        <v>37.770905999999997</v>
      </c>
      <c r="N143" s="126" t="str">
        <f t="shared" si="6"/>
        <v>234 ГТС на р.Грайворонка у с.Нижняя Грайворонка</v>
      </c>
      <c r="O143" s="126" t="str">
        <f t="shared" si="7"/>
        <v>Курская область, Советский район, с.Нижняя Грайворонка</v>
      </c>
    </row>
    <row r="144" spans="1:15" ht="105" x14ac:dyDescent="0.2">
      <c r="A144" s="160">
        <v>236</v>
      </c>
      <c r="B144" s="125" t="s">
        <v>1126</v>
      </c>
      <c r="C144" s="159" t="s">
        <v>429</v>
      </c>
      <c r="D144" s="13" t="s">
        <v>1127</v>
      </c>
      <c r="E144" s="13" t="s">
        <v>1170</v>
      </c>
      <c r="F144" s="159" t="s">
        <v>430</v>
      </c>
      <c r="G144" s="159" t="s">
        <v>27</v>
      </c>
      <c r="H144" s="159" t="s">
        <v>27</v>
      </c>
      <c r="I144" s="159">
        <v>79</v>
      </c>
      <c r="J144" s="159" t="s">
        <v>9</v>
      </c>
      <c r="K144" s="99" t="s">
        <v>699</v>
      </c>
      <c r="L144" s="99">
        <v>51.837618999999997</v>
      </c>
      <c r="M144" s="100">
        <v>37.698993000000002</v>
      </c>
      <c r="N144" s="126" t="str">
        <f t="shared" si="6"/>
        <v>236 ГТС на р. Кшень 
(плотина  системы Пуаре) у п.Кшень</v>
      </c>
      <c r="O144" s="126" t="str">
        <f t="shared" si="7"/>
        <v>Курская область, Советский район, п.Кшень</v>
      </c>
    </row>
    <row r="145" spans="1:20" ht="60" x14ac:dyDescent="0.2">
      <c r="A145" s="18">
        <v>253</v>
      </c>
      <c r="B145" s="125" t="s">
        <v>1126</v>
      </c>
      <c r="C145" s="13" t="s">
        <v>458</v>
      </c>
      <c r="D145" s="13" t="s">
        <v>1127</v>
      </c>
      <c r="E145" s="13" t="s">
        <v>1171</v>
      </c>
      <c r="F145" s="13" t="s">
        <v>459</v>
      </c>
      <c r="G145" s="13">
        <v>1983</v>
      </c>
      <c r="H145" s="13">
        <v>1820</v>
      </c>
      <c r="I145" s="13">
        <v>76</v>
      </c>
      <c r="J145" s="13" t="s">
        <v>127</v>
      </c>
      <c r="K145" s="32" t="s">
        <v>715</v>
      </c>
      <c r="L145" s="32">
        <v>51.602127099999997</v>
      </c>
      <c r="M145" s="53">
        <v>37.255729700000003</v>
      </c>
      <c r="N145" s="126" t="str">
        <f t="shared" si="6"/>
        <v>253 ГТС на р. Головище у с. Погожее</v>
      </c>
      <c r="O145" s="126" t="str">
        <f t="shared" si="7"/>
        <v>Курская область, Тимский район, с. Погожее</v>
      </c>
    </row>
    <row r="146" spans="1:20" ht="60" x14ac:dyDescent="0.2">
      <c r="A146" s="18">
        <v>254</v>
      </c>
      <c r="B146" s="125" t="s">
        <v>1126</v>
      </c>
      <c r="C146" s="13" t="s">
        <v>458</v>
      </c>
      <c r="D146" s="13" t="s">
        <v>1127</v>
      </c>
      <c r="E146" s="13" t="s">
        <v>1171</v>
      </c>
      <c r="F146" s="13" t="s">
        <v>459</v>
      </c>
      <c r="G146" s="13">
        <v>1955</v>
      </c>
      <c r="H146" s="13">
        <v>760</v>
      </c>
      <c r="I146" s="13">
        <v>32</v>
      </c>
      <c r="J146" s="13" t="s">
        <v>9</v>
      </c>
      <c r="K146" s="32" t="s">
        <v>715</v>
      </c>
      <c r="L146" s="32">
        <v>51.598178900000001</v>
      </c>
      <c r="M146" s="53">
        <v>37.262756299999999</v>
      </c>
      <c r="N146" s="126" t="str">
        <f t="shared" si="6"/>
        <v>254 ГТС на р. Головище у с. Погожее</v>
      </c>
      <c r="O146" s="126" t="str">
        <f t="shared" si="7"/>
        <v>Курская область, Тимский район, с. Погожее</v>
      </c>
    </row>
    <row r="147" spans="1:20" ht="75" x14ac:dyDescent="0.2">
      <c r="A147" s="18">
        <v>258</v>
      </c>
      <c r="B147" s="125" t="s">
        <v>1126</v>
      </c>
      <c r="C147" s="13" t="s">
        <v>629</v>
      </c>
      <c r="D147" s="13" t="s">
        <v>1127</v>
      </c>
      <c r="E147" s="13" t="s">
        <v>1171</v>
      </c>
      <c r="F147" s="13" t="s">
        <v>464</v>
      </c>
      <c r="G147" s="13" t="s">
        <v>27</v>
      </c>
      <c r="H147" s="13">
        <v>330</v>
      </c>
      <c r="I147" s="13">
        <v>30</v>
      </c>
      <c r="J147" s="13" t="s">
        <v>127</v>
      </c>
      <c r="K147" s="32" t="s">
        <v>719</v>
      </c>
      <c r="L147" s="32">
        <v>51.593227400000004</v>
      </c>
      <c r="M147" s="53">
        <v>37.442520100000003</v>
      </c>
      <c r="N147" s="126" t="str">
        <f t="shared" si="6"/>
        <v>258 ГТС на руч.б/н у с.Чернышевка</v>
      </c>
      <c r="O147" s="126" t="str">
        <f t="shared" si="7"/>
        <v>Курская область, Тимский район, с.Чернышевка</v>
      </c>
    </row>
    <row r="148" spans="1:20" x14ac:dyDescent="0.2">
      <c r="A148" s="167"/>
      <c r="B148" s="167"/>
      <c r="C148" s="167"/>
      <c r="D148" s="167"/>
      <c r="E148" s="167"/>
      <c r="F148" s="167"/>
      <c r="G148" s="167"/>
      <c r="H148" s="167"/>
      <c r="I148" s="167"/>
      <c r="J148" s="167"/>
      <c r="K148" s="167"/>
      <c r="L148" s="167"/>
      <c r="M148" s="167"/>
      <c r="N148" s="126" t="str">
        <f t="shared" ref="N148:N200" si="8">CONCATENATE(A148, ,B148,C148,D148,F148)</f>
        <v/>
      </c>
      <c r="O148" s="126" t="str">
        <f t="shared" ref="O148:O200" si="9">CONCATENATE(E148,F148)</f>
        <v/>
      </c>
      <c r="P148" s="167"/>
      <c r="Q148" s="167"/>
      <c r="R148" s="167"/>
      <c r="S148" s="167"/>
    </row>
    <row r="149" spans="1:20" ht="13.5" thickBot="1" x14ac:dyDescent="0.25">
      <c r="A149" s="167"/>
      <c r="B149" s="167"/>
      <c r="C149" s="167"/>
      <c r="D149" s="167"/>
      <c r="E149" s="167"/>
      <c r="F149" s="167"/>
      <c r="G149" s="167"/>
      <c r="H149" s="167"/>
      <c r="I149" s="167"/>
      <c r="J149" s="167"/>
      <c r="K149" s="167"/>
      <c r="L149" s="167"/>
      <c r="M149" s="167"/>
      <c r="N149" s="126" t="str">
        <f t="shared" si="8"/>
        <v/>
      </c>
      <c r="O149" s="126" t="str">
        <f t="shared" si="9"/>
        <v/>
      </c>
      <c r="P149" s="167"/>
      <c r="Q149" s="167"/>
      <c r="R149" s="167"/>
      <c r="S149" s="167"/>
    </row>
    <row r="150" spans="1:20" ht="15" thickBot="1" x14ac:dyDescent="0.25">
      <c r="A150" s="168" t="s">
        <v>402</v>
      </c>
      <c r="B150" s="169"/>
      <c r="C150" s="169"/>
      <c r="D150" s="169"/>
      <c r="E150" s="169"/>
      <c r="F150" s="169"/>
      <c r="G150" s="169"/>
      <c r="H150" s="169"/>
      <c r="I150" s="169"/>
      <c r="J150" s="170"/>
      <c r="K150" s="168"/>
      <c r="L150" s="169"/>
      <c r="M150" s="169"/>
      <c r="N150" s="126" t="str">
        <f t="shared" si="8"/>
        <v>Советский район</v>
      </c>
      <c r="O150" s="126" t="str">
        <f t="shared" si="9"/>
        <v/>
      </c>
      <c r="P150" s="169"/>
      <c r="Q150" s="169"/>
      <c r="R150" s="169"/>
      <c r="S150" s="169"/>
      <c r="T150" s="169"/>
    </row>
    <row r="151" spans="1:20" ht="60" x14ac:dyDescent="0.2">
      <c r="A151" s="18">
        <v>220</v>
      </c>
      <c r="B151" s="125" t="s">
        <v>1126</v>
      </c>
      <c r="C151" s="18" t="s">
        <v>403</v>
      </c>
      <c r="D151" s="13" t="s">
        <v>1127</v>
      </c>
      <c r="E151" s="13" t="s">
        <v>1170</v>
      </c>
      <c r="F151" s="18" t="s">
        <v>404</v>
      </c>
      <c r="G151" s="18">
        <v>1975</v>
      </c>
      <c r="H151" s="18">
        <v>3850</v>
      </c>
      <c r="I151" s="18">
        <v>130</v>
      </c>
      <c r="J151" s="18" t="s">
        <v>127</v>
      </c>
      <c r="K151" s="32" t="s">
        <v>694</v>
      </c>
      <c r="L151" s="32">
        <v>51.737903600000003</v>
      </c>
      <c r="M151" s="53">
        <v>37.421802499999998</v>
      </c>
      <c r="N151" s="126" t="str">
        <f t="shared" si="8"/>
        <v>220 ГТС на р. Кшень у с. Кшень</v>
      </c>
      <c r="O151" s="126" t="str">
        <f t="shared" si="9"/>
        <v>Курская область, Советский район, с. Кшень</v>
      </c>
    </row>
    <row r="152" spans="1:20" ht="60" x14ac:dyDescent="0.2">
      <c r="A152" s="18">
        <v>221</v>
      </c>
      <c r="B152" s="125" t="s">
        <v>1126</v>
      </c>
      <c r="C152" s="36" t="s">
        <v>405</v>
      </c>
      <c r="D152" s="13" t="s">
        <v>1127</v>
      </c>
      <c r="E152" s="13" t="s">
        <v>1170</v>
      </c>
      <c r="F152" s="36" t="s">
        <v>406</v>
      </c>
      <c r="G152" s="36" t="s">
        <v>27</v>
      </c>
      <c r="H152" s="36">
        <v>2310</v>
      </c>
      <c r="I152" s="36">
        <v>96</v>
      </c>
      <c r="J152" s="36" t="s">
        <v>127</v>
      </c>
      <c r="K152" s="32" t="s">
        <v>586</v>
      </c>
      <c r="L152" s="32">
        <v>51.933414499999998</v>
      </c>
      <c r="M152" s="53">
        <v>37.661327399999998</v>
      </c>
      <c r="N152" s="126" t="str">
        <f t="shared" si="8"/>
        <v>221 ГТС на р. Расховец у с.Нижнее Гурово</v>
      </c>
      <c r="O152" s="126" t="str">
        <f t="shared" si="9"/>
        <v>Курская область, Советский район, с.Нижнее Гурово</v>
      </c>
    </row>
    <row r="153" spans="1:20" ht="75" x14ac:dyDescent="0.2">
      <c r="A153" s="18">
        <v>223</v>
      </c>
      <c r="B153" s="125" t="s">
        <v>1126</v>
      </c>
      <c r="C153" s="36" t="s">
        <v>408</v>
      </c>
      <c r="D153" s="13" t="s">
        <v>1127</v>
      </c>
      <c r="E153" s="13" t="s">
        <v>1170</v>
      </c>
      <c r="F153" s="36" t="s">
        <v>409</v>
      </c>
      <c r="G153" s="36">
        <v>1972</v>
      </c>
      <c r="H153" s="36">
        <v>600</v>
      </c>
      <c r="I153" s="36">
        <v>50</v>
      </c>
      <c r="J153" s="36" t="s">
        <v>20</v>
      </c>
      <c r="K153" s="32" t="s">
        <v>696</v>
      </c>
      <c r="L153" s="32">
        <v>51.76437</v>
      </c>
      <c r="M153" s="53">
        <v>37.466693900000003</v>
      </c>
      <c r="N153" s="126" t="str">
        <f t="shared" si="8"/>
        <v>223 ГТС на р.Кшень у д. Пожидаевка</v>
      </c>
      <c r="O153" s="126" t="str">
        <f t="shared" si="9"/>
        <v>Курская область, Советский район, д. Пожидаевка</v>
      </c>
    </row>
    <row r="154" spans="1:20" ht="60" x14ac:dyDescent="0.2">
      <c r="A154" s="18">
        <v>227</v>
      </c>
      <c r="B154" s="125" t="s">
        <v>1126</v>
      </c>
      <c r="C154" s="36" t="s">
        <v>415</v>
      </c>
      <c r="D154" s="13" t="s">
        <v>1127</v>
      </c>
      <c r="E154" s="13" t="s">
        <v>1170</v>
      </c>
      <c r="F154" s="36" t="s">
        <v>416</v>
      </c>
      <c r="G154" s="36">
        <v>1980</v>
      </c>
      <c r="H154" s="36">
        <v>684</v>
      </c>
      <c r="I154" s="36">
        <v>21</v>
      </c>
      <c r="J154" s="36" t="s">
        <v>127</v>
      </c>
      <c r="K154" s="32" t="s">
        <v>586</v>
      </c>
      <c r="L154" s="32">
        <v>51.966720600000002</v>
      </c>
      <c r="M154" s="53">
        <v>37.565193200000003</v>
      </c>
      <c r="N154" s="126" t="str">
        <f t="shared" si="8"/>
        <v>227 ГТС на бал.Гремячий Колодезь у с.Верхнее Гурово</v>
      </c>
      <c r="O154" s="126" t="str">
        <f t="shared" si="9"/>
        <v>Курская область, Советский район, с.Верхнее Гурово</v>
      </c>
    </row>
    <row r="155" spans="1:20" ht="75" x14ac:dyDescent="0.2">
      <c r="A155" s="18">
        <v>228</v>
      </c>
      <c r="B155" s="125" t="s">
        <v>1126</v>
      </c>
      <c r="C155" s="13" t="s">
        <v>417</v>
      </c>
      <c r="D155" s="13" t="s">
        <v>1127</v>
      </c>
      <c r="E155" s="13" t="s">
        <v>1170</v>
      </c>
      <c r="F155" s="13" t="s">
        <v>418</v>
      </c>
      <c r="G155" s="13">
        <v>1973</v>
      </c>
      <c r="H155" s="13">
        <v>100</v>
      </c>
      <c r="I155" s="13">
        <v>10</v>
      </c>
      <c r="J155" s="13" t="s">
        <v>20</v>
      </c>
      <c r="K155" s="32" t="s">
        <v>696</v>
      </c>
      <c r="L155" s="32">
        <v>51.7489548</v>
      </c>
      <c r="M155" s="53">
        <v>37.367111199999997</v>
      </c>
      <c r="N155" s="126" t="str">
        <f t="shared" si="8"/>
        <v>228 ГТС на руч.Синее Озеро у с.Панское</v>
      </c>
      <c r="O155" s="126" t="str">
        <f t="shared" si="9"/>
        <v>Курская область, Советский район, с.Панское</v>
      </c>
    </row>
    <row r="156" spans="1:20" ht="105" x14ac:dyDescent="0.2">
      <c r="A156" s="18">
        <v>229</v>
      </c>
      <c r="B156" s="125" t="s">
        <v>1126</v>
      </c>
      <c r="C156" s="36" t="s">
        <v>419</v>
      </c>
      <c r="D156" s="13" t="s">
        <v>1127</v>
      </c>
      <c r="E156" s="13" t="s">
        <v>1170</v>
      </c>
      <c r="F156" s="36" t="s">
        <v>420</v>
      </c>
      <c r="G156" s="36" t="s">
        <v>27</v>
      </c>
      <c r="H156" s="36">
        <v>130</v>
      </c>
      <c r="I156" s="36">
        <v>10</v>
      </c>
      <c r="J156" s="36" t="s">
        <v>20</v>
      </c>
      <c r="K156" s="32" t="s">
        <v>698</v>
      </c>
      <c r="L156" s="32">
        <v>51.879795100000003</v>
      </c>
      <c r="M156" s="53">
        <v>37.670566600000001</v>
      </c>
      <c r="N156" s="126" t="str">
        <f t="shared" si="8"/>
        <v>229 ГТС на бал. Мелихов Лог
(Водопадный Колодезь) у с.Мелихово</v>
      </c>
      <c r="O156" s="126" t="str">
        <f t="shared" si="9"/>
        <v>Курская область, Советский район, с.Мелихово</v>
      </c>
    </row>
    <row r="157" spans="1:20" ht="75" x14ac:dyDescent="0.2">
      <c r="A157" s="18">
        <v>231</v>
      </c>
      <c r="B157" s="125" t="s">
        <v>1126</v>
      </c>
      <c r="C157" s="36" t="s">
        <v>195</v>
      </c>
      <c r="D157" s="13" t="s">
        <v>1127</v>
      </c>
      <c r="E157" s="13" t="s">
        <v>1170</v>
      </c>
      <c r="F157" s="36" t="s">
        <v>422</v>
      </c>
      <c r="G157" s="36">
        <v>1974</v>
      </c>
      <c r="H157" s="36">
        <v>475</v>
      </c>
      <c r="I157" s="36">
        <v>15</v>
      </c>
      <c r="J157" s="36" t="s">
        <v>127</v>
      </c>
      <c r="K157" s="32" t="s">
        <v>698</v>
      </c>
      <c r="L157" s="32">
        <v>51.888542200000003</v>
      </c>
      <c r="M157" s="53">
        <v>37.695053100000003</v>
      </c>
      <c r="N157" s="126" t="str">
        <f t="shared" si="8"/>
        <v>231 ГТС на руч.б/н у с.Шишкино</v>
      </c>
      <c r="O157" s="126" t="str">
        <f t="shared" si="9"/>
        <v>Курская область, Советский район, с.Шишкино</v>
      </c>
    </row>
    <row r="158" spans="1:20" ht="60" x14ac:dyDescent="0.2">
      <c r="A158" s="18">
        <v>233</v>
      </c>
      <c r="B158" s="125" t="s">
        <v>1126</v>
      </c>
      <c r="C158" s="36" t="s">
        <v>408</v>
      </c>
      <c r="D158" s="13" t="s">
        <v>1127</v>
      </c>
      <c r="E158" s="13" t="s">
        <v>1170</v>
      </c>
      <c r="F158" s="36" t="s">
        <v>425</v>
      </c>
      <c r="G158" s="36">
        <v>1970</v>
      </c>
      <c r="H158" s="36">
        <v>259</v>
      </c>
      <c r="I158" s="36">
        <v>26</v>
      </c>
      <c r="J158" s="36" t="s">
        <v>17</v>
      </c>
      <c r="K158" s="32" t="s">
        <v>694</v>
      </c>
      <c r="L158" s="32">
        <v>51.718178999999999</v>
      </c>
      <c r="M158" s="53">
        <v>37.406159000000002</v>
      </c>
      <c r="N158" s="126" t="str">
        <f t="shared" si="8"/>
        <v>233 ГТС на р.Кшень у п.Кшень (верховина)</v>
      </c>
      <c r="O158" s="126" t="str">
        <f t="shared" si="9"/>
        <v>Курская область, Советский район, п.Кшень (верховина)</v>
      </c>
    </row>
    <row r="159" spans="1:20" ht="75" x14ac:dyDescent="0.2">
      <c r="A159" s="18">
        <v>235</v>
      </c>
      <c r="B159" s="125" t="s">
        <v>1126</v>
      </c>
      <c r="C159" s="13" t="s">
        <v>403</v>
      </c>
      <c r="D159" s="13" t="s">
        <v>1127</v>
      </c>
      <c r="E159" s="13" t="s">
        <v>1170</v>
      </c>
      <c r="F159" s="13" t="s">
        <v>428</v>
      </c>
      <c r="G159" s="13">
        <v>1972</v>
      </c>
      <c r="H159" s="13">
        <v>600</v>
      </c>
      <c r="I159" s="13">
        <v>50</v>
      </c>
      <c r="J159" s="13" t="s">
        <v>20</v>
      </c>
      <c r="K159" s="32" t="s">
        <v>696</v>
      </c>
      <c r="L159" s="32">
        <v>51.789282999999998</v>
      </c>
      <c r="M159" s="53">
        <v>37.530217</v>
      </c>
      <c r="N159" s="126" t="str">
        <f t="shared" si="8"/>
        <v>235 ГТС на р. Кшень у с. Раково</v>
      </c>
      <c r="O159" s="126" t="str">
        <f t="shared" si="9"/>
        <v>Курская область, Советский район, с. Раково</v>
      </c>
    </row>
    <row r="160" spans="1:20" ht="75" x14ac:dyDescent="0.2">
      <c r="A160" s="18">
        <v>252</v>
      </c>
      <c r="B160" s="125" t="s">
        <v>1126</v>
      </c>
      <c r="C160" s="18" t="s">
        <v>456</v>
      </c>
      <c r="D160" s="13" t="s">
        <v>1127</v>
      </c>
      <c r="E160" s="13" t="s">
        <v>1171</v>
      </c>
      <c r="F160" s="18" t="s">
        <v>457</v>
      </c>
      <c r="G160" s="18">
        <v>1980</v>
      </c>
      <c r="H160" s="18">
        <v>1281</v>
      </c>
      <c r="I160" s="18">
        <v>56</v>
      </c>
      <c r="J160" s="18" t="s">
        <v>9</v>
      </c>
      <c r="K160" s="32" t="s">
        <v>714</v>
      </c>
      <c r="L160" s="32">
        <v>51.6795349</v>
      </c>
      <c r="M160" s="53">
        <v>37.014575999999998</v>
      </c>
      <c r="N160" s="126" t="str">
        <f t="shared" si="8"/>
        <v>252 ГТС на р.Гнилуша у с. Гнилое</v>
      </c>
      <c r="O160" s="126" t="str">
        <f t="shared" si="9"/>
        <v>Курская область, Тимский район, с. Гнилое</v>
      </c>
    </row>
    <row r="161" spans="1:15" ht="60" x14ac:dyDescent="0.2">
      <c r="A161" s="18">
        <v>255</v>
      </c>
      <c r="B161" s="125" t="s">
        <v>1126</v>
      </c>
      <c r="C161" s="13" t="s">
        <v>460</v>
      </c>
      <c r="D161" s="13" t="s">
        <v>1127</v>
      </c>
      <c r="E161" s="13" t="s">
        <v>1171</v>
      </c>
      <c r="F161" s="13" t="s">
        <v>461</v>
      </c>
      <c r="G161" s="13">
        <v>1988</v>
      </c>
      <c r="H161" s="13">
        <v>1200</v>
      </c>
      <c r="I161" s="13">
        <v>45</v>
      </c>
      <c r="J161" s="13" t="s">
        <v>127</v>
      </c>
      <c r="K161" s="32" t="s">
        <v>716</v>
      </c>
      <c r="L161" s="32">
        <v>51.666519200000003</v>
      </c>
      <c r="M161" s="53">
        <v>37.171073900000003</v>
      </c>
      <c r="N161" s="126" t="str">
        <f t="shared" si="8"/>
        <v>255 ГТС на руч.Коровинка у с.Введенка</v>
      </c>
      <c r="O161" s="126" t="str">
        <f t="shared" si="9"/>
        <v>Курская область, Тимский район, с.Введенка</v>
      </c>
    </row>
    <row r="162" spans="1:15" ht="60" x14ac:dyDescent="0.2">
      <c r="A162" s="18">
        <v>256</v>
      </c>
      <c r="B162" s="125" t="s">
        <v>1126</v>
      </c>
      <c r="C162" s="13" t="s">
        <v>101</v>
      </c>
      <c r="D162" s="13" t="s">
        <v>1127</v>
      </c>
      <c r="E162" s="13" t="s">
        <v>1171</v>
      </c>
      <c r="F162" s="13" t="s">
        <v>462</v>
      </c>
      <c r="G162" s="13">
        <v>1995</v>
      </c>
      <c r="H162" s="13">
        <v>538</v>
      </c>
      <c r="I162" s="13">
        <v>20</v>
      </c>
      <c r="J162" s="13" t="s">
        <v>11</v>
      </c>
      <c r="K162" s="32" t="s">
        <v>717</v>
      </c>
      <c r="L162" s="32">
        <v>51.695076</v>
      </c>
      <c r="M162" s="53">
        <v>37.208324400000002</v>
      </c>
      <c r="N162" s="126" t="str">
        <f t="shared" si="8"/>
        <v>256 ГТС на руч. Ржавец у д.Луневка</v>
      </c>
      <c r="O162" s="126" t="str">
        <f t="shared" si="9"/>
        <v>Курская область, Тимский район, д.Луневка</v>
      </c>
    </row>
    <row r="163" spans="1:15" ht="75" x14ac:dyDescent="0.2">
      <c r="A163" s="18">
        <v>257</v>
      </c>
      <c r="B163" s="125" t="s">
        <v>1126</v>
      </c>
      <c r="C163" s="13" t="s">
        <v>195</v>
      </c>
      <c r="D163" s="13" t="s">
        <v>1127</v>
      </c>
      <c r="E163" s="13" t="s">
        <v>1171</v>
      </c>
      <c r="F163" s="13" t="s">
        <v>463</v>
      </c>
      <c r="G163" s="13" t="s">
        <v>27</v>
      </c>
      <c r="H163" s="13">
        <v>250</v>
      </c>
      <c r="I163" s="13">
        <v>20</v>
      </c>
      <c r="J163" s="13" t="s">
        <v>9</v>
      </c>
      <c r="K163" s="32" t="s">
        <v>718</v>
      </c>
      <c r="L163" s="32">
        <v>51.681594799999999</v>
      </c>
      <c r="M163" s="53">
        <v>37.150344799999999</v>
      </c>
      <c r="N163" s="126" t="str">
        <f t="shared" si="8"/>
        <v>257 ГТС на руч.б/н у с.Щиголевка</v>
      </c>
      <c r="O163" s="126" t="str">
        <f t="shared" si="9"/>
        <v>Курская область, Тимский район, с.Щиголевка</v>
      </c>
    </row>
    <row r="164" spans="1:15" ht="60" x14ac:dyDescent="0.2">
      <c r="A164" s="18">
        <v>259</v>
      </c>
      <c r="B164" s="125" t="s">
        <v>1126</v>
      </c>
      <c r="C164" s="13" t="s">
        <v>456</v>
      </c>
      <c r="D164" s="13" t="s">
        <v>1127</v>
      </c>
      <c r="E164" s="13" t="s">
        <v>1171</v>
      </c>
      <c r="F164" s="13" t="s">
        <v>465</v>
      </c>
      <c r="G164" s="13">
        <v>1971</v>
      </c>
      <c r="H164" s="13">
        <v>180</v>
      </c>
      <c r="I164" s="13">
        <v>13</v>
      </c>
      <c r="J164" s="13" t="s">
        <v>127</v>
      </c>
      <c r="K164" s="32" t="s">
        <v>720</v>
      </c>
      <c r="L164" s="32">
        <v>51.689495100000002</v>
      </c>
      <c r="M164" s="53">
        <v>36.991722099999997</v>
      </c>
      <c r="N164" s="126" t="str">
        <f t="shared" si="8"/>
        <v>259 ГТС на р.Гнилуша у п.Красный Октябрь</v>
      </c>
      <c r="O164" s="126" t="str">
        <f t="shared" si="9"/>
        <v>Курская область, Тимский район, п.Красный Октябрь</v>
      </c>
    </row>
    <row r="165" spans="1:15" ht="60" x14ac:dyDescent="0.2">
      <c r="A165" s="18">
        <v>260</v>
      </c>
      <c r="B165" s="125" t="s">
        <v>1126</v>
      </c>
      <c r="C165" s="13" t="s">
        <v>466</v>
      </c>
      <c r="D165" s="13" t="s">
        <v>1127</v>
      </c>
      <c r="E165" s="13" t="s">
        <v>1171</v>
      </c>
      <c r="F165" s="13" t="s">
        <v>467</v>
      </c>
      <c r="G165" s="13" t="s">
        <v>27</v>
      </c>
      <c r="H165" s="13">
        <v>370</v>
      </c>
      <c r="I165" s="13">
        <v>40</v>
      </c>
      <c r="J165" s="13" t="s">
        <v>127</v>
      </c>
      <c r="K165" s="32" t="s">
        <v>721</v>
      </c>
      <c r="L165" s="32">
        <v>51.726547199999999</v>
      </c>
      <c r="M165" s="53">
        <v>37.1611786</v>
      </c>
      <c r="N165" s="126" t="str">
        <f t="shared" si="8"/>
        <v>260 ГТС на руч.Леженьки у с.Успенка</v>
      </c>
      <c r="O165" s="126" t="str">
        <f t="shared" si="9"/>
        <v>Курская область, Тимский район, с.Успенка</v>
      </c>
    </row>
    <row r="166" spans="1:15" ht="75" x14ac:dyDescent="0.2">
      <c r="A166" s="18">
        <v>261</v>
      </c>
      <c r="B166" s="125" t="s">
        <v>1126</v>
      </c>
      <c r="C166" s="14" t="s">
        <v>468</v>
      </c>
      <c r="D166" s="13" t="s">
        <v>1127</v>
      </c>
      <c r="E166" s="13" t="s">
        <v>1171</v>
      </c>
      <c r="F166" s="14" t="s">
        <v>469</v>
      </c>
      <c r="G166" s="14" t="s">
        <v>27</v>
      </c>
      <c r="H166" s="14" t="s">
        <v>27</v>
      </c>
      <c r="I166" s="14" t="s">
        <v>27</v>
      </c>
      <c r="J166" s="14" t="s">
        <v>127</v>
      </c>
      <c r="K166" s="38" t="s">
        <v>722</v>
      </c>
      <c r="L166" s="38">
        <v>51.692184400000002</v>
      </c>
      <c r="M166" s="55">
        <v>37.427429199999999</v>
      </c>
      <c r="N166" s="126" t="str">
        <f t="shared" si="8"/>
        <v>261 ГТС на руч. Верхняя Кшень у с. Рогозецкий Колодезь</v>
      </c>
      <c r="O166" s="126" t="str">
        <f t="shared" si="9"/>
        <v>Курская область, Тимский район, с. Рогозецкий Колодезь</v>
      </c>
    </row>
    <row r="167" spans="1:15" ht="90" x14ac:dyDescent="0.2">
      <c r="A167" s="18">
        <v>275</v>
      </c>
      <c r="B167" s="125" t="s">
        <v>1126</v>
      </c>
      <c r="C167" s="18" t="s">
        <v>495</v>
      </c>
      <c r="D167" s="13" t="s">
        <v>1127</v>
      </c>
      <c r="E167" s="13" t="s">
        <v>1172</v>
      </c>
      <c r="F167" s="18" t="s">
        <v>496</v>
      </c>
      <c r="G167" s="18">
        <v>1975</v>
      </c>
      <c r="H167" s="18">
        <v>560</v>
      </c>
      <c r="I167" s="18">
        <v>14</v>
      </c>
      <c r="J167" s="18" t="s">
        <v>9</v>
      </c>
      <c r="K167" s="33" t="s">
        <v>736</v>
      </c>
      <c r="L167" s="33">
        <v>52.046955099999998</v>
      </c>
      <c r="M167" s="61">
        <v>37.006298100000002</v>
      </c>
      <c r="N167" s="126" t="str">
        <f t="shared" si="8"/>
        <v>275 ГТС на руч. Свистун у с. Новая Даниловка</v>
      </c>
      <c r="O167" s="126" t="str">
        <f t="shared" si="9"/>
        <v>Курская область, Черемисиновский район, с. Новая Даниловка</v>
      </c>
    </row>
    <row r="168" spans="1:15" ht="75" x14ac:dyDescent="0.2">
      <c r="A168" s="166">
        <v>276</v>
      </c>
      <c r="B168" s="125" t="s">
        <v>1126</v>
      </c>
      <c r="C168" s="86" t="s">
        <v>497</v>
      </c>
      <c r="D168" s="13" t="s">
        <v>1127</v>
      </c>
      <c r="E168" s="13" t="s">
        <v>1172</v>
      </c>
      <c r="F168" s="86" t="s">
        <v>498</v>
      </c>
      <c r="G168" s="86">
        <v>1977</v>
      </c>
      <c r="H168" s="86">
        <v>860</v>
      </c>
      <c r="I168" s="86">
        <v>24</v>
      </c>
      <c r="J168" s="86" t="s">
        <v>9</v>
      </c>
      <c r="K168" s="92" t="s">
        <v>737</v>
      </c>
      <c r="L168" s="92">
        <v>51.910110500000002</v>
      </c>
      <c r="M168" s="93">
        <v>37.227356</v>
      </c>
      <c r="N168" s="126" t="str">
        <f t="shared" si="8"/>
        <v>276 ГТС на руч. Савинец у с. Петрово-Хутарь</v>
      </c>
      <c r="O168" s="126" t="str">
        <f t="shared" si="9"/>
        <v>Курская область, Черемисиновский район, с. Петрово-Хутарь</v>
      </c>
    </row>
    <row r="169" spans="1:15" ht="90" x14ac:dyDescent="0.2">
      <c r="A169" s="166">
        <v>277</v>
      </c>
      <c r="B169" s="125" t="s">
        <v>1126</v>
      </c>
      <c r="C169" s="86" t="s">
        <v>499</v>
      </c>
      <c r="D169" s="13" t="s">
        <v>1127</v>
      </c>
      <c r="E169" s="13" t="s">
        <v>1172</v>
      </c>
      <c r="F169" s="86" t="s">
        <v>500</v>
      </c>
      <c r="G169" s="86" t="s">
        <v>27</v>
      </c>
      <c r="H169" s="86">
        <v>375</v>
      </c>
      <c r="I169" s="86">
        <v>12</v>
      </c>
      <c r="J169" s="86" t="s">
        <v>9</v>
      </c>
      <c r="K169" s="92" t="s">
        <v>736</v>
      </c>
      <c r="L169" s="92">
        <v>51.784295</v>
      </c>
      <c r="M169" s="93">
        <v>37.224595999999998</v>
      </c>
      <c r="N169" s="126" t="str">
        <f t="shared" si="8"/>
        <v>277 ГТС на р.Толстая у д. Чубаровка</v>
      </c>
      <c r="O169" s="126" t="str">
        <f t="shared" si="9"/>
        <v>Курская область, Черемисиновский район, д. Чубаровка</v>
      </c>
    </row>
    <row r="170" spans="1:15" ht="90" x14ac:dyDescent="0.2">
      <c r="A170" s="18">
        <v>278</v>
      </c>
      <c r="B170" s="125" t="s">
        <v>1126</v>
      </c>
      <c r="C170" s="13" t="s">
        <v>501</v>
      </c>
      <c r="D170" s="13" t="s">
        <v>1127</v>
      </c>
      <c r="E170" s="13" t="s">
        <v>1172</v>
      </c>
      <c r="F170" s="13" t="s">
        <v>216</v>
      </c>
      <c r="G170" s="13" t="s">
        <v>27</v>
      </c>
      <c r="H170" s="13">
        <v>140</v>
      </c>
      <c r="I170" s="13">
        <v>11</v>
      </c>
      <c r="J170" s="13" t="s">
        <v>9</v>
      </c>
      <c r="K170" s="33" t="s">
        <v>736</v>
      </c>
      <c r="L170" s="33">
        <v>51.838077499999997</v>
      </c>
      <c r="M170" s="61">
        <v>37.149745899999999</v>
      </c>
      <c r="N170" s="126" t="str">
        <f t="shared" si="8"/>
        <v>278 ГТС на р.Толстый Колодезь у с.Михайловка</v>
      </c>
      <c r="O170" s="126" t="str">
        <f t="shared" si="9"/>
        <v>Курская область, Черемисиновский район, с.Михайловка</v>
      </c>
    </row>
    <row r="171" spans="1:15" ht="90" x14ac:dyDescent="0.2">
      <c r="A171" s="18">
        <v>279</v>
      </c>
      <c r="B171" s="125" t="s">
        <v>1126</v>
      </c>
      <c r="C171" s="13" t="s">
        <v>501</v>
      </c>
      <c r="D171" s="13" t="s">
        <v>1127</v>
      </c>
      <c r="E171" s="13" t="s">
        <v>1172</v>
      </c>
      <c r="F171" s="13" t="s">
        <v>502</v>
      </c>
      <c r="G171" s="13" t="s">
        <v>27</v>
      </c>
      <c r="H171" s="13">
        <v>120</v>
      </c>
      <c r="I171" s="13">
        <v>10</v>
      </c>
      <c r="J171" s="13" t="s">
        <v>9</v>
      </c>
      <c r="K171" s="33" t="s">
        <v>736</v>
      </c>
      <c r="L171" s="33">
        <v>51.844303099999998</v>
      </c>
      <c r="M171" s="61">
        <v>37.2025948</v>
      </c>
      <c r="N171" s="126" t="str">
        <f t="shared" si="8"/>
        <v>279 ГТС на р.Толстый Колодезь у с. 2-я Знаменка</v>
      </c>
      <c r="O171" s="126" t="str">
        <f t="shared" si="9"/>
        <v>Курская область, Черемисиновский район, с. 2-я Знаменка</v>
      </c>
    </row>
    <row r="172" spans="1:15" ht="90" x14ac:dyDescent="0.2">
      <c r="A172" s="18">
        <v>280</v>
      </c>
      <c r="B172" s="125" t="s">
        <v>1126</v>
      </c>
      <c r="C172" s="13" t="s">
        <v>503</v>
      </c>
      <c r="D172" s="13" t="s">
        <v>1127</v>
      </c>
      <c r="E172" s="13" t="s">
        <v>1172</v>
      </c>
      <c r="F172" s="13" t="s">
        <v>504</v>
      </c>
      <c r="G172" s="13">
        <v>1981</v>
      </c>
      <c r="H172" s="13">
        <v>350</v>
      </c>
      <c r="I172" s="13">
        <v>23</v>
      </c>
      <c r="J172" s="13" t="s">
        <v>9</v>
      </c>
      <c r="K172" s="33" t="s">
        <v>736</v>
      </c>
      <c r="L172" s="33">
        <v>51.997520399999999</v>
      </c>
      <c r="M172" s="61">
        <v>37.013763400000002</v>
      </c>
      <c r="N172" s="126" t="str">
        <f t="shared" si="8"/>
        <v>280 ГТС на руч.Ольховатец у с.Нижнеольхо-ватое</v>
      </c>
      <c r="O172" s="126" t="str">
        <f t="shared" si="9"/>
        <v>Курская область, Черемисиновский район, с.Нижнеольхо-ватое</v>
      </c>
    </row>
    <row r="173" spans="1:15" ht="90" x14ac:dyDescent="0.2">
      <c r="A173" s="165">
        <v>281</v>
      </c>
      <c r="B173" s="125" t="s">
        <v>1126</v>
      </c>
      <c r="C173" s="164" t="s">
        <v>505</v>
      </c>
      <c r="D173" s="13" t="s">
        <v>1127</v>
      </c>
      <c r="E173" s="13" t="s">
        <v>1172</v>
      </c>
      <c r="F173" s="164" t="s">
        <v>506</v>
      </c>
      <c r="G173" s="164" t="s">
        <v>27</v>
      </c>
      <c r="H173" s="164">
        <v>240</v>
      </c>
      <c r="I173" s="164">
        <v>8</v>
      </c>
      <c r="J173" s="164" t="s">
        <v>9</v>
      </c>
      <c r="K173" s="99" t="s">
        <v>736</v>
      </c>
      <c r="L173" s="99">
        <v>51.907224999999997</v>
      </c>
      <c r="M173" s="100">
        <v>37.270422000000003</v>
      </c>
      <c r="N173" s="126" t="str">
        <f t="shared" si="8"/>
        <v>281 ГТС на бал.Крутой Верх у д.Хмелевская</v>
      </c>
      <c r="O173" s="126" t="str">
        <f t="shared" si="9"/>
        <v>Курская область, Черемисиновский район, д.Хмелевская</v>
      </c>
    </row>
    <row r="174" spans="1:15" ht="75" x14ac:dyDescent="0.2">
      <c r="A174" s="18">
        <v>282</v>
      </c>
      <c r="B174" s="125" t="s">
        <v>1126</v>
      </c>
      <c r="C174" s="13" t="s">
        <v>508</v>
      </c>
      <c r="D174" s="13" t="s">
        <v>1127</v>
      </c>
      <c r="E174" s="13" t="s">
        <v>1173</v>
      </c>
      <c r="F174" s="13" t="s">
        <v>509</v>
      </c>
      <c r="G174" s="13">
        <v>1984</v>
      </c>
      <c r="H174" s="13">
        <v>1720</v>
      </c>
      <c r="I174" s="13">
        <v>49</v>
      </c>
      <c r="J174" s="13" t="s">
        <v>127</v>
      </c>
      <c r="K174" s="32" t="s">
        <v>742</v>
      </c>
      <c r="L174" s="32">
        <v>52.086917900000003</v>
      </c>
      <c r="M174" s="53">
        <v>36.872714999999999</v>
      </c>
      <c r="N174" s="126" t="str">
        <f t="shared" si="8"/>
        <v>282 ГТС на р. Косоржа у с.Большой Змеинец</v>
      </c>
      <c r="O174" s="126" t="str">
        <f t="shared" si="9"/>
        <v>Курская область, Щигровский район, с.Большой Змеинец</v>
      </c>
    </row>
    <row r="175" spans="1:15" ht="75" x14ac:dyDescent="0.2">
      <c r="A175" s="18">
        <v>283</v>
      </c>
      <c r="B175" s="125" t="s">
        <v>1126</v>
      </c>
      <c r="C175" s="13" t="s">
        <v>508</v>
      </c>
      <c r="D175" s="13" t="s">
        <v>1127</v>
      </c>
      <c r="E175" s="13" t="s">
        <v>1173</v>
      </c>
      <c r="F175" s="13" t="s">
        <v>510</v>
      </c>
      <c r="G175" s="13" t="s">
        <v>27</v>
      </c>
      <c r="H175" s="13" t="s">
        <v>27</v>
      </c>
      <c r="I175" s="13" t="s">
        <v>27</v>
      </c>
      <c r="J175" s="13" t="s">
        <v>117</v>
      </c>
      <c r="K175" s="32" t="s">
        <v>743</v>
      </c>
      <c r="L175" s="32">
        <v>52.102527600000002</v>
      </c>
      <c r="M175" s="53">
        <v>36.765953099999997</v>
      </c>
      <c r="N175" s="126" t="str">
        <f t="shared" si="8"/>
        <v>283 ГТС на р. Косоржа у д.Косоржа (Быковка)</v>
      </c>
      <c r="O175" s="126" t="str">
        <f t="shared" si="9"/>
        <v>Курская область, Щигровский район, д.Косоржа (Быковка)</v>
      </c>
    </row>
    <row r="176" spans="1:15" ht="75" x14ac:dyDescent="0.2">
      <c r="A176" s="18">
        <v>284</v>
      </c>
      <c r="B176" s="125" t="s">
        <v>1126</v>
      </c>
      <c r="C176" s="13" t="s">
        <v>511</v>
      </c>
      <c r="D176" s="13" t="s">
        <v>1127</v>
      </c>
      <c r="E176" s="13" t="s">
        <v>1173</v>
      </c>
      <c r="F176" s="13" t="s">
        <v>512</v>
      </c>
      <c r="G176" s="13" t="s">
        <v>27</v>
      </c>
      <c r="H176" s="13" t="s">
        <v>27</v>
      </c>
      <c r="I176" s="13" t="s">
        <v>27</v>
      </c>
      <c r="J176" s="13" t="s">
        <v>117</v>
      </c>
      <c r="K176" s="32" t="s">
        <v>586</v>
      </c>
      <c r="L176" s="32">
        <v>52.139667500000002</v>
      </c>
      <c r="M176" s="53">
        <v>36.772846199999996</v>
      </c>
      <c r="N176" s="126" t="str">
        <f t="shared" si="8"/>
        <v>284 ГТС на р.Нетрубеж у д.Пересуха</v>
      </c>
      <c r="O176" s="126" t="str">
        <f t="shared" si="9"/>
        <v>Курская область, Щигровский район, д.Пересуха</v>
      </c>
    </row>
    <row r="177" spans="1:15" ht="90" x14ac:dyDescent="0.2">
      <c r="A177" s="18">
        <v>285</v>
      </c>
      <c r="B177" s="125" t="s">
        <v>1126</v>
      </c>
      <c r="C177" s="13" t="s">
        <v>513</v>
      </c>
      <c r="D177" s="13" t="s">
        <v>1127</v>
      </c>
      <c r="E177" s="13" t="s">
        <v>1173</v>
      </c>
      <c r="F177" s="13" t="s">
        <v>514</v>
      </c>
      <c r="G177" s="13">
        <v>1977</v>
      </c>
      <c r="H177" s="13">
        <v>1830</v>
      </c>
      <c r="I177" s="13">
        <v>67</v>
      </c>
      <c r="J177" s="13" t="s">
        <v>515</v>
      </c>
      <c r="K177" s="32" t="s">
        <v>744</v>
      </c>
      <c r="L177" s="32">
        <v>52.037494700000003</v>
      </c>
      <c r="M177" s="53">
        <v>36.713508599999997</v>
      </c>
      <c r="N177" s="126" t="str">
        <f t="shared" si="8"/>
        <v>285 ГТС на р. Теребуж у д.Сербинка 
(с. Нижний Теребуж)</v>
      </c>
      <c r="O177" s="126" t="str">
        <f t="shared" si="9"/>
        <v>Курская область, Щигровский район, д.Сербинка 
(с. Нижний Теребуж)</v>
      </c>
    </row>
    <row r="178" spans="1:15" ht="75" x14ac:dyDescent="0.2">
      <c r="A178" s="110">
        <v>286</v>
      </c>
      <c r="B178" s="125" t="s">
        <v>1126</v>
      </c>
      <c r="C178" s="36" t="s">
        <v>224</v>
      </c>
      <c r="D178" s="13" t="s">
        <v>1127</v>
      </c>
      <c r="E178" s="13" t="s">
        <v>1173</v>
      </c>
      <c r="F178" s="36" t="s">
        <v>516</v>
      </c>
      <c r="G178" s="36">
        <v>1983</v>
      </c>
      <c r="H178" s="36">
        <v>1750</v>
      </c>
      <c r="I178" s="36">
        <v>44</v>
      </c>
      <c r="J178" s="36" t="s">
        <v>9</v>
      </c>
      <c r="K178" s="33" t="s">
        <v>586</v>
      </c>
      <c r="L178" s="32">
        <v>51.952697800000003</v>
      </c>
      <c r="M178" s="53">
        <v>36.820903800000004</v>
      </c>
      <c r="N178" s="126" t="str">
        <f t="shared" si="8"/>
        <v>286 ГТС на р. Тускарь у д. Кривцовка</v>
      </c>
      <c r="O178" s="126" t="str">
        <f t="shared" si="9"/>
        <v>Курская область, Щигровский район, д. Кривцовка</v>
      </c>
    </row>
    <row r="179" spans="1:15" ht="75" x14ac:dyDescent="0.2">
      <c r="A179" s="166">
        <v>287</v>
      </c>
      <c r="B179" s="125" t="s">
        <v>1126</v>
      </c>
      <c r="C179" s="109" t="s">
        <v>224</v>
      </c>
      <c r="D179" s="13" t="s">
        <v>1127</v>
      </c>
      <c r="E179" s="13" t="s">
        <v>1173</v>
      </c>
      <c r="F179" s="109" t="s">
        <v>517</v>
      </c>
      <c r="G179" s="109">
        <v>1983</v>
      </c>
      <c r="H179" s="109">
        <v>1130</v>
      </c>
      <c r="I179" s="109">
        <v>83</v>
      </c>
      <c r="J179" s="109" t="s">
        <v>117</v>
      </c>
      <c r="K179" s="92" t="s">
        <v>586</v>
      </c>
      <c r="L179" s="92">
        <v>51.937984499999999</v>
      </c>
      <c r="M179" s="93">
        <v>36.856376599999997</v>
      </c>
      <c r="N179" s="126" t="str">
        <f t="shared" si="8"/>
        <v>287 ГТС на р. Тускарь у с.Большая Сергеевка</v>
      </c>
      <c r="O179" s="126" t="str">
        <f t="shared" si="9"/>
        <v>Курская область, Щигровский район, с.Большая Сергеевка</v>
      </c>
    </row>
    <row r="180" spans="1:15" ht="75" x14ac:dyDescent="0.2">
      <c r="A180" s="18">
        <v>288</v>
      </c>
      <c r="B180" s="125" t="s">
        <v>1126</v>
      </c>
      <c r="C180" s="13" t="s">
        <v>518</v>
      </c>
      <c r="D180" s="13" t="s">
        <v>1127</v>
      </c>
      <c r="E180" s="13" t="s">
        <v>1173</v>
      </c>
      <c r="F180" s="13" t="s">
        <v>519</v>
      </c>
      <c r="G180" s="13">
        <v>1981</v>
      </c>
      <c r="H180" s="13">
        <v>1400</v>
      </c>
      <c r="I180" s="13">
        <v>51</v>
      </c>
      <c r="J180" s="13" t="s">
        <v>520</v>
      </c>
      <c r="K180" s="32" t="s">
        <v>745</v>
      </c>
      <c r="L180" s="32">
        <v>51.830875399999996</v>
      </c>
      <c r="M180" s="53">
        <v>37.019363400000003</v>
      </c>
      <c r="N180" s="126" t="str">
        <f t="shared" si="8"/>
        <v>288 ГТС на руч. Полевая Плота у с.Сергеевка</v>
      </c>
      <c r="O180" s="126" t="str">
        <f t="shared" si="9"/>
        <v>Курская область, Щигровский район, с.Сергеевка</v>
      </c>
    </row>
    <row r="181" spans="1:15" ht="75" x14ac:dyDescent="0.2">
      <c r="A181" s="166">
        <v>289</v>
      </c>
      <c r="B181" s="125" t="s">
        <v>1126</v>
      </c>
      <c r="C181" s="86" t="s">
        <v>518</v>
      </c>
      <c r="D181" s="13" t="s">
        <v>1127</v>
      </c>
      <c r="E181" s="13" t="s">
        <v>1173</v>
      </c>
      <c r="F181" s="86" t="s">
        <v>521</v>
      </c>
      <c r="G181" s="86">
        <v>1976</v>
      </c>
      <c r="H181" s="86">
        <v>1310</v>
      </c>
      <c r="I181" s="86">
        <v>47</v>
      </c>
      <c r="J181" s="86" t="s">
        <v>127</v>
      </c>
      <c r="K181" s="92" t="s">
        <v>746</v>
      </c>
      <c r="L181" s="92">
        <v>51.843120599999999</v>
      </c>
      <c r="M181" s="93">
        <v>37.035949700000003</v>
      </c>
      <c r="N181" s="126" t="str">
        <f t="shared" si="8"/>
        <v>289 ГТС на руч. Полевая Плота у с.Малый Щигорчик</v>
      </c>
      <c r="O181" s="126" t="str">
        <f t="shared" si="9"/>
        <v>Курская область, Щигровский район, с.Малый Щигорчик</v>
      </c>
    </row>
    <row r="182" spans="1:15" ht="210" x14ac:dyDescent="0.2">
      <c r="A182" s="18">
        <v>290</v>
      </c>
      <c r="B182" s="125" t="s">
        <v>1126</v>
      </c>
      <c r="C182" s="13" t="s">
        <v>522</v>
      </c>
      <c r="D182" s="13" t="s">
        <v>1127</v>
      </c>
      <c r="E182" s="13" t="s">
        <v>1173</v>
      </c>
      <c r="F182" s="13" t="s">
        <v>523</v>
      </c>
      <c r="G182" s="13">
        <v>1985</v>
      </c>
      <c r="H182" s="13">
        <v>1440</v>
      </c>
      <c r="I182" s="13">
        <v>53</v>
      </c>
      <c r="J182" s="13" t="s">
        <v>117</v>
      </c>
      <c r="K182" s="32" t="s">
        <v>747</v>
      </c>
      <c r="L182" s="32">
        <v>51.948253600000001</v>
      </c>
      <c r="M182" s="53">
        <v>36.767105100000002</v>
      </c>
      <c r="N182" s="126" t="str">
        <f t="shared" si="8"/>
        <v>290 ГТС на руч.Гремячий у д. Петровка</v>
      </c>
      <c r="O182" s="126" t="str">
        <f t="shared" si="9"/>
        <v>Курская область, Щигровский район, д. Петровка</v>
      </c>
    </row>
    <row r="183" spans="1:15" ht="75" x14ac:dyDescent="0.2">
      <c r="A183" s="166">
        <v>291</v>
      </c>
      <c r="B183" s="125" t="s">
        <v>1126</v>
      </c>
      <c r="C183" s="86" t="s">
        <v>56</v>
      </c>
      <c r="D183" s="13" t="s">
        <v>1127</v>
      </c>
      <c r="E183" s="13" t="s">
        <v>1173</v>
      </c>
      <c r="F183" s="86" t="s">
        <v>524</v>
      </c>
      <c r="G183" s="86">
        <v>1978</v>
      </c>
      <c r="H183" s="86">
        <v>1130</v>
      </c>
      <c r="I183" s="86">
        <v>34</v>
      </c>
      <c r="J183" s="86" t="s">
        <v>17</v>
      </c>
      <c r="K183" s="92" t="s">
        <v>748</v>
      </c>
      <c r="L183" s="92">
        <v>51.784053800000002</v>
      </c>
      <c r="M183" s="93">
        <v>36.644371</v>
      </c>
      <c r="N183" s="126" t="str">
        <f t="shared" si="8"/>
        <v>291 ГТС на руч. б/н у с.Тестово</v>
      </c>
      <c r="O183" s="126" t="str">
        <f t="shared" si="9"/>
        <v>Курская область, Щигровский район, с.Тестово</v>
      </c>
    </row>
    <row r="184" spans="1:15" ht="75" x14ac:dyDescent="0.2">
      <c r="A184" s="18">
        <v>292</v>
      </c>
      <c r="B184" s="125" t="s">
        <v>1126</v>
      </c>
      <c r="C184" s="13" t="s">
        <v>525</v>
      </c>
      <c r="D184" s="13" t="s">
        <v>1127</v>
      </c>
      <c r="E184" s="13" t="s">
        <v>1173</v>
      </c>
      <c r="F184" s="13" t="s">
        <v>526</v>
      </c>
      <c r="G184" s="13">
        <v>1962</v>
      </c>
      <c r="H184" s="13">
        <v>1000</v>
      </c>
      <c r="I184" s="13">
        <v>50</v>
      </c>
      <c r="J184" s="13" t="s">
        <v>9</v>
      </c>
      <c r="K184" s="32" t="s">
        <v>749</v>
      </c>
      <c r="L184" s="32">
        <v>51.877448999999999</v>
      </c>
      <c r="M184" s="53">
        <v>36.919597600000003</v>
      </c>
      <c r="N184" s="126" t="str">
        <f t="shared" si="8"/>
        <v xml:space="preserve">292 ГТС на р. Щигор у г.Щигры </v>
      </c>
      <c r="O184" s="126" t="str">
        <f t="shared" si="9"/>
        <v xml:space="preserve">Курская область, Щигровский район, г.Щигры </v>
      </c>
    </row>
    <row r="185" spans="1:15" ht="75" x14ac:dyDescent="0.2">
      <c r="A185" s="18">
        <v>293</v>
      </c>
      <c r="B185" s="125" t="s">
        <v>1126</v>
      </c>
      <c r="C185" s="13" t="s">
        <v>527</v>
      </c>
      <c r="D185" s="13" t="s">
        <v>1127</v>
      </c>
      <c r="E185" s="13" t="s">
        <v>1173</v>
      </c>
      <c r="F185" s="13" t="s">
        <v>528</v>
      </c>
      <c r="G185" s="13">
        <v>1988</v>
      </c>
      <c r="H185" s="13">
        <v>3320</v>
      </c>
      <c r="I185" s="13">
        <v>164</v>
      </c>
      <c r="J185" s="13" t="s">
        <v>9</v>
      </c>
      <c r="K185" s="32" t="s">
        <v>750</v>
      </c>
      <c r="L185" s="32">
        <v>51.819541899999997</v>
      </c>
      <c r="M185" s="53">
        <v>36.744762399999999</v>
      </c>
      <c r="N185" s="126" t="str">
        <f t="shared" si="8"/>
        <v>293 ГТС на р.Рать у с. 2-е Мелехино (д. Пушкарка)</v>
      </c>
      <c r="O185" s="126" t="str">
        <f t="shared" si="9"/>
        <v>Курская область, Щигровский район, с. 2-е Мелехино (д. Пушкарка)</v>
      </c>
    </row>
    <row r="186" spans="1:15" ht="75" x14ac:dyDescent="0.2">
      <c r="A186" s="18">
        <v>294</v>
      </c>
      <c r="B186" s="125" t="s">
        <v>1126</v>
      </c>
      <c r="C186" s="13" t="s">
        <v>529</v>
      </c>
      <c r="D186" s="13" t="s">
        <v>1127</v>
      </c>
      <c r="E186" s="13" t="s">
        <v>1173</v>
      </c>
      <c r="F186" s="13" t="s">
        <v>530</v>
      </c>
      <c r="G186" s="13">
        <v>1950</v>
      </c>
      <c r="H186" s="13">
        <v>535</v>
      </c>
      <c r="I186" s="13">
        <v>41</v>
      </c>
      <c r="J186" s="13" t="s">
        <v>117</v>
      </c>
      <c r="K186" s="32" t="s">
        <v>751</v>
      </c>
      <c r="L186" s="32">
        <v>51.682975800000001</v>
      </c>
      <c r="M186" s="53">
        <v>36.788814500000001</v>
      </c>
      <c r="N186" s="126" t="str">
        <f t="shared" si="8"/>
        <v>294 ГТС на р.Озеренка у с. Вышняя Озерна</v>
      </c>
      <c r="O186" s="126" t="str">
        <f t="shared" si="9"/>
        <v>Курская область, Щигровский район, с. Вышняя Озерна</v>
      </c>
    </row>
    <row r="187" spans="1:15" ht="90" x14ac:dyDescent="0.2">
      <c r="A187" s="18">
        <v>295</v>
      </c>
      <c r="B187" s="125" t="s">
        <v>1126</v>
      </c>
      <c r="C187" s="13" t="s">
        <v>531</v>
      </c>
      <c r="D187" s="13" t="s">
        <v>1127</v>
      </c>
      <c r="E187" s="13" t="s">
        <v>1173</v>
      </c>
      <c r="F187" s="13" t="s">
        <v>532</v>
      </c>
      <c r="G187" s="13">
        <v>1980</v>
      </c>
      <c r="H187" s="13">
        <v>1131</v>
      </c>
      <c r="I187" s="13">
        <v>42</v>
      </c>
      <c r="J187" s="13" t="s">
        <v>127</v>
      </c>
      <c r="K187" s="32" t="s">
        <v>752</v>
      </c>
      <c r="L187" s="32">
        <v>52.0861473</v>
      </c>
      <c r="M187" s="53">
        <v>36.834358199999997</v>
      </c>
      <c r="N187" s="126" t="str">
        <f t="shared" si="8"/>
        <v>295 ГТС на бал.Змеинец у д.Заречье</v>
      </c>
      <c r="O187" s="126" t="str">
        <f t="shared" si="9"/>
        <v>Курская область, Щигровский район, д.Заречье</v>
      </c>
    </row>
    <row r="188" spans="1:15" ht="75" x14ac:dyDescent="0.2">
      <c r="A188" s="18">
        <v>296</v>
      </c>
      <c r="B188" s="125" t="s">
        <v>1126</v>
      </c>
      <c r="C188" s="13" t="s">
        <v>525</v>
      </c>
      <c r="D188" s="13" t="s">
        <v>1127</v>
      </c>
      <c r="E188" s="13" t="s">
        <v>1173</v>
      </c>
      <c r="F188" s="13" t="s">
        <v>533</v>
      </c>
      <c r="G188" s="13">
        <v>1954</v>
      </c>
      <c r="H188" s="13">
        <v>600</v>
      </c>
      <c r="I188" s="13">
        <v>31</v>
      </c>
      <c r="J188" s="13" t="s">
        <v>117</v>
      </c>
      <c r="K188" s="32" t="s">
        <v>753</v>
      </c>
      <c r="L188" s="32">
        <v>51.875438699999997</v>
      </c>
      <c r="M188" s="53">
        <v>36.974304199999999</v>
      </c>
      <c r="N188" s="126" t="str">
        <f t="shared" si="8"/>
        <v>296 ГТС на р. Щигор у г.Щигры
ст.Удобрительная</v>
      </c>
      <c r="O188" s="126" t="str">
        <f t="shared" si="9"/>
        <v>Курская область, Щигровский район, г.Щигры
ст.Удобрительная</v>
      </c>
    </row>
    <row r="189" spans="1:15" ht="75" x14ac:dyDescent="0.2">
      <c r="A189" s="166">
        <v>297</v>
      </c>
      <c r="B189" s="125" t="s">
        <v>1126</v>
      </c>
      <c r="C189" s="86" t="s">
        <v>195</v>
      </c>
      <c r="D189" s="13" t="s">
        <v>1127</v>
      </c>
      <c r="E189" s="13" t="s">
        <v>1173</v>
      </c>
      <c r="F189" s="86" t="s">
        <v>534</v>
      </c>
      <c r="G189" s="86">
        <v>1977</v>
      </c>
      <c r="H189" s="86">
        <v>640</v>
      </c>
      <c r="I189" s="86">
        <v>28</v>
      </c>
      <c r="J189" s="86" t="s">
        <v>117</v>
      </c>
      <c r="K189" s="92" t="s">
        <v>754</v>
      </c>
      <c r="L189" s="92">
        <v>51.889183000000003</v>
      </c>
      <c r="M189" s="93">
        <v>36.977985400000001</v>
      </c>
      <c r="N189" s="126" t="str">
        <f t="shared" si="8"/>
        <v>297 ГТС на руч.б/н у с.Вязовое</v>
      </c>
      <c r="O189" s="126" t="str">
        <f t="shared" si="9"/>
        <v>Курская область, Щигровский район, с.Вязовое</v>
      </c>
    </row>
    <row r="190" spans="1:15" ht="75" x14ac:dyDescent="0.2">
      <c r="A190" s="166">
        <v>298</v>
      </c>
      <c r="B190" s="125" t="s">
        <v>1126</v>
      </c>
      <c r="C190" s="86" t="s">
        <v>535</v>
      </c>
      <c r="D190" s="13" t="s">
        <v>1127</v>
      </c>
      <c r="E190" s="13" t="s">
        <v>1173</v>
      </c>
      <c r="F190" s="86" t="s">
        <v>536</v>
      </c>
      <c r="G190" s="86">
        <v>1976</v>
      </c>
      <c r="H190" s="86">
        <v>600</v>
      </c>
      <c r="I190" s="86">
        <v>29</v>
      </c>
      <c r="J190" s="86" t="s">
        <v>9</v>
      </c>
      <c r="K190" s="92" t="s">
        <v>753</v>
      </c>
      <c r="L190" s="92">
        <v>51.876823399999999</v>
      </c>
      <c r="M190" s="93">
        <v>37.002738999999998</v>
      </c>
      <c r="N190" s="126" t="str">
        <f t="shared" si="8"/>
        <v>298 ГТС на р. Полевая Плота у г. Щигры</v>
      </c>
      <c r="O190" s="126" t="str">
        <f t="shared" si="9"/>
        <v>Курская область, Щигровский район, г. Щигры</v>
      </c>
    </row>
    <row r="191" spans="1:15" ht="75" x14ac:dyDescent="0.2">
      <c r="A191" s="18">
        <v>299</v>
      </c>
      <c r="B191" s="125" t="s">
        <v>1126</v>
      </c>
      <c r="C191" s="13" t="s">
        <v>537</v>
      </c>
      <c r="D191" s="13" t="s">
        <v>1127</v>
      </c>
      <c r="E191" s="13" t="s">
        <v>1173</v>
      </c>
      <c r="F191" s="13" t="s">
        <v>538</v>
      </c>
      <c r="G191" s="13" t="s">
        <v>27</v>
      </c>
      <c r="H191" s="13">
        <v>610</v>
      </c>
      <c r="I191" s="13">
        <v>25</v>
      </c>
      <c r="J191" s="13" t="s">
        <v>17</v>
      </c>
      <c r="K191" s="32" t="s">
        <v>755</v>
      </c>
      <c r="L191" s="32">
        <v>51.862205500000002</v>
      </c>
      <c r="M191" s="53">
        <v>36.896976500000001</v>
      </c>
      <c r="N191" s="126" t="str">
        <f t="shared" si="8"/>
        <v>299 ГТС на руч.Щигорчик у сл.Пригородная</v>
      </c>
      <c r="O191" s="126" t="str">
        <f t="shared" si="9"/>
        <v>Курская область, Щигровский район, сл.Пригородная</v>
      </c>
    </row>
    <row r="192" spans="1:15" ht="75" x14ac:dyDescent="0.2">
      <c r="A192" s="18">
        <v>300</v>
      </c>
      <c r="B192" s="125" t="s">
        <v>1126</v>
      </c>
      <c r="C192" s="13" t="s">
        <v>527</v>
      </c>
      <c r="D192" s="13" t="s">
        <v>1127</v>
      </c>
      <c r="E192" s="13" t="s">
        <v>1173</v>
      </c>
      <c r="F192" s="13" t="s">
        <v>539</v>
      </c>
      <c r="G192" s="13" t="s">
        <v>27</v>
      </c>
      <c r="H192" s="13">
        <v>150</v>
      </c>
      <c r="I192" s="13">
        <v>8</v>
      </c>
      <c r="J192" s="13" t="s">
        <v>117</v>
      </c>
      <c r="K192" s="32" t="s">
        <v>756</v>
      </c>
      <c r="L192" s="32">
        <v>51.787212400000001</v>
      </c>
      <c r="M192" s="53">
        <v>36.828525499999998</v>
      </c>
      <c r="N192" s="126" t="str">
        <f t="shared" si="8"/>
        <v xml:space="preserve">300 ГТС на р.Рать у д.Озерки </v>
      </c>
      <c r="O192" s="126" t="str">
        <f t="shared" si="9"/>
        <v xml:space="preserve">Курская область, Щигровский район, д.Озерки </v>
      </c>
    </row>
    <row r="193" spans="1:15" ht="75" x14ac:dyDescent="0.2">
      <c r="A193" s="18">
        <v>301</v>
      </c>
      <c r="B193" s="125" t="s">
        <v>1126</v>
      </c>
      <c r="C193" s="13" t="s">
        <v>540</v>
      </c>
      <c r="D193" s="13" t="s">
        <v>1127</v>
      </c>
      <c r="E193" s="13" t="s">
        <v>1173</v>
      </c>
      <c r="F193" s="13" t="s">
        <v>541</v>
      </c>
      <c r="G193" s="13">
        <v>1972</v>
      </c>
      <c r="H193" s="13">
        <v>280</v>
      </c>
      <c r="I193" s="13">
        <v>16</v>
      </c>
      <c r="J193" s="13" t="s">
        <v>117</v>
      </c>
      <c r="K193" s="32" t="s">
        <v>586</v>
      </c>
      <c r="L193" s="32">
        <v>51.856048600000001</v>
      </c>
      <c r="M193" s="53">
        <v>36.758693700000002</v>
      </c>
      <c r="N193" s="126" t="str">
        <f t="shared" si="8"/>
        <v>301 ГТС на руч.Кунач у с.Грот</v>
      </c>
      <c r="O193" s="126" t="str">
        <f t="shared" si="9"/>
        <v>Курская область, Щигровский район, с.Грот</v>
      </c>
    </row>
    <row r="194" spans="1:15" ht="90" x14ac:dyDescent="0.2">
      <c r="A194" s="18">
        <v>302</v>
      </c>
      <c r="B194" s="125" t="s">
        <v>1126</v>
      </c>
      <c r="C194" s="13" t="s">
        <v>540</v>
      </c>
      <c r="D194" s="13" t="s">
        <v>1127</v>
      </c>
      <c r="E194" s="13" t="s">
        <v>1173</v>
      </c>
      <c r="F194" s="13" t="s">
        <v>542</v>
      </c>
      <c r="G194" s="13">
        <v>1972</v>
      </c>
      <c r="H194" s="13">
        <v>438</v>
      </c>
      <c r="I194" s="13">
        <v>30</v>
      </c>
      <c r="J194" s="13" t="s">
        <v>9</v>
      </c>
      <c r="K194" s="32" t="s">
        <v>757</v>
      </c>
      <c r="L194" s="32">
        <v>51.836627999999997</v>
      </c>
      <c r="M194" s="53">
        <v>36.757377599999998</v>
      </c>
      <c r="N194" s="126" t="str">
        <f t="shared" si="8"/>
        <v>302 ГТС на руч.Кунач у д.Кунач</v>
      </c>
      <c r="O194" s="126" t="str">
        <f t="shared" si="9"/>
        <v>Курская область, Щигровский район, д.Кунач</v>
      </c>
    </row>
    <row r="195" spans="1:15" ht="210" x14ac:dyDescent="0.2">
      <c r="A195" s="166">
        <v>303</v>
      </c>
      <c r="B195" s="125" t="s">
        <v>1126</v>
      </c>
      <c r="C195" s="37" t="s">
        <v>543</v>
      </c>
      <c r="D195" s="13" t="s">
        <v>1127</v>
      </c>
      <c r="E195" s="13" t="s">
        <v>1173</v>
      </c>
      <c r="F195" s="37" t="s">
        <v>544</v>
      </c>
      <c r="G195" s="86">
        <v>1968</v>
      </c>
      <c r="H195" s="86">
        <v>430</v>
      </c>
      <c r="I195" s="86">
        <v>27</v>
      </c>
      <c r="J195" s="86" t="s">
        <v>127</v>
      </c>
      <c r="K195" s="92" t="s">
        <v>747</v>
      </c>
      <c r="L195" s="57">
        <v>51.9360809</v>
      </c>
      <c r="M195" s="58">
        <v>36.758609800000002</v>
      </c>
      <c r="N195" s="126" t="str">
        <f t="shared" si="8"/>
        <v>303 ГТС на руч.Гремячка у с.Маковка</v>
      </c>
      <c r="O195" s="126" t="str">
        <f t="shared" si="9"/>
        <v>Курская область, Щигровский район, с.Маковка</v>
      </c>
    </row>
    <row r="196" spans="1:15" ht="75" x14ac:dyDescent="0.2">
      <c r="A196" s="166">
        <v>304</v>
      </c>
      <c r="B196" s="125" t="s">
        <v>1126</v>
      </c>
      <c r="C196" s="86" t="s">
        <v>508</v>
      </c>
      <c r="D196" s="13" t="s">
        <v>1127</v>
      </c>
      <c r="E196" s="13" t="s">
        <v>1173</v>
      </c>
      <c r="F196" s="86" t="s">
        <v>545</v>
      </c>
      <c r="G196" s="86">
        <v>1950</v>
      </c>
      <c r="H196" s="86">
        <v>200</v>
      </c>
      <c r="I196" s="86">
        <v>17</v>
      </c>
      <c r="J196" s="86" t="s">
        <v>127</v>
      </c>
      <c r="K196" s="92" t="s">
        <v>758</v>
      </c>
      <c r="L196" s="92">
        <v>52.061519599999997</v>
      </c>
      <c r="M196" s="93">
        <v>36.9693909</v>
      </c>
      <c r="N196" s="126" t="str">
        <f t="shared" si="8"/>
        <v>304 ГТС на р. Косоржа у д.Длинная</v>
      </c>
      <c r="O196" s="126" t="str">
        <f t="shared" si="9"/>
        <v>Курская область, Щигровский район, д.Длинная</v>
      </c>
    </row>
    <row r="197" spans="1:15" ht="210" x14ac:dyDescent="0.2">
      <c r="A197" s="18">
        <v>305</v>
      </c>
      <c r="B197" s="125" t="s">
        <v>1126</v>
      </c>
      <c r="C197" s="13" t="s">
        <v>546</v>
      </c>
      <c r="D197" s="13" t="s">
        <v>1127</v>
      </c>
      <c r="E197" s="13" t="s">
        <v>1173</v>
      </c>
      <c r="F197" s="13" t="s">
        <v>547</v>
      </c>
      <c r="G197" s="13" t="s">
        <v>27</v>
      </c>
      <c r="H197" s="13">
        <v>430</v>
      </c>
      <c r="I197" s="13">
        <v>27</v>
      </c>
      <c r="J197" s="13" t="s">
        <v>127</v>
      </c>
      <c r="K197" s="32" t="s">
        <v>747</v>
      </c>
      <c r="L197" s="32">
        <v>51.914051999999998</v>
      </c>
      <c r="M197" s="53">
        <v>36.739522000000001</v>
      </c>
      <c r="N197" s="126" t="str">
        <f t="shared" si="8"/>
        <v>305 ГТС на руч. Гремячий у д. Маковка</v>
      </c>
      <c r="O197" s="126" t="str">
        <f t="shared" si="9"/>
        <v>Курская область, Щигровский район, д. Маковка</v>
      </c>
    </row>
    <row r="198" spans="1:15" ht="75" x14ac:dyDescent="0.2">
      <c r="A198" s="18">
        <v>306</v>
      </c>
      <c r="B198" s="125" t="s">
        <v>1126</v>
      </c>
      <c r="C198" s="13" t="s">
        <v>548</v>
      </c>
      <c r="D198" s="13" t="s">
        <v>1127</v>
      </c>
      <c r="E198" s="13" t="s">
        <v>1173</v>
      </c>
      <c r="F198" s="13" t="s">
        <v>549</v>
      </c>
      <c r="G198" s="13" t="s">
        <v>27</v>
      </c>
      <c r="H198" s="13">
        <v>210</v>
      </c>
      <c r="I198" s="13">
        <v>9</v>
      </c>
      <c r="J198" s="13" t="s">
        <v>20</v>
      </c>
      <c r="K198" s="32" t="s">
        <v>759</v>
      </c>
      <c r="L198" s="32">
        <v>52.010024999999999</v>
      </c>
      <c r="M198" s="53">
        <v>36.7157555</v>
      </c>
      <c r="N198" s="126" t="str">
        <f t="shared" si="8"/>
        <v>306 ГТС на р.Теребуж у с. Богородицкое</v>
      </c>
      <c r="O198" s="126" t="str">
        <f t="shared" si="9"/>
        <v>Курская область, Щигровский район, с. Богородицкое</v>
      </c>
    </row>
    <row r="199" spans="1:15" ht="75" x14ac:dyDescent="0.2">
      <c r="A199" s="166">
        <v>307</v>
      </c>
      <c r="B199" s="125" t="s">
        <v>1126</v>
      </c>
      <c r="C199" s="86" t="s">
        <v>550</v>
      </c>
      <c r="D199" s="13" t="s">
        <v>1127</v>
      </c>
      <c r="E199" s="13" t="s">
        <v>1173</v>
      </c>
      <c r="F199" s="86" t="s">
        <v>551</v>
      </c>
      <c r="G199" s="86">
        <v>1950</v>
      </c>
      <c r="H199" s="86">
        <v>535</v>
      </c>
      <c r="I199" s="86">
        <v>38</v>
      </c>
      <c r="J199" s="86" t="s">
        <v>9</v>
      </c>
      <c r="K199" s="92" t="s">
        <v>751</v>
      </c>
      <c r="L199" s="92">
        <v>51.716838799999998</v>
      </c>
      <c r="M199" s="93">
        <v>36.738876300000001</v>
      </c>
      <c r="N199" s="126" t="str">
        <f t="shared" si="8"/>
        <v>307 ГТС на р. Озеренка у с. Нижняя Озерна</v>
      </c>
      <c r="O199" s="126" t="str">
        <f t="shared" si="9"/>
        <v>Курская область, Щигровский район, с. Нижняя Озерна</v>
      </c>
    </row>
    <row r="200" spans="1:15" ht="135" x14ac:dyDescent="0.2">
      <c r="A200" s="18">
        <v>308</v>
      </c>
      <c r="B200" s="125" t="s">
        <v>1126</v>
      </c>
      <c r="C200" s="41" t="s">
        <v>552</v>
      </c>
      <c r="D200" s="13" t="s">
        <v>1127</v>
      </c>
      <c r="E200" s="13" t="s">
        <v>1173</v>
      </c>
      <c r="F200" s="13" t="s">
        <v>536</v>
      </c>
      <c r="G200" s="13" t="s">
        <v>27</v>
      </c>
      <c r="H200" s="13" t="s">
        <v>27</v>
      </c>
      <c r="I200" s="13" t="s">
        <v>27</v>
      </c>
      <c r="J200" s="13" t="s">
        <v>9</v>
      </c>
      <c r="K200" s="32" t="s">
        <v>760</v>
      </c>
      <c r="L200" s="32">
        <v>51.889668</v>
      </c>
      <c r="M200" s="53">
        <v>36.879337</v>
      </c>
      <c r="N200" s="126" t="str">
        <f t="shared" si="8"/>
        <v>308 ГТС на накопитель жидких промышленных отходов, пруд-охладитель у г. Щигры</v>
      </c>
      <c r="O200" s="126" t="str">
        <f t="shared" si="9"/>
        <v>Курская область, Щигровский район, г. Щигры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33"/>
  <sheetViews>
    <sheetView zoomScale="60" zoomScaleNormal="60" workbookViewId="0">
      <pane ySplit="1" topLeftCell="A2" activePane="bottomLeft" state="frozen"/>
      <selection pane="bottomLeft" activeCell="F5" sqref="F5"/>
    </sheetView>
  </sheetViews>
  <sheetFormatPr defaultColWidth="12.140625" defaultRowHeight="15" x14ac:dyDescent="0.2"/>
  <cols>
    <col min="1" max="1" width="6.85546875" style="29" customWidth="1"/>
    <col min="2" max="2" width="33.42578125" style="29" customWidth="1"/>
    <col min="3" max="3" width="43.140625" style="29" customWidth="1"/>
    <col min="4" max="4" width="15.7109375" style="29" customWidth="1"/>
    <col min="5" max="5" width="21.7109375" style="29" customWidth="1"/>
    <col min="6" max="6" width="18.42578125" style="29" customWidth="1"/>
    <col min="7" max="7" width="24.85546875" style="29" customWidth="1"/>
    <col min="8" max="8" width="34.42578125" style="29" customWidth="1"/>
    <col min="9" max="9" width="18.140625" style="29" customWidth="1"/>
    <col min="10" max="10" width="17.85546875" style="29" customWidth="1"/>
    <col min="11" max="11" width="16.85546875" style="29" customWidth="1"/>
    <col min="12" max="12" width="52.28515625" style="85" customWidth="1"/>
    <col min="13" max="13" width="7.42578125" style="1" customWidth="1"/>
    <col min="14" max="1023" width="12.140625" style="1"/>
  </cols>
  <sheetData>
    <row r="1" spans="1:16" ht="43.5" thickBo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556</v>
      </c>
      <c r="F1" s="5" t="s">
        <v>4</v>
      </c>
      <c r="G1" s="5" t="s">
        <v>5</v>
      </c>
      <c r="H1" s="5" t="s">
        <v>554</v>
      </c>
      <c r="I1" s="191" t="s">
        <v>555</v>
      </c>
      <c r="J1" s="192"/>
      <c r="K1" s="44" t="s">
        <v>568</v>
      </c>
      <c r="L1" s="82" t="s">
        <v>761</v>
      </c>
      <c r="N1" s="119" t="s">
        <v>1144</v>
      </c>
      <c r="O1" s="119" t="s">
        <v>1145</v>
      </c>
      <c r="P1" s="119" t="s">
        <v>1146</v>
      </c>
    </row>
    <row r="2" spans="1:16" ht="15.75" thickBot="1" x14ac:dyDescent="0.25">
      <c r="A2" s="193" t="s">
        <v>6</v>
      </c>
      <c r="B2" s="194"/>
      <c r="C2" s="194"/>
      <c r="D2" s="194"/>
      <c r="E2" s="194"/>
      <c r="F2" s="194"/>
      <c r="G2" s="194"/>
      <c r="H2" s="194"/>
      <c r="I2" s="194"/>
      <c r="J2" s="194"/>
      <c r="K2" s="64"/>
      <c r="L2" s="83"/>
      <c r="N2" s="119"/>
      <c r="O2" s="119"/>
      <c r="P2" s="119"/>
    </row>
    <row r="3" spans="1:16" x14ac:dyDescent="0.2">
      <c r="A3" s="27">
        <v>1</v>
      </c>
      <c r="B3" s="27" t="s">
        <v>7</v>
      </c>
      <c r="C3" s="27" t="s">
        <v>8</v>
      </c>
      <c r="D3" s="27">
        <v>1952</v>
      </c>
      <c r="E3" s="27">
        <v>1170</v>
      </c>
      <c r="F3" s="27">
        <v>82</v>
      </c>
      <c r="G3" s="27" t="s">
        <v>9</v>
      </c>
      <c r="H3" s="10" t="s">
        <v>557</v>
      </c>
      <c r="I3" s="10">
        <v>51.487758599999999</v>
      </c>
      <c r="J3" s="11">
        <v>37.739952099999996</v>
      </c>
      <c r="K3" s="65">
        <v>48</v>
      </c>
      <c r="L3" s="83"/>
      <c r="N3" s="148" t="s">
        <v>777</v>
      </c>
      <c r="O3" s="112"/>
      <c r="P3" s="112"/>
    </row>
    <row r="4" spans="1:16" x14ac:dyDescent="0.2">
      <c r="A4" s="27">
        <v>2</v>
      </c>
      <c r="B4" s="7" t="s">
        <v>12</v>
      </c>
      <c r="C4" s="7" t="s">
        <v>13</v>
      </c>
      <c r="D4" s="7">
        <v>1979</v>
      </c>
      <c r="E4" s="7">
        <v>1650</v>
      </c>
      <c r="F4" s="7">
        <v>60</v>
      </c>
      <c r="G4" s="7" t="s">
        <v>9</v>
      </c>
      <c r="H4" s="6" t="s">
        <v>558</v>
      </c>
      <c r="I4" s="6">
        <v>51.386310600000002</v>
      </c>
      <c r="J4" s="12">
        <v>38.057708699999999</v>
      </c>
      <c r="K4" s="65">
        <v>50</v>
      </c>
      <c r="L4" s="83"/>
      <c r="N4" s="148" t="s">
        <v>777</v>
      </c>
      <c r="O4" s="112"/>
      <c r="P4" s="112"/>
    </row>
    <row r="5" spans="1:16" ht="30" x14ac:dyDescent="0.2">
      <c r="A5" s="27">
        <v>3</v>
      </c>
      <c r="B5" s="116" t="s">
        <v>1093</v>
      </c>
      <c r="C5" s="7" t="s">
        <v>14</v>
      </c>
      <c r="D5" s="7">
        <v>1975</v>
      </c>
      <c r="E5" s="7">
        <v>1060</v>
      </c>
      <c r="F5" s="7">
        <v>53</v>
      </c>
      <c r="G5" s="7" t="s">
        <v>11</v>
      </c>
      <c r="H5" s="115" t="s">
        <v>1092</v>
      </c>
      <c r="I5" s="6">
        <v>51.474834399999999</v>
      </c>
      <c r="J5" s="12">
        <v>37.894966099999998</v>
      </c>
      <c r="K5" s="65">
        <v>51</v>
      </c>
      <c r="L5" s="83"/>
      <c r="N5" s="148" t="s">
        <v>777</v>
      </c>
      <c r="O5" s="112"/>
      <c r="P5" s="112"/>
    </row>
    <row r="6" spans="1:16" s="2" customFormat="1" ht="25.5" x14ac:dyDescent="0.2">
      <c r="A6" s="76">
        <v>4</v>
      </c>
      <c r="B6" s="77" t="s">
        <v>15</v>
      </c>
      <c r="C6" s="77" t="s">
        <v>16</v>
      </c>
      <c r="D6" s="77">
        <v>1977</v>
      </c>
      <c r="E6" s="77">
        <v>1100</v>
      </c>
      <c r="F6" s="77">
        <v>44</v>
      </c>
      <c r="G6" s="77" t="s">
        <v>17</v>
      </c>
      <c r="H6" s="117" t="s">
        <v>586</v>
      </c>
      <c r="I6" s="78">
        <v>51.588478100000003</v>
      </c>
      <c r="J6" s="79">
        <v>38.083457899999999</v>
      </c>
      <c r="K6" s="80">
        <v>52</v>
      </c>
      <c r="L6" s="81" t="s">
        <v>762</v>
      </c>
      <c r="M6" s="2" t="s">
        <v>777</v>
      </c>
      <c r="N6" s="148" t="s">
        <v>777</v>
      </c>
      <c r="O6" s="112"/>
      <c r="P6" s="112"/>
    </row>
    <row r="7" spans="1:16" ht="30" x14ac:dyDescent="0.2">
      <c r="A7" s="27">
        <v>5</v>
      </c>
      <c r="B7" s="7" t="s">
        <v>18</v>
      </c>
      <c r="C7" s="7" t="s">
        <v>19</v>
      </c>
      <c r="D7" s="7">
        <v>1997</v>
      </c>
      <c r="E7" s="7">
        <v>2150</v>
      </c>
      <c r="F7" s="7">
        <v>70</v>
      </c>
      <c r="G7" s="7" t="s">
        <v>20</v>
      </c>
      <c r="H7" s="115" t="s">
        <v>1092</v>
      </c>
      <c r="I7" s="6">
        <v>51.490943899999998</v>
      </c>
      <c r="J7" s="12">
        <v>37.833465599999997</v>
      </c>
      <c r="K7" s="65">
        <v>54</v>
      </c>
      <c r="L7" s="83"/>
      <c r="N7" s="148" t="s">
        <v>777</v>
      </c>
      <c r="O7" s="112"/>
      <c r="P7" s="112"/>
    </row>
    <row r="8" spans="1:16" x14ac:dyDescent="0.2">
      <c r="A8" s="27">
        <v>6</v>
      </c>
      <c r="B8" s="7" t="s">
        <v>21</v>
      </c>
      <c r="C8" s="7" t="s">
        <v>22</v>
      </c>
      <c r="D8" s="7">
        <v>1973</v>
      </c>
      <c r="E8" s="7">
        <v>838</v>
      </c>
      <c r="F8" s="7">
        <v>22</v>
      </c>
      <c r="G8" s="7" t="s">
        <v>9</v>
      </c>
      <c r="H8" s="6" t="s">
        <v>559</v>
      </c>
      <c r="I8" s="6">
        <v>51.477024100000001</v>
      </c>
      <c r="J8" s="12">
        <v>38.105987499999998</v>
      </c>
      <c r="K8" s="65">
        <v>55</v>
      </c>
      <c r="L8" s="83"/>
      <c r="N8" s="148" t="s">
        <v>777</v>
      </c>
      <c r="O8" s="112"/>
      <c r="P8" s="112"/>
    </row>
    <row r="9" spans="1:16" x14ac:dyDescent="0.2">
      <c r="A9" s="27">
        <v>7</v>
      </c>
      <c r="B9" s="7" t="s">
        <v>23</v>
      </c>
      <c r="C9" s="7" t="s">
        <v>24</v>
      </c>
      <c r="D9" s="7">
        <v>1951</v>
      </c>
      <c r="E9" s="7">
        <v>640</v>
      </c>
      <c r="F9" s="7">
        <v>40</v>
      </c>
      <c r="G9" s="7" t="s">
        <v>9</v>
      </c>
      <c r="H9" s="6" t="s">
        <v>557</v>
      </c>
      <c r="I9" s="6">
        <v>51.525760699999999</v>
      </c>
      <c r="J9" s="12">
        <v>37.686466199999998</v>
      </c>
      <c r="K9" s="65">
        <v>56</v>
      </c>
      <c r="L9" s="83"/>
      <c r="N9" s="148" t="s">
        <v>777</v>
      </c>
      <c r="O9" s="112"/>
      <c r="P9" s="112"/>
    </row>
    <row r="10" spans="1:16" ht="30" x14ac:dyDescent="0.2">
      <c r="A10" s="27">
        <v>8</v>
      </c>
      <c r="B10" s="7" t="s">
        <v>25</v>
      </c>
      <c r="C10" s="7" t="s">
        <v>26</v>
      </c>
      <c r="D10" s="7" t="s">
        <v>27</v>
      </c>
      <c r="E10" s="7">
        <v>129</v>
      </c>
      <c r="F10" s="7">
        <v>19</v>
      </c>
      <c r="G10" s="7" t="s">
        <v>9</v>
      </c>
      <c r="H10" s="115" t="s">
        <v>1092</v>
      </c>
      <c r="I10" s="6">
        <v>51.522666899999997</v>
      </c>
      <c r="J10" s="12">
        <v>37.572574600000003</v>
      </c>
      <c r="K10" s="65">
        <v>57</v>
      </c>
      <c r="L10" s="83"/>
      <c r="N10" s="148" t="s">
        <v>777</v>
      </c>
      <c r="O10" s="112"/>
      <c r="P10" s="112"/>
    </row>
    <row r="11" spans="1:16" x14ac:dyDescent="0.2">
      <c r="A11" s="76">
        <v>9</v>
      </c>
      <c r="B11" s="77" t="s">
        <v>10</v>
      </c>
      <c r="C11" s="77" t="s">
        <v>28</v>
      </c>
      <c r="D11" s="77">
        <v>1951</v>
      </c>
      <c r="E11" s="77">
        <v>425</v>
      </c>
      <c r="F11" s="77">
        <v>25</v>
      </c>
      <c r="G11" s="77" t="s">
        <v>11</v>
      </c>
      <c r="H11" s="78" t="s">
        <v>560</v>
      </c>
      <c r="I11" s="78">
        <v>51.5533638</v>
      </c>
      <c r="J11" s="79">
        <v>37.740490000000001</v>
      </c>
      <c r="K11" s="80">
        <v>58</v>
      </c>
      <c r="L11" s="81" t="s">
        <v>763</v>
      </c>
      <c r="M11" s="1" t="s">
        <v>777</v>
      </c>
      <c r="N11" s="148" t="s">
        <v>777</v>
      </c>
      <c r="O11" s="112"/>
      <c r="P11" s="112"/>
    </row>
    <row r="12" spans="1:16" ht="30" x14ac:dyDescent="0.2">
      <c r="A12" s="27">
        <v>10</v>
      </c>
      <c r="B12" s="7" t="s">
        <v>29</v>
      </c>
      <c r="C12" s="7" t="s">
        <v>30</v>
      </c>
      <c r="D12" s="7" t="s">
        <v>27</v>
      </c>
      <c r="E12" s="7">
        <v>120</v>
      </c>
      <c r="F12" s="7">
        <v>6</v>
      </c>
      <c r="G12" s="7" t="s">
        <v>9</v>
      </c>
      <c r="H12" s="115" t="s">
        <v>1092</v>
      </c>
      <c r="I12" s="6">
        <v>51.484432200000001</v>
      </c>
      <c r="J12" s="12">
        <v>37.873657199999997</v>
      </c>
      <c r="K12" s="65">
        <v>59</v>
      </c>
      <c r="L12" s="83"/>
      <c r="N12" s="148" t="s">
        <v>777</v>
      </c>
      <c r="O12" s="112"/>
      <c r="P12" s="112"/>
    </row>
    <row r="13" spans="1:16" x14ac:dyDescent="0.2">
      <c r="A13" s="27">
        <v>11</v>
      </c>
      <c r="B13" s="7" t="s">
        <v>31</v>
      </c>
      <c r="C13" s="7" t="s">
        <v>14</v>
      </c>
      <c r="D13" s="7">
        <v>1962</v>
      </c>
      <c r="E13" s="7">
        <v>430</v>
      </c>
      <c r="F13" s="7">
        <v>48</v>
      </c>
      <c r="G13" s="7" t="s">
        <v>9</v>
      </c>
      <c r="H13" s="117" t="s">
        <v>586</v>
      </c>
      <c r="I13" s="6">
        <v>51.4903488</v>
      </c>
      <c r="J13" s="12">
        <v>37.927871699999997</v>
      </c>
      <c r="K13" s="65">
        <v>60</v>
      </c>
      <c r="L13" s="83"/>
      <c r="N13" s="148" t="s">
        <v>777</v>
      </c>
      <c r="O13" s="112"/>
      <c r="P13" s="112"/>
    </row>
    <row r="14" spans="1:16" ht="30.75" thickBot="1" x14ac:dyDescent="0.25">
      <c r="A14" s="27">
        <v>12</v>
      </c>
      <c r="B14" s="24" t="s">
        <v>32</v>
      </c>
      <c r="C14" s="25" t="s">
        <v>33</v>
      </c>
      <c r="D14" s="25" t="s">
        <v>27</v>
      </c>
      <c r="E14" s="25">
        <v>150</v>
      </c>
      <c r="F14" s="25">
        <v>4.3</v>
      </c>
      <c r="G14" s="25" t="s">
        <v>17</v>
      </c>
      <c r="H14" s="118" t="s">
        <v>1092</v>
      </c>
      <c r="I14" s="25" t="s">
        <v>1161</v>
      </c>
      <c r="J14" s="28" t="s">
        <v>1162</v>
      </c>
      <c r="K14" s="66" t="s">
        <v>561</v>
      </c>
      <c r="L14" s="83"/>
      <c r="M14" s="1" t="s">
        <v>777</v>
      </c>
      <c r="N14" s="148" t="s">
        <v>777</v>
      </c>
      <c r="O14" s="112"/>
      <c r="P14" s="112"/>
    </row>
    <row r="15" spans="1:16" x14ac:dyDescent="0.2">
      <c r="A15" s="195" t="s">
        <v>34</v>
      </c>
      <c r="B15" s="196"/>
      <c r="C15" s="196"/>
      <c r="D15" s="196"/>
      <c r="E15" s="196"/>
      <c r="F15" s="196"/>
      <c r="G15" s="196"/>
      <c r="H15" s="196"/>
      <c r="I15" s="196"/>
      <c r="J15" s="196"/>
      <c r="K15" s="67"/>
      <c r="L15" s="83"/>
      <c r="N15" s="112"/>
      <c r="O15" s="112"/>
      <c r="P15" s="112"/>
    </row>
    <row r="16" spans="1:16" x14ac:dyDescent="0.2">
      <c r="A16" s="125">
        <v>13</v>
      </c>
      <c r="B16" s="13" t="s">
        <v>35</v>
      </c>
      <c r="C16" s="13" t="s">
        <v>36</v>
      </c>
      <c r="D16" s="13">
        <v>1975</v>
      </c>
      <c r="E16" s="13">
        <v>1610</v>
      </c>
      <c r="F16" s="13">
        <v>33</v>
      </c>
      <c r="G16" s="13" t="s">
        <v>9</v>
      </c>
      <c r="H16" s="6" t="s">
        <v>563</v>
      </c>
      <c r="I16" s="6">
        <v>52.209209399999999</v>
      </c>
      <c r="J16" s="12">
        <v>35.0605774</v>
      </c>
      <c r="K16" s="65">
        <v>61</v>
      </c>
      <c r="L16" s="83"/>
      <c r="N16" s="148" t="s">
        <v>777</v>
      </c>
      <c r="O16" s="112"/>
      <c r="P16" s="112"/>
    </row>
    <row r="17" spans="1:17" x14ac:dyDescent="0.2">
      <c r="A17" s="125">
        <v>14</v>
      </c>
      <c r="B17" s="86" t="s">
        <v>37</v>
      </c>
      <c r="C17" s="86" t="s">
        <v>38</v>
      </c>
      <c r="D17" s="86">
        <v>1983</v>
      </c>
      <c r="E17" s="86">
        <v>1520</v>
      </c>
      <c r="F17" s="86">
        <v>79</v>
      </c>
      <c r="G17" s="86" t="s">
        <v>9</v>
      </c>
      <c r="H17" s="78" t="s">
        <v>564</v>
      </c>
      <c r="I17" s="78">
        <v>52.0028839</v>
      </c>
      <c r="J17" s="79">
        <v>34.9315529</v>
      </c>
      <c r="K17" s="80">
        <v>62</v>
      </c>
      <c r="L17" s="81" t="s">
        <v>763</v>
      </c>
      <c r="M17" s="1" t="s">
        <v>777</v>
      </c>
      <c r="N17" s="148" t="s">
        <v>777</v>
      </c>
      <c r="O17" s="112"/>
      <c r="P17" s="112"/>
    </row>
    <row r="18" spans="1:17" x14ac:dyDescent="0.2">
      <c r="A18" s="125">
        <v>15</v>
      </c>
      <c r="B18" s="13" t="s">
        <v>39</v>
      </c>
      <c r="C18" s="13" t="s">
        <v>40</v>
      </c>
      <c r="D18" s="13">
        <v>1985</v>
      </c>
      <c r="E18" s="13">
        <v>4810</v>
      </c>
      <c r="F18" s="13">
        <v>260</v>
      </c>
      <c r="G18" s="13" t="s">
        <v>20</v>
      </c>
      <c r="H18" s="6" t="s">
        <v>564</v>
      </c>
      <c r="I18" s="6">
        <v>52.137008700000003</v>
      </c>
      <c r="J18" s="12">
        <v>34.843799599999997</v>
      </c>
      <c r="K18" s="65">
        <v>63</v>
      </c>
      <c r="L18" s="83"/>
      <c r="N18" s="148" t="s">
        <v>777</v>
      </c>
      <c r="O18" s="112"/>
      <c r="P18" s="112"/>
    </row>
    <row r="19" spans="1:17" x14ac:dyDescent="0.2">
      <c r="A19" s="125">
        <v>16</v>
      </c>
      <c r="B19" s="13" t="s">
        <v>41</v>
      </c>
      <c r="C19" s="13" t="s">
        <v>42</v>
      </c>
      <c r="D19" s="13">
        <v>1987</v>
      </c>
      <c r="E19" s="13">
        <v>1520</v>
      </c>
      <c r="F19" s="13">
        <v>79</v>
      </c>
      <c r="G19" s="13" t="s">
        <v>9</v>
      </c>
      <c r="H19" s="115" t="s">
        <v>564</v>
      </c>
      <c r="I19" s="6">
        <v>52.067195900000002</v>
      </c>
      <c r="J19" s="12">
        <v>35.297905</v>
      </c>
      <c r="K19" s="65">
        <v>64</v>
      </c>
      <c r="L19" s="83"/>
      <c r="N19" s="148" t="s">
        <v>777</v>
      </c>
      <c r="O19" s="112"/>
      <c r="P19" s="112"/>
    </row>
    <row r="20" spans="1:17" ht="30" x14ac:dyDescent="0.2">
      <c r="A20" s="125">
        <v>17</v>
      </c>
      <c r="B20" s="13" t="s">
        <v>43</v>
      </c>
      <c r="C20" s="13" t="s">
        <v>44</v>
      </c>
      <c r="D20" s="13">
        <v>1985</v>
      </c>
      <c r="E20" s="13">
        <v>560</v>
      </c>
      <c r="F20" s="13">
        <v>58</v>
      </c>
      <c r="G20" s="13" t="s">
        <v>9</v>
      </c>
      <c r="H20" s="115" t="s">
        <v>1118</v>
      </c>
      <c r="I20" s="6">
        <v>52.042217299999997</v>
      </c>
      <c r="J20" s="12">
        <v>34.8942719</v>
      </c>
      <c r="K20" s="65">
        <v>65</v>
      </c>
      <c r="L20" s="83"/>
      <c r="N20" s="148" t="s">
        <v>777</v>
      </c>
      <c r="O20" s="112"/>
      <c r="P20" s="112"/>
    </row>
    <row r="21" spans="1:17" x14ac:dyDescent="0.2">
      <c r="A21" s="125">
        <v>18</v>
      </c>
      <c r="B21" s="13" t="s">
        <v>45</v>
      </c>
      <c r="C21" s="13" t="s">
        <v>46</v>
      </c>
      <c r="D21" s="13">
        <v>1976</v>
      </c>
      <c r="E21" s="13">
        <v>544</v>
      </c>
      <c r="F21" s="13">
        <v>17</v>
      </c>
      <c r="G21" s="13" t="s">
        <v>9</v>
      </c>
      <c r="H21" s="115" t="s">
        <v>1120</v>
      </c>
      <c r="I21" s="6">
        <v>52.231712299999998</v>
      </c>
      <c r="J21" s="12">
        <v>34.9930077</v>
      </c>
      <c r="K21" s="65">
        <v>66</v>
      </c>
      <c r="L21" s="83"/>
      <c r="N21" s="148" t="s">
        <v>777</v>
      </c>
      <c r="O21" s="112"/>
      <c r="P21" s="112"/>
    </row>
    <row r="22" spans="1:17" x14ac:dyDescent="0.2">
      <c r="A22" s="125">
        <v>19</v>
      </c>
      <c r="B22" s="13" t="s">
        <v>47</v>
      </c>
      <c r="C22" s="13" t="s">
        <v>48</v>
      </c>
      <c r="D22" s="13">
        <v>1986</v>
      </c>
      <c r="E22" s="13">
        <v>784</v>
      </c>
      <c r="F22" s="13">
        <v>32</v>
      </c>
      <c r="G22" s="13" t="s">
        <v>9</v>
      </c>
      <c r="H22" s="115" t="s">
        <v>565</v>
      </c>
      <c r="I22" s="6">
        <v>52.167285900000003</v>
      </c>
      <c r="J22" s="12">
        <v>34.863723800000002</v>
      </c>
      <c r="K22" s="65">
        <v>67</v>
      </c>
      <c r="L22" s="83"/>
      <c r="N22" s="148" t="s">
        <v>777</v>
      </c>
      <c r="O22" s="112"/>
      <c r="P22" s="112"/>
    </row>
    <row r="23" spans="1:17" x14ac:dyDescent="0.2">
      <c r="A23" s="125">
        <v>20</v>
      </c>
      <c r="B23" s="13" t="s">
        <v>43</v>
      </c>
      <c r="C23" s="13" t="s">
        <v>49</v>
      </c>
      <c r="D23" s="13">
        <v>1976</v>
      </c>
      <c r="E23" s="13">
        <v>650</v>
      </c>
      <c r="F23" s="13">
        <v>25</v>
      </c>
      <c r="G23" s="13" t="s">
        <v>9</v>
      </c>
      <c r="H23" s="115" t="s">
        <v>1119</v>
      </c>
      <c r="I23" s="6">
        <v>52.045520799999998</v>
      </c>
      <c r="J23" s="12">
        <v>34.901233699999999</v>
      </c>
      <c r="K23" s="65">
        <v>68</v>
      </c>
      <c r="L23" s="83"/>
      <c r="N23" s="148" t="s">
        <v>777</v>
      </c>
      <c r="O23" s="112"/>
      <c r="P23" s="112"/>
    </row>
    <row r="24" spans="1:17" x14ac:dyDescent="0.2">
      <c r="A24" s="125">
        <v>21</v>
      </c>
      <c r="B24" s="13" t="s">
        <v>45</v>
      </c>
      <c r="C24" s="13" t="s">
        <v>562</v>
      </c>
      <c r="D24" s="13">
        <v>1956</v>
      </c>
      <c r="E24" s="13">
        <v>504</v>
      </c>
      <c r="F24" s="13">
        <v>25</v>
      </c>
      <c r="G24" s="13" t="s">
        <v>9</v>
      </c>
      <c r="H24" s="6" t="s">
        <v>566</v>
      </c>
      <c r="I24" s="6">
        <v>52.224346199999999</v>
      </c>
      <c r="J24" s="12">
        <v>35.053703300000002</v>
      </c>
      <c r="K24" s="65">
        <v>69</v>
      </c>
      <c r="L24" s="83"/>
      <c r="N24" s="148" t="s">
        <v>777</v>
      </c>
      <c r="O24" s="112"/>
      <c r="P24" s="112"/>
    </row>
    <row r="25" spans="1:17" x14ac:dyDescent="0.2">
      <c r="A25" s="125">
        <v>22</v>
      </c>
      <c r="B25" s="13" t="s">
        <v>50</v>
      </c>
      <c r="C25" s="13" t="s">
        <v>51</v>
      </c>
      <c r="D25" s="13">
        <v>1976</v>
      </c>
      <c r="E25" s="13">
        <v>569</v>
      </c>
      <c r="F25" s="13">
        <v>25</v>
      </c>
      <c r="G25" s="13" t="s">
        <v>9</v>
      </c>
      <c r="H25" s="115" t="s">
        <v>1119</v>
      </c>
      <c r="I25" s="6">
        <v>52.005302399999998</v>
      </c>
      <c r="J25" s="12">
        <v>34.756771100000002</v>
      </c>
      <c r="K25" s="65">
        <v>70</v>
      </c>
      <c r="L25" s="83"/>
      <c r="N25" s="148" t="s">
        <v>777</v>
      </c>
      <c r="O25" s="112"/>
      <c r="P25" s="112"/>
    </row>
    <row r="26" spans="1:17" x14ac:dyDescent="0.2">
      <c r="A26" s="125">
        <v>23</v>
      </c>
      <c r="B26" s="13" t="s">
        <v>52</v>
      </c>
      <c r="C26" s="13" t="s">
        <v>53</v>
      </c>
      <c r="D26" s="13">
        <v>1974</v>
      </c>
      <c r="E26" s="13">
        <v>564</v>
      </c>
      <c r="F26" s="13">
        <v>33</v>
      </c>
      <c r="G26" s="13" t="s">
        <v>9</v>
      </c>
      <c r="H26" s="115" t="s">
        <v>1122</v>
      </c>
      <c r="I26" s="6">
        <v>52.157306699999999</v>
      </c>
      <c r="J26" s="12">
        <v>34.955532099999999</v>
      </c>
      <c r="K26" s="65">
        <v>71</v>
      </c>
      <c r="L26" s="83"/>
      <c r="N26" s="148" t="s">
        <v>777</v>
      </c>
      <c r="O26" s="112"/>
      <c r="P26" s="112"/>
    </row>
    <row r="27" spans="1:17" x14ac:dyDescent="0.2">
      <c r="A27" s="125">
        <v>24</v>
      </c>
      <c r="B27" s="13" t="s">
        <v>54</v>
      </c>
      <c r="C27" s="13" t="s">
        <v>55</v>
      </c>
      <c r="D27" s="13">
        <v>1983</v>
      </c>
      <c r="E27" s="13">
        <v>719</v>
      </c>
      <c r="F27" s="13">
        <v>20</v>
      </c>
      <c r="G27" s="13" t="s">
        <v>9</v>
      </c>
      <c r="H27" s="6" t="s">
        <v>567</v>
      </c>
      <c r="I27" s="6">
        <v>52.1381874</v>
      </c>
      <c r="J27" s="12">
        <v>35.089077000000003</v>
      </c>
      <c r="K27" s="67">
        <v>75</v>
      </c>
      <c r="L27" s="83"/>
      <c r="N27" s="148" t="s">
        <v>777</v>
      </c>
      <c r="O27" s="112"/>
      <c r="P27" s="112"/>
    </row>
    <row r="28" spans="1:17" x14ac:dyDescent="0.2">
      <c r="A28" s="125">
        <v>25</v>
      </c>
      <c r="B28" s="13" t="s">
        <v>56</v>
      </c>
      <c r="C28" s="13" t="s">
        <v>57</v>
      </c>
      <c r="D28" s="13">
        <v>1993</v>
      </c>
      <c r="E28" s="13">
        <v>260</v>
      </c>
      <c r="F28" s="13">
        <v>18</v>
      </c>
      <c r="G28" s="13" t="s">
        <v>20</v>
      </c>
      <c r="H28" s="6" t="s">
        <v>566</v>
      </c>
      <c r="I28" s="6">
        <v>52.246570599999998</v>
      </c>
      <c r="J28" s="12">
        <v>35.039348599999997</v>
      </c>
      <c r="K28" s="65">
        <v>72</v>
      </c>
      <c r="L28" s="83"/>
      <c r="N28" s="148" t="s">
        <v>777</v>
      </c>
      <c r="O28" s="112"/>
      <c r="P28" s="112"/>
    </row>
    <row r="29" spans="1:17" x14ac:dyDescent="0.2">
      <c r="A29" s="125">
        <v>26</v>
      </c>
      <c r="B29" s="13" t="s">
        <v>58</v>
      </c>
      <c r="C29" s="13" t="s">
        <v>59</v>
      </c>
      <c r="D29" s="13">
        <v>1957</v>
      </c>
      <c r="E29" s="13">
        <v>290</v>
      </c>
      <c r="F29" s="13">
        <v>21</v>
      </c>
      <c r="G29" s="13" t="s">
        <v>20</v>
      </c>
      <c r="H29" s="115" t="s">
        <v>566</v>
      </c>
      <c r="I29" s="6">
        <v>52.277000399999999</v>
      </c>
      <c r="J29" s="12">
        <v>34.917270700000003</v>
      </c>
      <c r="K29" s="65">
        <v>73</v>
      </c>
      <c r="L29" s="83"/>
      <c r="N29" s="148" t="s">
        <v>777</v>
      </c>
      <c r="O29" s="112"/>
      <c r="P29" s="112"/>
    </row>
    <row r="30" spans="1:17" x14ac:dyDescent="0.2">
      <c r="A30" s="125">
        <v>27</v>
      </c>
      <c r="B30" s="13" t="s">
        <v>60</v>
      </c>
      <c r="C30" s="13" t="s">
        <v>61</v>
      </c>
      <c r="D30" s="13">
        <v>1987</v>
      </c>
      <c r="E30" s="13">
        <v>126</v>
      </c>
      <c r="F30" s="13">
        <v>7</v>
      </c>
      <c r="G30" s="13" t="s">
        <v>20</v>
      </c>
      <c r="H30" s="115" t="s">
        <v>1123</v>
      </c>
      <c r="I30" s="6">
        <v>52.308963800000001</v>
      </c>
      <c r="J30" s="12">
        <v>35.075676000000001</v>
      </c>
      <c r="K30" s="65">
        <v>74</v>
      </c>
      <c r="L30" s="83"/>
      <c r="N30" s="148" t="s">
        <v>777</v>
      </c>
      <c r="O30" s="112"/>
      <c r="P30" s="112"/>
    </row>
    <row r="31" spans="1:17" ht="26.25" thickBot="1" x14ac:dyDescent="0.25">
      <c r="A31" s="125">
        <v>28</v>
      </c>
      <c r="B31" s="14" t="s">
        <v>39</v>
      </c>
      <c r="C31" s="14" t="s">
        <v>62</v>
      </c>
      <c r="D31" s="14">
        <v>1973</v>
      </c>
      <c r="E31" s="14">
        <v>647</v>
      </c>
      <c r="F31" s="14">
        <v>32</v>
      </c>
      <c r="G31" s="14" t="s">
        <v>20</v>
      </c>
      <c r="H31" s="115" t="s">
        <v>565</v>
      </c>
      <c r="I31" s="6">
        <v>52.1777534</v>
      </c>
      <c r="J31" s="12">
        <v>34.855659500000002</v>
      </c>
      <c r="K31" s="65">
        <v>76</v>
      </c>
      <c r="L31" s="111" t="s">
        <v>1121</v>
      </c>
      <c r="N31" s="148" t="s">
        <v>777</v>
      </c>
      <c r="O31" s="112"/>
      <c r="P31" s="112"/>
      <c r="Q31" s="42"/>
    </row>
    <row r="32" spans="1:17" ht="14.25" x14ac:dyDescent="0.2">
      <c r="A32" s="195" t="s">
        <v>63</v>
      </c>
      <c r="B32" s="196"/>
      <c r="C32" s="196"/>
      <c r="D32" s="196"/>
      <c r="E32" s="196"/>
      <c r="F32" s="196"/>
      <c r="G32" s="196"/>
      <c r="H32" s="196"/>
      <c r="I32" s="196"/>
      <c r="J32" s="196"/>
      <c r="K32" s="68"/>
      <c r="L32" s="83"/>
      <c r="N32" s="112"/>
      <c r="O32" s="112"/>
      <c r="P32" s="112"/>
      <c r="Q32" s="42"/>
    </row>
    <row r="33" spans="1:1023" ht="30" x14ac:dyDescent="0.2">
      <c r="A33" s="125">
        <v>29</v>
      </c>
      <c r="B33" s="13" t="s">
        <v>64</v>
      </c>
      <c r="C33" s="13" t="s">
        <v>65</v>
      </c>
      <c r="D33" s="13">
        <v>1976</v>
      </c>
      <c r="E33" s="13">
        <v>41100</v>
      </c>
      <c r="F33" s="13">
        <v>1407</v>
      </c>
      <c r="G33" s="13" t="s">
        <v>20</v>
      </c>
      <c r="H33" s="6" t="s">
        <v>569</v>
      </c>
      <c r="I33" s="6">
        <v>52.231510200000002</v>
      </c>
      <c r="J33" s="12">
        <v>35.562595399999999</v>
      </c>
      <c r="K33" s="65">
        <v>77</v>
      </c>
      <c r="L33" s="124" t="s">
        <v>1117</v>
      </c>
      <c r="N33" s="148" t="s">
        <v>777</v>
      </c>
      <c r="O33" s="112"/>
      <c r="P33" s="112"/>
      <c r="Q33" s="36"/>
    </row>
    <row r="34" spans="1:1023" ht="30" x14ac:dyDescent="0.2">
      <c r="A34" s="125">
        <v>30</v>
      </c>
      <c r="B34" s="86" t="s">
        <v>66</v>
      </c>
      <c r="C34" s="86" t="s">
        <v>67</v>
      </c>
      <c r="D34" s="86">
        <v>1960</v>
      </c>
      <c r="E34" s="86">
        <v>2450</v>
      </c>
      <c r="F34" s="86">
        <v>180</v>
      </c>
      <c r="G34" s="86" t="s">
        <v>20</v>
      </c>
      <c r="H34" s="78" t="s">
        <v>569</v>
      </c>
      <c r="I34" s="78" t="s">
        <v>570</v>
      </c>
      <c r="J34" s="79" t="s">
        <v>571</v>
      </c>
      <c r="K34" s="80">
        <v>81</v>
      </c>
      <c r="L34" s="124" t="s">
        <v>1117</v>
      </c>
      <c r="M34" s="1" t="s">
        <v>777</v>
      </c>
      <c r="N34" s="148" t="s">
        <v>777</v>
      </c>
      <c r="O34" s="171" t="s">
        <v>777</v>
      </c>
      <c r="P34" s="148" t="s">
        <v>777</v>
      </c>
      <c r="Q34" s="36"/>
    </row>
    <row r="35" spans="1:1023" ht="30" x14ac:dyDescent="0.2">
      <c r="A35" s="125">
        <v>31</v>
      </c>
      <c r="B35" s="13" t="s">
        <v>66</v>
      </c>
      <c r="C35" s="13" t="s">
        <v>68</v>
      </c>
      <c r="D35" s="13">
        <v>1960</v>
      </c>
      <c r="E35" s="13">
        <v>1500</v>
      </c>
      <c r="F35" s="13">
        <v>100</v>
      </c>
      <c r="G35" s="13" t="s">
        <v>20</v>
      </c>
      <c r="H35" s="6" t="s">
        <v>569</v>
      </c>
      <c r="I35" s="15">
        <v>52.348407999999999</v>
      </c>
      <c r="J35" s="45">
        <v>35.445658000000002</v>
      </c>
      <c r="K35" s="65">
        <v>82</v>
      </c>
      <c r="L35" s="124" t="s">
        <v>1117</v>
      </c>
      <c r="N35" s="148" t="s">
        <v>777</v>
      </c>
      <c r="O35" s="171" t="s">
        <v>777</v>
      </c>
      <c r="P35" s="148" t="s">
        <v>777</v>
      </c>
      <c r="Q35" s="36"/>
    </row>
    <row r="36" spans="1:1023" x14ac:dyDescent="0.2">
      <c r="A36" s="125">
        <v>32</v>
      </c>
      <c r="B36" s="13" t="s">
        <v>69</v>
      </c>
      <c r="C36" s="13" t="s">
        <v>70</v>
      </c>
      <c r="D36" s="13">
        <v>1978</v>
      </c>
      <c r="E36" s="13">
        <v>1050</v>
      </c>
      <c r="F36" s="13">
        <v>56</v>
      </c>
      <c r="G36" s="13" t="s">
        <v>9</v>
      </c>
      <c r="H36" s="115" t="s">
        <v>1124</v>
      </c>
      <c r="I36" s="6">
        <v>52.309146900000002</v>
      </c>
      <c r="J36" s="12">
        <v>35.228187599999998</v>
      </c>
      <c r="K36" s="65">
        <v>84</v>
      </c>
      <c r="L36" s="83"/>
      <c r="N36" s="148" t="s">
        <v>777</v>
      </c>
      <c r="O36" s="112"/>
      <c r="P36" s="112"/>
      <c r="Q36" s="36"/>
    </row>
    <row r="37" spans="1:1023" x14ac:dyDescent="0.2">
      <c r="A37" s="125">
        <v>33</v>
      </c>
      <c r="B37" s="86" t="s">
        <v>71</v>
      </c>
      <c r="C37" s="86" t="s">
        <v>72</v>
      </c>
      <c r="D37" s="86">
        <v>1980</v>
      </c>
      <c r="E37" s="86">
        <v>1079</v>
      </c>
      <c r="F37" s="86">
        <v>31</v>
      </c>
      <c r="G37" s="86" t="s">
        <v>9</v>
      </c>
      <c r="H37" s="78" t="s">
        <v>572</v>
      </c>
      <c r="I37" s="78">
        <v>52.288318599999997</v>
      </c>
      <c r="J37" s="79">
        <v>35.241340600000001</v>
      </c>
      <c r="K37" s="80">
        <v>85</v>
      </c>
      <c r="L37" s="81" t="s">
        <v>763</v>
      </c>
      <c r="M37" s="1" t="s">
        <v>777</v>
      </c>
      <c r="N37" s="148" t="s">
        <v>777</v>
      </c>
      <c r="O37" s="112"/>
      <c r="P37" s="112"/>
      <c r="Q37" s="36"/>
    </row>
    <row r="38" spans="1:1023" ht="30" x14ac:dyDescent="0.2">
      <c r="A38" s="125">
        <v>34</v>
      </c>
      <c r="B38" s="13" t="s">
        <v>73</v>
      </c>
      <c r="C38" s="13" t="s">
        <v>74</v>
      </c>
      <c r="D38" s="13">
        <v>1972</v>
      </c>
      <c r="E38" s="13">
        <v>2520</v>
      </c>
      <c r="F38" s="13">
        <v>84</v>
      </c>
      <c r="G38" s="13" t="s">
        <v>20</v>
      </c>
      <c r="H38" s="6" t="s">
        <v>573</v>
      </c>
      <c r="I38" s="15">
        <v>52.315311399999999</v>
      </c>
      <c r="J38" s="45">
        <v>35.358020799999998</v>
      </c>
      <c r="K38" s="65">
        <v>86</v>
      </c>
      <c r="L38" s="83"/>
      <c r="N38" s="148" t="s">
        <v>777</v>
      </c>
      <c r="O38" s="171" t="s">
        <v>777</v>
      </c>
      <c r="P38" s="148" t="s">
        <v>777</v>
      </c>
      <c r="Q38" s="36"/>
    </row>
    <row r="39" spans="1:1023" x14ac:dyDescent="0.2">
      <c r="A39" s="125">
        <v>35</v>
      </c>
      <c r="B39" s="13" t="s">
        <v>75</v>
      </c>
      <c r="C39" s="13" t="s">
        <v>76</v>
      </c>
      <c r="D39" s="13">
        <v>1977</v>
      </c>
      <c r="E39" s="13">
        <v>1138</v>
      </c>
      <c r="F39" s="13">
        <v>37</v>
      </c>
      <c r="G39" s="13" t="s">
        <v>20</v>
      </c>
      <c r="H39" s="6" t="s">
        <v>574</v>
      </c>
      <c r="I39" s="15">
        <v>52.106220200000003</v>
      </c>
      <c r="J39" s="45">
        <v>35.537990600000001</v>
      </c>
      <c r="K39" s="65">
        <v>87</v>
      </c>
      <c r="L39" s="83"/>
      <c r="N39" s="148" t="s">
        <v>777</v>
      </c>
      <c r="O39" s="112"/>
      <c r="P39" s="112"/>
      <c r="Q39" s="36"/>
    </row>
    <row r="40" spans="1:1023" x14ac:dyDescent="0.2">
      <c r="A40" s="125">
        <v>36</v>
      </c>
      <c r="B40" s="13" t="s">
        <v>77</v>
      </c>
      <c r="C40" s="13" t="s">
        <v>78</v>
      </c>
      <c r="D40" s="13">
        <v>1978</v>
      </c>
      <c r="E40" s="13">
        <v>1675</v>
      </c>
      <c r="F40" s="13">
        <v>193.3</v>
      </c>
      <c r="G40" s="13" t="s">
        <v>20</v>
      </c>
      <c r="H40" s="6" t="s">
        <v>575</v>
      </c>
      <c r="I40" s="15">
        <v>52.217460600000003</v>
      </c>
      <c r="J40" s="45">
        <v>35.490894300000001</v>
      </c>
      <c r="K40" s="65">
        <v>88</v>
      </c>
      <c r="L40" s="83"/>
      <c r="N40" s="148" t="s">
        <v>777</v>
      </c>
      <c r="O40" s="148" t="s">
        <v>777</v>
      </c>
      <c r="P40" s="148" t="s">
        <v>777</v>
      </c>
      <c r="Q40" s="36"/>
    </row>
    <row r="41" spans="1:1023" x14ac:dyDescent="0.2">
      <c r="A41" s="125">
        <v>37</v>
      </c>
      <c r="B41" s="13" t="s">
        <v>79</v>
      </c>
      <c r="C41" s="13" t="s">
        <v>80</v>
      </c>
      <c r="D41" s="13">
        <v>2004</v>
      </c>
      <c r="E41" s="13">
        <v>1040</v>
      </c>
      <c r="F41" s="13">
        <v>44</v>
      </c>
      <c r="G41" s="13" t="s">
        <v>20</v>
      </c>
      <c r="H41" s="6" t="s">
        <v>576</v>
      </c>
      <c r="I41" s="15">
        <v>52.146045700000002</v>
      </c>
      <c r="J41" s="45">
        <v>35.443729400000002</v>
      </c>
      <c r="K41" s="65">
        <v>89</v>
      </c>
      <c r="L41" s="83"/>
      <c r="N41" s="148" t="s">
        <v>777</v>
      </c>
      <c r="O41" s="148" t="s">
        <v>777</v>
      </c>
      <c r="P41" s="148" t="s">
        <v>777</v>
      </c>
      <c r="Q41" s="36"/>
    </row>
    <row r="42" spans="1:1023" ht="30" x14ac:dyDescent="0.2">
      <c r="A42" s="125">
        <v>38</v>
      </c>
      <c r="B42" s="13" t="s">
        <v>81</v>
      </c>
      <c r="C42" s="13" t="s">
        <v>82</v>
      </c>
      <c r="D42" s="13">
        <v>1975</v>
      </c>
      <c r="E42" s="13">
        <v>880</v>
      </c>
      <c r="F42" s="13">
        <v>97</v>
      </c>
      <c r="G42" s="13" t="s">
        <v>20</v>
      </c>
      <c r="H42" s="6" t="s">
        <v>575</v>
      </c>
      <c r="I42" s="15">
        <v>52.223426799999999</v>
      </c>
      <c r="J42" s="45">
        <v>35.5369606</v>
      </c>
      <c r="K42" s="65">
        <v>90</v>
      </c>
      <c r="L42" s="83"/>
      <c r="N42" s="148" t="s">
        <v>777</v>
      </c>
      <c r="O42" s="171" t="s">
        <v>777</v>
      </c>
      <c r="P42" s="148" t="s">
        <v>777</v>
      </c>
      <c r="Q42" s="36"/>
    </row>
    <row r="43" spans="1:1023" x14ac:dyDescent="0.2">
      <c r="A43" s="125">
        <v>39</v>
      </c>
      <c r="B43" s="13" t="s">
        <v>81</v>
      </c>
      <c r="C43" s="13" t="s">
        <v>83</v>
      </c>
      <c r="D43" s="13">
        <v>1975</v>
      </c>
      <c r="E43" s="13">
        <v>440</v>
      </c>
      <c r="F43" s="13">
        <v>76</v>
      </c>
      <c r="G43" s="13" t="s">
        <v>20</v>
      </c>
      <c r="H43" s="6" t="s">
        <v>575</v>
      </c>
      <c r="I43" s="15">
        <v>52.223922700000003</v>
      </c>
      <c r="J43" s="45">
        <v>35.530399299999999</v>
      </c>
      <c r="K43" s="65">
        <v>91</v>
      </c>
      <c r="L43" s="83"/>
      <c r="N43" s="148" t="s">
        <v>777</v>
      </c>
      <c r="O43" s="174" t="s">
        <v>777</v>
      </c>
      <c r="P43" s="174" t="s">
        <v>777</v>
      </c>
      <c r="Q43" s="184" t="s">
        <v>1178</v>
      </c>
    </row>
    <row r="44" spans="1:1023" ht="26.1" customHeight="1" x14ac:dyDescent="0.2">
      <c r="A44" s="125">
        <v>40</v>
      </c>
      <c r="B44" s="13" t="s">
        <v>84</v>
      </c>
      <c r="C44" s="13" t="s">
        <v>85</v>
      </c>
      <c r="D44" s="13">
        <v>1979</v>
      </c>
      <c r="E44" s="13">
        <v>564</v>
      </c>
      <c r="F44" s="13">
        <v>28</v>
      </c>
      <c r="G44" s="13" t="s">
        <v>20</v>
      </c>
      <c r="H44" s="115" t="s">
        <v>1125</v>
      </c>
      <c r="I44" s="6">
        <v>52.366107900000003</v>
      </c>
      <c r="J44" s="12">
        <v>35.239952099999996</v>
      </c>
      <c r="K44" s="67">
        <v>92</v>
      </c>
      <c r="L44" s="83"/>
      <c r="N44" s="148" t="s">
        <v>777</v>
      </c>
      <c r="O44" s="148" t="s">
        <v>777</v>
      </c>
      <c r="P44" s="148" t="s">
        <v>777</v>
      </c>
      <c r="Q44" s="36"/>
    </row>
    <row r="45" spans="1:1023" ht="30" x14ac:dyDescent="0.2">
      <c r="A45" s="125">
        <v>41</v>
      </c>
      <c r="B45" s="13" t="s">
        <v>86</v>
      </c>
      <c r="C45" s="13" t="s">
        <v>74</v>
      </c>
      <c r="D45" s="13">
        <v>1964</v>
      </c>
      <c r="E45" s="13">
        <v>250</v>
      </c>
      <c r="F45" s="13">
        <v>10</v>
      </c>
      <c r="G45" s="13" t="s">
        <v>9</v>
      </c>
      <c r="H45" s="6" t="s">
        <v>569</v>
      </c>
      <c r="I45" s="15">
        <v>52.345917999999998</v>
      </c>
      <c r="J45" s="45">
        <v>35.377457999999997</v>
      </c>
      <c r="K45" s="67">
        <v>83</v>
      </c>
      <c r="L45" s="124" t="s">
        <v>1117</v>
      </c>
      <c r="N45" s="148" t="s">
        <v>777</v>
      </c>
      <c r="O45" s="112"/>
      <c r="P45" s="112"/>
      <c r="Q45" s="36"/>
    </row>
    <row r="46" spans="1:1023" x14ac:dyDescent="0.2">
      <c r="A46" s="125">
        <v>42</v>
      </c>
      <c r="B46" s="13" t="s">
        <v>87</v>
      </c>
      <c r="C46" s="13" t="s">
        <v>88</v>
      </c>
      <c r="D46" s="13">
        <v>1980</v>
      </c>
      <c r="E46" s="13">
        <v>323</v>
      </c>
      <c r="F46" s="13">
        <v>15</v>
      </c>
      <c r="G46" s="13" t="s">
        <v>9</v>
      </c>
      <c r="H46" s="6" t="s">
        <v>577</v>
      </c>
      <c r="I46" s="6">
        <v>52.297233599999998</v>
      </c>
      <c r="J46" s="12">
        <v>35.514183000000003</v>
      </c>
      <c r="K46" s="67">
        <v>93</v>
      </c>
      <c r="L46" s="83"/>
      <c r="N46" s="148" t="s">
        <v>777</v>
      </c>
      <c r="O46" s="112"/>
      <c r="P46" s="112"/>
      <c r="Q46" s="36"/>
    </row>
    <row r="47" spans="1:1023" x14ac:dyDescent="0.2">
      <c r="A47" s="197">
        <v>43</v>
      </c>
      <c r="B47" s="200" t="s">
        <v>87</v>
      </c>
      <c r="C47" s="200" t="s">
        <v>89</v>
      </c>
      <c r="D47" s="200">
        <v>1975</v>
      </c>
      <c r="E47" s="200">
        <v>460000</v>
      </c>
      <c r="F47" s="200">
        <v>1300</v>
      </c>
      <c r="G47" s="200" t="s">
        <v>20</v>
      </c>
      <c r="H47" s="217" t="s">
        <v>569</v>
      </c>
      <c r="I47" s="78">
        <v>52.325775100000001</v>
      </c>
      <c r="J47" s="79">
        <v>35.5229225</v>
      </c>
      <c r="K47" s="220">
        <v>78</v>
      </c>
      <c r="L47" s="223" t="s">
        <v>1117</v>
      </c>
      <c r="M47" s="1" t="s">
        <v>777</v>
      </c>
      <c r="N47" s="226" t="s">
        <v>777</v>
      </c>
      <c r="O47" s="203" t="s">
        <v>777</v>
      </c>
      <c r="P47" s="203" t="s">
        <v>777</v>
      </c>
      <c r="Q47" s="206"/>
      <c r="R47" s="124" t="s">
        <v>1117</v>
      </c>
    </row>
    <row r="48" spans="1:1023" x14ac:dyDescent="0.2">
      <c r="A48" s="198"/>
      <c r="B48" s="201"/>
      <c r="C48" s="201"/>
      <c r="D48" s="201"/>
      <c r="E48" s="201"/>
      <c r="F48" s="201"/>
      <c r="G48" s="201"/>
      <c r="H48" s="218"/>
      <c r="I48" s="131"/>
      <c r="J48" s="132"/>
      <c r="K48" s="221"/>
      <c r="L48" s="224"/>
      <c r="M48" s="2"/>
      <c r="N48" s="226"/>
      <c r="O48" s="204"/>
      <c r="P48" s="204"/>
      <c r="Q48" s="207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/>
      <c r="AGW48" s="2"/>
      <c r="AGX48" s="2"/>
      <c r="AGY48" s="2"/>
      <c r="AGZ48" s="2"/>
      <c r="AHA48" s="2"/>
      <c r="AHB48" s="2"/>
      <c r="AHC48" s="2"/>
      <c r="AHD48" s="2"/>
      <c r="AHE48" s="2"/>
      <c r="AHF48" s="2"/>
      <c r="AHG48" s="2"/>
      <c r="AHH48" s="2"/>
      <c r="AHI48" s="2"/>
      <c r="AHJ48" s="2"/>
      <c r="AHK48" s="2"/>
      <c r="AHL48" s="2"/>
      <c r="AHM48" s="2"/>
      <c r="AHN48" s="2"/>
      <c r="AHO48" s="2"/>
      <c r="AHP48" s="2"/>
      <c r="AHQ48" s="2"/>
      <c r="AHR48" s="2"/>
      <c r="AHS48" s="2"/>
      <c r="AHT48" s="2"/>
      <c r="AHU48" s="2"/>
      <c r="AHV48" s="2"/>
      <c r="AHW48" s="2"/>
      <c r="AHX48" s="2"/>
      <c r="AHY48" s="2"/>
      <c r="AHZ48" s="2"/>
      <c r="AIA48" s="2"/>
      <c r="AIB48" s="2"/>
      <c r="AIC48" s="2"/>
      <c r="AID48" s="2"/>
      <c r="AIE48" s="2"/>
      <c r="AIF48" s="2"/>
      <c r="AIG48" s="2"/>
      <c r="AIH48" s="2"/>
      <c r="AII48" s="2"/>
      <c r="AIJ48" s="2"/>
      <c r="AIK48" s="2"/>
      <c r="AIL48" s="2"/>
      <c r="AIM48" s="2"/>
      <c r="AIN48" s="2"/>
      <c r="AIO48" s="2"/>
      <c r="AIP48" s="2"/>
      <c r="AIQ48" s="2"/>
      <c r="AIR48" s="2"/>
      <c r="AIS48" s="2"/>
      <c r="AIT48" s="2"/>
      <c r="AIU48" s="2"/>
      <c r="AIV48" s="2"/>
      <c r="AIW48" s="2"/>
      <c r="AIX48" s="2"/>
      <c r="AIY48" s="2"/>
      <c r="AIZ48" s="2"/>
      <c r="AJA48" s="2"/>
      <c r="AJB48" s="2"/>
      <c r="AJC48" s="2"/>
      <c r="AJD48" s="2"/>
      <c r="AJE48" s="2"/>
      <c r="AJF48" s="2"/>
      <c r="AJG48" s="2"/>
      <c r="AJH48" s="2"/>
      <c r="AJI48" s="2"/>
      <c r="AJJ48" s="2"/>
      <c r="AJK48" s="2"/>
      <c r="AJL48" s="2"/>
      <c r="AJM48" s="2"/>
      <c r="AJN48" s="2"/>
      <c r="AJO48" s="2"/>
      <c r="AJP48" s="2"/>
      <c r="AJQ48" s="2"/>
      <c r="AJR48" s="2"/>
      <c r="AJS48" s="2"/>
      <c r="AJT48" s="2"/>
      <c r="AJU48" s="2"/>
      <c r="AJV48" s="2"/>
      <c r="AJW48" s="2"/>
      <c r="AJX48" s="2"/>
      <c r="AJY48" s="2"/>
      <c r="AJZ48" s="2"/>
      <c r="AKA48" s="2"/>
      <c r="AKB48" s="2"/>
      <c r="AKC48" s="2"/>
      <c r="AKD48" s="2"/>
      <c r="AKE48" s="2"/>
      <c r="AKF48" s="2"/>
      <c r="AKG48" s="2"/>
      <c r="AKH48" s="2"/>
      <c r="AKI48" s="2"/>
      <c r="AKJ48" s="2"/>
      <c r="AKK48" s="2"/>
      <c r="AKL48" s="2"/>
      <c r="AKM48" s="2"/>
      <c r="AKN48" s="2"/>
      <c r="AKO48" s="2"/>
      <c r="AKP48" s="2"/>
      <c r="AKQ48" s="2"/>
      <c r="AKR48" s="2"/>
      <c r="AKS48" s="2"/>
      <c r="AKT48" s="2"/>
      <c r="AKU48" s="2"/>
      <c r="AKV48" s="2"/>
      <c r="AKW48" s="2"/>
      <c r="AKX48" s="2"/>
      <c r="AKY48" s="2"/>
      <c r="AKZ48" s="2"/>
      <c r="ALA48" s="2"/>
      <c r="ALB48" s="2"/>
      <c r="ALC48" s="2"/>
      <c r="ALD48" s="2"/>
      <c r="ALE48" s="2"/>
      <c r="ALF48" s="2"/>
      <c r="ALG48" s="2"/>
      <c r="ALH48" s="2"/>
      <c r="ALI48" s="2"/>
      <c r="ALJ48" s="2"/>
      <c r="ALK48" s="2"/>
      <c r="ALL48" s="2"/>
      <c r="ALM48" s="2"/>
      <c r="ALN48" s="2"/>
      <c r="ALO48" s="2"/>
      <c r="ALP48" s="2"/>
      <c r="ALQ48" s="2"/>
      <c r="ALR48" s="2"/>
      <c r="ALS48" s="2"/>
      <c r="ALT48" s="2"/>
      <c r="ALU48" s="2"/>
      <c r="ALV48" s="2"/>
      <c r="ALW48" s="2"/>
      <c r="ALX48" s="2"/>
      <c r="ALY48" s="2"/>
      <c r="ALZ48" s="2"/>
      <c r="AMA48" s="2"/>
      <c r="AMB48" s="2"/>
      <c r="AMC48" s="2"/>
      <c r="AMD48" s="2"/>
      <c r="AME48" s="2"/>
      <c r="AMF48" s="2"/>
      <c r="AMG48" s="2"/>
      <c r="AMH48" s="2"/>
      <c r="AMI48" s="2"/>
    </row>
    <row r="49" spans="1:1023" x14ac:dyDescent="0.2">
      <c r="A49" s="198"/>
      <c r="B49" s="201"/>
      <c r="C49" s="201"/>
      <c r="D49" s="201"/>
      <c r="E49" s="201"/>
      <c r="F49" s="201"/>
      <c r="G49" s="201"/>
      <c r="H49" s="218"/>
      <c r="I49" s="131"/>
      <c r="J49" s="132"/>
      <c r="K49" s="221"/>
      <c r="L49" s="224"/>
      <c r="M49" s="2"/>
      <c r="N49" s="226"/>
      <c r="O49" s="204"/>
      <c r="P49" s="204"/>
      <c r="Q49" s="207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  <c r="ACG49" s="2"/>
      <c r="ACH49" s="2"/>
      <c r="ACI49" s="2"/>
      <c r="ACJ49" s="2"/>
      <c r="ACK49" s="2"/>
      <c r="ACL49" s="2"/>
      <c r="ACM49" s="2"/>
      <c r="ACN49" s="2"/>
      <c r="ACO49" s="2"/>
      <c r="ACP49" s="2"/>
      <c r="ACQ49" s="2"/>
      <c r="ACR49" s="2"/>
      <c r="ACS49" s="2"/>
      <c r="ACT49" s="2"/>
      <c r="ACU49" s="2"/>
      <c r="ACV49" s="2"/>
      <c r="ACW49" s="2"/>
      <c r="ACX49" s="2"/>
      <c r="ACY49" s="2"/>
      <c r="ACZ49" s="2"/>
      <c r="ADA49" s="2"/>
      <c r="ADB49" s="2"/>
      <c r="ADC49" s="2"/>
      <c r="ADD49" s="2"/>
      <c r="ADE49" s="2"/>
      <c r="ADF49" s="2"/>
      <c r="ADG49" s="2"/>
      <c r="ADH49" s="2"/>
      <c r="ADI49" s="2"/>
      <c r="ADJ49" s="2"/>
      <c r="ADK49" s="2"/>
      <c r="ADL49" s="2"/>
      <c r="ADM49" s="2"/>
      <c r="ADN49" s="2"/>
      <c r="ADO49" s="2"/>
      <c r="ADP49" s="2"/>
      <c r="ADQ49" s="2"/>
      <c r="ADR49" s="2"/>
      <c r="ADS49" s="2"/>
      <c r="ADT49" s="2"/>
      <c r="ADU49" s="2"/>
      <c r="ADV49" s="2"/>
      <c r="ADW49" s="2"/>
      <c r="ADX49" s="2"/>
      <c r="ADY49" s="2"/>
      <c r="ADZ49" s="2"/>
      <c r="AEA49" s="2"/>
      <c r="AEB49" s="2"/>
      <c r="AEC49" s="2"/>
      <c r="AED49" s="2"/>
      <c r="AEE49" s="2"/>
      <c r="AEF49" s="2"/>
      <c r="AEG49" s="2"/>
      <c r="AEH49" s="2"/>
      <c r="AEI49" s="2"/>
      <c r="AEJ49" s="2"/>
      <c r="AEK49" s="2"/>
      <c r="AEL49" s="2"/>
      <c r="AEM49" s="2"/>
      <c r="AEN49" s="2"/>
      <c r="AEO49" s="2"/>
      <c r="AEP49" s="2"/>
      <c r="AEQ49" s="2"/>
      <c r="AER49" s="2"/>
      <c r="AES49" s="2"/>
      <c r="AET49" s="2"/>
      <c r="AEU49" s="2"/>
      <c r="AEV49" s="2"/>
      <c r="AEW49" s="2"/>
      <c r="AEX49" s="2"/>
      <c r="AEY49" s="2"/>
      <c r="AEZ49" s="2"/>
      <c r="AFA49" s="2"/>
      <c r="AFB49" s="2"/>
      <c r="AFC49" s="2"/>
      <c r="AFD49" s="2"/>
      <c r="AFE49" s="2"/>
      <c r="AFF49" s="2"/>
      <c r="AFG49" s="2"/>
      <c r="AFH49" s="2"/>
      <c r="AFI49" s="2"/>
      <c r="AFJ49" s="2"/>
      <c r="AFK49" s="2"/>
      <c r="AFL49" s="2"/>
      <c r="AFM49" s="2"/>
      <c r="AFN49" s="2"/>
      <c r="AFO49" s="2"/>
      <c r="AFP49" s="2"/>
      <c r="AFQ49" s="2"/>
      <c r="AFR49" s="2"/>
      <c r="AFS49" s="2"/>
      <c r="AFT49" s="2"/>
      <c r="AFU49" s="2"/>
      <c r="AFV49" s="2"/>
      <c r="AFW49" s="2"/>
      <c r="AFX49" s="2"/>
      <c r="AFY49" s="2"/>
      <c r="AFZ49" s="2"/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/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/>
      <c r="AGW49" s="2"/>
      <c r="AGX49" s="2"/>
      <c r="AGY49" s="2"/>
      <c r="AGZ49" s="2"/>
      <c r="AHA49" s="2"/>
      <c r="AHB49" s="2"/>
      <c r="AHC49" s="2"/>
      <c r="AHD49" s="2"/>
      <c r="AHE49" s="2"/>
      <c r="AHF49" s="2"/>
      <c r="AHG49" s="2"/>
      <c r="AHH49" s="2"/>
      <c r="AHI49" s="2"/>
      <c r="AHJ49" s="2"/>
      <c r="AHK49" s="2"/>
      <c r="AHL49" s="2"/>
      <c r="AHM49" s="2"/>
      <c r="AHN49" s="2"/>
      <c r="AHO49" s="2"/>
      <c r="AHP49" s="2"/>
      <c r="AHQ49" s="2"/>
      <c r="AHR49" s="2"/>
      <c r="AHS49" s="2"/>
      <c r="AHT49" s="2"/>
      <c r="AHU49" s="2"/>
      <c r="AHV49" s="2"/>
      <c r="AHW49" s="2"/>
      <c r="AHX49" s="2"/>
      <c r="AHY49" s="2"/>
      <c r="AHZ49" s="2"/>
      <c r="AIA49" s="2"/>
      <c r="AIB49" s="2"/>
      <c r="AIC49" s="2"/>
      <c r="AID49" s="2"/>
      <c r="AIE49" s="2"/>
      <c r="AIF49" s="2"/>
      <c r="AIG49" s="2"/>
      <c r="AIH49" s="2"/>
      <c r="AII49" s="2"/>
      <c r="AIJ49" s="2"/>
      <c r="AIK49" s="2"/>
      <c r="AIL49" s="2"/>
      <c r="AIM49" s="2"/>
      <c r="AIN49" s="2"/>
      <c r="AIO49" s="2"/>
      <c r="AIP49" s="2"/>
      <c r="AIQ49" s="2"/>
      <c r="AIR49" s="2"/>
      <c r="AIS49" s="2"/>
      <c r="AIT49" s="2"/>
      <c r="AIU49" s="2"/>
      <c r="AIV49" s="2"/>
      <c r="AIW49" s="2"/>
      <c r="AIX49" s="2"/>
      <c r="AIY49" s="2"/>
      <c r="AIZ49" s="2"/>
      <c r="AJA49" s="2"/>
      <c r="AJB49" s="2"/>
      <c r="AJC49" s="2"/>
      <c r="AJD49" s="2"/>
      <c r="AJE49" s="2"/>
      <c r="AJF49" s="2"/>
      <c r="AJG49" s="2"/>
      <c r="AJH49" s="2"/>
      <c r="AJI49" s="2"/>
      <c r="AJJ49" s="2"/>
      <c r="AJK49" s="2"/>
      <c r="AJL49" s="2"/>
      <c r="AJM49" s="2"/>
      <c r="AJN49" s="2"/>
      <c r="AJO49" s="2"/>
      <c r="AJP49" s="2"/>
      <c r="AJQ49" s="2"/>
      <c r="AJR49" s="2"/>
      <c r="AJS49" s="2"/>
      <c r="AJT49" s="2"/>
      <c r="AJU49" s="2"/>
      <c r="AJV49" s="2"/>
      <c r="AJW49" s="2"/>
      <c r="AJX49" s="2"/>
      <c r="AJY49" s="2"/>
      <c r="AJZ49" s="2"/>
      <c r="AKA49" s="2"/>
      <c r="AKB49" s="2"/>
      <c r="AKC49" s="2"/>
      <c r="AKD49" s="2"/>
      <c r="AKE49" s="2"/>
      <c r="AKF49" s="2"/>
      <c r="AKG49" s="2"/>
      <c r="AKH49" s="2"/>
      <c r="AKI49" s="2"/>
      <c r="AKJ49" s="2"/>
      <c r="AKK49" s="2"/>
      <c r="AKL49" s="2"/>
      <c r="AKM49" s="2"/>
      <c r="AKN49" s="2"/>
      <c r="AKO49" s="2"/>
      <c r="AKP49" s="2"/>
      <c r="AKQ49" s="2"/>
      <c r="AKR49" s="2"/>
      <c r="AKS49" s="2"/>
      <c r="AKT49" s="2"/>
      <c r="AKU49" s="2"/>
      <c r="AKV49" s="2"/>
      <c r="AKW49" s="2"/>
      <c r="AKX49" s="2"/>
      <c r="AKY49" s="2"/>
      <c r="AKZ49" s="2"/>
      <c r="ALA49" s="2"/>
      <c r="ALB49" s="2"/>
      <c r="ALC49" s="2"/>
      <c r="ALD49" s="2"/>
      <c r="ALE49" s="2"/>
      <c r="ALF49" s="2"/>
      <c r="ALG49" s="2"/>
      <c r="ALH49" s="2"/>
      <c r="ALI49" s="2"/>
      <c r="ALJ49" s="2"/>
      <c r="ALK49" s="2"/>
      <c r="ALL49" s="2"/>
      <c r="ALM49" s="2"/>
      <c r="ALN49" s="2"/>
      <c r="ALO49" s="2"/>
      <c r="ALP49" s="2"/>
      <c r="ALQ49" s="2"/>
      <c r="ALR49" s="2"/>
      <c r="ALS49" s="2"/>
      <c r="ALT49" s="2"/>
      <c r="ALU49" s="2"/>
      <c r="ALV49" s="2"/>
      <c r="ALW49" s="2"/>
      <c r="ALX49" s="2"/>
      <c r="ALY49" s="2"/>
      <c r="ALZ49" s="2"/>
      <c r="AMA49" s="2"/>
      <c r="AMB49" s="2"/>
      <c r="AMC49" s="2"/>
      <c r="AMD49" s="2"/>
      <c r="AME49" s="2"/>
      <c r="AMF49" s="2"/>
      <c r="AMG49" s="2"/>
      <c r="AMH49" s="2"/>
      <c r="AMI49" s="2"/>
    </row>
    <row r="50" spans="1:1023" x14ac:dyDescent="0.2">
      <c r="A50" s="199"/>
      <c r="B50" s="202"/>
      <c r="C50" s="202"/>
      <c r="D50" s="202"/>
      <c r="E50" s="202"/>
      <c r="F50" s="202"/>
      <c r="G50" s="202"/>
      <c r="H50" s="219"/>
      <c r="I50" s="131"/>
      <c r="J50" s="132"/>
      <c r="K50" s="222"/>
      <c r="L50" s="225"/>
      <c r="M50" s="2"/>
      <c r="N50" s="226"/>
      <c r="O50" s="205"/>
      <c r="P50" s="205"/>
      <c r="Q50" s="208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/>
      <c r="AHA50" s="2"/>
      <c r="AHB50" s="2"/>
      <c r="AHC50" s="2"/>
      <c r="AHD50" s="2"/>
      <c r="AHE50" s="2"/>
      <c r="AHF50" s="2"/>
      <c r="AHG50" s="2"/>
      <c r="AHH50" s="2"/>
      <c r="AHI50" s="2"/>
      <c r="AHJ50" s="2"/>
      <c r="AHK50" s="2"/>
      <c r="AHL50" s="2"/>
      <c r="AHM50" s="2"/>
      <c r="AHN50" s="2"/>
      <c r="AHO50" s="2"/>
      <c r="AHP50" s="2"/>
      <c r="AHQ50" s="2"/>
      <c r="AHR50" s="2"/>
      <c r="AHS50" s="2"/>
      <c r="AHT50" s="2"/>
      <c r="AHU50" s="2"/>
      <c r="AHV50" s="2"/>
      <c r="AHW50" s="2"/>
      <c r="AHX50" s="2"/>
      <c r="AHY50" s="2"/>
      <c r="AHZ50" s="2"/>
      <c r="AIA50" s="2"/>
      <c r="AIB50" s="2"/>
      <c r="AIC50" s="2"/>
      <c r="AID50" s="2"/>
      <c r="AIE50" s="2"/>
      <c r="AIF50" s="2"/>
      <c r="AIG50" s="2"/>
      <c r="AIH50" s="2"/>
      <c r="AII50" s="2"/>
      <c r="AIJ50" s="2"/>
      <c r="AIK50" s="2"/>
      <c r="AIL50" s="2"/>
      <c r="AIM50" s="2"/>
      <c r="AIN50" s="2"/>
      <c r="AIO50" s="2"/>
      <c r="AIP50" s="2"/>
      <c r="AIQ50" s="2"/>
      <c r="AIR50" s="2"/>
      <c r="AIS50" s="2"/>
      <c r="AIT50" s="2"/>
      <c r="AIU50" s="2"/>
      <c r="AIV50" s="2"/>
      <c r="AIW50" s="2"/>
      <c r="AIX50" s="2"/>
      <c r="AIY50" s="2"/>
      <c r="AIZ50" s="2"/>
      <c r="AJA50" s="2"/>
      <c r="AJB50" s="2"/>
      <c r="AJC50" s="2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/>
      <c r="AJR50" s="2"/>
      <c r="AJS50" s="2"/>
      <c r="AJT50" s="2"/>
      <c r="AJU50" s="2"/>
      <c r="AJV50" s="2"/>
      <c r="AJW50" s="2"/>
      <c r="AJX50" s="2"/>
      <c r="AJY50" s="2"/>
      <c r="AJZ50" s="2"/>
      <c r="AKA50" s="2"/>
      <c r="AKB50" s="2"/>
      <c r="AKC50" s="2"/>
      <c r="AKD50" s="2"/>
      <c r="AKE50" s="2"/>
      <c r="AKF50" s="2"/>
      <c r="AKG50" s="2"/>
      <c r="AKH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  <c r="AKV50" s="2"/>
      <c r="AKW50" s="2"/>
      <c r="AKX50" s="2"/>
      <c r="AKY50" s="2"/>
      <c r="AKZ50" s="2"/>
      <c r="ALA50" s="2"/>
      <c r="ALB50" s="2"/>
      <c r="ALC50" s="2"/>
      <c r="ALD50" s="2"/>
      <c r="ALE50" s="2"/>
      <c r="ALF50" s="2"/>
      <c r="ALG50" s="2"/>
      <c r="ALH50" s="2"/>
      <c r="ALI50" s="2"/>
      <c r="ALJ50" s="2"/>
      <c r="ALK50" s="2"/>
      <c r="ALL50" s="2"/>
      <c r="ALM50" s="2"/>
      <c r="ALN50" s="2"/>
      <c r="ALO50" s="2"/>
      <c r="ALP50" s="2"/>
      <c r="ALQ50" s="2"/>
      <c r="ALR50" s="2"/>
      <c r="ALS50" s="2"/>
      <c r="ALT50" s="2"/>
      <c r="ALU50" s="2"/>
      <c r="ALV50" s="2"/>
      <c r="ALW50" s="2"/>
      <c r="ALX50" s="2"/>
      <c r="ALY50" s="2"/>
      <c r="ALZ50" s="2"/>
      <c r="AMA50" s="2"/>
      <c r="AMB50" s="2"/>
      <c r="AMC50" s="2"/>
      <c r="AMD50" s="2"/>
      <c r="AME50" s="2"/>
      <c r="AMF50" s="2"/>
      <c r="AMG50" s="2"/>
      <c r="AMH50" s="2"/>
      <c r="AMI50" s="2"/>
    </row>
    <row r="51" spans="1:1023" ht="30.75" thickBot="1" x14ac:dyDescent="0.25">
      <c r="A51" s="125">
        <v>44</v>
      </c>
      <c r="B51" s="14" t="s">
        <v>90</v>
      </c>
      <c r="C51" s="14" t="s">
        <v>91</v>
      </c>
      <c r="D51" s="14">
        <v>1977</v>
      </c>
      <c r="E51" s="14">
        <v>550</v>
      </c>
      <c r="F51" s="14">
        <v>8</v>
      </c>
      <c r="G51" s="14" t="s">
        <v>20</v>
      </c>
      <c r="H51" s="16" t="s">
        <v>569</v>
      </c>
      <c r="I51" s="16">
        <v>52.357109100000002</v>
      </c>
      <c r="J51" s="17">
        <v>35.4075165</v>
      </c>
      <c r="K51" s="67">
        <v>80</v>
      </c>
      <c r="L51" s="124" t="s">
        <v>1117</v>
      </c>
      <c r="N51" s="148" t="s">
        <v>777</v>
      </c>
      <c r="O51" s="148" t="s">
        <v>777</v>
      </c>
      <c r="P51" s="148" t="s">
        <v>777</v>
      </c>
      <c r="Q51" s="36"/>
    </row>
    <row r="52" spans="1:1023" ht="15.75" thickBot="1" x14ac:dyDescent="0.25">
      <c r="A52" s="209" t="s">
        <v>92</v>
      </c>
      <c r="B52" s="210"/>
      <c r="C52" s="210"/>
      <c r="D52" s="210"/>
      <c r="E52" s="210"/>
      <c r="F52" s="210"/>
      <c r="G52" s="210"/>
      <c r="H52" s="210"/>
      <c r="I52" s="210"/>
      <c r="J52" s="210"/>
      <c r="K52" s="67"/>
      <c r="L52" s="83"/>
      <c r="N52" s="112"/>
      <c r="O52" s="112"/>
      <c r="P52" s="112"/>
    </row>
    <row r="53" spans="1:1023" ht="45" x14ac:dyDescent="0.2">
      <c r="A53" s="129">
        <v>45</v>
      </c>
      <c r="B53" s="18" t="s">
        <v>93</v>
      </c>
      <c r="C53" s="18" t="s">
        <v>94</v>
      </c>
      <c r="D53" s="18">
        <v>1984</v>
      </c>
      <c r="E53" s="18">
        <v>1260</v>
      </c>
      <c r="F53" s="18">
        <v>37</v>
      </c>
      <c r="G53" s="18" t="s">
        <v>9</v>
      </c>
      <c r="H53" s="15" t="s">
        <v>578</v>
      </c>
      <c r="I53" s="15">
        <v>52.122388000000001</v>
      </c>
      <c r="J53" s="45">
        <v>36.368276000000002</v>
      </c>
      <c r="K53" s="65">
        <v>94</v>
      </c>
      <c r="L53" s="83"/>
      <c r="N53" s="148" t="s">
        <v>777</v>
      </c>
      <c r="O53" s="112"/>
      <c r="P53" s="112"/>
    </row>
    <row r="54" spans="1:1023" ht="30" x14ac:dyDescent="0.2">
      <c r="A54" s="129">
        <v>46</v>
      </c>
      <c r="B54" s="13" t="s">
        <v>95</v>
      </c>
      <c r="C54" s="13" t="s">
        <v>96</v>
      </c>
      <c r="D54" s="13">
        <v>1984</v>
      </c>
      <c r="E54" s="13">
        <v>1180</v>
      </c>
      <c r="F54" s="13">
        <v>29</v>
      </c>
      <c r="G54" s="13" t="s">
        <v>9</v>
      </c>
      <c r="H54" s="15" t="s">
        <v>579</v>
      </c>
      <c r="I54" s="15">
        <v>52.071315800000001</v>
      </c>
      <c r="J54" s="45">
        <v>36.562442799999999</v>
      </c>
      <c r="K54" s="65">
        <v>95</v>
      </c>
      <c r="L54" s="83"/>
      <c r="N54" s="148" t="s">
        <v>777</v>
      </c>
      <c r="O54" s="112"/>
      <c r="P54" s="112"/>
    </row>
    <row r="55" spans="1:1023" x14ac:dyDescent="0.2">
      <c r="A55" s="129">
        <v>47</v>
      </c>
      <c r="B55" s="13" t="s">
        <v>97</v>
      </c>
      <c r="C55" s="13" t="s">
        <v>98</v>
      </c>
      <c r="D55" s="13">
        <v>1973</v>
      </c>
      <c r="E55" s="13">
        <v>1100</v>
      </c>
      <c r="F55" s="13">
        <v>32</v>
      </c>
      <c r="G55" s="13" t="s">
        <v>9</v>
      </c>
      <c r="H55" s="15" t="s">
        <v>580</v>
      </c>
      <c r="I55" s="15">
        <v>52.064235699999998</v>
      </c>
      <c r="J55" s="45">
        <v>36.3461304</v>
      </c>
      <c r="K55" s="65">
        <v>96</v>
      </c>
      <c r="L55" s="83"/>
      <c r="N55" s="148" t="s">
        <v>777</v>
      </c>
      <c r="O55" s="112"/>
      <c r="P55" s="112"/>
    </row>
    <row r="56" spans="1:1023" ht="45" x14ac:dyDescent="0.2">
      <c r="A56" s="129">
        <v>48</v>
      </c>
      <c r="B56" s="13" t="s">
        <v>99</v>
      </c>
      <c r="C56" s="13" t="s">
        <v>100</v>
      </c>
      <c r="D56" s="13">
        <v>1984</v>
      </c>
      <c r="E56" s="13">
        <v>1400</v>
      </c>
      <c r="F56" s="13">
        <v>57</v>
      </c>
      <c r="G56" s="13" t="s">
        <v>9</v>
      </c>
      <c r="H56" s="15" t="s">
        <v>578</v>
      </c>
      <c r="I56" s="15">
        <v>52.042289699999998</v>
      </c>
      <c r="J56" s="45">
        <v>36.429389999999998</v>
      </c>
      <c r="K56" s="65">
        <v>97</v>
      </c>
      <c r="L56" s="83"/>
      <c r="N56" s="148" t="s">
        <v>777</v>
      </c>
      <c r="O56" s="112"/>
      <c r="P56" s="112"/>
    </row>
    <row r="57" spans="1:1023" x14ac:dyDescent="0.2">
      <c r="A57" s="18">
        <v>49</v>
      </c>
      <c r="B57" s="13" t="s">
        <v>101</v>
      </c>
      <c r="C57" s="13" t="s">
        <v>102</v>
      </c>
      <c r="D57" s="13">
        <v>1984</v>
      </c>
      <c r="E57" s="13">
        <v>1158</v>
      </c>
      <c r="F57" s="13">
        <v>39</v>
      </c>
      <c r="G57" s="13" t="s">
        <v>9</v>
      </c>
      <c r="H57" s="115" t="s">
        <v>1094</v>
      </c>
      <c r="I57" s="15">
        <v>52.071048699999999</v>
      </c>
      <c r="J57" s="45">
        <v>36.469722699999998</v>
      </c>
      <c r="K57" s="65">
        <v>98</v>
      </c>
      <c r="L57" s="83"/>
      <c r="N57" s="148" t="s">
        <v>777</v>
      </c>
      <c r="O57" s="112"/>
      <c r="P57" s="112"/>
    </row>
    <row r="58" spans="1:1023" ht="30" x14ac:dyDescent="0.2">
      <c r="A58" s="18">
        <v>50</v>
      </c>
      <c r="B58" s="13" t="s">
        <v>99</v>
      </c>
      <c r="C58" s="13" t="s">
        <v>104</v>
      </c>
      <c r="D58" s="13">
        <v>1974</v>
      </c>
      <c r="E58" s="13">
        <v>596</v>
      </c>
      <c r="F58" s="13">
        <v>30</v>
      </c>
      <c r="G58" s="13" t="s">
        <v>9</v>
      </c>
      <c r="H58" s="15" t="s">
        <v>581</v>
      </c>
      <c r="I58" s="15">
        <v>52.100303599999997</v>
      </c>
      <c r="J58" s="45">
        <v>36.4641953</v>
      </c>
      <c r="K58" s="65">
        <v>100</v>
      </c>
      <c r="L58" s="83"/>
      <c r="N58" s="148" t="s">
        <v>777</v>
      </c>
      <c r="O58" s="112"/>
      <c r="P58" s="112"/>
    </row>
    <row r="59" spans="1:1023" x14ac:dyDescent="0.2">
      <c r="A59" s="18">
        <v>51</v>
      </c>
      <c r="B59" s="13" t="s">
        <v>105</v>
      </c>
      <c r="C59" s="13" t="s">
        <v>106</v>
      </c>
      <c r="D59" s="13" t="s">
        <v>27</v>
      </c>
      <c r="E59" s="13">
        <v>740</v>
      </c>
      <c r="F59" s="13">
        <v>91</v>
      </c>
      <c r="G59" s="13" t="s">
        <v>9</v>
      </c>
      <c r="H59" s="115" t="s">
        <v>1095</v>
      </c>
      <c r="I59" s="15">
        <v>52.185874900000002</v>
      </c>
      <c r="J59" s="45">
        <v>36.587150600000001</v>
      </c>
      <c r="K59" s="65">
        <v>101</v>
      </c>
      <c r="L59" s="83"/>
      <c r="N59" s="148" t="s">
        <v>777</v>
      </c>
      <c r="O59" s="112"/>
      <c r="P59" s="112"/>
    </row>
    <row r="60" spans="1:1023" ht="30" x14ac:dyDescent="0.2">
      <c r="A60" s="18">
        <v>52</v>
      </c>
      <c r="B60" s="13" t="s">
        <v>107</v>
      </c>
      <c r="C60" s="13" t="s">
        <v>108</v>
      </c>
      <c r="D60" s="13">
        <v>1965</v>
      </c>
      <c r="E60" s="13">
        <v>120</v>
      </c>
      <c r="F60" s="13">
        <v>8</v>
      </c>
      <c r="G60" s="13" t="s">
        <v>20</v>
      </c>
      <c r="H60" s="15" t="s">
        <v>582</v>
      </c>
      <c r="I60" s="15">
        <v>52.059486399999997</v>
      </c>
      <c r="J60" s="45">
        <v>36.621398900000003</v>
      </c>
      <c r="K60" s="65">
        <v>102</v>
      </c>
      <c r="L60" s="83"/>
      <c r="N60" s="148" t="s">
        <v>777</v>
      </c>
      <c r="O60" s="112"/>
      <c r="P60" s="112"/>
    </row>
    <row r="61" spans="1:1023" x14ac:dyDescent="0.2">
      <c r="A61" s="18">
        <v>53</v>
      </c>
      <c r="B61" s="13" t="s">
        <v>109</v>
      </c>
      <c r="C61" s="13" t="s">
        <v>110</v>
      </c>
      <c r="D61" s="13">
        <v>1940</v>
      </c>
      <c r="E61" s="13">
        <v>126</v>
      </c>
      <c r="F61" s="13">
        <v>7</v>
      </c>
      <c r="G61" s="13" t="s">
        <v>20</v>
      </c>
      <c r="H61" s="115" t="s">
        <v>1096</v>
      </c>
      <c r="I61" s="15">
        <v>51.965229000000001</v>
      </c>
      <c r="J61" s="45">
        <v>36.575874300000002</v>
      </c>
      <c r="K61" s="65">
        <v>103</v>
      </c>
      <c r="L61" s="83"/>
      <c r="N61" s="148" t="s">
        <v>777</v>
      </c>
      <c r="O61" s="112"/>
      <c r="P61" s="112"/>
    </row>
    <row r="62" spans="1:1023" x14ac:dyDescent="0.2">
      <c r="A62" s="18">
        <v>54</v>
      </c>
      <c r="B62" s="13" t="s">
        <v>111</v>
      </c>
      <c r="C62" s="13" t="s">
        <v>112</v>
      </c>
      <c r="D62" s="13">
        <v>1976</v>
      </c>
      <c r="E62" s="13">
        <v>350</v>
      </c>
      <c r="F62" s="13">
        <v>10</v>
      </c>
      <c r="G62" s="13" t="s">
        <v>9</v>
      </c>
      <c r="H62" s="115" t="s">
        <v>1097</v>
      </c>
      <c r="I62" s="15">
        <v>52.100692700000003</v>
      </c>
      <c r="J62" s="45">
        <v>36.325733200000002</v>
      </c>
      <c r="K62" s="65">
        <v>104</v>
      </c>
      <c r="L62" s="83"/>
      <c r="N62" s="148" t="s">
        <v>777</v>
      </c>
      <c r="O62" s="112"/>
      <c r="P62" s="112"/>
    </row>
    <row r="63" spans="1:1023" x14ac:dyDescent="0.2">
      <c r="A63" s="18">
        <v>55</v>
      </c>
      <c r="B63" s="13" t="s">
        <v>113</v>
      </c>
      <c r="C63" s="13" t="s">
        <v>114</v>
      </c>
      <c r="D63" s="13">
        <v>1970</v>
      </c>
      <c r="E63" s="13">
        <v>300</v>
      </c>
      <c r="F63" s="13">
        <v>11</v>
      </c>
      <c r="G63" s="13" t="s">
        <v>9</v>
      </c>
      <c r="H63" s="15" t="s">
        <v>583</v>
      </c>
      <c r="I63" s="15">
        <v>51.951526600000001</v>
      </c>
      <c r="J63" s="45">
        <v>36.385097500000001</v>
      </c>
      <c r="K63" s="65">
        <v>105</v>
      </c>
      <c r="L63" s="83"/>
      <c r="N63" s="148" t="s">
        <v>777</v>
      </c>
      <c r="O63" s="112"/>
      <c r="P63" s="112"/>
    </row>
    <row r="64" spans="1:1023" ht="30" x14ac:dyDescent="0.2">
      <c r="A64" s="18">
        <v>56</v>
      </c>
      <c r="B64" s="13" t="s">
        <v>115</v>
      </c>
      <c r="C64" s="13" t="s">
        <v>116</v>
      </c>
      <c r="D64" s="13">
        <v>1950</v>
      </c>
      <c r="E64" s="13">
        <v>117</v>
      </c>
      <c r="F64" s="13">
        <v>13</v>
      </c>
      <c r="G64" s="13" t="s">
        <v>117</v>
      </c>
      <c r="H64" s="15" t="s">
        <v>584</v>
      </c>
      <c r="I64" s="15">
        <v>52.0340919</v>
      </c>
      <c r="J64" s="45">
        <v>36.263530699999997</v>
      </c>
      <c r="K64" s="65">
        <v>106</v>
      </c>
      <c r="L64" s="83"/>
      <c r="N64" s="148" t="s">
        <v>777</v>
      </c>
      <c r="O64" s="112"/>
      <c r="P64" s="112"/>
    </row>
    <row r="65" spans="1:1023" x14ac:dyDescent="0.2">
      <c r="A65" s="18">
        <v>57</v>
      </c>
      <c r="B65" s="13" t="s">
        <v>118</v>
      </c>
      <c r="C65" s="13" t="s">
        <v>119</v>
      </c>
      <c r="D65" s="13">
        <v>1969</v>
      </c>
      <c r="E65" s="13">
        <v>430</v>
      </c>
      <c r="F65" s="13">
        <v>23</v>
      </c>
      <c r="G65" s="13" t="s">
        <v>9</v>
      </c>
      <c r="H65" s="115" t="s">
        <v>1098</v>
      </c>
      <c r="I65" s="15">
        <v>51.962165800000001</v>
      </c>
      <c r="J65" s="45">
        <v>36.244132999999998</v>
      </c>
      <c r="K65" s="65">
        <v>107</v>
      </c>
      <c r="L65" s="83"/>
      <c r="N65" s="148" t="s">
        <v>777</v>
      </c>
      <c r="O65" s="112"/>
      <c r="P65" s="112"/>
    </row>
    <row r="66" spans="1:1023" ht="30" x14ac:dyDescent="0.2">
      <c r="A66" s="18">
        <v>58</v>
      </c>
      <c r="B66" s="13" t="s">
        <v>120</v>
      </c>
      <c r="C66" s="13" t="s">
        <v>121</v>
      </c>
      <c r="D66" s="13">
        <v>1966</v>
      </c>
      <c r="E66" s="13">
        <v>180</v>
      </c>
      <c r="F66" s="13">
        <v>14</v>
      </c>
      <c r="G66" s="13" t="s">
        <v>117</v>
      </c>
      <c r="H66" s="15" t="s">
        <v>585</v>
      </c>
      <c r="I66" s="15">
        <v>51.930164300000001</v>
      </c>
      <c r="J66" s="45">
        <v>36.154087099999998</v>
      </c>
      <c r="K66" s="65">
        <v>108</v>
      </c>
      <c r="L66" s="83"/>
      <c r="N66" s="148" t="s">
        <v>777</v>
      </c>
      <c r="O66" s="112"/>
      <c r="P66" s="112"/>
    </row>
    <row r="67" spans="1:1023" ht="30.75" thickBot="1" x14ac:dyDescent="0.25">
      <c r="A67" s="18">
        <v>59</v>
      </c>
      <c r="B67" s="14" t="s">
        <v>122</v>
      </c>
      <c r="C67" s="14" t="s">
        <v>123</v>
      </c>
      <c r="D67" s="14" t="s">
        <v>27</v>
      </c>
      <c r="E67" s="14">
        <v>1040.8</v>
      </c>
      <c r="F67" s="14" t="s">
        <v>27</v>
      </c>
      <c r="G67" s="14" t="s">
        <v>9</v>
      </c>
      <c r="H67" s="120" t="s">
        <v>1099</v>
      </c>
      <c r="I67" s="19">
        <v>52.020690899999998</v>
      </c>
      <c r="J67" s="46">
        <v>36.336319000000003</v>
      </c>
      <c r="K67" s="65">
        <v>109</v>
      </c>
      <c r="L67" s="83"/>
      <c r="N67" s="148" t="s">
        <v>777</v>
      </c>
      <c r="O67" s="112"/>
      <c r="P67" s="112"/>
    </row>
    <row r="68" spans="1:1023" ht="15.75" thickBot="1" x14ac:dyDescent="0.25">
      <c r="A68" s="211" t="s">
        <v>124</v>
      </c>
      <c r="B68" s="212"/>
      <c r="C68" s="212"/>
      <c r="D68" s="212"/>
      <c r="E68" s="212"/>
      <c r="F68" s="212"/>
      <c r="G68" s="212"/>
      <c r="H68" s="212"/>
      <c r="I68" s="212"/>
      <c r="J68" s="213"/>
      <c r="K68" s="67"/>
      <c r="L68" s="83"/>
      <c r="N68" s="112"/>
      <c r="O68" s="112"/>
      <c r="P68" s="112"/>
    </row>
    <row r="69" spans="1:1023" x14ac:dyDescent="0.2">
      <c r="A69" s="110">
        <v>60</v>
      </c>
      <c r="B69" s="110" t="s">
        <v>125</v>
      </c>
      <c r="C69" s="110" t="s">
        <v>126</v>
      </c>
      <c r="D69" s="110">
        <v>1967</v>
      </c>
      <c r="E69" s="110">
        <v>1690</v>
      </c>
      <c r="F69" s="110">
        <v>90</v>
      </c>
      <c r="G69" s="110" t="s">
        <v>127</v>
      </c>
      <c r="H69" s="8" t="s">
        <v>586</v>
      </c>
      <c r="I69" s="8">
        <v>51.701667800000003</v>
      </c>
      <c r="J69" s="47">
        <v>38.068687400000002</v>
      </c>
      <c r="K69" s="69">
        <v>110</v>
      </c>
      <c r="L69" s="83"/>
      <c r="N69" s="148" t="s">
        <v>777</v>
      </c>
      <c r="O69" s="112"/>
      <c r="P69" s="112"/>
    </row>
    <row r="70" spans="1:1023" x14ac:dyDescent="0.2">
      <c r="A70" s="36">
        <v>61</v>
      </c>
      <c r="B70" s="36" t="s">
        <v>128</v>
      </c>
      <c r="C70" s="36" t="s">
        <v>129</v>
      </c>
      <c r="D70" s="36">
        <v>1981</v>
      </c>
      <c r="E70" s="36">
        <v>2830</v>
      </c>
      <c r="F70" s="36">
        <v>83</v>
      </c>
      <c r="G70" s="36" t="s">
        <v>9</v>
      </c>
      <c r="H70" s="8" t="s">
        <v>586</v>
      </c>
      <c r="I70" s="8">
        <v>51.710285200000001</v>
      </c>
      <c r="J70" s="47">
        <v>37.849552199999998</v>
      </c>
      <c r="K70" s="69">
        <v>111</v>
      </c>
      <c r="L70" s="83"/>
      <c r="N70" s="148" t="s">
        <v>777</v>
      </c>
      <c r="O70" s="112"/>
      <c r="P70" s="112"/>
    </row>
    <row r="71" spans="1:1023" ht="30" x14ac:dyDescent="0.2">
      <c r="A71" s="13">
        <v>62</v>
      </c>
      <c r="B71" s="13" t="s">
        <v>130</v>
      </c>
      <c r="C71" s="13" t="s">
        <v>131</v>
      </c>
      <c r="D71" s="13">
        <v>1980</v>
      </c>
      <c r="E71" s="13">
        <v>1026</v>
      </c>
      <c r="F71" s="13">
        <v>94</v>
      </c>
      <c r="G71" s="13" t="s">
        <v>9</v>
      </c>
      <c r="H71" s="8" t="s">
        <v>587</v>
      </c>
      <c r="I71" s="8">
        <v>51.740901899999997</v>
      </c>
      <c r="J71" s="47">
        <v>38.182273899999998</v>
      </c>
      <c r="K71" s="69">
        <v>112</v>
      </c>
      <c r="L71" s="83"/>
      <c r="N71" s="148" t="s">
        <v>777</v>
      </c>
      <c r="O71" s="112"/>
      <c r="P71" s="112"/>
    </row>
    <row r="72" spans="1:1023" ht="15.75" x14ac:dyDescent="0.25">
      <c r="A72" s="13">
        <v>63</v>
      </c>
      <c r="B72" s="13" t="s">
        <v>56</v>
      </c>
      <c r="C72" s="13" t="s">
        <v>132</v>
      </c>
      <c r="D72" s="13">
        <v>1980</v>
      </c>
      <c r="E72" s="13">
        <v>577</v>
      </c>
      <c r="F72" s="13">
        <v>22</v>
      </c>
      <c r="G72" s="13" t="s">
        <v>9</v>
      </c>
      <c r="H72" s="8" t="s">
        <v>588</v>
      </c>
      <c r="I72" s="8">
        <v>51.831504799999998</v>
      </c>
      <c r="J72" s="47">
        <v>38.394599900000003</v>
      </c>
      <c r="K72" s="69">
        <v>113</v>
      </c>
      <c r="L72" s="83"/>
      <c r="N72" s="148" t="s">
        <v>777</v>
      </c>
      <c r="O72" s="112"/>
      <c r="P72" s="112"/>
      <c r="Q72" s="173" t="s">
        <v>1190</v>
      </c>
      <c r="R72" s="172"/>
      <c r="S72" s="172"/>
    </row>
    <row r="73" spans="1:1023" ht="30" x14ac:dyDescent="0.2">
      <c r="A73" s="13">
        <v>64</v>
      </c>
      <c r="B73" s="13" t="s">
        <v>133</v>
      </c>
      <c r="C73" s="13" t="s">
        <v>134</v>
      </c>
      <c r="D73" s="13" t="s">
        <v>27</v>
      </c>
      <c r="E73" s="13">
        <v>504</v>
      </c>
      <c r="F73" s="13">
        <v>16</v>
      </c>
      <c r="G73" s="13" t="s">
        <v>135</v>
      </c>
      <c r="H73" s="8" t="s">
        <v>589</v>
      </c>
      <c r="I73" s="8">
        <v>51.849094399999998</v>
      </c>
      <c r="J73" s="47">
        <v>38.323509199999997</v>
      </c>
      <c r="K73" s="69">
        <v>114</v>
      </c>
      <c r="L73" s="83"/>
      <c r="N73" s="148" t="s">
        <v>777</v>
      </c>
      <c r="O73" s="112"/>
      <c r="P73" s="112"/>
    </row>
    <row r="74" spans="1:1023" x14ac:dyDescent="0.2">
      <c r="A74" s="13">
        <v>65</v>
      </c>
      <c r="B74" s="13" t="s">
        <v>136</v>
      </c>
      <c r="C74" s="13" t="s">
        <v>104</v>
      </c>
      <c r="D74" s="13">
        <v>1974</v>
      </c>
      <c r="E74" s="13">
        <v>400</v>
      </c>
      <c r="F74" s="13">
        <v>12</v>
      </c>
      <c r="G74" s="13" t="s">
        <v>9</v>
      </c>
      <c r="H74" s="8" t="s">
        <v>590</v>
      </c>
      <c r="I74" s="8">
        <v>51.722171799999998</v>
      </c>
      <c r="J74" s="47">
        <v>38.134437599999998</v>
      </c>
      <c r="K74" s="69">
        <v>115</v>
      </c>
      <c r="L74" s="83"/>
      <c r="N74" s="148" t="s">
        <v>777</v>
      </c>
      <c r="O74" s="112"/>
      <c r="P74" s="112"/>
    </row>
    <row r="75" spans="1:1023" x14ac:dyDescent="0.2">
      <c r="A75" s="13">
        <v>66</v>
      </c>
      <c r="B75" s="13" t="s">
        <v>137</v>
      </c>
      <c r="C75" s="13" t="s">
        <v>138</v>
      </c>
      <c r="D75" s="13" t="s">
        <v>27</v>
      </c>
      <c r="E75" s="13">
        <v>260</v>
      </c>
      <c r="F75" s="13">
        <v>13</v>
      </c>
      <c r="G75" s="13" t="s">
        <v>127</v>
      </c>
      <c r="H75" s="8" t="s">
        <v>586</v>
      </c>
      <c r="I75" s="8">
        <v>51.829315200000003</v>
      </c>
      <c r="J75" s="47">
        <v>37.9282951</v>
      </c>
      <c r="K75" s="69">
        <v>116</v>
      </c>
      <c r="L75" s="83"/>
      <c r="N75" s="148" t="s">
        <v>777</v>
      </c>
      <c r="O75" s="112"/>
      <c r="P75" s="112"/>
    </row>
    <row r="76" spans="1:1023" x14ac:dyDescent="0.2">
      <c r="A76" s="36">
        <v>67</v>
      </c>
      <c r="B76" s="36" t="s">
        <v>137</v>
      </c>
      <c r="C76" s="36" t="s">
        <v>139</v>
      </c>
      <c r="D76" s="36" t="s">
        <v>27</v>
      </c>
      <c r="E76" s="36">
        <v>400</v>
      </c>
      <c r="F76" s="36">
        <v>10</v>
      </c>
      <c r="G76" s="36" t="s">
        <v>9</v>
      </c>
      <c r="H76" s="8" t="s">
        <v>591</v>
      </c>
      <c r="I76" s="8">
        <v>51.829299900000002</v>
      </c>
      <c r="J76" s="47">
        <v>38.030979199999997</v>
      </c>
      <c r="K76" s="69">
        <v>117</v>
      </c>
      <c r="L76" s="83"/>
      <c r="N76" s="148" t="s">
        <v>777</v>
      </c>
      <c r="O76" s="112"/>
      <c r="P76" s="112"/>
    </row>
    <row r="77" spans="1:1023" x14ac:dyDescent="0.2">
      <c r="A77" s="36">
        <v>68</v>
      </c>
      <c r="B77" s="36" t="s">
        <v>136</v>
      </c>
      <c r="C77" s="36" t="s">
        <v>140</v>
      </c>
      <c r="D77" s="36" t="s">
        <v>27</v>
      </c>
      <c r="E77" s="36">
        <v>200</v>
      </c>
      <c r="F77" s="36">
        <v>16</v>
      </c>
      <c r="G77" s="36" t="s">
        <v>127</v>
      </c>
      <c r="H77" s="8" t="s">
        <v>586</v>
      </c>
      <c r="I77" s="8" t="s">
        <v>1165</v>
      </c>
      <c r="J77" s="47" t="s">
        <v>1166</v>
      </c>
      <c r="K77" s="69">
        <v>118</v>
      </c>
      <c r="L77" s="83"/>
      <c r="N77" s="174"/>
      <c r="O77" s="112"/>
      <c r="P77" s="112"/>
    </row>
    <row r="78" spans="1:1023" x14ac:dyDescent="0.2">
      <c r="A78" s="21">
        <v>69</v>
      </c>
      <c r="B78" s="56" t="s">
        <v>630</v>
      </c>
      <c r="C78" s="56" t="s">
        <v>631</v>
      </c>
      <c r="D78" s="56">
        <v>1984</v>
      </c>
      <c r="E78" s="56">
        <v>610</v>
      </c>
      <c r="F78" s="56">
        <v>19</v>
      </c>
      <c r="G78" s="56" t="s">
        <v>127</v>
      </c>
      <c r="H78" s="31" t="s">
        <v>586</v>
      </c>
      <c r="I78" s="31" t="s">
        <v>1163</v>
      </c>
      <c r="J78" s="48" t="s">
        <v>1164</v>
      </c>
      <c r="K78" s="70" t="s">
        <v>561</v>
      </c>
      <c r="L78" s="83"/>
      <c r="M78" s="2" t="s">
        <v>777</v>
      </c>
      <c r="N78" s="148" t="s">
        <v>777</v>
      </c>
      <c r="O78" s="112"/>
      <c r="P78" s="11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  <c r="SG78" s="2"/>
      <c r="SH78" s="2"/>
      <c r="SI78" s="2"/>
      <c r="SJ78" s="2"/>
      <c r="SK78" s="2"/>
      <c r="SL78" s="2"/>
      <c r="SM78" s="2"/>
      <c r="SN78" s="2"/>
      <c r="SO78" s="2"/>
      <c r="SP78" s="2"/>
      <c r="SQ78" s="2"/>
      <c r="SR78" s="2"/>
      <c r="SS78" s="2"/>
      <c r="ST78" s="2"/>
      <c r="SU78" s="2"/>
      <c r="SV78" s="2"/>
      <c r="SW78" s="2"/>
      <c r="SX78" s="2"/>
      <c r="SY78" s="2"/>
      <c r="SZ78" s="2"/>
      <c r="TA78" s="2"/>
      <c r="TB78" s="2"/>
      <c r="TC78" s="2"/>
      <c r="TD78" s="2"/>
      <c r="TE78" s="2"/>
      <c r="TF78" s="2"/>
      <c r="TG78" s="2"/>
      <c r="TH78" s="2"/>
      <c r="TI78" s="2"/>
      <c r="TJ78" s="2"/>
      <c r="TK78" s="2"/>
      <c r="TL78" s="2"/>
      <c r="TM78" s="2"/>
      <c r="TN78" s="2"/>
      <c r="TO78" s="2"/>
      <c r="TP78" s="2"/>
      <c r="TQ78" s="2"/>
      <c r="TR78" s="2"/>
      <c r="TS78" s="2"/>
      <c r="TT78" s="2"/>
      <c r="TU78" s="2"/>
      <c r="TV78" s="2"/>
      <c r="TW78" s="2"/>
      <c r="TX78" s="2"/>
      <c r="TY78" s="2"/>
      <c r="TZ78" s="2"/>
      <c r="UA78" s="2"/>
      <c r="UB78" s="2"/>
      <c r="UC78" s="2"/>
      <c r="UD78" s="2"/>
      <c r="UE78" s="2"/>
      <c r="UF78" s="2"/>
      <c r="UG78" s="2"/>
      <c r="UH78" s="2"/>
      <c r="UI78" s="2"/>
      <c r="UJ78" s="2"/>
      <c r="UK78" s="2"/>
      <c r="UL78" s="2"/>
      <c r="UM78" s="2"/>
      <c r="UN78" s="2"/>
      <c r="UO78" s="2"/>
      <c r="UP78" s="2"/>
      <c r="UQ78" s="2"/>
      <c r="UR78" s="2"/>
      <c r="US78" s="2"/>
      <c r="UT78" s="2"/>
      <c r="UU78" s="2"/>
      <c r="UV78" s="2"/>
      <c r="UW78" s="2"/>
      <c r="UX78" s="2"/>
      <c r="UY78" s="2"/>
      <c r="UZ78" s="2"/>
      <c r="VA78" s="2"/>
      <c r="VB78" s="2"/>
      <c r="VC78" s="2"/>
      <c r="VD78" s="2"/>
      <c r="VE78" s="2"/>
      <c r="VF78" s="2"/>
      <c r="VG78" s="2"/>
      <c r="VH78" s="2"/>
      <c r="VI78" s="2"/>
      <c r="VJ78" s="2"/>
      <c r="VK78" s="2"/>
      <c r="VL78" s="2"/>
      <c r="VM78" s="2"/>
      <c r="VN78" s="2"/>
      <c r="VO78" s="2"/>
      <c r="VP78" s="2"/>
      <c r="VQ78" s="2"/>
      <c r="VR78" s="2"/>
      <c r="VS78" s="2"/>
      <c r="VT78" s="2"/>
      <c r="VU78" s="2"/>
      <c r="VV78" s="2"/>
      <c r="VW78" s="2"/>
      <c r="VX78" s="2"/>
      <c r="VY78" s="2"/>
      <c r="VZ78" s="2"/>
      <c r="WA78" s="2"/>
      <c r="WB78" s="2"/>
      <c r="WC78" s="2"/>
      <c r="WD78" s="2"/>
      <c r="WE78" s="2"/>
      <c r="WF78" s="2"/>
      <c r="WG78" s="2"/>
      <c r="WH78" s="2"/>
      <c r="WI78" s="2"/>
      <c r="WJ78" s="2"/>
      <c r="WK78" s="2"/>
      <c r="WL78" s="2"/>
      <c r="WM78" s="2"/>
      <c r="WN78" s="2"/>
      <c r="WO78" s="2"/>
      <c r="WP78" s="2"/>
      <c r="WQ78" s="2"/>
      <c r="WR78" s="2"/>
      <c r="WS78" s="2"/>
      <c r="WT78" s="2"/>
      <c r="WU78" s="2"/>
      <c r="WV78" s="2"/>
      <c r="WW78" s="2"/>
      <c r="WX78" s="2"/>
      <c r="WY78" s="2"/>
      <c r="WZ78" s="2"/>
      <c r="XA78" s="2"/>
      <c r="XB78" s="2"/>
      <c r="XC78" s="2"/>
      <c r="XD78" s="2"/>
      <c r="XE78" s="2"/>
      <c r="XF78" s="2"/>
      <c r="XG78" s="2"/>
      <c r="XH78" s="2"/>
      <c r="XI78" s="2"/>
      <c r="XJ78" s="2"/>
      <c r="XK78" s="2"/>
      <c r="XL78" s="2"/>
      <c r="XM78" s="2"/>
      <c r="XN78" s="2"/>
      <c r="XO78" s="2"/>
      <c r="XP78" s="2"/>
      <c r="XQ78" s="2"/>
      <c r="XR78" s="2"/>
      <c r="XS78" s="2"/>
      <c r="XT78" s="2"/>
      <c r="XU78" s="2"/>
      <c r="XV78" s="2"/>
      <c r="XW78" s="2"/>
      <c r="XX78" s="2"/>
      <c r="XY78" s="2"/>
      <c r="XZ78" s="2"/>
      <c r="YA78" s="2"/>
      <c r="YB78" s="2"/>
      <c r="YC78" s="2"/>
      <c r="YD78" s="2"/>
      <c r="YE78" s="2"/>
      <c r="YF78" s="2"/>
      <c r="YG78" s="2"/>
      <c r="YH78" s="2"/>
      <c r="YI78" s="2"/>
      <c r="YJ78" s="2"/>
      <c r="YK78" s="2"/>
      <c r="YL78" s="2"/>
      <c r="YM78" s="2"/>
      <c r="YN78" s="2"/>
      <c r="YO78" s="2"/>
      <c r="YP78" s="2"/>
      <c r="YQ78" s="2"/>
      <c r="YR78" s="2"/>
      <c r="YS78" s="2"/>
      <c r="YT78" s="2"/>
      <c r="YU78" s="2"/>
      <c r="YV78" s="2"/>
      <c r="YW78" s="2"/>
      <c r="YX78" s="2"/>
      <c r="YY78" s="2"/>
      <c r="YZ78" s="2"/>
      <c r="ZA78" s="2"/>
      <c r="ZB78" s="2"/>
      <c r="ZC78" s="2"/>
      <c r="ZD78" s="2"/>
      <c r="ZE78" s="2"/>
      <c r="ZF78" s="2"/>
      <c r="ZG78" s="2"/>
      <c r="ZH78" s="2"/>
      <c r="ZI78" s="2"/>
      <c r="ZJ78" s="2"/>
      <c r="ZK78" s="2"/>
      <c r="ZL78" s="2"/>
      <c r="ZM78" s="2"/>
      <c r="ZN78" s="2"/>
      <c r="ZO78" s="2"/>
      <c r="ZP78" s="2"/>
      <c r="ZQ78" s="2"/>
      <c r="ZR78" s="2"/>
      <c r="ZS78" s="2"/>
      <c r="ZT78" s="2"/>
      <c r="ZU78" s="2"/>
      <c r="ZV78" s="2"/>
      <c r="ZW78" s="2"/>
      <c r="ZX78" s="2"/>
      <c r="ZY78" s="2"/>
      <c r="ZZ78" s="2"/>
      <c r="AAA78" s="2"/>
      <c r="AAB78" s="2"/>
      <c r="AAC78" s="2"/>
      <c r="AAD78" s="2"/>
      <c r="AAE78" s="2"/>
      <c r="AAF78" s="2"/>
      <c r="AAG78" s="2"/>
      <c r="AAH78" s="2"/>
      <c r="AAI78" s="2"/>
      <c r="AAJ78" s="2"/>
      <c r="AAK78" s="2"/>
      <c r="AAL78" s="2"/>
      <c r="AAM78" s="2"/>
      <c r="AAN78" s="2"/>
      <c r="AAO78" s="2"/>
      <c r="AAP78" s="2"/>
      <c r="AAQ78" s="2"/>
      <c r="AAR78" s="2"/>
      <c r="AAS78" s="2"/>
      <c r="AAT78" s="2"/>
      <c r="AAU78" s="2"/>
      <c r="AAV78" s="2"/>
      <c r="AAW78" s="2"/>
      <c r="AAX78" s="2"/>
      <c r="AAY78" s="2"/>
      <c r="AAZ78" s="2"/>
      <c r="ABA78" s="2"/>
      <c r="ABB78" s="2"/>
      <c r="ABC78" s="2"/>
      <c r="ABD78" s="2"/>
      <c r="ABE78" s="2"/>
      <c r="ABF78" s="2"/>
      <c r="ABG78" s="2"/>
      <c r="ABH78" s="2"/>
      <c r="ABI78" s="2"/>
      <c r="ABJ78" s="2"/>
      <c r="ABK78" s="2"/>
      <c r="ABL78" s="2"/>
      <c r="ABM78" s="2"/>
      <c r="ABN78" s="2"/>
      <c r="ABO78" s="2"/>
      <c r="ABP78" s="2"/>
      <c r="ABQ78" s="2"/>
      <c r="ABR78" s="2"/>
      <c r="ABS78" s="2"/>
      <c r="ABT78" s="2"/>
      <c r="ABU78" s="2"/>
      <c r="ABV78" s="2"/>
      <c r="ABW78" s="2"/>
      <c r="ABX78" s="2"/>
      <c r="ABY78" s="2"/>
      <c r="ABZ78" s="2"/>
      <c r="ACA78" s="2"/>
      <c r="ACB78" s="2"/>
      <c r="ACC78" s="2"/>
      <c r="ACD78" s="2"/>
      <c r="ACE78" s="2"/>
      <c r="ACF78" s="2"/>
      <c r="ACG78" s="2"/>
      <c r="ACH78" s="2"/>
      <c r="ACI78" s="2"/>
      <c r="ACJ78" s="2"/>
      <c r="ACK78" s="2"/>
      <c r="ACL78" s="2"/>
      <c r="ACM78" s="2"/>
      <c r="ACN78" s="2"/>
      <c r="ACO78" s="2"/>
      <c r="ACP78" s="2"/>
      <c r="ACQ78" s="2"/>
      <c r="ACR78" s="2"/>
      <c r="ACS78" s="2"/>
      <c r="ACT78" s="2"/>
      <c r="ACU78" s="2"/>
      <c r="ACV78" s="2"/>
      <c r="ACW78" s="2"/>
      <c r="ACX78" s="2"/>
      <c r="ACY78" s="2"/>
      <c r="ACZ78" s="2"/>
      <c r="ADA78" s="2"/>
      <c r="ADB78" s="2"/>
      <c r="ADC78" s="2"/>
      <c r="ADD78" s="2"/>
      <c r="ADE78" s="2"/>
      <c r="ADF78" s="2"/>
      <c r="ADG78" s="2"/>
      <c r="ADH78" s="2"/>
      <c r="ADI78" s="2"/>
      <c r="ADJ78" s="2"/>
      <c r="ADK78" s="2"/>
      <c r="ADL78" s="2"/>
      <c r="ADM78" s="2"/>
      <c r="ADN78" s="2"/>
      <c r="ADO78" s="2"/>
      <c r="ADP78" s="2"/>
      <c r="ADQ78" s="2"/>
      <c r="ADR78" s="2"/>
      <c r="ADS78" s="2"/>
      <c r="ADT78" s="2"/>
      <c r="ADU78" s="2"/>
      <c r="ADV78" s="2"/>
      <c r="ADW78" s="2"/>
      <c r="ADX78" s="2"/>
      <c r="ADY78" s="2"/>
      <c r="ADZ78" s="2"/>
      <c r="AEA78" s="2"/>
      <c r="AEB78" s="2"/>
      <c r="AEC78" s="2"/>
      <c r="AED78" s="2"/>
      <c r="AEE78" s="2"/>
      <c r="AEF78" s="2"/>
      <c r="AEG78" s="2"/>
      <c r="AEH78" s="2"/>
      <c r="AEI78" s="2"/>
      <c r="AEJ78" s="2"/>
      <c r="AEK78" s="2"/>
      <c r="AEL78" s="2"/>
      <c r="AEM78" s="2"/>
      <c r="AEN78" s="2"/>
      <c r="AEO78" s="2"/>
      <c r="AEP78" s="2"/>
      <c r="AEQ78" s="2"/>
      <c r="AER78" s="2"/>
      <c r="AES78" s="2"/>
      <c r="AET78" s="2"/>
      <c r="AEU78" s="2"/>
      <c r="AEV78" s="2"/>
      <c r="AEW78" s="2"/>
      <c r="AEX78" s="2"/>
      <c r="AEY78" s="2"/>
      <c r="AEZ78" s="2"/>
      <c r="AFA78" s="2"/>
      <c r="AFB78" s="2"/>
      <c r="AFC78" s="2"/>
      <c r="AFD78" s="2"/>
      <c r="AFE78" s="2"/>
      <c r="AFF78" s="2"/>
      <c r="AFG78" s="2"/>
      <c r="AFH78" s="2"/>
      <c r="AFI78" s="2"/>
      <c r="AFJ78" s="2"/>
      <c r="AFK78" s="2"/>
      <c r="AFL78" s="2"/>
      <c r="AFM78" s="2"/>
      <c r="AFN78" s="2"/>
      <c r="AFO78" s="2"/>
      <c r="AFP78" s="2"/>
      <c r="AFQ78" s="2"/>
      <c r="AFR78" s="2"/>
      <c r="AFS78" s="2"/>
      <c r="AFT78" s="2"/>
      <c r="AFU78" s="2"/>
      <c r="AFV78" s="2"/>
      <c r="AFW78" s="2"/>
      <c r="AFX78" s="2"/>
      <c r="AFY78" s="2"/>
      <c r="AFZ78" s="2"/>
      <c r="AGA78" s="2"/>
      <c r="AGB78" s="2"/>
      <c r="AGC78" s="2"/>
      <c r="AGD78" s="2"/>
      <c r="AGE78" s="2"/>
      <c r="AGF78" s="2"/>
      <c r="AGG78" s="2"/>
      <c r="AGH78" s="2"/>
      <c r="AGI78" s="2"/>
      <c r="AGJ78" s="2"/>
      <c r="AGK78" s="2"/>
      <c r="AGL78" s="2"/>
      <c r="AGM78" s="2"/>
      <c r="AGN78" s="2"/>
      <c r="AGO78" s="2"/>
      <c r="AGP78" s="2"/>
      <c r="AGQ78" s="2"/>
      <c r="AGR78" s="2"/>
      <c r="AGS78" s="2"/>
      <c r="AGT78" s="2"/>
      <c r="AGU78" s="2"/>
      <c r="AGV78" s="2"/>
      <c r="AGW78" s="2"/>
      <c r="AGX78" s="2"/>
      <c r="AGY78" s="2"/>
      <c r="AGZ78" s="2"/>
      <c r="AHA78" s="2"/>
      <c r="AHB78" s="2"/>
      <c r="AHC78" s="2"/>
      <c r="AHD78" s="2"/>
      <c r="AHE78" s="2"/>
      <c r="AHF78" s="2"/>
      <c r="AHG78" s="2"/>
      <c r="AHH78" s="2"/>
      <c r="AHI78" s="2"/>
      <c r="AHJ78" s="2"/>
      <c r="AHK78" s="2"/>
      <c r="AHL78" s="2"/>
      <c r="AHM78" s="2"/>
      <c r="AHN78" s="2"/>
      <c r="AHO78" s="2"/>
      <c r="AHP78" s="2"/>
      <c r="AHQ78" s="2"/>
      <c r="AHR78" s="2"/>
      <c r="AHS78" s="2"/>
      <c r="AHT78" s="2"/>
      <c r="AHU78" s="2"/>
      <c r="AHV78" s="2"/>
      <c r="AHW78" s="2"/>
      <c r="AHX78" s="2"/>
      <c r="AHY78" s="2"/>
      <c r="AHZ78" s="2"/>
      <c r="AIA78" s="2"/>
      <c r="AIB78" s="2"/>
      <c r="AIC78" s="2"/>
      <c r="AID78" s="2"/>
      <c r="AIE78" s="2"/>
      <c r="AIF78" s="2"/>
      <c r="AIG78" s="2"/>
      <c r="AIH78" s="2"/>
      <c r="AII78" s="2"/>
      <c r="AIJ78" s="2"/>
      <c r="AIK78" s="2"/>
      <c r="AIL78" s="2"/>
      <c r="AIM78" s="2"/>
      <c r="AIN78" s="2"/>
      <c r="AIO78" s="2"/>
      <c r="AIP78" s="2"/>
      <c r="AIQ78" s="2"/>
      <c r="AIR78" s="2"/>
      <c r="AIS78" s="2"/>
      <c r="AIT78" s="2"/>
      <c r="AIU78" s="2"/>
      <c r="AIV78" s="2"/>
      <c r="AIW78" s="2"/>
      <c r="AIX78" s="2"/>
      <c r="AIY78" s="2"/>
      <c r="AIZ78" s="2"/>
      <c r="AJA78" s="2"/>
      <c r="AJB78" s="2"/>
      <c r="AJC78" s="2"/>
      <c r="AJD78" s="2"/>
      <c r="AJE78" s="2"/>
      <c r="AJF78" s="2"/>
      <c r="AJG78" s="2"/>
      <c r="AJH78" s="2"/>
      <c r="AJI78" s="2"/>
      <c r="AJJ78" s="2"/>
      <c r="AJK78" s="2"/>
      <c r="AJL78" s="2"/>
      <c r="AJM78" s="2"/>
      <c r="AJN78" s="2"/>
      <c r="AJO78" s="2"/>
      <c r="AJP78" s="2"/>
      <c r="AJQ78" s="2"/>
      <c r="AJR78" s="2"/>
      <c r="AJS78" s="2"/>
      <c r="AJT78" s="2"/>
      <c r="AJU78" s="2"/>
      <c r="AJV78" s="2"/>
      <c r="AJW78" s="2"/>
      <c r="AJX78" s="2"/>
      <c r="AJY78" s="2"/>
      <c r="AJZ78" s="2"/>
      <c r="AKA78" s="2"/>
      <c r="AKB78" s="2"/>
      <c r="AKC78" s="2"/>
      <c r="AKD78" s="2"/>
      <c r="AKE78" s="2"/>
      <c r="AKF78" s="2"/>
      <c r="AKG78" s="2"/>
      <c r="AKH78" s="2"/>
      <c r="AKI78" s="2"/>
      <c r="AKJ78" s="2"/>
      <c r="AKK78" s="2"/>
      <c r="AKL78" s="2"/>
      <c r="AKM78" s="2"/>
      <c r="AKN78" s="2"/>
      <c r="AKO78" s="2"/>
      <c r="AKP78" s="2"/>
      <c r="AKQ78" s="2"/>
      <c r="AKR78" s="2"/>
      <c r="AKS78" s="2"/>
      <c r="AKT78" s="2"/>
      <c r="AKU78" s="2"/>
      <c r="AKV78" s="2"/>
      <c r="AKW78" s="2"/>
      <c r="AKX78" s="2"/>
      <c r="AKY78" s="2"/>
      <c r="AKZ78" s="2"/>
      <c r="ALA78" s="2"/>
      <c r="ALB78" s="2"/>
      <c r="ALC78" s="2"/>
      <c r="ALD78" s="2"/>
      <c r="ALE78" s="2"/>
      <c r="ALF78" s="2"/>
      <c r="ALG78" s="2"/>
      <c r="ALH78" s="2"/>
      <c r="ALI78" s="2"/>
      <c r="ALJ78" s="2"/>
      <c r="ALK78" s="2"/>
      <c r="ALL78" s="2"/>
      <c r="ALM78" s="2"/>
      <c r="ALN78" s="2"/>
      <c r="ALO78" s="2"/>
      <c r="ALP78" s="2"/>
      <c r="ALQ78" s="2"/>
      <c r="ALR78" s="2"/>
      <c r="ALS78" s="2"/>
      <c r="ALT78" s="2"/>
      <c r="ALU78" s="2"/>
      <c r="ALV78" s="2"/>
      <c r="ALW78" s="2"/>
      <c r="ALX78" s="2"/>
      <c r="ALY78" s="2"/>
      <c r="ALZ78" s="2"/>
      <c r="AMA78" s="2"/>
      <c r="AMB78" s="2"/>
      <c r="AMC78" s="2"/>
      <c r="AMD78" s="2"/>
      <c r="AME78" s="2"/>
      <c r="AMF78" s="2"/>
      <c r="AMG78" s="2"/>
      <c r="AMH78" s="2"/>
      <c r="AMI78" s="2"/>
    </row>
    <row r="79" spans="1:1023" x14ac:dyDescent="0.2">
      <c r="A79" s="36">
        <v>70</v>
      </c>
      <c r="B79" s="36" t="s">
        <v>141</v>
      </c>
      <c r="C79" s="36" t="s">
        <v>142</v>
      </c>
      <c r="D79" s="36" t="s">
        <v>27</v>
      </c>
      <c r="E79" s="36">
        <v>140</v>
      </c>
      <c r="F79" s="36">
        <v>10</v>
      </c>
      <c r="G79" s="36" t="s">
        <v>127</v>
      </c>
      <c r="H79" s="8" t="s">
        <v>586</v>
      </c>
      <c r="I79" s="8" t="s">
        <v>1158</v>
      </c>
      <c r="J79" s="47" t="s">
        <v>1159</v>
      </c>
      <c r="K79" s="71">
        <v>119</v>
      </c>
      <c r="L79" s="83"/>
      <c r="N79" s="148" t="s">
        <v>777</v>
      </c>
      <c r="O79" s="112"/>
      <c r="P79" s="112"/>
    </row>
    <row r="80" spans="1:1023" x14ac:dyDescent="0.2">
      <c r="A80" s="36">
        <v>71</v>
      </c>
      <c r="B80" s="36" t="s">
        <v>56</v>
      </c>
      <c r="C80" s="36" t="s">
        <v>143</v>
      </c>
      <c r="D80" s="36">
        <v>1980</v>
      </c>
      <c r="E80" s="36">
        <v>401</v>
      </c>
      <c r="F80" s="36">
        <v>27</v>
      </c>
      <c r="G80" s="36" t="s">
        <v>9</v>
      </c>
      <c r="H80" s="8" t="s">
        <v>592</v>
      </c>
      <c r="I80" s="8">
        <v>51.937236800000001</v>
      </c>
      <c r="J80" s="47">
        <v>38.298591600000002</v>
      </c>
      <c r="K80" s="69">
        <v>120</v>
      </c>
      <c r="L80" s="83"/>
      <c r="N80" s="148" t="s">
        <v>777</v>
      </c>
      <c r="O80" s="112"/>
      <c r="P80" s="112"/>
    </row>
    <row r="81" spans="1:16" ht="45" x14ac:dyDescent="0.2">
      <c r="A81" s="36">
        <v>72</v>
      </c>
      <c r="B81" s="36" t="s">
        <v>144</v>
      </c>
      <c r="C81" s="36" t="s">
        <v>145</v>
      </c>
      <c r="D81" s="36" t="s">
        <v>27</v>
      </c>
      <c r="E81" s="36" t="s">
        <v>27</v>
      </c>
      <c r="F81" s="36">
        <v>8</v>
      </c>
      <c r="G81" s="36" t="s">
        <v>127</v>
      </c>
      <c r="H81" s="8" t="s">
        <v>593</v>
      </c>
      <c r="I81" s="8">
        <v>51.733575000000002</v>
      </c>
      <c r="J81" s="47">
        <v>37.876103999999998</v>
      </c>
      <c r="K81" s="158">
        <v>121</v>
      </c>
      <c r="L81" s="111" t="s">
        <v>1160</v>
      </c>
      <c r="N81" s="174"/>
      <c r="O81" s="112"/>
      <c r="P81" s="112"/>
    </row>
    <row r="82" spans="1:16" ht="15.75" thickBot="1" x14ac:dyDescent="0.25">
      <c r="A82" s="13">
        <v>73</v>
      </c>
      <c r="B82" s="14" t="s">
        <v>146</v>
      </c>
      <c r="C82" s="14" t="s">
        <v>147</v>
      </c>
      <c r="D82" s="14" t="s">
        <v>27</v>
      </c>
      <c r="E82" s="14">
        <v>1115.8</v>
      </c>
      <c r="F82" s="14">
        <v>103</v>
      </c>
      <c r="G82" s="14" t="s">
        <v>127</v>
      </c>
      <c r="H82" s="9" t="s">
        <v>594</v>
      </c>
      <c r="I82" s="9">
        <v>51.776100200000002</v>
      </c>
      <c r="J82" s="49">
        <v>38.150436399999997</v>
      </c>
      <c r="K82" s="69">
        <v>122</v>
      </c>
      <c r="L82" s="83"/>
      <c r="N82" s="148" t="s">
        <v>777</v>
      </c>
      <c r="O82" s="112"/>
      <c r="P82" s="112"/>
    </row>
    <row r="83" spans="1:16" ht="15.75" thickBot="1" x14ac:dyDescent="0.25">
      <c r="A83" s="209" t="s">
        <v>148</v>
      </c>
      <c r="B83" s="210"/>
      <c r="C83" s="210"/>
      <c r="D83" s="210"/>
      <c r="E83" s="210"/>
      <c r="F83" s="210"/>
      <c r="G83" s="210"/>
      <c r="H83" s="210"/>
      <c r="I83" s="210"/>
      <c r="J83" s="210"/>
      <c r="K83" s="67"/>
      <c r="L83" s="83"/>
      <c r="N83" s="112"/>
      <c r="O83" s="112"/>
      <c r="P83" s="112"/>
    </row>
    <row r="84" spans="1:16" x14ac:dyDescent="0.2">
      <c r="A84" s="129">
        <v>74</v>
      </c>
      <c r="B84" s="18" t="s">
        <v>149</v>
      </c>
      <c r="C84" s="18" t="s">
        <v>150</v>
      </c>
      <c r="D84" s="18">
        <v>1971</v>
      </c>
      <c r="E84" s="18">
        <v>1350</v>
      </c>
      <c r="F84" s="18">
        <v>90</v>
      </c>
      <c r="G84" s="18" t="s">
        <v>9</v>
      </c>
      <c r="H84" s="8" t="s">
        <v>595</v>
      </c>
      <c r="I84" s="8">
        <v>51.982265499999997</v>
      </c>
      <c r="J84" s="47">
        <v>35.312755600000003</v>
      </c>
      <c r="K84" s="67">
        <v>132</v>
      </c>
      <c r="L84" s="81" t="s">
        <v>1131</v>
      </c>
      <c r="N84" s="148" t="s">
        <v>777</v>
      </c>
      <c r="O84" s="112"/>
      <c r="P84" s="112"/>
    </row>
    <row r="85" spans="1:16" x14ac:dyDescent="0.2">
      <c r="A85" s="129">
        <v>75</v>
      </c>
      <c r="B85" s="13" t="s">
        <v>151</v>
      </c>
      <c r="C85" s="13" t="s">
        <v>152</v>
      </c>
      <c r="D85" s="13">
        <v>1971</v>
      </c>
      <c r="E85" s="13">
        <v>1020</v>
      </c>
      <c r="F85" s="13">
        <v>72</v>
      </c>
      <c r="G85" s="13" t="s">
        <v>9</v>
      </c>
      <c r="H85" s="8" t="s">
        <v>595</v>
      </c>
      <c r="I85" s="8">
        <v>51.927138999999997</v>
      </c>
      <c r="J85" s="47">
        <v>35.453645999999999</v>
      </c>
      <c r="K85" s="67">
        <v>130</v>
      </c>
      <c r="L85" s="83"/>
      <c r="N85" s="148" t="s">
        <v>777</v>
      </c>
      <c r="O85" s="112"/>
      <c r="P85" s="112"/>
    </row>
    <row r="86" spans="1:16" x14ac:dyDescent="0.2">
      <c r="A86" s="129">
        <v>76</v>
      </c>
      <c r="B86" s="13" t="s">
        <v>151</v>
      </c>
      <c r="C86" s="13" t="s">
        <v>153</v>
      </c>
      <c r="D86" s="13">
        <v>1980</v>
      </c>
      <c r="E86" s="13">
        <v>1090</v>
      </c>
      <c r="F86" s="13">
        <v>80</v>
      </c>
      <c r="G86" s="13" t="s">
        <v>9</v>
      </c>
      <c r="H86" s="117" t="s">
        <v>595</v>
      </c>
      <c r="I86" s="8">
        <v>51.903140999999998</v>
      </c>
      <c r="J86" s="47">
        <v>35.456401800000002</v>
      </c>
      <c r="K86" s="67">
        <v>129</v>
      </c>
      <c r="L86" s="83"/>
      <c r="N86" s="148" t="s">
        <v>777</v>
      </c>
      <c r="O86" s="112"/>
      <c r="P86" s="112"/>
    </row>
    <row r="87" spans="1:16" x14ac:dyDescent="0.2">
      <c r="A87" s="129">
        <v>77</v>
      </c>
      <c r="B87" s="13" t="s">
        <v>154</v>
      </c>
      <c r="C87" s="13" t="s">
        <v>155</v>
      </c>
      <c r="D87" s="13">
        <v>1976</v>
      </c>
      <c r="E87" s="13">
        <v>2360</v>
      </c>
      <c r="F87" s="13">
        <v>102</v>
      </c>
      <c r="G87" s="13" t="s">
        <v>9</v>
      </c>
      <c r="H87" s="20" t="s">
        <v>597</v>
      </c>
      <c r="I87" s="20">
        <v>51.804252599999998</v>
      </c>
      <c r="J87" s="50">
        <v>35.365726500000001</v>
      </c>
      <c r="K87" s="67">
        <v>125</v>
      </c>
      <c r="L87" s="83"/>
      <c r="N87" s="148" t="s">
        <v>777</v>
      </c>
      <c r="O87" s="112"/>
      <c r="P87" s="112"/>
    </row>
    <row r="88" spans="1:16" x14ac:dyDescent="0.2">
      <c r="A88" s="129">
        <v>78</v>
      </c>
      <c r="B88" s="13" t="s">
        <v>156</v>
      </c>
      <c r="C88" s="13" t="s">
        <v>157</v>
      </c>
      <c r="D88" s="13">
        <v>1979</v>
      </c>
      <c r="E88" s="13">
        <v>1620</v>
      </c>
      <c r="F88" s="13">
        <v>65</v>
      </c>
      <c r="G88" s="13" t="s">
        <v>9</v>
      </c>
      <c r="H88" s="20" t="s">
        <v>598</v>
      </c>
      <c r="I88" s="20">
        <v>51.904399900000001</v>
      </c>
      <c r="J88" s="50">
        <v>35.136814100000002</v>
      </c>
      <c r="K88" s="67">
        <v>123</v>
      </c>
      <c r="L88" s="83"/>
      <c r="N88" s="148" t="s">
        <v>777</v>
      </c>
      <c r="O88" s="112"/>
      <c r="P88" s="112"/>
    </row>
    <row r="89" spans="1:16" x14ac:dyDescent="0.2">
      <c r="A89" s="129">
        <v>79</v>
      </c>
      <c r="B89" s="13" t="s">
        <v>158</v>
      </c>
      <c r="C89" s="13" t="s">
        <v>159</v>
      </c>
      <c r="D89" s="13">
        <v>1981</v>
      </c>
      <c r="E89" s="13">
        <v>1220</v>
      </c>
      <c r="F89" s="13">
        <v>48</v>
      </c>
      <c r="G89" s="13" t="s">
        <v>9</v>
      </c>
      <c r="H89" s="20" t="s">
        <v>599</v>
      </c>
      <c r="I89" s="20">
        <v>51.799129499999999</v>
      </c>
      <c r="J89" s="50">
        <v>35.222869899999999</v>
      </c>
      <c r="K89" s="67">
        <v>126</v>
      </c>
      <c r="L89" s="83"/>
      <c r="N89" s="148" t="s">
        <v>777</v>
      </c>
      <c r="O89" s="112"/>
      <c r="P89" s="112"/>
    </row>
    <row r="90" spans="1:16" x14ac:dyDescent="0.2">
      <c r="A90" s="129">
        <v>80</v>
      </c>
      <c r="B90" s="36" t="s">
        <v>151</v>
      </c>
      <c r="C90" s="36" t="s">
        <v>160</v>
      </c>
      <c r="D90" s="36" t="s">
        <v>27</v>
      </c>
      <c r="E90" s="36">
        <v>755</v>
      </c>
      <c r="F90" s="36">
        <v>31</v>
      </c>
      <c r="G90" s="36" t="s">
        <v>9</v>
      </c>
      <c r="H90" s="117" t="s">
        <v>595</v>
      </c>
      <c r="I90" s="20">
        <v>51.948089600000003</v>
      </c>
      <c r="J90" s="50">
        <v>35.450355500000001</v>
      </c>
      <c r="K90" s="67">
        <v>131</v>
      </c>
      <c r="L90" s="83"/>
      <c r="N90" s="148" t="s">
        <v>777</v>
      </c>
      <c r="O90" s="112"/>
      <c r="P90" s="112"/>
    </row>
    <row r="91" spans="1:16" x14ac:dyDescent="0.2">
      <c r="A91" s="130">
        <v>81</v>
      </c>
      <c r="B91" s="13" t="s">
        <v>161</v>
      </c>
      <c r="C91" s="13" t="s">
        <v>162</v>
      </c>
      <c r="D91" s="13">
        <v>1981</v>
      </c>
      <c r="E91" s="13">
        <v>1220</v>
      </c>
      <c r="F91" s="13">
        <v>48</v>
      </c>
      <c r="G91" s="13" t="s">
        <v>9</v>
      </c>
      <c r="H91" s="20" t="s">
        <v>599</v>
      </c>
      <c r="I91" s="20">
        <v>51.813015</v>
      </c>
      <c r="J91" s="50">
        <v>35.235748999999998</v>
      </c>
      <c r="K91" s="67">
        <v>127</v>
      </c>
      <c r="L91" s="83"/>
      <c r="N91" s="148" t="s">
        <v>777</v>
      </c>
      <c r="O91" s="112"/>
      <c r="P91" s="112"/>
    </row>
    <row r="92" spans="1:16" x14ac:dyDescent="0.2">
      <c r="A92" s="130">
        <v>82</v>
      </c>
      <c r="B92" s="86" t="s">
        <v>163</v>
      </c>
      <c r="C92" s="86" t="s">
        <v>164</v>
      </c>
      <c r="D92" s="86">
        <v>1981</v>
      </c>
      <c r="E92" s="86">
        <v>750</v>
      </c>
      <c r="F92" s="86">
        <v>45</v>
      </c>
      <c r="G92" s="86" t="s">
        <v>9</v>
      </c>
      <c r="H92" s="117" t="s">
        <v>1133</v>
      </c>
      <c r="I92" s="89">
        <v>51.954776799999998</v>
      </c>
      <c r="J92" s="90">
        <v>35.315628099999998</v>
      </c>
      <c r="K92" s="87">
        <v>124</v>
      </c>
      <c r="L92" s="81" t="s">
        <v>763</v>
      </c>
      <c r="M92" s="1" t="s">
        <v>777</v>
      </c>
      <c r="N92" s="148" t="s">
        <v>777</v>
      </c>
      <c r="O92" s="112"/>
      <c r="P92" s="112"/>
    </row>
    <row r="93" spans="1:16" x14ac:dyDescent="0.2">
      <c r="A93" s="130">
        <v>83</v>
      </c>
      <c r="B93" s="13" t="s">
        <v>165</v>
      </c>
      <c r="C93" s="13" t="s">
        <v>166</v>
      </c>
      <c r="D93" s="13">
        <v>1985</v>
      </c>
      <c r="E93" s="13">
        <v>421</v>
      </c>
      <c r="F93" s="13">
        <v>22</v>
      </c>
      <c r="G93" s="13" t="s">
        <v>20</v>
      </c>
      <c r="H93" s="20" t="s">
        <v>601</v>
      </c>
      <c r="I93" s="20">
        <v>51.8691368</v>
      </c>
      <c r="J93" s="50">
        <v>35.514740000000003</v>
      </c>
      <c r="K93" s="67">
        <v>133</v>
      </c>
      <c r="L93" s="83"/>
      <c r="N93" s="148" t="s">
        <v>777</v>
      </c>
      <c r="O93" s="112"/>
      <c r="P93" s="112"/>
    </row>
    <row r="94" spans="1:16" ht="15.75" thickBot="1" x14ac:dyDescent="0.25">
      <c r="A94" s="130">
        <v>84</v>
      </c>
      <c r="B94" s="14" t="s">
        <v>167</v>
      </c>
      <c r="C94" s="14" t="s">
        <v>168</v>
      </c>
      <c r="D94" s="14">
        <v>1972</v>
      </c>
      <c r="E94" s="14">
        <v>326</v>
      </c>
      <c r="F94" s="14">
        <v>13</v>
      </c>
      <c r="G94" s="14" t="s">
        <v>117</v>
      </c>
      <c r="H94" s="22" t="s">
        <v>599</v>
      </c>
      <c r="I94" s="22">
        <v>51.875671400000002</v>
      </c>
      <c r="J94" s="51">
        <v>35.294780699999997</v>
      </c>
      <c r="K94" s="67">
        <v>128</v>
      </c>
      <c r="L94" s="83"/>
      <c r="N94" s="148" t="s">
        <v>777</v>
      </c>
      <c r="O94" s="112"/>
      <c r="P94" s="112"/>
    </row>
    <row r="95" spans="1:16" thickBot="1" x14ac:dyDescent="0.25">
      <c r="A95" s="193" t="s">
        <v>169</v>
      </c>
      <c r="B95" s="194"/>
      <c r="C95" s="194"/>
      <c r="D95" s="194"/>
      <c r="E95" s="194"/>
      <c r="F95" s="194"/>
      <c r="G95" s="194"/>
      <c r="H95" s="214"/>
      <c r="I95" s="214"/>
      <c r="J95" s="214"/>
      <c r="K95" s="215" t="s">
        <v>1132</v>
      </c>
      <c r="L95" s="216"/>
      <c r="N95" s="112"/>
      <c r="O95" s="112"/>
      <c r="P95" s="112"/>
    </row>
    <row r="96" spans="1:16" ht="30" x14ac:dyDescent="0.2">
      <c r="A96" s="151">
        <v>85</v>
      </c>
      <c r="B96" s="18" t="s">
        <v>170</v>
      </c>
      <c r="C96" s="18" t="s">
        <v>171</v>
      </c>
      <c r="D96" s="18">
        <v>1978</v>
      </c>
      <c r="E96" s="18">
        <v>3000</v>
      </c>
      <c r="F96" s="18">
        <v>162</v>
      </c>
      <c r="G96" s="18" t="s">
        <v>117</v>
      </c>
      <c r="H96" s="8" t="s">
        <v>602</v>
      </c>
      <c r="I96" s="8">
        <v>51.591331500000003</v>
      </c>
      <c r="J96" s="47">
        <v>36.2950363</v>
      </c>
      <c r="K96" s="71">
        <v>165</v>
      </c>
      <c r="L96" s="83"/>
      <c r="N96" s="148" t="s">
        <v>777</v>
      </c>
      <c r="O96" s="112"/>
      <c r="P96" s="112"/>
    </row>
    <row r="97" spans="1:16" ht="45" x14ac:dyDescent="0.2">
      <c r="A97" s="151">
        <v>86</v>
      </c>
      <c r="B97" s="13" t="s">
        <v>172</v>
      </c>
      <c r="C97" s="13" t="s">
        <v>173</v>
      </c>
      <c r="D97" s="13">
        <v>1973</v>
      </c>
      <c r="E97" s="13" t="s">
        <v>174</v>
      </c>
      <c r="F97" s="13" t="s">
        <v>175</v>
      </c>
      <c r="G97" s="13" t="s">
        <v>127</v>
      </c>
      <c r="H97" s="8" t="s">
        <v>603</v>
      </c>
      <c r="I97" s="8" t="s">
        <v>604</v>
      </c>
      <c r="J97" s="47" t="s">
        <v>605</v>
      </c>
      <c r="K97" s="71">
        <v>166</v>
      </c>
      <c r="L97" s="83"/>
      <c r="N97" s="148" t="s">
        <v>777</v>
      </c>
      <c r="O97" s="148" t="s">
        <v>777</v>
      </c>
      <c r="P97" s="148" t="s">
        <v>777</v>
      </c>
    </row>
    <row r="98" spans="1:16" ht="30" x14ac:dyDescent="0.2">
      <c r="A98" s="151">
        <v>87</v>
      </c>
      <c r="B98" s="13" t="s">
        <v>176</v>
      </c>
      <c r="C98" s="13" t="s">
        <v>177</v>
      </c>
      <c r="D98" s="13">
        <v>1973</v>
      </c>
      <c r="E98" s="13" t="s">
        <v>178</v>
      </c>
      <c r="F98" s="13" t="s">
        <v>179</v>
      </c>
      <c r="G98" s="13" t="s">
        <v>9</v>
      </c>
      <c r="H98" s="8" t="s">
        <v>603</v>
      </c>
      <c r="I98" s="8" t="s">
        <v>606</v>
      </c>
      <c r="J98" s="47" t="s">
        <v>607</v>
      </c>
      <c r="K98" s="71">
        <v>167</v>
      </c>
      <c r="L98" s="83"/>
      <c r="N98" s="148" t="s">
        <v>777</v>
      </c>
      <c r="O98" s="148" t="s">
        <v>777</v>
      </c>
      <c r="P98" s="148" t="s">
        <v>777</v>
      </c>
    </row>
    <row r="99" spans="1:16" x14ac:dyDescent="0.2">
      <c r="A99" s="151">
        <v>88</v>
      </c>
      <c r="B99" s="13" t="s">
        <v>180</v>
      </c>
      <c r="C99" s="13" t="s">
        <v>181</v>
      </c>
      <c r="D99" s="13">
        <v>1972</v>
      </c>
      <c r="E99" s="13">
        <v>1610</v>
      </c>
      <c r="F99" s="13">
        <v>96</v>
      </c>
      <c r="G99" s="13" t="s">
        <v>117</v>
      </c>
      <c r="H99" s="8" t="s">
        <v>608</v>
      </c>
      <c r="I99" s="8">
        <v>51.889965099999998</v>
      </c>
      <c r="J99" s="47">
        <v>36.043041199999998</v>
      </c>
      <c r="K99" s="71">
        <v>168</v>
      </c>
      <c r="L99" s="83"/>
      <c r="N99" s="148" t="s">
        <v>777</v>
      </c>
      <c r="O99" s="112"/>
      <c r="P99" s="112"/>
    </row>
    <row r="100" spans="1:16" x14ac:dyDescent="0.2">
      <c r="A100" s="151">
        <v>89</v>
      </c>
      <c r="B100" s="13" t="s">
        <v>182</v>
      </c>
      <c r="C100" s="13" t="s">
        <v>183</v>
      </c>
      <c r="D100" s="13">
        <v>1970</v>
      </c>
      <c r="E100" s="13">
        <v>1630</v>
      </c>
      <c r="F100" s="13">
        <v>70</v>
      </c>
      <c r="G100" s="13" t="s">
        <v>127</v>
      </c>
      <c r="H100" s="8" t="s">
        <v>609</v>
      </c>
      <c r="I100" s="8">
        <v>51.822685200000002</v>
      </c>
      <c r="J100" s="47">
        <v>36.326744099999999</v>
      </c>
      <c r="K100" s="71">
        <v>169</v>
      </c>
      <c r="L100" s="83"/>
      <c r="N100" s="148" t="s">
        <v>777</v>
      </c>
      <c r="O100" s="148" t="s">
        <v>777</v>
      </c>
      <c r="P100" s="148" t="s">
        <v>777</v>
      </c>
    </row>
    <row r="101" spans="1:16" x14ac:dyDescent="0.2">
      <c r="A101" s="151">
        <v>90</v>
      </c>
      <c r="B101" s="13" t="s">
        <v>182</v>
      </c>
      <c r="C101" s="13" t="s">
        <v>184</v>
      </c>
      <c r="D101" s="13" t="s">
        <v>27</v>
      </c>
      <c r="E101" s="13">
        <v>1910</v>
      </c>
      <c r="F101" s="13">
        <v>86</v>
      </c>
      <c r="G101" s="13" t="s">
        <v>117</v>
      </c>
      <c r="H101" s="8" t="s">
        <v>609</v>
      </c>
      <c r="I101" s="8">
        <v>51.805721300000002</v>
      </c>
      <c r="J101" s="47">
        <v>36.271457699999999</v>
      </c>
      <c r="K101" s="71">
        <v>170</v>
      </c>
      <c r="L101" s="83"/>
      <c r="N101" s="148" t="s">
        <v>777</v>
      </c>
      <c r="O101" s="148" t="s">
        <v>777</v>
      </c>
      <c r="P101" s="148" t="s">
        <v>777</v>
      </c>
    </row>
    <row r="102" spans="1:16" x14ac:dyDescent="0.2">
      <c r="A102" s="151">
        <v>91</v>
      </c>
      <c r="B102" s="13" t="s">
        <v>185</v>
      </c>
      <c r="C102" s="13" t="s">
        <v>186</v>
      </c>
      <c r="D102" s="13">
        <v>1976</v>
      </c>
      <c r="E102" s="13">
        <v>760</v>
      </c>
      <c r="F102" s="13">
        <v>51.4</v>
      </c>
      <c r="G102" s="13" t="s">
        <v>127</v>
      </c>
      <c r="H102" s="8" t="s">
        <v>610</v>
      </c>
      <c r="I102" s="8">
        <v>51.822910299999997</v>
      </c>
      <c r="J102" s="47">
        <v>35.954914100000003</v>
      </c>
      <c r="K102" s="71">
        <v>171</v>
      </c>
      <c r="L102" s="83"/>
      <c r="N102" s="148" t="s">
        <v>777</v>
      </c>
      <c r="O102" s="148" t="s">
        <v>777</v>
      </c>
      <c r="P102" s="148" t="s">
        <v>777</v>
      </c>
    </row>
    <row r="103" spans="1:16" x14ac:dyDescent="0.2">
      <c r="A103" s="151">
        <v>92</v>
      </c>
      <c r="B103" s="86" t="s">
        <v>187</v>
      </c>
      <c r="C103" s="86" t="s">
        <v>188</v>
      </c>
      <c r="D103" s="86">
        <v>1981</v>
      </c>
      <c r="E103" s="86">
        <v>2270</v>
      </c>
      <c r="F103" s="86">
        <v>51</v>
      </c>
      <c r="G103" s="86" t="s">
        <v>127</v>
      </c>
      <c r="H103" s="89" t="s">
        <v>611</v>
      </c>
      <c r="I103" s="89">
        <v>51.862739599999998</v>
      </c>
      <c r="J103" s="90">
        <v>36.0313759</v>
      </c>
      <c r="K103" s="91">
        <v>172</v>
      </c>
      <c r="L103" s="81" t="s">
        <v>763</v>
      </c>
      <c r="M103" s="1" t="s">
        <v>777</v>
      </c>
      <c r="N103" s="148" t="s">
        <v>777</v>
      </c>
      <c r="O103" s="148" t="s">
        <v>777</v>
      </c>
      <c r="P103" s="148" t="s">
        <v>777</v>
      </c>
    </row>
    <row r="104" spans="1:16" x14ac:dyDescent="0.2">
      <c r="A104" s="151">
        <v>93</v>
      </c>
      <c r="B104" s="13" t="s">
        <v>182</v>
      </c>
      <c r="C104" s="13" t="s">
        <v>189</v>
      </c>
      <c r="D104" s="13" t="s">
        <v>27</v>
      </c>
      <c r="E104" s="13">
        <v>1300</v>
      </c>
      <c r="F104" s="13">
        <v>24</v>
      </c>
      <c r="G104" s="13" t="s">
        <v>9</v>
      </c>
      <c r="H104" s="8" t="s">
        <v>609</v>
      </c>
      <c r="I104" s="8">
        <v>51.820754999999998</v>
      </c>
      <c r="J104" s="47">
        <v>36.483465000000002</v>
      </c>
      <c r="K104" s="71">
        <v>173</v>
      </c>
      <c r="L104" s="83"/>
      <c r="N104" s="148" t="s">
        <v>777</v>
      </c>
      <c r="O104" s="148" t="s">
        <v>777</v>
      </c>
      <c r="P104" s="148" t="s">
        <v>777</v>
      </c>
    </row>
    <row r="105" spans="1:16" x14ac:dyDescent="0.2">
      <c r="A105" s="151">
        <v>94</v>
      </c>
      <c r="B105" s="13" t="s">
        <v>170</v>
      </c>
      <c r="C105" s="13" t="s">
        <v>190</v>
      </c>
      <c r="D105" s="13">
        <v>1992</v>
      </c>
      <c r="E105" s="13">
        <v>1500</v>
      </c>
      <c r="F105" s="13">
        <v>70</v>
      </c>
      <c r="G105" s="13" t="s">
        <v>117</v>
      </c>
      <c r="H105" s="8" t="s">
        <v>612</v>
      </c>
      <c r="I105" s="8">
        <v>51.644523599999999</v>
      </c>
      <c r="J105" s="47">
        <v>36.365764599999999</v>
      </c>
      <c r="K105" s="71">
        <v>174</v>
      </c>
      <c r="L105" s="83"/>
      <c r="N105" s="148" t="s">
        <v>777</v>
      </c>
      <c r="O105" s="148" t="s">
        <v>777</v>
      </c>
      <c r="P105" s="148" t="s">
        <v>777</v>
      </c>
    </row>
    <row r="106" spans="1:16" x14ac:dyDescent="0.2">
      <c r="A106" s="151">
        <v>95</v>
      </c>
      <c r="B106" s="13" t="s">
        <v>192</v>
      </c>
      <c r="C106" s="13" t="s">
        <v>193</v>
      </c>
      <c r="D106" s="13">
        <v>1973</v>
      </c>
      <c r="E106" s="13">
        <v>635</v>
      </c>
      <c r="F106" s="13">
        <v>24</v>
      </c>
      <c r="G106" s="13" t="s">
        <v>9</v>
      </c>
      <c r="H106" s="8" t="s">
        <v>613</v>
      </c>
      <c r="I106" s="8">
        <v>51.637149800000003</v>
      </c>
      <c r="J106" s="47">
        <v>36.020404800000001</v>
      </c>
      <c r="K106" s="71">
        <v>176</v>
      </c>
      <c r="L106" s="83"/>
      <c r="N106" s="148" t="s">
        <v>777</v>
      </c>
      <c r="O106" s="148" t="s">
        <v>777</v>
      </c>
      <c r="P106" s="148" t="s">
        <v>777</v>
      </c>
    </row>
    <row r="107" spans="1:16" x14ac:dyDescent="0.2">
      <c r="A107" s="151">
        <v>96</v>
      </c>
      <c r="B107" s="13" t="s">
        <v>182</v>
      </c>
      <c r="C107" s="13" t="s">
        <v>194</v>
      </c>
      <c r="D107" s="13">
        <v>1948</v>
      </c>
      <c r="E107" s="13">
        <v>660</v>
      </c>
      <c r="F107" s="13">
        <v>24</v>
      </c>
      <c r="G107" s="13" t="s">
        <v>9</v>
      </c>
      <c r="H107" s="8" t="s">
        <v>609</v>
      </c>
      <c r="I107" s="8">
        <v>51.846931499999997</v>
      </c>
      <c r="J107" s="47">
        <v>36.4357185</v>
      </c>
      <c r="K107" s="67">
        <v>178</v>
      </c>
      <c r="L107" s="83"/>
      <c r="N107" s="148" t="s">
        <v>777</v>
      </c>
      <c r="O107" s="148" t="s">
        <v>777</v>
      </c>
      <c r="P107" s="148" t="s">
        <v>777</v>
      </c>
    </row>
    <row r="108" spans="1:16" x14ac:dyDescent="0.2">
      <c r="A108" s="151">
        <v>97</v>
      </c>
      <c r="B108" s="13" t="s">
        <v>195</v>
      </c>
      <c r="C108" s="13" t="s">
        <v>194</v>
      </c>
      <c r="D108" s="13">
        <v>1983</v>
      </c>
      <c r="E108" s="13">
        <v>535</v>
      </c>
      <c r="F108" s="13">
        <v>19</v>
      </c>
      <c r="G108" s="13" t="s">
        <v>127</v>
      </c>
      <c r="H108" s="8" t="s">
        <v>609</v>
      </c>
      <c r="I108" s="8">
        <v>51.844386</v>
      </c>
      <c r="J108" s="47">
        <v>36.410511</v>
      </c>
      <c r="K108" s="67">
        <v>177</v>
      </c>
      <c r="L108" s="83"/>
      <c r="N108" s="148" t="s">
        <v>777</v>
      </c>
      <c r="O108" s="148" t="s">
        <v>777</v>
      </c>
      <c r="P108" s="148" t="s">
        <v>777</v>
      </c>
    </row>
    <row r="109" spans="1:16" x14ac:dyDescent="0.2">
      <c r="A109" s="151">
        <v>98</v>
      </c>
      <c r="B109" s="13" t="s">
        <v>196</v>
      </c>
      <c r="C109" s="13" t="s">
        <v>197</v>
      </c>
      <c r="D109" s="13">
        <v>1968</v>
      </c>
      <c r="E109" s="13">
        <v>710</v>
      </c>
      <c r="F109" s="13">
        <v>65</v>
      </c>
      <c r="G109" s="13" t="s">
        <v>20</v>
      </c>
      <c r="H109" s="23" t="s">
        <v>614</v>
      </c>
      <c r="I109" s="23">
        <v>51.779468000000001</v>
      </c>
      <c r="J109" s="52">
        <v>36.154226000000001</v>
      </c>
      <c r="K109" s="71">
        <v>179</v>
      </c>
      <c r="L109" s="83"/>
      <c r="N109" s="148" t="s">
        <v>777</v>
      </c>
      <c r="O109" s="148" t="s">
        <v>777</v>
      </c>
      <c r="P109" s="148" t="s">
        <v>777</v>
      </c>
    </row>
    <row r="110" spans="1:16" x14ac:dyDescent="0.2">
      <c r="A110" s="151">
        <v>99</v>
      </c>
      <c r="B110" s="13" t="s">
        <v>198</v>
      </c>
      <c r="C110" s="13" t="s">
        <v>104</v>
      </c>
      <c r="D110" s="13">
        <v>1972</v>
      </c>
      <c r="E110" s="13">
        <v>580</v>
      </c>
      <c r="F110" s="13">
        <v>29</v>
      </c>
      <c r="G110" s="13" t="s">
        <v>9</v>
      </c>
      <c r="H110" s="23" t="s">
        <v>603</v>
      </c>
      <c r="I110" s="23">
        <v>51.869060500000003</v>
      </c>
      <c r="J110" s="52">
        <v>36.023544299999998</v>
      </c>
      <c r="K110" s="71">
        <v>180</v>
      </c>
      <c r="L110" s="83"/>
      <c r="N110" s="148" t="s">
        <v>777</v>
      </c>
      <c r="O110" s="148" t="s">
        <v>777</v>
      </c>
      <c r="P110" s="148" t="s">
        <v>777</v>
      </c>
    </row>
    <row r="111" spans="1:16" x14ac:dyDescent="0.2">
      <c r="A111" s="152">
        <v>100</v>
      </c>
      <c r="B111" s="13" t="s">
        <v>191</v>
      </c>
      <c r="C111" s="13" t="s">
        <v>199</v>
      </c>
      <c r="D111" s="13">
        <v>1977</v>
      </c>
      <c r="E111" s="13">
        <v>875</v>
      </c>
      <c r="F111" s="13">
        <v>50</v>
      </c>
      <c r="G111" s="13" t="s">
        <v>127</v>
      </c>
      <c r="H111" s="23" t="s">
        <v>603</v>
      </c>
      <c r="I111" s="23">
        <v>51.862213099999998</v>
      </c>
      <c r="J111" s="52">
        <v>36.0128822</v>
      </c>
      <c r="K111" s="71">
        <v>181</v>
      </c>
      <c r="L111" s="83"/>
      <c r="N111" s="148" t="s">
        <v>777</v>
      </c>
      <c r="O111" s="148" t="s">
        <v>777</v>
      </c>
      <c r="P111" s="148" t="s">
        <v>777</v>
      </c>
    </row>
    <row r="112" spans="1:16" x14ac:dyDescent="0.2">
      <c r="A112" s="152">
        <v>101</v>
      </c>
      <c r="B112" s="13" t="s">
        <v>198</v>
      </c>
      <c r="C112" s="13" t="s">
        <v>200</v>
      </c>
      <c r="D112" s="13">
        <v>1976</v>
      </c>
      <c r="E112" s="13">
        <v>924</v>
      </c>
      <c r="F112" s="13">
        <v>25</v>
      </c>
      <c r="G112" s="13" t="s">
        <v>20</v>
      </c>
      <c r="H112" s="23" t="s">
        <v>603</v>
      </c>
      <c r="I112" s="23">
        <v>51.831470500000002</v>
      </c>
      <c r="J112" s="52">
        <v>36.002822899999998</v>
      </c>
      <c r="K112" s="71">
        <v>182</v>
      </c>
      <c r="L112" s="83"/>
      <c r="N112" s="148" t="s">
        <v>777</v>
      </c>
      <c r="O112" s="148" t="s">
        <v>777</v>
      </c>
      <c r="P112" s="148" t="s">
        <v>777</v>
      </c>
    </row>
    <row r="113" spans="1:16" x14ac:dyDescent="0.2">
      <c r="A113" s="152">
        <v>102</v>
      </c>
      <c r="B113" s="13" t="s">
        <v>201</v>
      </c>
      <c r="C113" s="13" t="s">
        <v>202</v>
      </c>
      <c r="D113" s="13">
        <v>1985</v>
      </c>
      <c r="E113" s="13">
        <v>480</v>
      </c>
      <c r="F113" s="13">
        <v>31</v>
      </c>
      <c r="G113" s="13" t="s">
        <v>127</v>
      </c>
      <c r="H113" s="23" t="s">
        <v>615</v>
      </c>
      <c r="I113" s="23">
        <v>51.760990100000001</v>
      </c>
      <c r="J113" s="52">
        <v>36.5769424</v>
      </c>
      <c r="K113" s="71">
        <v>183</v>
      </c>
      <c r="L113" s="83"/>
      <c r="N113" s="148" t="s">
        <v>777</v>
      </c>
      <c r="O113" s="148" t="s">
        <v>777</v>
      </c>
      <c r="P113" s="148" t="s">
        <v>777</v>
      </c>
    </row>
    <row r="114" spans="1:16" x14ac:dyDescent="0.2">
      <c r="A114" s="152">
        <v>103</v>
      </c>
      <c r="B114" s="13" t="s">
        <v>203</v>
      </c>
      <c r="C114" s="13" t="s">
        <v>204</v>
      </c>
      <c r="D114" s="13" t="s">
        <v>27</v>
      </c>
      <c r="E114" s="13">
        <v>260</v>
      </c>
      <c r="F114" s="13">
        <v>13</v>
      </c>
      <c r="G114" s="13" t="s">
        <v>127</v>
      </c>
      <c r="H114" s="23" t="s">
        <v>616</v>
      </c>
      <c r="I114" s="23">
        <v>51.756328600000003</v>
      </c>
      <c r="J114" s="52">
        <v>36.5168228</v>
      </c>
      <c r="K114" s="71">
        <v>184</v>
      </c>
      <c r="L114" s="83"/>
      <c r="N114" s="148" t="s">
        <v>777</v>
      </c>
      <c r="O114" s="148" t="s">
        <v>777</v>
      </c>
      <c r="P114" s="148" t="s">
        <v>777</v>
      </c>
    </row>
    <row r="115" spans="1:16" x14ac:dyDescent="0.2">
      <c r="A115" s="152">
        <v>104</v>
      </c>
      <c r="B115" s="13" t="s">
        <v>205</v>
      </c>
      <c r="C115" s="13" t="s">
        <v>206</v>
      </c>
      <c r="D115" s="13" t="s">
        <v>27</v>
      </c>
      <c r="E115" s="13">
        <v>277</v>
      </c>
      <c r="F115" s="13">
        <v>14</v>
      </c>
      <c r="G115" s="13" t="s">
        <v>9</v>
      </c>
      <c r="H115" s="23" t="s">
        <v>617</v>
      </c>
      <c r="I115" s="23">
        <v>51.728481299999999</v>
      </c>
      <c r="J115" s="52">
        <v>36.468475300000001</v>
      </c>
      <c r="K115" s="71">
        <v>185</v>
      </c>
      <c r="L115" s="83"/>
      <c r="N115" s="148" t="s">
        <v>777</v>
      </c>
      <c r="O115" s="148" t="s">
        <v>777</v>
      </c>
      <c r="P115" s="148" t="s">
        <v>777</v>
      </c>
    </row>
    <row r="116" spans="1:16" ht="30" x14ac:dyDescent="0.2">
      <c r="A116" s="152">
        <v>105</v>
      </c>
      <c r="B116" s="13" t="s">
        <v>195</v>
      </c>
      <c r="C116" s="13" t="s">
        <v>207</v>
      </c>
      <c r="D116" s="13">
        <v>1983</v>
      </c>
      <c r="E116" s="13">
        <v>400</v>
      </c>
      <c r="F116" s="13">
        <v>20</v>
      </c>
      <c r="G116" s="13" t="s">
        <v>9</v>
      </c>
      <c r="H116" s="144" t="s">
        <v>602</v>
      </c>
      <c r="I116" s="23">
        <v>51.574386599999997</v>
      </c>
      <c r="J116" s="52">
        <v>36.2427864</v>
      </c>
      <c r="K116" s="71">
        <v>186</v>
      </c>
      <c r="L116" s="83"/>
      <c r="N116" s="148" t="s">
        <v>777</v>
      </c>
      <c r="O116" s="148" t="s">
        <v>777</v>
      </c>
      <c r="P116" s="148" t="s">
        <v>777</v>
      </c>
    </row>
    <row r="117" spans="1:16" ht="30" x14ac:dyDescent="0.2">
      <c r="A117" s="152">
        <v>106</v>
      </c>
      <c r="B117" s="13" t="s">
        <v>208</v>
      </c>
      <c r="C117" s="13" t="s">
        <v>209</v>
      </c>
      <c r="D117" s="13">
        <v>1977</v>
      </c>
      <c r="E117" s="13">
        <v>125</v>
      </c>
      <c r="F117" s="13">
        <v>5</v>
      </c>
      <c r="G117" s="13" t="s">
        <v>117</v>
      </c>
      <c r="H117" s="23" t="s">
        <v>602</v>
      </c>
      <c r="I117" s="23">
        <v>51.603069300000001</v>
      </c>
      <c r="J117" s="52">
        <v>36.270420100000003</v>
      </c>
      <c r="K117" s="71">
        <v>187</v>
      </c>
      <c r="L117" s="83"/>
      <c r="N117" s="148" t="s">
        <v>777</v>
      </c>
      <c r="O117" s="148" t="s">
        <v>777</v>
      </c>
      <c r="P117" s="148" t="s">
        <v>777</v>
      </c>
    </row>
    <row r="118" spans="1:16" ht="30" x14ac:dyDescent="0.2">
      <c r="A118" s="152">
        <v>107</v>
      </c>
      <c r="B118" s="13" t="s">
        <v>50</v>
      </c>
      <c r="C118" s="13" t="s">
        <v>210</v>
      </c>
      <c r="D118" s="13">
        <v>1970</v>
      </c>
      <c r="E118" s="13">
        <v>148</v>
      </c>
      <c r="F118" s="13">
        <v>10</v>
      </c>
      <c r="G118" s="13" t="s">
        <v>117</v>
      </c>
      <c r="H118" s="23" t="s">
        <v>618</v>
      </c>
      <c r="I118" s="23">
        <v>51.633006999999999</v>
      </c>
      <c r="J118" s="52">
        <v>36.097805000000001</v>
      </c>
      <c r="K118" s="71">
        <v>188</v>
      </c>
      <c r="L118" s="83"/>
      <c r="N118" s="148" t="s">
        <v>777</v>
      </c>
      <c r="O118" s="148" t="s">
        <v>777</v>
      </c>
      <c r="P118" s="148" t="s">
        <v>777</v>
      </c>
    </row>
    <row r="119" spans="1:16" x14ac:dyDescent="0.2">
      <c r="A119" s="152">
        <v>108</v>
      </c>
      <c r="B119" s="13" t="s">
        <v>211</v>
      </c>
      <c r="C119" s="13" t="s">
        <v>212</v>
      </c>
      <c r="D119" s="13">
        <v>1970</v>
      </c>
      <c r="E119" s="13">
        <v>399</v>
      </c>
      <c r="F119" s="13">
        <v>28</v>
      </c>
      <c r="G119" s="13" t="s">
        <v>127</v>
      </c>
      <c r="H119" s="23" t="s">
        <v>619</v>
      </c>
      <c r="I119" s="23">
        <v>51.712360400000001</v>
      </c>
      <c r="J119" s="52">
        <v>36.100242600000001</v>
      </c>
      <c r="K119" s="71">
        <v>189</v>
      </c>
      <c r="L119" s="83"/>
      <c r="N119" s="148" t="s">
        <v>777</v>
      </c>
      <c r="O119" s="148" t="s">
        <v>777</v>
      </c>
      <c r="P119" s="148" t="s">
        <v>777</v>
      </c>
    </row>
    <row r="120" spans="1:16" x14ac:dyDescent="0.2">
      <c r="A120" s="152">
        <v>109</v>
      </c>
      <c r="B120" s="13" t="s">
        <v>182</v>
      </c>
      <c r="C120" s="13" t="s">
        <v>213</v>
      </c>
      <c r="D120" s="13">
        <v>1971</v>
      </c>
      <c r="E120" s="13">
        <v>360</v>
      </c>
      <c r="F120" s="13">
        <v>24</v>
      </c>
      <c r="G120" s="13" t="s">
        <v>127</v>
      </c>
      <c r="H120" s="23" t="s">
        <v>620</v>
      </c>
      <c r="I120" s="23">
        <v>51.8260498</v>
      </c>
      <c r="J120" s="52">
        <v>36.470050800000003</v>
      </c>
      <c r="K120" s="71">
        <v>190</v>
      </c>
      <c r="L120" s="83"/>
      <c r="N120" s="148" t="s">
        <v>777</v>
      </c>
      <c r="O120" s="148" t="s">
        <v>777</v>
      </c>
      <c r="P120" s="148" t="s">
        <v>777</v>
      </c>
    </row>
    <row r="121" spans="1:16" x14ac:dyDescent="0.2">
      <c r="A121" s="152">
        <v>110</v>
      </c>
      <c r="B121" s="13" t="s">
        <v>214</v>
      </c>
      <c r="C121" s="13" t="s">
        <v>215</v>
      </c>
      <c r="D121" s="13">
        <v>1979</v>
      </c>
      <c r="E121" s="13">
        <v>460</v>
      </c>
      <c r="F121" s="13">
        <v>18</v>
      </c>
      <c r="G121" s="13" t="s">
        <v>9</v>
      </c>
      <c r="H121" s="23" t="s">
        <v>621</v>
      </c>
      <c r="I121" s="23">
        <v>51.823104899999997</v>
      </c>
      <c r="J121" s="52">
        <v>36.368949899999997</v>
      </c>
      <c r="K121" s="71">
        <v>191</v>
      </c>
      <c r="L121" s="83"/>
      <c r="N121" s="148" t="s">
        <v>777</v>
      </c>
      <c r="O121" s="112"/>
      <c r="P121" s="112"/>
    </row>
    <row r="122" spans="1:16" x14ac:dyDescent="0.2">
      <c r="A122" s="18">
        <v>111</v>
      </c>
      <c r="B122" s="13" t="s">
        <v>182</v>
      </c>
      <c r="C122" s="13" t="s">
        <v>216</v>
      </c>
      <c r="D122" s="13">
        <v>1948</v>
      </c>
      <c r="E122" s="13">
        <v>280</v>
      </c>
      <c r="F122" s="13">
        <v>20</v>
      </c>
      <c r="G122" s="13" t="s">
        <v>9</v>
      </c>
      <c r="H122" s="23" t="s">
        <v>609</v>
      </c>
      <c r="I122" s="23">
        <v>51.8125839</v>
      </c>
      <c r="J122" s="52">
        <v>36.314079300000003</v>
      </c>
      <c r="K122" s="71">
        <v>192</v>
      </c>
      <c r="L122" s="83"/>
      <c r="N122" s="148" t="s">
        <v>777</v>
      </c>
      <c r="O122" s="148" t="s">
        <v>777</v>
      </c>
      <c r="P122" s="148" t="s">
        <v>777</v>
      </c>
    </row>
    <row r="123" spans="1:16" x14ac:dyDescent="0.2">
      <c r="A123" s="18">
        <v>112</v>
      </c>
      <c r="B123" s="13" t="s">
        <v>191</v>
      </c>
      <c r="C123" s="13" t="s">
        <v>218</v>
      </c>
      <c r="D123" s="13">
        <v>1962</v>
      </c>
      <c r="E123" s="13">
        <v>300</v>
      </c>
      <c r="F123" s="13">
        <v>15</v>
      </c>
      <c r="G123" s="13" t="s">
        <v>117</v>
      </c>
      <c r="H123" s="23" t="s">
        <v>623</v>
      </c>
      <c r="I123" s="23">
        <v>51.9309692</v>
      </c>
      <c r="J123" s="52">
        <v>36.034950299999998</v>
      </c>
      <c r="K123" s="71">
        <v>194</v>
      </c>
      <c r="L123" s="83"/>
      <c r="N123" s="148" t="s">
        <v>777</v>
      </c>
      <c r="O123" s="112"/>
      <c r="P123" s="112"/>
    </row>
    <row r="124" spans="1:16" x14ac:dyDescent="0.2">
      <c r="A124" s="18">
        <v>113</v>
      </c>
      <c r="B124" s="13" t="s">
        <v>217</v>
      </c>
      <c r="C124" s="13" t="s">
        <v>219</v>
      </c>
      <c r="D124" s="13" t="s">
        <v>27</v>
      </c>
      <c r="E124" s="13">
        <v>350</v>
      </c>
      <c r="F124" s="13">
        <v>5</v>
      </c>
      <c r="G124" s="13" t="s">
        <v>20</v>
      </c>
      <c r="H124" s="23" t="s">
        <v>622</v>
      </c>
      <c r="I124" s="23">
        <v>51.747455600000002</v>
      </c>
      <c r="J124" s="52">
        <v>36.170940399999999</v>
      </c>
      <c r="K124" s="71">
        <v>195</v>
      </c>
      <c r="L124" s="83"/>
      <c r="N124" s="148" t="s">
        <v>777</v>
      </c>
      <c r="O124" s="112"/>
      <c r="P124" s="112"/>
    </row>
    <row r="125" spans="1:16" ht="30" x14ac:dyDescent="0.2">
      <c r="A125" s="18">
        <v>114</v>
      </c>
      <c r="B125" s="13" t="s">
        <v>50</v>
      </c>
      <c r="C125" s="13" t="s">
        <v>207</v>
      </c>
      <c r="D125" s="13">
        <v>1971</v>
      </c>
      <c r="E125" s="13">
        <v>144</v>
      </c>
      <c r="F125" s="13">
        <v>7</v>
      </c>
      <c r="G125" s="13" t="s">
        <v>127</v>
      </c>
      <c r="H125" s="8" t="s">
        <v>602</v>
      </c>
      <c r="I125" s="8">
        <v>51.581253099999998</v>
      </c>
      <c r="J125" s="47">
        <v>36.220901499999997</v>
      </c>
      <c r="K125" s="69">
        <v>196</v>
      </c>
      <c r="L125" s="83"/>
      <c r="N125" s="148" t="s">
        <v>777</v>
      </c>
      <c r="O125" s="112"/>
      <c r="P125" s="112"/>
    </row>
    <row r="126" spans="1:16" x14ac:dyDescent="0.2">
      <c r="A126" s="18">
        <v>115</v>
      </c>
      <c r="B126" s="13" t="s">
        <v>185</v>
      </c>
      <c r="C126" s="13" t="s">
        <v>220</v>
      </c>
      <c r="D126" s="13">
        <v>1954</v>
      </c>
      <c r="E126" s="13">
        <v>300</v>
      </c>
      <c r="F126" s="13">
        <v>11</v>
      </c>
      <c r="G126" s="13" t="s">
        <v>127</v>
      </c>
      <c r="H126" s="8" t="s">
        <v>624</v>
      </c>
      <c r="I126" s="8">
        <v>51.866485599999997</v>
      </c>
      <c r="J126" s="47">
        <v>35.895027200000001</v>
      </c>
      <c r="K126" s="69">
        <v>197</v>
      </c>
      <c r="L126" s="83"/>
      <c r="N126" s="148" t="s">
        <v>777</v>
      </c>
      <c r="O126" s="112"/>
      <c r="P126" s="112"/>
    </row>
    <row r="127" spans="1:16" x14ac:dyDescent="0.2">
      <c r="A127" s="18">
        <v>116</v>
      </c>
      <c r="B127" s="13" t="s">
        <v>50</v>
      </c>
      <c r="C127" s="13" t="s">
        <v>221</v>
      </c>
      <c r="D127" s="13">
        <v>1951</v>
      </c>
      <c r="E127" s="13">
        <v>72</v>
      </c>
      <c r="F127" s="13">
        <v>9</v>
      </c>
      <c r="G127" s="13" t="s">
        <v>127</v>
      </c>
      <c r="H127" s="8" t="s">
        <v>625</v>
      </c>
      <c r="I127" s="8">
        <v>51.804439500000001</v>
      </c>
      <c r="J127" s="47">
        <v>36.142742200000001</v>
      </c>
      <c r="K127" s="69">
        <v>198</v>
      </c>
      <c r="L127" s="83"/>
      <c r="N127" s="148" t="s">
        <v>777</v>
      </c>
      <c r="O127" s="112"/>
      <c r="P127" s="112"/>
    </row>
    <row r="128" spans="1:16" ht="30" x14ac:dyDescent="0.25">
      <c r="A128" s="18">
        <v>117</v>
      </c>
      <c r="B128" s="13" t="s">
        <v>222</v>
      </c>
      <c r="C128" s="13" t="s">
        <v>223</v>
      </c>
      <c r="D128" s="13">
        <v>1999</v>
      </c>
      <c r="E128" s="13">
        <v>1000</v>
      </c>
      <c r="F128" s="13">
        <v>30</v>
      </c>
      <c r="G128" s="13" t="s">
        <v>20</v>
      </c>
      <c r="H128" s="20" t="s">
        <v>626</v>
      </c>
      <c r="I128" s="20">
        <v>51.669693000000002</v>
      </c>
      <c r="J128" s="50">
        <v>36.120643600000001</v>
      </c>
      <c r="K128" s="67">
        <v>200</v>
      </c>
      <c r="L128" s="124" t="s">
        <v>1117</v>
      </c>
      <c r="N128" s="175" t="s">
        <v>1174</v>
      </c>
      <c r="O128" s="156"/>
      <c r="P128" s="156"/>
    </row>
    <row r="129" spans="1:17" x14ac:dyDescent="0.2">
      <c r="A129" s="18">
        <v>118</v>
      </c>
      <c r="B129" s="13" t="s">
        <v>224</v>
      </c>
      <c r="C129" s="13" t="s">
        <v>225</v>
      </c>
      <c r="D129" s="13">
        <v>2013</v>
      </c>
      <c r="E129" s="13">
        <v>18000</v>
      </c>
      <c r="F129" s="13">
        <v>950</v>
      </c>
      <c r="G129" s="13" t="s">
        <v>20</v>
      </c>
      <c r="H129" s="8" t="s">
        <v>627</v>
      </c>
      <c r="I129" s="8">
        <v>51.804035200000001</v>
      </c>
      <c r="J129" s="47">
        <v>36.213977800000002</v>
      </c>
      <c r="K129" s="67">
        <v>199</v>
      </c>
      <c r="L129" s="83"/>
      <c r="N129" s="148" t="s">
        <v>777</v>
      </c>
      <c r="O129" s="112"/>
      <c r="P129" s="112"/>
    </row>
    <row r="130" spans="1:17" ht="30.75" thickBot="1" x14ac:dyDescent="0.25">
      <c r="A130" s="18">
        <v>119</v>
      </c>
      <c r="B130" s="24" t="s">
        <v>226</v>
      </c>
      <c r="C130" s="24" t="s">
        <v>227</v>
      </c>
      <c r="D130" s="24">
        <v>2006</v>
      </c>
      <c r="E130" s="24">
        <v>25</v>
      </c>
      <c r="F130" s="24">
        <v>5.5</v>
      </c>
      <c r="G130" s="24" t="s">
        <v>20</v>
      </c>
      <c r="H130" s="25"/>
      <c r="I130" s="25" t="s">
        <v>780</v>
      </c>
      <c r="J130" s="28" t="s">
        <v>781</v>
      </c>
      <c r="K130" s="66" t="s">
        <v>561</v>
      </c>
      <c r="L130" s="83"/>
      <c r="M130" s="1" t="s">
        <v>777</v>
      </c>
      <c r="N130" s="148" t="s">
        <v>777</v>
      </c>
      <c r="O130" s="112"/>
      <c r="P130" s="112"/>
    </row>
    <row r="131" spans="1:17" ht="15.75" thickBot="1" x14ac:dyDescent="0.25">
      <c r="A131" s="193" t="s">
        <v>228</v>
      </c>
      <c r="B131" s="194"/>
      <c r="C131" s="194"/>
      <c r="D131" s="194"/>
      <c r="E131" s="194"/>
      <c r="F131" s="194"/>
      <c r="G131" s="194"/>
      <c r="H131" s="194"/>
      <c r="I131" s="194"/>
      <c r="J131" s="194"/>
      <c r="K131" s="67"/>
      <c r="L131" s="83"/>
      <c r="N131" s="112"/>
      <c r="O131" s="112"/>
      <c r="P131" s="112"/>
    </row>
    <row r="132" spans="1:17" x14ac:dyDescent="0.2">
      <c r="A132" s="18">
        <v>120</v>
      </c>
      <c r="B132" s="18" t="s">
        <v>229</v>
      </c>
      <c r="C132" s="18" t="s">
        <v>230</v>
      </c>
      <c r="D132" s="18">
        <v>1950</v>
      </c>
      <c r="E132" s="18">
        <v>1200</v>
      </c>
      <c r="F132" s="18">
        <v>80</v>
      </c>
      <c r="G132" s="18" t="s">
        <v>20</v>
      </c>
      <c r="H132" s="32" t="s">
        <v>632</v>
      </c>
      <c r="I132" s="32">
        <v>51.413410200000001</v>
      </c>
      <c r="J132" s="53">
        <v>37.143539400000002</v>
      </c>
      <c r="K132" s="72">
        <v>226</v>
      </c>
      <c r="L132" s="83"/>
      <c r="N132" s="148" t="s">
        <v>777</v>
      </c>
      <c r="O132" s="148" t="s">
        <v>777</v>
      </c>
      <c r="P132" s="148" t="s">
        <v>777</v>
      </c>
    </row>
    <row r="133" spans="1:17" ht="30" x14ac:dyDescent="0.25">
      <c r="A133" s="18">
        <v>121</v>
      </c>
      <c r="B133" s="13" t="s">
        <v>231</v>
      </c>
      <c r="C133" s="13" t="s">
        <v>232</v>
      </c>
      <c r="D133" s="13">
        <v>1978</v>
      </c>
      <c r="E133" s="13">
        <v>1300</v>
      </c>
      <c r="F133" s="13">
        <v>77</v>
      </c>
      <c r="G133" s="13" t="s">
        <v>135</v>
      </c>
      <c r="H133" s="121" t="s">
        <v>586</v>
      </c>
      <c r="I133" s="32">
        <v>51.393706000000002</v>
      </c>
      <c r="J133" s="53">
        <v>37.387596000000002</v>
      </c>
      <c r="K133" s="72">
        <v>227</v>
      </c>
      <c r="L133" s="83"/>
      <c r="N133" s="174"/>
      <c r="O133" s="112"/>
      <c r="P133" s="112"/>
      <c r="Q133" s="183" t="s">
        <v>1177</v>
      </c>
    </row>
    <row r="134" spans="1:17" x14ac:dyDescent="0.2">
      <c r="A134" s="18">
        <v>122</v>
      </c>
      <c r="B134" s="13" t="s">
        <v>233</v>
      </c>
      <c r="C134" s="13" t="s">
        <v>232</v>
      </c>
      <c r="D134" s="13" t="s">
        <v>234</v>
      </c>
      <c r="E134" s="13">
        <v>1670</v>
      </c>
      <c r="F134" s="13">
        <v>70</v>
      </c>
      <c r="G134" s="13" t="s">
        <v>9</v>
      </c>
      <c r="H134" s="122" t="s">
        <v>1100</v>
      </c>
      <c r="I134" s="32">
        <v>51.408222199999997</v>
      </c>
      <c r="J134" s="53">
        <v>37.395465899999998</v>
      </c>
      <c r="K134" s="72">
        <v>228</v>
      </c>
      <c r="L134" s="83"/>
      <c r="N134" s="148" t="s">
        <v>777</v>
      </c>
      <c r="O134" s="112"/>
      <c r="P134" s="112"/>
    </row>
    <row r="135" spans="1:17" x14ac:dyDescent="0.2">
      <c r="A135" s="18">
        <v>123</v>
      </c>
      <c r="B135" s="13" t="s">
        <v>233</v>
      </c>
      <c r="C135" s="13" t="s">
        <v>235</v>
      </c>
      <c r="D135" s="13">
        <v>1952</v>
      </c>
      <c r="E135" s="13">
        <v>4500</v>
      </c>
      <c r="F135" s="13">
        <v>173</v>
      </c>
      <c r="G135" s="13" t="s">
        <v>9</v>
      </c>
      <c r="H135" s="122" t="s">
        <v>1101</v>
      </c>
      <c r="I135" s="32">
        <v>51.455768599999999</v>
      </c>
      <c r="J135" s="53">
        <v>37.530612900000001</v>
      </c>
      <c r="K135" s="72">
        <v>229</v>
      </c>
      <c r="L135" s="83"/>
      <c r="N135" s="148" t="s">
        <v>777</v>
      </c>
      <c r="O135" s="112"/>
      <c r="P135" s="112"/>
    </row>
    <row r="136" spans="1:17" x14ac:dyDescent="0.2">
      <c r="A136" s="18">
        <v>124</v>
      </c>
      <c r="B136" s="13" t="s">
        <v>236</v>
      </c>
      <c r="C136" s="13" t="s">
        <v>237</v>
      </c>
      <c r="D136" s="13">
        <v>1954</v>
      </c>
      <c r="E136" s="13">
        <v>1740</v>
      </c>
      <c r="F136" s="13">
        <v>72</v>
      </c>
      <c r="G136" s="13" t="s">
        <v>9</v>
      </c>
      <c r="H136" s="122" t="s">
        <v>1102</v>
      </c>
      <c r="I136" s="32">
        <v>51.552146899999997</v>
      </c>
      <c r="J136" s="53">
        <v>37.445640599999997</v>
      </c>
      <c r="K136" s="72">
        <v>230</v>
      </c>
      <c r="L136" s="83"/>
      <c r="N136" s="148" t="s">
        <v>777</v>
      </c>
      <c r="O136" s="112"/>
      <c r="P136" s="112"/>
    </row>
    <row r="137" spans="1:17" x14ac:dyDescent="0.2">
      <c r="A137" s="18">
        <v>125</v>
      </c>
      <c r="B137" s="13" t="s">
        <v>238</v>
      </c>
      <c r="C137" s="13" t="s">
        <v>239</v>
      </c>
      <c r="D137" s="13">
        <v>1972</v>
      </c>
      <c r="E137" s="13">
        <v>1160</v>
      </c>
      <c r="F137" s="13">
        <v>44</v>
      </c>
      <c r="G137" s="13" t="s">
        <v>9</v>
      </c>
      <c r="H137" s="122" t="s">
        <v>1103</v>
      </c>
      <c r="I137" s="32">
        <v>51.334041599999999</v>
      </c>
      <c r="J137" s="53">
        <v>37.092029599999996</v>
      </c>
      <c r="K137" s="72">
        <v>231</v>
      </c>
      <c r="L137" s="83"/>
      <c r="N137" s="148" t="s">
        <v>777</v>
      </c>
      <c r="O137" s="112"/>
      <c r="P137" s="112"/>
    </row>
    <row r="138" spans="1:17" x14ac:dyDescent="0.2">
      <c r="A138" s="18">
        <v>126</v>
      </c>
      <c r="B138" s="13" t="s">
        <v>231</v>
      </c>
      <c r="C138" s="13" t="s">
        <v>240</v>
      </c>
      <c r="D138" s="13">
        <v>1978</v>
      </c>
      <c r="E138" s="13">
        <v>850</v>
      </c>
      <c r="F138" s="13">
        <v>50</v>
      </c>
      <c r="G138" s="13" t="s">
        <v>9</v>
      </c>
      <c r="H138" s="122" t="s">
        <v>1104</v>
      </c>
      <c r="I138" s="32">
        <v>51.569213900000001</v>
      </c>
      <c r="J138" s="53">
        <v>37.297496799999998</v>
      </c>
      <c r="K138" s="72">
        <v>232</v>
      </c>
      <c r="L138" s="83"/>
      <c r="N138" s="148" t="s">
        <v>777</v>
      </c>
      <c r="O138" s="112"/>
      <c r="P138" s="112"/>
    </row>
    <row r="139" spans="1:17" x14ac:dyDescent="0.2">
      <c r="A139" s="18">
        <v>127</v>
      </c>
      <c r="B139" s="13" t="s">
        <v>236</v>
      </c>
      <c r="C139" s="13" t="s">
        <v>241</v>
      </c>
      <c r="D139" s="13">
        <v>1972</v>
      </c>
      <c r="E139" s="13">
        <v>750</v>
      </c>
      <c r="F139" s="13">
        <v>50</v>
      </c>
      <c r="G139" s="13" t="s">
        <v>9</v>
      </c>
      <c r="H139" s="122" t="s">
        <v>1102</v>
      </c>
      <c r="I139" s="32">
        <v>51.532585099999999</v>
      </c>
      <c r="J139" s="53">
        <v>37.433132200000003</v>
      </c>
      <c r="K139" s="72">
        <v>233</v>
      </c>
      <c r="L139" s="83"/>
      <c r="N139" s="148" t="s">
        <v>777</v>
      </c>
      <c r="O139" s="112"/>
      <c r="P139" s="112"/>
    </row>
    <row r="140" spans="1:17" x14ac:dyDescent="0.2">
      <c r="A140" s="18">
        <v>128</v>
      </c>
      <c r="B140" s="13" t="s">
        <v>242</v>
      </c>
      <c r="C140" s="13" t="s">
        <v>243</v>
      </c>
      <c r="D140" s="13">
        <v>1955</v>
      </c>
      <c r="E140" s="13">
        <v>720</v>
      </c>
      <c r="F140" s="13">
        <v>40</v>
      </c>
      <c r="G140" s="13" t="s">
        <v>9</v>
      </c>
      <c r="H140" s="122" t="s">
        <v>1102</v>
      </c>
      <c r="I140" s="32">
        <v>51.487567900000002</v>
      </c>
      <c r="J140" s="53">
        <v>37.438922900000001</v>
      </c>
      <c r="K140" s="72">
        <v>234</v>
      </c>
      <c r="L140" s="83"/>
      <c r="N140" s="148" t="s">
        <v>777</v>
      </c>
      <c r="O140" s="148" t="s">
        <v>777</v>
      </c>
      <c r="P140" s="148" t="s">
        <v>777</v>
      </c>
    </row>
    <row r="141" spans="1:17" x14ac:dyDescent="0.2">
      <c r="A141" s="18">
        <v>129</v>
      </c>
      <c r="B141" s="13" t="s">
        <v>244</v>
      </c>
      <c r="C141" s="13" t="s">
        <v>245</v>
      </c>
      <c r="D141" s="13">
        <v>1951</v>
      </c>
      <c r="E141" s="13">
        <v>800</v>
      </c>
      <c r="F141" s="13">
        <v>40</v>
      </c>
      <c r="G141" s="13" t="s">
        <v>9</v>
      </c>
      <c r="H141" s="122" t="s">
        <v>1101</v>
      </c>
      <c r="I141" s="32">
        <v>51.434917400000003</v>
      </c>
      <c r="J141" s="53">
        <v>37.439201400000002</v>
      </c>
      <c r="K141" s="72">
        <v>235</v>
      </c>
      <c r="L141" s="83"/>
      <c r="N141" s="148" t="s">
        <v>777</v>
      </c>
      <c r="O141" s="112"/>
      <c r="P141" s="112"/>
    </row>
    <row r="142" spans="1:17" x14ac:dyDescent="0.2">
      <c r="A142" s="18">
        <v>130</v>
      </c>
      <c r="B142" s="13" t="s">
        <v>56</v>
      </c>
      <c r="C142" s="13" t="s">
        <v>246</v>
      </c>
      <c r="D142" s="13">
        <v>1950</v>
      </c>
      <c r="E142" s="13">
        <v>185</v>
      </c>
      <c r="F142" s="13">
        <v>15</v>
      </c>
      <c r="G142" s="13" t="s">
        <v>17</v>
      </c>
      <c r="H142" s="122" t="s">
        <v>1105</v>
      </c>
      <c r="I142" s="32">
        <v>51.5304146</v>
      </c>
      <c r="J142" s="53">
        <v>37.219314599999997</v>
      </c>
      <c r="K142" s="72">
        <v>237</v>
      </c>
      <c r="L142" s="83"/>
      <c r="N142" s="148" t="s">
        <v>777</v>
      </c>
      <c r="O142" s="112"/>
      <c r="P142" s="112"/>
    </row>
    <row r="143" spans="1:17" x14ac:dyDescent="0.2">
      <c r="A143" s="18">
        <v>131</v>
      </c>
      <c r="B143" s="13" t="s">
        <v>56</v>
      </c>
      <c r="C143" s="13" t="s">
        <v>247</v>
      </c>
      <c r="D143" s="13">
        <v>1970</v>
      </c>
      <c r="E143" s="13">
        <v>420</v>
      </c>
      <c r="F143" s="13">
        <v>15</v>
      </c>
      <c r="G143" s="13" t="s">
        <v>17</v>
      </c>
      <c r="H143" s="122" t="s">
        <v>1106</v>
      </c>
      <c r="I143" s="32">
        <v>51.530708300000001</v>
      </c>
      <c r="J143" s="53">
        <v>37.257511100000002</v>
      </c>
      <c r="K143" s="72">
        <v>238</v>
      </c>
      <c r="L143" s="83"/>
      <c r="N143" s="148" t="s">
        <v>777</v>
      </c>
      <c r="O143" s="112"/>
      <c r="P143" s="112"/>
    </row>
    <row r="144" spans="1:17" x14ac:dyDescent="0.2">
      <c r="A144" s="18">
        <v>132</v>
      </c>
      <c r="B144" s="13" t="s">
        <v>248</v>
      </c>
      <c r="C144" s="13" t="s">
        <v>245</v>
      </c>
      <c r="D144" s="13">
        <v>1952</v>
      </c>
      <c r="E144" s="13">
        <v>334</v>
      </c>
      <c r="F144" s="13">
        <v>27</v>
      </c>
      <c r="G144" s="13" t="s">
        <v>9</v>
      </c>
      <c r="H144" s="122" t="s">
        <v>1101</v>
      </c>
      <c r="I144" s="32">
        <v>51.436229699999998</v>
      </c>
      <c r="J144" s="53">
        <v>37.450080900000003</v>
      </c>
      <c r="K144" s="72">
        <v>239</v>
      </c>
      <c r="L144" s="83"/>
      <c r="N144" s="148" t="s">
        <v>777</v>
      </c>
      <c r="O144" s="112"/>
      <c r="P144" s="112"/>
    </row>
    <row r="145" spans="1:17" x14ac:dyDescent="0.2">
      <c r="A145" s="18">
        <v>133</v>
      </c>
      <c r="B145" s="13" t="s">
        <v>249</v>
      </c>
      <c r="C145" s="13" t="s">
        <v>250</v>
      </c>
      <c r="D145" s="13">
        <v>1962</v>
      </c>
      <c r="E145" s="13">
        <v>130</v>
      </c>
      <c r="F145" s="13">
        <v>10</v>
      </c>
      <c r="G145" s="13" t="s">
        <v>127</v>
      </c>
      <c r="H145" s="122" t="s">
        <v>1102</v>
      </c>
      <c r="I145" s="32">
        <v>51.565475499999998</v>
      </c>
      <c r="J145" s="53">
        <v>37.448566399999997</v>
      </c>
      <c r="K145" s="72">
        <v>240</v>
      </c>
      <c r="L145" s="83"/>
      <c r="N145" s="148" t="s">
        <v>777</v>
      </c>
      <c r="O145" s="112"/>
      <c r="P145" s="112"/>
    </row>
    <row r="146" spans="1:17" ht="15.75" x14ac:dyDescent="0.25">
      <c r="A146" s="18">
        <v>134</v>
      </c>
      <c r="B146" s="13" t="s">
        <v>50</v>
      </c>
      <c r="C146" s="13" t="s">
        <v>251</v>
      </c>
      <c r="D146" s="13">
        <v>1952</v>
      </c>
      <c r="E146" s="13">
        <v>300</v>
      </c>
      <c r="F146" s="13">
        <v>13</v>
      </c>
      <c r="G146" s="13" t="s">
        <v>127</v>
      </c>
      <c r="H146" s="122" t="s">
        <v>1106</v>
      </c>
      <c r="I146" s="32">
        <v>51.523811299999998</v>
      </c>
      <c r="J146" s="53">
        <v>37.204864499999999</v>
      </c>
      <c r="K146" s="72">
        <v>241</v>
      </c>
      <c r="L146" s="83"/>
      <c r="N146" s="174"/>
      <c r="O146" s="112"/>
      <c r="P146" s="112"/>
      <c r="Q146" s="183" t="s">
        <v>1175</v>
      </c>
    </row>
    <row r="147" spans="1:17" x14ac:dyDescent="0.2">
      <c r="A147" s="18">
        <v>135</v>
      </c>
      <c r="B147" s="13" t="s">
        <v>252</v>
      </c>
      <c r="C147" s="13" t="s">
        <v>253</v>
      </c>
      <c r="D147" s="13">
        <v>1976</v>
      </c>
      <c r="E147" s="13">
        <v>220</v>
      </c>
      <c r="F147" s="13">
        <v>15</v>
      </c>
      <c r="G147" s="13" t="s">
        <v>9</v>
      </c>
      <c r="H147" s="122" t="s">
        <v>1107</v>
      </c>
      <c r="I147" s="32">
        <v>51.539299</v>
      </c>
      <c r="J147" s="53">
        <v>37.365406</v>
      </c>
      <c r="K147" s="72">
        <v>242</v>
      </c>
      <c r="L147" s="83"/>
      <c r="N147" s="148" t="s">
        <v>777</v>
      </c>
      <c r="O147" s="112"/>
      <c r="P147" s="112"/>
    </row>
    <row r="148" spans="1:17" x14ac:dyDescent="0.2">
      <c r="A148" s="18">
        <v>136</v>
      </c>
      <c r="B148" s="13" t="s">
        <v>242</v>
      </c>
      <c r="C148" s="13" t="s">
        <v>254</v>
      </c>
      <c r="D148" s="13">
        <v>1970</v>
      </c>
      <c r="E148" s="13">
        <v>110</v>
      </c>
      <c r="F148" s="13">
        <v>11</v>
      </c>
      <c r="G148" s="13" t="s">
        <v>127</v>
      </c>
      <c r="H148" s="122" t="s">
        <v>1108</v>
      </c>
      <c r="I148" s="32">
        <v>51.483375500000001</v>
      </c>
      <c r="J148" s="53">
        <v>37.336963699999998</v>
      </c>
      <c r="K148" s="72">
        <v>243</v>
      </c>
      <c r="L148" s="83"/>
      <c r="N148" s="148" t="s">
        <v>777</v>
      </c>
      <c r="O148" s="148" t="s">
        <v>777</v>
      </c>
      <c r="P148" s="148" t="s">
        <v>777</v>
      </c>
    </row>
    <row r="149" spans="1:17" x14ac:dyDescent="0.2">
      <c r="A149" s="18">
        <v>137</v>
      </c>
      <c r="B149" s="13" t="s">
        <v>255</v>
      </c>
      <c r="C149" s="13" t="s">
        <v>256</v>
      </c>
      <c r="D149" s="13" t="s">
        <v>27</v>
      </c>
      <c r="E149" s="13" t="s">
        <v>27</v>
      </c>
      <c r="F149" s="13" t="s">
        <v>27</v>
      </c>
      <c r="G149" s="13" t="s">
        <v>20</v>
      </c>
      <c r="H149" s="122" t="s">
        <v>1109</v>
      </c>
      <c r="I149" s="32">
        <v>51.497514000000002</v>
      </c>
      <c r="J149" s="53">
        <v>37.104087</v>
      </c>
      <c r="K149" s="67">
        <v>246</v>
      </c>
      <c r="L149" s="83"/>
      <c r="N149" s="148" t="s">
        <v>777</v>
      </c>
      <c r="O149" s="112"/>
      <c r="P149" s="112"/>
    </row>
    <row r="150" spans="1:17" ht="30" x14ac:dyDescent="0.2">
      <c r="A150" s="18">
        <v>138</v>
      </c>
      <c r="B150" s="13" t="s">
        <v>257</v>
      </c>
      <c r="C150" s="13" t="s">
        <v>258</v>
      </c>
      <c r="D150" s="13" t="s">
        <v>27</v>
      </c>
      <c r="E150" s="13" t="s">
        <v>27</v>
      </c>
      <c r="F150" s="13" t="s">
        <v>27</v>
      </c>
      <c r="G150" s="13" t="s">
        <v>20</v>
      </c>
      <c r="H150" s="121" t="s">
        <v>586</v>
      </c>
      <c r="I150" s="32">
        <v>51.362673999999998</v>
      </c>
      <c r="J150" s="53">
        <v>37.059192000000003</v>
      </c>
      <c r="K150" s="67">
        <v>245</v>
      </c>
      <c r="L150" s="83"/>
      <c r="N150" s="148" t="s">
        <v>777</v>
      </c>
      <c r="O150" s="112"/>
      <c r="P150" s="112"/>
    </row>
    <row r="151" spans="1:17" ht="30.75" thickBot="1" x14ac:dyDescent="0.25">
      <c r="A151" s="18">
        <v>139</v>
      </c>
      <c r="B151" s="14" t="s">
        <v>259</v>
      </c>
      <c r="C151" s="14" t="s">
        <v>258</v>
      </c>
      <c r="D151" s="14" t="s">
        <v>27</v>
      </c>
      <c r="E151" s="14" t="s">
        <v>27</v>
      </c>
      <c r="F151" s="14">
        <v>6</v>
      </c>
      <c r="G151" s="14" t="s">
        <v>20</v>
      </c>
      <c r="H151" s="122" t="s">
        <v>1110</v>
      </c>
      <c r="I151" s="32">
        <v>51.363314000000003</v>
      </c>
      <c r="J151" s="53">
        <v>37.058900000000001</v>
      </c>
      <c r="K151" s="67">
        <v>244</v>
      </c>
      <c r="L151" s="83"/>
      <c r="N151" s="148" t="s">
        <v>777</v>
      </c>
      <c r="O151" s="112"/>
      <c r="P151" s="112"/>
    </row>
    <row r="152" spans="1:17" ht="15.75" thickBot="1" x14ac:dyDescent="0.25">
      <c r="A152" s="193" t="s">
        <v>260</v>
      </c>
      <c r="B152" s="194"/>
      <c r="C152" s="194"/>
      <c r="D152" s="194"/>
      <c r="E152" s="194"/>
      <c r="F152" s="194"/>
      <c r="G152" s="194"/>
      <c r="H152" s="194"/>
      <c r="I152" s="194"/>
      <c r="J152" s="194"/>
      <c r="K152" s="67"/>
      <c r="L152" s="83"/>
      <c r="N152" s="112"/>
      <c r="O152" s="112"/>
      <c r="P152" s="112"/>
    </row>
    <row r="153" spans="1:17" x14ac:dyDescent="0.2">
      <c r="A153" s="18">
        <v>140</v>
      </c>
      <c r="B153" s="18" t="s">
        <v>261</v>
      </c>
      <c r="C153" s="18" t="s">
        <v>262</v>
      </c>
      <c r="D153" s="18">
        <v>1980</v>
      </c>
      <c r="E153" s="18">
        <v>4000</v>
      </c>
      <c r="F153" s="18">
        <v>130</v>
      </c>
      <c r="G153" s="18" t="s">
        <v>20</v>
      </c>
      <c r="H153" s="122" t="s">
        <v>633</v>
      </c>
      <c r="I153" s="32">
        <v>51.551212300000003</v>
      </c>
      <c r="J153" s="53">
        <v>36.203144100000003</v>
      </c>
      <c r="K153" s="72">
        <v>248</v>
      </c>
      <c r="L153" s="83"/>
      <c r="N153" s="148" t="s">
        <v>777</v>
      </c>
      <c r="O153" s="148" t="s">
        <v>777</v>
      </c>
      <c r="P153" s="148" t="s">
        <v>777</v>
      </c>
    </row>
    <row r="154" spans="1:17" x14ac:dyDescent="0.2">
      <c r="A154" s="18">
        <v>141</v>
      </c>
      <c r="B154" s="13" t="s">
        <v>263</v>
      </c>
      <c r="C154" s="13" t="s">
        <v>264</v>
      </c>
      <c r="D154" s="13">
        <v>1987</v>
      </c>
      <c r="E154" s="13">
        <v>2200</v>
      </c>
      <c r="F154" s="13">
        <v>86</v>
      </c>
      <c r="G154" s="13" t="s">
        <v>20</v>
      </c>
      <c r="H154" s="122" t="s">
        <v>634</v>
      </c>
      <c r="I154" s="32">
        <v>51.440876000000003</v>
      </c>
      <c r="J154" s="53">
        <v>35.772144300000001</v>
      </c>
      <c r="K154" s="72">
        <v>249</v>
      </c>
      <c r="L154" s="83"/>
      <c r="N154" s="148" t="s">
        <v>777</v>
      </c>
      <c r="O154" s="148" t="s">
        <v>777</v>
      </c>
      <c r="P154" s="148" t="s">
        <v>777</v>
      </c>
    </row>
    <row r="155" spans="1:17" ht="25.5" x14ac:dyDescent="0.2">
      <c r="A155" s="88">
        <v>142</v>
      </c>
      <c r="B155" s="86" t="s">
        <v>265</v>
      </c>
      <c r="C155" s="86" t="s">
        <v>266</v>
      </c>
      <c r="D155" s="86">
        <v>1978</v>
      </c>
      <c r="E155" s="86">
        <v>2020</v>
      </c>
      <c r="F155" s="86">
        <v>105</v>
      </c>
      <c r="G155" s="86" t="s">
        <v>20</v>
      </c>
      <c r="H155" s="122" t="s">
        <v>1111</v>
      </c>
      <c r="I155" s="92">
        <v>51.409870099999999</v>
      </c>
      <c r="J155" s="93">
        <v>36.234027900000001</v>
      </c>
      <c r="K155" s="94">
        <v>250</v>
      </c>
      <c r="L155" s="81" t="s">
        <v>764</v>
      </c>
      <c r="M155" s="1" t="s">
        <v>777</v>
      </c>
      <c r="N155" s="148" t="s">
        <v>777</v>
      </c>
      <c r="O155" s="148" t="s">
        <v>777</v>
      </c>
      <c r="P155" s="148" t="s">
        <v>777</v>
      </c>
    </row>
    <row r="156" spans="1:17" ht="30" x14ac:dyDescent="0.2">
      <c r="A156" s="18">
        <v>143</v>
      </c>
      <c r="B156" s="13" t="s">
        <v>267</v>
      </c>
      <c r="C156" s="13" t="s">
        <v>268</v>
      </c>
      <c r="D156" s="13">
        <v>1968</v>
      </c>
      <c r="E156" s="13">
        <v>1280</v>
      </c>
      <c r="F156" s="13">
        <v>44</v>
      </c>
      <c r="G156" s="13" t="s">
        <v>9</v>
      </c>
      <c r="H156" s="122" t="s">
        <v>635</v>
      </c>
      <c r="I156" s="32">
        <v>51.447662399999999</v>
      </c>
      <c r="J156" s="53">
        <v>35.986610400000004</v>
      </c>
      <c r="K156" s="72">
        <v>251</v>
      </c>
      <c r="L156" s="83"/>
      <c r="N156" s="148" t="s">
        <v>777</v>
      </c>
      <c r="O156" s="148" t="s">
        <v>777</v>
      </c>
      <c r="P156" s="148" t="s">
        <v>777</v>
      </c>
    </row>
    <row r="157" spans="1:17" x14ac:dyDescent="0.2">
      <c r="A157" s="18">
        <v>144</v>
      </c>
      <c r="B157" s="13" t="s">
        <v>269</v>
      </c>
      <c r="C157" s="13" t="s">
        <v>270</v>
      </c>
      <c r="D157" s="13">
        <v>1980</v>
      </c>
      <c r="E157" s="13">
        <v>1660</v>
      </c>
      <c r="F157" s="13">
        <v>44</v>
      </c>
      <c r="G157" s="13" t="s">
        <v>20</v>
      </c>
      <c r="H157" s="122" t="s">
        <v>636</v>
      </c>
      <c r="I157" s="32">
        <v>51.366470300000003</v>
      </c>
      <c r="J157" s="53">
        <v>36.026843999999997</v>
      </c>
      <c r="K157" s="72">
        <v>252</v>
      </c>
      <c r="L157" s="83"/>
      <c r="N157" s="148" t="s">
        <v>777</v>
      </c>
      <c r="O157" s="148" t="s">
        <v>777</v>
      </c>
      <c r="P157" s="148" t="s">
        <v>777</v>
      </c>
    </row>
    <row r="158" spans="1:17" x14ac:dyDescent="0.2">
      <c r="A158" s="18">
        <v>145</v>
      </c>
      <c r="B158" s="13" t="s">
        <v>271</v>
      </c>
      <c r="C158" s="13" t="s">
        <v>272</v>
      </c>
      <c r="D158" s="13">
        <v>1982</v>
      </c>
      <c r="E158" s="13">
        <v>1045</v>
      </c>
      <c r="F158" s="13">
        <v>30</v>
      </c>
      <c r="G158" s="13" t="s">
        <v>127</v>
      </c>
      <c r="H158" s="122" t="s">
        <v>633</v>
      </c>
      <c r="I158" s="32">
        <v>51.368335700000003</v>
      </c>
      <c r="J158" s="53">
        <v>35.847949999999997</v>
      </c>
      <c r="K158" s="72">
        <v>253</v>
      </c>
      <c r="L158" s="83"/>
      <c r="N158" s="148" t="s">
        <v>777</v>
      </c>
      <c r="O158" s="148" t="s">
        <v>777</v>
      </c>
      <c r="P158" s="148" t="s">
        <v>777</v>
      </c>
    </row>
    <row r="159" spans="1:17" x14ac:dyDescent="0.2">
      <c r="A159" s="18">
        <v>146</v>
      </c>
      <c r="B159" s="13" t="s">
        <v>273</v>
      </c>
      <c r="C159" s="13" t="s">
        <v>274</v>
      </c>
      <c r="D159" s="13">
        <v>1968</v>
      </c>
      <c r="E159" s="13">
        <v>1021</v>
      </c>
      <c r="F159" s="13">
        <v>34</v>
      </c>
      <c r="G159" s="13" t="s">
        <v>9</v>
      </c>
      <c r="H159" s="122" t="s">
        <v>633</v>
      </c>
      <c r="I159" s="32">
        <v>51.4451866</v>
      </c>
      <c r="J159" s="53">
        <v>36.430141399999997</v>
      </c>
      <c r="K159" s="72">
        <v>254</v>
      </c>
      <c r="L159" s="83"/>
      <c r="N159" s="148" t="s">
        <v>777</v>
      </c>
      <c r="O159" s="148" t="s">
        <v>777</v>
      </c>
      <c r="P159" s="148" t="s">
        <v>777</v>
      </c>
      <c r="Q159" s="188" t="s">
        <v>1180</v>
      </c>
    </row>
    <row r="160" spans="1:17" ht="25.5" x14ac:dyDescent="0.2">
      <c r="A160" s="34">
        <v>147</v>
      </c>
      <c r="B160" s="21" t="s">
        <v>275</v>
      </c>
      <c r="C160" s="21" t="s">
        <v>276</v>
      </c>
      <c r="D160" s="21" t="s">
        <v>27</v>
      </c>
      <c r="E160" s="21">
        <v>96</v>
      </c>
      <c r="F160" s="21">
        <v>6.1</v>
      </c>
      <c r="G160" s="21" t="s">
        <v>20</v>
      </c>
      <c r="H160" s="116" t="s">
        <v>1112</v>
      </c>
      <c r="I160" s="139" t="s">
        <v>1139</v>
      </c>
      <c r="J160" s="140" t="s">
        <v>1140</v>
      </c>
      <c r="K160" s="66" t="s">
        <v>561</v>
      </c>
      <c r="L160" s="141" t="s">
        <v>1141</v>
      </c>
      <c r="M160" s="1" t="s">
        <v>777</v>
      </c>
      <c r="N160" s="148" t="s">
        <v>777</v>
      </c>
      <c r="O160" s="148" t="s">
        <v>777</v>
      </c>
      <c r="P160" s="148" t="s">
        <v>777</v>
      </c>
    </row>
    <row r="161" spans="1:17" x14ac:dyDescent="0.2">
      <c r="A161" s="18">
        <v>148</v>
      </c>
      <c r="B161" s="13" t="s">
        <v>277</v>
      </c>
      <c r="C161" s="13" t="s">
        <v>278</v>
      </c>
      <c r="D161" s="13">
        <v>1982</v>
      </c>
      <c r="E161" s="13">
        <v>780</v>
      </c>
      <c r="F161" s="13">
        <v>32</v>
      </c>
      <c r="G161" s="13" t="s">
        <v>127</v>
      </c>
      <c r="H161" s="122" t="s">
        <v>633</v>
      </c>
      <c r="I161" s="32">
        <v>51.420589399999997</v>
      </c>
      <c r="J161" s="53">
        <v>36.340992</v>
      </c>
      <c r="K161" s="67">
        <v>256</v>
      </c>
      <c r="L161" s="83"/>
      <c r="N161" s="148" t="s">
        <v>777</v>
      </c>
      <c r="O161" s="148" t="s">
        <v>777</v>
      </c>
      <c r="P161" s="148" t="s">
        <v>777</v>
      </c>
    </row>
    <row r="162" spans="1:17" x14ac:dyDescent="0.2">
      <c r="A162" s="18">
        <v>149</v>
      </c>
      <c r="B162" s="13" t="s">
        <v>279</v>
      </c>
      <c r="C162" s="13" t="s">
        <v>280</v>
      </c>
      <c r="D162" s="13">
        <v>1970</v>
      </c>
      <c r="E162" s="13">
        <v>550</v>
      </c>
      <c r="F162" s="13">
        <v>32</v>
      </c>
      <c r="G162" s="13" t="s">
        <v>117</v>
      </c>
      <c r="H162" s="122" t="s">
        <v>633</v>
      </c>
      <c r="I162" s="32">
        <v>51.516124699999999</v>
      </c>
      <c r="J162" s="53">
        <v>36.430435199999998</v>
      </c>
      <c r="K162" s="67">
        <v>255</v>
      </c>
      <c r="L162" s="83"/>
      <c r="N162" s="148" t="s">
        <v>777</v>
      </c>
      <c r="O162" s="148" t="s">
        <v>777</v>
      </c>
      <c r="P162" s="148" t="s">
        <v>777</v>
      </c>
    </row>
    <row r="163" spans="1:17" ht="30" x14ac:dyDescent="0.2">
      <c r="A163" s="18">
        <v>150</v>
      </c>
      <c r="B163" s="13" t="s">
        <v>170</v>
      </c>
      <c r="C163" s="13" t="s">
        <v>281</v>
      </c>
      <c r="D163" s="13">
        <v>1983</v>
      </c>
      <c r="E163" s="13">
        <v>716</v>
      </c>
      <c r="F163" s="13">
        <v>33</v>
      </c>
      <c r="G163" s="13" t="s">
        <v>9</v>
      </c>
      <c r="H163" s="121" t="s">
        <v>637</v>
      </c>
      <c r="I163" s="57">
        <v>51.568973499999998</v>
      </c>
      <c r="J163" s="58">
        <v>36.243102999999998</v>
      </c>
      <c r="K163" s="72">
        <v>257</v>
      </c>
      <c r="L163" s="83"/>
      <c r="N163" s="148" t="s">
        <v>777</v>
      </c>
      <c r="O163" s="148" t="s">
        <v>777</v>
      </c>
      <c r="P163" s="148" t="s">
        <v>777</v>
      </c>
    </row>
    <row r="164" spans="1:17" ht="30" x14ac:dyDescent="0.25">
      <c r="A164" s="18">
        <v>151</v>
      </c>
      <c r="B164" s="13" t="s">
        <v>170</v>
      </c>
      <c r="C164" s="13" t="s">
        <v>282</v>
      </c>
      <c r="D164" s="13">
        <v>1973</v>
      </c>
      <c r="E164" s="13">
        <v>1000</v>
      </c>
      <c r="F164" s="13">
        <v>30</v>
      </c>
      <c r="G164" s="13" t="s">
        <v>9</v>
      </c>
      <c r="H164" s="121" t="s">
        <v>637</v>
      </c>
      <c r="I164" s="57">
        <v>51.5622063</v>
      </c>
      <c r="J164" s="58">
        <v>36.230762499999997</v>
      </c>
      <c r="K164" s="72">
        <v>258</v>
      </c>
      <c r="L164" s="83"/>
      <c r="N164" s="148" t="s">
        <v>777</v>
      </c>
      <c r="O164" s="148" t="s">
        <v>777</v>
      </c>
      <c r="P164" s="148" t="s">
        <v>777</v>
      </c>
      <c r="Q164" s="187"/>
    </row>
    <row r="165" spans="1:17" x14ac:dyDescent="0.2">
      <c r="A165" s="88">
        <v>152</v>
      </c>
      <c r="B165" s="86" t="s">
        <v>283</v>
      </c>
      <c r="C165" s="86" t="s">
        <v>284</v>
      </c>
      <c r="D165" s="86">
        <v>1951</v>
      </c>
      <c r="E165" s="86">
        <v>650</v>
      </c>
      <c r="F165" s="86">
        <v>26</v>
      </c>
      <c r="G165" s="86" t="s">
        <v>117</v>
      </c>
      <c r="H165" s="121" t="s">
        <v>633</v>
      </c>
      <c r="I165" s="95">
        <v>51.346824599999998</v>
      </c>
      <c r="J165" s="96">
        <v>35.912151299999998</v>
      </c>
      <c r="K165" s="94">
        <v>259</v>
      </c>
      <c r="L165" s="81" t="s">
        <v>765</v>
      </c>
      <c r="M165" s="1" t="s">
        <v>777</v>
      </c>
      <c r="N165" s="148" t="s">
        <v>777</v>
      </c>
      <c r="O165" s="148" t="s">
        <v>777</v>
      </c>
      <c r="P165" s="148" t="s">
        <v>777</v>
      </c>
    </row>
    <row r="166" spans="1:17" ht="30" x14ac:dyDescent="0.2">
      <c r="A166" s="88">
        <v>153</v>
      </c>
      <c r="B166" s="86" t="s">
        <v>285</v>
      </c>
      <c r="C166" s="86" t="s">
        <v>284</v>
      </c>
      <c r="D166" s="86">
        <v>1975</v>
      </c>
      <c r="E166" s="86">
        <v>973</v>
      </c>
      <c r="F166" s="86">
        <v>27</v>
      </c>
      <c r="G166" s="86" t="s">
        <v>20</v>
      </c>
      <c r="H166" s="121" t="s">
        <v>638</v>
      </c>
      <c r="I166" s="95">
        <v>51.3522873</v>
      </c>
      <c r="J166" s="96">
        <v>35.920001999999997</v>
      </c>
      <c r="K166" s="94">
        <v>260</v>
      </c>
      <c r="L166" s="81" t="s">
        <v>765</v>
      </c>
      <c r="M166" s="1" t="s">
        <v>777</v>
      </c>
      <c r="N166" s="148" t="s">
        <v>777</v>
      </c>
      <c r="O166" s="148" t="s">
        <v>777</v>
      </c>
      <c r="P166" s="148" t="s">
        <v>777</v>
      </c>
    </row>
    <row r="167" spans="1:17" x14ac:dyDescent="0.2">
      <c r="A167" s="18">
        <v>154</v>
      </c>
      <c r="B167" s="13" t="s">
        <v>286</v>
      </c>
      <c r="C167" s="13" t="s">
        <v>287</v>
      </c>
      <c r="D167" s="13">
        <v>1952</v>
      </c>
      <c r="E167" s="13">
        <v>162</v>
      </c>
      <c r="F167" s="13">
        <v>9</v>
      </c>
      <c r="G167" s="13" t="s">
        <v>9</v>
      </c>
      <c r="H167" s="122" t="s">
        <v>1111</v>
      </c>
      <c r="I167" s="57">
        <v>51.368240399999998</v>
      </c>
      <c r="J167" s="58">
        <v>36.210842100000001</v>
      </c>
      <c r="K167" s="72">
        <v>261</v>
      </c>
      <c r="L167" s="83"/>
      <c r="N167" s="148" t="s">
        <v>777</v>
      </c>
      <c r="O167" s="148" t="s">
        <v>777</v>
      </c>
      <c r="P167" s="148" t="s">
        <v>777</v>
      </c>
      <c r="Q167" s="189" t="s">
        <v>1181</v>
      </c>
    </row>
    <row r="168" spans="1:17" x14ac:dyDescent="0.2">
      <c r="A168" s="18">
        <v>155</v>
      </c>
      <c r="B168" s="13" t="s">
        <v>288</v>
      </c>
      <c r="C168" s="13" t="s">
        <v>289</v>
      </c>
      <c r="D168" s="13">
        <v>1945</v>
      </c>
      <c r="E168" s="13">
        <v>200</v>
      </c>
      <c r="F168" s="13">
        <v>10</v>
      </c>
      <c r="G168" s="13" t="s">
        <v>20</v>
      </c>
      <c r="H168" s="121" t="s">
        <v>1113</v>
      </c>
      <c r="I168" s="57">
        <v>51.422172500000002</v>
      </c>
      <c r="J168" s="58">
        <v>36.121402699999997</v>
      </c>
      <c r="K168" s="72">
        <v>262</v>
      </c>
      <c r="L168" s="83"/>
      <c r="N168" s="148" t="s">
        <v>777</v>
      </c>
      <c r="O168" s="148" t="s">
        <v>777</v>
      </c>
      <c r="P168" s="148" t="s">
        <v>777</v>
      </c>
    </row>
    <row r="169" spans="1:17" x14ac:dyDescent="0.2">
      <c r="A169" s="18">
        <v>156</v>
      </c>
      <c r="B169" s="13" t="s">
        <v>195</v>
      </c>
      <c r="C169" s="13" t="s">
        <v>290</v>
      </c>
      <c r="D169" s="13">
        <v>1970</v>
      </c>
      <c r="E169" s="13">
        <v>182</v>
      </c>
      <c r="F169" s="13">
        <v>18</v>
      </c>
      <c r="G169" s="13" t="s">
        <v>117</v>
      </c>
      <c r="H169" s="121" t="s">
        <v>1114</v>
      </c>
      <c r="I169" s="57">
        <v>51.439079300000003</v>
      </c>
      <c r="J169" s="58">
        <v>36.238643600000003</v>
      </c>
      <c r="K169" s="72">
        <v>263</v>
      </c>
      <c r="L169" s="83"/>
      <c r="N169" s="148" t="s">
        <v>777</v>
      </c>
      <c r="O169" s="148" t="s">
        <v>777</v>
      </c>
      <c r="P169" s="148" t="s">
        <v>777</v>
      </c>
    </row>
    <row r="170" spans="1:17" x14ac:dyDescent="0.2">
      <c r="A170" s="88">
        <v>157</v>
      </c>
      <c r="B170" s="86" t="s">
        <v>291</v>
      </c>
      <c r="C170" s="86" t="s">
        <v>292</v>
      </c>
      <c r="D170" s="86">
        <v>1948</v>
      </c>
      <c r="E170" s="86">
        <v>160</v>
      </c>
      <c r="F170" s="86">
        <v>11</v>
      </c>
      <c r="G170" s="86" t="s">
        <v>117</v>
      </c>
      <c r="H170" s="121" t="s">
        <v>639</v>
      </c>
      <c r="I170" s="95">
        <v>51.424923999999997</v>
      </c>
      <c r="J170" s="96">
        <v>36.309190000000001</v>
      </c>
      <c r="K170" s="94">
        <v>264</v>
      </c>
      <c r="L170" s="81" t="s">
        <v>765</v>
      </c>
      <c r="M170" s="1" t="s">
        <v>777</v>
      </c>
      <c r="N170" s="148" t="s">
        <v>777</v>
      </c>
      <c r="O170" s="148" t="s">
        <v>777</v>
      </c>
      <c r="P170" s="148" t="s">
        <v>777</v>
      </c>
    </row>
    <row r="171" spans="1:17" x14ac:dyDescent="0.2">
      <c r="A171" s="88">
        <v>158</v>
      </c>
      <c r="B171" s="86" t="s">
        <v>293</v>
      </c>
      <c r="C171" s="86" t="s">
        <v>294</v>
      </c>
      <c r="D171" s="86">
        <v>1951</v>
      </c>
      <c r="E171" s="86">
        <v>239</v>
      </c>
      <c r="F171" s="86">
        <v>11</v>
      </c>
      <c r="G171" s="86" t="s">
        <v>117</v>
      </c>
      <c r="H171" s="121" t="s">
        <v>640</v>
      </c>
      <c r="I171" s="95" t="s">
        <v>641</v>
      </c>
      <c r="J171" s="96" t="s">
        <v>642</v>
      </c>
      <c r="K171" s="94">
        <v>265</v>
      </c>
      <c r="L171" s="81" t="s">
        <v>765</v>
      </c>
      <c r="M171" s="1" t="s">
        <v>777</v>
      </c>
      <c r="N171" s="148" t="s">
        <v>777</v>
      </c>
      <c r="O171" s="148" t="s">
        <v>777</v>
      </c>
      <c r="P171" s="148" t="s">
        <v>777</v>
      </c>
      <c r="Q171" s="189" t="s">
        <v>1182</v>
      </c>
    </row>
    <row r="172" spans="1:17" x14ac:dyDescent="0.2">
      <c r="A172" s="18">
        <v>159</v>
      </c>
      <c r="B172" s="13" t="s">
        <v>293</v>
      </c>
      <c r="C172" s="13" t="s">
        <v>295</v>
      </c>
      <c r="D172" s="13">
        <v>1951</v>
      </c>
      <c r="E172" s="13">
        <v>215</v>
      </c>
      <c r="F172" s="13">
        <v>14</v>
      </c>
      <c r="G172" s="13" t="s">
        <v>127</v>
      </c>
      <c r="H172" s="121" t="s">
        <v>640</v>
      </c>
      <c r="I172" s="57">
        <v>51.488185899999998</v>
      </c>
      <c r="J172" s="58">
        <v>36.344387099999999</v>
      </c>
      <c r="K172" s="72">
        <v>266</v>
      </c>
      <c r="L172" s="83"/>
      <c r="N172" s="148" t="s">
        <v>777</v>
      </c>
      <c r="O172" s="148" t="s">
        <v>777</v>
      </c>
      <c r="P172" s="148" t="s">
        <v>777</v>
      </c>
    </row>
    <row r="173" spans="1:17" ht="30.75" thickBot="1" x14ac:dyDescent="0.25">
      <c r="A173" s="35">
        <v>160</v>
      </c>
      <c r="B173" s="14" t="s">
        <v>296</v>
      </c>
      <c r="C173" s="14" t="s">
        <v>297</v>
      </c>
      <c r="D173" s="14" t="s">
        <v>27</v>
      </c>
      <c r="E173" s="14" t="s">
        <v>27</v>
      </c>
      <c r="F173" s="14" t="s">
        <v>27</v>
      </c>
      <c r="G173" s="14" t="s">
        <v>127</v>
      </c>
      <c r="H173" s="123" t="s">
        <v>1112</v>
      </c>
      <c r="I173" s="59">
        <v>51.360245999999997</v>
      </c>
      <c r="J173" s="60">
        <v>36.110481</v>
      </c>
      <c r="K173" s="72">
        <v>267</v>
      </c>
      <c r="L173" s="83"/>
      <c r="N173" s="148" t="s">
        <v>777</v>
      </c>
      <c r="O173" s="148" t="s">
        <v>777</v>
      </c>
      <c r="P173" s="148" t="s">
        <v>777</v>
      </c>
    </row>
    <row r="174" spans="1:17" ht="15.75" thickBot="1" x14ac:dyDescent="0.25">
      <c r="A174" s="193" t="s">
        <v>298</v>
      </c>
      <c r="B174" s="194"/>
      <c r="C174" s="194"/>
      <c r="D174" s="194"/>
      <c r="E174" s="194"/>
      <c r="F174" s="194"/>
      <c r="G174" s="194"/>
      <c r="H174" s="194"/>
      <c r="I174" s="194"/>
      <c r="J174" s="194"/>
      <c r="K174" s="67"/>
      <c r="L174" s="83"/>
      <c r="N174" s="112"/>
      <c r="O174" s="112"/>
      <c r="P174" s="112"/>
    </row>
    <row r="175" spans="1:17" ht="75" x14ac:dyDescent="0.2">
      <c r="A175" s="88">
        <v>161</v>
      </c>
      <c r="B175" s="88" t="s">
        <v>299</v>
      </c>
      <c r="C175" s="88" t="s">
        <v>300</v>
      </c>
      <c r="D175" s="88">
        <v>1975</v>
      </c>
      <c r="E175" s="88">
        <v>1425</v>
      </c>
      <c r="F175" s="88">
        <v>67</v>
      </c>
      <c r="G175" s="88" t="s">
        <v>20</v>
      </c>
      <c r="H175" s="92" t="s">
        <v>643</v>
      </c>
      <c r="I175" s="92" t="s">
        <v>766</v>
      </c>
      <c r="J175" s="93" t="s">
        <v>767</v>
      </c>
      <c r="K175" s="94">
        <v>268</v>
      </c>
      <c r="L175" s="81" t="s">
        <v>765</v>
      </c>
      <c r="M175" s="1" t="s">
        <v>777</v>
      </c>
      <c r="N175" s="148" t="s">
        <v>777</v>
      </c>
      <c r="O175" s="148" t="s">
        <v>777</v>
      </c>
      <c r="P175" s="148" t="s">
        <v>777</v>
      </c>
    </row>
    <row r="176" spans="1:17" x14ac:dyDescent="0.2">
      <c r="A176" s="88">
        <v>162</v>
      </c>
      <c r="B176" s="86" t="s">
        <v>301</v>
      </c>
      <c r="C176" s="86" t="s">
        <v>302</v>
      </c>
      <c r="D176" s="86">
        <v>1979</v>
      </c>
      <c r="E176" s="86">
        <v>1310</v>
      </c>
      <c r="F176" s="86">
        <v>44</v>
      </c>
      <c r="G176" s="86" t="s">
        <v>20</v>
      </c>
      <c r="H176" s="92" t="s">
        <v>644</v>
      </c>
      <c r="I176" s="92" t="s">
        <v>645</v>
      </c>
      <c r="J176" s="93" t="s">
        <v>646</v>
      </c>
      <c r="K176" s="94">
        <v>269</v>
      </c>
      <c r="L176" s="81" t="s">
        <v>765</v>
      </c>
      <c r="M176" s="1" t="s">
        <v>777</v>
      </c>
      <c r="N176" s="148" t="s">
        <v>777</v>
      </c>
      <c r="O176" s="148" t="s">
        <v>777</v>
      </c>
      <c r="P176" s="148" t="s">
        <v>777</v>
      </c>
    </row>
    <row r="177" spans="1:19" x14ac:dyDescent="0.2">
      <c r="A177" s="18">
        <v>163</v>
      </c>
      <c r="B177" s="13" t="s">
        <v>303</v>
      </c>
      <c r="C177" s="13" t="s">
        <v>304</v>
      </c>
      <c r="D177" s="13">
        <v>1980</v>
      </c>
      <c r="E177" s="13">
        <v>1640</v>
      </c>
      <c r="F177" s="13">
        <v>65</v>
      </c>
      <c r="G177" s="13" t="s">
        <v>9</v>
      </c>
      <c r="H177" s="32" t="s">
        <v>647</v>
      </c>
      <c r="I177" s="33">
        <v>51.278095200000003</v>
      </c>
      <c r="J177" s="61">
        <v>35.804039000000003</v>
      </c>
      <c r="K177" s="72">
        <v>270</v>
      </c>
      <c r="L177" s="83"/>
      <c r="N177" s="148" t="s">
        <v>777</v>
      </c>
      <c r="O177" s="148" t="s">
        <v>777</v>
      </c>
      <c r="P177" s="148" t="s">
        <v>777</v>
      </c>
    </row>
    <row r="178" spans="1:19" ht="15.75" x14ac:dyDescent="0.25">
      <c r="A178" s="18">
        <v>164</v>
      </c>
      <c r="B178" s="13" t="s">
        <v>305</v>
      </c>
      <c r="C178" s="13" t="s">
        <v>306</v>
      </c>
      <c r="D178" s="13">
        <v>1973</v>
      </c>
      <c r="E178" s="13">
        <v>1569</v>
      </c>
      <c r="F178" s="13">
        <v>32</v>
      </c>
      <c r="G178" s="13" t="s">
        <v>9</v>
      </c>
      <c r="H178" s="32" t="s">
        <v>648</v>
      </c>
      <c r="I178" s="33">
        <v>51.252155299999998</v>
      </c>
      <c r="J178" s="61">
        <v>35.942260699999999</v>
      </c>
      <c r="K178" s="72">
        <v>271</v>
      </c>
      <c r="L178" s="83"/>
      <c r="N178" s="148" t="s">
        <v>777</v>
      </c>
      <c r="O178" s="174" t="s">
        <v>777</v>
      </c>
      <c r="P178" s="148" t="s">
        <v>777</v>
      </c>
      <c r="Q178" s="183" t="s">
        <v>1179</v>
      </c>
    </row>
    <row r="179" spans="1:19" x14ac:dyDescent="0.2">
      <c r="A179" s="18">
        <v>165</v>
      </c>
      <c r="B179" s="13" t="s">
        <v>307</v>
      </c>
      <c r="C179" s="13" t="s">
        <v>308</v>
      </c>
      <c r="D179" s="13">
        <v>1984</v>
      </c>
      <c r="E179" s="13">
        <v>1310</v>
      </c>
      <c r="F179" s="13">
        <v>44</v>
      </c>
      <c r="G179" s="13" t="s">
        <v>20</v>
      </c>
      <c r="H179" s="32" t="s">
        <v>649</v>
      </c>
      <c r="I179" s="32">
        <v>51.206321699999997</v>
      </c>
      <c r="J179" s="53">
        <v>35.950817100000002</v>
      </c>
      <c r="K179" s="72">
        <v>272</v>
      </c>
      <c r="L179" s="83"/>
      <c r="N179" s="148" t="s">
        <v>777</v>
      </c>
      <c r="O179" s="148" t="s">
        <v>777</v>
      </c>
      <c r="P179" s="148" t="s">
        <v>777</v>
      </c>
    </row>
    <row r="180" spans="1:19" x14ac:dyDescent="0.2">
      <c r="A180" s="18">
        <v>166</v>
      </c>
      <c r="B180" s="13" t="s">
        <v>309</v>
      </c>
      <c r="C180" s="13" t="s">
        <v>310</v>
      </c>
      <c r="D180" s="13">
        <v>1984</v>
      </c>
      <c r="E180" s="13">
        <v>1500</v>
      </c>
      <c r="F180" s="13">
        <v>35</v>
      </c>
      <c r="G180" s="13" t="s">
        <v>117</v>
      </c>
      <c r="H180" s="32" t="s">
        <v>650</v>
      </c>
      <c r="I180" s="32">
        <v>51.252204900000002</v>
      </c>
      <c r="J180" s="53">
        <v>36.1500244</v>
      </c>
      <c r="K180" s="72">
        <v>273</v>
      </c>
      <c r="L180" s="83"/>
      <c r="N180" s="148" t="s">
        <v>777</v>
      </c>
      <c r="O180" s="148" t="s">
        <v>777</v>
      </c>
      <c r="P180" s="148" t="s">
        <v>777</v>
      </c>
    </row>
    <row r="181" spans="1:19" ht="30" x14ac:dyDescent="0.25">
      <c r="A181" s="18">
        <v>167</v>
      </c>
      <c r="B181" s="13" t="s">
        <v>311</v>
      </c>
      <c r="C181" s="13" t="s">
        <v>312</v>
      </c>
      <c r="D181" s="13">
        <v>1980</v>
      </c>
      <c r="E181" s="13">
        <v>1800</v>
      </c>
      <c r="F181" s="13">
        <v>74</v>
      </c>
      <c r="G181" s="13" t="s">
        <v>9</v>
      </c>
      <c r="H181" s="32" t="s">
        <v>651</v>
      </c>
      <c r="I181" s="32">
        <v>51.298934899999999</v>
      </c>
      <c r="J181" s="53">
        <v>36.396896400000003</v>
      </c>
      <c r="K181" s="72">
        <v>274</v>
      </c>
      <c r="L181" s="83"/>
      <c r="N181" s="148" t="s">
        <v>777</v>
      </c>
      <c r="O181" s="174" t="s">
        <v>777</v>
      </c>
      <c r="P181" s="148" t="s">
        <v>777</v>
      </c>
      <c r="Q181" s="183" t="s">
        <v>1179</v>
      </c>
    </row>
    <row r="182" spans="1:19" ht="45" x14ac:dyDescent="0.3">
      <c r="A182" s="88">
        <v>168</v>
      </c>
      <c r="B182" s="86" t="s">
        <v>313</v>
      </c>
      <c r="C182" s="86" t="s">
        <v>314</v>
      </c>
      <c r="D182" s="86">
        <v>1976</v>
      </c>
      <c r="E182" s="86">
        <v>1060</v>
      </c>
      <c r="F182" s="86">
        <v>25</v>
      </c>
      <c r="G182" s="86" t="s">
        <v>9</v>
      </c>
      <c r="H182" s="92" t="s">
        <v>652</v>
      </c>
      <c r="I182" s="92">
        <v>51.341155999999998</v>
      </c>
      <c r="J182" s="93">
        <v>36.289627099999997</v>
      </c>
      <c r="K182" s="94">
        <v>275</v>
      </c>
      <c r="L182" s="81" t="s">
        <v>768</v>
      </c>
      <c r="M182" s="1" t="s">
        <v>777</v>
      </c>
      <c r="N182" s="148" t="s">
        <v>777</v>
      </c>
      <c r="O182" s="148" t="s">
        <v>777</v>
      </c>
      <c r="P182" s="148" t="s">
        <v>777</v>
      </c>
      <c r="Q182" s="185"/>
      <c r="R182" s="42"/>
      <c r="S182" s="42"/>
    </row>
    <row r="183" spans="1:19" x14ac:dyDescent="0.2">
      <c r="A183" s="18">
        <v>169</v>
      </c>
      <c r="B183" s="13" t="s">
        <v>315</v>
      </c>
      <c r="C183" s="13" t="s">
        <v>316</v>
      </c>
      <c r="D183" s="13">
        <v>1995</v>
      </c>
      <c r="E183" s="13">
        <v>2260</v>
      </c>
      <c r="F183" s="13">
        <v>21</v>
      </c>
      <c r="G183" s="13" t="s">
        <v>9</v>
      </c>
      <c r="H183" s="32" t="s">
        <v>653</v>
      </c>
      <c r="I183" s="32">
        <v>51.223663299999998</v>
      </c>
      <c r="J183" s="53">
        <v>36.030246699999999</v>
      </c>
      <c r="K183" s="72">
        <v>276</v>
      </c>
      <c r="L183" s="83"/>
      <c r="N183" s="148" t="s">
        <v>777</v>
      </c>
      <c r="O183" s="148" t="s">
        <v>777</v>
      </c>
      <c r="P183" s="148" t="s">
        <v>777</v>
      </c>
    </row>
    <row r="184" spans="1:19" x14ac:dyDescent="0.2">
      <c r="A184" s="18">
        <v>170</v>
      </c>
      <c r="B184" s="13" t="s">
        <v>317</v>
      </c>
      <c r="C184" s="13" t="s">
        <v>318</v>
      </c>
      <c r="D184" s="13">
        <v>1981</v>
      </c>
      <c r="E184" s="13">
        <v>1370</v>
      </c>
      <c r="F184" s="13">
        <v>55</v>
      </c>
      <c r="G184" s="13" t="s">
        <v>20</v>
      </c>
      <c r="H184" s="32" t="s">
        <v>654</v>
      </c>
      <c r="I184" s="32">
        <v>51.197761499999999</v>
      </c>
      <c r="J184" s="53">
        <v>36.018142699999999</v>
      </c>
      <c r="K184" s="72">
        <v>277</v>
      </c>
      <c r="L184" s="83"/>
      <c r="N184" s="148" t="s">
        <v>777</v>
      </c>
      <c r="O184" s="112"/>
      <c r="P184" s="112"/>
    </row>
    <row r="185" spans="1:19" ht="18.75" x14ac:dyDescent="0.3">
      <c r="A185" s="18">
        <v>171</v>
      </c>
      <c r="B185" s="36" t="s">
        <v>319</v>
      </c>
      <c r="C185" s="36" t="s">
        <v>320</v>
      </c>
      <c r="D185" s="36">
        <v>1986</v>
      </c>
      <c r="E185" s="36">
        <v>580</v>
      </c>
      <c r="F185" s="37">
        <v>23</v>
      </c>
      <c r="G185" s="36" t="s">
        <v>117</v>
      </c>
      <c r="H185" s="122" t="s">
        <v>1148</v>
      </c>
      <c r="I185" s="142">
        <v>51.221859000000002</v>
      </c>
      <c r="J185" s="143">
        <v>36.282909400000001</v>
      </c>
      <c r="K185" s="72">
        <v>278</v>
      </c>
      <c r="L185" s="83"/>
      <c r="N185" s="148" t="s">
        <v>777</v>
      </c>
      <c r="O185" s="112"/>
      <c r="P185" s="112"/>
      <c r="Q185" s="176" t="s">
        <v>1183</v>
      </c>
      <c r="R185" s="172"/>
      <c r="S185" s="172"/>
    </row>
    <row r="186" spans="1:19" x14ac:dyDescent="0.2">
      <c r="A186" s="18">
        <v>172</v>
      </c>
      <c r="B186" s="13" t="s">
        <v>321</v>
      </c>
      <c r="C186" s="13" t="s">
        <v>322</v>
      </c>
      <c r="D186" s="13">
        <v>1982</v>
      </c>
      <c r="E186" s="13">
        <v>980</v>
      </c>
      <c r="F186" s="13">
        <v>27</v>
      </c>
      <c r="G186" s="13" t="s">
        <v>9</v>
      </c>
      <c r="H186" s="32" t="s">
        <v>655</v>
      </c>
      <c r="I186" s="32">
        <v>51.322730999999997</v>
      </c>
      <c r="J186" s="53">
        <v>36.1566963</v>
      </c>
      <c r="K186" s="72">
        <v>279</v>
      </c>
      <c r="L186" s="83"/>
      <c r="N186" s="148" t="s">
        <v>777</v>
      </c>
      <c r="O186" s="112"/>
      <c r="P186" s="112"/>
    </row>
    <row r="187" spans="1:19" x14ac:dyDescent="0.2">
      <c r="A187" s="18">
        <v>173</v>
      </c>
      <c r="B187" s="13" t="s">
        <v>323</v>
      </c>
      <c r="C187" s="13" t="s">
        <v>324</v>
      </c>
      <c r="D187" s="13">
        <v>1963</v>
      </c>
      <c r="E187" s="13">
        <v>700</v>
      </c>
      <c r="F187" s="13">
        <v>35</v>
      </c>
      <c r="G187" s="13" t="s">
        <v>20</v>
      </c>
      <c r="H187" s="32" t="s">
        <v>656</v>
      </c>
      <c r="I187" s="32">
        <v>51.250484499999999</v>
      </c>
      <c r="J187" s="53">
        <v>36.343559300000003</v>
      </c>
      <c r="K187" s="72">
        <v>281</v>
      </c>
      <c r="L187" s="83"/>
      <c r="N187" s="148" t="s">
        <v>777</v>
      </c>
      <c r="O187" s="112"/>
      <c r="P187" s="112"/>
    </row>
    <row r="188" spans="1:19" x14ac:dyDescent="0.2">
      <c r="A188" s="18">
        <v>174</v>
      </c>
      <c r="B188" s="13" t="s">
        <v>325</v>
      </c>
      <c r="C188" s="13" t="s">
        <v>326</v>
      </c>
      <c r="D188" s="13">
        <v>1982</v>
      </c>
      <c r="E188" s="13">
        <v>381</v>
      </c>
      <c r="F188" s="13">
        <v>13</v>
      </c>
      <c r="G188" s="13" t="s">
        <v>117</v>
      </c>
      <c r="H188" s="32" t="s">
        <v>657</v>
      </c>
      <c r="I188" s="32">
        <v>51.127654999999997</v>
      </c>
      <c r="J188" s="53">
        <v>36.362892199999997</v>
      </c>
      <c r="K188" s="72">
        <v>282</v>
      </c>
      <c r="L188" s="83"/>
      <c r="N188" s="148" t="s">
        <v>777</v>
      </c>
      <c r="O188" s="112"/>
      <c r="P188" s="112"/>
    </row>
    <row r="189" spans="1:19" x14ac:dyDescent="0.2">
      <c r="A189" s="18">
        <v>175</v>
      </c>
      <c r="B189" s="13" t="s">
        <v>327</v>
      </c>
      <c r="C189" s="13" t="s">
        <v>328</v>
      </c>
      <c r="D189" s="13">
        <v>1982</v>
      </c>
      <c r="E189" s="13">
        <v>240</v>
      </c>
      <c r="F189" s="13">
        <v>6</v>
      </c>
      <c r="G189" s="13" t="s">
        <v>127</v>
      </c>
      <c r="H189" s="32" t="s">
        <v>657</v>
      </c>
      <c r="I189" s="32">
        <v>51.121646900000002</v>
      </c>
      <c r="J189" s="53">
        <v>36.314849899999999</v>
      </c>
      <c r="K189" s="72">
        <v>283</v>
      </c>
      <c r="L189" s="83"/>
      <c r="N189" s="148" t="s">
        <v>777</v>
      </c>
      <c r="O189" s="112"/>
      <c r="P189" s="112"/>
    </row>
    <row r="190" spans="1:19" x14ac:dyDescent="0.2">
      <c r="A190" s="18">
        <v>176</v>
      </c>
      <c r="B190" s="13" t="s">
        <v>329</v>
      </c>
      <c r="C190" s="13" t="s">
        <v>328</v>
      </c>
      <c r="D190" s="13">
        <v>1982</v>
      </c>
      <c r="E190" s="13">
        <v>436</v>
      </c>
      <c r="F190" s="13">
        <v>17</v>
      </c>
      <c r="G190" s="13" t="s">
        <v>127</v>
      </c>
      <c r="H190" s="32" t="s">
        <v>658</v>
      </c>
      <c r="I190" s="32">
        <v>51.1327438</v>
      </c>
      <c r="J190" s="53">
        <v>36.339527099999998</v>
      </c>
      <c r="K190" s="72">
        <v>284</v>
      </c>
      <c r="L190" s="83"/>
      <c r="N190" s="148" t="s">
        <v>777</v>
      </c>
      <c r="O190" s="112"/>
      <c r="P190" s="112"/>
    </row>
    <row r="191" spans="1:19" x14ac:dyDescent="0.2">
      <c r="A191" s="18">
        <v>177</v>
      </c>
      <c r="B191" s="13" t="s">
        <v>330</v>
      </c>
      <c r="C191" s="13" t="s">
        <v>331</v>
      </c>
      <c r="D191" s="13">
        <v>1986</v>
      </c>
      <c r="E191" s="13">
        <v>229</v>
      </c>
      <c r="F191" s="13">
        <v>8</v>
      </c>
      <c r="G191" s="13" t="s">
        <v>9</v>
      </c>
      <c r="H191" s="32" t="s">
        <v>650</v>
      </c>
      <c r="I191" s="32">
        <v>51.264740000000003</v>
      </c>
      <c r="J191" s="53">
        <v>36.2283325</v>
      </c>
      <c r="K191" s="72">
        <v>285</v>
      </c>
      <c r="L191" s="83"/>
      <c r="N191" s="148" t="s">
        <v>777</v>
      </c>
      <c r="O191" s="112"/>
      <c r="P191" s="112"/>
    </row>
    <row r="192" spans="1:19" ht="15.75" x14ac:dyDescent="0.25">
      <c r="A192" s="18">
        <v>178</v>
      </c>
      <c r="B192" s="13" t="s">
        <v>332</v>
      </c>
      <c r="C192" s="13" t="s">
        <v>333</v>
      </c>
      <c r="D192" s="13" t="s">
        <v>27</v>
      </c>
      <c r="E192" s="13">
        <v>300</v>
      </c>
      <c r="F192" s="13">
        <v>19</v>
      </c>
      <c r="G192" s="13" t="s">
        <v>127</v>
      </c>
      <c r="H192" s="32" t="s">
        <v>650</v>
      </c>
      <c r="I192" s="32">
        <v>51.266860999999999</v>
      </c>
      <c r="J192" s="53">
        <v>36.161876700000001</v>
      </c>
      <c r="K192" s="72">
        <v>286</v>
      </c>
      <c r="L192" s="83"/>
      <c r="N192" s="148" t="s">
        <v>777</v>
      </c>
      <c r="O192" s="112"/>
      <c r="P192" s="112"/>
      <c r="Q192" s="173" t="s">
        <v>1184</v>
      </c>
      <c r="R192" s="172"/>
    </row>
    <row r="193" spans="1:16" x14ac:dyDescent="0.2">
      <c r="A193" s="18">
        <v>179</v>
      </c>
      <c r="B193" s="13" t="s">
        <v>334</v>
      </c>
      <c r="C193" s="13" t="s">
        <v>335</v>
      </c>
      <c r="D193" s="13" t="s">
        <v>27</v>
      </c>
      <c r="E193" s="13">
        <v>120</v>
      </c>
      <c r="F193" s="13">
        <v>8</v>
      </c>
      <c r="G193" s="13" t="s">
        <v>9</v>
      </c>
      <c r="H193" s="122" t="s">
        <v>1150</v>
      </c>
      <c r="I193" s="32">
        <v>51.276775399999998</v>
      </c>
      <c r="J193" s="53">
        <v>36.090541799999997</v>
      </c>
      <c r="K193" s="72">
        <v>287</v>
      </c>
      <c r="L193" s="83"/>
      <c r="N193" s="148" t="s">
        <v>777</v>
      </c>
      <c r="O193" s="112"/>
      <c r="P193" s="112"/>
    </row>
    <row r="194" spans="1:16" x14ac:dyDescent="0.2">
      <c r="A194" s="18">
        <v>180</v>
      </c>
      <c r="B194" s="13" t="s">
        <v>334</v>
      </c>
      <c r="C194" s="13" t="s">
        <v>336</v>
      </c>
      <c r="D194" s="13">
        <v>1988</v>
      </c>
      <c r="E194" s="13">
        <v>400</v>
      </c>
      <c r="F194" s="13">
        <v>35</v>
      </c>
      <c r="G194" s="13" t="s">
        <v>9</v>
      </c>
      <c r="H194" s="122" t="s">
        <v>1149</v>
      </c>
      <c r="I194" s="32">
        <v>51.239975000000001</v>
      </c>
      <c r="J194" s="53">
        <v>36.0949898</v>
      </c>
      <c r="K194" s="72">
        <v>288</v>
      </c>
      <c r="L194" s="83"/>
      <c r="N194" s="148" t="s">
        <v>777</v>
      </c>
      <c r="O194" s="112"/>
      <c r="P194" s="112"/>
    </row>
    <row r="195" spans="1:16" ht="15.75" thickBot="1" x14ac:dyDescent="0.25">
      <c r="A195" s="35">
        <v>181</v>
      </c>
      <c r="B195" s="14" t="s">
        <v>332</v>
      </c>
      <c r="C195" s="14" t="s">
        <v>337</v>
      </c>
      <c r="D195" s="14" t="s">
        <v>27</v>
      </c>
      <c r="E195" s="14" t="s">
        <v>27</v>
      </c>
      <c r="F195" s="14" t="s">
        <v>27</v>
      </c>
      <c r="G195" s="14" t="s">
        <v>20</v>
      </c>
      <c r="H195" s="38" t="s">
        <v>659</v>
      </c>
      <c r="I195" s="38">
        <v>51.201225299999997</v>
      </c>
      <c r="J195" s="55">
        <v>36.145584100000001</v>
      </c>
      <c r="K195" s="72">
        <v>289</v>
      </c>
      <c r="L195" s="83"/>
      <c r="N195" s="148" t="s">
        <v>777</v>
      </c>
      <c r="O195" s="112"/>
      <c r="P195" s="112"/>
    </row>
    <row r="196" spans="1:16" ht="15.75" thickBot="1" x14ac:dyDescent="0.25">
      <c r="A196" s="193" t="s">
        <v>338</v>
      </c>
      <c r="B196" s="194"/>
      <c r="C196" s="194"/>
      <c r="D196" s="194"/>
      <c r="E196" s="194"/>
      <c r="F196" s="194"/>
      <c r="G196" s="194"/>
      <c r="H196" s="194"/>
      <c r="I196" s="194"/>
      <c r="J196" s="194"/>
      <c r="K196" s="67"/>
      <c r="L196" s="83"/>
      <c r="N196" s="112"/>
      <c r="O196" s="112"/>
      <c r="P196" s="112"/>
    </row>
    <row r="197" spans="1:16" x14ac:dyDescent="0.2">
      <c r="A197" s="18">
        <v>182</v>
      </c>
      <c r="B197" s="18" t="s">
        <v>339</v>
      </c>
      <c r="C197" s="18" t="s">
        <v>340</v>
      </c>
      <c r="D197" s="18">
        <v>1980</v>
      </c>
      <c r="E197" s="18">
        <v>2990</v>
      </c>
      <c r="F197" s="18">
        <v>109</v>
      </c>
      <c r="G197" s="18" t="s">
        <v>20</v>
      </c>
      <c r="H197" s="122" t="s">
        <v>660</v>
      </c>
      <c r="I197" s="33">
        <v>51.739246399999999</v>
      </c>
      <c r="J197" s="61">
        <v>35.822444900000001</v>
      </c>
      <c r="K197" s="73">
        <v>290</v>
      </c>
      <c r="L197" s="83"/>
      <c r="N197" s="148" t="s">
        <v>777</v>
      </c>
      <c r="O197" s="112"/>
      <c r="P197" s="112"/>
    </row>
    <row r="198" spans="1:16" x14ac:dyDescent="0.2">
      <c r="A198" s="88">
        <v>183</v>
      </c>
      <c r="B198" s="86" t="s">
        <v>341</v>
      </c>
      <c r="C198" s="86" t="s">
        <v>342</v>
      </c>
      <c r="D198" s="86">
        <v>1980</v>
      </c>
      <c r="E198" s="86">
        <v>2370</v>
      </c>
      <c r="F198" s="86">
        <v>63</v>
      </c>
      <c r="G198" s="86" t="s">
        <v>20</v>
      </c>
      <c r="H198" s="122" t="s">
        <v>661</v>
      </c>
      <c r="I198" s="92" t="s">
        <v>662</v>
      </c>
      <c r="J198" s="93" t="s">
        <v>663</v>
      </c>
      <c r="K198" s="94">
        <v>291</v>
      </c>
      <c r="L198" s="81" t="s">
        <v>765</v>
      </c>
      <c r="M198" s="1" t="s">
        <v>777</v>
      </c>
      <c r="N198" s="148" t="s">
        <v>777</v>
      </c>
      <c r="O198" s="112"/>
      <c r="P198" s="112"/>
    </row>
    <row r="199" spans="1:16" x14ac:dyDescent="0.2">
      <c r="A199" s="18">
        <v>184</v>
      </c>
      <c r="B199" s="13" t="s">
        <v>343</v>
      </c>
      <c r="C199" s="13" t="s">
        <v>103</v>
      </c>
      <c r="D199" s="13">
        <v>1985</v>
      </c>
      <c r="E199" s="13">
        <v>3120</v>
      </c>
      <c r="F199" s="13">
        <v>112</v>
      </c>
      <c r="G199" s="13" t="s">
        <v>20</v>
      </c>
      <c r="H199" s="122" t="s">
        <v>664</v>
      </c>
      <c r="I199" s="33">
        <v>51.542614</v>
      </c>
      <c r="J199" s="61">
        <v>35.932563799999997</v>
      </c>
      <c r="K199" s="73">
        <v>292</v>
      </c>
      <c r="L199" s="83"/>
      <c r="N199" s="148" t="s">
        <v>777</v>
      </c>
      <c r="O199" s="112"/>
      <c r="P199" s="112"/>
    </row>
    <row r="200" spans="1:16" x14ac:dyDescent="0.2">
      <c r="A200" s="18">
        <v>185</v>
      </c>
      <c r="B200" s="13" t="s">
        <v>344</v>
      </c>
      <c r="C200" s="13" t="s">
        <v>345</v>
      </c>
      <c r="D200" s="13">
        <v>1975</v>
      </c>
      <c r="E200" s="13">
        <v>1060</v>
      </c>
      <c r="F200" s="13">
        <v>52</v>
      </c>
      <c r="G200" s="13" t="s">
        <v>9</v>
      </c>
      <c r="H200" s="122" t="s">
        <v>665</v>
      </c>
      <c r="I200" s="33">
        <v>51.595931999999998</v>
      </c>
      <c r="J200" s="61">
        <v>35.769920300000003</v>
      </c>
      <c r="K200" s="73">
        <v>293</v>
      </c>
      <c r="L200" s="83"/>
      <c r="N200" s="148" t="s">
        <v>777</v>
      </c>
      <c r="O200" s="112"/>
      <c r="P200" s="112"/>
    </row>
    <row r="201" spans="1:16" x14ac:dyDescent="0.2">
      <c r="A201" s="18">
        <v>186</v>
      </c>
      <c r="B201" s="13" t="s">
        <v>346</v>
      </c>
      <c r="C201" s="13" t="s">
        <v>347</v>
      </c>
      <c r="D201" s="13">
        <v>1974</v>
      </c>
      <c r="E201" s="13">
        <v>485</v>
      </c>
      <c r="F201" s="13">
        <v>16</v>
      </c>
      <c r="G201" s="13" t="s">
        <v>117</v>
      </c>
      <c r="H201" s="122" t="s">
        <v>1111</v>
      </c>
      <c r="I201" s="33">
        <v>51.598953199999997</v>
      </c>
      <c r="J201" s="61">
        <v>35.889545400000003</v>
      </c>
      <c r="K201" s="73">
        <v>294</v>
      </c>
      <c r="L201" s="83"/>
      <c r="N201" s="148" t="s">
        <v>777</v>
      </c>
      <c r="O201" s="112"/>
      <c r="P201" s="112"/>
    </row>
    <row r="202" spans="1:16" x14ac:dyDescent="0.2">
      <c r="A202" s="18">
        <v>187</v>
      </c>
      <c r="B202" s="13" t="s">
        <v>348</v>
      </c>
      <c r="C202" s="13" t="s">
        <v>349</v>
      </c>
      <c r="D202" s="13">
        <v>1961</v>
      </c>
      <c r="E202" s="13">
        <v>120</v>
      </c>
      <c r="F202" s="13">
        <v>8</v>
      </c>
      <c r="G202" s="13" t="s">
        <v>9</v>
      </c>
      <c r="H202" s="122" t="s">
        <v>666</v>
      </c>
      <c r="I202" s="33">
        <v>51.627487199999997</v>
      </c>
      <c r="J202" s="61">
        <v>35.8259659</v>
      </c>
      <c r="K202" s="73">
        <v>295</v>
      </c>
      <c r="L202" s="83"/>
      <c r="N202" s="148" t="s">
        <v>777</v>
      </c>
      <c r="O202" s="148" t="s">
        <v>777</v>
      </c>
      <c r="P202" s="148" t="s">
        <v>777</v>
      </c>
    </row>
    <row r="203" spans="1:16" x14ac:dyDescent="0.2">
      <c r="A203" s="18">
        <v>188</v>
      </c>
      <c r="B203" s="13" t="s">
        <v>350</v>
      </c>
      <c r="C203" s="13" t="s">
        <v>351</v>
      </c>
      <c r="D203" s="13">
        <v>1950</v>
      </c>
      <c r="E203" s="13">
        <v>180</v>
      </c>
      <c r="F203" s="13">
        <v>12</v>
      </c>
      <c r="G203" s="13" t="s">
        <v>117</v>
      </c>
      <c r="H203" s="122" t="s">
        <v>1115</v>
      </c>
      <c r="I203" s="33">
        <v>51.7305603</v>
      </c>
      <c r="J203" s="61">
        <v>35.813854200000002</v>
      </c>
      <c r="K203" s="73">
        <v>296</v>
      </c>
      <c r="L203" s="83"/>
      <c r="N203" s="148" t="s">
        <v>777</v>
      </c>
      <c r="O203" s="112"/>
      <c r="P203" s="112"/>
    </row>
    <row r="204" spans="1:16" ht="30" x14ac:dyDescent="0.2">
      <c r="A204" s="133">
        <v>189</v>
      </c>
      <c r="B204" s="134" t="s">
        <v>352</v>
      </c>
      <c r="C204" s="134" t="s">
        <v>353</v>
      </c>
      <c r="D204" s="134">
        <v>1970</v>
      </c>
      <c r="E204" s="134">
        <v>200</v>
      </c>
      <c r="F204" s="134">
        <v>16</v>
      </c>
      <c r="G204" s="134" t="s">
        <v>9</v>
      </c>
      <c r="H204" s="135" t="s">
        <v>667</v>
      </c>
      <c r="I204" s="135" t="s">
        <v>668</v>
      </c>
      <c r="J204" s="136" t="s">
        <v>669</v>
      </c>
      <c r="K204" s="137">
        <v>297</v>
      </c>
      <c r="L204" s="138" t="s">
        <v>765</v>
      </c>
      <c r="M204" s="1" t="s">
        <v>777</v>
      </c>
      <c r="N204" s="112"/>
      <c r="O204" s="112"/>
      <c r="P204" s="112"/>
    </row>
    <row r="205" spans="1:16" x14ac:dyDescent="0.2">
      <c r="A205" s="18">
        <v>190</v>
      </c>
      <c r="B205" s="13" t="s">
        <v>354</v>
      </c>
      <c r="C205" s="13" t="s">
        <v>355</v>
      </c>
      <c r="D205" s="13">
        <v>1950</v>
      </c>
      <c r="E205" s="13">
        <v>180</v>
      </c>
      <c r="F205" s="13">
        <v>12</v>
      </c>
      <c r="G205" s="13" t="s">
        <v>117</v>
      </c>
      <c r="H205" s="122" t="s">
        <v>670</v>
      </c>
      <c r="I205" s="33">
        <v>51.802416999999998</v>
      </c>
      <c r="J205" s="61">
        <v>35.850628999999998</v>
      </c>
      <c r="K205" s="73">
        <v>298</v>
      </c>
      <c r="L205" s="83"/>
      <c r="N205" s="148" t="s">
        <v>777</v>
      </c>
      <c r="O205" s="112"/>
      <c r="P205" s="112"/>
    </row>
    <row r="206" spans="1:16" x14ac:dyDescent="0.2">
      <c r="A206" s="88">
        <v>191</v>
      </c>
      <c r="B206" s="86" t="s">
        <v>356</v>
      </c>
      <c r="C206" s="86" t="s">
        <v>357</v>
      </c>
      <c r="D206" s="86">
        <v>1985</v>
      </c>
      <c r="E206" s="86">
        <v>189</v>
      </c>
      <c r="F206" s="86">
        <v>6</v>
      </c>
      <c r="G206" s="86" t="s">
        <v>17</v>
      </c>
      <c r="H206" s="122" t="s">
        <v>671</v>
      </c>
      <c r="I206" s="92" t="s">
        <v>672</v>
      </c>
      <c r="J206" s="93" t="s">
        <v>673</v>
      </c>
      <c r="K206" s="94">
        <v>299</v>
      </c>
      <c r="L206" s="81" t="s">
        <v>765</v>
      </c>
      <c r="M206" s="1" t="s">
        <v>777</v>
      </c>
      <c r="N206" s="148" t="s">
        <v>777</v>
      </c>
      <c r="O206" s="112"/>
      <c r="P206" s="112"/>
    </row>
    <row r="207" spans="1:16" ht="77.25" thickBot="1" x14ac:dyDescent="0.25">
      <c r="A207" s="39">
        <v>192</v>
      </c>
      <c r="B207" s="24" t="s">
        <v>358</v>
      </c>
      <c r="C207" s="24" t="s">
        <v>359</v>
      </c>
      <c r="D207" s="24">
        <v>2021</v>
      </c>
      <c r="E207" s="24">
        <v>122.6</v>
      </c>
      <c r="F207" s="24">
        <v>9.1999999999999993</v>
      </c>
      <c r="G207" s="24" t="s">
        <v>20</v>
      </c>
      <c r="H207" s="145" t="s">
        <v>1116</v>
      </c>
      <c r="I207" s="146" t="s">
        <v>1142</v>
      </c>
      <c r="J207" s="147" t="s">
        <v>1143</v>
      </c>
      <c r="K207" s="66" t="s">
        <v>561</v>
      </c>
      <c r="L207" s="124" t="s">
        <v>1138</v>
      </c>
      <c r="M207" s="1" t="s">
        <v>777</v>
      </c>
      <c r="N207" s="148" t="s">
        <v>777</v>
      </c>
      <c r="O207" s="114"/>
      <c r="P207" s="114"/>
    </row>
    <row r="208" spans="1:16" ht="15.75" thickBot="1" x14ac:dyDescent="0.25">
      <c r="A208" s="209" t="s">
        <v>360</v>
      </c>
      <c r="B208" s="210"/>
      <c r="C208" s="210"/>
      <c r="D208" s="210"/>
      <c r="E208" s="210"/>
      <c r="F208" s="210"/>
      <c r="G208" s="210"/>
      <c r="H208" s="210"/>
      <c r="I208" s="210"/>
      <c r="J208" s="210"/>
      <c r="K208" s="67"/>
      <c r="L208" s="83"/>
      <c r="N208" s="112"/>
      <c r="O208" s="112"/>
      <c r="P208" s="112"/>
    </row>
    <row r="209" spans="1:16" x14ac:dyDescent="0.2">
      <c r="A209" s="18">
        <v>193</v>
      </c>
      <c r="B209" s="18" t="s">
        <v>361</v>
      </c>
      <c r="C209" s="18" t="s">
        <v>362</v>
      </c>
      <c r="D209" s="18">
        <v>1983</v>
      </c>
      <c r="E209" s="18">
        <v>1350</v>
      </c>
      <c r="F209" s="18">
        <v>34</v>
      </c>
      <c r="G209" s="18" t="s">
        <v>9</v>
      </c>
      <c r="H209" s="32" t="s">
        <v>674</v>
      </c>
      <c r="I209" s="32">
        <v>52.177089700000003</v>
      </c>
      <c r="J209" s="53">
        <v>36.365802799999997</v>
      </c>
      <c r="K209" s="67">
        <v>303</v>
      </c>
      <c r="L209" s="83"/>
      <c r="N209" s="148" t="s">
        <v>777</v>
      </c>
      <c r="O209" s="112"/>
      <c r="P209" s="112"/>
    </row>
    <row r="210" spans="1:16" x14ac:dyDescent="0.2">
      <c r="A210" s="18">
        <v>194</v>
      </c>
      <c r="B210" s="13" t="s">
        <v>50</v>
      </c>
      <c r="C210" s="13" t="s">
        <v>363</v>
      </c>
      <c r="D210" s="13">
        <v>1976</v>
      </c>
      <c r="E210" s="13">
        <v>512</v>
      </c>
      <c r="F210" s="13">
        <v>10</v>
      </c>
      <c r="G210" s="13" t="s">
        <v>9</v>
      </c>
      <c r="H210" s="122" t="s">
        <v>675</v>
      </c>
      <c r="I210" s="32">
        <v>52.277351400000001</v>
      </c>
      <c r="J210" s="53">
        <v>35.998260500000001</v>
      </c>
      <c r="K210" s="67">
        <v>306</v>
      </c>
      <c r="L210" s="83"/>
      <c r="N210" s="148" t="s">
        <v>777</v>
      </c>
      <c r="O210" s="112"/>
      <c r="P210" s="112"/>
    </row>
    <row r="211" spans="1:16" x14ac:dyDescent="0.2">
      <c r="A211" s="18">
        <v>195</v>
      </c>
      <c r="B211" s="13" t="s">
        <v>364</v>
      </c>
      <c r="C211" s="13" t="s">
        <v>365</v>
      </c>
      <c r="D211" s="13">
        <v>1972</v>
      </c>
      <c r="E211" s="13">
        <v>710</v>
      </c>
      <c r="F211" s="13">
        <v>16</v>
      </c>
      <c r="G211" s="13" t="s">
        <v>9</v>
      </c>
      <c r="H211" s="32" t="s">
        <v>675</v>
      </c>
      <c r="I211" s="32">
        <v>52.270416300000001</v>
      </c>
      <c r="J211" s="53">
        <v>36.111278499999997</v>
      </c>
      <c r="K211" s="67">
        <v>307</v>
      </c>
      <c r="L211" s="83"/>
      <c r="N211" s="148" t="s">
        <v>777</v>
      </c>
      <c r="O211" s="112"/>
      <c r="P211" s="112"/>
    </row>
    <row r="212" spans="1:16" ht="30" x14ac:dyDescent="0.2">
      <c r="A212" s="18">
        <v>196</v>
      </c>
      <c r="B212" s="13" t="s">
        <v>69</v>
      </c>
      <c r="C212" s="13" t="s">
        <v>366</v>
      </c>
      <c r="D212" s="13">
        <v>1978</v>
      </c>
      <c r="E212" s="13">
        <v>870</v>
      </c>
      <c r="F212" s="13">
        <v>35</v>
      </c>
      <c r="G212" s="13" t="s">
        <v>9</v>
      </c>
      <c r="H212" s="32" t="s">
        <v>676</v>
      </c>
      <c r="I212" s="32" t="s">
        <v>677</v>
      </c>
      <c r="J212" s="53" t="s">
        <v>678</v>
      </c>
      <c r="K212" s="67">
        <v>300</v>
      </c>
      <c r="L212" s="83"/>
      <c r="N212" s="148" t="s">
        <v>777</v>
      </c>
      <c r="O212" s="112"/>
      <c r="P212" s="112"/>
    </row>
    <row r="213" spans="1:16" x14ac:dyDescent="0.2">
      <c r="A213" s="18">
        <v>197</v>
      </c>
      <c r="B213" s="13" t="s">
        <v>367</v>
      </c>
      <c r="C213" s="13" t="s">
        <v>368</v>
      </c>
      <c r="D213" s="13">
        <v>1976</v>
      </c>
      <c r="E213" s="13">
        <v>708</v>
      </c>
      <c r="F213" s="13">
        <v>12</v>
      </c>
      <c r="G213" s="13" t="s">
        <v>9</v>
      </c>
      <c r="H213" s="32" t="s">
        <v>679</v>
      </c>
      <c r="I213" s="32">
        <v>52.248809799999997</v>
      </c>
      <c r="J213" s="53">
        <v>36.361660000000001</v>
      </c>
      <c r="K213" s="67">
        <v>301</v>
      </c>
      <c r="L213" s="83"/>
      <c r="N213" s="148" t="s">
        <v>777</v>
      </c>
      <c r="O213" s="112"/>
      <c r="P213" s="112"/>
    </row>
    <row r="214" spans="1:16" x14ac:dyDescent="0.2">
      <c r="A214" s="18">
        <v>198</v>
      </c>
      <c r="B214" s="13" t="s">
        <v>369</v>
      </c>
      <c r="C214" s="13" t="s">
        <v>370</v>
      </c>
      <c r="D214" s="13">
        <v>1981</v>
      </c>
      <c r="E214" s="13">
        <v>940</v>
      </c>
      <c r="F214" s="13">
        <v>37</v>
      </c>
      <c r="G214" s="13" t="s">
        <v>9</v>
      </c>
      <c r="H214" s="122" t="s">
        <v>1134</v>
      </c>
      <c r="I214" s="32">
        <v>52.218372299999999</v>
      </c>
      <c r="J214" s="53">
        <v>36.322124500000001</v>
      </c>
      <c r="K214" s="67">
        <v>304</v>
      </c>
      <c r="L214" s="83"/>
      <c r="N214" s="148" t="s">
        <v>777</v>
      </c>
      <c r="O214" s="148" t="s">
        <v>777</v>
      </c>
      <c r="P214" s="148" t="s">
        <v>777</v>
      </c>
    </row>
    <row r="215" spans="1:16" x14ac:dyDescent="0.2">
      <c r="A215" s="88">
        <v>199</v>
      </c>
      <c r="B215" s="86" t="s">
        <v>371</v>
      </c>
      <c r="C215" s="86" t="s">
        <v>372</v>
      </c>
      <c r="D215" s="86">
        <v>1988</v>
      </c>
      <c r="E215" s="86">
        <v>900</v>
      </c>
      <c r="F215" s="86">
        <v>32</v>
      </c>
      <c r="G215" s="86" t="s">
        <v>20</v>
      </c>
      <c r="H215" s="92" t="s">
        <v>1135</v>
      </c>
      <c r="I215" s="92">
        <v>52.187587700000002</v>
      </c>
      <c r="J215" s="93">
        <v>36.433563200000002</v>
      </c>
      <c r="K215" s="87">
        <v>305</v>
      </c>
      <c r="L215" s="81" t="s">
        <v>769</v>
      </c>
      <c r="M215" s="1" t="s">
        <v>777</v>
      </c>
      <c r="N215" s="148" t="s">
        <v>777</v>
      </c>
      <c r="O215" s="148" t="s">
        <v>777</v>
      </c>
      <c r="P215" s="148" t="s">
        <v>777</v>
      </c>
    </row>
    <row r="216" spans="1:16" ht="30" x14ac:dyDescent="0.2">
      <c r="A216" s="18">
        <v>200</v>
      </c>
      <c r="B216" s="13" t="s">
        <v>373</v>
      </c>
      <c r="C216" s="13" t="s">
        <v>374</v>
      </c>
      <c r="D216" s="13">
        <v>1978</v>
      </c>
      <c r="E216" s="13">
        <v>360</v>
      </c>
      <c r="F216" s="13">
        <v>15</v>
      </c>
      <c r="G216" s="13" t="s">
        <v>117</v>
      </c>
      <c r="H216" s="122" t="s">
        <v>1136</v>
      </c>
      <c r="I216" s="32">
        <v>52.310867299999998</v>
      </c>
      <c r="J216" s="53">
        <v>36.253097500000003</v>
      </c>
      <c r="K216" s="67">
        <v>308</v>
      </c>
      <c r="L216" s="83"/>
      <c r="N216" s="148" t="s">
        <v>777</v>
      </c>
      <c r="O216" s="112"/>
      <c r="P216" s="112"/>
    </row>
    <row r="217" spans="1:16" ht="30.75" thickBot="1" x14ac:dyDescent="0.25">
      <c r="A217" s="35">
        <v>201</v>
      </c>
      <c r="B217" s="14" t="s">
        <v>56</v>
      </c>
      <c r="C217" s="14" t="s">
        <v>375</v>
      </c>
      <c r="D217" s="14">
        <v>1947</v>
      </c>
      <c r="E217" s="14">
        <v>120</v>
      </c>
      <c r="F217" s="14">
        <v>8</v>
      </c>
      <c r="G217" s="14" t="s">
        <v>9</v>
      </c>
      <c r="H217" s="38" t="s">
        <v>680</v>
      </c>
      <c r="I217" s="38">
        <v>52.292392700000001</v>
      </c>
      <c r="J217" s="55">
        <v>36.240077999999997</v>
      </c>
      <c r="K217" s="67">
        <v>302</v>
      </c>
      <c r="L217" s="83"/>
      <c r="N217" s="148" t="s">
        <v>777</v>
      </c>
      <c r="O217" s="112"/>
      <c r="P217" s="112"/>
    </row>
    <row r="218" spans="1:16" ht="15.75" thickBot="1" x14ac:dyDescent="0.25">
      <c r="A218" s="193" t="s">
        <v>376</v>
      </c>
      <c r="B218" s="194"/>
      <c r="C218" s="194"/>
      <c r="D218" s="194"/>
      <c r="E218" s="194"/>
      <c r="F218" s="194"/>
      <c r="G218" s="194"/>
      <c r="H218" s="194"/>
      <c r="I218" s="194"/>
      <c r="J218" s="194"/>
      <c r="K218" s="67"/>
      <c r="L218" s="83"/>
      <c r="N218" s="112"/>
      <c r="O218" s="112"/>
      <c r="P218" s="112"/>
    </row>
    <row r="219" spans="1:16" x14ac:dyDescent="0.2">
      <c r="A219" s="18">
        <v>202</v>
      </c>
      <c r="B219" s="18" t="s">
        <v>377</v>
      </c>
      <c r="C219" s="18" t="s">
        <v>378</v>
      </c>
      <c r="D219" s="18">
        <v>1965</v>
      </c>
      <c r="E219" s="18">
        <v>1433</v>
      </c>
      <c r="F219" s="18">
        <v>43</v>
      </c>
      <c r="G219" s="18" t="s">
        <v>20</v>
      </c>
      <c r="H219" s="32" t="s">
        <v>681</v>
      </c>
      <c r="I219" s="32">
        <v>51.274707800000002</v>
      </c>
      <c r="J219" s="53">
        <v>36.532482100000003</v>
      </c>
      <c r="K219" s="72">
        <v>309</v>
      </c>
      <c r="L219" s="83"/>
      <c r="N219" s="148" t="s">
        <v>777</v>
      </c>
      <c r="O219" s="148" t="s">
        <v>777</v>
      </c>
      <c r="P219" s="148" t="s">
        <v>777</v>
      </c>
    </row>
    <row r="220" spans="1:16" x14ac:dyDescent="0.2">
      <c r="A220" s="18">
        <v>203</v>
      </c>
      <c r="B220" s="13" t="s">
        <v>379</v>
      </c>
      <c r="C220" s="13" t="s">
        <v>380</v>
      </c>
      <c r="D220" s="13">
        <v>1977</v>
      </c>
      <c r="E220" s="13">
        <v>1550</v>
      </c>
      <c r="F220" s="13">
        <v>42</v>
      </c>
      <c r="G220" s="13" t="s">
        <v>9</v>
      </c>
      <c r="H220" s="32" t="s">
        <v>682</v>
      </c>
      <c r="I220" s="32">
        <v>51.223655700000002</v>
      </c>
      <c r="J220" s="53">
        <v>36.998706800000001</v>
      </c>
      <c r="K220" s="72">
        <v>310</v>
      </c>
      <c r="L220" s="83"/>
      <c r="N220" s="148" t="s">
        <v>777</v>
      </c>
      <c r="O220" s="112"/>
      <c r="P220" s="112"/>
    </row>
    <row r="221" spans="1:16" x14ac:dyDescent="0.2">
      <c r="A221" s="18">
        <v>204</v>
      </c>
      <c r="B221" s="13" t="s">
        <v>381</v>
      </c>
      <c r="C221" s="13" t="s">
        <v>382</v>
      </c>
      <c r="D221" s="13">
        <v>1961</v>
      </c>
      <c r="E221" s="13">
        <v>1850</v>
      </c>
      <c r="F221" s="13">
        <v>79</v>
      </c>
      <c r="G221" s="13" t="s">
        <v>9</v>
      </c>
      <c r="H221" s="32" t="s">
        <v>683</v>
      </c>
      <c r="I221" s="32">
        <v>51.294391599999997</v>
      </c>
      <c r="J221" s="53">
        <v>36.695442200000002</v>
      </c>
      <c r="K221" s="72">
        <v>311</v>
      </c>
      <c r="L221" s="83"/>
      <c r="N221" s="148" t="s">
        <v>777</v>
      </c>
      <c r="O221" s="148" t="s">
        <v>777</v>
      </c>
      <c r="P221" s="148" t="s">
        <v>777</v>
      </c>
    </row>
    <row r="222" spans="1:16" x14ac:dyDescent="0.2">
      <c r="A222" s="18">
        <v>205</v>
      </c>
      <c r="B222" s="13" t="s">
        <v>628</v>
      </c>
      <c r="C222" s="13" t="s">
        <v>383</v>
      </c>
      <c r="D222" s="13">
        <v>1963</v>
      </c>
      <c r="E222" s="13">
        <v>1400</v>
      </c>
      <c r="F222" s="13">
        <v>55</v>
      </c>
      <c r="G222" s="13" t="s">
        <v>20</v>
      </c>
      <c r="H222" s="32" t="s">
        <v>684</v>
      </c>
      <c r="I222" s="32">
        <v>51.326038400000002</v>
      </c>
      <c r="J222" s="53">
        <v>36.448638899999999</v>
      </c>
      <c r="K222" s="72">
        <v>312</v>
      </c>
      <c r="L222" s="83"/>
      <c r="N222" s="148" t="s">
        <v>777</v>
      </c>
      <c r="O222" s="148" t="s">
        <v>777</v>
      </c>
      <c r="P222" s="148" t="s">
        <v>777</v>
      </c>
    </row>
    <row r="223" spans="1:16" x14ac:dyDescent="0.2">
      <c r="A223" s="18">
        <v>206</v>
      </c>
      <c r="B223" s="13" t="s">
        <v>384</v>
      </c>
      <c r="C223" s="13" t="s">
        <v>385</v>
      </c>
      <c r="D223" s="13">
        <v>1963</v>
      </c>
      <c r="E223" s="13">
        <v>863</v>
      </c>
      <c r="F223" s="13">
        <v>50</v>
      </c>
      <c r="G223" s="13" t="s">
        <v>20</v>
      </c>
      <c r="H223" s="32" t="s">
        <v>681</v>
      </c>
      <c r="I223" s="32">
        <v>51.223911299999997</v>
      </c>
      <c r="J223" s="53">
        <v>36.527008100000003</v>
      </c>
      <c r="K223" s="72">
        <v>313</v>
      </c>
      <c r="L223" s="83"/>
      <c r="N223" s="148" t="s">
        <v>777</v>
      </c>
      <c r="O223" s="148" t="s">
        <v>777</v>
      </c>
      <c r="P223" s="148" t="s">
        <v>777</v>
      </c>
    </row>
    <row r="224" spans="1:16" x14ac:dyDescent="0.2">
      <c r="A224" s="18">
        <v>207</v>
      </c>
      <c r="B224" s="13" t="s">
        <v>56</v>
      </c>
      <c r="C224" s="13" t="s">
        <v>386</v>
      </c>
      <c r="D224" s="13">
        <v>1997</v>
      </c>
      <c r="E224" s="13">
        <v>660</v>
      </c>
      <c r="F224" s="13">
        <v>20</v>
      </c>
      <c r="G224" s="13" t="s">
        <v>9</v>
      </c>
      <c r="H224" s="32" t="s">
        <v>685</v>
      </c>
      <c r="I224" s="32">
        <v>51.184455900000003</v>
      </c>
      <c r="J224" s="53">
        <v>36.734912899999998</v>
      </c>
      <c r="K224" s="72">
        <v>314</v>
      </c>
      <c r="L224" s="83"/>
      <c r="N224" s="148" t="s">
        <v>777</v>
      </c>
      <c r="O224" s="112"/>
      <c r="P224" s="112"/>
    </row>
    <row r="225" spans="1:16" x14ac:dyDescent="0.2">
      <c r="A225" s="18">
        <v>208</v>
      </c>
      <c r="B225" s="13" t="s">
        <v>56</v>
      </c>
      <c r="C225" s="13" t="s">
        <v>386</v>
      </c>
      <c r="D225" s="13" t="s">
        <v>387</v>
      </c>
      <c r="E225" s="13">
        <v>142</v>
      </c>
      <c r="F225" s="13">
        <v>7</v>
      </c>
      <c r="G225" s="13" t="s">
        <v>117</v>
      </c>
      <c r="H225" s="32" t="s">
        <v>685</v>
      </c>
      <c r="I225" s="32">
        <v>51.168975799999998</v>
      </c>
      <c r="J225" s="53">
        <v>36.733543400000002</v>
      </c>
      <c r="K225" s="72">
        <v>315</v>
      </c>
      <c r="L225" s="83"/>
      <c r="N225" s="148" t="s">
        <v>777</v>
      </c>
      <c r="O225" s="112"/>
      <c r="P225" s="112"/>
    </row>
    <row r="226" spans="1:16" x14ac:dyDescent="0.2">
      <c r="A226" s="18">
        <v>209</v>
      </c>
      <c r="B226" s="13" t="s">
        <v>388</v>
      </c>
      <c r="C226" s="13" t="s">
        <v>389</v>
      </c>
      <c r="D226" s="13">
        <v>1954</v>
      </c>
      <c r="E226" s="13">
        <v>710</v>
      </c>
      <c r="F226" s="13">
        <v>25</v>
      </c>
      <c r="G226" s="13" t="s">
        <v>9</v>
      </c>
      <c r="H226" s="32" t="s">
        <v>686</v>
      </c>
      <c r="I226" s="32">
        <v>51.263622300000002</v>
      </c>
      <c r="J226" s="53">
        <v>36.945591</v>
      </c>
      <c r="K226" s="72">
        <v>316</v>
      </c>
      <c r="L226" s="83"/>
      <c r="N226" s="148" t="s">
        <v>777</v>
      </c>
      <c r="O226" s="112"/>
      <c r="P226" s="112"/>
    </row>
    <row r="227" spans="1:16" x14ac:dyDescent="0.2">
      <c r="A227" s="18">
        <v>210</v>
      </c>
      <c r="B227" s="13" t="s">
        <v>390</v>
      </c>
      <c r="C227" s="13" t="s">
        <v>391</v>
      </c>
      <c r="D227" s="13">
        <v>1965</v>
      </c>
      <c r="E227" s="13">
        <v>693</v>
      </c>
      <c r="F227" s="13">
        <v>23</v>
      </c>
      <c r="G227" s="13" t="s">
        <v>127</v>
      </c>
      <c r="H227" s="32" t="s">
        <v>684</v>
      </c>
      <c r="I227" s="32">
        <v>51.217140200000003</v>
      </c>
      <c r="J227" s="53">
        <v>36.419517499999998</v>
      </c>
      <c r="K227" s="72">
        <v>317</v>
      </c>
      <c r="L227" s="83"/>
      <c r="N227" s="148" t="s">
        <v>777</v>
      </c>
      <c r="O227" s="148" t="s">
        <v>777</v>
      </c>
      <c r="P227" s="148" t="s">
        <v>777</v>
      </c>
    </row>
    <row r="228" spans="1:16" x14ac:dyDescent="0.2">
      <c r="A228" s="18">
        <v>211</v>
      </c>
      <c r="B228" s="13" t="s">
        <v>141</v>
      </c>
      <c r="C228" s="13" t="s">
        <v>392</v>
      </c>
      <c r="D228" s="13">
        <v>1997</v>
      </c>
      <c r="E228" s="13">
        <v>675</v>
      </c>
      <c r="F228" s="13">
        <v>27</v>
      </c>
      <c r="G228" s="13" t="s">
        <v>127</v>
      </c>
      <c r="H228" s="32" t="s">
        <v>685</v>
      </c>
      <c r="I228" s="32">
        <v>51.204757700000002</v>
      </c>
      <c r="J228" s="53">
        <v>36.723529800000001</v>
      </c>
      <c r="K228" s="72">
        <v>318</v>
      </c>
      <c r="L228" s="83"/>
      <c r="N228" s="148" t="s">
        <v>777</v>
      </c>
      <c r="O228" s="112"/>
      <c r="P228" s="112"/>
    </row>
    <row r="229" spans="1:16" ht="30" x14ac:dyDescent="0.2">
      <c r="A229" s="18">
        <v>212</v>
      </c>
      <c r="B229" s="13" t="s">
        <v>393</v>
      </c>
      <c r="C229" s="13" t="s">
        <v>394</v>
      </c>
      <c r="D229" s="13">
        <v>1965</v>
      </c>
      <c r="E229" s="13">
        <v>580</v>
      </c>
      <c r="F229" s="13">
        <v>26</v>
      </c>
      <c r="G229" s="13" t="s">
        <v>117</v>
      </c>
      <c r="H229" s="32" t="s">
        <v>687</v>
      </c>
      <c r="I229" s="32">
        <v>51.161037399999998</v>
      </c>
      <c r="J229" s="53">
        <v>36.630165099999999</v>
      </c>
      <c r="K229" s="72">
        <v>319</v>
      </c>
      <c r="L229" s="83"/>
      <c r="N229" s="148" t="s">
        <v>777</v>
      </c>
      <c r="O229" s="112"/>
      <c r="P229" s="112"/>
    </row>
    <row r="230" spans="1:16" x14ac:dyDescent="0.2">
      <c r="A230" s="18">
        <v>213</v>
      </c>
      <c r="B230" s="13" t="s">
        <v>377</v>
      </c>
      <c r="C230" s="13" t="s">
        <v>395</v>
      </c>
      <c r="D230" s="13">
        <v>1965</v>
      </c>
      <c r="E230" s="13">
        <v>440</v>
      </c>
      <c r="F230" s="13">
        <v>21</v>
      </c>
      <c r="G230" s="13" t="s">
        <v>17</v>
      </c>
      <c r="H230" s="32" t="s">
        <v>684</v>
      </c>
      <c r="I230" s="32">
        <v>51.259521499999998</v>
      </c>
      <c r="J230" s="53">
        <v>36.510883300000003</v>
      </c>
      <c r="K230" s="72">
        <v>320</v>
      </c>
      <c r="L230" s="83"/>
      <c r="N230" s="148" t="s">
        <v>777</v>
      </c>
      <c r="O230" s="148" t="s">
        <v>777</v>
      </c>
      <c r="P230" s="148" t="s">
        <v>777</v>
      </c>
    </row>
    <row r="231" spans="1:16" ht="30" x14ac:dyDescent="0.2">
      <c r="A231" s="18">
        <v>214</v>
      </c>
      <c r="B231" s="13" t="s">
        <v>141</v>
      </c>
      <c r="C231" s="13" t="s">
        <v>396</v>
      </c>
      <c r="D231" s="13">
        <v>1998</v>
      </c>
      <c r="E231" s="13">
        <v>395</v>
      </c>
      <c r="F231" s="13">
        <v>14</v>
      </c>
      <c r="G231" s="13" t="s">
        <v>117</v>
      </c>
      <c r="H231" s="32" t="s">
        <v>688</v>
      </c>
      <c r="I231" s="32">
        <v>51.205547299999999</v>
      </c>
      <c r="J231" s="53">
        <v>36.754287699999999</v>
      </c>
      <c r="K231" s="72">
        <v>321</v>
      </c>
      <c r="L231" s="83"/>
      <c r="N231" s="148" t="s">
        <v>777</v>
      </c>
      <c r="O231" s="112"/>
      <c r="P231" s="112"/>
    </row>
    <row r="232" spans="1:16" ht="30" x14ac:dyDescent="0.2">
      <c r="A232" s="18">
        <v>215</v>
      </c>
      <c r="B232" s="13" t="s">
        <v>56</v>
      </c>
      <c r="C232" s="13" t="s">
        <v>397</v>
      </c>
      <c r="D232" s="13">
        <v>1991</v>
      </c>
      <c r="E232" s="13">
        <v>349</v>
      </c>
      <c r="F232" s="13">
        <v>15</v>
      </c>
      <c r="G232" s="13" t="s">
        <v>117</v>
      </c>
      <c r="H232" s="32" t="s">
        <v>689</v>
      </c>
      <c r="I232" s="32">
        <v>51.217922199999997</v>
      </c>
      <c r="J232" s="53">
        <v>36.7090988</v>
      </c>
      <c r="K232" s="72">
        <v>322</v>
      </c>
      <c r="L232" s="83"/>
      <c r="N232" s="148" t="s">
        <v>777</v>
      </c>
      <c r="O232" s="112"/>
      <c r="P232" s="112"/>
    </row>
    <row r="233" spans="1:16" s="3" customFormat="1" x14ac:dyDescent="0.2">
      <c r="A233" s="18">
        <v>216</v>
      </c>
      <c r="B233" s="13" t="s">
        <v>56</v>
      </c>
      <c r="C233" s="13" t="s">
        <v>398</v>
      </c>
      <c r="D233" s="13">
        <v>1972</v>
      </c>
      <c r="E233" s="13">
        <v>225</v>
      </c>
      <c r="F233" s="13">
        <v>15</v>
      </c>
      <c r="G233" s="13" t="s">
        <v>127</v>
      </c>
      <c r="H233" s="32" t="s">
        <v>690</v>
      </c>
      <c r="I233" s="32">
        <v>51.210334799999998</v>
      </c>
      <c r="J233" s="53">
        <v>36.761508900000003</v>
      </c>
      <c r="K233" s="72">
        <v>323</v>
      </c>
      <c r="L233" s="84"/>
      <c r="N233" s="148" t="s">
        <v>777</v>
      </c>
      <c r="O233" s="113"/>
      <c r="P233" s="113"/>
    </row>
    <row r="234" spans="1:16" x14ac:dyDescent="0.2">
      <c r="A234" s="18">
        <v>217</v>
      </c>
      <c r="B234" s="13" t="s">
        <v>399</v>
      </c>
      <c r="C234" s="13" t="s">
        <v>398</v>
      </c>
      <c r="D234" s="13">
        <v>1997</v>
      </c>
      <c r="E234" s="13">
        <v>132</v>
      </c>
      <c r="F234" s="13">
        <v>7</v>
      </c>
      <c r="G234" s="13" t="s">
        <v>117</v>
      </c>
      <c r="H234" s="32" t="s">
        <v>691</v>
      </c>
      <c r="I234" s="32">
        <v>51.210243200000001</v>
      </c>
      <c r="J234" s="53">
        <v>36.765720399999999</v>
      </c>
      <c r="K234" s="72">
        <v>324</v>
      </c>
      <c r="L234" s="83"/>
      <c r="N234" s="148" t="s">
        <v>777</v>
      </c>
      <c r="O234" s="112"/>
      <c r="P234" s="112"/>
    </row>
    <row r="235" spans="1:16" ht="30" x14ac:dyDescent="0.2">
      <c r="A235" s="18">
        <v>218</v>
      </c>
      <c r="B235" s="13" t="s">
        <v>56</v>
      </c>
      <c r="C235" s="13" t="s">
        <v>397</v>
      </c>
      <c r="D235" s="13">
        <v>1958</v>
      </c>
      <c r="E235" s="13">
        <v>125</v>
      </c>
      <c r="F235" s="13">
        <v>8</v>
      </c>
      <c r="G235" s="13" t="s">
        <v>117</v>
      </c>
      <c r="H235" s="32" t="s">
        <v>692</v>
      </c>
      <c r="I235" s="32">
        <v>51.204334299999999</v>
      </c>
      <c r="J235" s="53">
        <v>36.698467299999997</v>
      </c>
      <c r="K235" s="72">
        <v>325</v>
      </c>
      <c r="L235" s="83"/>
      <c r="N235" s="148" t="s">
        <v>777</v>
      </c>
      <c r="O235" s="112"/>
      <c r="P235" s="112"/>
    </row>
    <row r="236" spans="1:16" ht="15.75" thickBot="1" x14ac:dyDescent="0.25">
      <c r="A236" s="35">
        <v>219</v>
      </c>
      <c r="B236" s="14" t="s">
        <v>400</v>
      </c>
      <c r="C236" s="14" t="s">
        <v>401</v>
      </c>
      <c r="D236" s="14">
        <v>1954</v>
      </c>
      <c r="E236" s="14">
        <v>160</v>
      </c>
      <c r="F236" s="14">
        <v>9</v>
      </c>
      <c r="G236" s="14" t="s">
        <v>117</v>
      </c>
      <c r="H236" s="38" t="s">
        <v>693</v>
      </c>
      <c r="I236" s="38">
        <v>51.185958900000003</v>
      </c>
      <c r="J236" s="55">
        <v>36.829925500000002</v>
      </c>
      <c r="K236" s="72">
        <v>326</v>
      </c>
      <c r="L236" s="83"/>
      <c r="N236" s="148" t="s">
        <v>777</v>
      </c>
      <c r="O236" s="148" t="s">
        <v>777</v>
      </c>
      <c r="P236" s="148" t="s">
        <v>777</v>
      </c>
    </row>
    <row r="237" spans="1:16" ht="15.75" thickBot="1" x14ac:dyDescent="0.25">
      <c r="A237" s="193" t="s">
        <v>402</v>
      </c>
      <c r="B237" s="194"/>
      <c r="C237" s="194"/>
      <c r="D237" s="194"/>
      <c r="E237" s="194"/>
      <c r="F237" s="194"/>
      <c r="G237" s="194"/>
      <c r="H237" s="194"/>
      <c r="I237" s="194"/>
      <c r="J237" s="194"/>
      <c r="K237" s="67"/>
      <c r="L237" s="83"/>
      <c r="N237" s="112"/>
      <c r="O237" s="112"/>
      <c r="P237" s="112"/>
    </row>
    <row r="238" spans="1:16" x14ac:dyDescent="0.2">
      <c r="A238" s="18">
        <v>220</v>
      </c>
      <c r="B238" s="18" t="s">
        <v>403</v>
      </c>
      <c r="C238" s="18" t="s">
        <v>404</v>
      </c>
      <c r="D238" s="18">
        <v>1975</v>
      </c>
      <c r="E238" s="18">
        <v>3850</v>
      </c>
      <c r="F238" s="18">
        <v>130</v>
      </c>
      <c r="G238" s="18" t="s">
        <v>127</v>
      </c>
      <c r="H238" s="32" t="s">
        <v>694</v>
      </c>
      <c r="I238" s="32">
        <v>51.737903600000003</v>
      </c>
      <c r="J238" s="53">
        <v>37.421802499999998</v>
      </c>
      <c r="K238" s="72">
        <v>346</v>
      </c>
      <c r="L238" s="83"/>
      <c r="N238" s="148" t="s">
        <v>777</v>
      </c>
      <c r="O238" s="112"/>
      <c r="P238" s="112"/>
    </row>
    <row r="239" spans="1:16" x14ac:dyDescent="0.2">
      <c r="A239" s="18">
        <v>221</v>
      </c>
      <c r="B239" s="36" t="s">
        <v>405</v>
      </c>
      <c r="C239" s="36" t="s">
        <v>406</v>
      </c>
      <c r="D239" s="36" t="s">
        <v>27</v>
      </c>
      <c r="E239" s="36">
        <v>2310</v>
      </c>
      <c r="F239" s="36">
        <v>96</v>
      </c>
      <c r="G239" s="36" t="s">
        <v>127</v>
      </c>
      <c r="H239" s="32" t="s">
        <v>586</v>
      </c>
      <c r="I239" s="32">
        <v>51.933414499999998</v>
      </c>
      <c r="J239" s="53">
        <v>37.661327399999998</v>
      </c>
      <c r="K239" s="72">
        <v>347</v>
      </c>
      <c r="L239" s="83"/>
      <c r="N239" s="148" t="s">
        <v>777</v>
      </c>
      <c r="O239" s="112"/>
      <c r="P239" s="112"/>
    </row>
    <row r="240" spans="1:16" ht="30" x14ac:dyDescent="0.2">
      <c r="A240" s="18">
        <v>222</v>
      </c>
      <c r="B240" s="36" t="s">
        <v>23</v>
      </c>
      <c r="C240" s="36" t="s">
        <v>407</v>
      </c>
      <c r="D240" s="36">
        <v>1988</v>
      </c>
      <c r="E240" s="36">
        <v>807</v>
      </c>
      <c r="F240" s="36">
        <v>29</v>
      </c>
      <c r="G240" s="36" t="s">
        <v>11</v>
      </c>
      <c r="H240" s="32" t="s">
        <v>695</v>
      </c>
      <c r="I240" s="32">
        <v>51.597701999999998</v>
      </c>
      <c r="J240" s="53">
        <v>37.607875800000002</v>
      </c>
      <c r="K240" s="72">
        <v>348</v>
      </c>
      <c r="L240" s="83"/>
      <c r="N240" s="148" t="s">
        <v>777</v>
      </c>
      <c r="O240" s="112"/>
      <c r="P240" s="112"/>
    </row>
    <row r="241" spans="1:16" x14ac:dyDescent="0.2">
      <c r="A241" s="18">
        <v>223</v>
      </c>
      <c r="B241" s="36" t="s">
        <v>408</v>
      </c>
      <c r="C241" s="36" t="s">
        <v>409</v>
      </c>
      <c r="D241" s="36">
        <v>1972</v>
      </c>
      <c r="E241" s="36">
        <v>600</v>
      </c>
      <c r="F241" s="36">
        <v>50</v>
      </c>
      <c r="G241" s="36" t="s">
        <v>20</v>
      </c>
      <c r="H241" s="32" t="s">
        <v>696</v>
      </c>
      <c r="I241" s="32">
        <v>51.76437</v>
      </c>
      <c r="J241" s="53">
        <v>37.466693900000003</v>
      </c>
      <c r="K241" s="72">
        <v>349</v>
      </c>
      <c r="L241" s="83"/>
      <c r="N241" s="148" t="s">
        <v>777</v>
      </c>
      <c r="O241" s="112"/>
      <c r="P241" s="112"/>
    </row>
    <row r="242" spans="1:16" x14ac:dyDescent="0.2">
      <c r="A242" s="18">
        <v>224</v>
      </c>
      <c r="B242" s="36" t="s">
        <v>410</v>
      </c>
      <c r="C242" s="36" t="s">
        <v>411</v>
      </c>
      <c r="D242" s="36">
        <v>1980</v>
      </c>
      <c r="E242" s="36">
        <v>830</v>
      </c>
      <c r="F242" s="36">
        <v>50</v>
      </c>
      <c r="G242" s="36" t="s">
        <v>127</v>
      </c>
      <c r="H242" s="32" t="s">
        <v>586</v>
      </c>
      <c r="I242" s="32">
        <v>51.643787400000001</v>
      </c>
      <c r="J242" s="53">
        <v>37.680683100000003</v>
      </c>
      <c r="K242" s="72">
        <v>350</v>
      </c>
      <c r="L242" s="83"/>
      <c r="N242" s="148" t="s">
        <v>777</v>
      </c>
      <c r="O242" s="112"/>
      <c r="P242" s="112"/>
    </row>
    <row r="243" spans="1:16" ht="30" x14ac:dyDescent="0.2">
      <c r="A243" s="18">
        <v>225</v>
      </c>
      <c r="B243" s="13" t="s">
        <v>412</v>
      </c>
      <c r="C243" s="37" t="s">
        <v>770</v>
      </c>
      <c r="D243" s="13">
        <v>1980</v>
      </c>
      <c r="E243" s="13">
        <v>921</v>
      </c>
      <c r="F243" s="13">
        <v>28</v>
      </c>
      <c r="G243" s="13" t="s">
        <v>127</v>
      </c>
      <c r="H243" s="32" t="s">
        <v>697</v>
      </c>
      <c r="I243" s="32">
        <v>51.7401543</v>
      </c>
      <c r="J243" s="53">
        <v>37.641780900000001</v>
      </c>
      <c r="K243" s="72">
        <v>351</v>
      </c>
      <c r="L243" s="83"/>
      <c r="N243" s="148" t="s">
        <v>777</v>
      </c>
      <c r="O243" s="112"/>
      <c r="P243" s="112"/>
    </row>
    <row r="244" spans="1:16" x14ac:dyDescent="0.2">
      <c r="A244" s="18">
        <v>226</v>
      </c>
      <c r="B244" s="36" t="s">
        <v>413</v>
      </c>
      <c r="C244" s="36" t="s">
        <v>414</v>
      </c>
      <c r="D244" s="36" t="s">
        <v>27</v>
      </c>
      <c r="E244" s="36" t="s">
        <v>27</v>
      </c>
      <c r="F244" s="36" t="s">
        <v>27</v>
      </c>
      <c r="G244" s="36" t="s">
        <v>117</v>
      </c>
      <c r="H244" s="32" t="s">
        <v>586</v>
      </c>
      <c r="I244" s="32">
        <v>51.687656400000002</v>
      </c>
      <c r="J244" s="53">
        <v>37.581428500000001</v>
      </c>
      <c r="K244" s="72">
        <v>352</v>
      </c>
      <c r="L244" s="83"/>
      <c r="N244" s="148" t="s">
        <v>777</v>
      </c>
      <c r="O244" s="112"/>
      <c r="P244" s="112"/>
    </row>
    <row r="245" spans="1:16" x14ac:dyDescent="0.2">
      <c r="A245" s="18">
        <v>227</v>
      </c>
      <c r="B245" s="36" t="s">
        <v>415</v>
      </c>
      <c r="C245" s="36" t="s">
        <v>416</v>
      </c>
      <c r="D245" s="36">
        <v>1980</v>
      </c>
      <c r="E245" s="36">
        <v>684</v>
      </c>
      <c r="F245" s="36">
        <v>21</v>
      </c>
      <c r="G245" s="36" t="s">
        <v>127</v>
      </c>
      <c r="H245" s="32" t="s">
        <v>586</v>
      </c>
      <c r="I245" s="32">
        <v>51.966720600000002</v>
      </c>
      <c r="J245" s="53">
        <v>37.565193200000003</v>
      </c>
      <c r="K245" s="72">
        <v>353</v>
      </c>
      <c r="L245" s="83"/>
      <c r="N245" s="148" t="s">
        <v>777</v>
      </c>
      <c r="O245" s="112"/>
      <c r="P245" s="112"/>
    </row>
    <row r="246" spans="1:16" x14ac:dyDescent="0.2">
      <c r="A246" s="18">
        <v>228</v>
      </c>
      <c r="B246" s="13" t="s">
        <v>417</v>
      </c>
      <c r="C246" s="13" t="s">
        <v>418</v>
      </c>
      <c r="D246" s="13">
        <v>1973</v>
      </c>
      <c r="E246" s="13">
        <v>100</v>
      </c>
      <c r="F246" s="13">
        <v>10</v>
      </c>
      <c r="G246" s="13" t="s">
        <v>20</v>
      </c>
      <c r="H246" s="32" t="s">
        <v>696</v>
      </c>
      <c r="I246" s="32">
        <v>51.7489548</v>
      </c>
      <c r="J246" s="53">
        <v>37.367111199999997</v>
      </c>
      <c r="K246" s="72">
        <v>354</v>
      </c>
      <c r="L246" s="83"/>
      <c r="N246" s="148" t="s">
        <v>777</v>
      </c>
      <c r="O246" s="112"/>
      <c r="P246" s="112"/>
    </row>
    <row r="247" spans="1:16" ht="30" x14ac:dyDescent="0.2">
      <c r="A247" s="18">
        <v>229</v>
      </c>
      <c r="B247" s="36" t="s">
        <v>419</v>
      </c>
      <c r="C247" s="36" t="s">
        <v>420</v>
      </c>
      <c r="D247" s="36" t="s">
        <v>27</v>
      </c>
      <c r="E247" s="36">
        <v>130</v>
      </c>
      <c r="F247" s="36">
        <v>10</v>
      </c>
      <c r="G247" s="36" t="s">
        <v>20</v>
      </c>
      <c r="H247" s="32" t="s">
        <v>698</v>
      </c>
      <c r="I247" s="32">
        <v>51.879795100000003</v>
      </c>
      <c r="J247" s="53">
        <v>37.670566600000001</v>
      </c>
      <c r="K247" s="72">
        <v>355</v>
      </c>
      <c r="L247" s="83"/>
      <c r="N247" s="148" t="s">
        <v>777</v>
      </c>
      <c r="O247" s="112"/>
      <c r="P247" s="112"/>
    </row>
    <row r="248" spans="1:16" x14ac:dyDescent="0.2">
      <c r="A248" s="18">
        <v>230</v>
      </c>
      <c r="B248" s="36" t="s">
        <v>195</v>
      </c>
      <c r="C248" s="36" t="s">
        <v>421</v>
      </c>
      <c r="D248" s="36" t="s">
        <v>27</v>
      </c>
      <c r="E248" s="36">
        <v>144</v>
      </c>
      <c r="F248" s="36">
        <v>4</v>
      </c>
      <c r="G248" s="36" t="s">
        <v>127</v>
      </c>
      <c r="H248" s="32" t="s">
        <v>586</v>
      </c>
      <c r="I248" s="32">
        <v>51.854934700000001</v>
      </c>
      <c r="J248" s="53">
        <v>37.700950599999999</v>
      </c>
      <c r="K248" s="72">
        <v>356</v>
      </c>
      <c r="L248" s="83"/>
      <c r="N248" s="148" t="s">
        <v>777</v>
      </c>
      <c r="O248" s="112"/>
      <c r="P248" s="112"/>
    </row>
    <row r="249" spans="1:16" x14ac:dyDescent="0.2">
      <c r="A249" s="18">
        <v>231</v>
      </c>
      <c r="B249" s="36" t="s">
        <v>195</v>
      </c>
      <c r="C249" s="36" t="s">
        <v>422</v>
      </c>
      <c r="D249" s="36">
        <v>1974</v>
      </c>
      <c r="E249" s="36">
        <v>475</v>
      </c>
      <c r="F249" s="36">
        <v>15</v>
      </c>
      <c r="G249" s="36" t="s">
        <v>127</v>
      </c>
      <c r="H249" s="32" t="s">
        <v>698</v>
      </c>
      <c r="I249" s="32">
        <v>51.888542200000003</v>
      </c>
      <c r="J249" s="53">
        <v>37.695053100000003</v>
      </c>
      <c r="K249" s="72">
        <v>357</v>
      </c>
      <c r="L249" s="83"/>
      <c r="N249" s="148" t="s">
        <v>777</v>
      </c>
      <c r="O249" s="112"/>
      <c r="P249" s="112"/>
    </row>
    <row r="250" spans="1:16" x14ac:dyDescent="0.2">
      <c r="A250" s="18">
        <v>232</v>
      </c>
      <c r="B250" s="36" t="s">
        <v>423</v>
      </c>
      <c r="C250" s="36" t="s">
        <v>424</v>
      </c>
      <c r="D250" s="36">
        <v>1976</v>
      </c>
      <c r="E250" s="36">
        <v>386</v>
      </c>
      <c r="F250" s="36">
        <v>20</v>
      </c>
      <c r="G250" s="36" t="s">
        <v>127</v>
      </c>
      <c r="H250" s="32" t="s">
        <v>586</v>
      </c>
      <c r="I250" s="32">
        <v>51.725254100000001</v>
      </c>
      <c r="J250" s="53">
        <v>37.523475599999998</v>
      </c>
      <c r="K250" s="72">
        <v>358</v>
      </c>
      <c r="L250" s="83"/>
      <c r="N250" s="148" t="s">
        <v>777</v>
      </c>
      <c r="O250" s="112"/>
      <c r="P250" s="112"/>
    </row>
    <row r="251" spans="1:16" x14ac:dyDescent="0.2">
      <c r="A251" s="18">
        <v>233</v>
      </c>
      <c r="B251" s="36" t="s">
        <v>408</v>
      </c>
      <c r="C251" s="36" t="s">
        <v>425</v>
      </c>
      <c r="D251" s="36">
        <v>1970</v>
      </c>
      <c r="E251" s="36">
        <v>259</v>
      </c>
      <c r="F251" s="36">
        <v>26</v>
      </c>
      <c r="G251" s="36" t="s">
        <v>17</v>
      </c>
      <c r="H251" s="32" t="s">
        <v>694</v>
      </c>
      <c r="I251" s="32">
        <v>51.718178999999999</v>
      </c>
      <c r="J251" s="53">
        <v>37.406159000000002</v>
      </c>
      <c r="K251" s="72">
        <v>359</v>
      </c>
      <c r="L251" s="83"/>
      <c r="N251" s="148" t="s">
        <v>777</v>
      </c>
      <c r="O251" s="112"/>
      <c r="P251" s="112"/>
    </row>
    <row r="252" spans="1:16" x14ac:dyDescent="0.2">
      <c r="A252" s="18">
        <v>234</v>
      </c>
      <c r="B252" s="36" t="s">
        <v>426</v>
      </c>
      <c r="C252" s="36" t="s">
        <v>427</v>
      </c>
      <c r="D252" s="36">
        <v>1972</v>
      </c>
      <c r="E252" s="36">
        <v>220</v>
      </c>
      <c r="F252" s="36">
        <v>10</v>
      </c>
      <c r="G252" s="36" t="s">
        <v>127</v>
      </c>
      <c r="H252" s="32" t="s">
        <v>586</v>
      </c>
      <c r="I252" s="32">
        <v>51.817776000000002</v>
      </c>
      <c r="J252" s="53">
        <v>37.75797</v>
      </c>
      <c r="K252" s="72">
        <v>360</v>
      </c>
      <c r="L252" s="83"/>
      <c r="N252" s="148" t="s">
        <v>777</v>
      </c>
      <c r="O252" s="112"/>
      <c r="P252" s="112"/>
    </row>
    <row r="253" spans="1:16" x14ac:dyDescent="0.2">
      <c r="A253" s="18">
        <v>235</v>
      </c>
      <c r="B253" s="13" t="s">
        <v>403</v>
      </c>
      <c r="C253" s="13" t="s">
        <v>428</v>
      </c>
      <c r="D253" s="13">
        <v>1972</v>
      </c>
      <c r="E253" s="13">
        <v>600</v>
      </c>
      <c r="F253" s="13">
        <v>50</v>
      </c>
      <c r="G253" s="13" t="s">
        <v>20</v>
      </c>
      <c r="H253" s="32" t="s">
        <v>696</v>
      </c>
      <c r="I253" s="32">
        <v>51.789282999999998</v>
      </c>
      <c r="J253" s="53">
        <v>37.530217</v>
      </c>
      <c r="K253" s="72">
        <v>361</v>
      </c>
      <c r="L253" s="83"/>
      <c r="N253" s="148" t="s">
        <v>777</v>
      </c>
      <c r="O253" s="112"/>
      <c r="P253" s="112"/>
    </row>
    <row r="254" spans="1:16" ht="30.75" thickBot="1" x14ac:dyDescent="0.25">
      <c r="A254" s="97">
        <v>236</v>
      </c>
      <c r="B254" s="98" t="s">
        <v>429</v>
      </c>
      <c r="C254" s="98" t="s">
        <v>430</v>
      </c>
      <c r="D254" s="98" t="s">
        <v>27</v>
      </c>
      <c r="E254" s="98" t="s">
        <v>27</v>
      </c>
      <c r="F254" s="98">
        <v>79</v>
      </c>
      <c r="G254" s="98" t="s">
        <v>9</v>
      </c>
      <c r="H254" s="99" t="s">
        <v>699</v>
      </c>
      <c r="I254" s="99">
        <v>51.837618999999997</v>
      </c>
      <c r="J254" s="100">
        <v>37.698993000000002</v>
      </c>
      <c r="K254" s="94">
        <v>362</v>
      </c>
      <c r="L254" s="81" t="s">
        <v>765</v>
      </c>
      <c r="M254" s="1" t="s">
        <v>777</v>
      </c>
      <c r="N254" s="148" t="s">
        <v>777</v>
      </c>
      <c r="O254" s="112"/>
      <c r="P254" s="112"/>
    </row>
    <row r="255" spans="1:16" ht="15.75" thickBot="1" x14ac:dyDescent="0.25">
      <c r="A255" s="193" t="s">
        <v>431</v>
      </c>
      <c r="B255" s="194"/>
      <c r="C255" s="194"/>
      <c r="D255" s="194"/>
      <c r="E255" s="194"/>
      <c r="F255" s="194"/>
      <c r="G255" s="194"/>
      <c r="H255" s="214"/>
      <c r="I255" s="214"/>
      <c r="J255" s="214"/>
      <c r="K255" s="67"/>
      <c r="L255" s="83"/>
      <c r="N255" s="112"/>
      <c r="O255" s="112"/>
      <c r="P255" s="112"/>
    </row>
    <row r="256" spans="1:16" x14ac:dyDescent="0.2">
      <c r="A256" s="88">
        <v>237</v>
      </c>
      <c r="B256" s="88" t="s">
        <v>432</v>
      </c>
      <c r="C256" s="88" t="s">
        <v>433</v>
      </c>
      <c r="D256" s="88">
        <v>1979</v>
      </c>
      <c r="E256" s="88">
        <v>2500</v>
      </c>
      <c r="F256" s="88">
        <v>133</v>
      </c>
      <c r="G256" s="88" t="s">
        <v>9</v>
      </c>
      <c r="H256" s="95" t="s">
        <v>700</v>
      </c>
      <c r="I256" s="95">
        <v>51.422687000000003</v>
      </c>
      <c r="J256" s="96">
        <v>36.716431</v>
      </c>
      <c r="K256" s="94">
        <v>363</v>
      </c>
      <c r="L256" s="81" t="s">
        <v>765</v>
      </c>
      <c r="M256" s="1" t="s">
        <v>777</v>
      </c>
      <c r="N256" s="148" t="s">
        <v>777</v>
      </c>
      <c r="O256" s="112"/>
      <c r="P256" s="112"/>
    </row>
    <row r="257" spans="1:18" x14ac:dyDescent="0.2">
      <c r="A257" s="88">
        <v>238</v>
      </c>
      <c r="B257" s="86" t="s">
        <v>434</v>
      </c>
      <c r="C257" s="86" t="s">
        <v>435</v>
      </c>
      <c r="D257" s="86">
        <v>1975</v>
      </c>
      <c r="E257" s="86">
        <v>1245</v>
      </c>
      <c r="F257" s="86">
        <v>74</v>
      </c>
      <c r="G257" s="86" t="s">
        <v>9</v>
      </c>
      <c r="H257" s="95" t="s">
        <v>701</v>
      </c>
      <c r="I257" s="95">
        <v>51.586494399999999</v>
      </c>
      <c r="J257" s="96">
        <v>36.827438399999998</v>
      </c>
      <c r="K257" s="94">
        <v>364</v>
      </c>
      <c r="L257" s="81" t="s">
        <v>771</v>
      </c>
      <c r="M257" s="1" t="s">
        <v>777</v>
      </c>
      <c r="N257" s="148" t="s">
        <v>777</v>
      </c>
      <c r="O257" s="112"/>
      <c r="P257" s="112"/>
    </row>
    <row r="258" spans="1:18" x14ac:dyDescent="0.2">
      <c r="A258" s="18">
        <v>239</v>
      </c>
      <c r="B258" s="13" t="s">
        <v>436</v>
      </c>
      <c r="C258" s="13" t="s">
        <v>437</v>
      </c>
      <c r="D258" s="13">
        <v>1986</v>
      </c>
      <c r="E258" s="13">
        <v>1040</v>
      </c>
      <c r="F258" s="13">
        <v>68</v>
      </c>
      <c r="G258" s="13" t="s">
        <v>9</v>
      </c>
      <c r="H258" s="57" t="s">
        <v>702</v>
      </c>
      <c r="I258" s="57">
        <v>51.538127899999999</v>
      </c>
      <c r="J258" s="58">
        <v>36.891094199999998</v>
      </c>
      <c r="K258" s="72">
        <v>365</v>
      </c>
      <c r="L258" s="83"/>
      <c r="N258" s="148" t="s">
        <v>777</v>
      </c>
      <c r="O258" s="112"/>
      <c r="P258" s="112"/>
    </row>
    <row r="259" spans="1:18" ht="25.5" x14ac:dyDescent="0.2">
      <c r="A259" s="101">
        <v>240</v>
      </c>
      <c r="B259" s="102" t="s">
        <v>432</v>
      </c>
      <c r="C259" s="102" t="s">
        <v>438</v>
      </c>
      <c r="D259" s="102">
        <v>1986</v>
      </c>
      <c r="E259" s="102">
        <v>1010</v>
      </c>
      <c r="F259" s="102">
        <v>60</v>
      </c>
      <c r="G259" s="102" t="s">
        <v>127</v>
      </c>
      <c r="H259" s="103" t="s">
        <v>703</v>
      </c>
      <c r="I259" s="103">
        <v>51.408912700000002</v>
      </c>
      <c r="J259" s="104">
        <v>36.690658599999999</v>
      </c>
      <c r="K259" s="105">
        <v>366</v>
      </c>
      <c r="L259" s="106" t="s">
        <v>772</v>
      </c>
      <c r="N259" s="148" t="s">
        <v>777</v>
      </c>
      <c r="O259" s="112"/>
      <c r="P259" s="112"/>
    </row>
    <row r="260" spans="1:18" x14ac:dyDescent="0.2">
      <c r="A260" s="18">
        <v>241</v>
      </c>
      <c r="B260" s="13" t="s">
        <v>439</v>
      </c>
      <c r="C260" s="13" t="s">
        <v>440</v>
      </c>
      <c r="D260" s="13">
        <v>1950</v>
      </c>
      <c r="E260" s="13">
        <v>540</v>
      </c>
      <c r="F260" s="13">
        <v>36</v>
      </c>
      <c r="G260" s="13" t="s">
        <v>9</v>
      </c>
      <c r="H260" s="57" t="s">
        <v>704</v>
      </c>
      <c r="I260" s="57">
        <v>51.525287599999999</v>
      </c>
      <c r="J260" s="58">
        <v>36.941520699999998</v>
      </c>
      <c r="K260" s="72">
        <v>367</v>
      </c>
      <c r="L260" s="83"/>
      <c r="N260" s="148" t="s">
        <v>777</v>
      </c>
      <c r="O260" s="112"/>
      <c r="P260" s="112"/>
    </row>
    <row r="261" spans="1:18" x14ac:dyDescent="0.2">
      <c r="A261" s="18">
        <v>242</v>
      </c>
      <c r="B261" s="13" t="s">
        <v>441</v>
      </c>
      <c r="C261" s="13" t="s">
        <v>442</v>
      </c>
      <c r="D261" s="13">
        <v>1950</v>
      </c>
      <c r="E261" s="13">
        <v>540</v>
      </c>
      <c r="F261" s="13">
        <v>30</v>
      </c>
      <c r="G261" s="13" t="s">
        <v>127</v>
      </c>
      <c r="H261" s="57" t="s">
        <v>704</v>
      </c>
      <c r="I261" s="57">
        <v>51.352443700000002</v>
      </c>
      <c r="J261" s="58">
        <v>36.771881100000002</v>
      </c>
      <c r="K261" s="72">
        <v>368</v>
      </c>
      <c r="L261" s="83"/>
      <c r="N261" s="148" t="s">
        <v>777</v>
      </c>
      <c r="O261" s="112"/>
      <c r="P261" s="112"/>
    </row>
    <row r="262" spans="1:18" x14ac:dyDescent="0.2">
      <c r="A262" s="18">
        <v>243</v>
      </c>
      <c r="B262" s="13" t="s">
        <v>441</v>
      </c>
      <c r="C262" s="13" t="s">
        <v>443</v>
      </c>
      <c r="D262" s="13">
        <v>1960</v>
      </c>
      <c r="E262" s="13">
        <v>675</v>
      </c>
      <c r="F262" s="13">
        <v>22</v>
      </c>
      <c r="G262" s="13" t="s">
        <v>127</v>
      </c>
      <c r="H262" s="57" t="s">
        <v>704</v>
      </c>
      <c r="I262" s="57">
        <v>51.3483467</v>
      </c>
      <c r="J262" s="58">
        <v>36.749866500000003</v>
      </c>
      <c r="K262" s="72">
        <v>369</v>
      </c>
      <c r="L262" s="83"/>
      <c r="N262" s="148" t="s">
        <v>777</v>
      </c>
      <c r="O262" s="112"/>
      <c r="P262" s="112"/>
    </row>
    <row r="263" spans="1:18" x14ac:dyDescent="0.2">
      <c r="A263" s="18">
        <v>244</v>
      </c>
      <c r="B263" s="13" t="s">
        <v>444</v>
      </c>
      <c r="C263" s="13" t="s">
        <v>445</v>
      </c>
      <c r="D263" s="13">
        <v>1989</v>
      </c>
      <c r="E263" s="13">
        <v>800</v>
      </c>
      <c r="F263" s="13">
        <v>32</v>
      </c>
      <c r="G263" s="13" t="s">
        <v>9</v>
      </c>
      <c r="H263" s="57" t="s">
        <v>705</v>
      </c>
      <c r="I263" s="57">
        <v>51.4798355</v>
      </c>
      <c r="J263" s="58">
        <v>36.493675199999998</v>
      </c>
      <c r="K263" s="74">
        <v>370</v>
      </c>
      <c r="L263" s="83"/>
      <c r="N263" s="148" t="s">
        <v>777</v>
      </c>
      <c r="O263" s="112"/>
      <c r="P263" s="112"/>
    </row>
    <row r="264" spans="1:18" x14ac:dyDescent="0.2">
      <c r="A264" s="18">
        <v>245</v>
      </c>
      <c r="B264" s="13" t="s">
        <v>441</v>
      </c>
      <c r="C264" s="13" t="s">
        <v>446</v>
      </c>
      <c r="D264" s="13">
        <v>1950</v>
      </c>
      <c r="E264" s="13">
        <v>517</v>
      </c>
      <c r="F264" s="13">
        <v>32</v>
      </c>
      <c r="G264" s="13" t="s">
        <v>127</v>
      </c>
      <c r="H264" s="57" t="s">
        <v>704</v>
      </c>
      <c r="I264" s="57">
        <v>51.342735300000001</v>
      </c>
      <c r="J264" s="58">
        <v>36.730407700000001</v>
      </c>
      <c r="K264" s="72">
        <v>371</v>
      </c>
      <c r="L264" s="83"/>
      <c r="N264" s="148" t="s">
        <v>777</v>
      </c>
      <c r="O264" s="112"/>
      <c r="P264" s="112"/>
    </row>
    <row r="265" spans="1:18" x14ac:dyDescent="0.2">
      <c r="A265" s="18">
        <v>246</v>
      </c>
      <c r="B265" s="13" t="s">
        <v>447</v>
      </c>
      <c r="C265" s="13" t="s">
        <v>448</v>
      </c>
      <c r="D265" s="13">
        <v>1970</v>
      </c>
      <c r="E265" s="13">
        <v>324</v>
      </c>
      <c r="F265" s="13">
        <v>20</v>
      </c>
      <c r="G265" s="13" t="s">
        <v>9</v>
      </c>
      <c r="H265" s="57" t="s">
        <v>706</v>
      </c>
      <c r="I265" s="57">
        <v>51.384864800000003</v>
      </c>
      <c r="J265" s="58">
        <v>36.685115799999998</v>
      </c>
      <c r="K265" s="72">
        <v>372</v>
      </c>
      <c r="L265" s="83"/>
      <c r="N265" s="148" t="s">
        <v>777</v>
      </c>
      <c r="O265" s="112"/>
      <c r="P265" s="112"/>
    </row>
    <row r="266" spans="1:18" ht="15.75" x14ac:dyDescent="0.25">
      <c r="A266" s="110">
        <v>247</v>
      </c>
      <c r="B266" s="36" t="s">
        <v>432</v>
      </c>
      <c r="C266" s="36" t="s">
        <v>449</v>
      </c>
      <c r="D266" s="36">
        <v>1953</v>
      </c>
      <c r="E266" s="36">
        <v>126</v>
      </c>
      <c r="F266" s="36">
        <v>8</v>
      </c>
      <c r="G266" s="36" t="s">
        <v>9</v>
      </c>
      <c r="H266" s="57" t="s">
        <v>704</v>
      </c>
      <c r="I266" s="157" t="s">
        <v>1156</v>
      </c>
      <c r="J266" s="58" t="s">
        <v>1157</v>
      </c>
      <c r="K266" s="73">
        <v>373</v>
      </c>
      <c r="L266" s="81" t="s">
        <v>765</v>
      </c>
      <c r="N266" s="148" t="s">
        <v>777</v>
      </c>
      <c r="O266" s="112"/>
      <c r="P266" s="112"/>
      <c r="Q266" s="173" t="s">
        <v>1185</v>
      </c>
      <c r="R266" s="172"/>
    </row>
    <row r="267" spans="1:18" ht="15.75" x14ac:dyDescent="0.25">
      <c r="A267" s="18">
        <v>248</v>
      </c>
      <c r="B267" s="13" t="s">
        <v>50</v>
      </c>
      <c r="C267" s="13" t="s">
        <v>450</v>
      </c>
      <c r="D267" s="13">
        <v>1972</v>
      </c>
      <c r="E267" s="13">
        <v>180</v>
      </c>
      <c r="F267" s="13">
        <v>12</v>
      </c>
      <c r="G267" s="13" t="s">
        <v>117</v>
      </c>
      <c r="H267" s="57" t="s">
        <v>707</v>
      </c>
      <c r="I267" s="57">
        <v>51.346218100000002</v>
      </c>
      <c r="J267" s="58">
        <v>36.586414300000001</v>
      </c>
      <c r="K267" s="72">
        <v>374</v>
      </c>
      <c r="L267" s="83"/>
      <c r="N267" s="148" t="s">
        <v>777</v>
      </c>
      <c r="O267" s="112"/>
      <c r="P267" s="112"/>
      <c r="Q267" s="173" t="s">
        <v>1185</v>
      </c>
    </row>
    <row r="268" spans="1:18" x14ac:dyDescent="0.2">
      <c r="A268" s="18">
        <v>249</v>
      </c>
      <c r="B268" s="13" t="s">
        <v>451</v>
      </c>
      <c r="C268" s="13" t="s">
        <v>452</v>
      </c>
      <c r="D268" s="13">
        <v>1970</v>
      </c>
      <c r="E268" s="13">
        <v>180</v>
      </c>
      <c r="F268" s="13">
        <v>18</v>
      </c>
      <c r="G268" s="13" t="s">
        <v>117</v>
      </c>
      <c r="H268" s="57" t="s">
        <v>708</v>
      </c>
      <c r="I268" s="57">
        <v>51.435516999999997</v>
      </c>
      <c r="J268" s="58">
        <v>36.462999000000003</v>
      </c>
      <c r="K268" s="74">
        <v>375</v>
      </c>
      <c r="L268" s="81" t="s">
        <v>765</v>
      </c>
      <c r="N268" s="148" t="s">
        <v>777</v>
      </c>
      <c r="O268" s="112"/>
      <c r="P268" s="112"/>
    </row>
    <row r="269" spans="1:18" ht="33.75" customHeight="1" x14ac:dyDescent="0.2">
      <c r="A269" s="101">
        <v>250</v>
      </c>
      <c r="B269" s="102" t="s">
        <v>434</v>
      </c>
      <c r="C269" s="102" t="s">
        <v>424</v>
      </c>
      <c r="D269" s="102">
        <v>1951</v>
      </c>
      <c r="E269" s="102">
        <v>450</v>
      </c>
      <c r="F269" s="102">
        <v>36</v>
      </c>
      <c r="G269" s="102" t="s">
        <v>20</v>
      </c>
      <c r="H269" s="103" t="s">
        <v>704</v>
      </c>
      <c r="I269" s="103" t="s">
        <v>709</v>
      </c>
      <c r="J269" s="104" t="s">
        <v>710</v>
      </c>
      <c r="K269" s="105">
        <v>376</v>
      </c>
      <c r="L269" s="106" t="s">
        <v>773</v>
      </c>
      <c r="N269" s="148" t="s">
        <v>777</v>
      </c>
      <c r="O269" s="112"/>
      <c r="P269" s="112"/>
    </row>
    <row r="270" spans="1:18" ht="15.75" thickBot="1" x14ac:dyDescent="0.25">
      <c r="A270" s="97">
        <v>251</v>
      </c>
      <c r="B270" s="98" t="s">
        <v>453</v>
      </c>
      <c r="C270" s="98" t="s">
        <v>454</v>
      </c>
      <c r="D270" s="98" t="s">
        <v>27</v>
      </c>
      <c r="E270" s="98">
        <v>126</v>
      </c>
      <c r="F270" s="98">
        <v>3</v>
      </c>
      <c r="G270" s="98" t="s">
        <v>117</v>
      </c>
      <c r="H270" s="107" t="s">
        <v>711</v>
      </c>
      <c r="I270" s="107" t="s">
        <v>712</v>
      </c>
      <c r="J270" s="108" t="s">
        <v>713</v>
      </c>
      <c r="K270" s="94">
        <v>377</v>
      </c>
      <c r="L270" s="81" t="s">
        <v>765</v>
      </c>
      <c r="M270" s="1" t="s">
        <v>777</v>
      </c>
      <c r="N270" s="148" t="s">
        <v>777</v>
      </c>
      <c r="O270" s="112"/>
      <c r="P270" s="112"/>
    </row>
    <row r="271" spans="1:18" ht="15.75" thickBot="1" x14ac:dyDescent="0.25">
      <c r="A271" s="193" t="s">
        <v>455</v>
      </c>
      <c r="B271" s="194"/>
      <c r="C271" s="194"/>
      <c r="D271" s="194"/>
      <c r="E271" s="194"/>
      <c r="F271" s="194"/>
      <c r="G271" s="194"/>
      <c r="H271" s="194"/>
      <c r="I271" s="194"/>
      <c r="J271" s="194"/>
      <c r="K271" s="67"/>
      <c r="L271" s="83"/>
      <c r="N271" s="112"/>
      <c r="O271" s="112"/>
      <c r="P271" s="112"/>
    </row>
    <row r="272" spans="1:18" x14ac:dyDescent="0.2">
      <c r="A272" s="18">
        <v>252</v>
      </c>
      <c r="B272" s="18" t="s">
        <v>456</v>
      </c>
      <c r="C272" s="18" t="s">
        <v>457</v>
      </c>
      <c r="D272" s="18">
        <v>1980</v>
      </c>
      <c r="E272" s="18">
        <v>1281</v>
      </c>
      <c r="F272" s="18">
        <v>56</v>
      </c>
      <c r="G272" s="18" t="s">
        <v>9</v>
      </c>
      <c r="H272" s="32" t="s">
        <v>714</v>
      </c>
      <c r="I272" s="32">
        <v>51.6795349</v>
      </c>
      <c r="J272" s="53">
        <v>37.014575999999998</v>
      </c>
      <c r="K272" s="72">
        <v>397</v>
      </c>
      <c r="L272" s="83"/>
      <c r="N272" s="148" t="s">
        <v>777</v>
      </c>
      <c r="O272" s="112"/>
      <c r="P272" s="112"/>
    </row>
    <row r="273" spans="1:16" x14ac:dyDescent="0.2">
      <c r="A273" s="18">
        <v>253</v>
      </c>
      <c r="B273" s="13" t="s">
        <v>458</v>
      </c>
      <c r="C273" s="13" t="s">
        <v>459</v>
      </c>
      <c r="D273" s="13">
        <v>1983</v>
      </c>
      <c r="E273" s="13">
        <v>1820</v>
      </c>
      <c r="F273" s="13">
        <v>76</v>
      </c>
      <c r="G273" s="13" t="s">
        <v>127</v>
      </c>
      <c r="H273" s="32" t="s">
        <v>715</v>
      </c>
      <c r="I273" s="32">
        <v>51.602127099999997</v>
      </c>
      <c r="J273" s="53">
        <v>37.255729700000003</v>
      </c>
      <c r="K273" s="72">
        <v>398</v>
      </c>
      <c r="L273" s="83"/>
      <c r="N273" s="148" t="s">
        <v>777</v>
      </c>
      <c r="O273" s="112"/>
      <c r="P273" s="112"/>
    </row>
    <row r="274" spans="1:16" x14ac:dyDescent="0.2">
      <c r="A274" s="18">
        <v>254</v>
      </c>
      <c r="B274" s="13" t="s">
        <v>458</v>
      </c>
      <c r="C274" s="13" t="s">
        <v>459</v>
      </c>
      <c r="D274" s="13">
        <v>1955</v>
      </c>
      <c r="E274" s="13">
        <v>760</v>
      </c>
      <c r="F274" s="13">
        <v>32</v>
      </c>
      <c r="G274" s="13" t="s">
        <v>9</v>
      </c>
      <c r="H274" s="32" t="s">
        <v>715</v>
      </c>
      <c r="I274" s="32">
        <v>51.598178900000001</v>
      </c>
      <c r="J274" s="53">
        <v>37.262756299999999</v>
      </c>
      <c r="K274" s="72">
        <v>399</v>
      </c>
      <c r="L274" s="83"/>
      <c r="N274" s="148" t="s">
        <v>777</v>
      </c>
      <c r="O274" s="112"/>
      <c r="P274" s="112"/>
    </row>
    <row r="275" spans="1:16" x14ac:dyDescent="0.2">
      <c r="A275" s="18">
        <v>255</v>
      </c>
      <c r="B275" s="13" t="s">
        <v>460</v>
      </c>
      <c r="C275" s="13" t="s">
        <v>461</v>
      </c>
      <c r="D275" s="13">
        <v>1988</v>
      </c>
      <c r="E275" s="13">
        <v>1200</v>
      </c>
      <c r="F275" s="13">
        <v>45</v>
      </c>
      <c r="G275" s="13" t="s">
        <v>127</v>
      </c>
      <c r="H275" s="32" t="s">
        <v>716</v>
      </c>
      <c r="I275" s="32">
        <v>51.666519200000003</v>
      </c>
      <c r="J275" s="53">
        <v>37.171073900000003</v>
      </c>
      <c r="K275" s="72">
        <v>400</v>
      </c>
      <c r="L275" s="83"/>
      <c r="N275" s="148" t="s">
        <v>777</v>
      </c>
      <c r="O275" s="112"/>
      <c r="P275" s="112"/>
    </row>
    <row r="276" spans="1:16" x14ac:dyDescent="0.2">
      <c r="A276" s="18">
        <v>256</v>
      </c>
      <c r="B276" s="13" t="s">
        <v>101</v>
      </c>
      <c r="C276" s="13" t="s">
        <v>462</v>
      </c>
      <c r="D276" s="13">
        <v>1995</v>
      </c>
      <c r="E276" s="13">
        <v>538</v>
      </c>
      <c r="F276" s="13">
        <v>20</v>
      </c>
      <c r="G276" s="13" t="s">
        <v>11</v>
      </c>
      <c r="H276" s="32" t="s">
        <v>717</v>
      </c>
      <c r="I276" s="32">
        <v>51.695076</v>
      </c>
      <c r="J276" s="53">
        <v>37.208324400000002</v>
      </c>
      <c r="K276" s="72">
        <v>401</v>
      </c>
      <c r="L276" s="83"/>
      <c r="N276" s="148" t="s">
        <v>777</v>
      </c>
      <c r="O276" s="112"/>
      <c r="P276" s="112"/>
    </row>
    <row r="277" spans="1:16" x14ac:dyDescent="0.2">
      <c r="A277" s="18">
        <v>257</v>
      </c>
      <c r="B277" s="13" t="s">
        <v>195</v>
      </c>
      <c r="C277" s="13" t="s">
        <v>463</v>
      </c>
      <c r="D277" s="13" t="s">
        <v>27</v>
      </c>
      <c r="E277" s="13">
        <v>250</v>
      </c>
      <c r="F277" s="13">
        <v>20</v>
      </c>
      <c r="G277" s="13" t="s">
        <v>9</v>
      </c>
      <c r="H277" s="32" t="s">
        <v>718</v>
      </c>
      <c r="I277" s="32">
        <v>51.681594799999999</v>
      </c>
      <c r="J277" s="53">
        <v>37.150344799999999</v>
      </c>
      <c r="K277" s="72">
        <v>402</v>
      </c>
      <c r="L277" s="83"/>
      <c r="N277" s="148" t="s">
        <v>777</v>
      </c>
      <c r="O277" s="112"/>
      <c r="P277" s="112"/>
    </row>
    <row r="278" spans="1:16" x14ac:dyDescent="0.2">
      <c r="A278" s="18">
        <v>258</v>
      </c>
      <c r="B278" s="13" t="s">
        <v>629</v>
      </c>
      <c r="C278" s="13" t="s">
        <v>464</v>
      </c>
      <c r="D278" s="13" t="s">
        <v>27</v>
      </c>
      <c r="E278" s="13">
        <v>330</v>
      </c>
      <c r="F278" s="13">
        <v>30</v>
      </c>
      <c r="G278" s="13" t="s">
        <v>127</v>
      </c>
      <c r="H278" s="32" t="s">
        <v>719</v>
      </c>
      <c r="I278" s="32">
        <v>51.593227400000004</v>
      </c>
      <c r="J278" s="53">
        <v>37.442520100000003</v>
      </c>
      <c r="K278" s="72">
        <v>403</v>
      </c>
      <c r="L278" s="83"/>
      <c r="N278" s="148" t="s">
        <v>777</v>
      </c>
      <c r="O278" s="112"/>
      <c r="P278" s="112"/>
    </row>
    <row r="279" spans="1:16" x14ac:dyDescent="0.2">
      <c r="A279" s="18">
        <v>259</v>
      </c>
      <c r="B279" s="13" t="s">
        <v>456</v>
      </c>
      <c r="C279" s="13" t="s">
        <v>465</v>
      </c>
      <c r="D279" s="13">
        <v>1971</v>
      </c>
      <c r="E279" s="13">
        <v>180</v>
      </c>
      <c r="F279" s="13">
        <v>13</v>
      </c>
      <c r="G279" s="13" t="s">
        <v>127</v>
      </c>
      <c r="H279" s="32" t="s">
        <v>720</v>
      </c>
      <c r="I279" s="32">
        <v>51.689495100000002</v>
      </c>
      <c r="J279" s="53">
        <v>36.991722099999997</v>
      </c>
      <c r="K279" s="72">
        <v>406</v>
      </c>
      <c r="L279" s="83"/>
      <c r="N279" s="148" t="s">
        <v>777</v>
      </c>
      <c r="O279" s="112"/>
      <c r="P279" s="112"/>
    </row>
    <row r="280" spans="1:16" x14ac:dyDescent="0.2">
      <c r="A280" s="18">
        <v>260</v>
      </c>
      <c r="B280" s="13" t="s">
        <v>466</v>
      </c>
      <c r="C280" s="13" t="s">
        <v>467</v>
      </c>
      <c r="D280" s="13" t="s">
        <v>27</v>
      </c>
      <c r="E280" s="13">
        <v>370</v>
      </c>
      <c r="F280" s="13">
        <v>40</v>
      </c>
      <c r="G280" s="13" t="s">
        <v>127</v>
      </c>
      <c r="H280" s="32" t="s">
        <v>721</v>
      </c>
      <c r="I280" s="32">
        <v>51.726547199999999</v>
      </c>
      <c r="J280" s="53">
        <v>37.1611786</v>
      </c>
      <c r="K280" s="72">
        <v>407</v>
      </c>
      <c r="L280" s="83"/>
      <c r="N280" s="148" t="s">
        <v>777</v>
      </c>
      <c r="O280" s="112"/>
      <c r="P280" s="112"/>
    </row>
    <row r="281" spans="1:16" ht="15.75" thickBot="1" x14ac:dyDescent="0.25">
      <c r="A281" s="18">
        <v>261</v>
      </c>
      <c r="B281" s="14" t="s">
        <v>468</v>
      </c>
      <c r="C281" s="14" t="s">
        <v>469</v>
      </c>
      <c r="D281" s="14" t="s">
        <v>27</v>
      </c>
      <c r="E281" s="14" t="s">
        <v>27</v>
      </c>
      <c r="F281" s="14" t="s">
        <v>27</v>
      </c>
      <c r="G281" s="14" t="s">
        <v>127</v>
      </c>
      <c r="H281" s="38" t="s">
        <v>722</v>
      </c>
      <c r="I281" s="38">
        <v>51.692184400000002</v>
      </c>
      <c r="J281" s="55">
        <v>37.427429199999999</v>
      </c>
      <c r="K281" s="72">
        <v>408</v>
      </c>
      <c r="L281" s="83"/>
      <c r="N281" s="148" t="s">
        <v>777</v>
      </c>
      <c r="O281" s="112"/>
      <c r="P281" s="112"/>
    </row>
    <row r="282" spans="1:16" ht="15.75" thickBot="1" x14ac:dyDescent="0.25">
      <c r="A282" s="209" t="s">
        <v>470</v>
      </c>
      <c r="B282" s="210"/>
      <c r="C282" s="210"/>
      <c r="D282" s="210"/>
      <c r="E282" s="210"/>
      <c r="F282" s="210"/>
      <c r="G282" s="210"/>
      <c r="H282" s="210"/>
      <c r="I282" s="210"/>
      <c r="J282" s="210"/>
      <c r="K282" s="67"/>
      <c r="L282" s="83"/>
      <c r="N282" s="112"/>
      <c r="O282" s="112"/>
      <c r="P282" s="112"/>
    </row>
    <row r="283" spans="1:16" x14ac:dyDescent="0.2">
      <c r="A283" s="18">
        <v>262</v>
      </c>
      <c r="B283" s="18" t="s">
        <v>471</v>
      </c>
      <c r="C283" s="18" t="s">
        <v>472</v>
      </c>
      <c r="D283" s="18">
        <v>1980</v>
      </c>
      <c r="E283" s="18">
        <v>2950</v>
      </c>
      <c r="F283" s="18">
        <v>122</v>
      </c>
      <c r="G283" s="18" t="s">
        <v>20</v>
      </c>
      <c r="H283" s="122" t="s">
        <v>723</v>
      </c>
      <c r="I283" s="32">
        <v>52.050106</v>
      </c>
      <c r="J283" s="53">
        <v>35.8455315</v>
      </c>
      <c r="K283" s="72">
        <v>409</v>
      </c>
      <c r="L283" s="83"/>
      <c r="N283" s="148" t="s">
        <v>777</v>
      </c>
      <c r="O283" s="148" t="s">
        <v>777</v>
      </c>
      <c r="P283" s="148" t="s">
        <v>777</v>
      </c>
    </row>
    <row r="284" spans="1:16" x14ac:dyDescent="0.2">
      <c r="A284" s="18">
        <v>263</v>
      </c>
      <c r="B284" s="13" t="s">
        <v>473</v>
      </c>
      <c r="C284" s="13" t="s">
        <v>474</v>
      </c>
      <c r="D284" s="13">
        <v>1981</v>
      </c>
      <c r="E284" s="13">
        <v>1290</v>
      </c>
      <c r="F284" s="13">
        <v>35</v>
      </c>
      <c r="G284" s="13" t="s">
        <v>9</v>
      </c>
      <c r="H284" s="122" t="s">
        <v>724</v>
      </c>
      <c r="I284" s="32">
        <v>52.183799700000002</v>
      </c>
      <c r="J284" s="53">
        <v>35.873020199999999</v>
      </c>
      <c r="K284" s="72">
        <v>410</v>
      </c>
      <c r="L284" s="83"/>
      <c r="N284" s="148" t="s">
        <v>777</v>
      </c>
      <c r="O284" s="148" t="s">
        <v>777</v>
      </c>
      <c r="P284" s="148" t="s">
        <v>777</v>
      </c>
    </row>
    <row r="285" spans="1:16" x14ac:dyDescent="0.2">
      <c r="A285" s="18">
        <v>264</v>
      </c>
      <c r="B285" s="13" t="s">
        <v>475</v>
      </c>
      <c r="C285" s="13" t="s">
        <v>476</v>
      </c>
      <c r="D285" s="13">
        <v>1978</v>
      </c>
      <c r="E285" s="13">
        <v>1420</v>
      </c>
      <c r="F285" s="13">
        <v>45</v>
      </c>
      <c r="G285" s="13" t="s">
        <v>9</v>
      </c>
      <c r="H285" s="122" t="s">
        <v>725</v>
      </c>
      <c r="I285" s="32">
        <v>52.075553900000003</v>
      </c>
      <c r="J285" s="53">
        <v>35.898326900000001</v>
      </c>
      <c r="K285" s="72">
        <v>411</v>
      </c>
      <c r="L285" s="83"/>
      <c r="N285" s="148" t="s">
        <v>777</v>
      </c>
      <c r="O285" s="148" t="s">
        <v>777</v>
      </c>
      <c r="P285" s="148" t="s">
        <v>777</v>
      </c>
    </row>
    <row r="286" spans="1:16" x14ac:dyDescent="0.2">
      <c r="A286" s="18">
        <v>265</v>
      </c>
      <c r="B286" s="13" t="s">
        <v>477</v>
      </c>
      <c r="C286" s="13" t="s">
        <v>478</v>
      </c>
      <c r="D286" s="13">
        <v>1979</v>
      </c>
      <c r="E286" s="13">
        <v>1330</v>
      </c>
      <c r="F286" s="13">
        <v>52</v>
      </c>
      <c r="G286" s="13" t="s">
        <v>9</v>
      </c>
      <c r="H286" s="122" t="s">
        <v>726</v>
      </c>
      <c r="I286" s="33">
        <v>52.175113699999997</v>
      </c>
      <c r="J286" s="61">
        <v>35.981948899999999</v>
      </c>
      <c r="K286" s="72">
        <v>412</v>
      </c>
      <c r="L286" s="83"/>
      <c r="N286" s="148" t="s">
        <v>777</v>
      </c>
      <c r="O286" s="112"/>
      <c r="P286" s="112"/>
    </row>
    <row r="287" spans="1:16" x14ac:dyDescent="0.2">
      <c r="A287" s="18">
        <v>266</v>
      </c>
      <c r="B287" s="13" t="s">
        <v>479</v>
      </c>
      <c r="C287" s="13" t="s">
        <v>480</v>
      </c>
      <c r="D287" s="13">
        <v>1980</v>
      </c>
      <c r="E287" s="13">
        <v>1950</v>
      </c>
      <c r="F287" s="13">
        <v>88</v>
      </c>
      <c r="G287" s="13" t="s">
        <v>20</v>
      </c>
      <c r="H287" s="122" t="s">
        <v>727</v>
      </c>
      <c r="I287" s="33">
        <v>51.975124399999999</v>
      </c>
      <c r="J287" s="61">
        <v>35.7545395</v>
      </c>
      <c r="K287" s="72">
        <v>413</v>
      </c>
      <c r="L287" s="83"/>
      <c r="N287" s="148" t="s">
        <v>777</v>
      </c>
      <c r="O287" s="148" t="s">
        <v>777</v>
      </c>
      <c r="P287" s="148" t="s">
        <v>777</v>
      </c>
    </row>
    <row r="288" spans="1:16" x14ac:dyDescent="0.2">
      <c r="A288" s="18">
        <v>267</v>
      </c>
      <c r="B288" s="13" t="s">
        <v>481</v>
      </c>
      <c r="C288" s="13" t="s">
        <v>482</v>
      </c>
      <c r="D288" s="13">
        <v>1981</v>
      </c>
      <c r="E288" s="13">
        <v>2500</v>
      </c>
      <c r="F288" s="13">
        <v>120</v>
      </c>
      <c r="G288" s="13" t="s">
        <v>9</v>
      </c>
      <c r="H288" s="122" t="s">
        <v>728</v>
      </c>
      <c r="I288" s="33">
        <v>52.194088000000001</v>
      </c>
      <c r="J288" s="61">
        <v>35.758361800000003</v>
      </c>
      <c r="K288" s="72">
        <v>414</v>
      </c>
      <c r="L288" s="83"/>
      <c r="N288" s="148" t="s">
        <v>777</v>
      </c>
      <c r="O288" s="148" t="s">
        <v>777</v>
      </c>
      <c r="P288" s="148" t="s">
        <v>777</v>
      </c>
    </row>
    <row r="289" spans="1:16" x14ac:dyDescent="0.2">
      <c r="A289" s="88">
        <v>268</v>
      </c>
      <c r="B289" s="86" t="s">
        <v>483</v>
      </c>
      <c r="C289" s="86" t="s">
        <v>484</v>
      </c>
      <c r="D289" s="86">
        <v>1982</v>
      </c>
      <c r="E289" s="86">
        <v>920</v>
      </c>
      <c r="F289" s="86">
        <v>33</v>
      </c>
      <c r="G289" s="86" t="s">
        <v>20</v>
      </c>
      <c r="H289" s="122" t="s">
        <v>729</v>
      </c>
      <c r="I289" s="92" t="s">
        <v>730</v>
      </c>
      <c r="J289" s="93" t="s">
        <v>731</v>
      </c>
      <c r="K289" s="94">
        <v>415</v>
      </c>
      <c r="L289" s="81" t="s">
        <v>765</v>
      </c>
      <c r="M289" s="1" t="s">
        <v>777</v>
      </c>
      <c r="N289" s="148" t="s">
        <v>777</v>
      </c>
      <c r="O289" s="148" t="s">
        <v>777</v>
      </c>
      <c r="P289" s="148" t="s">
        <v>777</v>
      </c>
    </row>
    <row r="290" spans="1:16" x14ac:dyDescent="0.2">
      <c r="A290" s="18">
        <v>269</v>
      </c>
      <c r="B290" s="13" t="s">
        <v>195</v>
      </c>
      <c r="C290" s="13" t="s">
        <v>485</v>
      </c>
      <c r="D290" s="13">
        <v>1958</v>
      </c>
      <c r="E290" s="13">
        <v>449</v>
      </c>
      <c r="F290" s="13">
        <v>13</v>
      </c>
      <c r="G290" s="13" t="s">
        <v>9</v>
      </c>
      <c r="H290" s="122" t="s">
        <v>732</v>
      </c>
      <c r="I290" s="33">
        <v>52.0604248</v>
      </c>
      <c r="J290" s="61">
        <v>36.066699999999997</v>
      </c>
      <c r="K290" s="72">
        <v>416</v>
      </c>
      <c r="L290" s="83"/>
      <c r="N290" s="148" t="s">
        <v>777</v>
      </c>
      <c r="O290" s="148" t="s">
        <v>777</v>
      </c>
      <c r="P290" s="148" t="s">
        <v>777</v>
      </c>
    </row>
    <row r="291" spans="1:16" x14ac:dyDescent="0.2">
      <c r="A291" s="18">
        <v>270</v>
      </c>
      <c r="B291" s="13" t="s">
        <v>486</v>
      </c>
      <c r="C291" s="13" t="s">
        <v>487</v>
      </c>
      <c r="D291" s="13">
        <v>1949</v>
      </c>
      <c r="E291" s="13">
        <v>132</v>
      </c>
      <c r="F291" s="13">
        <v>4</v>
      </c>
      <c r="G291" s="13" t="s">
        <v>9</v>
      </c>
      <c r="H291" s="122" t="s">
        <v>732</v>
      </c>
      <c r="I291" s="32">
        <v>52.085330999999996</v>
      </c>
      <c r="J291" s="53">
        <v>35.992420199999998</v>
      </c>
      <c r="K291" s="72">
        <v>417</v>
      </c>
      <c r="L291" s="83"/>
      <c r="N291" s="148" t="s">
        <v>777</v>
      </c>
      <c r="O291" s="148" t="s">
        <v>777</v>
      </c>
      <c r="P291" s="148" t="s">
        <v>777</v>
      </c>
    </row>
    <row r="292" spans="1:16" x14ac:dyDescent="0.2">
      <c r="A292" s="34">
        <v>271</v>
      </c>
      <c r="B292" s="40" t="s">
        <v>56</v>
      </c>
      <c r="C292" s="40" t="s">
        <v>488</v>
      </c>
      <c r="D292" s="40" t="s">
        <v>27</v>
      </c>
      <c r="E292" s="40">
        <v>70</v>
      </c>
      <c r="F292" s="40">
        <v>2.2999999999999998</v>
      </c>
      <c r="G292" s="40" t="s">
        <v>127</v>
      </c>
      <c r="H292" s="122" t="s">
        <v>586</v>
      </c>
      <c r="I292" s="26" t="s">
        <v>782</v>
      </c>
      <c r="J292" s="54" t="s">
        <v>783</v>
      </c>
      <c r="K292" s="66" t="s">
        <v>561</v>
      </c>
      <c r="L292" s="83"/>
      <c r="M292" s="1" t="s">
        <v>777</v>
      </c>
      <c r="N292" s="148" t="s">
        <v>777</v>
      </c>
      <c r="O292" s="148" t="s">
        <v>777</v>
      </c>
      <c r="P292" s="148" t="s">
        <v>777</v>
      </c>
    </row>
    <row r="293" spans="1:16" x14ac:dyDescent="0.2">
      <c r="A293" s="18">
        <v>272</v>
      </c>
      <c r="B293" s="13" t="s">
        <v>489</v>
      </c>
      <c r="C293" s="13" t="s">
        <v>490</v>
      </c>
      <c r="D293" s="13">
        <v>1975</v>
      </c>
      <c r="E293" s="13">
        <v>343</v>
      </c>
      <c r="F293" s="13">
        <v>20</v>
      </c>
      <c r="G293" s="13" t="s">
        <v>127</v>
      </c>
      <c r="H293" s="122" t="s">
        <v>733</v>
      </c>
      <c r="I293" s="33">
        <v>52.0948639</v>
      </c>
      <c r="J293" s="61">
        <v>35.862957000000002</v>
      </c>
      <c r="K293" s="72">
        <v>418</v>
      </c>
      <c r="L293" s="83"/>
      <c r="N293" s="148" t="s">
        <v>777</v>
      </c>
      <c r="O293" s="148" t="s">
        <v>777</v>
      </c>
      <c r="P293" s="148" t="s">
        <v>777</v>
      </c>
    </row>
    <row r="294" spans="1:16" x14ac:dyDescent="0.2">
      <c r="A294" s="88">
        <v>273</v>
      </c>
      <c r="B294" s="86" t="s">
        <v>195</v>
      </c>
      <c r="C294" s="86" t="s">
        <v>491</v>
      </c>
      <c r="D294" s="86">
        <v>1951</v>
      </c>
      <c r="E294" s="86">
        <v>180</v>
      </c>
      <c r="F294" s="86">
        <v>12</v>
      </c>
      <c r="G294" s="86" t="s">
        <v>117</v>
      </c>
      <c r="H294" s="122" t="s">
        <v>1137</v>
      </c>
      <c r="I294" s="92" t="s">
        <v>734</v>
      </c>
      <c r="J294" s="93" t="s">
        <v>735</v>
      </c>
      <c r="K294" s="94">
        <v>419</v>
      </c>
      <c r="L294" s="81" t="s">
        <v>765</v>
      </c>
      <c r="M294" s="1" t="s">
        <v>777</v>
      </c>
      <c r="N294" s="148" t="s">
        <v>777</v>
      </c>
      <c r="O294" s="148" t="s">
        <v>777</v>
      </c>
      <c r="P294" s="148" t="s">
        <v>777</v>
      </c>
    </row>
    <row r="295" spans="1:16" ht="15.75" thickBot="1" x14ac:dyDescent="0.25">
      <c r="A295" s="35">
        <v>274</v>
      </c>
      <c r="B295" s="14" t="s">
        <v>492</v>
      </c>
      <c r="C295" s="14" t="s">
        <v>493</v>
      </c>
      <c r="D295" s="14">
        <v>1951</v>
      </c>
      <c r="E295" s="14">
        <v>400</v>
      </c>
      <c r="F295" s="14">
        <v>20</v>
      </c>
      <c r="G295" s="14" t="s">
        <v>9</v>
      </c>
      <c r="H295" s="122" t="s">
        <v>1137</v>
      </c>
      <c r="I295" s="62">
        <v>52.223674799999998</v>
      </c>
      <c r="J295" s="63">
        <v>35.864463800000003</v>
      </c>
      <c r="K295" s="72">
        <v>420</v>
      </c>
      <c r="L295" s="83"/>
      <c r="N295" s="148" t="s">
        <v>777</v>
      </c>
      <c r="O295" s="148" t="s">
        <v>777</v>
      </c>
      <c r="P295" s="148" t="s">
        <v>777</v>
      </c>
    </row>
    <row r="296" spans="1:16" ht="15.75" thickBot="1" x14ac:dyDescent="0.25">
      <c r="A296" s="193" t="s">
        <v>494</v>
      </c>
      <c r="B296" s="194"/>
      <c r="C296" s="194"/>
      <c r="D296" s="194"/>
      <c r="E296" s="194"/>
      <c r="F296" s="194"/>
      <c r="G296" s="194"/>
      <c r="H296" s="194"/>
      <c r="I296" s="194"/>
      <c r="J296" s="194"/>
      <c r="K296" s="67"/>
      <c r="L296" s="83"/>
      <c r="N296" s="112"/>
      <c r="O296" s="112"/>
      <c r="P296" s="112"/>
    </row>
    <row r="297" spans="1:16" ht="30" x14ac:dyDescent="0.2">
      <c r="A297" s="18">
        <v>275</v>
      </c>
      <c r="B297" s="18" t="s">
        <v>495</v>
      </c>
      <c r="C297" s="18" t="s">
        <v>496</v>
      </c>
      <c r="D297" s="18">
        <v>1975</v>
      </c>
      <c r="E297" s="18">
        <v>560</v>
      </c>
      <c r="F297" s="18">
        <v>14</v>
      </c>
      <c r="G297" s="18" t="s">
        <v>9</v>
      </c>
      <c r="H297" s="33" t="s">
        <v>736</v>
      </c>
      <c r="I297" s="33">
        <v>52.046955099999998</v>
      </c>
      <c r="J297" s="61">
        <v>37.006298100000002</v>
      </c>
      <c r="K297" s="72">
        <v>431</v>
      </c>
      <c r="L297" s="83"/>
      <c r="N297" s="148" t="s">
        <v>777</v>
      </c>
      <c r="O297" s="112"/>
      <c r="P297" s="112"/>
    </row>
    <row r="298" spans="1:16" ht="25.5" x14ac:dyDescent="0.2">
      <c r="A298" s="88">
        <v>276</v>
      </c>
      <c r="B298" s="86" t="s">
        <v>497</v>
      </c>
      <c r="C298" s="86" t="s">
        <v>498</v>
      </c>
      <c r="D298" s="86">
        <v>1977</v>
      </c>
      <c r="E298" s="86">
        <v>860</v>
      </c>
      <c r="F298" s="86">
        <v>24</v>
      </c>
      <c r="G298" s="86" t="s">
        <v>9</v>
      </c>
      <c r="H298" s="92" t="s">
        <v>737</v>
      </c>
      <c r="I298" s="92">
        <v>51.910110500000002</v>
      </c>
      <c r="J298" s="93">
        <v>37.227356</v>
      </c>
      <c r="K298" s="94">
        <v>432</v>
      </c>
      <c r="L298" s="81" t="s">
        <v>774</v>
      </c>
      <c r="M298" s="1" t="s">
        <v>777</v>
      </c>
      <c r="N298" s="148" t="s">
        <v>777</v>
      </c>
      <c r="O298" s="112"/>
      <c r="P298" s="112"/>
    </row>
    <row r="299" spans="1:16" ht="30" x14ac:dyDescent="0.2">
      <c r="A299" s="88">
        <v>277</v>
      </c>
      <c r="B299" s="86" t="s">
        <v>499</v>
      </c>
      <c r="C299" s="86" t="s">
        <v>500</v>
      </c>
      <c r="D299" s="86" t="s">
        <v>27</v>
      </c>
      <c r="E299" s="86">
        <v>375</v>
      </c>
      <c r="F299" s="86">
        <v>12</v>
      </c>
      <c r="G299" s="86" t="s">
        <v>9</v>
      </c>
      <c r="H299" s="92" t="s">
        <v>736</v>
      </c>
      <c r="I299" s="92" t="s">
        <v>738</v>
      </c>
      <c r="J299" s="93" t="s">
        <v>739</v>
      </c>
      <c r="K299" s="94">
        <v>433</v>
      </c>
      <c r="L299" s="81" t="s">
        <v>765</v>
      </c>
      <c r="M299" s="1" t="s">
        <v>777</v>
      </c>
      <c r="N299" s="148" t="s">
        <v>777</v>
      </c>
      <c r="O299" s="112"/>
      <c r="P299" s="112"/>
    </row>
    <row r="300" spans="1:16" ht="30" x14ac:dyDescent="0.2">
      <c r="A300" s="18">
        <v>278</v>
      </c>
      <c r="B300" s="13" t="s">
        <v>501</v>
      </c>
      <c r="C300" s="13" t="s">
        <v>216</v>
      </c>
      <c r="D300" s="13" t="s">
        <v>27</v>
      </c>
      <c r="E300" s="13">
        <v>140</v>
      </c>
      <c r="F300" s="13">
        <v>11</v>
      </c>
      <c r="G300" s="13" t="s">
        <v>9</v>
      </c>
      <c r="H300" s="33" t="s">
        <v>736</v>
      </c>
      <c r="I300" s="33">
        <v>51.838077499999997</v>
      </c>
      <c r="J300" s="61">
        <v>37.149745899999999</v>
      </c>
      <c r="K300" s="72">
        <v>434</v>
      </c>
      <c r="L300" s="83"/>
      <c r="N300" s="148" t="s">
        <v>777</v>
      </c>
      <c r="O300" s="112"/>
      <c r="P300" s="112"/>
    </row>
    <row r="301" spans="1:16" ht="30" x14ac:dyDescent="0.2">
      <c r="A301" s="18">
        <v>279</v>
      </c>
      <c r="B301" s="13" t="s">
        <v>501</v>
      </c>
      <c r="C301" s="13" t="s">
        <v>502</v>
      </c>
      <c r="D301" s="13" t="s">
        <v>27</v>
      </c>
      <c r="E301" s="13">
        <v>120</v>
      </c>
      <c r="F301" s="13">
        <v>10</v>
      </c>
      <c r="G301" s="13" t="s">
        <v>9</v>
      </c>
      <c r="H301" s="33" t="s">
        <v>736</v>
      </c>
      <c r="I301" s="33">
        <v>51.844303099999998</v>
      </c>
      <c r="J301" s="61">
        <v>37.2025948</v>
      </c>
      <c r="K301" s="72">
        <v>435</v>
      </c>
      <c r="L301" s="83"/>
      <c r="N301" s="148" t="s">
        <v>777</v>
      </c>
      <c r="O301" s="112"/>
      <c r="P301" s="112"/>
    </row>
    <row r="302" spans="1:16" ht="30" x14ac:dyDescent="0.2">
      <c r="A302" s="18">
        <v>280</v>
      </c>
      <c r="B302" s="13" t="s">
        <v>503</v>
      </c>
      <c r="C302" s="13" t="s">
        <v>504</v>
      </c>
      <c r="D302" s="13">
        <v>1981</v>
      </c>
      <c r="E302" s="13">
        <v>350</v>
      </c>
      <c r="F302" s="13">
        <v>23</v>
      </c>
      <c r="G302" s="13" t="s">
        <v>9</v>
      </c>
      <c r="H302" s="33" t="s">
        <v>736</v>
      </c>
      <c r="I302" s="33">
        <v>51.997520399999999</v>
      </c>
      <c r="J302" s="61">
        <v>37.013763400000002</v>
      </c>
      <c r="K302" s="72">
        <v>436</v>
      </c>
      <c r="L302" s="83"/>
      <c r="N302" s="148" t="s">
        <v>777</v>
      </c>
      <c r="O302" s="112"/>
      <c r="P302" s="112"/>
    </row>
    <row r="303" spans="1:16" ht="30.75" thickBot="1" x14ac:dyDescent="0.25">
      <c r="A303" s="97">
        <v>281</v>
      </c>
      <c r="B303" s="98" t="s">
        <v>505</v>
      </c>
      <c r="C303" s="98" t="s">
        <v>506</v>
      </c>
      <c r="D303" s="98" t="s">
        <v>27</v>
      </c>
      <c r="E303" s="98">
        <v>240</v>
      </c>
      <c r="F303" s="98">
        <v>8</v>
      </c>
      <c r="G303" s="98" t="s">
        <v>9</v>
      </c>
      <c r="H303" s="99" t="s">
        <v>736</v>
      </c>
      <c r="I303" s="99" t="s">
        <v>740</v>
      </c>
      <c r="J303" s="100" t="s">
        <v>741</v>
      </c>
      <c r="K303" s="94">
        <v>437</v>
      </c>
      <c r="L303" s="81" t="s">
        <v>765</v>
      </c>
      <c r="M303" s="1" t="s">
        <v>777</v>
      </c>
      <c r="N303" s="148" t="s">
        <v>777</v>
      </c>
      <c r="O303" s="112"/>
      <c r="P303" s="112"/>
    </row>
    <row r="304" spans="1:16" ht="15.75" thickBot="1" x14ac:dyDescent="0.25">
      <c r="A304" s="193" t="s">
        <v>507</v>
      </c>
      <c r="B304" s="194"/>
      <c r="C304" s="194"/>
      <c r="D304" s="194"/>
      <c r="E304" s="194"/>
      <c r="F304" s="194"/>
      <c r="G304" s="194"/>
      <c r="H304" s="194"/>
      <c r="I304" s="194"/>
      <c r="J304" s="194"/>
      <c r="K304" s="67"/>
      <c r="L304" s="83"/>
      <c r="N304" s="112"/>
      <c r="O304" s="112"/>
      <c r="P304" s="112"/>
    </row>
    <row r="305" spans="1:18" x14ac:dyDescent="0.2">
      <c r="A305" s="18">
        <v>282</v>
      </c>
      <c r="B305" s="13" t="s">
        <v>508</v>
      </c>
      <c r="C305" s="13" t="s">
        <v>509</v>
      </c>
      <c r="D305" s="13">
        <v>1984</v>
      </c>
      <c r="E305" s="13">
        <v>1720</v>
      </c>
      <c r="F305" s="13">
        <v>49</v>
      </c>
      <c r="G305" s="13" t="s">
        <v>127</v>
      </c>
      <c r="H305" s="32" t="s">
        <v>742</v>
      </c>
      <c r="I305" s="32">
        <v>52.086917900000003</v>
      </c>
      <c r="J305" s="53">
        <v>36.872714999999999</v>
      </c>
      <c r="K305" s="72">
        <v>439</v>
      </c>
      <c r="L305" s="83"/>
      <c r="N305" s="148" t="s">
        <v>777</v>
      </c>
      <c r="O305" s="112"/>
      <c r="P305" s="112"/>
    </row>
    <row r="306" spans="1:18" ht="15.75" x14ac:dyDescent="0.25">
      <c r="A306" s="18">
        <v>283</v>
      </c>
      <c r="B306" s="13" t="s">
        <v>508</v>
      </c>
      <c r="C306" s="13" t="s">
        <v>510</v>
      </c>
      <c r="D306" s="13" t="s">
        <v>27</v>
      </c>
      <c r="E306" s="13" t="s">
        <v>27</v>
      </c>
      <c r="F306" s="13" t="s">
        <v>27</v>
      </c>
      <c r="G306" s="13" t="s">
        <v>117</v>
      </c>
      <c r="H306" s="32" t="s">
        <v>743</v>
      </c>
      <c r="I306" s="32">
        <v>52.102527600000002</v>
      </c>
      <c r="J306" s="53">
        <v>36.765953099999997</v>
      </c>
      <c r="K306" s="72">
        <v>440</v>
      </c>
      <c r="L306" s="83"/>
      <c r="N306" s="148" t="s">
        <v>777</v>
      </c>
      <c r="O306" s="112"/>
      <c r="P306" s="112"/>
      <c r="Q306" s="173" t="s">
        <v>1186</v>
      </c>
      <c r="R306" s="172"/>
    </row>
    <row r="307" spans="1:18" x14ac:dyDescent="0.2">
      <c r="A307" s="18">
        <v>284</v>
      </c>
      <c r="B307" s="13" t="s">
        <v>511</v>
      </c>
      <c r="C307" s="13" t="s">
        <v>512</v>
      </c>
      <c r="D307" s="13" t="s">
        <v>27</v>
      </c>
      <c r="E307" s="13" t="s">
        <v>27</v>
      </c>
      <c r="F307" s="13" t="s">
        <v>27</v>
      </c>
      <c r="G307" s="13" t="s">
        <v>117</v>
      </c>
      <c r="H307" s="32" t="s">
        <v>586</v>
      </c>
      <c r="I307" s="32">
        <v>52.139667500000002</v>
      </c>
      <c r="J307" s="53">
        <v>36.772846199999996</v>
      </c>
      <c r="K307" s="72">
        <v>441</v>
      </c>
      <c r="L307" s="83"/>
      <c r="N307" s="148" t="s">
        <v>777</v>
      </c>
      <c r="O307" s="112"/>
      <c r="P307" s="112"/>
    </row>
    <row r="308" spans="1:18" ht="30" x14ac:dyDescent="0.2">
      <c r="A308" s="18">
        <v>285</v>
      </c>
      <c r="B308" s="13" t="s">
        <v>513</v>
      </c>
      <c r="C308" s="13" t="s">
        <v>514</v>
      </c>
      <c r="D308" s="13">
        <v>1977</v>
      </c>
      <c r="E308" s="13">
        <v>1830</v>
      </c>
      <c r="F308" s="13">
        <v>67</v>
      </c>
      <c r="G308" s="13" t="s">
        <v>515</v>
      </c>
      <c r="H308" s="32" t="s">
        <v>744</v>
      </c>
      <c r="I308" s="32">
        <v>52.037494700000003</v>
      </c>
      <c r="J308" s="53">
        <v>36.713508599999997</v>
      </c>
      <c r="K308" s="72">
        <v>442</v>
      </c>
      <c r="L308" s="83"/>
      <c r="N308" s="148" t="s">
        <v>777</v>
      </c>
      <c r="O308" s="112"/>
      <c r="P308" s="112"/>
    </row>
    <row r="309" spans="1:18" x14ac:dyDescent="0.2">
      <c r="A309" s="110">
        <v>286</v>
      </c>
      <c r="B309" s="36" t="s">
        <v>224</v>
      </c>
      <c r="C309" s="36" t="s">
        <v>516</v>
      </c>
      <c r="D309" s="36">
        <v>1983</v>
      </c>
      <c r="E309" s="36">
        <v>1750</v>
      </c>
      <c r="F309" s="36">
        <v>44</v>
      </c>
      <c r="G309" s="36" t="s">
        <v>9</v>
      </c>
      <c r="H309" s="33" t="s">
        <v>586</v>
      </c>
      <c r="I309" s="32">
        <v>51.952697800000003</v>
      </c>
      <c r="J309" s="53">
        <v>36.820903800000004</v>
      </c>
      <c r="K309" s="72">
        <v>443</v>
      </c>
      <c r="L309" s="83"/>
      <c r="N309" s="148" t="s">
        <v>777</v>
      </c>
      <c r="O309" s="112"/>
      <c r="P309" s="112"/>
    </row>
    <row r="310" spans="1:18" ht="38.25" x14ac:dyDescent="0.2">
      <c r="A310" s="88">
        <v>287</v>
      </c>
      <c r="B310" s="109" t="s">
        <v>224</v>
      </c>
      <c r="C310" s="109" t="s">
        <v>517</v>
      </c>
      <c r="D310" s="109">
        <v>1983</v>
      </c>
      <c r="E310" s="109">
        <v>1130</v>
      </c>
      <c r="F310" s="109">
        <v>83</v>
      </c>
      <c r="G310" s="109" t="s">
        <v>117</v>
      </c>
      <c r="H310" s="92" t="s">
        <v>586</v>
      </c>
      <c r="I310" s="92">
        <v>51.937984499999999</v>
      </c>
      <c r="J310" s="93">
        <v>36.856376599999997</v>
      </c>
      <c r="K310" s="94">
        <v>444</v>
      </c>
      <c r="L310" s="81" t="s">
        <v>775</v>
      </c>
      <c r="M310" s="1" t="s">
        <v>777</v>
      </c>
      <c r="N310" s="148" t="s">
        <v>777</v>
      </c>
      <c r="O310" s="112"/>
      <c r="P310" s="112"/>
    </row>
    <row r="311" spans="1:18" ht="30" x14ac:dyDescent="0.2">
      <c r="A311" s="18">
        <v>288</v>
      </c>
      <c r="B311" s="13" t="s">
        <v>518</v>
      </c>
      <c r="C311" s="13" t="s">
        <v>519</v>
      </c>
      <c r="D311" s="13">
        <v>1981</v>
      </c>
      <c r="E311" s="13">
        <v>1400</v>
      </c>
      <c r="F311" s="13">
        <v>51</v>
      </c>
      <c r="G311" s="13" t="s">
        <v>520</v>
      </c>
      <c r="H311" s="32" t="s">
        <v>745</v>
      </c>
      <c r="I311" s="32">
        <v>51.830875399999996</v>
      </c>
      <c r="J311" s="53">
        <v>37.019363400000003</v>
      </c>
      <c r="K311" s="72">
        <v>445</v>
      </c>
      <c r="L311" s="83"/>
      <c r="N311" s="148" t="s">
        <v>777</v>
      </c>
      <c r="O311" s="112"/>
      <c r="P311" s="112"/>
    </row>
    <row r="312" spans="1:18" ht="15.75" x14ac:dyDescent="0.25">
      <c r="A312" s="88">
        <v>289</v>
      </c>
      <c r="B312" s="86" t="s">
        <v>518</v>
      </c>
      <c r="C312" s="86" t="s">
        <v>521</v>
      </c>
      <c r="D312" s="86">
        <v>1976</v>
      </c>
      <c r="E312" s="86">
        <v>1310</v>
      </c>
      <c r="F312" s="86">
        <v>47</v>
      </c>
      <c r="G312" s="86" t="s">
        <v>127</v>
      </c>
      <c r="H312" s="92" t="s">
        <v>746</v>
      </c>
      <c r="I312" s="92">
        <v>51.843120599999999</v>
      </c>
      <c r="J312" s="93">
        <v>37.035949700000003</v>
      </c>
      <c r="K312" s="94">
        <v>446</v>
      </c>
      <c r="L312" s="81" t="s">
        <v>771</v>
      </c>
      <c r="M312" s="1" t="s">
        <v>777</v>
      </c>
      <c r="N312" s="148" t="s">
        <v>777</v>
      </c>
      <c r="O312" s="112"/>
      <c r="P312" s="112"/>
      <c r="Q312" s="173" t="s">
        <v>1187</v>
      </c>
    </row>
    <row r="313" spans="1:18" ht="60" x14ac:dyDescent="0.2">
      <c r="A313" s="18">
        <v>290</v>
      </c>
      <c r="B313" s="13" t="s">
        <v>522</v>
      </c>
      <c r="C313" s="13" t="s">
        <v>523</v>
      </c>
      <c r="D313" s="13">
        <v>1985</v>
      </c>
      <c r="E313" s="13">
        <v>1440</v>
      </c>
      <c r="F313" s="13">
        <v>53</v>
      </c>
      <c r="G313" s="13" t="s">
        <v>117</v>
      </c>
      <c r="H313" s="32" t="s">
        <v>747</v>
      </c>
      <c r="I313" s="32">
        <v>51.948253600000001</v>
      </c>
      <c r="J313" s="53">
        <v>36.767105100000002</v>
      </c>
      <c r="K313" s="72">
        <v>447</v>
      </c>
      <c r="L313" s="83"/>
      <c r="N313" s="148" t="s">
        <v>777</v>
      </c>
      <c r="O313" s="112"/>
      <c r="P313" s="112"/>
    </row>
    <row r="314" spans="1:18" ht="15.75" x14ac:dyDescent="0.25">
      <c r="A314" s="88">
        <v>291</v>
      </c>
      <c r="B314" s="86" t="s">
        <v>56</v>
      </c>
      <c r="C314" s="86" t="s">
        <v>524</v>
      </c>
      <c r="D314" s="86">
        <v>1978</v>
      </c>
      <c r="E314" s="86">
        <v>1130</v>
      </c>
      <c r="F314" s="86">
        <v>34</v>
      </c>
      <c r="G314" s="86" t="s">
        <v>17</v>
      </c>
      <c r="H314" s="92" t="s">
        <v>748</v>
      </c>
      <c r="I314" s="92">
        <v>51.784053800000002</v>
      </c>
      <c r="J314" s="93">
        <v>36.644371</v>
      </c>
      <c r="K314" s="94">
        <v>449</v>
      </c>
      <c r="L314" s="81" t="s">
        <v>771</v>
      </c>
      <c r="M314" s="1" t="s">
        <v>777</v>
      </c>
      <c r="N314" s="156"/>
      <c r="O314" s="112"/>
      <c r="P314" s="112"/>
      <c r="Q314" s="173" t="s">
        <v>1189</v>
      </c>
    </row>
    <row r="315" spans="1:18" x14ac:dyDescent="0.2">
      <c r="A315" s="18">
        <v>292</v>
      </c>
      <c r="B315" s="13" t="s">
        <v>525</v>
      </c>
      <c r="C315" s="13" t="s">
        <v>526</v>
      </c>
      <c r="D315" s="13">
        <v>1962</v>
      </c>
      <c r="E315" s="13">
        <v>1000</v>
      </c>
      <c r="F315" s="13">
        <v>50</v>
      </c>
      <c r="G315" s="13" t="s">
        <v>9</v>
      </c>
      <c r="H315" s="32" t="s">
        <v>749</v>
      </c>
      <c r="I315" s="32">
        <v>51.877448999999999</v>
      </c>
      <c r="J315" s="53">
        <v>36.919597600000003</v>
      </c>
      <c r="K315" s="72">
        <v>450</v>
      </c>
      <c r="L315" s="83"/>
      <c r="N315" s="148" t="s">
        <v>777</v>
      </c>
      <c r="O315" s="112"/>
      <c r="P315" s="112"/>
    </row>
    <row r="316" spans="1:18" x14ac:dyDescent="0.2">
      <c r="A316" s="18">
        <v>293</v>
      </c>
      <c r="B316" s="13" t="s">
        <v>527</v>
      </c>
      <c r="C316" s="13" t="s">
        <v>528</v>
      </c>
      <c r="D316" s="13">
        <v>1988</v>
      </c>
      <c r="E316" s="13">
        <v>3320</v>
      </c>
      <c r="F316" s="13">
        <v>164</v>
      </c>
      <c r="G316" s="13" t="s">
        <v>9</v>
      </c>
      <c r="H316" s="32" t="s">
        <v>750</v>
      </c>
      <c r="I316" s="32">
        <v>51.819541899999997</v>
      </c>
      <c r="J316" s="53">
        <v>36.744762399999999</v>
      </c>
      <c r="K316" s="72">
        <v>451</v>
      </c>
      <c r="L316" s="83"/>
      <c r="N316" s="148" t="s">
        <v>777</v>
      </c>
      <c r="O316" s="112"/>
      <c r="P316" s="112"/>
    </row>
    <row r="317" spans="1:18" ht="15.75" x14ac:dyDescent="0.25">
      <c r="A317" s="18">
        <v>294</v>
      </c>
      <c r="B317" s="13" t="s">
        <v>529</v>
      </c>
      <c r="C317" s="13" t="s">
        <v>530</v>
      </c>
      <c r="D317" s="13">
        <v>1950</v>
      </c>
      <c r="E317" s="13">
        <v>535</v>
      </c>
      <c r="F317" s="13">
        <v>41</v>
      </c>
      <c r="G317" s="13" t="s">
        <v>117</v>
      </c>
      <c r="H317" s="32" t="s">
        <v>751</v>
      </c>
      <c r="I317" s="32">
        <v>51.682975800000001</v>
      </c>
      <c r="J317" s="53">
        <v>36.788814500000001</v>
      </c>
      <c r="K317" s="72">
        <v>452</v>
      </c>
      <c r="L317" s="83"/>
      <c r="N317" s="148" t="s">
        <v>777</v>
      </c>
      <c r="O317" s="112"/>
      <c r="P317" s="112"/>
      <c r="Q317" s="187"/>
    </row>
    <row r="318" spans="1:18" x14ac:dyDescent="0.2">
      <c r="A318" s="18">
        <v>295</v>
      </c>
      <c r="B318" s="13" t="s">
        <v>531</v>
      </c>
      <c r="C318" s="13" t="s">
        <v>532</v>
      </c>
      <c r="D318" s="13">
        <v>1980</v>
      </c>
      <c r="E318" s="13">
        <v>1131</v>
      </c>
      <c r="F318" s="13">
        <v>42</v>
      </c>
      <c r="G318" s="13" t="s">
        <v>127</v>
      </c>
      <c r="H318" s="32" t="s">
        <v>752</v>
      </c>
      <c r="I318" s="32">
        <v>52.0861473</v>
      </c>
      <c r="J318" s="53">
        <v>36.834358199999997</v>
      </c>
      <c r="K318" s="72">
        <v>453</v>
      </c>
      <c r="L318" s="83"/>
      <c r="N318" s="148" t="s">
        <v>777</v>
      </c>
      <c r="O318" s="112"/>
      <c r="P318" s="112"/>
    </row>
    <row r="319" spans="1:18" ht="30" x14ac:dyDescent="0.2">
      <c r="A319" s="18">
        <v>296</v>
      </c>
      <c r="B319" s="13" t="s">
        <v>525</v>
      </c>
      <c r="C319" s="13" t="s">
        <v>533</v>
      </c>
      <c r="D319" s="13">
        <v>1954</v>
      </c>
      <c r="E319" s="13">
        <v>600</v>
      </c>
      <c r="F319" s="13">
        <v>31</v>
      </c>
      <c r="G319" s="13" t="s">
        <v>117</v>
      </c>
      <c r="H319" s="32" t="s">
        <v>753</v>
      </c>
      <c r="I319" s="32">
        <v>51.875438699999997</v>
      </c>
      <c r="J319" s="53">
        <v>36.974304199999999</v>
      </c>
      <c r="K319" s="72">
        <v>454</v>
      </c>
      <c r="L319" s="83"/>
      <c r="N319" s="148" t="s">
        <v>777</v>
      </c>
      <c r="O319" s="112"/>
      <c r="P319" s="112"/>
    </row>
    <row r="320" spans="1:18" x14ac:dyDescent="0.2">
      <c r="A320" s="88">
        <v>297</v>
      </c>
      <c r="B320" s="86" t="s">
        <v>195</v>
      </c>
      <c r="C320" s="86" t="s">
        <v>534</v>
      </c>
      <c r="D320" s="86">
        <v>1977</v>
      </c>
      <c r="E320" s="86">
        <v>640</v>
      </c>
      <c r="F320" s="86">
        <v>28</v>
      </c>
      <c r="G320" s="86" t="s">
        <v>117</v>
      </c>
      <c r="H320" s="92" t="s">
        <v>754</v>
      </c>
      <c r="I320" s="92">
        <v>51.889183000000003</v>
      </c>
      <c r="J320" s="93">
        <v>36.977985400000001</v>
      </c>
      <c r="K320" s="94">
        <v>455</v>
      </c>
      <c r="L320" s="81" t="s">
        <v>771</v>
      </c>
      <c r="M320" s="1" t="s">
        <v>777</v>
      </c>
      <c r="N320" s="148" t="s">
        <v>777</v>
      </c>
      <c r="O320" s="112"/>
      <c r="P320" s="112"/>
    </row>
    <row r="321" spans="1:1023" x14ac:dyDescent="0.2">
      <c r="A321" s="88">
        <v>298</v>
      </c>
      <c r="B321" s="86" t="s">
        <v>535</v>
      </c>
      <c r="C321" s="86" t="s">
        <v>536</v>
      </c>
      <c r="D321" s="86">
        <v>1976</v>
      </c>
      <c r="E321" s="86">
        <v>600</v>
      </c>
      <c r="F321" s="86">
        <v>29</v>
      </c>
      <c r="G321" s="86" t="s">
        <v>9</v>
      </c>
      <c r="H321" s="92" t="s">
        <v>753</v>
      </c>
      <c r="I321" s="92">
        <v>51.876823399999999</v>
      </c>
      <c r="J321" s="93">
        <v>37.002738999999998</v>
      </c>
      <c r="K321" s="94">
        <v>456</v>
      </c>
      <c r="L321" s="81" t="s">
        <v>771</v>
      </c>
      <c r="M321" s="1" t="s">
        <v>777</v>
      </c>
      <c r="N321" s="148" t="s">
        <v>777</v>
      </c>
      <c r="O321" s="112"/>
      <c r="P321" s="112"/>
    </row>
    <row r="322" spans="1:1023" x14ac:dyDescent="0.2">
      <c r="A322" s="18">
        <v>299</v>
      </c>
      <c r="B322" s="13" t="s">
        <v>537</v>
      </c>
      <c r="C322" s="13" t="s">
        <v>538</v>
      </c>
      <c r="D322" s="13" t="s">
        <v>27</v>
      </c>
      <c r="E322" s="13">
        <v>610</v>
      </c>
      <c r="F322" s="13">
        <v>25</v>
      </c>
      <c r="G322" s="13" t="s">
        <v>17</v>
      </c>
      <c r="H322" s="32" t="s">
        <v>755</v>
      </c>
      <c r="I322" s="32">
        <v>51.862205500000002</v>
      </c>
      <c r="J322" s="53">
        <v>36.896976500000001</v>
      </c>
      <c r="K322" s="72">
        <v>457</v>
      </c>
      <c r="L322" s="83"/>
      <c r="N322" s="148" t="s">
        <v>777</v>
      </c>
      <c r="O322" s="112"/>
      <c r="P322" s="112"/>
    </row>
    <row r="323" spans="1:1023" x14ac:dyDescent="0.2">
      <c r="A323" s="18">
        <v>300</v>
      </c>
      <c r="B323" s="13" t="s">
        <v>527</v>
      </c>
      <c r="C323" s="13" t="s">
        <v>539</v>
      </c>
      <c r="D323" s="13" t="s">
        <v>27</v>
      </c>
      <c r="E323" s="13">
        <v>150</v>
      </c>
      <c r="F323" s="13">
        <v>8</v>
      </c>
      <c r="G323" s="13" t="s">
        <v>117</v>
      </c>
      <c r="H323" s="32" t="s">
        <v>756</v>
      </c>
      <c r="I323" s="32">
        <v>51.787212400000001</v>
      </c>
      <c r="J323" s="53">
        <v>36.828525499999998</v>
      </c>
      <c r="K323" s="72">
        <v>458</v>
      </c>
      <c r="L323" s="83"/>
      <c r="N323" s="148" t="s">
        <v>777</v>
      </c>
      <c r="O323" s="112"/>
      <c r="P323" s="112"/>
    </row>
    <row r="324" spans="1:1023" x14ac:dyDescent="0.2">
      <c r="A324" s="18">
        <v>301</v>
      </c>
      <c r="B324" s="13" t="s">
        <v>540</v>
      </c>
      <c r="C324" s="13" t="s">
        <v>541</v>
      </c>
      <c r="D324" s="13">
        <v>1972</v>
      </c>
      <c r="E324" s="13">
        <v>280</v>
      </c>
      <c r="F324" s="13">
        <v>16</v>
      </c>
      <c r="G324" s="13" t="s">
        <v>117</v>
      </c>
      <c r="H324" s="32" t="s">
        <v>586</v>
      </c>
      <c r="I324" s="32">
        <v>51.856048600000001</v>
      </c>
      <c r="J324" s="53">
        <v>36.758693700000002</v>
      </c>
      <c r="K324" s="72">
        <v>459</v>
      </c>
      <c r="L324" s="83"/>
      <c r="N324" s="148" t="s">
        <v>777</v>
      </c>
      <c r="O324" s="112"/>
      <c r="P324" s="112"/>
    </row>
    <row r="325" spans="1:1023" x14ac:dyDescent="0.2">
      <c r="A325" s="18">
        <v>302</v>
      </c>
      <c r="B325" s="13" t="s">
        <v>540</v>
      </c>
      <c r="C325" s="13" t="s">
        <v>542</v>
      </c>
      <c r="D325" s="13">
        <v>1972</v>
      </c>
      <c r="E325" s="13">
        <v>438</v>
      </c>
      <c r="F325" s="13">
        <v>30</v>
      </c>
      <c r="G325" s="13" t="s">
        <v>9</v>
      </c>
      <c r="H325" s="32" t="s">
        <v>757</v>
      </c>
      <c r="I325" s="32">
        <v>51.836627999999997</v>
      </c>
      <c r="J325" s="53">
        <v>36.757377599999998</v>
      </c>
      <c r="K325" s="72">
        <v>460</v>
      </c>
      <c r="L325" s="83"/>
      <c r="N325" s="148" t="s">
        <v>777</v>
      </c>
      <c r="O325" s="112"/>
      <c r="P325" s="112"/>
    </row>
    <row r="326" spans="1:1023" s="43" customFormat="1" ht="60" x14ac:dyDescent="0.25">
      <c r="A326" s="88">
        <v>303</v>
      </c>
      <c r="B326" s="37" t="s">
        <v>543</v>
      </c>
      <c r="C326" s="37" t="s">
        <v>544</v>
      </c>
      <c r="D326" s="86">
        <v>1968</v>
      </c>
      <c r="E326" s="86">
        <v>430</v>
      </c>
      <c r="F326" s="86">
        <v>27</v>
      </c>
      <c r="G326" s="86" t="s">
        <v>127</v>
      </c>
      <c r="H326" s="92" t="s">
        <v>747</v>
      </c>
      <c r="I326" s="57">
        <v>51.9360809</v>
      </c>
      <c r="J326" s="58">
        <v>36.758609800000002</v>
      </c>
      <c r="K326" s="87">
        <v>461</v>
      </c>
      <c r="L326" s="81" t="s">
        <v>771</v>
      </c>
      <c r="M326" s="42" t="s">
        <v>777</v>
      </c>
      <c r="N326" s="148" t="s">
        <v>777</v>
      </c>
      <c r="O326" s="114"/>
      <c r="P326" s="114"/>
      <c r="Q326" s="187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  <c r="BG326" s="42"/>
      <c r="BH326" s="42"/>
      <c r="BI326" s="42"/>
      <c r="BJ326" s="42"/>
      <c r="BK326" s="42"/>
      <c r="BL326" s="42"/>
      <c r="BM326" s="42"/>
      <c r="BN326" s="42"/>
      <c r="BO326" s="42"/>
      <c r="BP326" s="42"/>
      <c r="BQ326" s="42"/>
      <c r="BR326" s="42"/>
      <c r="BS326" s="42"/>
      <c r="BT326" s="42"/>
      <c r="BU326" s="42"/>
      <c r="BV326" s="42"/>
      <c r="BW326" s="42"/>
      <c r="BX326" s="42"/>
      <c r="BY326" s="42"/>
      <c r="BZ326" s="42"/>
      <c r="CA326" s="42"/>
      <c r="CB326" s="42"/>
      <c r="CC326" s="42"/>
      <c r="CD326" s="42"/>
      <c r="CE326" s="42"/>
      <c r="CF326" s="42"/>
      <c r="CG326" s="42"/>
      <c r="CH326" s="42"/>
      <c r="CI326" s="42"/>
      <c r="CJ326" s="42"/>
      <c r="CK326" s="42"/>
      <c r="CL326" s="42"/>
      <c r="CM326" s="42"/>
      <c r="CN326" s="42"/>
      <c r="CO326" s="42"/>
      <c r="CP326" s="42"/>
      <c r="CQ326" s="42"/>
      <c r="CR326" s="42"/>
      <c r="CS326" s="42"/>
      <c r="CT326" s="42"/>
      <c r="CU326" s="42"/>
      <c r="CV326" s="42"/>
      <c r="CW326" s="42"/>
      <c r="CX326" s="42"/>
      <c r="CY326" s="42"/>
      <c r="CZ326" s="42"/>
      <c r="DA326" s="42"/>
      <c r="DB326" s="42"/>
      <c r="DC326" s="42"/>
      <c r="DD326" s="42"/>
      <c r="DE326" s="42"/>
      <c r="DF326" s="42"/>
      <c r="DG326" s="42"/>
      <c r="DH326" s="42"/>
      <c r="DI326" s="42"/>
      <c r="DJ326" s="42"/>
      <c r="DK326" s="42"/>
      <c r="DL326" s="42"/>
      <c r="DM326" s="42"/>
      <c r="DN326" s="42"/>
      <c r="DO326" s="42"/>
      <c r="DP326" s="42"/>
      <c r="DQ326" s="42"/>
      <c r="DR326" s="42"/>
      <c r="DS326" s="42"/>
      <c r="DT326" s="42"/>
      <c r="DU326" s="42"/>
      <c r="DV326" s="42"/>
      <c r="DW326" s="42"/>
      <c r="DX326" s="42"/>
      <c r="DY326" s="42"/>
      <c r="DZ326" s="42"/>
      <c r="EA326" s="42"/>
      <c r="EB326" s="42"/>
      <c r="EC326" s="42"/>
      <c r="ED326" s="42"/>
      <c r="EE326" s="42"/>
      <c r="EF326" s="42"/>
      <c r="EG326" s="42"/>
      <c r="EH326" s="42"/>
      <c r="EI326" s="42"/>
      <c r="EJ326" s="42"/>
      <c r="EK326" s="42"/>
      <c r="EL326" s="42"/>
      <c r="EM326" s="42"/>
      <c r="EN326" s="42"/>
      <c r="EO326" s="42"/>
      <c r="EP326" s="42"/>
      <c r="EQ326" s="42"/>
      <c r="ER326" s="42"/>
      <c r="ES326" s="42"/>
      <c r="ET326" s="42"/>
      <c r="EU326" s="42"/>
      <c r="EV326" s="42"/>
      <c r="EW326" s="42"/>
      <c r="EX326" s="42"/>
      <c r="EY326" s="42"/>
      <c r="EZ326" s="42"/>
      <c r="FA326" s="42"/>
      <c r="FB326" s="42"/>
      <c r="FC326" s="42"/>
      <c r="FD326" s="42"/>
      <c r="FE326" s="42"/>
      <c r="FF326" s="42"/>
      <c r="FG326" s="42"/>
      <c r="FH326" s="42"/>
      <c r="FI326" s="42"/>
      <c r="FJ326" s="42"/>
      <c r="FK326" s="42"/>
      <c r="FL326" s="42"/>
      <c r="FM326" s="42"/>
      <c r="FN326" s="42"/>
      <c r="FO326" s="42"/>
      <c r="FP326" s="42"/>
      <c r="FQ326" s="42"/>
      <c r="FR326" s="42"/>
      <c r="FS326" s="42"/>
      <c r="FT326" s="42"/>
      <c r="FU326" s="42"/>
      <c r="FV326" s="42"/>
      <c r="FW326" s="42"/>
      <c r="FX326" s="42"/>
      <c r="FY326" s="42"/>
      <c r="FZ326" s="42"/>
      <c r="GA326" s="42"/>
      <c r="GB326" s="42"/>
      <c r="GC326" s="42"/>
      <c r="GD326" s="42"/>
      <c r="GE326" s="42"/>
      <c r="GF326" s="42"/>
      <c r="GG326" s="42"/>
      <c r="GH326" s="42"/>
      <c r="GI326" s="42"/>
      <c r="GJ326" s="42"/>
      <c r="GK326" s="42"/>
      <c r="GL326" s="42"/>
      <c r="GM326" s="42"/>
      <c r="GN326" s="42"/>
      <c r="GO326" s="42"/>
      <c r="GP326" s="42"/>
      <c r="GQ326" s="42"/>
      <c r="GR326" s="42"/>
      <c r="GS326" s="42"/>
      <c r="GT326" s="42"/>
      <c r="GU326" s="42"/>
      <c r="GV326" s="42"/>
      <c r="GW326" s="42"/>
      <c r="GX326" s="42"/>
      <c r="GY326" s="42"/>
      <c r="GZ326" s="42"/>
      <c r="HA326" s="42"/>
      <c r="HB326" s="42"/>
      <c r="HC326" s="42"/>
      <c r="HD326" s="42"/>
      <c r="HE326" s="42"/>
      <c r="HF326" s="42"/>
      <c r="HG326" s="42"/>
      <c r="HH326" s="42"/>
      <c r="HI326" s="42"/>
      <c r="HJ326" s="42"/>
      <c r="HK326" s="42"/>
      <c r="HL326" s="42"/>
      <c r="HM326" s="42"/>
      <c r="HN326" s="42"/>
      <c r="HO326" s="42"/>
      <c r="HP326" s="42"/>
      <c r="HQ326" s="42"/>
      <c r="HR326" s="42"/>
      <c r="HS326" s="42"/>
      <c r="HT326" s="42"/>
      <c r="HU326" s="42"/>
      <c r="HV326" s="42"/>
      <c r="HW326" s="42"/>
      <c r="HX326" s="42"/>
      <c r="HY326" s="42"/>
      <c r="HZ326" s="42"/>
      <c r="IA326" s="42"/>
      <c r="IB326" s="42"/>
      <c r="IC326" s="42"/>
      <c r="ID326" s="42"/>
      <c r="IE326" s="42"/>
      <c r="IF326" s="42"/>
      <c r="IG326" s="42"/>
      <c r="IH326" s="42"/>
      <c r="II326" s="42"/>
      <c r="IJ326" s="42"/>
      <c r="IK326" s="42"/>
      <c r="IL326" s="42"/>
      <c r="IM326" s="42"/>
      <c r="IN326" s="42"/>
      <c r="IO326" s="42"/>
      <c r="IP326" s="42"/>
      <c r="IQ326" s="42"/>
      <c r="IR326" s="42"/>
      <c r="IS326" s="42"/>
      <c r="IT326" s="42"/>
      <c r="IU326" s="42"/>
      <c r="IV326" s="42"/>
      <c r="IW326" s="42"/>
      <c r="IX326" s="42"/>
      <c r="IY326" s="42"/>
      <c r="IZ326" s="42"/>
      <c r="JA326" s="42"/>
      <c r="JB326" s="42"/>
      <c r="JC326" s="42"/>
      <c r="JD326" s="42"/>
      <c r="JE326" s="42"/>
      <c r="JF326" s="42"/>
      <c r="JG326" s="42"/>
      <c r="JH326" s="42"/>
      <c r="JI326" s="42"/>
      <c r="JJ326" s="42"/>
      <c r="JK326" s="42"/>
      <c r="JL326" s="42"/>
      <c r="JM326" s="42"/>
      <c r="JN326" s="42"/>
      <c r="JO326" s="42"/>
      <c r="JP326" s="42"/>
      <c r="JQ326" s="42"/>
      <c r="JR326" s="42"/>
      <c r="JS326" s="42"/>
      <c r="JT326" s="42"/>
      <c r="JU326" s="42"/>
      <c r="JV326" s="42"/>
      <c r="JW326" s="42"/>
      <c r="JX326" s="42"/>
      <c r="JY326" s="42"/>
      <c r="JZ326" s="42"/>
      <c r="KA326" s="42"/>
      <c r="KB326" s="42"/>
      <c r="KC326" s="42"/>
      <c r="KD326" s="42"/>
      <c r="KE326" s="42"/>
      <c r="KF326" s="42"/>
      <c r="KG326" s="42"/>
      <c r="KH326" s="42"/>
      <c r="KI326" s="42"/>
      <c r="KJ326" s="42"/>
      <c r="KK326" s="42"/>
      <c r="KL326" s="42"/>
      <c r="KM326" s="42"/>
      <c r="KN326" s="42"/>
      <c r="KO326" s="42"/>
      <c r="KP326" s="42"/>
      <c r="KQ326" s="42"/>
      <c r="KR326" s="42"/>
      <c r="KS326" s="42"/>
      <c r="KT326" s="42"/>
      <c r="KU326" s="42"/>
      <c r="KV326" s="42"/>
      <c r="KW326" s="42"/>
      <c r="KX326" s="42"/>
      <c r="KY326" s="42"/>
      <c r="KZ326" s="42"/>
      <c r="LA326" s="42"/>
      <c r="LB326" s="42"/>
      <c r="LC326" s="42"/>
      <c r="LD326" s="42"/>
      <c r="LE326" s="42"/>
      <c r="LF326" s="42"/>
      <c r="LG326" s="42"/>
      <c r="LH326" s="42"/>
      <c r="LI326" s="42"/>
      <c r="LJ326" s="42"/>
      <c r="LK326" s="42"/>
      <c r="LL326" s="42"/>
      <c r="LM326" s="42"/>
      <c r="LN326" s="42"/>
      <c r="LO326" s="42"/>
      <c r="LP326" s="42"/>
      <c r="LQ326" s="42"/>
      <c r="LR326" s="42"/>
      <c r="LS326" s="42"/>
      <c r="LT326" s="42"/>
      <c r="LU326" s="42"/>
      <c r="LV326" s="42"/>
      <c r="LW326" s="42"/>
      <c r="LX326" s="42"/>
      <c r="LY326" s="42"/>
      <c r="LZ326" s="42"/>
      <c r="MA326" s="42"/>
      <c r="MB326" s="42"/>
      <c r="MC326" s="42"/>
      <c r="MD326" s="42"/>
      <c r="ME326" s="42"/>
      <c r="MF326" s="42"/>
      <c r="MG326" s="42"/>
      <c r="MH326" s="42"/>
      <c r="MI326" s="42"/>
      <c r="MJ326" s="42"/>
      <c r="MK326" s="42"/>
      <c r="ML326" s="42"/>
      <c r="MM326" s="42"/>
      <c r="MN326" s="42"/>
      <c r="MO326" s="42"/>
      <c r="MP326" s="42"/>
      <c r="MQ326" s="42"/>
      <c r="MR326" s="42"/>
      <c r="MS326" s="42"/>
      <c r="MT326" s="42"/>
      <c r="MU326" s="42"/>
      <c r="MV326" s="42"/>
      <c r="MW326" s="42"/>
      <c r="MX326" s="42"/>
      <c r="MY326" s="42"/>
      <c r="MZ326" s="42"/>
      <c r="NA326" s="42"/>
      <c r="NB326" s="42"/>
      <c r="NC326" s="42"/>
      <c r="ND326" s="42"/>
      <c r="NE326" s="42"/>
      <c r="NF326" s="42"/>
      <c r="NG326" s="42"/>
      <c r="NH326" s="42"/>
      <c r="NI326" s="42"/>
      <c r="NJ326" s="42"/>
      <c r="NK326" s="42"/>
      <c r="NL326" s="42"/>
      <c r="NM326" s="42"/>
      <c r="NN326" s="42"/>
      <c r="NO326" s="42"/>
      <c r="NP326" s="42"/>
      <c r="NQ326" s="42"/>
      <c r="NR326" s="42"/>
      <c r="NS326" s="42"/>
      <c r="NT326" s="42"/>
      <c r="NU326" s="42"/>
      <c r="NV326" s="42"/>
      <c r="NW326" s="42"/>
      <c r="NX326" s="42"/>
      <c r="NY326" s="42"/>
      <c r="NZ326" s="42"/>
      <c r="OA326" s="42"/>
      <c r="OB326" s="42"/>
      <c r="OC326" s="42"/>
      <c r="OD326" s="42"/>
      <c r="OE326" s="42"/>
      <c r="OF326" s="42"/>
      <c r="OG326" s="42"/>
      <c r="OH326" s="42"/>
      <c r="OI326" s="42"/>
      <c r="OJ326" s="42"/>
      <c r="OK326" s="42"/>
      <c r="OL326" s="42"/>
      <c r="OM326" s="42"/>
      <c r="ON326" s="42"/>
      <c r="OO326" s="42"/>
      <c r="OP326" s="42"/>
      <c r="OQ326" s="42"/>
      <c r="OR326" s="42"/>
      <c r="OS326" s="42"/>
      <c r="OT326" s="42"/>
      <c r="OU326" s="42"/>
      <c r="OV326" s="42"/>
      <c r="OW326" s="42"/>
      <c r="OX326" s="42"/>
      <c r="OY326" s="42"/>
      <c r="OZ326" s="42"/>
      <c r="PA326" s="42"/>
      <c r="PB326" s="42"/>
      <c r="PC326" s="42"/>
      <c r="PD326" s="42"/>
      <c r="PE326" s="42"/>
      <c r="PF326" s="42"/>
      <c r="PG326" s="42"/>
      <c r="PH326" s="42"/>
      <c r="PI326" s="42"/>
      <c r="PJ326" s="42"/>
      <c r="PK326" s="42"/>
      <c r="PL326" s="42"/>
      <c r="PM326" s="42"/>
      <c r="PN326" s="42"/>
      <c r="PO326" s="42"/>
      <c r="PP326" s="42"/>
      <c r="PQ326" s="42"/>
      <c r="PR326" s="42"/>
      <c r="PS326" s="42"/>
      <c r="PT326" s="42"/>
      <c r="PU326" s="42"/>
      <c r="PV326" s="42"/>
      <c r="PW326" s="42"/>
      <c r="PX326" s="42"/>
      <c r="PY326" s="42"/>
      <c r="PZ326" s="42"/>
      <c r="QA326" s="42"/>
      <c r="QB326" s="42"/>
      <c r="QC326" s="42"/>
      <c r="QD326" s="42"/>
      <c r="QE326" s="42"/>
      <c r="QF326" s="42"/>
      <c r="QG326" s="42"/>
      <c r="QH326" s="42"/>
      <c r="QI326" s="42"/>
      <c r="QJ326" s="42"/>
      <c r="QK326" s="42"/>
      <c r="QL326" s="42"/>
      <c r="QM326" s="42"/>
      <c r="QN326" s="42"/>
      <c r="QO326" s="42"/>
      <c r="QP326" s="42"/>
      <c r="QQ326" s="42"/>
      <c r="QR326" s="42"/>
      <c r="QS326" s="42"/>
      <c r="QT326" s="42"/>
      <c r="QU326" s="42"/>
      <c r="QV326" s="42"/>
      <c r="QW326" s="42"/>
      <c r="QX326" s="42"/>
      <c r="QY326" s="42"/>
      <c r="QZ326" s="42"/>
      <c r="RA326" s="42"/>
      <c r="RB326" s="42"/>
      <c r="RC326" s="42"/>
      <c r="RD326" s="42"/>
      <c r="RE326" s="42"/>
      <c r="RF326" s="42"/>
      <c r="RG326" s="42"/>
      <c r="RH326" s="42"/>
      <c r="RI326" s="42"/>
      <c r="RJ326" s="42"/>
      <c r="RK326" s="42"/>
      <c r="RL326" s="42"/>
      <c r="RM326" s="42"/>
      <c r="RN326" s="42"/>
      <c r="RO326" s="42"/>
      <c r="RP326" s="42"/>
      <c r="RQ326" s="42"/>
      <c r="RR326" s="42"/>
      <c r="RS326" s="42"/>
      <c r="RT326" s="42"/>
      <c r="RU326" s="42"/>
      <c r="RV326" s="42"/>
      <c r="RW326" s="42"/>
      <c r="RX326" s="42"/>
      <c r="RY326" s="42"/>
      <c r="RZ326" s="42"/>
      <c r="SA326" s="42"/>
      <c r="SB326" s="42"/>
      <c r="SC326" s="42"/>
      <c r="SD326" s="42"/>
      <c r="SE326" s="42"/>
      <c r="SF326" s="42"/>
      <c r="SG326" s="42"/>
      <c r="SH326" s="42"/>
      <c r="SI326" s="42"/>
      <c r="SJ326" s="42"/>
      <c r="SK326" s="42"/>
      <c r="SL326" s="42"/>
      <c r="SM326" s="42"/>
      <c r="SN326" s="42"/>
      <c r="SO326" s="42"/>
      <c r="SP326" s="42"/>
      <c r="SQ326" s="42"/>
      <c r="SR326" s="42"/>
      <c r="SS326" s="42"/>
      <c r="ST326" s="42"/>
      <c r="SU326" s="42"/>
      <c r="SV326" s="42"/>
      <c r="SW326" s="42"/>
      <c r="SX326" s="42"/>
      <c r="SY326" s="42"/>
      <c r="SZ326" s="42"/>
      <c r="TA326" s="42"/>
      <c r="TB326" s="42"/>
      <c r="TC326" s="42"/>
      <c r="TD326" s="42"/>
      <c r="TE326" s="42"/>
      <c r="TF326" s="42"/>
      <c r="TG326" s="42"/>
      <c r="TH326" s="42"/>
      <c r="TI326" s="42"/>
      <c r="TJ326" s="42"/>
      <c r="TK326" s="42"/>
      <c r="TL326" s="42"/>
      <c r="TM326" s="42"/>
      <c r="TN326" s="42"/>
      <c r="TO326" s="42"/>
      <c r="TP326" s="42"/>
      <c r="TQ326" s="42"/>
      <c r="TR326" s="42"/>
      <c r="TS326" s="42"/>
      <c r="TT326" s="42"/>
      <c r="TU326" s="42"/>
      <c r="TV326" s="42"/>
      <c r="TW326" s="42"/>
      <c r="TX326" s="42"/>
      <c r="TY326" s="42"/>
      <c r="TZ326" s="42"/>
      <c r="UA326" s="42"/>
      <c r="UB326" s="42"/>
      <c r="UC326" s="42"/>
      <c r="UD326" s="42"/>
      <c r="UE326" s="42"/>
      <c r="UF326" s="42"/>
      <c r="UG326" s="42"/>
      <c r="UH326" s="42"/>
      <c r="UI326" s="42"/>
      <c r="UJ326" s="42"/>
      <c r="UK326" s="42"/>
      <c r="UL326" s="42"/>
      <c r="UM326" s="42"/>
      <c r="UN326" s="42"/>
      <c r="UO326" s="42"/>
      <c r="UP326" s="42"/>
      <c r="UQ326" s="42"/>
      <c r="UR326" s="42"/>
      <c r="US326" s="42"/>
      <c r="UT326" s="42"/>
      <c r="UU326" s="42"/>
      <c r="UV326" s="42"/>
      <c r="UW326" s="42"/>
      <c r="UX326" s="42"/>
      <c r="UY326" s="42"/>
      <c r="UZ326" s="42"/>
      <c r="VA326" s="42"/>
      <c r="VB326" s="42"/>
      <c r="VC326" s="42"/>
      <c r="VD326" s="42"/>
      <c r="VE326" s="42"/>
      <c r="VF326" s="42"/>
      <c r="VG326" s="42"/>
      <c r="VH326" s="42"/>
      <c r="VI326" s="42"/>
      <c r="VJ326" s="42"/>
      <c r="VK326" s="42"/>
      <c r="VL326" s="42"/>
      <c r="VM326" s="42"/>
      <c r="VN326" s="42"/>
      <c r="VO326" s="42"/>
      <c r="VP326" s="42"/>
      <c r="VQ326" s="42"/>
      <c r="VR326" s="42"/>
      <c r="VS326" s="42"/>
      <c r="VT326" s="42"/>
      <c r="VU326" s="42"/>
      <c r="VV326" s="42"/>
      <c r="VW326" s="42"/>
      <c r="VX326" s="42"/>
      <c r="VY326" s="42"/>
      <c r="VZ326" s="42"/>
      <c r="WA326" s="42"/>
      <c r="WB326" s="42"/>
      <c r="WC326" s="42"/>
      <c r="WD326" s="42"/>
      <c r="WE326" s="42"/>
      <c r="WF326" s="42"/>
      <c r="WG326" s="42"/>
      <c r="WH326" s="42"/>
      <c r="WI326" s="42"/>
      <c r="WJ326" s="42"/>
      <c r="WK326" s="42"/>
      <c r="WL326" s="42"/>
      <c r="WM326" s="42"/>
      <c r="WN326" s="42"/>
      <c r="WO326" s="42"/>
      <c r="WP326" s="42"/>
      <c r="WQ326" s="42"/>
      <c r="WR326" s="42"/>
      <c r="WS326" s="42"/>
      <c r="WT326" s="42"/>
      <c r="WU326" s="42"/>
      <c r="WV326" s="42"/>
      <c r="WW326" s="42"/>
      <c r="WX326" s="42"/>
      <c r="WY326" s="42"/>
      <c r="WZ326" s="42"/>
      <c r="XA326" s="42"/>
      <c r="XB326" s="42"/>
      <c r="XC326" s="42"/>
      <c r="XD326" s="42"/>
      <c r="XE326" s="42"/>
      <c r="XF326" s="42"/>
      <c r="XG326" s="42"/>
      <c r="XH326" s="42"/>
      <c r="XI326" s="42"/>
      <c r="XJ326" s="42"/>
      <c r="XK326" s="42"/>
      <c r="XL326" s="42"/>
      <c r="XM326" s="42"/>
      <c r="XN326" s="42"/>
      <c r="XO326" s="42"/>
      <c r="XP326" s="42"/>
      <c r="XQ326" s="42"/>
      <c r="XR326" s="42"/>
      <c r="XS326" s="42"/>
      <c r="XT326" s="42"/>
      <c r="XU326" s="42"/>
      <c r="XV326" s="42"/>
      <c r="XW326" s="42"/>
      <c r="XX326" s="42"/>
      <c r="XY326" s="42"/>
      <c r="XZ326" s="42"/>
      <c r="YA326" s="42"/>
      <c r="YB326" s="42"/>
      <c r="YC326" s="42"/>
      <c r="YD326" s="42"/>
      <c r="YE326" s="42"/>
      <c r="YF326" s="42"/>
      <c r="YG326" s="42"/>
      <c r="YH326" s="42"/>
      <c r="YI326" s="42"/>
      <c r="YJ326" s="42"/>
      <c r="YK326" s="42"/>
      <c r="YL326" s="42"/>
      <c r="YM326" s="42"/>
      <c r="YN326" s="42"/>
      <c r="YO326" s="42"/>
      <c r="YP326" s="42"/>
      <c r="YQ326" s="42"/>
      <c r="YR326" s="42"/>
      <c r="YS326" s="42"/>
      <c r="YT326" s="42"/>
      <c r="YU326" s="42"/>
      <c r="YV326" s="42"/>
      <c r="YW326" s="42"/>
      <c r="YX326" s="42"/>
      <c r="YY326" s="42"/>
      <c r="YZ326" s="42"/>
      <c r="ZA326" s="42"/>
      <c r="ZB326" s="42"/>
      <c r="ZC326" s="42"/>
      <c r="ZD326" s="42"/>
      <c r="ZE326" s="42"/>
      <c r="ZF326" s="42"/>
      <c r="ZG326" s="42"/>
      <c r="ZH326" s="42"/>
      <c r="ZI326" s="42"/>
      <c r="ZJ326" s="42"/>
      <c r="ZK326" s="42"/>
      <c r="ZL326" s="42"/>
      <c r="ZM326" s="42"/>
      <c r="ZN326" s="42"/>
      <c r="ZO326" s="42"/>
      <c r="ZP326" s="42"/>
      <c r="ZQ326" s="42"/>
      <c r="ZR326" s="42"/>
      <c r="ZS326" s="42"/>
      <c r="ZT326" s="42"/>
      <c r="ZU326" s="42"/>
      <c r="ZV326" s="42"/>
      <c r="ZW326" s="42"/>
      <c r="ZX326" s="42"/>
      <c r="ZY326" s="42"/>
      <c r="ZZ326" s="42"/>
      <c r="AAA326" s="42"/>
      <c r="AAB326" s="42"/>
      <c r="AAC326" s="42"/>
      <c r="AAD326" s="42"/>
      <c r="AAE326" s="42"/>
      <c r="AAF326" s="42"/>
      <c r="AAG326" s="42"/>
      <c r="AAH326" s="42"/>
      <c r="AAI326" s="42"/>
      <c r="AAJ326" s="42"/>
      <c r="AAK326" s="42"/>
      <c r="AAL326" s="42"/>
      <c r="AAM326" s="42"/>
      <c r="AAN326" s="42"/>
      <c r="AAO326" s="42"/>
      <c r="AAP326" s="42"/>
      <c r="AAQ326" s="42"/>
      <c r="AAR326" s="42"/>
      <c r="AAS326" s="42"/>
      <c r="AAT326" s="42"/>
      <c r="AAU326" s="42"/>
      <c r="AAV326" s="42"/>
      <c r="AAW326" s="42"/>
      <c r="AAX326" s="42"/>
      <c r="AAY326" s="42"/>
      <c r="AAZ326" s="42"/>
      <c r="ABA326" s="42"/>
      <c r="ABB326" s="42"/>
      <c r="ABC326" s="42"/>
      <c r="ABD326" s="42"/>
      <c r="ABE326" s="42"/>
      <c r="ABF326" s="42"/>
      <c r="ABG326" s="42"/>
      <c r="ABH326" s="42"/>
      <c r="ABI326" s="42"/>
      <c r="ABJ326" s="42"/>
      <c r="ABK326" s="42"/>
      <c r="ABL326" s="42"/>
      <c r="ABM326" s="42"/>
      <c r="ABN326" s="42"/>
      <c r="ABO326" s="42"/>
      <c r="ABP326" s="42"/>
      <c r="ABQ326" s="42"/>
      <c r="ABR326" s="42"/>
      <c r="ABS326" s="42"/>
      <c r="ABT326" s="42"/>
      <c r="ABU326" s="42"/>
      <c r="ABV326" s="42"/>
      <c r="ABW326" s="42"/>
      <c r="ABX326" s="42"/>
      <c r="ABY326" s="42"/>
      <c r="ABZ326" s="42"/>
      <c r="ACA326" s="42"/>
      <c r="ACB326" s="42"/>
      <c r="ACC326" s="42"/>
      <c r="ACD326" s="42"/>
      <c r="ACE326" s="42"/>
      <c r="ACF326" s="42"/>
      <c r="ACG326" s="42"/>
      <c r="ACH326" s="42"/>
      <c r="ACI326" s="42"/>
      <c r="ACJ326" s="42"/>
      <c r="ACK326" s="42"/>
      <c r="ACL326" s="42"/>
      <c r="ACM326" s="42"/>
      <c r="ACN326" s="42"/>
      <c r="ACO326" s="42"/>
      <c r="ACP326" s="42"/>
      <c r="ACQ326" s="42"/>
      <c r="ACR326" s="42"/>
      <c r="ACS326" s="42"/>
      <c r="ACT326" s="42"/>
      <c r="ACU326" s="42"/>
      <c r="ACV326" s="42"/>
      <c r="ACW326" s="42"/>
      <c r="ACX326" s="42"/>
      <c r="ACY326" s="42"/>
      <c r="ACZ326" s="42"/>
      <c r="ADA326" s="42"/>
      <c r="ADB326" s="42"/>
      <c r="ADC326" s="42"/>
      <c r="ADD326" s="42"/>
      <c r="ADE326" s="42"/>
      <c r="ADF326" s="42"/>
      <c r="ADG326" s="42"/>
      <c r="ADH326" s="42"/>
      <c r="ADI326" s="42"/>
      <c r="ADJ326" s="42"/>
      <c r="ADK326" s="42"/>
      <c r="ADL326" s="42"/>
      <c r="ADM326" s="42"/>
      <c r="ADN326" s="42"/>
      <c r="ADO326" s="42"/>
      <c r="ADP326" s="42"/>
      <c r="ADQ326" s="42"/>
      <c r="ADR326" s="42"/>
      <c r="ADS326" s="42"/>
      <c r="ADT326" s="42"/>
      <c r="ADU326" s="42"/>
      <c r="ADV326" s="42"/>
      <c r="ADW326" s="42"/>
      <c r="ADX326" s="42"/>
      <c r="ADY326" s="42"/>
      <c r="ADZ326" s="42"/>
      <c r="AEA326" s="42"/>
      <c r="AEB326" s="42"/>
      <c r="AEC326" s="42"/>
      <c r="AED326" s="42"/>
      <c r="AEE326" s="42"/>
      <c r="AEF326" s="42"/>
      <c r="AEG326" s="42"/>
      <c r="AEH326" s="42"/>
      <c r="AEI326" s="42"/>
      <c r="AEJ326" s="42"/>
      <c r="AEK326" s="42"/>
      <c r="AEL326" s="42"/>
      <c r="AEM326" s="42"/>
      <c r="AEN326" s="42"/>
      <c r="AEO326" s="42"/>
      <c r="AEP326" s="42"/>
      <c r="AEQ326" s="42"/>
      <c r="AER326" s="42"/>
      <c r="AES326" s="42"/>
      <c r="AET326" s="42"/>
      <c r="AEU326" s="42"/>
      <c r="AEV326" s="42"/>
      <c r="AEW326" s="42"/>
      <c r="AEX326" s="42"/>
      <c r="AEY326" s="42"/>
      <c r="AEZ326" s="42"/>
      <c r="AFA326" s="42"/>
      <c r="AFB326" s="42"/>
      <c r="AFC326" s="42"/>
      <c r="AFD326" s="42"/>
      <c r="AFE326" s="42"/>
      <c r="AFF326" s="42"/>
      <c r="AFG326" s="42"/>
      <c r="AFH326" s="42"/>
      <c r="AFI326" s="42"/>
      <c r="AFJ326" s="42"/>
      <c r="AFK326" s="42"/>
      <c r="AFL326" s="42"/>
      <c r="AFM326" s="42"/>
      <c r="AFN326" s="42"/>
      <c r="AFO326" s="42"/>
      <c r="AFP326" s="42"/>
      <c r="AFQ326" s="42"/>
      <c r="AFR326" s="42"/>
      <c r="AFS326" s="42"/>
      <c r="AFT326" s="42"/>
      <c r="AFU326" s="42"/>
      <c r="AFV326" s="42"/>
      <c r="AFW326" s="42"/>
      <c r="AFX326" s="42"/>
      <c r="AFY326" s="42"/>
      <c r="AFZ326" s="42"/>
      <c r="AGA326" s="42"/>
      <c r="AGB326" s="42"/>
      <c r="AGC326" s="42"/>
      <c r="AGD326" s="42"/>
      <c r="AGE326" s="42"/>
      <c r="AGF326" s="42"/>
      <c r="AGG326" s="42"/>
      <c r="AGH326" s="42"/>
      <c r="AGI326" s="42"/>
      <c r="AGJ326" s="42"/>
      <c r="AGK326" s="42"/>
      <c r="AGL326" s="42"/>
      <c r="AGM326" s="42"/>
      <c r="AGN326" s="42"/>
      <c r="AGO326" s="42"/>
      <c r="AGP326" s="42"/>
      <c r="AGQ326" s="42"/>
      <c r="AGR326" s="42"/>
      <c r="AGS326" s="42"/>
      <c r="AGT326" s="42"/>
      <c r="AGU326" s="42"/>
      <c r="AGV326" s="42"/>
      <c r="AGW326" s="42"/>
      <c r="AGX326" s="42"/>
      <c r="AGY326" s="42"/>
      <c r="AGZ326" s="42"/>
      <c r="AHA326" s="42"/>
      <c r="AHB326" s="42"/>
      <c r="AHC326" s="42"/>
      <c r="AHD326" s="42"/>
      <c r="AHE326" s="42"/>
      <c r="AHF326" s="42"/>
      <c r="AHG326" s="42"/>
      <c r="AHH326" s="42"/>
      <c r="AHI326" s="42"/>
      <c r="AHJ326" s="42"/>
      <c r="AHK326" s="42"/>
      <c r="AHL326" s="42"/>
      <c r="AHM326" s="42"/>
      <c r="AHN326" s="42"/>
      <c r="AHO326" s="42"/>
      <c r="AHP326" s="42"/>
      <c r="AHQ326" s="42"/>
      <c r="AHR326" s="42"/>
      <c r="AHS326" s="42"/>
      <c r="AHT326" s="42"/>
      <c r="AHU326" s="42"/>
      <c r="AHV326" s="42"/>
      <c r="AHW326" s="42"/>
      <c r="AHX326" s="42"/>
      <c r="AHY326" s="42"/>
      <c r="AHZ326" s="42"/>
      <c r="AIA326" s="42"/>
      <c r="AIB326" s="42"/>
      <c r="AIC326" s="42"/>
      <c r="AID326" s="42"/>
      <c r="AIE326" s="42"/>
      <c r="AIF326" s="42"/>
      <c r="AIG326" s="42"/>
      <c r="AIH326" s="42"/>
      <c r="AII326" s="42"/>
      <c r="AIJ326" s="42"/>
      <c r="AIK326" s="42"/>
      <c r="AIL326" s="42"/>
      <c r="AIM326" s="42"/>
      <c r="AIN326" s="42"/>
      <c r="AIO326" s="42"/>
      <c r="AIP326" s="42"/>
      <c r="AIQ326" s="42"/>
      <c r="AIR326" s="42"/>
      <c r="AIS326" s="42"/>
      <c r="AIT326" s="42"/>
      <c r="AIU326" s="42"/>
      <c r="AIV326" s="42"/>
      <c r="AIW326" s="42"/>
      <c r="AIX326" s="42"/>
      <c r="AIY326" s="42"/>
      <c r="AIZ326" s="42"/>
      <c r="AJA326" s="42"/>
      <c r="AJB326" s="42"/>
      <c r="AJC326" s="42"/>
      <c r="AJD326" s="42"/>
      <c r="AJE326" s="42"/>
      <c r="AJF326" s="42"/>
      <c r="AJG326" s="42"/>
      <c r="AJH326" s="42"/>
      <c r="AJI326" s="42"/>
      <c r="AJJ326" s="42"/>
      <c r="AJK326" s="42"/>
      <c r="AJL326" s="42"/>
      <c r="AJM326" s="42"/>
      <c r="AJN326" s="42"/>
      <c r="AJO326" s="42"/>
      <c r="AJP326" s="42"/>
      <c r="AJQ326" s="42"/>
      <c r="AJR326" s="42"/>
      <c r="AJS326" s="42"/>
      <c r="AJT326" s="42"/>
      <c r="AJU326" s="42"/>
      <c r="AJV326" s="42"/>
      <c r="AJW326" s="42"/>
      <c r="AJX326" s="42"/>
      <c r="AJY326" s="42"/>
      <c r="AJZ326" s="42"/>
      <c r="AKA326" s="42"/>
      <c r="AKB326" s="42"/>
      <c r="AKC326" s="42"/>
      <c r="AKD326" s="42"/>
      <c r="AKE326" s="42"/>
      <c r="AKF326" s="42"/>
      <c r="AKG326" s="42"/>
      <c r="AKH326" s="42"/>
      <c r="AKI326" s="42"/>
      <c r="AKJ326" s="42"/>
      <c r="AKK326" s="42"/>
      <c r="AKL326" s="42"/>
      <c r="AKM326" s="42"/>
      <c r="AKN326" s="42"/>
      <c r="AKO326" s="42"/>
      <c r="AKP326" s="42"/>
      <c r="AKQ326" s="42"/>
      <c r="AKR326" s="42"/>
      <c r="AKS326" s="42"/>
      <c r="AKT326" s="42"/>
      <c r="AKU326" s="42"/>
      <c r="AKV326" s="42"/>
      <c r="AKW326" s="42"/>
      <c r="AKX326" s="42"/>
      <c r="AKY326" s="42"/>
      <c r="AKZ326" s="42"/>
      <c r="ALA326" s="42"/>
      <c r="ALB326" s="42"/>
      <c r="ALC326" s="42"/>
      <c r="ALD326" s="42"/>
      <c r="ALE326" s="42"/>
      <c r="ALF326" s="42"/>
      <c r="ALG326" s="42"/>
      <c r="ALH326" s="42"/>
      <c r="ALI326" s="42"/>
      <c r="ALJ326" s="42"/>
      <c r="ALK326" s="42"/>
      <c r="ALL326" s="42"/>
      <c r="ALM326" s="42"/>
      <c r="ALN326" s="42"/>
      <c r="ALO326" s="42"/>
      <c r="ALP326" s="42"/>
      <c r="ALQ326" s="42"/>
      <c r="ALR326" s="42"/>
      <c r="ALS326" s="42"/>
      <c r="ALT326" s="42"/>
      <c r="ALU326" s="42"/>
      <c r="ALV326" s="42"/>
      <c r="ALW326" s="42"/>
      <c r="ALX326" s="42"/>
      <c r="ALY326" s="42"/>
      <c r="ALZ326" s="42"/>
      <c r="AMA326" s="42"/>
      <c r="AMB326" s="42"/>
      <c r="AMC326" s="42"/>
      <c r="AMD326" s="42"/>
      <c r="AME326" s="42"/>
      <c r="AMF326" s="42"/>
      <c r="AMG326" s="42"/>
      <c r="AMH326" s="42"/>
      <c r="AMI326" s="42"/>
    </row>
    <row r="327" spans="1:1023" x14ac:dyDescent="0.2">
      <c r="A327" s="88">
        <v>304</v>
      </c>
      <c r="B327" s="86" t="s">
        <v>508</v>
      </c>
      <c r="C327" s="86" t="s">
        <v>545</v>
      </c>
      <c r="D327" s="86">
        <v>1950</v>
      </c>
      <c r="E327" s="86">
        <v>200</v>
      </c>
      <c r="F327" s="86">
        <v>17</v>
      </c>
      <c r="G327" s="86" t="s">
        <v>127</v>
      </c>
      <c r="H327" s="92" t="s">
        <v>758</v>
      </c>
      <c r="I327" s="92">
        <v>52.061519599999997</v>
      </c>
      <c r="J327" s="93">
        <v>36.9693909</v>
      </c>
      <c r="K327" s="94">
        <v>462</v>
      </c>
      <c r="L327" s="81" t="s">
        <v>771</v>
      </c>
      <c r="M327" s="1" t="s">
        <v>777</v>
      </c>
      <c r="N327" s="148" t="s">
        <v>777</v>
      </c>
      <c r="O327" s="112"/>
      <c r="P327" s="112"/>
    </row>
    <row r="328" spans="1:1023" ht="60" x14ac:dyDescent="0.2">
      <c r="A328" s="18">
        <v>305</v>
      </c>
      <c r="B328" s="13" t="s">
        <v>546</v>
      </c>
      <c r="C328" s="13" t="s">
        <v>547</v>
      </c>
      <c r="D328" s="13" t="s">
        <v>27</v>
      </c>
      <c r="E328" s="13">
        <v>430</v>
      </c>
      <c r="F328" s="13">
        <v>27</v>
      </c>
      <c r="G328" s="13" t="s">
        <v>127</v>
      </c>
      <c r="H328" s="32" t="s">
        <v>747</v>
      </c>
      <c r="I328" s="32">
        <v>51.914051999999998</v>
      </c>
      <c r="J328" s="53">
        <v>36.739522000000001</v>
      </c>
      <c r="K328" s="72">
        <v>463</v>
      </c>
      <c r="L328" s="83"/>
      <c r="N328" s="148" t="s">
        <v>777</v>
      </c>
      <c r="O328" s="112"/>
      <c r="P328" s="112"/>
    </row>
    <row r="329" spans="1:1023" x14ac:dyDescent="0.25">
      <c r="A329" s="18">
        <v>306</v>
      </c>
      <c r="B329" s="13" t="s">
        <v>548</v>
      </c>
      <c r="C329" s="13" t="s">
        <v>549</v>
      </c>
      <c r="D329" s="13" t="s">
        <v>27</v>
      </c>
      <c r="E329" s="13">
        <v>210</v>
      </c>
      <c r="F329" s="13">
        <v>9</v>
      </c>
      <c r="G329" s="13" t="s">
        <v>20</v>
      </c>
      <c r="H329" s="32" t="s">
        <v>759</v>
      </c>
      <c r="I329" s="32">
        <v>52.010024999999999</v>
      </c>
      <c r="J329" s="53">
        <v>36.7157555</v>
      </c>
      <c r="K329" s="72">
        <v>464</v>
      </c>
      <c r="L329" s="83"/>
      <c r="N329" s="148" t="s">
        <v>777</v>
      </c>
      <c r="O329" s="112"/>
      <c r="P329" s="112"/>
      <c r="Q329" s="177" t="s">
        <v>1176</v>
      </c>
    </row>
    <row r="330" spans="1:1023" ht="26.25" x14ac:dyDescent="0.25">
      <c r="A330" s="88">
        <v>307</v>
      </c>
      <c r="B330" s="86" t="s">
        <v>550</v>
      </c>
      <c r="C330" s="86" t="s">
        <v>551</v>
      </c>
      <c r="D330" s="86">
        <v>1950</v>
      </c>
      <c r="E330" s="86">
        <v>535</v>
      </c>
      <c r="F330" s="86">
        <v>38</v>
      </c>
      <c r="G330" s="86" t="s">
        <v>9</v>
      </c>
      <c r="H330" s="92" t="s">
        <v>751</v>
      </c>
      <c r="I330" s="92">
        <v>51.716838799999998</v>
      </c>
      <c r="J330" s="93">
        <v>36.738876300000001</v>
      </c>
      <c r="K330" s="94">
        <v>465</v>
      </c>
      <c r="L330" s="81" t="s">
        <v>776</v>
      </c>
      <c r="M330" s="1" t="s">
        <v>777</v>
      </c>
      <c r="N330" s="148" t="s">
        <v>777</v>
      </c>
      <c r="O330" s="112"/>
      <c r="P330" s="112"/>
      <c r="Q330" s="173" t="s">
        <v>1188</v>
      </c>
    </row>
    <row r="331" spans="1:1023" ht="30.75" thickBot="1" x14ac:dyDescent="0.25">
      <c r="A331" s="18">
        <v>308</v>
      </c>
      <c r="B331" s="41" t="s">
        <v>552</v>
      </c>
      <c r="C331" s="13" t="s">
        <v>536</v>
      </c>
      <c r="D331" s="13" t="s">
        <v>27</v>
      </c>
      <c r="E331" s="13" t="s">
        <v>27</v>
      </c>
      <c r="F331" s="13" t="s">
        <v>27</v>
      </c>
      <c r="G331" s="13" t="s">
        <v>9</v>
      </c>
      <c r="H331" s="32" t="s">
        <v>760</v>
      </c>
      <c r="I331" s="32">
        <v>51.889668</v>
      </c>
      <c r="J331" s="53">
        <v>36.879337</v>
      </c>
      <c r="K331" s="75">
        <v>466</v>
      </c>
      <c r="L331" s="83"/>
      <c r="N331" s="148" t="s">
        <v>777</v>
      </c>
      <c r="O331" s="112"/>
      <c r="P331" s="112"/>
    </row>
    <row r="332" spans="1:1023" x14ac:dyDescent="0.2">
      <c r="M332" s="149" t="s">
        <v>1147</v>
      </c>
      <c r="N332" s="150">
        <f>COUNTIF(N2:N331, "+")</f>
        <v>301</v>
      </c>
      <c r="O332" s="150">
        <f t="shared" ref="O332:P332" si="0">COUNTIF(O2:O331, "+")</f>
        <v>89</v>
      </c>
      <c r="P332" s="150">
        <f t="shared" si="0"/>
        <v>89</v>
      </c>
    </row>
    <row r="333" spans="1:1023" ht="29.25" customHeight="1" x14ac:dyDescent="0.2">
      <c r="C333" s="30"/>
      <c r="D333" s="227" t="s">
        <v>553</v>
      </c>
      <c r="E333" s="227"/>
      <c r="F333" s="227"/>
      <c r="G333" s="227"/>
      <c r="I333" s="228" t="s">
        <v>778</v>
      </c>
      <c r="J333" s="229"/>
      <c r="K333" s="77">
        <f>COUNTIF($M$3:$M$499, "+")</f>
        <v>43</v>
      </c>
    </row>
  </sheetData>
  <mergeCells count="37">
    <mergeCell ref="Q47:Q50"/>
    <mergeCell ref="A152:J152"/>
    <mergeCell ref="A174:J174"/>
    <mergeCell ref="A196:J196"/>
    <mergeCell ref="A304:J304"/>
    <mergeCell ref="A131:J131"/>
    <mergeCell ref="A52:J52"/>
    <mergeCell ref="A68:J68"/>
    <mergeCell ref="A83:J83"/>
    <mergeCell ref="A95:J95"/>
    <mergeCell ref="K95:L95"/>
    <mergeCell ref="K47:K50"/>
    <mergeCell ref="L47:L50"/>
    <mergeCell ref="N47:N50"/>
    <mergeCell ref="O47:O50"/>
    <mergeCell ref="P47:P50"/>
    <mergeCell ref="D333:G333"/>
    <mergeCell ref="A208:J208"/>
    <mergeCell ref="A218:J218"/>
    <mergeCell ref="A237:J237"/>
    <mergeCell ref="A255:J255"/>
    <mergeCell ref="A271:J271"/>
    <mergeCell ref="A282:J282"/>
    <mergeCell ref="A296:J296"/>
    <mergeCell ref="I333:J333"/>
    <mergeCell ref="I1:J1"/>
    <mergeCell ref="A2:J2"/>
    <mergeCell ref="A15:J15"/>
    <mergeCell ref="A32:J32"/>
    <mergeCell ref="A47:A50"/>
    <mergeCell ref="B47:B50"/>
    <mergeCell ref="C47:C50"/>
    <mergeCell ref="D47:D50"/>
    <mergeCell ref="E47:E50"/>
    <mergeCell ref="F47:F50"/>
    <mergeCell ref="G47:G50"/>
    <mergeCell ref="H47:H50"/>
  </mergeCells>
  <pageMargins left="1.1812499999999999" right="0.78749999999999998" top="0.78749999999999998" bottom="0.78749999999999998" header="0.51180555555555496" footer="0.51180555555555496"/>
  <pageSetup paperSize="9" scale="86" firstPageNumber="0" orientation="portrait" horizontalDpi="300" verticalDpi="300" r:id="rId1"/>
  <rowBreaks count="1" manualBreakCount="1">
    <brk id="29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4061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Перечень ГТС (2)</vt:lpstr>
      <vt:lpstr>Для кмз</vt:lpstr>
      <vt:lpstr>Лист1</vt:lpstr>
      <vt:lpstr>Перечень ГТС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Богачева Наталия Валерьевна</dc:creator>
  <cp:lastModifiedBy>Шкода Дарья Дмитриевна</cp:lastModifiedBy>
  <cp:revision>495</cp:revision>
  <cp:lastPrinted>2022-02-18T16:23:30Z</cp:lastPrinted>
  <dcterms:created xsi:type="dcterms:W3CDTF">2021-03-05T07:13:15Z</dcterms:created>
  <dcterms:modified xsi:type="dcterms:W3CDTF">2025-12-03T11:07:12Z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
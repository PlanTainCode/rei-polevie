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ЭтаКнига" defaultThemeVersion="124226"/>
  <bookViews>
    <workbookView xWindow="570" yWindow="195" windowWidth="14565" windowHeight="13170" tabRatio="802" activeTab="4"/>
  </bookViews>
  <sheets>
    <sheet name="Заявка в ИЛЦ" sheetId="21" r:id="rId1"/>
    <sheet name="768-00001-52007-18(Заявка ИЛЦ)" sheetId="5" state="hidden" r:id="rId2"/>
    <sheet name="768-00001-00000-18(Заявка ИЛЦ)" sheetId="6" state="hidden" r:id="rId3"/>
    <sheet name="768-00002-00000-18" sheetId="7" state="hidden" r:id="rId4"/>
    <sheet name="Заявка в ФМБА" sheetId="27" r:id="rId5"/>
    <sheet name="Акт отбора проб Почва" sheetId="3" r:id="rId6"/>
    <sheet name="Акт отбора проб МБ" sheetId="17" r:id="rId7"/>
    <sheet name="Акт отбора проб МБ (для ФБУЗ)" sheetId="19" r:id="rId8"/>
    <sheet name="Акт отбора проб ДО" sheetId="23" r:id="rId9"/>
    <sheet name="Акт отбора проб Вода" sheetId="25" r:id="rId10"/>
    <sheet name="БОП" sheetId="8" r:id="rId11"/>
    <sheet name="БОП МБ" sheetId="20" r:id="rId12"/>
    <sheet name="БОП БАК" sheetId="22" r:id="rId13"/>
    <sheet name="БОП ДО" sheetId="24" r:id="rId14"/>
    <sheet name="БОП Вода" sheetId="26" r:id="rId15"/>
    <sheet name="Табличка в поле" sheetId="18" r:id="rId16"/>
    <sheet name="773-00001-52007-18(МЭД точка)" sheetId="11" r:id="rId17"/>
    <sheet name="773-00001-52007-18(МЭД сеть) " sheetId="10" r:id="rId18"/>
    <sheet name="772-00001-52007-18(ППР)" sheetId="9" r:id="rId19"/>
    <sheet name="774-00001-52007-18(ЭРОА)" sheetId="12" r:id="rId20"/>
    <sheet name="775-00001-52007-18(МЭД здание)" sheetId="13" r:id="rId21"/>
    <sheet name="769-00001-52007-18(Заявка МБ)" sheetId="14" r:id="rId22"/>
    <sheet name="770-00001-52007-18 Зака мб вода" sheetId="15" r:id="rId23"/>
    <sheet name="ГГХ" sheetId="16" r:id="rId24"/>
  </sheets>
  <externalReferences>
    <externalReference r:id="rId25"/>
  </externalReferences>
  <definedNames>
    <definedName name="_Hlk203474863" localSheetId="4">'Заявка в ФМБА'!$N$63</definedName>
    <definedName name="all" localSheetId="4">#REF!</definedName>
    <definedName name="all">#REF!</definedName>
    <definedName name="Brigade2" localSheetId="4">#REF!</definedName>
    <definedName name="Brigade2">#REF!</definedName>
    <definedName name="Brigade3" localSheetId="4">#REF!</definedName>
    <definedName name="Brigade3">#REF!</definedName>
    <definedName name="do" localSheetId="4">#REF!</definedName>
    <definedName name="do">#REF!</definedName>
    <definedName name="gx" localSheetId="4">#REF!</definedName>
    <definedName name="gx">#REF!</definedName>
    <definedName name="OLE_LINK2" localSheetId="2">'768-00001-00000-18(Заявка ИЛЦ)'!#REF!</definedName>
    <definedName name="OLE_LINK2" localSheetId="1">'768-00001-52007-18(Заявка ИЛЦ)'!#REF!</definedName>
    <definedName name="OLE_LINK2" localSheetId="3">'768-00002-00000-18'!#REF!</definedName>
    <definedName name="pov" localSheetId="4">#REF!</definedName>
    <definedName name="pov">#REF!</definedName>
    <definedName name="Water" localSheetId="4">#REF!</definedName>
    <definedName name="Water">#REF!</definedName>
    <definedName name="ZDO_DAT1" localSheetId="2">'768-00001-00000-18(Заявка ИЛЦ)'!$D$3</definedName>
    <definedName name="ZDO_DAT1" localSheetId="1">'768-00001-52007-18(Заявка ИЛЦ)'!$D$3</definedName>
    <definedName name="ZDO_DAT1" localSheetId="3">'768-00002-00000-18'!$D$3</definedName>
    <definedName name="ZDO_NUM" localSheetId="2">'768-00001-00000-18(Заявка ИЛЦ)'!$D$2</definedName>
    <definedName name="ZDO_NUM" localSheetId="1">'768-00001-52007-18(Заявка ИЛЦ)'!$D$2</definedName>
    <definedName name="ZDO_NUM" localSheetId="3">'768-00002-00000-18'!$D$2</definedName>
    <definedName name="_xlnm.Print_Titles" localSheetId="20">'775-00001-52007-18(МЭД здание)'!$20:$20</definedName>
    <definedName name="_xlnm.Print_Titles" localSheetId="9">'Акт отбора проб Вода'!$18:$18</definedName>
    <definedName name="_xlnm.Print_Titles" localSheetId="8">'Акт отбора проб ДО'!$19:$19</definedName>
    <definedName name="_xlnm.Print_Titles" localSheetId="6">'Акт отбора проб МБ'!$19:$19</definedName>
    <definedName name="_xlnm.Print_Titles" localSheetId="5">'Акт отбора проб Почва'!$19:$19</definedName>
    <definedName name="_xlnm.Print_Titles" localSheetId="23">ГГХ!$10:$11</definedName>
    <definedName name="_xlnm.Print_Area" localSheetId="2">'768-00001-00000-18(Заявка ИЛЦ)'!$A$1:$G$114</definedName>
    <definedName name="_xlnm.Print_Area" localSheetId="1">'768-00001-52007-18(Заявка ИЛЦ)'!$A$1:$G$110</definedName>
    <definedName name="_xlnm.Print_Area" localSheetId="3">'768-00002-00000-18'!$A$1:$G$113</definedName>
    <definedName name="_xlnm.Print_Area" localSheetId="21">'769-00001-52007-18(Заявка МБ)'!$A$1:$G$37</definedName>
    <definedName name="_xlnm.Print_Area" localSheetId="22">'770-00001-52007-18 Зака мб вода'!$A$1:$G$44</definedName>
    <definedName name="_xlnm.Print_Area" localSheetId="18">'772-00001-52007-18(ППР)'!$A$1:$R$63</definedName>
    <definedName name="_xlnm.Print_Area" localSheetId="17">'773-00001-52007-18(МЭД сеть) '!$B$1:$S$51</definedName>
    <definedName name="_xlnm.Print_Area" localSheetId="16">'773-00001-52007-18(МЭД точка)'!$A$1:$M$94</definedName>
    <definedName name="_xlnm.Print_Area" localSheetId="19">'774-00001-52007-18(ЭРОА)'!$A$1:$L$60</definedName>
    <definedName name="_xlnm.Print_Area" localSheetId="20">'775-00001-52007-18(МЭД здание)'!$A$1:$O$123</definedName>
    <definedName name="_xlnm.Print_Area" localSheetId="9">'Акт отбора проб Вода'!$A$1:$R$140</definedName>
    <definedName name="_xlnm.Print_Area" localSheetId="8">'Акт отбора проб ДО'!$A$1:$R$48</definedName>
    <definedName name="_xlnm.Print_Area" localSheetId="6">'Акт отбора проб МБ'!$A$2:$R$102</definedName>
    <definedName name="_xlnm.Print_Area" localSheetId="5">'Акт отбора проб Почва'!$A$1:$R$125</definedName>
    <definedName name="_xlnm.Print_Area" localSheetId="10">БОП!$A$1:$J$624</definedName>
    <definedName name="_xlnm.Print_Area" localSheetId="12">'БОП БАК'!$A$1:$J$130</definedName>
    <definedName name="_xlnm.Print_Area" localSheetId="14">'БОП Вода'!$A$1:$J$195</definedName>
    <definedName name="_xlnm.Print_Area" localSheetId="13">'БОП ДО'!$A$1:$J$195</definedName>
    <definedName name="_xlnm.Print_Area" localSheetId="11">'БОП МБ'!$A$1:$J$78</definedName>
    <definedName name="_xlnm.Print_Area" localSheetId="23">ГГХ!$A$1:$L$39</definedName>
    <definedName name="_xlnm.Print_Area" localSheetId="0">'Заявка в ИЛЦ'!$A$1:$H$48</definedName>
    <definedName name="_xlnm.Print_Area" localSheetId="4">'Заявка в ФМБА'!$A$1:$L$78</definedName>
    <definedName name="_xlnm.Print_Area" localSheetId="15">'Табличка в поле'!$A$1:$A$336</definedName>
  </definedNames>
  <calcPr calcId="145621"/>
</workbook>
</file>

<file path=xl/calcChain.xml><?xml version="1.0" encoding="utf-8"?>
<calcChain xmlns="http://schemas.openxmlformats.org/spreadsheetml/2006/main">
  <c r="G69" i="27" l="1"/>
  <c r="A316" i="18" l="1"/>
  <c r="A295" i="18"/>
  <c r="A274" i="18"/>
  <c r="A253" i="18"/>
  <c r="A232" i="18"/>
  <c r="A211" i="18"/>
  <c r="A190" i="18"/>
  <c r="A169" i="18"/>
  <c r="A148" i="18"/>
  <c r="A127" i="18"/>
  <c r="A106" i="18"/>
  <c r="A85" i="18"/>
  <c r="A64" i="18"/>
  <c r="A43" i="18"/>
  <c r="A22" i="18"/>
  <c r="B4" i="22" l="1"/>
  <c r="B4" i="20"/>
  <c r="E5" i="23" l="1"/>
  <c r="E6" i="25"/>
  <c r="E5" i="25"/>
  <c r="E4" i="25"/>
  <c r="E6" i="23"/>
  <c r="E4" i="23"/>
  <c r="E5" i="19"/>
  <c r="E4" i="19"/>
  <c r="E7" i="17"/>
  <c r="E6" i="17"/>
  <c r="E5" i="17"/>
  <c r="B125" i="22" l="1"/>
  <c r="B112" i="22"/>
  <c r="E50" i="11"/>
  <c r="B34" i="22" l="1"/>
  <c r="B34" i="20"/>
  <c r="B21" i="22"/>
  <c r="D123" i="22"/>
  <c r="J123" i="22"/>
  <c r="J84" i="22"/>
  <c r="D84" i="22"/>
  <c r="B8" i="22"/>
  <c r="J6" i="22"/>
  <c r="D6" i="22"/>
  <c r="B34" i="24"/>
  <c r="B138" i="22" l="1"/>
  <c r="B151" i="22"/>
  <c r="B190" i="22"/>
  <c r="J32" i="22"/>
  <c r="J19" i="22"/>
  <c r="D253" i="20"/>
  <c r="D240" i="20"/>
  <c r="D227" i="20"/>
  <c r="D214" i="20"/>
  <c r="D201" i="20"/>
  <c r="D188" i="20"/>
  <c r="D175" i="20"/>
  <c r="D162" i="20"/>
  <c r="D149" i="20"/>
  <c r="D136" i="20"/>
  <c r="D123" i="20"/>
  <c r="J253" i="20"/>
  <c r="J240" i="20"/>
  <c r="J214" i="20"/>
  <c r="J227" i="20"/>
  <c r="J201" i="20"/>
  <c r="J188" i="20"/>
  <c r="J175" i="20"/>
  <c r="J162" i="20"/>
  <c r="J149" i="20"/>
  <c r="J136" i="20"/>
  <c r="J123" i="20"/>
  <c r="J110" i="20"/>
  <c r="J97" i="20"/>
  <c r="J84" i="20"/>
  <c r="J71" i="20"/>
  <c r="J58" i="20"/>
  <c r="J6" i="20"/>
  <c r="J19" i="20"/>
  <c r="J32" i="20"/>
  <c r="B255" i="20"/>
  <c r="B242" i="20"/>
  <c r="B229" i="20"/>
  <c r="B216" i="20"/>
  <c r="B203" i="20"/>
  <c r="B190" i="20"/>
  <c r="D6" i="11" l="1"/>
  <c r="D201" i="24"/>
  <c r="J97" i="22"/>
  <c r="D97" i="22"/>
  <c r="D110" i="22"/>
  <c r="J45" i="20"/>
  <c r="D6" i="20"/>
  <c r="D19" i="20"/>
  <c r="D32" i="20"/>
  <c r="D45" i="20"/>
  <c r="D58" i="20"/>
  <c r="D71" i="20"/>
  <c r="D110" i="20"/>
  <c r="D97" i="20"/>
  <c r="D84" i="20"/>
  <c r="B73" i="20"/>
  <c r="B99" i="20"/>
  <c r="B775" i="8"/>
  <c r="B762" i="8"/>
  <c r="B749" i="8"/>
  <c r="B736" i="8"/>
  <c r="B723" i="8"/>
  <c r="B710" i="8"/>
  <c r="D708" i="8"/>
  <c r="J695" i="8"/>
  <c r="D695" i="8"/>
  <c r="B697" i="8"/>
  <c r="B684" i="8"/>
  <c r="B671" i="8"/>
  <c r="B658" i="8"/>
  <c r="B645" i="8"/>
  <c r="D643" i="8"/>
  <c r="B632" i="8"/>
  <c r="J617" i="8"/>
  <c r="B619" i="8"/>
  <c r="B606" i="8"/>
  <c r="J591" i="8"/>
  <c r="D591" i="8"/>
  <c r="B593" i="8"/>
  <c r="B580" i="8"/>
  <c r="B567" i="8"/>
  <c r="B554" i="8"/>
  <c r="J526" i="8"/>
  <c r="B528" i="8"/>
  <c r="J539" i="8"/>
  <c r="B541" i="8"/>
  <c r="B515" i="8"/>
  <c r="B502" i="8"/>
  <c r="B489" i="8"/>
  <c r="B476" i="8"/>
  <c r="B463" i="8"/>
  <c r="B450" i="8"/>
  <c r="B437" i="8"/>
  <c r="B424" i="8"/>
  <c r="J409" i="8"/>
  <c r="B411" i="8"/>
  <c r="B398" i="8"/>
  <c r="B385" i="8"/>
  <c r="B372" i="8"/>
  <c r="K372" i="8" s="1"/>
  <c r="D357" i="8"/>
  <c r="B359" i="8"/>
  <c r="B346" i="8"/>
  <c r="J331" i="8"/>
  <c r="B333" i="8"/>
  <c r="B320" i="8"/>
  <c r="B307" i="8"/>
  <c r="B242" i="8"/>
  <c r="B164" i="8"/>
  <c r="B86" i="8"/>
  <c r="B8" i="8"/>
  <c r="D773" i="8"/>
  <c r="D760" i="8"/>
  <c r="D747" i="8"/>
  <c r="J734" i="8"/>
  <c r="D721" i="8"/>
  <c r="D734" i="8"/>
  <c r="D682" i="8"/>
  <c r="D669" i="8"/>
  <c r="D656" i="8"/>
  <c r="D630" i="8"/>
  <c r="J630" i="8"/>
  <c r="D617" i="8"/>
  <c r="J604" i="8"/>
  <c r="D604" i="8"/>
  <c r="J578" i="8"/>
  <c r="D578" i="8"/>
  <c r="D565" i="8"/>
  <c r="J552" i="8"/>
  <c r="D552" i="8"/>
  <c r="D526" i="8"/>
  <c r="D539" i="8"/>
  <c r="J513" i="8"/>
  <c r="D513" i="8"/>
  <c r="J500" i="8"/>
  <c r="D500" i="8"/>
  <c r="J487" i="8"/>
  <c r="D487" i="8"/>
  <c r="J474" i="8"/>
  <c r="D474" i="8"/>
  <c r="J461" i="8"/>
  <c r="D461" i="8"/>
  <c r="D448" i="8"/>
  <c r="D435" i="8"/>
  <c r="D422" i="8"/>
  <c r="D409" i="8"/>
  <c r="D396" i="8"/>
  <c r="J396" i="8"/>
  <c r="D383" i="8"/>
  <c r="J383" i="8"/>
  <c r="J370" i="8"/>
  <c r="K374" i="8" s="1"/>
  <c r="D370" i="8"/>
  <c r="J357" i="8"/>
  <c r="J344" i="8"/>
  <c r="D344" i="8"/>
  <c r="D331" i="8"/>
  <c r="J318" i="8"/>
  <c r="D318" i="8"/>
  <c r="J435" i="8"/>
  <c r="D305" i="8"/>
  <c r="D292" i="8"/>
  <c r="D279" i="8"/>
  <c r="D266" i="8"/>
  <c r="J773" i="8"/>
  <c r="J760" i="8"/>
  <c r="J747" i="8"/>
  <c r="J721" i="8"/>
  <c r="J708" i="8"/>
  <c r="J682" i="8"/>
  <c r="J669" i="8"/>
  <c r="J656" i="8"/>
  <c r="J643" i="8"/>
  <c r="J565" i="8"/>
  <c r="J305" i="8"/>
  <c r="J448" i="8"/>
  <c r="J422" i="8"/>
  <c r="B368" i="8"/>
  <c r="J279" i="8"/>
  <c r="B294" i="8"/>
  <c r="J292" i="8"/>
  <c r="D240" i="8"/>
  <c r="B641" i="8" l="1"/>
  <c r="B385" i="26"/>
  <c r="B372" i="26"/>
  <c r="K372" i="26" s="1"/>
  <c r="B359" i="26"/>
  <c r="B346" i="26"/>
  <c r="K346" i="26" s="1"/>
  <c r="B333" i="26"/>
  <c r="K333" i="26" s="1"/>
  <c r="B320" i="26"/>
  <c r="B307" i="26"/>
  <c r="K307" i="26" s="1"/>
  <c r="B294" i="26"/>
  <c r="K294" i="26" s="1"/>
  <c r="B281" i="26"/>
  <c r="B268" i="26"/>
  <c r="B255" i="26"/>
  <c r="K255" i="26" s="1"/>
  <c r="B242" i="26"/>
  <c r="K242" i="26" s="1"/>
  <c r="B229" i="26"/>
  <c r="K229" i="26" s="1"/>
  <c r="D383" i="26"/>
  <c r="D370" i="26"/>
  <c r="D357" i="26"/>
  <c r="D344" i="26"/>
  <c r="D331" i="26"/>
  <c r="D318" i="26"/>
  <c r="D305" i="26"/>
  <c r="D292" i="26"/>
  <c r="D279" i="26"/>
  <c r="D266" i="26"/>
  <c r="D253" i="26"/>
  <c r="D240" i="26"/>
  <c r="D227" i="26"/>
  <c r="B216" i="26"/>
  <c r="K216" i="26"/>
  <c r="D214" i="26"/>
  <c r="B203" i="26"/>
  <c r="K203" i="26"/>
  <c r="D201" i="26"/>
  <c r="B190" i="26"/>
  <c r="K190" i="26" s="1"/>
  <c r="D188" i="26"/>
  <c r="B177" i="26"/>
  <c r="K177" i="26" s="1"/>
  <c r="D175" i="26"/>
  <c r="B164" i="26"/>
  <c r="K164" i="26" s="1"/>
  <c r="D162" i="26"/>
  <c r="B151" i="26"/>
  <c r="K151" i="26" s="1"/>
  <c r="D149" i="26"/>
  <c r="B138" i="26"/>
  <c r="D136" i="26"/>
  <c r="B125" i="26"/>
  <c r="K125" i="26" s="1"/>
  <c r="D123" i="26"/>
  <c r="B112" i="26"/>
  <c r="K112" i="26" s="1"/>
  <c r="D110" i="26"/>
  <c r="B99" i="26"/>
  <c r="K99" i="26" s="1"/>
  <c r="D97" i="26"/>
  <c r="B86" i="26"/>
  <c r="D84" i="26"/>
  <c r="B73" i="26"/>
  <c r="D71" i="26"/>
  <c r="B60" i="26"/>
  <c r="K60" i="26" s="1"/>
  <c r="D58" i="26"/>
  <c r="B47" i="26"/>
  <c r="K47" i="26" s="1"/>
  <c r="D45" i="26"/>
  <c r="B34" i="26"/>
  <c r="D32" i="26"/>
  <c r="B21" i="26"/>
  <c r="K21" i="26" s="1"/>
  <c r="D19" i="26"/>
  <c r="J6" i="26"/>
  <c r="B8" i="26"/>
  <c r="K8" i="26"/>
  <c r="D6" i="26"/>
  <c r="K385" i="26"/>
  <c r="K359" i="26"/>
  <c r="K320" i="26"/>
  <c r="K281" i="26"/>
  <c r="K268" i="26"/>
  <c r="K138" i="26"/>
  <c r="K86" i="26"/>
  <c r="K73" i="26"/>
  <c r="K34" i="26"/>
  <c r="B2" i="26"/>
  <c r="K146" i="26" s="1"/>
  <c r="B355" i="26"/>
  <c r="B303" i="26"/>
  <c r="B342" i="26"/>
  <c r="E9" i="25"/>
  <c r="B190" i="24"/>
  <c r="K190" i="24" s="1"/>
  <c r="D188" i="24"/>
  <c r="B177" i="24"/>
  <c r="K177" i="24" s="1"/>
  <c r="D175" i="24"/>
  <c r="B164" i="24"/>
  <c r="D162" i="24"/>
  <c r="B151" i="24"/>
  <c r="K151" i="24" s="1"/>
  <c r="D149" i="24"/>
  <c r="B138" i="24"/>
  <c r="K138" i="24" s="1"/>
  <c r="D136" i="24"/>
  <c r="B125" i="24"/>
  <c r="D123" i="24"/>
  <c r="B112" i="24"/>
  <c r="D110" i="24"/>
  <c r="B99" i="24"/>
  <c r="K99" i="24" s="1"/>
  <c r="D97" i="24"/>
  <c r="B86" i="24"/>
  <c r="K86" i="24" s="1"/>
  <c r="D84" i="24"/>
  <c r="B73" i="24"/>
  <c r="K73" i="24" s="1"/>
  <c r="D71" i="24"/>
  <c r="B60" i="24"/>
  <c r="K60" i="24" s="1"/>
  <c r="D58" i="24"/>
  <c r="B47" i="24"/>
  <c r="D45" i="24"/>
  <c r="K34" i="24"/>
  <c r="D32" i="24"/>
  <c r="B21" i="24"/>
  <c r="K21" i="24" s="1"/>
  <c r="J6" i="24"/>
  <c r="K10" i="24" s="1"/>
  <c r="B8" i="24"/>
  <c r="K8" i="24" s="1"/>
  <c r="D19" i="24"/>
  <c r="D6" i="24"/>
  <c r="B944" i="24"/>
  <c r="K944" i="24" s="1"/>
  <c r="J942" i="24"/>
  <c r="K946" i="24" s="1"/>
  <c r="D942" i="24"/>
  <c r="B931" i="24"/>
  <c r="K931" i="24" s="1"/>
  <c r="J929" i="24"/>
  <c r="K933" i="24" s="1"/>
  <c r="D929" i="24"/>
  <c r="B918" i="24"/>
  <c r="K918" i="24" s="1"/>
  <c r="J916" i="24"/>
  <c r="K920" i="24" s="1"/>
  <c r="D916" i="24"/>
  <c r="B905" i="24"/>
  <c r="K905" i="24" s="1"/>
  <c r="J903" i="24"/>
  <c r="K907" i="24" s="1"/>
  <c r="D903" i="24"/>
  <c r="B892" i="24"/>
  <c r="K892" i="24" s="1"/>
  <c r="J890" i="24"/>
  <c r="K894" i="24" s="1"/>
  <c r="D890" i="24"/>
  <c r="B879" i="24"/>
  <c r="K879" i="24" s="1"/>
  <c r="J877" i="24"/>
  <c r="K881" i="24" s="1"/>
  <c r="D877" i="24"/>
  <c r="B866" i="24"/>
  <c r="K866" i="24" s="1"/>
  <c r="J864" i="24"/>
  <c r="K868" i="24" s="1"/>
  <c r="D864" i="24"/>
  <c r="B853" i="24"/>
  <c r="K853" i="24" s="1"/>
  <c r="J851" i="24"/>
  <c r="K855" i="24" s="1"/>
  <c r="D851" i="24"/>
  <c r="B840" i="24"/>
  <c r="K840" i="24" s="1"/>
  <c r="J838" i="24"/>
  <c r="K842" i="24" s="1"/>
  <c r="D838" i="24"/>
  <c r="B827" i="24"/>
  <c r="K827" i="24" s="1"/>
  <c r="J825" i="24"/>
  <c r="K829" i="24" s="1"/>
  <c r="D825" i="24"/>
  <c r="B814" i="24"/>
  <c r="K814" i="24" s="1"/>
  <c r="J812" i="24"/>
  <c r="K816" i="24" s="1"/>
  <c r="D812" i="24"/>
  <c r="B801" i="24"/>
  <c r="K801" i="24" s="1"/>
  <c r="J799" i="24"/>
  <c r="K803" i="24" s="1"/>
  <c r="D799" i="24"/>
  <c r="B788" i="24"/>
  <c r="K788" i="24" s="1"/>
  <c r="J786" i="24"/>
  <c r="K790" i="24" s="1"/>
  <c r="D786" i="24"/>
  <c r="B775" i="24"/>
  <c r="K775" i="24" s="1"/>
  <c r="J773" i="24"/>
  <c r="K777" i="24" s="1"/>
  <c r="D773" i="24"/>
  <c r="B762" i="24"/>
  <c r="K762" i="24" s="1"/>
  <c r="J760" i="24"/>
  <c r="K764" i="24" s="1"/>
  <c r="D760" i="24"/>
  <c r="B749" i="24"/>
  <c r="K749" i="24" s="1"/>
  <c r="J747" i="24"/>
  <c r="K751" i="24" s="1"/>
  <c r="D747" i="24"/>
  <c r="B736" i="24"/>
  <c r="K736" i="24" s="1"/>
  <c r="J734" i="24"/>
  <c r="K738" i="24" s="1"/>
  <c r="D734" i="24"/>
  <c r="B723" i="24"/>
  <c r="K723" i="24" s="1"/>
  <c r="J721" i="24"/>
  <c r="K725" i="24" s="1"/>
  <c r="D721" i="24"/>
  <c r="B710" i="24"/>
  <c r="K710" i="24" s="1"/>
  <c r="J708" i="24"/>
  <c r="K712" i="24" s="1"/>
  <c r="D708" i="24"/>
  <c r="B697" i="24"/>
  <c r="K697" i="24" s="1"/>
  <c r="J695" i="24"/>
  <c r="K699" i="24" s="1"/>
  <c r="D695" i="24"/>
  <c r="B684" i="24"/>
  <c r="K684" i="24" s="1"/>
  <c r="J682" i="24"/>
  <c r="K686" i="24" s="1"/>
  <c r="D682" i="24"/>
  <c r="B671" i="24"/>
  <c r="K671" i="24" s="1"/>
  <c r="J669" i="24"/>
  <c r="K673" i="24" s="1"/>
  <c r="D669" i="24"/>
  <c r="B658" i="24"/>
  <c r="K658" i="24" s="1"/>
  <c r="J656" i="24"/>
  <c r="K660" i="24" s="1"/>
  <c r="D656" i="24"/>
  <c r="B645" i="24"/>
  <c r="K645" i="24" s="1"/>
  <c r="J643" i="24"/>
  <c r="K647" i="24" s="1"/>
  <c r="D643" i="24"/>
  <c r="B632" i="24"/>
  <c r="K632" i="24" s="1"/>
  <c r="J630" i="24"/>
  <c r="K634" i="24" s="1"/>
  <c r="D630" i="24"/>
  <c r="B619" i="24"/>
  <c r="K619" i="24" s="1"/>
  <c r="J617" i="24"/>
  <c r="K621" i="24" s="1"/>
  <c r="D617" i="24"/>
  <c r="B606" i="24"/>
  <c r="K606" i="24" s="1"/>
  <c r="J604" i="24"/>
  <c r="K608" i="24" s="1"/>
  <c r="D604" i="24"/>
  <c r="B593" i="24"/>
  <c r="K593" i="24" s="1"/>
  <c r="J591" i="24"/>
  <c r="K595" i="24" s="1"/>
  <c r="D591" i="24"/>
  <c r="B580" i="24"/>
  <c r="K580" i="24" s="1"/>
  <c r="J578" i="24"/>
  <c r="K582" i="24" s="1"/>
  <c r="D578" i="24"/>
  <c r="B567" i="24"/>
  <c r="K567" i="24" s="1"/>
  <c r="J565" i="24"/>
  <c r="K569" i="24" s="1"/>
  <c r="D565" i="24"/>
  <c r="B554" i="24"/>
  <c r="K554" i="24" s="1"/>
  <c r="J552" i="24"/>
  <c r="K556" i="24" s="1"/>
  <c r="D552" i="24"/>
  <c r="B541" i="24"/>
  <c r="K541" i="24" s="1"/>
  <c r="J539" i="24"/>
  <c r="K543" i="24" s="1"/>
  <c r="D539" i="24"/>
  <c r="B528" i="24"/>
  <c r="K528" i="24" s="1"/>
  <c r="J526" i="24"/>
  <c r="K530" i="24" s="1"/>
  <c r="D526" i="24"/>
  <c r="B515" i="24"/>
  <c r="K515" i="24" s="1"/>
  <c r="J513" i="24"/>
  <c r="K517" i="24" s="1"/>
  <c r="D513" i="24"/>
  <c r="B502" i="24"/>
  <c r="K502" i="24" s="1"/>
  <c r="J500" i="24"/>
  <c r="K504" i="24" s="1"/>
  <c r="D500" i="24"/>
  <c r="B489" i="24"/>
  <c r="K489" i="24" s="1"/>
  <c r="J487" i="24"/>
  <c r="K491" i="24" s="1"/>
  <c r="D487" i="24"/>
  <c r="B476" i="24"/>
  <c r="K476" i="24" s="1"/>
  <c r="J474" i="24"/>
  <c r="K478" i="24" s="1"/>
  <c r="D474" i="24"/>
  <c r="B463" i="24"/>
  <c r="K463" i="24" s="1"/>
  <c r="J461" i="24"/>
  <c r="K465" i="24" s="1"/>
  <c r="D461" i="24"/>
  <c r="B450" i="24"/>
  <c r="K450" i="24" s="1"/>
  <c r="J448" i="24"/>
  <c r="K452" i="24" s="1"/>
  <c r="D448" i="24"/>
  <c r="B437" i="24"/>
  <c r="K437" i="24" s="1"/>
  <c r="J435" i="24"/>
  <c r="K439" i="24" s="1"/>
  <c r="D435" i="24"/>
  <c r="B424" i="24"/>
  <c r="K424" i="24" s="1"/>
  <c r="J422" i="24"/>
  <c r="K426" i="24" s="1"/>
  <c r="D422" i="24"/>
  <c r="B411" i="24"/>
  <c r="K411" i="24" s="1"/>
  <c r="J409" i="24"/>
  <c r="K413" i="24" s="1"/>
  <c r="D409" i="24"/>
  <c r="B398" i="24"/>
  <c r="K398" i="24" s="1"/>
  <c r="J396" i="24"/>
  <c r="K400" i="24" s="1"/>
  <c r="D396" i="24"/>
  <c r="B385" i="24"/>
  <c r="K385" i="24" s="1"/>
  <c r="J383" i="24"/>
  <c r="K387" i="24" s="1"/>
  <c r="D383" i="24"/>
  <c r="B372" i="24"/>
  <c r="K372" i="24" s="1"/>
  <c r="J370" i="24"/>
  <c r="K374" i="24" s="1"/>
  <c r="D370" i="24"/>
  <c r="B359" i="24"/>
  <c r="K359" i="24" s="1"/>
  <c r="J357" i="24"/>
  <c r="K361" i="24" s="1"/>
  <c r="D357" i="24"/>
  <c r="B346" i="24"/>
  <c r="K346" i="24" s="1"/>
  <c r="J344" i="24"/>
  <c r="K348" i="24" s="1"/>
  <c r="D344" i="24"/>
  <c r="B333" i="24"/>
  <c r="K333" i="24" s="1"/>
  <c r="J331" i="24"/>
  <c r="K335" i="24" s="1"/>
  <c r="D331" i="24"/>
  <c r="B320" i="24"/>
  <c r="K320" i="24" s="1"/>
  <c r="J318" i="24"/>
  <c r="K322" i="24" s="1"/>
  <c r="D318" i="24"/>
  <c r="B307" i="24"/>
  <c r="K307" i="24" s="1"/>
  <c r="J305" i="24"/>
  <c r="K309" i="24" s="1"/>
  <c r="D305" i="24"/>
  <c r="B294" i="24"/>
  <c r="K294" i="24" s="1"/>
  <c r="J292" i="24"/>
  <c r="K296" i="24" s="1"/>
  <c r="D292" i="24"/>
  <c r="B281" i="24"/>
  <c r="K281" i="24" s="1"/>
  <c r="J279" i="24"/>
  <c r="K283" i="24" s="1"/>
  <c r="D279" i="24"/>
  <c r="B268" i="24"/>
  <c r="K268" i="24" s="1"/>
  <c r="J266" i="24"/>
  <c r="K270" i="24" s="1"/>
  <c r="D266" i="24"/>
  <c r="B255" i="24"/>
  <c r="K255" i="24" s="1"/>
  <c r="J253" i="24"/>
  <c r="K257" i="24" s="1"/>
  <c r="D253" i="24"/>
  <c r="B242" i="24"/>
  <c r="K242" i="24" s="1"/>
  <c r="J240" i="24"/>
  <c r="K244" i="24" s="1"/>
  <c r="D240" i="24"/>
  <c r="B229" i="24"/>
  <c r="K229" i="24" s="1"/>
  <c r="J227" i="24"/>
  <c r="K231" i="24" s="1"/>
  <c r="D227" i="24"/>
  <c r="B216" i="24"/>
  <c r="K216" i="24" s="1"/>
  <c r="J214" i="24"/>
  <c r="K218" i="24" s="1"/>
  <c r="D214" i="24"/>
  <c r="B203" i="24"/>
  <c r="K203" i="24" s="1"/>
  <c r="J201" i="24"/>
  <c r="K205" i="24" s="1"/>
  <c r="K164" i="24"/>
  <c r="K125" i="24"/>
  <c r="K112" i="24"/>
  <c r="K47" i="24"/>
  <c r="B927" i="24"/>
  <c r="B2" i="24"/>
  <c r="B327" i="24" s="1"/>
  <c r="E9" i="23"/>
  <c r="J188" i="22"/>
  <c r="K192" i="22" s="1"/>
  <c r="J175" i="22"/>
  <c r="K179" i="22" s="1"/>
  <c r="J162" i="22"/>
  <c r="K166" i="22" s="1"/>
  <c r="J149" i="22"/>
  <c r="K153" i="22" s="1"/>
  <c r="J136" i="22"/>
  <c r="K140" i="22" s="1"/>
  <c r="K127" i="22"/>
  <c r="J110" i="22"/>
  <c r="K114" i="22" s="1"/>
  <c r="K101" i="22"/>
  <c r="K88" i="22"/>
  <c r="J71" i="22"/>
  <c r="K75" i="22" s="1"/>
  <c r="J58" i="22"/>
  <c r="K62" i="22" s="1"/>
  <c r="J45" i="22"/>
  <c r="K49" i="22" s="1"/>
  <c r="K36" i="22"/>
  <c r="K23" i="22"/>
  <c r="K10" i="22"/>
  <c r="K203" i="22"/>
  <c r="K190" i="22"/>
  <c r="B177" i="22"/>
  <c r="K177" i="22" s="1"/>
  <c r="K151" i="22"/>
  <c r="B164" i="22"/>
  <c r="K164" i="22" s="1"/>
  <c r="K138" i="22"/>
  <c r="K125" i="22"/>
  <c r="K112" i="22"/>
  <c r="B99" i="22"/>
  <c r="K99" i="22" s="1"/>
  <c r="B86" i="22"/>
  <c r="K86" i="22" s="1"/>
  <c r="B73" i="22"/>
  <c r="K73" i="22" s="1"/>
  <c r="B60" i="22"/>
  <c r="K60" i="22" s="1"/>
  <c r="B47" i="22"/>
  <c r="K47" i="22" s="1"/>
  <c r="K34" i="22"/>
  <c r="K21" i="22"/>
  <c r="K8" i="22"/>
  <c r="K255" i="22"/>
  <c r="J253" i="22"/>
  <c r="K257" i="22" s="1"/>
  <c r="D253" i="22"/>
  <c r="K242" i="22"/>
  <c r="J240" i="22"/>
  <c r="K244" i="22" s="1"/>
  <c r="D240" i="22"/>
  <c r="K229" i="22"/>
  <c r="J227" i="22"/>
  <c r="K231" i="22" s="1"/>
  <c r="D227" i="22"/>
  <c r="K216" i="22"/>
  <c r="J214" i="22"/>
  <c r="K218" i="22" s="1"/>
  <c r="D214" i="22"/>
  <c r="J201" i="22"/>
  <c r="K205" i="22" s="1"/>
  <c r="D201" i="22"/>
  <c r="D188" i="22"/>
  <c r="D175" i="22"/>
  <c r="D162" i="22"/>
  <c r="D149" i="22"/>
  <c r="D136" i="22"/>
  <c r="D71" i="22"/>
  <c r="D58" i="22"/>
  <c r="D45" i="22"/>
  <c r="D32" i="22"/>
  <c r="D19" i="22"/>
  <c r="B56" i="22"/>
  <c r="B119" i="22"/>
  <c r="D27" i="21"/>
  <c r="E9" i="19"/>
  <c r="I89" i="11"/>
  <c r="I48" i="11"/>
  <c r="I49" i="11"/>
  <c r="K190" i="20"/>
  <c r="B177" i="20"/>
  <c r="K177" i="20" s="1"/>
  <c r="B164" i="20"/>
  <c r="K164" i="20" s="1"/>
  <c r="B151" i="20"/>
  <c r="K151" i="20" s="1"/>
  <c r="B138" i="20"/>
  <c r="K138" i="20" s="1"/>
  <c r="B125" i="20"/>
  <c r="K125" i="20" s="1"/>
  <c r="B112" i="20"/>
  <c r="K112" i="20" s="1"/>
  <c r="K99" i="20"/>
  <c r="B86" i="20"/>
  <c r="K86" i="20" s="1"/>
  <c r="K73" i="20"/>
  <c r="B60" i="20"/>
  <c r="K60" i="20" s="1"/>
  <c r="B47" i="20"/>
  <c r="K47" i="20" s="1"/>
  <c r="K34" i="20"/>
  <c r="B21" i="20"/>
  <c r="K21" i="20" s="1"/>
  <c r="B8" i="20"/>
  <c r="K8" i="20" s="1"/>
  <c r="K255" i="20"/>
  <c r="K257" i="20"/>
  <c r="K242" i="20"/>
  <c r="K244" i="20"/>
  <c r="K229" i="20"/>
  <c r="K231" i="20"/>
  <c r="K216" i="20"/>
  <c r="K218" i="20"/>
  <c r="K203" i="20"/>
  <c r="K205" i="20"/>
  <c r="K192" i="20"/>
  <c r="K179" i="20"/>
  <c r="K166" i="20"/>
  <c r="K153" i="20"/>
  <c r="K140" i="20"/>
  <c r="K127" i="20"/>
  <c r="K114" i="20"/>
  <c r="K101" i="20"/>
  <c r="K88" i="20"/>
  <c r="K75" i="20"/>
  <c r="K62" i="20"/>
  <c r="K49" i="20"/>
  <c r="K36" i="20"/>
  <c r="K23" i="20"/>
  <c r="K10" i="20"/>
  <c r="B210" i="20"/>
  <c r="K385" i="8"/>
  <c r="K387" i="8"/>
  <c r="K359" i="8"/>
  <c r="K361" i="8"/>
  <c r="K346" i="8"/>
  <c r="K348" i="8"/>
  <c r="J188" i="8"/>
  <c r="K192" i="8" s="1"/>
  <c r="B190" i="8"/>
  <c r="K190" i="8" s="1"/>
  <c r="D188" i="8"/>
  <c r="J175" i="8"/>
  <c r="K179" i="8" s="1"/>
  <c r="B177" i="8"/>
  <c r="K177" i="8" s="1"/>
  <c r="D175" i="8"/>
  <c r="D201" i="8"/>
  <c r="J201" i="8"/>
  <c r="K205" i="8" s="1"/>
  <c r="B203" i="8"/>
  <c r="K203" i="8" s="1"/>
  <c r="J162" i="8"/>
  <c r="K166" i="8" s="1"/>
  <c r="K164" i="8"/>
  <c r="D162" i="8"/>
  <c r="A336" i="18"/>
  <c r="A315" i="18"/>
  <c r="A294" i="18"/>
  <c r="A273" i="18"/>
  <c r="A252" i="18"/>
  <c r="A231" i="18"/>
  <c r="A210" i="18"/>
  <c r="A189" i="18"/>
  <c r="A168" i="18"/>
  <c r="A147" i="18"/>
  <c r="A126" i="18"/>
  <c r="A105" i="18"/>
  <c r="A84" i="18"/>
  <c r="A63" i="18"/>
  <c r="A42" i="18"/>
  <c r="A21" i="18"/>
  <c r="K777" i="8"/>
  <c r="K764" i="8"/>
  <c r="K751" i="8"/>
  <c r="K738" i="8"/>
  <c r="K725" i="8"/>
  <c r="K712" i="8"/>
  <c r="K699" i="8"/>
  <c r="K686" i="8"/>
  <c r="K673" i="8"/>
  <c r="K660" i="8"/>
  <c r="K647" i="8"/>
  <c r="K634" i="8"/>
  <c r="K621" i="8"/>
  <c r="K608" i="8"/>
  <c r="K595" i="8"/>
  <c r="K582" i="8"/>
  <c r="K569" i="8"/>
  <c r="K556" i="8"/>
  <c r="K543" i="8"/>
  <c r="K530" i="8"/>
  <c r="K517" i="8"/>
  <c r="K504" i="8"/>
  <c r="K491" i="8"/>
  <c r="K478" i="8"/>
  <c r="K465" i="8"/>
  <c r="K452" i="8"/>
  <c r="K439" i="8"/>
  <c r="K775" i="8"/>
  <c r="K762" i="8"/>
  <c r="K749" i="8"/>
  <c r="K736" i="8"/>
  <c r="K723" i="8"/>
  <c r="K710" i="8"/>
  <c r="K697" i="8"/>
  <c r="K684" i="8"/>
  <c r="K671" i="8"/>
  <c r="K658" i="8"/>
  <c r="K645" i="8"/>
  <c r="K632" i="8"/>
  <c r="K619" i="8"/>
  <c r="K606" i="8"/>
  <c r="K593" i="8"/>
  <c r="K580" i="8"/>
  <c r="K567" i="8"/>
  <c r="K554" i="8"/>
  <c r="K541" i="8"/>
  <c r="K528" i="8"/>
  <c r="K515" i="8"/>
  <c r="K502" i="8"/>
  <c r="K489" i="8"/>
  <c r="K476" i="8"/>
  <c r="K463" i="8"/>
  <c r="K450" i="8"/>
  <c r="K437" i="8"/>
  <c r="K424" i="8"/>
  <c r="K411" i="8"/>
  <c r="K398" i="8"/>
  <c r="K333" i="8"/>
  <c r="K320" i="8"/>
  <c r="K307" i="8"/>
  <c r="K294" i="8"/>
  <c r="B281" i="8"/>
  <c r="K281" i="8" s="1"/>
  <c r="B268" i="8"/>
  <c r="K268" i="8" s="1"/>
  <c r="B255" i="8"/>
  <c r="K255" i="8" s="1"/>
  <c r="D253" i="8"/>
  <c r="K242" i="8"/>
  <c r="B229" i="8"/>
  <c r="K229" i="8" s="1"/>
  <c r="D227" i="8"/>
  <c r="B216" i="8"/>
  <c r="K216" i="8" s="1"/>
  <c r="D214" i="8"/>
  <c r="K426" i="8"/>
  <c r="K413" i="8"/>
  <c r="K400" i="8"/>
  <c r="K335" i="8"/>
  <c r="K322" i="8"/>
  <c r="K309" i="8"/>
  <c r="K296" i="8"/>
  <c r="K283" i="8"/>
  <c r="J266" i="8"/>
  <c r="K270" i="8" s="1"/>
  <c r="J253" i="8"/>
  <c r="K257" i="8" s="1"/>
  <c r="J240" i="8"/>
  <c r="K244" i="8" s="1"/>
  <c r="J227" i="8"/>
  <c r="K231" i="8" s="1"/>
  <c r="J214" i="8"/>
  <c r="K218" i="8" s="1"/>
  <c r="C89" i="17"/>
  <c r="E10" i="17"/>
  <c r="B151" i="8"/>
  <c r="K151" i="8" s="1"/>
  <c r="B138" i="8"/>
  <c r="K138" i="8" s="1"/>
  <c r="B125" i="8"/>
  <c r="K125" i="8" s="1"/>
  <c r="B112" i="8"/>
  <c r="K112" i="8" s="1"/>
  <c r="B99" i="8"/>
  <c r="K99" i="8" s="1"/>
  <c r="K86" i="8"/>
  <c r="B73" i="8"/>
  <c r="K73" i="8" s="1"/>
  <c r="B60" i="8"/>
  <c r="K60" i="8" s="1"/>
  <c r="B47" i="8"/>
  <c r="K47" i="8" s="1"/>
  <c r="B34" i="8"/>
  <c r="K34" i="8" s="1"/>
  <c r="B21" i="8"/>
  <c r="K21" i="8" s="1"/>
  <c r="K8" i="8"/>
  <c r="J149" i="8"/>
  <c r="K153" i="8" s="1"/>
  <c r="J136" i="8"/>
  <c r="K140" i="8" s="1"/>
  <c r="J123" i="8"/>
  <c r="K127" i="8" s="1"/>
  <c r="J110" i="8"/>
  <c r="K114" i="8" s="1"/>
  <c r="J97" i="8"/>
  <c r="K101" i="8" s="1"/>
  <c r="J84" i="8"/>
  <c r="K88" i="8" s="1"/>
  <c r="J71" i="8"/>
  <c r="K75" i="8" s="1"/>
  <c r="J58" i="8"/>
  <c r="K62" i="8" s="1"/>
  <c r="J45" i="8"/>
  <c r="K49" i="8" s="1"/>
  <c r="J32" i="8"/>
  <c r="K36" i="8" s="1"/>
  <c r="J19" i="8"/>
  <c r="K23" i="8" s="1"/>
  <c r="J6" i="8"/>
  <c r="K10" i="8" s="1"/>
  <c r="D149" i="8"/>
  <c r="D136" i="8"/>
  <c r="D123" i="8"/>
  <c r="D110" i="8"/>
  <c r="D97" i="8"/>
  <c r="D84" i="8"/>
  <c r="D71" i="8"/>
  <c r="D58" i="8"/>
  <c r="D45" i="8"/>
  <c r="D32" i="8"/>
  <c r="D19" i="8"/>
  <c r="D6" i="8"/>
  <c r="E9" i="3"/>
  <c r="G4" i="13"/>
  <c r="F4" i="12"/>
  <c r="H39" i="16"/>
  <c r="D8" i="16"/>
  <c r="D7" i="16"/>
  <c r="D6" i="16"/>
  <c r="D5" i="16"/>
  <c r="C21" i="15"/>
  <c r="C19" i="15"/>
  <c r="C21" i="14"/>
  <c r="C19" i="14"/>
  <c r="G122" i="13"/>
  <c r="G9" i="13"/>
  <c r="G6" i="13"/>
  <c r="G5" i="13"/>
  <c r="I59" i="12"/>
  <c r="E10" i="12"/>
  <c r="E7" i="12"/>
  <c r="E6" i="12"/>
  <c r="F93" i="11"/>
  <c r="F54" i="11"/>
  <c r="D9" i="11"/>
  <c r="H429" i="10"/>
  <c r="H391" i="10"/>
  <c r="H353" i="10"/>
  <c r="H315" i="10"/>
  <c r="H277" i="10"/>
  <c r="H239" i="10"/>
  <c r="H201" i="10"/>
  <c r="H163" i="10"/>
  <c r="H50" i="10"/>
  <c r="E8" i="10"/>
  <c r="AO8" i="10" s="1"/>
  <c r="CQ8" i="10" s="1"/>
  <c r="ES8" i="10" s="1"/>
  <c r="E6" i="10"/>
  <c r="AO6" i="10" s="1"/>
  <c r="CQ6" i="10" s="1"/>
  <c r="ES6" i="10" s="1"/>
  <c r="F6" i="9"/>
  <c r="F5" i="9"/>
  <c r="B134" i="8"/>
  <c r="B171" i="8"/>
  <c r="C11" i="7"/>
  <c r="C9" i="7"/>
  <c r="C11" i="6"/>
  <c r="C9" i="6"/>
  <c r="C11" i="5"/>
  <c r="C9" i="5"/>
  <c r="C36" i="16"/>
  <c r="O121" i="13"/>
  <c r="H121" i="13"/>
  <c r="I90" i="11"/>
  <c r="E89" i="11"/>
  <c r="K52" i="11"/>
  <c r="E48" i="11"/>
  <c r="N428" i="10"/>
  <c r="FM427" i="10"/>
  <c r="EU427" i="10"/>
  <c r="EC427" i="10"/>
  <c r="DK427" i="10"/>
  <c r="CS427" i="10"/>
  <c r="CA427" i="10"/>
  <c r="BI427" i="10"/>
  <c r="AQ427" i="10"/>
  <c r="Y427" i="10"/>
  <c r="N427" i="10"/>
  <c r="G427" i="10"/>
  <c r="N390" i="10"/>
  <c r="FM389" i="10"/>
  <c r="EU389" i="10"/>
  <c r="EC389" i="10"/>
  <c r="DK389" i="10"/>
  <c r="CS389" i="10"/>
  <c r="CA389" i="10"/>
  <c r="BI389" i="10"/>
  <c r="AQ389" i="10"/>
  <c r="Y389" i="10"/>
  <c r="N389" i="10"/>
  <c r="G389" i="10"/>
  <c r="N352" i="10"/>
  <c r="FM351" i="10"/>
  <c r="EU351" i="10"/>
  <c r="EC351" i="10"/>
  <c r="DK351" i="10"/>
  <c r="CS351" i="10"/>
  <c r="CA351" i="10"/>
  <c r="BI351" i="10"/>
  <c r="AQ351" i="10"/>
  <c r="Y351" i="10"/>
  <c r="N351" i="10"/>
  <c r="G351" i="10"/>
  <c r="N314" i="10"/>
  <c r="FM313" i="10"/>
  <c r="EU313" i="10"/>
  <c r="EC313" i="10"/>
  <c r="DK313" i="10"/>
  <c r="CS313" i="10"/>
  <c r="CA313" i="10"/>
  <c r="BI313" i="10"/>
  <c r="AQ313" i="10"/>
  <c r="Y313" i="10"/>
  <c r="N313" i="10"/>
  <c r="G313" i="10"/>
  <c r="N276" i="10"/>
  <c r="FM275" i="10"/>
  <c r="EU275" i="10"/>
  <c r="EC275" i="10"/>
  <c r="DK275" i="10"/>
  <c r="CS275" i="10"/>
  <c r="CA275" i="10"/>
  <c r="BI275" i="10"/>
  <c r="AQ275" i="10"/>
  <c r="Y275" i="10"/>
  <c r="N275" i="10"/>
  <c r="G275" i="10"/>
  <c r="N238" i="10"/>
  <c r="FM237" i="10"/>
  <c r="EU237" i="10"/>
  <c r="EC237" i="10"/>
  <c r="DK237" i="10"/>
  <c r="CS237" i="10"/>
  <c r="CA237" i="10"/>
  <c r="BI237" i="10"/>
  <c r="AQ237" i="10"/>
  <c r="Y237" i="10"/>
  <c r="N237" i="10"/>
  <c r="G237" i="10"/>
  <c r="N200" i="10"/>
  <c r="FM199" i="10"/>
  <c r="EU199" i="10"/>
  <c r="EC199" i="10"/>
  <c r="DK199" i="10"/>
  <c r="CS199" i="10"/>
  <c r="CA199" i="10"/>
  <c r="BI199" i="10"/>
  <c r="AQ199" i="10"/>
  <c r="Y199" i="10"/>
  <c r="N199" i="10"/>
  <c r="G199" i="10"/>
  <c r="N162" i="10"/>
  <c r="FM161" i="10"/>
  <c r="EU161" i="10"/>
  <c r="EC161" i="10"/>
  <c r="DK161" i="10"/>
  <c r="CS161" i="10"/>
  <c r="CA161" i="10"/>
  <c r="BI161" i="10"/>
  <c r="AQ161" i="10"/>
  <c r="Y161" i="10"/>
  <c r="N161" i="10"/>
  <c r="G161" i="10"/>
  <c r="N124" i="10"/>
  <c r="FM123" i="10"/>
  <c r="EU123" i="10"/>
  <c r="EC123" i="10"/>
  <c r="DK123" i="10"/>
  <c r="CS123" i="10"/>
  <c r="CA123" i="10"/>
  <c r="BI123" i="10"/>
  <c r="AQ123" i="10"/>
  <c r="Y123" i="10"/>
  <c r="N123" i="10"/>
  <c r="G123" i="10"/>
  <c r="N86" i="10"/>
  <c r="FM85" i="10"/>
  <c r="EU85" i="10"/>
  <c r="EC85" i="10"/>
  <c r="DK85" i="10"/>
  <c r="CS85" i="10"/>
  <c r="CA85" i="10"/>
  <c r="BI85" i="10"/>
  <c r="AQ85" i="10"/>
  <c r="Y85" i="10"/>
  <c r="N85" i="10"/>
  <c r="G85" i="10"/>
  <c r="N48" i="10"/>
  <c r="FM47" i="10"/>
  <c r="EU47" i="10"/>
  <c r="EC47" i="10"/>
  <c r="DK47" i="10"/>
  <c r="CS47" i="10"/>
  <c r="CA47" i="10"/>
  <c r="BI47" i="10"/>
  <c r="AQ47" i="10"/>
  <c r="Y47" i="10"/>
  <c r="G47" i="10"/>
  <c r="BG11" i="10"/>
  <c r="DI11" i="10" s="1"/>
  <c r="FK11" i="10" s="1"/>
  <c r="AO11" i="10"/>
  <c r="CQ11" i="10" s="1"/>
  <c r="ES11" i="10" s="1"/>
  <c r="W11" i="10"/>
  <c r="BY11" i="10" s="1"/>
  <c r="EA11" i="10" s="1"/>
  <c r="W10" i="10"/>
  <c r="BY10" i="10" s="1"/>
  <c r="EA10" i="10" s="1"/>
  <c r="C96" i="7"/>
  <c r="C97" i="6"/>
  <c r="C93" i="5"/>
  <c r="AO10" i="10"/>
  <c r="CQ10" i="10" s="1"/>
  <c r="ES10" i="10" s="1"/>
  <c r="BG10" i="10"/>
  <c r="DI10" i="10"/>
  <c r="FK10" i="10"/>
  <c r="B602" i="8"/>
  <c r="B249" i="20"/>
  <c r="B134" i="20"/>
  <c r="K133" i="20"/>
  <c r="B680" i="8"/>
  <c r="B212" i="8"/>
  <c r="B758" i="8"/>
  <c r="B550" i="8"/>
  <c r="B171" i="20"/>
  <c r="B158" i="20"/>
  <c r="K81" i="20"/>
  <c r="K16" i="20"/>
  <c r="B67" i="20"/>
  <c r="K120" i="20"/>
  <c r="K107" i="20"/>
  <c r="K94" i="20"/>
  <c r="B197" i="20"/>
  <c r="B184" i="20"/>
  <c r="B15" i="20"/>
  <c r="K29" i="20"/>
  <c r="K250" i="20"/>
  <c r="K42" i="20"/>
  <c r="K3" i="20"/>
  <c r="B119" i="20"/>
  <c r="B236" i="20"/>
  <c r="B28" i="20"/>
  <c r="K627" i="8"/>
  <c r="B251" i="22"/>
  <c r="B199" i="22"/>
  <c r="B147" i="22"/>
  <c r="B95" i="22"/>
  <c r="B43" i="22"/>
  <c r="B225" i="22"/>
  <c r="B173" i="22"/>
  <c r="B121" i="22"/>
  <c r="B69" i="22"/>
  <c r="B17" i="22"/>
  <c r="B212" i="22"/>
  <c r="B134" i="22"/>
  <c r="B160" i="22"/>
  <c r="B186" i="22"/>
  <c r="B238" i="22"/>
  <c r="K3" i="22"/>
  <c r="B15" i="22"/>
  <c r="B67" i="22"/>
  <c r="K107" i="22"/>
  <c r="K159" i="22"/>
  <c r="K211" i="22"/>
  <c r="B223" i="22"/>
  <c r="B28" i="22"/>
  <c r="K68" i="22"/>
  <c r="K120" i="22"/>
  <c r="K172" i="22"/>
  <c r="B184" i="22"/>
  <c r="B236" i="22"/>
  <c r="K29" i="22"/>
  <c r="K81" i="22"/>
  <c r="K133" i="22"/>
  <c r="B145" i="22"/>
  <c r="B197" i="22"/>
  <c r="K237" i="22"/>
  <c r="K42" i="22"/>
  <c r="K94" i="22"/>
  <c r="B106" i="22"/>
  <c r="B158" i="22"/>
  <c r="K198" i="22"/>
  <c r="K250" i="22"/>
  <c r="J19" i="24"/>
  <c r="K23" i="24" s="1"/>
  <c r="B368" i="24"/>
  <c r="B472" i="24"/>
  <c r="B732" i="24"/>
  <c r="K367" i="24"/>
  <c r="B379" i="24"/>
  <c r="B431" i="24"/>
  <c r="B483" i="24"/>
  <c r="K523" i="24"/>
  <c r="K575" i="24"/>
  <c r="B587" i="24"/>
  <c r="B639" i="24"/>
  <c r="B691" i="24"/>
  <c r="K731" i="24"/>
  <c r="K783" i="24"/>
  <c r="B795" i="24"/>
  <c r="B847" i="24"/>
  <c r="B899" i="24"/>
  <c r="K939" i="24"/>
  <c r="B56" i="24"/>
  <c r="B108" i="24"/>
  <c r="B160" i="24"/>
  <c r="B316" i="24"/>
  <c r="B420" i="24"/>
  <c r="B576" i="24"/>
  <c r="B784" i="24"/>
  <c r="B836" i="24"/>
  <c r="B940" i="24"/>
  <c r="K276" i="24"/>
  <c r="B288" i="24"/>
  <c r="B340" i="24"/>
  <c r="B392" i="24"/>
  <c r="K432" i="24"/>
  <c r="K484" i="24"/>
  <c r="B496" i="24"/>
  <c r="B548" i="24"/>
  <c r="B600" i="24"/>
  <c r="K640" i="24"/>
  <c r="K692" i="24"/>
  <c r="B704" i="24"/>
  <c r="B756" i="24"/>
  <c r="B808" i="24"/>
  <c r="K848" i="24"/>
  <c r="K900" i="24"/>
  <c r="B912" i="24"/>
  <c r="B212" i="24"/>
  <c r="B264" i="24"/>
  <c r="B680" i="24"/>
  <c r="B17" i="24"/>
  <c r="B69" i="24"/>
  <c r="B121" i="24"/>
  <c r="B173" i="24"/>
  <c r="B225" i="24"/>
  <c r="B277" i="24"/>
  <c r="B329" i="24"/>
  <c r="B381" i="24"/>
  <c r="B433" i="24"/>
  <c r="B485" i="24"/>
  <c r="B537" i="24"/>
  <c r="B589" i="24"/>
  <c r="B641" i="24"/>
  <c r="B693" i="24"/>
  <c r="B745" i="24"/>
  <c r="B797" i="24"/>
  <c r="B849" i="24"/>
  <c r="B901" i="24"/>
  <c r="B628" i="24"/>
  <c r="K601" i="24"/>
  <c r="B613" i="24"/>
  <c r="B665" i="24"/>
  <c r="B717" i="24"/>
  <c r="K757" i="24"/>
  <c r="K809" i="24"/>
  <c r="B821" i="24"/>
  <c r="B873" i="24"/>
  <c r="B925" i="24"/>
  <c r="B30" i="24"/>
  <c r="B82" i="24"/>
  <c r="B134" i="24"/>
  <c r="B186" i="24"/>
  <c r="B238" i="24"/>
  <c r="B290" i="24"/>
  <c r="B342" i="24"/>
  <c r="B394" i="24"/>
  <c r="B446" i="24"/>
  <c r="B498" i="24"/>
  <c r="B550" i="24"/>
  <c r="B602" i="24"/>
  <c r="B654" i="24"/>
  <c r="B706" i="24"/>
  <c r="B758" i="24"/>
  <c r="B810" i="24"/>
  <c r="B862" i="24"/>
  <c r="B914" i="24"/>
  <c r="B888" i="24"/>
  <c r="K42" i="24"/>
  <c r="K94" i="24"/>
  <c r="K146" i="24"/>
  <c r="B158" i="24"/>
  <c r="B210" i="24"/>
  <c r="K250" i="24"/>
  <c r="K302" i="24"/>
  <c r="K354" i="24"/>
  <c r="B366" i="24"/>
  <c r="B418" i="24"/>
  <c r="K458" i="24"/>
  <c r="K510" i="24"/>
  <c r="K562" i="24"/>
  <c r="B574" i="24"/>
  <c r="B626" i="24"/>
  <c r="K666" i="24"/>
  <c r="K718" i="24"/>
  <c r="K770" i="24"/>
  <c r="B782" i="24"/>
  <c r="B834" i="24"/>
  <c r="K874" i="24"/>
  <c r="K926" i="24"/>
  <c r="B524" i="24"/>
  <c r="B43" i="24"/>
  <c r="B95" i="24"/>
  <c r="B147" i="24"/>
  <c r="B199" i="24"/>
  <c r="B251" i="24"/>
  <c r="B303" i="24"/>
  <c r="B355" i="24"/>
  <c r="B407" i="24"/>
  <c r="B459" i="24"/>
  <c r="B511" i="24"/>
  <c r="B563" i="24"/>
  <c r="B615" i="24"/>
  <c r="B667" i="24"/>
  <c r="B719" i="24"/>
  <c r="B771" i="24"/>
  <c r="B823" i="24"/>
  <c r="B875" i="24"/>
  <c r="J32" i="24"/>
  <c r="K36" i="24" s="1"/>
  <c r="K10" i="26"/>
  <c r="J136" i="26"/>
  <c r="K140" i="26" s="1"/>
  <c r="J214" i="26"/>
  <c r="K218" i="26" s="1"/>
  <c r="J279" i="26"/>
  <c r="K283" i="26" s="1"/>
  <c r="J344" i="26"/>
  <c r="K348" i="26" s="1"/>
  <c r="J84" i="26"/>
  <c r="K88" i="26" s="1"/>
  <c r="J19" i="26"/>
  <c r="K23" i="26" s="1"/>
  <c r="J149" i="26"/>
  <c r="K153" i="26" s="1"/>
  <c r="J227" i="26"/>
  <c r="K231" i="26" s="1"/>
  <c r="J292" i="26"/>
  <c r="K296" i="26" s="1"/>
  <c r="J357" i="26"/>
  <c r="K361" i="26" s="1"/>
  <c r="J97" i="26"/>
  <c r="K101" i="26" s="1"/>
  <c r="J162" i="26"/>
  <c r="K166" i="26" s="1"/>
  <c r="J240" i="26"/>
  <c r="K244" i="26" s="1"/>
  <c r="J32" i="26"/>
  <c r="K36" i="26" s="1"/>
  <c r="J110" i="26"/>
  <c r="K114" i="26" s="1"/>
  <c r="J175" i="26"/>
  <c r="K179" i="26" s="1"/>
  <c r="J305" i="26"/>
  <c r="K309" i="26" s="1"/>
  <c r="J370" i="26"/>
  <c r="K374" i="26" s="1"/>
  <c r="J45" i="26"/>
  <c r="K49" i="26" s="1"/>
  <c r="J188" i="26"/>
  <c r="K192" i="26" s="1"/>
  <c r="J253" i="26"/>
  <c r="K257" i="26" s="1"/>
  <c r="J58" i="26"/>
  <c r="K62" i="26" s="1"/>
  <c r="J123" i="26"/>
  <c r="K127" i="26" s="1"/>
  <c r="J266" i="26"/>
  <c r="K270" i="26"/>
  <c r="J318" i="26"/>
  <c r="K322" i="26" s="1"/>
  <c r="B511" i="8"/>
  <c r="B433" i="8"/>
  <c r="B160" i="8"/>
  <c r="B225" i="8"/>
  <c r="B524" i="8"/>
  <c r="B171" i="26"/>
  <c r="K81" i="26"/>
  <c r="B173" i="8"/>
  <c r="B732" i="8"/>
  <c r="B420" i="8"/>
  <c r="B238" i="20"/>
  <c r="B160" i="20"/>
  <c r="K42" i="26"/>
  <c r="K380" i="26"/>
  <c r="B93" i="26"/>
  <c r="B17" i="8"/>
  <c r="B355" i="8"/>
  <c r="B108" i="8"/>
  <c r="B95" i="8"/>
  <c r="K16" i="26"/>
  <c r="K133" i="26"/>
  <c r="B407" i="8"/>
  <c r="B381" i="8"/>
  <c r="B251" i="8"/>
  <c r="B290" i="8"/>
  <c r="B693" i="8"/>
  <c r="B67" i="26"/>
  <c r="K237" i="26"/>
  <c r="B264" i="8"/>
  <c r="B56" i="8"/>
  <c r="B394" i="8"/>
  <c r="B446" i="8"/>
  <c r="B147" i="8"/>
  <c r="B654" i="8"/>
  <c r="B17" i="20"/>
  <c r="K107" i="26"/>
  <c r="K367" i="26"/>
  <c r="K302" i="26"/>
  <c r="B121" i="8"/>
  <c r="B277" i="8"/>
  <c r="B69" i="8"/>
  <c r="B719" i="8"/>
  <c r="B30" i="8"/>
  <c r="B199" i="8"/>
  <c r="B342" i="8"/>
  <c r="B119" i="26"/>
  <c r="B379" i="26"/>
  <c r="B301" i="26"/>
  <c r="B82" i="8"/>
  <c r="B459" i="8"/>
  <c r="B303" i="8"/>
  <c r="B771" i="8"/>
  <c r="B186" i="8"/>
  <c r="K159" i="26"/>
  <c r="K29" i="26"/>
  <c r="K341" i="26"/>
  <c r="B251" i="26"/>
  <c r="B147" i="26"/>
  <c r="B82" i="26"/>
  <c r="B95" i="26"/>
  <c r="B17" i="26"/>
  <c r="B238" i="26"/>
  <c r="B199" i="26"/>
  <c r="W6" i="10"/>
  <c r="BY6" i="10" s="1"/>
  <c r="EA6" i="10" s="1"/>
  <c r="B329" i="8"/>
  <c r="B30" i="20"/>
  <c r="B121" i="20"/>
  <c r="B563" i="8"/>
  <c r="BG6" i="10"/>
  <c r="DI6" i="10" s="1"/>
  <c r="FK6" i="10" s="1"/>
  <c r="B186" i="26"/>
  <c r="B121" i="26"/>
  <c r="B43" i="26"/>
  <c r="B30" i="22"/>
  <c r="B43" i="8"/>
  <c r="B132" i="24"/>
  <c r="B82" i="22"/>
  <c r="K16" i="24"/>
  <c r="B145" i="24"/>
  <c r="K341" i="24"/>
  <c r="B561" i="24"/>
  <c r="B316" i="26"/>
  <c r="B93" i="24"/>
  <c r="K159" i="24"/>
  <c r="K445" i="24"/>
  <c r="B108" i="22"/>
  <c r="K107" i="24"/>
  <c r="K172" i="24"/>
  <c r="K185" i="24"/>
  <c r="B67" i="24"/>
  <c r="B275" i="24"/>
  <c r="B212" i="20"/>
  <c r="B186" i="20"/>
  <c r="B69" i="20"/>
  <c r="K159" i="20"/>
  <c r="B41" i="24"/>
  <c r="B80" i="24"/>
  <c r="B509" i="24"/>
  <c r="B381" i="26"/>
  <c r="B80" i="26"/>
  <c r="K81" i="24"/>
  <c r="K120" i="24"/>
  <c r="B249" i="24"/>
  <c r="B457" i="24"/>
  <c r="K250" i="26"/>
  <c r="B173" i="26"/>
  <c r="B69" i="26"/>
  <c r="B277" i="26"/>
  <c r="B56" i="20"/>
  <c r="B108" i="20"/>
  <c r="B199" i="20"/>
  <c r="B43" i="20"/>
  <c r="B173" i="20"/>
  <c r="K55" i="24"/>
  <c r="B223" i="24"/>
  <c r="B301" i="24"/>
  <c r="B405" i="24"/>
  <c r="B236" i="26"/>
  <c r="B353" i="26"/>
  <c r="B262" i="26"/>
  <c r="B368" i="26"/>
  <c r="B160" i="26"/>
  <c r="B56" i="26"/>
  <c r="B329" i="26"/>
  <c r="K198" i="26"/>
  <c r="K94" i="26"/>
  <c r="B225" i="26"/>
  <c r="B95" i="20"/>
  <c r="B82" i="20"/>
  <c r="B225" i="20"/>
  <c r="B147" i="20"/>
  <c r="K3" i="24"/>
  <c r="B184" i="24"/>
  <c r="K211" i="24"/>
  <c r="K289" i="24"/>
  <c r="K393" i="24"/>
  <c r="K211" i="26"/>
  <c r="B197" i="26"/>
  <c r="B314" i="26"/>
  <c r="B290" i="26"/>
  <c r="B134" i="26"/>
  <c r="B30" i="26"/>
  <c r="B132" i="26"/>
  <c r="B251" i="20"/>
  <c r="K29" i="24"/>
  <c r="B197" i="24"/>
  <c r="K263" i="26"/>
  <c r="B340" i="26"/>
  <c r="B249" i="26"/>
  <c r="B212" i="26"/>
  <c r="B108" i="26"/>
  <c r="B210" i="26"/>
  <c r="B106" i="26"/>
  <c r="B264" i="26"/>
  <c r="B745" i="8"/>
  <c r="B485" i="8"/>
  <c r="B472" i="8"/>
  <c r="B628" i="8"/>
  <c r="B667" i="8"/>
  <c r="B316" i="8"/>
  <c r="B576" i="8"/>
  <c r="B537" i="8"/>
  <c r="B498" i="8"/>
  <c r="B589" i="8"/>
  <c r="B615" i="8"/>
  <c r="B238" i="8"/>
  <c r="B706" i="8"/>
  <c r="J45" i="24" l="1"/>
  <c r="B54" i="26"/>
  <c r="K55" i="26"/>
  <c r="K224" i="24"/>
  <c r="B236" i="24"/>
  <c r="B223" i="20"/>
  <c r="B171" i="24"/>
  <c r="K315" i="24"/>
  <c r="B353" i="24"/>
  <c r="K263" i="24"/>
  <c r="K289" i="26"/>
  <c r="K822" i="24"/>
  <c r="K614" i="24"/>
  <c r="K406" i="24"/>
  <c r="K198" i="24"/>
  <c r="B769" i="24"/>
  <c r="B860" i="24"/>
  <c r="B652" i="24"/>
  <c r="B444" i="24"/>
  <c r="B743" i="24"/>
  <c r="B535" i="24"/>
  <c r="K146" i="22"/>
  <c r="K185" i="22"/>
  <c r="K224" i="22"/>
  <c r="K16" i="22"/>
  <c r="K55" i="22"/>
  <c r="B704" i="8"/>
  <c r="B80" i="20"/>
  <c r="K55" i="20"/>
  <c r="B366" i="26"/>
  <c r="B288" i="26"/>
  <c r="K133" i="24"/>
  <c r="B158" i="26"/>
  <c r="B145" i="26"/>
  <c r="B15" i="24"/>
  <c r="B938" i="24"/>
  <c r="K237" i="24"/>
  <c r="B28" i="24"/>
  <c r="K276" i="26"/>
  <c r="K354" i="26"/>
  <c r="B327" i="26"/>
  <c r="B275" i="26"/>
  <c r="B223" i="26"/>
  <c r="K328" i="26"/>
  <c r="B730" i="24"/>
  <c r="B522" i="24"/>
  <c r="B314" i="24"/>
  <c r="B106" i="24"/>
  <c r="K913" i="24"/>
  <c r="K705" i="24"/>
  <c r="K796" i="24"/>
  <c r="K588" i="24"/>
  <c r="K380" i="24"/>
  <c r="K887" i="24"/>
  <c r="K679" i="24"/>
  <c r="K471" i="24"/>
  <c r="B54" i="22"/>
  <c r="B93" i="22"/>
  <c r="B132" i="22"/>
  <c r="B171" i="22"/>
  <c r="K146" i="20"/>
  <c r="B93" i="20"/>
  <c r="K224" i="20"/>
  <c r="B41" i="26"/>
  <c r="K120" i="26"/>
  <c r="K3" i="26"/>
  <c r="K497" i="24"/>
  <c r="K549" i="24"/>
  <c r="B184" i="26"/>
  <c r="B119" i="24"/>
  <c r="K68" i="24"/>
  <c r="K68" i="26"/>
  <c r="K172" i="26"/>
  <c r="K224" i="26"/>
  <c r="B886" i="24"/>
  <c r="B678" i="24"/>
  <c r="B470" i="24"/>
  <c r="B262" i="24"/>
  <c r="B54" i="24"/>
  <c r="K861" i="24"/>
  <c r="K653" i="24"/>
  <c r="K744" i="24"/>
  <c r="K536" i="24"/>
  <c r="K328" i="24"/>
  <c r="K835" i="24"/>
  <c r="K627" i="24"/>
  <c r="K419" i="24"/>
  <c r="B210" i="22"/>
  <c r="B249" i="22"/>
  <c r="B41" i="22"/>
  <c r="B80" i="22"/>
  <c r="B132" i="20"/>
  <c r="K185" i="20"/>
  <c r="K198" i="20"/>
  <c r="K237" i="20"/>
  <c r="B106" i="20"/>
  <c r="K211" i="20"/>
  <c r="B145" i="20"/>
  <c r="B54" i="20"/>
  <c r="B41" i="20"/>
  <c r="K68" i="20"/>
  <c r="K172" i="20"/>
  <c r="J331" i="26"/>
  <c r="K335" i="26" s="1"/>
  <c r="H2" i="26"/>
  <c r="H93" i="26" s="1"/>
  <c r="F4" i="11"/>
  <c r="H2" i="8"/>
  <c r="H67" i="8" s="1"/>
  <c r="J383" i="26"/>
  <c r="K387" i="26" s="1"/>
  <c r="J201" i="26"/>
  <c r="K205" i="26" s="1"/>
  <c r="K367" i="8"/>
  <c r="B366" i="8"/>
  <c r="K679" i="8"/>
  <c r="B678" i="8"/>
  <c r="B301" i="8"/>
  <c r="K68" i="8"/>
  <c r="K185" i="8"/>
  <c r="B665" i="8"/>
  <c r="B340" i="8"/>
  <c r="K393" i="8"/>
  <c r="K198" i="8"/>
  <c r="K263" i="8"/>
  <c r="B639" i="8"/>
  <c r="K354" i="8"/>
  <c r="K81" i="8"/>
  <c r="B717" i="8"/>
  <c r="B483" i="8"/>
  <c r="K523" i="8"/>
  <c r="B756" i="8"/>
  <c r="B496" i="8"/>
  <c r="K276" i="8"/>
  <c r="B652" i="8"/>
  <c r="B457" i="8"/>
  <c r="B600" i="8"/>
  <c r="K770" i="8"/>
  <c r="B314" i="8"/>
  <c r="K601" i="8"/>
  <c r="B80" i="8"/>
  <c r="B431" i="8"/>
  <c r="K640" i="8"/>
  <c r="B691" i="8"/>
  <c r="B574" i="8"/>
  <c r="B93" i="8"/>
  <c r="K575" i="8"/>
  <c r="K29" i="8"/>
  <c r="B184" i="8"/>
  <c r="K42" i="8"/>
  <c r="K302" i="8"/>
  <c r="B392" i="8"/>
  <c r="B379" i="8"/>
  <c r="K718" i="8"/>
  <c r="B288" i="8"/>
  <c r="K458" i="8"/>
  <c r="B353" i="8"/>
  <c r="K133" i="8"/>
  <c r="K549" i="8"/>
  <c r="B561" i="8"/>
  <c r="K757" i="8"/>
  <c r="K510" i="8"/>
  <c r="K614" i="8"/>
  <c r="K146" i="8"/>
  <c r="B470" i="8"/>
  <c r="K289" i="8"/>
  <c r="B197" i="8"/>
  <c r="K107" i="8"/>
  <c r="K55" i="8"/>
  <c r="K692" i="8"/>
  <c r="B210" i="8"/>
  <c r="B743" i="8"/>
  <c r="K172" i="8"/>
  <c r="K211" i="8"/>
  <c r="B132" i="8"/>
  <c r="B54" i="8"/>
  <c r="K445" i="8"/>
  <c r="B67" i="8"/>
  <c r="B158" i="8"/>
  <c r="K471" i="8"/>
  <c r="K666" i="8"/>
  <c r="B28" i="8"/>
  <c r="B15" i="8"/>
  <c r="B535" i="8"/>
  <c r="K419" i="8"/>
  <c r="K3" i="8"/>
  <c r="B275" i="8"/>
  <c r="B587" i="8"/>
  <c r="K120" i="8"/>
  <c r="B236" i="8"/>
  <c r="K536" i="8"/>
  <c r="K341" i="8"/>
  <c r="B626" i="8"/>
  <c r="B548" i="8"/>
  <c r="K744" i="8"/>
  <c r="B249" i="8"/>
  <c r="K562" i="8"/>
  <c r="B41" i="8"/>
  <c r="K731" i="8"/>
  <c r="B444" i="8"/>
  <c r="B106" i="8"/>
  <c r="B119" i="8"/>
  <c r="K94" i="8"/>
  <c r="B613" i="8"/>
  <c r="K432" i="8"/>
  <c r="K653" i="8"/>
  <c r="K237" i="8"/>
  <c r="K497" i="8"/>
  <c r="K224" i="8"/>
  <c r="B327" i="8"/>
  <c r="B509" i="8"/>
  <c r="K16" i="8"/>
  <c r="B418" i="8"/>
  <c r="B405" i="8"/>
  <c r="K705" i="8"/>
  <c r="B262" i="8"/>
  <c r="K250" i="8"/>
  <c r="K406" i="8"/>
  <c r="K159" i="8"/>
  <c r="K315" i="8"/>
  <c r="B223" i="8"/>
  <c r="K484" i="8"/>
  <c r="K328" i="8"/>
  <c r="K588" i="8"/>
  <c r="B522" i="8"/>
  <c r="B769" i="8"/>
  <c r="B730" i="8"/>
  <c r="K380" i="8"/>
  <c r="B145" i="8"/>
  <c r="H2" i="20"/>
  <c r="K136" i="20" s="1"/>
  <c r="H2" i="22"/>
  <c r="K58" i="22" s="1"/>
  <c r="H2" i="24"/>
  <c r="H106" i="24" s="1"/>
  <c r="K214" i="8"/>
  <c r="H509" i="8"/>
  <c r="K760" i="8"/>
  <c r="H197" i="8"/>
  <c r="K708" i="8"/>
  <c r="W8" i="10"/>
  <c r="BY8" i="10" s="1"/>
  <c r="EA8" i="10" s="1"/>
  <c r="BG8" i="10"/>
  <c r="DI8" i="10" s="1"/>
  <c r="FK8" i="10" s="1"/>
  <c r="J71" i="26"/>
  <c r="K75" i="26" s="1"/>
  <c r="K185" i="26"/>
  <c r="B15" i="26"/>
  <c r="K315" i="26"/>
  <c r="B28" i="26"/>
  <c r="K292" i="8" l="1"/>
  <c r="K591" i="8"/>
  <c r="K747" i="8"/>
  <c r="H678" i="8"/>
  <c r="K240" i="8"/>
  <c r="H54" i="8"/>
  <c r="H353" i="8"/>
  <c r="J58" i="24"/>
  <c r="K49" i="24"/>
  <c r="K344" i="26"/>
  <c r="H41" i="26"/>
  <c r="H158" i="20"/>
  <c r="H15" i="26"/>
  <c r="K149" i="26"/>
  <c r="K214" i="20"/>
  <c r="K357" i="26"/>
  <c r="K123" i="26"/>
  <c r="K6" i="26"/>
  <c r="K201" i="20"/>
  <c r="H288" i="26"/>
  <c r="H28" i="26"/>
  <c r="H67" i="26"/>
  <c r="H80" i="26"/>
  <c r="H405" i="8"/>
  <c r="H587" i="8"/>
  <c r="K201" i="8"/>
  <c r="H535" i="8"/>
  <c r="K253" i="26"/>
  <c r="K526" i="8"/>
  <c r="H665" i="8"/>
  <c r="H93" i="8"/>
  <c r="K422" i="8"/>
  <c r="K253" i="8"/>
  <c r="H301" i="8"/>
  <c r="K318" i="8"/>
  <c r="H379" i="8"/>
  <c r="H54" i="26"/>
  <c r="K396" i="8"/>
  <c r="K682" i="8"/>
  <c r="K279" i="26"/>
  <c r="H119" i="20"/>
  <c r="H158" i="26"/>
  <c r="K201" i="26"/>
  <c r="K32" i="20"/>
  <c r="H327" i="26"/>
  <c r="H262" i="26"/>
  <c r="H301" i="26"/>
  <c r="K45" i="26"/>
  <c r="K136" i="26"/>
  <c r="K773" i="24"/>
  <c r="K279" i="8"/>
  <c r="H600" i="8"/>
  <c r="K32" i="26"/>
  <c r="H249" i="8"/>
  <c r="K435" i="8"/>
  <c r="K669" i="8"/>
  <c r="K695" i="8"/>
  <c r="H15" i="8"/>
  <c r="K32" i="8"/>
  <c r="H444" i="8"/>
  <c r="K578" i="8"/>
  <c r="H327" i="8"/>
  <c r="K513" i="24"/>
  <c r="H548" i="8"/>
  <c r="K110" i="26"/>
  <c r="K227" i="8"/>
  <c r="H314" i="26"/>
  <c r="H171" i="26"/>
  <c r="K292" i="26"/>
  <c r="K175" i="26"/>
  <c r="H132" i="8"/>
  <c r="H730" i="8"/>
  <c r="H431" i="8"/>
  <c r="H691" i="24"/>
  <c r="K123" i="8"/>
  <c r="K97" i="24"/>
  <c r="H340" i="8"/>
  <c r="H457" i="8"/>
  <c r="H119" i="8"/>
  <c r="K305" i="8"/>
  <c r="H769" i="8"/>
  <c r="K357" i="8"/>
  <c r="H197" i="26"/>
  <c r="K110" i="8"/>
  <c r="H145" i="26"/>
  <c r="H470" i="8"/>
  <c r="H223" i="24"/>
  <c r="H574" i="8"/>
  <c r="K617" i="8"/>
  <c r="K565" i="8"/>
  <c r="K552" i="8"/>
  <c r="K136" i="8"/>
  <c r="H106" i="8"/>
  <c r="K734" i="8"/>
  <c r="H119" i="26"/>
  <c r="K19" i="26"/>
  <c r="K786" i="24"/>
  <c r="K266" i="8"/>
  <c r="H743" i="8"/>
  <c r="H756" i="8"/>
  <c r="K487" i="8"/>
  <c r="H691" i="8"/>
  <c r="H223" i="8"/>
  <c r="H184" i="8"/>
  <c r="K97" i="8"/>
  <c r="K266" i="26"/>
  <c r="H496" i="8"/>
  <c r="H314" i="8"/>
  <c r="K6" i="8"/>
  <c r="H704" i="8"/>
  <c r="K162" i="8"/>
  <c r="K591" i="24"/>
  <c r="K604" i="8"/>
  <c r="H158" i="8"/>
  <c r="H80" i="8"/>
  <c r="K643" i="8"/>
  <c r="K71" i="20"/>
  <c r="K344" i="8"/>
  <c r="K318" i="26"/>
  <c r="H236" i="26"/>
  <c r="K71" i="26"/>
  <c r="H275" i="8"/>
  <c r="H288" i="8"/>
  <c r="K448" i="8"/>
  <c r="H28" i="8"/>
  <c r="H717" i="8"/>
  <c r="H639" i="8"/>
  <c r="H236" i="8"/>
  <c r="K188" i="8"/>
  <c r="H652" i="24"/>
  <c r="H41" i="8"/>
  <c r="K97" i="26"/>
  <c r="K84" i="8"/>
  <c r="K305" i="26"/>
  <c r="K58" i="26"/>
  <c r="H340" i="26"/>
  <c r="K370" i="26"/>
  <c r="K383" i="26"/>
  <c r="K227" i="26"/>
  <c r="K188" i="26"/>
  <c r="K162" i="26"/>
  <c r="H379" i="26"/>
  <c r="H210" i="26"/>
  <c r="H366" i="26"/>
  <c r="H353" i="26"/>
  <c r="H223" i="26"/>
  <c r="K331" i="26"/>
  <c r="H184" i="26"/>
  <c r="H275" i="26"/>
  <c r="K84" i="26"/>
  <c r="H106" i="26"/>
  <c r="H249" i="26"/>
  <c r="K240" i="26"/>
  <c r="H132" i="26"/>
  <c r="K214" i="26"/>
  <c r="H15" i="22"/>
  <c r="K110" i="20"/>
  <c r="K227" i="20"/>
  <c r="K84" i="24"/>
  <c r="K929" i="24"/>
  <c r="H132" i="22"/>
  <c r="H41" i="24"/>
  <c r="K292" i="24"/>
  <c r="K370" i="8"/>
  <c r="H366" i="8"/>
  <c r="H717" i="24"/>
  <c r="K370" i="24"/>
  <c r="H145" i="22"/>
  <c r="K305" i="24"/>
  <c r="K201" i="24"/>
  <c r="K877" i="24"/>
  <c r="K123" i="24"/>
  <c r="K162" i="20"/>
  <c r="H171" i="20"/>
  <c r="K97" i="20"/>
  <c r="H93" i="20"/>
  <c r="H210" i="20"/>
  <c r="H236" i="20"/>
  <c r="H28" i="20"/>
  <c r="K45" i="20"/>
  <c r="H80" i="20"/>
  <c r="K149" i="20"/>
  <c r="H197" i="20"/>
  <c r="K58" i="20"/>
  <c r="H15" i="20"/>
  <c r="K6" i="20"/>
  <c r="K253" i="20"/>
  <c r="K123" i="20"/>
  <c r="H132" i="20"/>
  <c r="H54" i="20"/>
  <c r="K188" i="20"/>
  <c r="K240" i="20"/>
  <c r="H236" i="22"/>
  <c r="K84" i="20"/>
  <c r="H184" i="20"/>
  <c r="K175" i="20"/>
  <c r="H249" i="20"/>
  <c r="H145" i="20"/>
  <c r="H41" i="20"/>
  <c r="K19" i="20"/>
  <c r="H67" i="20"/>
  <c r="K32" i="22"/>
  <c r="H119" i="22"/>
  <c r="K6" i="22"/>
  <c r="K149" i="22"/>
  <c r="H28" i="22"/>
  <c r="H184" i="22"/>
  <c r="K175" i="22"/>
  <c r="H80" i="22"/>
  <c r="K240" i="22"/>
  <c r="K110" i="22"/>
  <c r="H41" i="22"/>
  <c r="K97" i="22"/>
  <c r="K19" i="22"/>
  <c r="H106" i="20"/>
  <c r="H54" i="22"/>
  <c r="K45" i="22"/>
  <c r="H249" i="22"/>
  <c r="H93" i="22"/>
  <c r="K162" i="22"/>
  <c r="K71" i="22"/>
  <c r="H158" i="22"/>
  <c r="K123" i="22"/>
  <c r="K84" i="22"/>
  <c r="H67" i="22"/>
  <c r="H171" i="22"/>
  <c r="K630" i="8"/>
  <c r="H262" i="8"/>
  <c r="K474" i="8"/>
  <c r="H223" i="20"/>
  <c r="H197" i="22"/>
  <c r="H145" i="8"/>
  <c r="H483" i="8"/>
  <c r="H223" i="22"/>
  <c r="H561" i="8"/>
  <c r="K253" i="22"/>
  <c r="K19" i="8"/>
  <c r="K773" i="8"/>
  <c r="K331" i="8"/>
  <c r="K461" i="8"/>
  <c r="K474" i="24"/>
  <c r="K669" i="24"/>
  <c r="H743" i="24"/>
  <c r="K19" i="24"/>
  <c r="H119" i="24"/>
  <c r="K903" i="24"/>
  <c r="K396" i="24"/>
  <c r="H808" i="24"/>
  <c r="K357" i="24"/>
  <c r="K851" i="24"/>
  <c r="K630" i="24"/>
  <c r="H782" i="24"/>
  <c r="K487" i="24"/>
  <c r="H457" i="24"/>
  <c r="K32" i="24"/>
  <c r="K539" i="24"/>
  <c r="H613" i="24"/>
  <c r="K266" i="24"/>
  <c r="H28" i="24"/>
  <c r="H821" i="24"/>
  <c r="H912" i="24"/>
  <c r="H301" i="24"/>
  <c r="K253" i="24"/>
  <c r="H327" i="24"/>
  <c r="H288" i="24"/>
  <c r="K149" i="24"/>
  <c r="H795" i="24"/>
  <c r="H704" i="24"/>
  <c r="K71" i="24"/>
  <c r="H379" i="24"/>
  <c r="K279" i="24"/>
  <c r="K409" i="24"/>
  <c r="K448" i="24"/>
  <c r="H587" i="24"/>
  <c r="H158" i="24"/>
  <c r="H15" i="24"/>
  <c r="H405" i="24"/>
  <c r="H938" i="24"/>
  <c r="H626" i="24"/>
  <c r="H561" i="24"/>
  <c r="K162" i="24"/>
  <c r="H340" i="24"/>
  <c r="K383" i="24"/>
  <c r="H756" i="24"/>
  <c r="K799" i="24"/>
  <c r="H210" i="8"/>
  <c r="H522" i="8"/>
  <c r="H418" i="8"/>
  <c r="K539" i="8"/>
  <c r="H652" i="8"/>
  <c r="K58" i="8"/>
  <c r="K409" i="8"/>
  <c r="K175" i="8"/>
  <c r="K513" i="8"/>
  <c r="H392" i="8"/>
  <c r="H171" i="8"/>
  <c r="H626" i="8"/>
  <c r="K149" i="8"/>
  <c r="K500" i="8"/>
  <c r="K656" i="8"/>
  <c r="K721" i="8"/>
  <c r="H613" i="8"/>
  <c r="K383" i="8"/>
  <c r="K45" i="8"/>
  <c r="K71" i="8"/>
  <c r="K136" i="22"/>
  <c r="K201" i="22"/>
  <c r="K227" i="22"/>
  <c r="K188" i="22"/>
  <c r="H106" i="22"/>
  <c r="H210" i="22"/>
  <c r="K214" i="22"/>
  <c r="K188" i="24"/>
  <c r="H431" i="24"/>
  <c r="K916" i="24"/>
  <c r="K864" i="24"/>
  <c r="H522" i="24"/>
  <c r="H574" i="24"/>
  <c r="H249" i="24"/>
  <c r="K747" i="24"/>
  <c r="K812" i="24"/>
  <c r="K227" i="24"/>
  <c r="H665" i="24"/>
  <c r="K578" i="24"/>
  <c r="H639" i="24"/>
  <c r="H483" i="24"/>
  <c r="K825" i="24"/>
  <c r="K695" i="24"/>
  <c r="H80" i="24"/>
  <c r="K760" i="24"/>
  <c r="K136" i="24"/>
  <c r="H886" i="24"/>
  <c r="H600" i="24"/>
  <c r="H262" i="24"/>
  <c r="H275" i="24"/>
  <c r="H847" i="24"/>
  <c r="H210" i="24"/>
  <c r="K656" i="24"/>
  <c r="K526" i="24"/>
  <c r="K734" i="24"/>
  <c r="H548" i="24"/>
  <c r="K240" i="24"/>
  <c r="K565" i="24"/>
  <c r="K721" i="24"/>
  <c r="K6" i="24"/>
  <c r="H184" i="24"/>
  <c r="H67" i="24"/>
  <c r="H535" i="24"/>
  <c r="H418" i="24"/>
  <c r="K45" i="24"/>
  <c r="H93" i="24"/>
  <c r="K890" i="24"/>
  <c r="K110" i="24"/>
  <c r="K214" i="24"/>
  <c r="K838" i="24"/>
  <c r="H236" i="24"/>
  <c r="H132" i="24"/>
  <c r="K708" i="24"/>
  <c r="K58" i="24"/>
  <c r="H834" i="24"/>
  <c r="K942" i="24"/>
  <c r="H509" i="24"/>
  <c r="H366" i="24"/>
  <c r="H145" i="24"/>
  <c r="K331" i="24"/>
  <c r="H873" i="24"/>
  <c r="H860" i="24"/>
  <c r="H314" i="24"/>
  <c r="H730" i="24"/>
  <c r="K617" i="24"/>
  <c r="H171" i="24"/>
  <c r="H899" i="24"/>
  <c r="H470" i="24"/>
  <c r="H925" i="24"/>
  <c r="H392" i="24"/>
  <c r="H353" i="24"/>
  <c r="H678" i="24"/>
  <c r="H444" i="24"/>
  <c r="K422" i="24"/>
  <c r="K604" i="24"/>
  <c r="K461" i="24"/>
  <c r="H197" i="24"/>
  <c r="K175" i="24"/>
  <c r="K500" i="24"/>
  <c r="K552" i="24"/>
  <c r="H54" i="24"/>
  <c r="K435" i="24"/>
  <c r="K643" i="24"/>
  <c r="H769" i="24"/>
  <c r="K344" i="24"/>
  <c r="K318" i="24"/>
  <c r="K682" i="24"/>
  <c r="H496" i="24"/>
  <c r="K62" i="24" l="1"/>
  <c r="J71" i="24"/>
  <c r="J84" i="24" l="1"/>
  <c r="K75" i="24"/>
  <c r="K88" i="24" l="1"/>
  <c r="J97" i="24"/>
  <c r="K101" i="24" l="1"/>
  <c r="J110" i="24"/>
  <c r="K114" i="24" l="1"/>
  <c r="J123" i="24"/>
  <c r="K127" i="24" l="1"/>
  <c r="J136" i="24"/>
  <c r="J149" i="24" l="1"/>
  <c r="K140" i="24"/>
  <c r="K153" i="24" l="1"/>
  <c r="J162" i="24"/>
  <c r="K166" i="24" l="1"/>
  <c r="J175" i="24"/>
  <c r="K179" i="24" l="1"/>
  <c r="J188" i="24"/>
  <c r="K192" i="24" s="1"/>
</calcChain>
</file>

<file path=xl/comments1.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comments2.xml><?xml version="1.0" encoding="utf-8"?>
<comments xmlns="http://schemas.openxmlformats.org/spreadsheetml/2006/main">
  <authors>
    <author>shkoda</author>
  </authors>
  <commentList>
    <comment ref="E9" authorId="0">
      <text>
        <r>
          <rPr>
            <sz val="8"/>
            <color indexed="81"/>
            <rFont val="Tahoma"/>
            <family val="2"/>
            <charset val="204"/>
          </rPr>
          <t xml:space="preserve">Выбор из рубрикатора: почва, вода, вохдух и тд.
</t>
        </r>
      </text>
    </comment>
    <comment ref="AB24" authorId="0">
      <text>
        <r>
          <rPr>
            <sz val="8"/>
            <color indexed="81"/>
            <rFont val="Tahoma"/>
            <family val="2"/>
            <charset val="204"/>
          </rPr>
          <t xml:space="preserve">Выбор из рубрикатора: почва, вода, вохдух и тд.
</t>
        </r>
      </text>
    </comment>
  </commentList>
</comments>
</file>

<file path=xl/comments3.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comments4.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comments5.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sharedStrings.xml><?xml version="1.0" encoding="utf-8"?>
<sst xmlns="http://schemas.openxmlformats.org/spreadsheetml/2006/main" count="8543" uniqueCount="1115">
  <si>
    <t>Адрес объекта:</t>
  </si>
  <si>
    <t>Наименование и назначение обьекта:</t>
  </si>
  <si>
    <t>Заказчик:</t>
  </si>
  <si>
    <t>Договор №:</t>
  </si>
  <si>
    <t>Ед.изм.</t>
  </si>
  <si>
    <t>Кол-во</t>
  </si>
  <si>
    <t>Дата выполнения:</t>
  </si>
  <si>
    <t>№ п/п</t>
  </si>
  <si>
    <t>№</t>
  </si>
  <si>
    <t>Наименование работ</t>
  </si>
  <si>
    <t>Донные отложения</t>
  </si>
  <si>
    <t>АКТ отбора проб №</t>
  </si>
  <si>
    <t>Дата составления Акта:</t>
  </si>
  <si>
    <t>Наименование проб:</t>
  </si>
  <si>
    <t>Дата отбора проб:</t>
  </si>
  <si>
    <t>Время отбора проб:</t>
  </si>
  <si>
    <t>08:00 - 12:20</t>
  </si>
  <si>
    <t>Средства измерений и оборудование</t>
  </si>
  <si>
    <t>№ пп</t>
  </si>
  <si>
    <t>Наименование</t>
  </si>
  <si>
    <t>Заводской №</t>
  </si>
  <si>
    <t>№ Свидетельства о поверке</t>
  </si>
  <si>
    <t>Действ. до</t>
  </si>
  <si>
    <t>Св-во выдано</t>
  </si>
  <si>
    <t>Основная погрешность измерения</t>
  </si>
  <si>
    <t>-</t>
  </si>
  <si>
    <t>Климатические условия во время проведения полевых работ (начало…окончание)</t>
  </si>
  <si>
    <t>Температура воздуха, °С</t>
  </si>
  <si>
    <t>Направление ветра и скорость, м/с</t>
  </si>
  <si>
    <t>Атмосферное давление, мм рт.ст.</t>
  </si>
  <si>
    <t>Погодные явления</t>
  </si>
  <si>
    <t>Высота снежного покрова, м</t>
  </si>
  <si>
    <t>Таблица отобранных проб (образцов) объектов окружающей среды</t>
  </si>
  <si>
    <t>Глубина отбора пробы, м</t>
  </si>
  <si>
    <t>Координаты центра пробной площадки / скважины / точечной пробы, система WGS84</t>
  </si>
  <si>
    <t xml:space="preserve">№ пробы объединенной / точечной </t>
  </si>
  <si>
    <t>Характеристика пробы</t>
  </si>
  <si>
    <t xml:space="preserve">№ пробы </t>
  </si>
  <si>
    <t>широта</t>
  </si>
  <si>
    <t>долгота</t>
  </si>
  <si>
    <t>0,0-0,2</t>
  </si>
  <si>
    <t>01АХ.01</t>
  </si>
  <si>
    <t>супесь</t>
  </si>
  <si>
    <t>ПП1</t>
  </si>
  <si>
    <t>02АХ.01</t>
  </si>
  <si>
    <t>ПП2</t>
  </si>
  <si>
    <t>03АХ.01</t>
  </si>
  <si>
    <t>ПП3</t>
  </si>
  <si>
    <t>04АХ.01</t>
  </si>
  <si>
    <t>ПП4</t>
  </si>
  <si>
    <t>01АХ.02</t>
  </si>
  <si>
    <t>суглинок</t>
  </si>
  <si>
    <t>СК1</t>
  </si>
  <si>
    <t>02АХ.02</t>
  </si>
  <si>
    <t>СК2</t>
  </si>
  <si>
    <t>03АХ.02</t>
  </si>
  <si>
    <t>СК3</t>
  </si>
  <si>
    <t>04АХ.02</t>
  </si>
  <si>
    <t>СК4</t>
  </si>
  <si>
    <t>01АХ.03</t>
  </si>
  <si>
    <t>02АХ.03</t>
  </si>
  <si>
    <t>03АХ.03</t>
  </si>
  <si>
    <t>04АХ.03</t>
  </si>
  <si>
    <t>01АХ.04</t>
  </si>
  <si>
    <t>02АХ.04</t>
  </si>
  <si>
    <t>03АХ.04</t>
  </si>
  <si>
    <t>04АХ.04</t>
  </si>
  <si>
    <t>Итого проб:</t>
  </si>
  <si>
    <t>*) Условные обозначения:"ПП(ПП*)"-пробная площадка, "ТП"-точечная проба, "СК"-скважина, "В"-вода, "ДО"-донные отложения.</t>
  </si>
  <si>
    <t>Таблица координат реперных точек в системе WGS84</t>
  </si>
  <si>
    <t>№ реперной точки / ТП</t>
  </si>
  <si>
    <t xml:space="preserve">Долгота </t>
  </si>
  <si>
    <t>Широта</t>
  </si>
  <si>
    <t xml:space="preserve">Отбор проб произвел:   </t>
  </si>
  <si>
    <t>Исследование проб водопроводной воды на соответствие СанПиН 2.1.4.1074-01</t>
  </si>
  <si>
    <t>Размер пробной площадки, м:</t>
  </si>
  <si>
    <t>5 х 5</t>
  </si>
  <si>
    <t>Размер пробной площадки (отбор проб для радиационного и микробиологического исследования), м:</t>
  </si>
  <si>
    <t>Цель отбора:</t>
  </si>
  <si>
    <t>Исследование проб поверхностных вод на соответствие СанПиН 2.1.5.980-00, ГН 2.1.5.1315-03</t>
  </si>
  <si>
    <t>Объем отобранных образцов воды: 1,5 и 0,5 литра стерильная упаковка</t>
  </si>
  <si>
    <t>Исследование проб воды источника нецентрализованного водоснабжения на соответствие СанПиН 2.1.4.1175-02</t>
  </si>
  <si>
    <t>Отбор проб произведен в соответствии с:</t>
  </si>
  <si>
    <t xml:space="preserve">3) ГОСТ Р 53123-2008 (ИСО 10381-5:2005) "Качество почвы. Отбор проб.Часть 5. Руководство по изучению городских и промышленных участков на предмет загрязнения почвы". </t>
  </si>
  <si>
    <t>3) РД 52.18.595-96 "Руководящий документ. Федеральный перечень методик выполнения измерений, допущенных к применению при выполнении работ в области мониторинга загрязнения окружающей природной среды"</t>
  </si>
  <si>
    <t>4) ГОСТ Р 51593-2000 "Вода питьевая. Отбор проб".</t>
  </si>
  <si>
    <t>ГОСТ 17.1.5.01-80 "Охрана природы. Гидросфера. Общие требования к отбору проб донных отложений водных объектов для анализа на загрязненность".</t>
  </si>
  <si>
    <t>ГОСТ 17.2.4.02-81 Охрана природы. Атмосфера. Общие требования к методам определения загрязняющих веществ.</t>
  </si>
  <si>
    <t>Приложение №03</t>
  </si>
  <si>
    <r>
      <t xml:space="preserve">к договору </t>
    </r>
    <r>
      <rPr>
        <b/>
        <sz val="10"/>
        <rFont val="Times New Roman"/>
        <family val="1"/>
        <charset val="204"/>
      </rPr>
      <t>№ 901-00008-71006-17</t>
    </r>
  </si>
  <si>
    <r>
      <t xml:space="preserve">от </t>
    </r>
    <r>
      <rPr>
        <b/>
        <sz val="11"/>
        <rFont val="Times New Roman"/>
        <family val="1"/>
        <charset val="204"/>
      </rPr>
      <t>01.02.2017</t>
    </r>
  </si>
  <si>
    <t xml:space="preserve">Заявка на выполнение лабораторных работ </t>
  </si>
  <si>
    <t>Дата направления:</t>
  </si>
  <si>
    <t>Код работ</t>
  </si>
  <si>
    <t>Примечание</t>
  </si>
  <si>
    <t>1.115</t>
  </si>
  <si>
    <r>
      <t xml:space="preserve">Комплекс 1.6. </t>
    </r>
    <r>
      <rPr>
        <b/>
        <sz val="11"/>
        <rFont val="Times New Roman"/>
        <family val="1"/>
        <charset val="204"/>
      </rPr>
      <t>(Санитарно-гигиеническое обследование почв (грунтов)  в соответствии с  СанПиН 2.1.7.1287-03 - расширенный перечень показателей): тяжелые металлы  (кислоторастворимая форма) (10): свинец, кадмий, цинк, медь, никель, ртуть, марганец, хром, ко</t>
    </r>
  </si>
  <si>
    <t>Проба</t>
  </si>
  <si>
    <t>10.1</t>
  </si>
  <si>
    <t>Удельная активность естественных радионуклидов (ЕРН - радий-226, торий-232, калий-40) и цезия-137 в пробах почв, грунтов, донных отложений, отходов</t>
  </si>
  <si>
    <t>10.2</t>
  </si>
  <si>
    <t>Плотность потоков радона (ППР) абсорбционным методом</t>
  </si>
  <si>
    <t>Датчик (камера)</t>
  </si>
  <si>
    <t>10.10</t>
  </si>
  <si>
    <t>Альфа-активность суммарная, бета-активность суммарная воды</t>
  </si>
  <si>
    <t>1.1</t>
  </si>
  <si>
    <t>Водородный показатель (рН) водной вытяжки</t>
  </si>
  <si>
    <t>1.3</t>
  </si>
  <si>
    <t>Влажность</t>
  </si>
  <si>
    <t>1.4</t>
  </si>
  <si>
    <t>Гидролитическая кислотность</t>
  </si>
  <si>
    <t>1.5</t>
  </si>
  <si>
    <t>Гранулометрический состав</t>
  </si>
  <si>
    <t>1.8</t>
  </si>
  <si>
    <t>Плотность (удельный вес)</t>
  </si>
  <si>
    <t>1.13</t>
  </si>
  <si>
    <t>Азот аммонийный (аммоний обменный)</t>
  </si>
  <si>
    <t>1.14</t>
  </si>
  <si>
    <t>Азот нитратный (нитраты)</t>
  </si>
  <si>
    <t>1.15</t>
  </si>
  <si>
    <t>Азот нитритный (нитриты)</t>
  </si>
  <si>
    <t>1.16</t>
  </si>
  <si>
    <t>Азот общий</t>
  </si>
  <si>
    <t>1.24</t>
  </si>
  <si>
    <t>Фосфор (подвижная форма)</t>
  </si>
  <si>
    <t>1.38</t>
  </si>
  <si>
    <t>Железо (подвижная форма)</t>
  </si>
  <si>
    <t>1.43</t>
  </si>
  <si>
    <t>Калий (обменная (подвижная) форма)</t>
  </si>
  <si>
    <t>1.46</t>
  </si>
  <si>
    <t>Кальций (обменная форма)</t>
  </si>
  <si>
    <t>1.48</t>
  </si>
  <si>
    <t>Кобальт (подвижная форма)</t>
  </si>
  <si>
    <t>1.52</t>
  </si>
  <si>
    <t>Магний (обменная форма)</t>
  </si>
  <si>
    <t>1.55</t>
  </si>
  <si>
    <t>Марганец (подвижная форма)</t>
  </si>
  <si>
    <t>1.57</t>
  </si>
  <si>
    <t>Медь (подвижная форма)</t>
  </si>
  <si>
    <t>1.78</t>
  </si>
  <si>
    <t>Цинк (подвижная форма)</t>
  </si>
  <si>
    <t>1.81</t>
  </si>
  <si>
    <t>Органическое вещество (гумус)</t>
  </si>
  <si>
    <t>1.30</t>
  </si>
  <si>
    <t>Алюминий (подвижная форма)</t>
  </si>
  <si>
    <t>1.6/1.61</t>
  </si>
  <si>
    <t>Степень солонцеватости (натрий, % от ЕКО)</t>
  </si>
  <si>
    <t>1.125</t>
  </si>
  <si>
    <t xml:space="preserve">Комплекс 1.16. (Исследование содержания хлорорганических пестицидов): альдрин, гексахлорбензол (ГХБ), гептахлор, ГХЦГ-альфа, ГХЦГ-бета, ГХЦГ-гамма, ДДД, ДДТ, ДДЭ, дильдрин </t>
  </si>
  <si>
    <t>1.126</t>
  </si>
  <si>
    <t xml:space="preserve">Комплекс 1.17. (Исследование состава водной вытяжки  для определения степени засоления  почв (грунтов)): рН, сухой остаток, карбонаты (бикарбонаты), хлориды, сульфаты, кальций и магний, калий и натрий </t>
  </si>
  <si>
    <t>1.17</t>
  </si>
  <si>
    <t>Карбонаты (%)</t>
  </si>
  <si>
    <t>1.21</t>
  </si>
  <si>
    <t>Гипс</t>
  </si>
  <si>
    <t>4.110</t>
  </si>
  <si>
    <r>
      <t xml:space="preserve">Комплекс 4.6. </t>
    </r>
    <r>
      <rPr>
        <b/>
        <sz val="11"/>
        <rFont val="Times New Roman"/>
        <family val="1"/>
        <charset val="204"/>
      </rPr>
      <t>(Определение коррозионной агрессивности грунтовых и поверхностных вод по отношению к бетонным и железобетонным конструкциям, стали, свинцовым и алюминиевым оболочкам кабеля в соответствии с ГОСТ 31384-2008, СНиП 2.03.11-85, ГОСТ 9.602-2005):</t>
    </r>
  </si>
  <si>
    <t xml:space="preserve"> Определение коррозионной агрессивности грунтовых и поверхностных вод по отношению к бетонным и железобетонным конструкциям, стали, свинцовым и алюминиевым оболочкам кабеля в соответствии с ГОСТ 31384-2008, СНиП 2.03.11-85, ГОСТ 9.602-2005</t>
  </si>
  <si>
    <t>4.9</t>
  </si>
  <si>
    <t>Жесткость общая</t>
  </si>
  <si>
    <t>4.10</t>
  </si>
  <si>
    <t>Общая минерализация (сухой остаток)</t>
  </si>
  <si>
    <t>4.11</t>
  </si>
  <si>
    <t>Окисляемость перманганатная</t>
  </si>
  <si>
    <t>4.17</t>
  </si>
  <si>
    <t>Гидрокарбонаты</t>
  </si>
  <si>
    <t>4.18</t>
  </si>
  <si>
    <t>Карбонаты</t>
  </si>
  <si>
    <t>4.19</t>
  </si>
  <si>
    <t>Двуокись углерода</t>
  </si>
  <si>
    <t>4.39</t>
  </si>
  <si>
    <t>Кальций</t>
  </si>
  <si>
    <t>4.43</t>
  </si>
  <si>
    <t>Магний</t>
  </si>
  <si>
    <t>4.49</t>
  </si>
  <si>
    <t>Натрий и калий (суммарно)</t>
  </si>
  <si>
    <t>4.105</t>
  </si>
  <si>
    <r>
      <t>Комплекс 4.1.</t>
    </r>
    <r>
      <rPr>
        <b/>
        <sz val="11"/>
        <rFont val="Times New Roman"/>
        <family val="1"/>
        <charset val="204"/>
      </rPr>
      <t xml:space="preserve"> (Вода открытых водоемов - поверхностного источника в соответствии с СанПиН 2.1.5.980-00 - сокращенный перечень показателей): органолептические показатели (3): плавающие примеси, окраска, запах; показатели химического состава (11): взвешенные</t>
    </r>
  </si>
  <si>
    <t>4.106</t>
  </si>
  <si>
    <r>
      <t>Комплекс 4.2.</t>
    </r>
    <r>
      <rPr>
        <b/>
        <sz val="11"/>
        <rFont val="Times New Roman"/>
        <family val="1"/>
        <charset val="204"/>
      </rPr>
      <t xml:space="preserve"> (Вода открытых водоемов - поверхностного источника в соответствии с СанПиН 2.1.5.980-00 - стандартный перечень показателей): органолептические показатели (3): плавающие примеси, окраска, запах; показатели химического состава (16): взвешенные</t>
    </r>
  </si>
  <si>
    <t>3.91</t>
  </si>
  <si>
    <r>
      <t>Комплекс 3.2.</t>
    </r>
    <r>
      <rPr>
        <b/>
        <sz val="11"/>
        <rFont val="Times New Roman"/>
        <family val="1"/>
        <charset val="204"/>
      </rPr>
      <t xml:space="preserve"> (Вода источников централизованного питьевого водоснабжения в соответствии с СанПиН 2.1.4.1074-01 - сокращенный перечень показателей)3: органолептические показатели (4): запах, привкус, цветность, мутность; показатели химического состава (8):</t>
    </r>
  </si>
  <si>
    <t>3.92</t>
  </si>
  <si>
    <r>
      <t>Комплекс 3.3.</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 органолептические показатели (4): запах, привкус, цветность, мутность; показатели химического состава (12):</t>
    </r>
  </si>
  <si>
    <t>3.93</t>
  </si>
  <si>
    <r>
      <t>Комплекс 3.4.</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показателей)3: органолептические показатели (4): запах, привкус, цветность, мутность; показатели химического состава (14)</t>
    </r>
  </si>
  <si>
    <t>Комплекс 3.4. (Вода источников централизованного питьевого водоснабжения в соответствии с СанПиН 2.1.4.1074-01 - оптимальный перечень показателей)3: органолептические показатели (4): запах, привкус, цветность, мутность; показатели химического состава (14)</t>
  </si>
  <si>
    <t>3.95</t>
  </si>
  <si>
    <r>
      <t>Комплекс 3.6.</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t>
    </r>
  </si>
  <si>
    <t>Комплекс 3.6.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t>
  </si>
  <si>
    <t>3.96</t>
  </si>
  <si>
    <r>
      <t>Комплекс 3.7.</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t>
    </r>
  </si>
  <si>
    <t>Комплекс 3.7.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t>
  </si>
  <si>
    <t>3.97</t>
  </si>
  <si>
    <r>
      <t>Комплекс 3.8.</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t>
    </r>
  </si>
  <si>
    <t>Комплекс 3.8.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t>
  </si>
  <si>
    <t>7.100</t>
  </si>
  <si>
    <r>
      <t xml:space="preserve">Комплекс 7.1. </t>
    </r>
    <r>
      <rPr>
        <b/>
        <sz val="11"/>
        <rFont val="Times New Roman"/>
        <family val="1"/>
        <charset val="204"/>
      </rPr>
      <t>(Атмосферный воздух  территорий - стандартный перечень показателей):  оксид углерода, диоксид азота, сернистый ангидрид (диоксид серы), взвешенные вещества (пыль)</t>
    </r>
  </si>
  <si>
    <t>Комплекс 6.1. (Атмосферный воздух  территорий - стандартный перечень показателей):  оксид углерода, диоксид азота, сернистый ангидрид (диоксид серы), взвешенные вещества (пыль)</t>
  </si>
  <si>
    <t>6.27</t>
  </si>
  <si>
    <t>Бенз(а)пирен</t>
  </si>
  <si>
    <t>6.60</t>
  </si>
  <si>
    <r>
      <t>Комплекс 6.2.</t>
    </r>
    <r>
      <rPr>
        <b/>
        <sz val="11"/>
        <rFont val="Times New Roman"/>
        <family val="1"/>
        <charset val="204"/>
      </rPr>
      <t xml:space="preserve"> (Воздух жилых и общественных зданий и помещений - стандартный перечень показателей): фенол, формальдегид, аммиак</t>
    </r>
  </si>
  <si>
    <t>Комплекс 6.2. (Воздух жилых и общественных зданий и помещений - стандартный перечень показателей): фенол, формальдегид, аммиак</t>
  </si>
  <si>
    <t>8.53</t>
  </si>
  <si>
    <t>Углеводороды предельные С1-С10 (суммарно)</t>
  </si>
  <si>
    <t>9.1</t>
  </si>
  <si>
    <t>Азот</t>
  </si>
  <si>
    <t>9.2</t>
  </si>
  <si>
    <t>Водород</t>
  </si>
  <si>
    <t>9.3</t>
  </si>
  <si>
    <t>Диоксид углерода</t>
  </si>
  <si>
    <t>9.4</t>
  </si>
  <si>
    <t>Кислород</t>
  </si>
  <si>
    <t>9.6</t>
  </si>
  <si>
    <t>Метан</t>
  </si>
  <si>
    <t>9.15</t>
  </si>
  <si>
    <r>
      <t>Комплекс 9.1.</t>
    </r>
    <r>
      <rPr>
        <b/>
        <sz val="11"/>
        <rFont val="Times New Roman"/>
        <family val="1"/>
        <charset val="204"/>
      </rPr>
      <t xml:space="preserve"> (Газогеохимическое исследование грунтов в соответствии с СП 11-102-97 - стандартный перечень показателей): метан, диоксид углерода, кислород, азот, водород </t>
    </r>
  </si>
  <si>
    <t>11.2</t>
  </si>
  <si>
    <t>Инструментальные исследования и оценка параметров шума на рабочих местах</t>
  </si>
  <si>
    <t>Инструментальные исследования и оценка параметров шума на территории жилой застройки (в районе расположения проектируемого объекта)</t>
  </si>
  <si>
    <t>12.2</t>
  </si>
  <si>
    <t>Точка (замер)</t>
  </si>
  <si>
    <t>11.7</t>
  </si>
  <si>
    <t>Инструментальные исследования и оценка параметров шума на территории жилой застройки (для отвода участка под строительство)</t>
  </si>
  <si>
    <t>12.8</t>
  </si>
  <si>
    <t>Инструментальные исследования и оценка параметров шума в помещениях жилых и общественных зданий  в ночное время (с 23.00 до 7.00)</t>
  </si>
  <si>
    <t>Инструментальные исследования и оценка параметров шума на территории жилой застройки в ночное время (с 23.00 до 7.00)</t>
  </si>
  <si>
    <t>12.14</t>
  </si>
  <si>
    <t>Инструментальные исследования и оценка вибрации локальной и вибрации общей в помещениях жилых и общественных зданий</t>
  </si>
  <si>
    <t>11.3</t>
  </si>
  <si>
    <t>Инструментальные исследования и оценка параметров шума в помещениях жилых и общественных зданий (перед вводом здания в эксплуатацию)</t>
  </si>
  <si>
    <t>12.15</t>
  </si>
  <si>
    <t>Инструментальные исследования и оценка параметров электромагнитного поля (ЭМП) промышленной частоты 50 Гц: напряженность электрического поля, индукция магнитного поля.</t>
  </si>
  <si>
    <t>14.1</t>
  </si>
  <si>
    <t>Выезд специалиста для проведения работ по проведению инструментальных замеров и отбора проб компонентов окружающей среды на объекте заказчика в Москве и на расстоянии до 50 км от Москвы включительно (время нахождения специалиста на объекте не более 4-х часов в рабочее время)</t>
  </si>
  <si>
    <t>Выезд специалиста для проведения работ по проведению инструментальных замеров и отбора проб компонентов окружающей среды на объекте заказчика в Москве и на расстоянии до 50 км от Москвы включительно (время нахождения специалиста на объекте не более 4-х ча</t>
  </si>
  <si>
    <t>Выезд</t>
  </si>
  <si>
    <t>13.4</t>
  </si>
  <si>
    <t>Отбор пробы воздуха зданий / помещений на один компонент для лабораторного исследования на объекте заказчика (тара исполнителя)</t>
  </si>
  <si>
    <t>14.4</t>
  </si>
  <si>
    <t>Выезд специалиста для проведения работ по проведению инструментальных замеров и отбора проб компонентов окружающей среды на объекте заказчика в Москве и на расстоянии до 50 км от Москвы включительно (время нахождения специалиста на объекте не более 4-х часов в ночное время)</t>
  </si>
  <si>
    <t>14.11</t>
  </si>
  <si>
    <t>Отбор пробы атмосферного воздуха территорий на один компонент для лабораторного исследования на объекте заказчика (тара исполнителя)</t>
  </si>
  <si>
    <t>13.6</t>
  </si>
  <si>
    <t>Отбор пробы воздуха рабочей зоны на один компонент для лабораторного исследования на объекте заказчика (тара исполнителя)</t>
  </si>
  <si>
    <t>12.1</t>
  </si>
  <si>
    <t>Преимагинальные формы синантропных мух (личинки и куколки) в почвах (грунтах), осадках, донных отложениях, пробах растительного происхождения, отходах</t>
  </si>
  <si>
    <t>1.10</t>
  </si>
  <si>
    <t>Санитарное число Хлебникова (отношение белкового азота к общему органическому азоту)</t>
  </si>
  <si>
    <t>14.31</t>
  </si>
  <si>
    <t>Оформление комплекта протоколов по одной заявке</t>
  </si>
  <si>
    <t>Комплект</t>
  </si>
  <si>
    <t>КОПИЯ АКТА ОТБОРА ПРОБ ПРИЛАГАЕТСЯ, ПРОБЫ СНАБЖЕНЫ ЭТИКЕТКАМИ</t>
  </si>
  <si>
    <t xml:space="preserve">Сдал: </t>
  </si>
  <si>
    <t>ООО "РЭИ-Регион"</t>
  </si>
  <si>
    <t>___________________</t>
  </si>
  <si>
    <t>Ф.И.О.</t>
  </si>
  <si>
    <t>М.П.</t>
  </si>
  <si>
    <t>Принял: ООО "ГК РЭИ"</t>
  </si>
  <si>
    <t>768-00000-00000-17</t>
  </si>
  <si>
    <t>1.165</t>
  </si>
  <si>
    <r>
      <t xml:space="preserve">Комплекс 1.6. </t>
    </r>
    <r>
      <rPr>
        <b/>
        <sz val="11"/>
        <rFont val="Times New Roman"/>
        <family val="1"/>
        <charset val="204"/>
      </rPr>
      <t>(Санитарно-гигиеническое обследование почв (грунтов)  в соответствии с  СанПиН 2.1.7.1287-03 - расширенный перечень показателей): тяжелые металлы  (кислоторастворимая форма) (10): свинец, кадмий, цинк, медь, никель, ртуть, марганец, хром, кобальт, мышьяк; водородный показатель (рН) солевой вытяжки; нефтепродукты (суммарно); бенз(а)пирен; удельная активность естественных радионуклидов (ЕРН - радий-226, торий-232, калий-40) и цезия-137</t>
    </r>
  </si>
  <si>
    <t>акт № 767-00001-52007-17 (№п/п 1-12)</t>
  </si>
  <si>
    <t>1.116</t>
  </si>
  <si>
    <r>
      <t>Комплекс 1.7.</t>
    </r>
    <r>
      <rPr>
        <b/>
        <sz val="11"/>
        <rFont val="Times New Roman"/>
        <family val="1"/>
        <charset val="204"/>
      </rPr>
      <t xml:space="preserve"> (Оценка степени загрязнения почв (грунтов) в соответствии с СП 11-102-97 - стандартный перечень показателей): тяжелые металлы  (кислоторастворимая форма) (8): свинец, кадмий, цинк, медь, никель, мышьяк, ртуть, кобальт; бенз(а)пирен; нефтепродукты (суммарно); удельная активность естественных радионуклидов (ЕРН - радий-226, торий-232, калий-40) и цезия-137</t>
    </r>
  </si>
  <si>
    <t>Комплекс 1.7. (Оценка степени загрязнения почв (грунтов) в соответствии с СП 11-102-97 - стандартный перечень показателей): тяжелые металлы  (кислоторастворимая форма) (8): свинец, кадмий, цинк, медь, никель, мышьяк, ртуть, кобальт; бенз(а)пирен; нефтепродукты (суммарно); удельная активность естественных радионуклидов (ЕРН - радий-226, торий-232, калий-40) и цезия-137</t>
  </si>
  <si>
    <t>1.170</t>
  </si>
  <si>
    <t>Комплекс 1.11. (Оценка качества почв (грунтов) при комплексном благоустройстве территории в соответствии с МГСН 1.02-02 - стандартный перечень физических и химических показателей): содержание физической глины, плотность сложения; органическое вещество (гумус), водородный показатель (рН) водной вытяжки, азот нитратный (нитраты), азот нитритный (нитриты), азот аммонийный (аммоний обменный), фосфор (подвижная форма), калий (обменная форма)</t>
  </si>
  <si>
    <t>Плотный остаток</t>
  </si>
  <si>
    <t>1.12</t>
  </si>
  <si>
    <t>Плотность грунта (объемный вес)</t>
  </si>
  <si>
    <t>1.102</t>
  </si>
  <si>
    <t>Органическое вещество (в пересчете на гумус)</t>
  </si>
  <si>
    <t>1.7</t>
  </si>
  <si>
    <t>11.10</t>
  </si>
  <si>
    <t>таб № 772-00001-52007-18</t>
  </si>
  <si>
    <t>1.105</t>
  </si>
  <si>
    <t>Фенолы летучие</t>
  </si>
  <si>
    <t>1.130</t>
  </si>
  <si>
    <t>Полихлорированные бифенилы (ПХБ-28, ПХБ-52, ПХБ-101, ПХБ-118, ПХБ-138, ПХБ-153, ПХБ-180)</t>
  </si>
  <si>
    <t>для ГлавГосЭкс</t>
  </si>
  <si>
    <t>1.26</t>
  </si>
  <si>
    <t>Сера (кислоторастворимая форма)</t>
  </si>
  <si>
    <r>
      <t xml:space="preserve">Комплекс 4.6. </t>
    </r>
    <r>
      <rPr>
        <b/>
        <sz val="11"/>
        <rFont val="Times New Roman"/>
        <family val="1"/>
        <charset val="204"/>
      </rPr>
      <t>(Определение коррозионной агрессивности грунтовых и поверхностных вод по отношению к бетонным и железобетонным конструкциям, стали, свинцовым и алюминиевым оболочкам кабеля в соответствии с ГОСТ 31384-2008, СНиП 2.03.11-85, ГОСТ 9.602-2005): водородный показатель (рН), сухой остаток, гидрокарбонаты, карбонаты, двуокись углерода, сульфаты, хлориды, нитраты, кальций, магний, железо, аммоний, сумма калия и натрия (расчетом), ХПК</t>
    </r>
  </si>
  <si>
    <r>
      <t>Комплекс 4.1.</t>
    </r>
    <r>
      <rPr>
        <b/>
        <sz val="11"/>
        <rFont val="Times New Roman"/>
        <family val="1"/>
        <charset val="204"/>
      </rPr>
      <t xml:space="preserve"> (Вода открытых водоемов - поверхностного источника в соответствии с СанПиН 2.1.5.980-00 - сокращенный перечень показателей): органолептические показатели (3): плавающие примеси, окраска, запах; показатели химического состава (11): взвешенные вещества, водородный показатель (рН), сухой остаток, БПК5, ХПК, аммиак и аммоний-ион (суммарно), нитраты, железо общее, марганец, цинк, медь</t>
    </r>
  </si>
  <si>
    <t>4.172</t>
  </si>
  <si>
    <r>
      <t>Комплекс 4.3.</t>
    </r>
    <r>
      <rPr>
        <b/>
        <sz val="11"/>
        <rFont val="Times New Roman"/>
        <family val="1"/>
        <charset val="204"/>
      </rPr>
      <t xml:space="preserve"> (Вода открытых водоемов - поверхностного источника в соответствии с СанПиН 2.1.5.980-00 - стандартный перечень показателей): органолептические показатели (3): плавающие примеси, окраска, запах; показатели химического состава (17): взвешенные вещества, сухой остаток, водородный показатель (рН), БПК5, ХПК, аммоний-ион, нитраты, сульфаты, хлориды, фториды, железо общее, марганец, цинк, медь, свинец, кадмий, нефтепродукты (суммарно)</t>
    </r>
  </si>
  <si>
    <r>
      <t>Комплекс 3.2.</t>
    </r>
    <r>
      <rPr>
        <b/>
        <sz val="11"/>
        <rFont val="Times New Roman"/>
        <family val="1"/>
        <charset val="204"/>
      </rPr>
      <t xml:space="preserve"> (Вода источников централизованного питьевого водоснабжения в соответствии с СанПиН 2.1.4.1074-01 - сокращенный перечень показателей)3: органолептические показатели (4): запах, привкус, цветность, мутность; показатели химического состава (8): водородный показатель (рН), сухой остаток, жесткость общая, окисляемость перманганатная, железо, аммиак и аммоний-ион (суммарно), хлор остаточный свободный, хлор остаточный связанный</t>
    </r>
  </si>
  <si>
    <r>
      <t>Комплекс 3.3.</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 органолептические показатели (4): запах, привкус, цветность, мутность; показатели химического состава (12): водородный показатель (рН), сухой остаток, жесткость общая, окисляемость перманганатная, нефтепродукты (суммарно), АПАВ, аммиак и аммоний-ион (суммарно), нитраты, сульфаты, фториды, железо общее, марганец</t>
    </r>
  </si>
  <si>
    <r>
      <t>Комплекс 3.4.</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показателей)3: органолептические показатели (4): запах, привкус, цветность, мутность; показатели химического состава (14): водородный показатель (рН), сухой остаток, жесткость общая, окисляемость перманганатная, нефтепродукты (суммарно), АПАВ, аммиак и аммоний-ион (суммарно), нитраты, сульфаты, фториды, железо общее, марганец, хлор остаточный свободный, хлор остаточный связанный</t>
    </r>
  </si>
  <si>
    <r>
      <t>Комплекс 3.6.</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состава (9): водородный показатель (рН), жесткость общая, сухой остаток, окисляемость перманганатная,  аммиак и аммоний-ион (суммарно), нитраты, сульфаты, хлориды, железо общее</t>
    </r>
  </si>
  <si>
    <t>Комплекс 3.6.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состава (9): водородный показатель (рН), жесткость общая, сухой остаток, окисляемость перманганатная,  аммиак и аммоний-ион (суммарно), нитраты, сульфаты, хлориды, железо общее</t>
  </si>
  <si>
    <r>
      <t>Комплекс 3.7.</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состава (13): водородный показатель (рН), жесткость общая, сухой остаток, окисляемость перманганатная, аммиак и аммоний-ион (суммарно), нитраты, нитриты, сульфаты, хлориды, железо общее, марганец, бор, стронций</t>
    </r>
  </si>
  <si>
    <t>Комплекс 3.7.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состава (13): водородный показатель (рН), жесткость общая, сухой остаток, окисляемость перманганатная, аммиак и аммоний-ион (суммарно), нитраты, нитриты, сульфаты, хлориды, железо общее, марганец, бор, стронций</t>
  </si>
  <si>
    <t>3.138</t>
  </si>
  <si>
    <r>
      <t>Комплекс 3.9.</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состава (20): водородный показатель (рН), жесткость общая, сухой остаток, окисляемость перманганатная,  нитраты, сульфаты, хлориды, фториды, железо общее, марганец, медь, свинец, мышьяк, молибден, ртуть, цинк, фенолы, сероводород, ХПК, нефтепродукты (сумарнно)</t>
    </r>
  </si>
  <si>
    <t>Комплекс 3.8.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состава (18): водородный показатель (рН), жесткость общая, сухой остаток, окисляемость перманганатная,  аммиак и аммоний-ион (суммарно), нитраты, нитриты, сульфаты, хлориды, фториды, железо общее, марганец, медь, свинец, кадмий, мышьяк, бор, стронций</t>
  </si>
  <si>
    <t>6.59</t>
  </si>
  <si>
    <r>
      <t xml:space="preserve">Комплекс 6.1. </t>
    </r>
    <r>
      <rPr>
        <b/>
        <sz val="11"/>
        <rFont val="Times New Roman"/>
        <family val="1"/>
        <charset val="204"/>
      </rPr>
      <t>(Атмосферный воздух  территорий - стандартный перечень показателей):  оксид углерода, диоксид азота, сернистый ангидрид (диоксид серы), взвешенные вещества (пыль)</t>
    </r>
  </si>
  <si>
    <t>10.3</t>
  </si>
  <si>
    <t>10.4</t>
  </si>
  <si>
    <t>10.20</t>
  </si>
  <si>
    <r>
      <t>Комплекс 10.1.</t>
    </r>
    <r>
      <rPr>
        <b/>
        <sz val="11"/>
        <rFont val="Times New Roman"/>
        <family val="1"/>
        <charset val="204"/>
      </rPr>
      <t xml:space="preserve"> (Газогеохимическое исследование грунтов в соответствии с СП 11-102-97 - стандартный перечень показателей): метан, диоксид углерода, кислород, азот, водород </t>
    </r>
  </si>
  <si>
    <t>11.8</t>
  </si>
  <si>
    <t>11.11</t>
  </si>
  <si>
    <t>11.1</t>
  </si>
  <si>
    <t xml:space="preserve">Инструментальные исследования и оценка параметров шума в производственных помещениях </t>
  </si>
  <si>
    <t>11.16</t>
  </si>
  <si>
    <t>13.1</t>
  </si>
  <si>
    <t>13.5</t>
  </si>
  <si>
    <t>13.20</t>
  </si>
  <si>
    <t>Комплекс 13.1. Определение острой токсичности  грунтов, осадков сточных вод, отходов с применением двух тест-объектов из разных систематических групп (культуры Chlorella vulgaris Beijer и Daphnia magna Straus)</t>
  </si>
  <si>
    <t>акт № 767-00013-52004-17 (№п/п 1-12)</t>
  </si>
  <si>
    <t>МЭД</t>
  </si>
  <si>
    <t>МЭД+МЭДзд+ЭРОА</t>
  </si>
  <si>
    <t>1.75</t>
  </si>
  <si>
    <t>Натрий</t>
  </si>
  <si>
    <t>1.42</t>
  </si>
  <si>
    <t>таб № 772-00006-52005-16</t>
  </si>
  <si>
    <t>?</t>
  </si>
  <si>
    <t>акт № 767-000-52007-17</t>
  </si>
  <si>
    <t>14.30</t>
  </si>
  <si>
    <t>Оформление протокола лабораторных и инструментальных исследований (результаты испытаний не более чем 12-ти образцов (инструментальных замеров) в одном протоколе)</t>
  </si>
  <si>
    <t>Протокол</t>
  </si>
  <si>
    <t xml:space="preserve">№ задания ПБ                              </t>
  </si>
  <si>
    <t>Дата отбора пробы</t>
  </si>
  <si>
    <t>№ задания ПБ</t>
  </si>
  <si>
    <t>Дата отбора</t>
  </si>
  <si>
    <t>Номер пробной площадки/скважины</t>
  </si>
  <si>
    <t xml:space="preserve">Глубина отбора пробы, м  </t>
  </si>
  <si>
    <t>Номер пробы</t>
  </si>
  <si>
    <t>Глубина отбора</t>
  </si>
  <si>
    <t xml:space="preserve">                                      </t>
  </si>
  <si>
    <t>Состав пробы</t>
  </si>
  <si>
    <t xml:space="preserve">Пробы отобрал </t>
  </si>
  <si>
    <t xml:space="preserve"> / подпись /</t>
  </si>
  <si>
    <t xml:space="preserve"> </t>
  </si>
  <si>
    <t xml:space="preserve">       </t>
  </si>
  <si>
    <t xml:space="preserve">   Таблица учета экспонирования накопительных камер и измерения ППР в контрольных точках</t>
  </si>
  <si>
    <t>Дата проведения экспонир.:</t>
  </si>
  <si>
    <t>Время:</t>
  </si>
  <si>
    <t>Наименование и   назначение обьекта:</t>
  </si>
  <si>
    <t>8-секционный жилой дом с встроенно-пристроенными нежилыми помещениями без конкретной технологии ( поз.по ГП №4 и №VII)</t>
  </si>
  <si>
    <t>Дата проведения измерений:</t>
  </si>
  <si>
    <t>Номер</t>
  </si>
  <si>
    <t xml:space="preserve">                                  Время</t>
  </si>
  <si>
    <t>Активность радона в угле, Бк</t>
  </si>
  <si>
    <r>
      <t>Плотность потока радона из грунта, мБк/(м</t>
    </r>
    <r>
      <rPr>
        <vertAlign val="superscript"/>
        <sz val="9"/>
        <rFont val="Times New Roman"/>
        <family val="1"/>
        <charset val="204"/>
      </rPr>
      <t>2</t>
    </r>
    <r>
      <rPr>
        <sz val="9"/>
        <rFont val="Times New Roman"/>
        <family val="1"/>
        <charset val="204"/>
      </rPr>
      <t>с)</t>
    </r>
  </si>
  <si>
    <t>накопителя</t>
  </si>
  <si>
    <t>контрольной точки</t>
  </si>
  <si>
    <t>сорбц. колон-ки, СК-</t>
  </si>
  <si>
    <t>детектора радиометра, БДБ-</t>
  </si>
  <si>
    <t>экспонирования адсорберов в контрольных точках</t>
  </si>
  <si>
    <t>начала измере-ний, час</t>
  </si>
  <si>
    <t>экспонирования адсор-беров, час</t>
  </si>
  <si>
    <t>измерения активности, сек</t>
  </si>
  <si>
    <t>начала</t>
  </si>
  <si>
    <t>окончания</t>
  </si>
  <si>
    <t>час</t>
  </si>
  <si>
    <t>мин</t>
  </si>
  <si>
    <t>Аrn</t>
  </si>
  <si>
    <r>
      <t>d</t>
    </r>
    <r>
      <rPr>
        <vertAlign val="subscript"/>
        <sz val="9"/>
        <rFont val="Times New Roman"/>
        <family val="1"/>
        <charset val="204"/>
      </rPr>
      <t>A</t>
    </r>
  </si>
  <si>
    <t>ППРк</t>
  </si>
  <si>
    <r>
      <t>D</t>
    </r>
    <r>
      <rPr>
        <sz val="9"/>
        <rFont val="Times New Roman"/>
        <family val="1"/>
        <charset val="204"/>
      </rPr>
      <t>ппр</t>
    </r>
  </si>
  <si>
    <t>Сдал:</t>
  </si>
  <si>
    <t>Принял:</t>
  </si>
  <si>
    <t xml:space="preserve">   Таблица учета измерения МЭД гамма-излучения на участке</t>
  </si>
  <si>
    <r>
      <t>042</t>
    </r>
    <r>
      <rPr>
        <b/>
        <u/>
        <sz val="11"/>
        <rFont val="Times New Roman"/>
        <family val="1"/>
        <charset val="204"/>
      </rPr>
      <t>-00059-52049-08-1/1</t>
    </r>
  </si>
  <si>
    <t>Прибор/заводской номер:</t>
  </si>
  <si>
    <t>Дозиметр-радиометр МКС-05 "Терра"=1600031</t>
  </si>
  <si>
    <t>Результаты измерений, мкЗв/ч</t>
  </si>
  <si>
    <t>Коорд точек</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</si>
  <si>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</si>
  <si>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</si>
  <si>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</si>
  <si>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</si>
  <si>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</si>
  <si>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</si>
  <si>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</si>
  <si>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</si>
  <si>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</si>
  <si>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</si>
  <si>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</si>
  <si>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</si>
  <si>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</si>
  <si>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</si>
  <si>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</si>
  <si>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</si>
  <si>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</si>
  <si>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</si>
  <si>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</si>
  <si>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</si>
  <si>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</si>
  <si>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</si>
  <si>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</si>
  <si>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</si>
  <si>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</si>
  <si>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</si>
  <si>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</si>
  <si>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</si>
  <si>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</si>
  <si>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</si>
  <si>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</si>
  <si>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</si>
  <si>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</si>
  <si>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</si>
  <si>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</si>
  <si>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</si>
  <si>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</si>
  <si>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</si>
  <si>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</si>
  <si>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</si>
  <si>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</si>
  <si>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</si>
  <si>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</si>
  <si>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</si>
  <si>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</si>
  <si>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</si>
  <si>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</si>
  <si>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</si>
  <si>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</si>
  <si>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</si>
  <si>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</si>
  <si>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</si>
  <si>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</si>
  <si>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</si>
  <si>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</si>
  <si>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</si>
  <si>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</si>
  <si>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</si>
  <si>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</si>
  <si>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</si>
  <si>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</si>
  <si>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</si>
  <si>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</si>
  <si>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</si>
  <si>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</si>
  <si>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</si>
  <si>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</si>
  <si>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</si>
  <si>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</si>
  <si>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</si>
  <si>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</si>
  <si>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</si>
  <si>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</si>
  <si>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</si>
  <si>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</si>
  <si>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</si>
  <si>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</si>
  <si>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</si>
  <si>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</si>
  <si>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</si>
  <si>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</si>
  <si>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</si>
  <si>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</si>
  <si>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</si>
  <si>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</si>
  <si>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</si>
  <si>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</si>
  <si>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</si>
  <si>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</si>
  <si>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</si>
  <si>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</si>
  <si>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</si>
  <si>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</si>
  <si>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</si>
  <si>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</si>
  <si>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</si>
  <si>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</si>
  <si>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</si>
  <si>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</si>
  <si>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</si>
  <si>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</si>
  <si>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</si>
  <si>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</si>
  <si>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</si>
  <si>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</si>
  <si>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</si>
  <si>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</si>
  <si>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</si>
  <si>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</si>
  <si>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</si>
  <si>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</si>
  <si>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</si>
  <si>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</si>
  <si>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</si>
  <si>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</si>
  <si>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</si>
  <si>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</si>
  <si>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</si>
  <si>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</si>
  <si>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</si>
  <si>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</si>
  <si>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</si>
  <si>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</si>
  <si>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</si>
  <si>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</si>
  <si>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</si>
  <si>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</si>
  <si>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</si>
  <si>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</si>
  <si>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</si>
  <si>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</si>
  <si>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</si>
  <si>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</si>
  <si>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</si>
  <si>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</si>
  <si>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</si>
  <si>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</si>
  <si>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</si>
  <si>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</si>
  <si>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</si>
  <si>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</si>
  <si>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</si>
  <si>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</si>
  <si>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</si>
  <si>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</si>
  <si>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</si>
  <si>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</si>
  <si>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</si>
  <si>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</si>
  <si>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</si>
  <si>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</si>
  <si>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</si>
  <si>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</si>
  <si>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</si>
  <si>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</si>
  <si>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</si>
  <si>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</si>
  <si>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</si>
  <si>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</si>
  <si>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</si>
  <si>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</si>
  <si>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</si>
  <si>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</si>
  <si>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</si>
  <si>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</si>
  <si>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</si>
  <si>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</si>
  <si>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</si>
  <si>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</si>
  <si>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</si>
  <si>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 xml:space="preserve">Гамма-съемка проведена в </t>
  </si>
  <si>
    <t>точках</t>
  </si>
  <si>
    <t>max</t>
  </si>
  <si>
    <t>Радометрия участка:</t>
  </si>
  <si>
    <t>мкЗв/ч</t>
  </si>
  <si>
    <t>min.</t>
  </si>
  <si>
    <t>Начальник ПБ:</t>
  </si>
  <si>
    <t>№ точки</t>
  </si>
  <si>
    <t xml:space="preserve">значение МЭД </t>
  </si>
  <si>
    <t>значение МЭД</t>
  </si>
  <si>
    <t>Радиометрия:</t>
  </si>
  <si>
    <t xml:space="preserve">   Таблица учета значений ЭРОА в контрольных точках</t>
  </si>
  <si>
    <t>РАА 20П2 Поиск № 062</t>
  </si>
  <si>
    <t>секция</t>
  </si>
  <si>
    <t>этаж</t>
  </si>
  <si>
    <t>№ помещения</t>
  </si>
  <si>
    <t>№ точки замера</t>
  </si>
  <si>
    <t>Условия пробоотбора</t>
  </si>
  <si>
    <r>
      <t>ОА (Бк/м</t>
    </r>
    <r>
      <rPr>
        <vertAlign val="superscript"/>
        <sz val="11"/>
        <rFont val="Times New Roman"/>
        <family val="1"/>
        <charset val="204"/>
      </rPr>
      <t>3</t>
    </r>
    <r>
      <rPr>
        <sz val="11"/>
        <rFont val="Times New Roman"/>
        <family val="1"/>
        <charset val="204"/>
      </rPr>
      <t>)</t>
    </r>
  </si>
  <si>
    <r>
      <t>ЭРОА (Бк/м</t>
    </r>
    <r>
      <rPr>
        <vertAlign val="superscript"/>
        <sz val="11"/>
        <rFont val="Times New Roman"/>
        <family val="1"/>
        <charset val="204"/>
      </rPr>
      <t>3</t>
    </r>
    <r>
      <rPr>
        <sz val="11"/>
        <rFont val="Times New Roman"/>
        <family val="1"/>
        <charset val="204"/>
      </rPr>
      <t>)</t>
    </r>
  </si>
  <si>
    <t>Коэффициент равновесия</t>
  </si>
  <si>
    <r>
      <t>Температура (</t>
    </r>
    <r>
      <rPr>
        <vertAlign val="superscript"/>
        <sz val="11"/>
        <rFont val="Times New Roman"/>
        <family val="1"/>
        <charset val="204"/>
      </rPr>
      <t>0</t>
    </r>
    <r>
      <rPr>
        <sz val="11"/>
        <rFont val="Times New Roman"/>
        <family val="1"/>
        <charset val="204"/>
      </rPr>
      <t>С)</t>
    </r>
  </si>
  <si>
    <t>Влажность (%)</t>
  </si>
  <si>
    <t>Давление (мм.рт.ст.)</t>
  </si>
  <si>
    <t xml:space="preserve">   Таблица учета измерения МЭД гамма-излучения в помещениях </t>
  </si>
  <si>
    <t>Результаты измерений на открытой местности:</t>
  </si>
  <si>
    <t>№ точки /напрвление/растояние от объекта м</t>
  </si>
  <si>
    <t>Значение, мкЗв/ч</t>
  </si>
  <si>
    <t>1/С/</t>
  </si>
  <si>
    <t>2/Ю/</t>
  </si>
  <si>
    <t>Расстояние от объекта (здания), м</t>
  </si>
  <si>
    <t>30-100</t>
  </si>
  <si>
    <t>Результаты измерений в здании (сооружении):</t>
  </si>
  <si>
    <t>Здание (строение)</t>
  </si>
  <si>
    <t>№ этажа</t>
  </si>
  <si>
    <t>№ пом.</t>
  </si>
  <si>
    <t>Показания поискового радиометра, мкЗв/ч</t>
  </si>
  <si>
    <t>МЭД ГИ (Н), мкЗв/ч</t>
  </si>
  <si>
    <t>Приложение №1</t>
  </si>
  <si>
    <t>к договору 01/07/14</t>
  </si>
  <si>
    <t>от 25 июля 2014 г.</t>
  </si>
  <si>
    <t>Заявка на микробиологию</t>
  </si>
  <si>
    <t>Генеральному директору</t>
  </si>
  <si>
    <t>ООО "ЭКО-ВИТА"</t>
  </si>
  <si>
    <t>Ю.Н.Митину</t>
  </si>
  <si>
    <t>ЗАЯВКА №</t>
  </si>
  <si>
    <t>769-00001-52007-18</t>
  </si>
  <si>
    <t xml:space="preserve">на выполнение лабораторного микробиологического исследования проб почвы (грунта, донных отложений) </t>
  </si>
  <si>
    <t>Комплекс показателей для лабораторного исследования</t>
  </si>
  <si>
    <t>Индекс БГКП</t>
  </si>
  <si>
    <t>х</t>
  </si>
  <si>
    <t>Индекс энтерококков</t>
  </si>
  <si>
    <t>Патогенные бактерии (в т.ч. сальмонеллы)</t>
  </si>
  <si>
    <t>Яйца геогельминтов</t>
  </si>
  <si>
    <t>Цисты кишечных патогенных простейших</t>
  </si>
  <si>
    <t>КОПИЯ АКТА ОТБОРА ПРОБ ПРИЛАГАЕТСЯ.</t>
  </si>
  <si>
    <t>Приложение №2</t>
  </si>
  <si>
    <r>
      <t xml:space="preserve">от </t>
    </r>
    <r>
      <rPr>
        <b/>
        <sz val="10"/>
        <rFont val="Times New Roman"/>
        <family val="1"/>
        <charset val="204"/>
      </rPr>
      <t>25</t>
    </r>
    <r>
      <rPr>
        <b/>
        <sz val="11"/>
        <rFont val="Times New Roman"/>
        <family val="1"/>
        <charset val="204"/>
      </rPr>
      <t xml:space="preserve"> июля 2014 г.</t>
    </r>
  </si>
  <si>
    <t>770-00001-52007-18</t>
  </si>
  <si>
    <t xml:space="preserve">на исследование проб воды по микробиологическим показателям </t>
  </si>
  <si>
    <t>Возбудители кишечных инфекций</t>
  </si>
  <si>
    <t>Общее микробное число</t>
  </si>
  <si>
    <t>Общие колиформные бактерии</t>
  </si>
  <si>
    <t>Термотолерантные колиформные бактерии</t>
  </si>
  <si>
    <t>Колифаги</t>
  </si>
  <si>
    <t>Споры сульфитредуцирующих клостридий</t>
  </si>
  <si>
    <t xml:space="preserve">Цисты лямблий </t>
  </si>
  <si>
    <t>Жизнеспособные яйца гельминтов, цисты патогенных кишечных простейших</t>
  </si>
  <si>
    <t>Исследование проб поверхностных вод на соответствие СанПиН 2.1.5.980-00,</t>
  </si>
  <si>
    <t>ГН 2.1.5.1315-03</t>
  </si>
  <si>
    <t>КОПИИ АКТОВ ОТБОРА ПРОБ ПРИЛАГАЕТСЯ.</t>
  </si>
  <si>
    <t>Таблица проведения поверхностной эмиссионной газовой съемки с отбором проб грунтового воздуха,  скважные исследования с послойным отбором проб грунтового воздуха</t>
  </si>
  <si>
    <t>037-00000-00000-14</t>
  </si>
  <si>
    <t>№ СК</t>
  </si>
  <si>
    <t>№ пробы</t>
  </si>
  <si>
    <t>Координаты точки отбора/ скважины, система WGS84</t>
  </si>
  <si>
    <t>CH4 (метан)</t>
  </si>
  <si>
    <t>CO2 (угл.газ)</t>
  </si>
  <si>
    <t>O2 (кислород)</t>
  </si>
  <si>
    <t>H2 (водород)</t>
  </si>
  <si>
    <t>С1-С10 Углеводороды</t>
  </si>
  <si>
    <t>1.0</t>
  </si>
  <si>
    <t>2.1</t>
  </si>
  <si>
    <t>3.1</t>
  </si>
  <si>
    <t>2.0</t>
  </si>
  <si>
    <t>4.1</t>
  </si>
  <si>
    <t>3.0</t>
  </si>
  <si>
    <t>5.1</t>
  </si>
  <si>
    <t>6.1</t>
  </si>
  <si>
    <t>7.1</t>
  </si>
  <si>
    <t>8.1</t>
  </si>
  <si>
    <t>768-00001-52007-18</t>
  </si>
  <si>
    <t>Исполнитель:</t>
  </si>
  <si>
    <t>Акт отбора проб №</t>
  </si>
  <si>
    <t>Задание на выполнение ЛР №:</t>
  </si>
  <si>
    <t>Задания на выполнение ЛР №:</t>
  </si>
  <si>
    <t xml:space="preserve">                Задание на выполнение ЛР №:</t>
  </si>
  <si>
    <t>РЭИ-Регион</t>
  </si>
  <si>
    <t>Измеритель параметров микроклимата «МЕТЕОСКОП-М» 32014-11</t>
  </si>
  <si>
    <t>Влажность, %</t>
  </si>
  <si>
    <t>55 50.792</t>
  </si>
  <si>
    <t>37 39.277</t>
  </si>
  <si>
    <t>05АХ.01</t>
  </si>
  <si>
    <t>ПП5</t>
  </si>
  <si>
    <t>06АХ.01</t>
  </si>
  <si>
    <t>ПП6</t>
  </si>
  <si>
    <t>ПП7</t>
  </si>
  <si>
    <t>ПП8</t>
  </si>
  <si>
    <t>ПП9</t>
  </si>
  <si>
    <t>ПП10</t>
  </si>
  <si>
    <t>ПП11</t>
  </si>
  <si>
    <t>ПП12</t>
  </si>
  <si>
    <t>05АХ.02</t>
  </si>
  <si>
    <t>СК5</t>
  </si>
  <si>
    <t>06АХ.02</t>
  </si>
  <si>
    <t>СК6</t>
  </si>
  <si>
    <t>СК7</t>
  </si>
  <si>
    <t>СК8</t>
  </si>
  <si>
    <t>СК9</t>
  </si>
  <si>
    <t>СК10</t>
  </si>
  <si>
    <t>СК11</t>
  </si>
  <si>
    <t>СК12</t>
  </si>
  <si>
    <t>05АХ.03</t>
  </si>
  <si>
    <t>06АХ.03</t>
  </si>
  <si>
    <t>07АХ.03</t>
  </si>
  <si>
    <t>08АХ.03</t>
  </si>
  <si>
    <t>09АХ.03</t>
  </si>
  <si>
    <t>10АХ.03</t>
  </si>
  <si>
    <t>11АХ.03</t>
  </si>
  <si>
    <t>12АХ.03</t>
  </si>
  <si>
    <t>05АХ.04</t>
  </si>
  <si>
    <t>06АХ.04</t>
  </si>
  <si>
    <t>3,0-5,0</t>
  </si>
  <si>
    <t>10АХ.07</t>
  </si>
  <si>
    <t>1) ГОСТ 17.4.3.01-2017 "Охрана природы. Почвы. Общие требования к отбору проб".</t>
  </si>
  <si>
    <t xml:space="preserve">2) ГОСТ 17.4.4.02-2017 "Охрана природы. Почвы. Методы отбора и подготовки проб для химического, бактериологического, гельминтологического анализа".  </t>
  </si>
  <si>
    <t>Паразитологические исследования</t>
  </si>
  <si>
    <t>Микробиологические исследования</t>
  </si>
  <si>
    <t>Состав пробы  ________________________________________</t>
  </si>
  <si>
    <t>ПП13</t>
  </si>
  <si>
    <t>ПП14</t>
  </si>
  <si>
    <t>ПП15</t>
  </si>
  <si>
    <t>0,2-1,0</t>
  </si>
  <si>
    <t>СК13</t>
  </si>
  <si>
    <t>СК14</t>
  </si>
  <si>
    <t>СК15</t>
  </si>
  <si>
    <t>1,0-2,0</t>
  </si>
  <si>
    <t>13АХ.03</t>
  </si>
  <si>
    <t>14АХ.03</t>
  </si>
  <si>
    <t>15АХ.03</t>
  </si>
  <si>
    <t>2,0-3,0</t>
  </si>
  <si>
    <t>01АМ.01</t>
  </si>
  <si>
    <t>02АМ.01</t>
  </si>
  <si>
    <t>03АМ.01</t>
  </si>
  <si>
    <t>04АМ.01</t>
  </si>
  <si>
    <t>05АМ.01</t>
  </si>
  <si>
    <t>06АМ.01</t>
  </si>
  <si>
    <t>07АМ.01</t>
  </si>
  <si>
    <t>08АМ.01</t>
  </si>
  <si>
    <t>09АМ.01</t>
  </si>
  <si>
    <t>10АМ.01</t>
  </si>
  <si>
    <t>11АМ.01</t>
  </si>
  <si>
    <t>Радиология (территория)</t>
  </si>
  <si>
    <t>Радиометрическое обследование территории</t>
  </si>
  <si>
    <t>1 га</t>
  </si>
  <si>
    <t>уточняется</t>
  </si>
  <si>
    <t>Определение плотности потоков радона (ППР) абсорбционным методом (включая снаряжение датчиков, без их установки)</t>
  </si>
  <si>
    <t>датчик (замер)</t>
  </si>
  <si>
    <t>Радиология (здание)</t>
  </si>
  <si>
    <t>Радиометрическое обследование здания/помещений</t>
  </si>
  <si>
    <t>1000 кв.м</t>
  </si>
  <si>
    <t>Определение объемной активности (ОА) / эквивалентной объемной активности (ЭРОА) радона инспекционным методом (краткосрочное измерение) в здании / помещении</t>
  </si>
  <si>
    <t>точка (замер)</t>
  </si>
  <si>
    <t>Почва (стандартный перечень)</t>
  </si>
  <si>
    <r>
      <t>Комплекс 13.2.</t>
    </r>
    <r>
      <rPr>
        <b/>
        <sz val="11"/>
        <rFont val="Times New Roman"/>
        <family val="1"/>
        <charset val="204"/>
      </rPr>
      <t xml:space="preserve"> Определение острой токсичности грунтов, осадков сточных вод, отходов с применением двух тест-объектов из разных систематических групп (культуры Chlorella vulgaris Beijer и Daphnia magna Straus); установление класса опасности отхода с применением Критерия (2) (Приказ Минприроды России № 536 от 04.12.2014)</t>
    </r>
  </si>
  <si>
    <t>Мухи</t>
  </si>
  <si>
    <t>Физ.факторы</t>
  </si>
  <si>
    <t>Инструментальные исследования и оценка параметров электромагнитного поля (ЭМП) промышленной частоты 50 Гц: напряженность электрического поля, индукция магнитного поля</t>
  </si>
  <si>
    <t>Агрохимия МГСН и 514</t>
  </si>
  <si>
    <r>
      <t>Комплекс 1.11.</t>
    </r>
    <r>
      <rPr>
        <b/>
        <sz val="11"/>
        <rFont val="Times New Roman"/>
        <family val="1"/>
        <charset val="204"/>
      </rPr>
      <t xml:space="preserve"> (Оценка качества почв (грунтов) при комплексном благоустройстве территории в соответствии с МГСН 1.02-02 - стандартный перечень физических и химических показателей: содержание физической глины, плотность сложения; органическое вещество (гумус), водородный показатель (рН) водной вытяжки, азот нитратный (нитраты), азот нитритный (нитриты), азот аммонийный (аммоний обменный), фосфор (подвижная форма), калий (обменная форма)</t>
    </r>
  </si>
  <si>
    <t>Хлориды (водорастворимая форма)</t>
  </si>
  <si>
    <t>Удельная электрическая проводимость (УЭП)</t>
  </si>
  <si>
    <t>АО "РЭИ-ЭКОАудит"</t>
  </si>
  <si>
    <t>ООО "ГК РЭИ"</t>
  </si>
  <si>
    <t>9,6…14,2</t>
  </si>
  <si>
    <t>СЗ, 3</t>
  </si>
  <si>
    <t>740,6</t>
  </si>
  <si>
    <t>48,0</t>
  </si>
  <si>
    <t>max.</t>
  </si>
  <si>
    <t>0,10-0,13</t>
  </si>
  <si>
    <r>
      <t xml:space="preserve">Sрадиометории = </t>
    </r>
    <r>
      <rPr>
        <sz val="11"/>
        <color indexed="10"/>
        <rFont val="Times New Roman"/>
        <family val="1"/>
        <charset val="204"/>
      </rPr>
      <t>0,08 га</t>
    </r>
  </si>
  <si>
    <t>Поверхностная вода</t>
  </si>
  <si>
    <t>Подземная вода</t>
  </si>
  <si>
    <t xml:space="preserve">Органолептические показатели: температура, цветность, запах, мутность; взвешенные вещества; растворенные газы: растворенный кислород, сероводород; Показатели химического состава: водородный показатель (рН), Eh, жесткость общая, сухой остаток (общая минерализация), БПК5, ХПК, окисляемость перманганатная, СПАВ, нитраты, нитриты, сульфаты, хлориды, фосфаты, фториды, железо общее, марганец, мышьяк, тяжелые металлы (медь, свинец, ртуть, кадмий, цинк, никель, хром), аммиак и аммоний-ион (суммарно), фенолы, натрий, калий, гидрокарбонаты, кальций, магний, нефтепродукты (суммарно)   </t>
  </si>
  <si>
    <t>поверхностная вода (природная вода)</t>
  </si>
  <si>
    <t>Общие и суммарные показатели: тип донных отложений, цвет, запах, консистенция, включения, влажность, гранулометрический состав, органический углерод, рН; ЕРН и цезии-137; Показатели химического состава: железо, марганец, мышьяк, тяжелые металлы (медь, свинец, ртуть, кадмий, цинк, никель, хром), бенз(а)пирен, нефтепродукты суммарные)</t>
  </si>
  <si>
    <t>донные отложения</t>
  </si>
  <si>
    <t>Органолептические показатели: температура, запах, цветность, мутность; Показатели химического состава: водородный показатель (рН), общая жесткость, общая минерализация (сухой остаток), БПК5, ХПК, перманганатная окисляемость, аммонийный азот, нитраты, нитриты, фосфатный фосфор, СПАВ, нефтепродукты, фенолы, железо, марганец, тяжелые металлы (медь, свинец, ртуть, кадмий, цинк, никель), мышьяк, сероводород, сульфаты, хлориды</t>
  </si>
  <si>
    <t>подземная вода</t>
  </si>
  <si>
    <t>Микробиология</t>
  </si>
  <si>
    <t>обобщенные колиформные бактерии (ОКБ), в том числе Е.coli, энтерококки, патогенные бактерии (в т.ч. сальмонеллы), жизнеспособные яйца и личинки гельминтов опасные для человека и животных</t>
  </si>
  <si>
    <t>Цель исследования</t>
  </si>
  <si>
    <t xml:space="preserve">Соответствие СанПиН 1.2.3685-21 </t>
  </si>
  <si>
    <t>-2…0</t>
  </si>
  <si>
    <t>Ю, 5</t>
  </si>
  <si>
    <t>740</t>
  </si>
  <si>
    <t>80</t>
  </si>
  <si>
    <t>0,09</t>
  </si>
  <si>
    <t>№ пробной площадки / точечной пробы / скважины* (место отбора)</t>
  </si>
  <si>
    <t xml:space="preserve">Определяемые показатели </t>
  </si>
  <si>
    <t>Обобщенные колиформные бактерии (ОКБ), в том числе E.coli; Индекс энтерококков; Патогенные бактерии, в т.ч. Сальмонеллы</t>
  </si>
  <si>
    <t>Представитель заказчика:</t>
  </si>
  <si>
    <t>Условия транспортировки (средства, продолжительность):</t>
  </si>
  <si>
    <r>
      <t>сумка-холодильник, t=3,5</t>
    </r>
    <r>
      <rPr>
        <sz val="11"/>
        <rFont val="Calibri"/>
        <family val="2"/>
        <charset val="204"/>
      </rPr>
      <t>°C,</t>
    </r>
  </si>
  <si>
    <t>12АМ.01</t>
  </si>
  <si>
    <t>13АМ.01</t>
  </si>
  <si>
    <t>14АМ.01</t>
  </si>
  <si>
    <t>15АМ.01</t>
  </si>
  <si>
    <t>16АМ.01</t>
  </si>
  <si>
    <t>17АМ.01</t>
  </si>
  <si>
    <t>18АМ.01</t>
  </si>
  <si>
    <t>19АМ.01</t>
  </si>
  <si>
    <t>20АМ.01</t>
  </si>
  <si>
    <t>ПП16</t>
  </si>
  <si>
    <t>ПП17</t>
  </si>
  <si>
    <t>ПП18</t>
  </si>
  <si>
    <t>ПП19</t>
  </si>
  <si>
    <t>ПП20</t>
  </si>
  <si>
    <t>0,2-0,5</t>
  </si>
  <si>
    <t>Температура + 0,2°С                    Давление +1 мм рт.ст.                          Скорость воздушного потока + (0,1+0,05V) м/с                               Влажность + 3,0%</t>
  </si>
  <si>
    <t>Агрохимия ГОСТ</t>
  </si>
  <si>
    <r>
      <t>Комплекс 1.4.</t>
    </r>
    <r>
      <rPr>
        <b/>
        <sz val="11"/>
        <rFont val="Times New Roman"/>
        <family val="1"/>
        <charset val="204"/>
      </rPr>
      <t xml:space="preserve"> (Санитарно-гигиеническое обследование почв (грунтов) в соответствии с  СанПиН 2.1.3684-21, СП 502.1325800.2021 - стандартный перечень показателей): тяжелые металлы (кислоторастворимая форма) (7): свинец, кадмий, цинк, медь, никель, мышьяк,ртуть; водородный показатель (рН) солевой вытяжки; бенз(а)пирен; нефтепродукты (суммарно); удельная активность естественных радионуклидов (ЕРН - радий-226, торий-232, калий-40) и цезия-137</t>
    </r>
  </si>
  <si>
    <t>01АП.01</t>
  </si>
  <si>
    <t>02АП.01</t>
  </si>
  <si>
    <t>03АП.01</t>
  </si>
  <si>
    <t>04АП.01</t>
  </si>
  <si>
    <t>05АП.01</t>
  </si>
  <si>
    <t>06АП.01</t>
  </si>
  <si>
    <t>07АП.01</t>
  </si>
  <si>
    <t>08АП.01</t>
  </si>
  <si>
    <t>09АП.01</t>
  </si>
  <si>
    <t>10АП.01</t>
  </si>
  <si>
    <t>11АП.01</t>
  </si>
  <si>
    <t>0,0-0,1</t>
  </si>
  <si>
    <t xml:space="preserve"> С-А/24-04-2023/241602800</t>
  </si>
  <si>
    <t>ФГБУ "ВНИИОФИ"</t>
  </si>
  <si>
    <t>1) ГОСТ Р 59024-2020 "Вода. Общие требования к отбору проб".</t>
  </si>
  <si>
    <t xml:space="preserve"> С-А/13-03-2024/323706145</t>
  </si>
  <si>
    <t>Наименование и адрес заказчика:</t>
  </si>
  <si>
    <t>Цель отбора проб:</t>
  </si>
  <si>
    <t>Наименование объекта испытаний (тип образцов):</t>
  </si>
  <si>
    <t>План отбора образцов:</t>
  </si>
  <si>
    <t>Масса пробы/тара</t>
  </si>
  <si>
    <t>Глубина отбора, м</t>
  </si>
  <si>
    <t>Координаты в системе          WGS 84</t>
  </si>
  <si>
    <t>*) Условные обозначения:"ПП(ПП*)"-пробная площадка, "ТП"-точечная проба, "СК"-скважина, "ДО"-донные отложения.</t>
  </si>
  <si>
    <t>НД на методы отбора проб:</t>
  </si>
  <si>
    <t>Средства измерений и оборудование:</t>
  </si>
  <si>
    <t>Лопата, б/н</t>
  </si>
  <si>
    <t>Ручные почвенные пробоотборники (буры Эдельмана), б/н</t>
  </si>
  <si>
    <t>Пластиковый совок, б/н</t>
  </si>
  <si>
    <t>Ковш Ван-Вина, б/н</t>
  </si>
  <si>
    <t>✔</t>
  </si>
  <si>
    <t>Количество проб:</t>
  </si>
  <si>
    <t>Условия транспортировки:</t>
  </si>
  <si>
    <t>Температура в термобоксе, °C</t>
  </si>
  <si>
    <r>
      <t>Автотранспорт,</t>
    </r>
    <r>
      <rPr>
        <sz val="11"/>
        <color indexed="10"/>
        <rFont val="Times New Roman"/>
        <family val="1"/>
        <charset val="204"/>
      </rPr>
      <t xml:space="preserve"> термобокс</t>
    </r>
  </si>
  <si>
    <t>Отбор проб произвел:</t>
  </si>
  <si>
    <t>Размер пробной площадки, м</t>
  </si>
  <si>
    <t xml:space="preserve"> 5 х 5</t>
  </si>
  <si>
    <t>Описание (характеристика пробы)</t>
  </si>
  <si>
    <t>Место отбора (№ пробной площадки / точечной пробы / скважины*)</t>
  </si>
  <si>
    <t>Химико-аналитические/радиационные/токсикологические исследования</t>
  </si>
  <si>
    <t>Энтомологические исследования</t>
  </si>
  <si>
    <t>07АХ.04</t>
  </si>
  <si>
    <t>08АХ.04</t>
  </si>
  <si>
    <t>09АХ.04</t>
  </si>
  <si>
    <t>10АХ.04</t>
  </si>
  <si>
    <t>11АХ.04</t>
  </si>
  <si>
    <t>12АХ.04</t>
  </si>
  <si>
    <t>13АХ.04</t>
  </si>
  <si>
    <t>14АХ.04</t>
  </si>
  <si>
    <t>15АХ.04</t>
  </si>
  <si>
    <t>04АХ.05</t>
  </si>
  <si>
    <t>05АХ.05</t>
  </si>
  <si>
    <t>06АХ.05</t>
  </si>
  <si>
    <t>07АХ.05</t>
  </si>
  <si>
    <t>08АХ.05</t>
  </si>
  <si>
    <t>09АХ.05</t>
  </si>
  <si>
    <t>10АХ.05</t>
  </si>
  <si>
    <t>11АХ.05</t>
  </si>
  <si>
    <t>12АХ.05</t>
  </si>
  <si>
    <t>09АХ.06</t>
  </si>
  <si>
    <t>10АХ.06</t>
  </si>
  <si>
    <t>09АХ.07</t>
  </si>
  <si>
    <t>01АЭ.01</t>
  </si>
  <si>
    <t>02АЭ.01</t>
  </si>
  <si>
    <t>03АЭ.01</t>
  </si>
  <si>
    <t>04АЭ.01</t>
  </si>
  <si>
    <t>05АЭ.01</t>
  </si>
  <si>
    <t>06АЭ.01</t>
  </si>
  <si>
    <t>1,0 кг/Пэ</t>
  </si>
  <si>
    <t>(должность, ФИО, подпись)</t>
  </si>
  <si>
    <t>\</t>
  </si>
  <si>
    <t>№ пробы объединенной</t>
  </si>
  <si>
    <t>Место отбора (№ пробной площадки*)</t>
  </si>
  <si>
    <t>Наименование исследуемого водного объекта</t>
  </si>
  <si>
    <t>01БХ.01</t>
  </si>
  <si>
    <t>02БХ.01</t>
  </si>
  <si>
    <t>03БХ.01</t>
  </si>
  <si>
    <t>04БХ.01</t>
  </si>
  <si>
    <t>05БХ.01</t>
  </si>
  <si>
    <t>06БХ.01</t>
  </si>
  <si>
    <t>07БХ.01</t>
  </si>
  <si>
    <t>08БХ.01</t>
  </si>
  <si>
    <t>09БХ.01</t>
  </si>
  <si>
    <t>10БХ.01</t>
  </si>
  <si>
    <t>11БХ.01</t>
  </si>
  <si>
    <t>12БХ.01</t>
  </si>
  <si>
    <t>13БХ.01</t>
  </si>
  <si>
    <t>14БХ.01</t>
  </si>
  <si>
    <t>15БХ.01</t>
  </si>
  <si>
    <t>Место нахождения точки отбора*</t>
  </si>
  <si>
    <t>ДО1</t>
  </si>
  <si>
    <t>ДО2</t>
  </si>
  <si>
    <t>ДО3</t>
  </si>
  <si>
    <t>ДО4</t>
  </si>
  <si>
    <t>ДО5</t>
  </si>
  <si>
    <t>ДО6</t>
  </si>
  <si>
    <t>ДО7</t>
  </si>
  <si>
    <t>ДО8</t>
  </si>
  <si>
    <t>ДО9</t>
  </si>
  <si>
    <t>ДО10</t>
  </si>
  <si>
    <t>ДО11</t>
  </si>
  <si>
    <t>ДО12</t>
  </si>
  <si>
    <t>ДО13</t>
  </si>
  <si>
    <t>ДО14</t>
  </si>
  <si>
    <t>ДО15</t>
  </si>
  <si>
    <t>1) ГОСТ 17.1.5.01-80 "Охрана природы. Гидросфера. Общие требования к отбору проб донных отложений водных объектов для анализа на загрязненность"</t>
  </si>
  <si>
    <t>Универсальный пробоотборник, б/н</t>
  </si>
  <si>
    <t>*) Условные обозначения: "ДО"-донные отложения.</t>
  </si>
  <si>
    <t>Глубина водного объекта в точке отбора проб, м</t>
  </si>
  <si>
    <t>200 г/Пэ</t>
  </si>
  <si>
    <t>750 г/Пэ</t>
  </si>
  <si>
    <t>Пробоотборник, б/н</t>
  </si>
  <si>
    <t>Батометр, б/н</t>
  </si>
  <si>
    <t>Пробоотборная система ПЭ-1220, б/н</t>
  </si>
  <si>
    <t>*) Условные обозначения:"ПП(ПП*)"-пробная площадка, "ТП"-точечная проба.</t>
  </si>
  <si>
    <t>Автотранспорт, термобокс</t>
  </si>
  <si>
    <t>3) ГОСТ 31942-2012 "Вода. Отбор проб для микробиологического анализа".</t>
  </si>
  <si>
    <t>Измеритель температуры ИТ-17 К-02 (исп. ИТ-17 К-02-4-200), 15360</t>
  </si>
  <si>
    <t>Вода природная</t>
  </si>
  <si>
    <t>*) Условные обозначения:"В"-вода, "ГВ"-грунтовая вода.</t>
  </si>
  <si>
    <t>Место отбора</t>
  </si>
  <si>
    <t>В1</t>
  </si>
  <si>
    <t>В2</t>
  </si>
  <si>
    <t>В3</t>
  </si>
  <si>
    <t>В4</t>
  </si>
  <si>
    <t>В5</t>
  </si>
  <si>
    <t>В6</t>
  </si>
  <si>
    <t>В7</t>
  </si>
  <si>
    <t>В8</t>
  </si>
  <si>
    <t>В9</t>
  </si>
  <si>
    <t>В10</t>
  </si>
  <si>
    <t>В11</t>
  </si>
  <si>
    <t>В12</t>
  </si>
  <si>
    <t>В13</t>
  </si>
  <si>
    <t>В14</t>
  </si>
  <si>
    <t>В15</t>
  </si>
  <si>
    <t>В16</t>
  </si>
  <si>
    <t>В17</t>
  </si>
  <si>
    <t>В18</t>
  </si>
  <si>
    <t>В19</t>
  </si>
  <si>
    <t>В20</t>
  </si>
  <si>
    <t>В21</t>
  </si>
  <si>
    <t>В22</t>
  </si>
  <si>
    <t>В23</t>
  </si>
  <si>
    <t>В24</t>
  </si>
  <si>
    <t>В25</t>
  </si>
  <si>
    <t>В26</t>
  </si>
  <si>
    <t>В27</t>
  </si>
  <si>
    <t>В28</t>
  </si>
  <si>
    <t>В29</t>
  </si>
  <si>
    <t>В30</t>
  </si>
  <si>
    <t>1,0 л/Ст; 1,5л Пэ</t>
  </si>
  <si>
    <t>Температура, °С</t>
  </si>
  <si>
    <t>01ВХ.01</t>
  </si>
  <si>
    <t>02ВХ.01</t>
  </si>
  <si>
    <t>03ВХ.01</t>
  </si>
  <si>
    <t>04ВХ.01</t>
  </si>
  <si>
    <t>05ВХ.01</t>
  </si>
  <si>
    <t>06ВХ.01</t>
  </si>
  <si>
    <t>07ВХ.01</t>
  </si>
  <si>
    <t>08ВХ.01</t>
  </si>
  <si>
    <t>09ВХ.01</t>
  </si>
  <si>
    <t>10ВХ.01</t>
  </si>
  <si>
    <t>11ВХ.01</t>
  </si>
  <si>
    <t>12ВХ.01</t>
  </si>
  <si>
    <t>13ВХ.01</t>
  </si>
  <si>
    <t>14ВХ.01</t>
  </si>
  <si>
    <t>15ВХ.01</t>
  </si>
  <si>
    <t>Количество емкостей</t>
  </si>
  <si>
    <t>4,0-5,0</t>
  </si>
  <si>
    <t>16ВХ.01</t>
  </si>
  <si>
    <t>17ВХ.01</t>
  </si>
  <si>
    <t>18ВХ.01</t>
  </si>
  <si>
    <t>19ВХ.01</t>
  </si>
  <si>
    <t>20ВХ.01</t>
  </si>
  <si>
    <t>21ВХ.01</t>
  </si>
  <si>
    <t>22ВХ.01</t>
  </si>
  <si>
    <t>23ВХ.01</t>
  </si>
  <si>
    <t>24ВХ.01</t>
  </si>
  <si>
    <t>25ВХ.01</t>
  </si>
  <si>
    <t>26ВХ.01</t>
  </si>
  <si>
    <t>27ВХ.01</t>
  </si>
  <si>
    <t>28ВХ.01</t>
  </si>
  <si>
    <t>29ВХ.01</t>
  </si>
  <si>
    <t>30ВХ.01</t>
  </si>
  <si>
    <t>2) ГОСТ Р 70282-2022 "Охрана окружающей среды. Поверхностные и подземные воды. Общие требования к отбору проб льда и атмосферных осадков".</t>
  </si>
  <si>
    <t>✔ Инженерные изыскания □ Мониторинг □ Предписание органов надзора □ Производственный контроль</t>
  </si>
  <si>
    <t>Назначение объекта:</t>
  </si>
  <si>
    <t>Территория участков под строительство
Территория жилой застройки
Территория промышленной зоны
Жилые и общественные здания и помещения
Производственные здания и помещения</t>
  </si>
  <si>
    <t>Наименование и адрес объекта:</t>
  </si>
  <si>
    <t xml:space="preserve"> по адресу:</t>
  </si>
  <si>
    <t>Наименование объекта и адрес(место) отбора образцов испытаний:</t>
  </si>
  <si>
    <r>
      <t xml:space="preserve">Яйца </t>
    </r>
    <r>
      <rPr>
        <sz val="11"/>
        <color indexed="10"/>
        <rFont val="Times New Roman"/>
        <family val="1"/>
        <charset val="204"/>
      </rPr>
      <t xml:space="preserve"> </t>
    </r>
    <r>
      <rPr>
        <sz val="11"/>
        <rFont val="Times New Roman"/>
        <family val="1"/>
      </rPr>
      <t>гельминтов</t>
    </r>
  </si>
  <si>
    <t>адрес вбить сюда</t>
  </si>
  <si>
    <t>0,5-1,0</t>
  </si>
  <si>
    <t>01АХ.05</t>
  </si>
  <si>
    <t>02АХ.05</t>
  </si>
  <si>
    <t>03АХ.05</t>
  </si>
  <si>
    <t>01АХ.06</t>
  </si>
  <si>
    <t>02АХ.06</t>
  </si>
  <si>
    <t>03АХ.06</t>
  </si>
  <si>
    <t>04АХ.06</t>
  </si>
  <si>
    <t>05АХ.06</t>
  </si>
  <si>
    <t>06АХ.06</t>
  </si>
  <si>
    <t>01АХ.07</t>
  </si>
  <si>
    <t>02АХ.07</t>
  </si>
  <si>
    <t>03АХ.07</t>
  </si>
  <si>
    <t>04АХ.07</t>
  </si>
  <si>
    <t>05АХ.07</t>
  </si>
  <si>
    <t>06АХ.07</t>
  </si>
  <si>
    <t>01АХ.08</t>
  </si>
  <si>
    <t>02АХ.08</t>
  </si>
  <si>
    <t>03АХ.08</t>
  </si>
  <si>
    <t>04АХ.08</t>
  </si>
  <si>
    <t>05АХ.08</t>
  </si>
  <si>
    <t>06АХ.08</t>
  </si>
  <si>
    <t>3,0-4,0</t>
  </si>
  <si>
    <t>5,0-7,0</t>
  </si>
  <si>
    <t>7,0-9,0</t>
  </si>
  <si>
    <t>12АП.01</t>
  </si>
  <si>
    <t>13АП.01</t>
  </si>
  <si>
    <t>14АП.01</t>
  </si>
  <si>
    <t>15АП.01</t>
  </si>
  <si>
    <t>16АП.01</t>
  </si>
  <si>
    <t>17АП.01</t>
  </si>
  <si>
    <t>18АП.01</t>
  </si>
  <si>
    <t>19АП.01</t>
  </si>
  <si>
    <t>20АП.01</t>
  </si>
  <si>
    <t>01АХ.09</t>
  </si>
  <si>
    <t>02АХ.09</t>
  </si>
  <si>
    <t>03АХ.09</t>
  </si>
  <si>
    <t>04АХ.09</t>
  </si>
  <si>
    <t>05АХ.09</t>
  </si>
  <si>
    <t>06АХ.09</t>
  </si>
  <si>
    <t>56 50.792</t>
  </si>
  <si>
    <t>38 39.277</t>
  </si>
  <si>
    <t>57 50.792</t>
  </si>
  <si>
    <t>39 39.277</t>
  </si>
  <si>
    <t>58 50.792</t>
  </si>
  <si>
    <t>40 39.277</t>
  </si>
  <si>
    <t>59 50.792</t>
  </si>
  <si>
    <t>41 39.277</t>
  </si>
  <si>
    <t>60 50.792</t>
  </si>
  <si>
    <t>42 39.277</t>
  </si>
  <si>
    <t>61 50.792</t>
  </si>
  <si>
    <t>43 39.277</t>
  </si>
  <si>
    <t>62 50.792</t>
  </si>
  <si>
    <t>44 39.277</t>
  </si>
  <si>
    <t>63 50.792</t>
  </si>
  <si>
    <t>45 39.277</t>
  </si>
  <si>
    <t>64 50.792</t>
  </si>
  <si>
    <t>46 39.277</t>
  </si>
  <si>
    <t>р.Пехорка, оз.Соленое, пруд</t>
  </si>
  <si>
    <t>Адрес и наименование объекта:</t>
  </si>
  <si>
    <t>0,10-0,11</t>
  </si>
  <si>
    <t>Sрадиометории:</t>
  </si>
  <si>
    <t>Метеорологические условия отбора проб (начало…окончание):</t>
  </si>
  <si>
    <t>Из Тз</t>
  </si>
  <si>
    <t xml:space="preserve">Акционерное общество "РЭИ-ЭКОАудит" (АО "РЭИ-ЭКОАудит") 117513, Г.МОСКВА, ВН.ТЕР.Г. МУНИЦИПАЛЬНЫЙ ОКРУГ ТЕПЛЫЙ СТАН, УЛ ОСТРОВИТЯНОВА, Д. 6, ПОМЕЩ. 3/П </t>
  </si>
  <si>
    <t>Акционерное общество "РЭИ-ЭКОАудит" (АО "РЭИ-ЭКОАудит")</t>
  </si>
  <si>
    <t>АО "РЭИ-ЭКОАудит" юридический и фактический адрес: 117513, Г.МОСКВА, ВН.ТЕР.Г. МУНИЦИПАЛЬНЫЙ ОКРУГ ТЕПЛЫЙ СТАН, УЛ ОСТРОВИТЯНОВА, Д. 6, ПОМЕЩ. 3/П</t>
  </si>
  <si>
    <t xml:space="preserve">Акционерное общество "РЭИ-ЭКОАудит" (АО "РЭИ-ЭКОАудит")                                                                                              117513, Г.МОСКВА, ВН.ТЕР.Г. МУНИЦИПАЛЬНЫЙ ОКРУГ ТЕПЛЫЙ СТАН, УЛ ОСТРОВИТЯНОВА, Д. 6, ПОМЕЩ. 3/П </t>
  </si>
  <si>
    <t xml:space="preserve">Акционерное общество "РЭИ-ЭКОАудит" (АО "РЭИ-ЭКОАудит")                                                                                                 117513, Г.МОСКВА, ВН.ТЕР.Г. МУНИЦИПАЛЬНЫЙ ОКРУГ ТЕПЛЫЙ СТАН, УЛ ОСТРОВИТЯНОВА, Д. 6, ПОМЕЩ. 3/П </t>
  </si>
  <si>
    <t>СК16</t>
  </si>
  <si>
    <t>11.04.2025</t>
  </si>
  <si>
    <t>Почва</t>
  </si>
  <si>
    <t>801-...-25-ЗЛР-1</t>
  </si>
  <si>
    <t>801-...-25-АОП-1</t>
  </si>
  <si>
    <t>801-...-25-АОП-2</t>
  </si>
  <si>
    <t>801-...-25-АОП-3</t>
  </si>
  <si>
    <t>801-...-25-АОП-4</t>
  </si>
  <si>
    <t>С.А. Богдану</t>
  </si>
  <si>
    <t>(указывается Заказчиком, если номера нет - б/н)</t>
  </si>
  <si>
    <r>
      <t xml:space="preserve">Объект исследования/испытания: </t>
    </r>
    <r>
      <rPr>
        <b/>
        <sz val="12"/>
        <rFont val="Times New Roman"/>
        <family val="1"/>
        <charset val="204"/>
      </rPr>
      <t>Почва</t>
    </r>
  </si>
  <si>
    <r>
      <rPr>
        <b/>
        <sz val="10"/>
        <rFont val="Times New Roman"/>
        <family val="1"/>
        <charset val="204"/>
      </rPr>
      <t>Название объекта исследования</t>
    </r>
    <r>
      <rPr>
        <sz val="10"/>
        <rFont val="Times New Roman"/>
        <family val="1"/>
        <charset val="204"/>
      </rPr>
      <t xml:space="preserve"> (выбрать нужное):</t>
    </r>
  </si>
  <si>
    <r>
      <t>þ</t>
    </r>
    <r>
      <rPr>
        <sz val="9"/>
        <rFont val="Times New Roman"/>
        <family val="1"/>
        <charset val="204"/>
      </rPr>
      <t xml:space="preserve">    Почва </t>
    </r>
  </si>
  <si>
    <r>
      <t>☐</t>
    </r>
    <r>
      <rPr>
        <sz val="9"/>
        <rFont val="Times New Roman"/>
        <family val="1"/>
        <charset val="204"/>
      </rPr>
      <t xml:space="preserve"> Донные отложения</t>
    </r>
  </si>
  <si>
    <t>☐ Песок</t>
  </si>
  <si>
    <r>
      <t>☐</t>
    </r>
    <r>
      <rPr>
        <sz val="9"/>
        <rFont val="Times New Roman"/>
        <family val="1"/>
        <charset val="204"/>
      </rPr>
      <t xml:space="preserve"> Грунты</t>
    </r>
  </si>
  <si>
    <r>
      <t>☐</t>
    </r>
    <r>
      <rPr>
        <sz val="9"/>
        <rFont val="Times New Roman"/>
        <family val="1"/>
        <charset val="204"/>
      </rPr>
      <t xml:space="preserve"> Иное (указать) ____________________________</t>
    </r>
  </si>
  <si>
    <t>Заказчик</t>
  </si>
  <si>
    <t>АО «РЭИ-ЭКОАудит»</t>
  </si>
  <si>
    <t>Наименование юридического лица /ФИО для физических лиц</t>
  </si>
  <si>
    <t>Контактное лицо: ФИО, должность, контактный телефон, e-mail</t>
  </si>
  <si>
    <t xml:space="preserve">Главный специалист, Ермолов Томас Александрович, +7 (968) 640-72-21, termolov@gruppa-rei.ru </t>
  </si>
  <si>
    <t xml:space="preserve">Прошу Вас провести испытания (исследования) образцов (проб) почвы (таблица «Информация о пробе (ах)») в соответствии с договором. Гарантирую оплату услуг. </t>
  </si>
  <si>
    <t>☐</t>
  </si>
  <si>
    <t>с экспертным заключением</t>
  </si>
  <si>
    <t>þ</t>
  </si>
  <si>
    <t xml:space="preserve"> без экспертного заключения</t>
  </si>
  <si>
    <t>Только для протоколов с указанием аттестата аккредитации.
Требуется оформление дополнительного заявления
 в Орган инспекции ФГБУЗ ГЦГ и Э ФМБА России.</t>
  </si>
  <si>
    <r>
      <rPr>
        <b/>
        <sz val="10"/>
        <rFont val="Times New Roman"/>
        <family val="1"/>
        <charset val="204"/>
      </rPr>
      <t xml:space="preserve">Цель исследования </t>
    </r>
    <r>
      <rPr>
        <sz val="10"/>
        <rFont val="Times New Roman"/>
        <family val="1"/>
        <charset val="204"/>
      </rPr>
      <t xml:space="preserve">(выбрать нужное): </t>
    </r>
  </si>
  <si>
    <r>
      <t xml:space="preserve">       </t>
    </r>
    <r>
      <rPr>
        <sz val="12"/>
        <rFont val="MS Gothic"/>
        <family val="3"/>
        <charset val="204"/>
      </rPr>
      <t>☐</t>
    </r>
  </si>
  <si>
    <t>подтверждение безопасности пробы</t>
  </si>
  <si>
    <r>
      <t xml:space="preserve"> </t>
    </r>
    <r>
      <rPr>
        <sz val="8"/>
        <rFont val="Times New Roman"/>
        <family val="1"/>
        <charset val="204"/>
      </rPr>
      <t>ВЛК/МСИ</t>
    </r>
  </si>
  <si>
    <t>инженерно-экологические изыскания</t>
  </si>
  <si>
    <t>иное_______________</t>
  </si>
  <si>
    <t xml:space="preserve">Дата отбора проб: </t>
  </si>
  <si>
    <t>г.</t>
  </si>
  <si>
    <t>Время отбора:</t>
  </si>
  <si>
    <t>(по необходимости)</t>
  </si>
  <si>
    <t>Место и адрес отбора проб:</t>
  </si>
  <si>
    <t>Реконструкция сетей связи ПАО МГТС, попадающих в зону строительства объекта: «Строительство многопрофильного комплекса ГБУЗ «ДГКБ им. Н.Ф.Филатова ДЗМ» по адресу: г.Москва, ул.Алябьева, д.7/33 (со сносом старых объектов)»</t>
  </si>
  <si>
    <t>Условия доставки:</t>
  </si>
  <si>
    <t>Дополнительные сведения:</t>
  </si>
  <si>
    <t>Название объекта исследования, точка отбора</t>
  </si>
  <si>
    <t>Характеристика (тип) почвы</t>
  </si>
  <si>
    <t>Масса пробы</t>
  </si>
  <si>
    <t>Определяемые показатели</t>
  </si>
  <si>
    <t>НД, регламентирующая допустимый уровень оп-ределяемых показателей (Сан ПиН, ГН, ГОСТ, НРБ, ТУ).</t>
  </si>
  <si>
    <t>1 кг</t>
  </si>
  <si>
    <t xml:space="preserve">Обобщенные колиформные бактерии (ОКБ), в т.ч. Escherichia coli, энтерококки (фекальные энтерококки), патогенные бактерии, в т.ч. сальмонеллы </t>
  </si>
  <si>
    <t>СанПиН 1.2.3685-21</t>
  </si>
  <si>
    <r>
      <t xml:space="preserve">яйца и личинки гельминтов, </t>
    </r>
    <r>
      <rPr>
        <sz val="10"/>
        <color rgb="FFFF0000"/>
        <rFont val="Times New Roman"/>
        <family val="1"/>
        <charset val="204"/>
      </rPr>
      <t>цисты кишечных патогенных простейших</t>
    </r>
  </si>
  <si>
    <t xml:space="preserve">Дата доставки образцов (проб): </t>
  </si>
  <si>
    <t>Заполняется Заказчиком</t>
  </si>
  <si>
    <t>Выбрать нужное:</t>
  </si>
  <si>
    <r>
      <t>þ</t>
    </r>
    <r>
      <rPr>
        <sz val="8"/>
        <rFont val="Times New Roman"/>
        <family val="1"/>
        <charset val="204"/>
      </rPr>
      <t xml:space="preserve"> Оставляю право выбора оптимального метода (методик) исследований, испытаний и измерений образцов (проб) за ИЛЦ ФГБУЗ ГЦГ и Э ФМБА России.</t>
    </r>
  </si>
  <si>
    <r>
      <t>☐</t>
    </r>
    <r>
      <rPr>
        <sz val="8"/>
        <rFont val="Times New Roman"/>
        <family val="1"/>
        <charset val="204"/>
      </rPr>
      <t xml:space="preserve"> </t>
    </r>
    <r>
      <rPr>
        <sz val="11"/>
        <rFont val="Calibri"/>
        <family val="2"/>
        <charset val="204"/>
      </rPr>
      <t xml:space="preserve"> </t>
    </r>
    <r>
      <rPr>
        <sz val="8"/>
        <rFont val="Times New Roman"/>
        <family val="1"/>
        <charset val="204"/>
      </rPr>
      <t>Методы (методики) исследований, испытаний и измерений образцов (проб), указанные Заказчиком:</t>
    </r>
  </si>
  <si>
    <t>ФИО лица, отбиравшего образцы (пробы)/
представителя Заказчика</t>
  </si>
  <si>
    <t>ФИО</t>
  </si>
  <si>
    <t>Подпись</t>
  </si>
  <si>
    <r>
      <t>Договор № 11</t>
    </r>
    <r>
      <rPr>
        <u/>
        <sz val="11"/>
        <rFont val="Times New Roman"/>
        <family val="1"/>
        <charset val="204"/>
      </rPr>
      <t>/2026/л</t>
    </r>
  </si>
  <si>
    <r>
      <t xml:space="preserve">от «14» </t>
    </r>
    <r>
      <rPr>
        <u/>
        <sz val="11"/>
        <rFont val="Times New Roman"/>
        <family val="1"/>
        <charset val="204"/>
      </rPr>
      <t>января</t>
    </r>
    <r>
      <rPr>
        <sz val="11"/>
        <rFont val="Times New Roman"/>
        <family val="1"/>
        <charset val="204"/>
      </rPr>
      <t xml:space="preserve"> </t>
    </r>
    <r>
      <rPr>
        <u/>
        <sz val="11"/>
        <rFont val="Times New Roman"/>
        <family val="1"/>
        <charset val="204"/>
      </rPr>
      <t>2026</t>
    </r>
    <r>
      <rPr>
        <sz val="11"/>
        <rFont val="Times New Roman"/>
        <family val="1"/>
        <charset val="204"/>
      </rPr>
      <t xml:space="preserve"> г.</t>
    </r>
  </si>
  <si>
    <t>Главному врачу</t>
  </si>
  <si>
    <t>ФГБУЗ ГЦГ и Э ФМБА России</t>
  </si>
  <si>
    <r>
      <t xml:space="preserve">☐ </t>
    </r>
    <r>
      <rPr>
        <b/>
        <sz val="7"/>
        <rFont val="Times New Roman"/>
        <family val="1"/>
        <charset val="204"/>
      </rPr>
      <t>СРОЧНО (Прошу оказать услуги в срочном порядке с применением к цене повышающего коэффициента 0,5)</t>
    </r>
  </si>
  <si>
    <t>З А Я В К А № ...-26 от 14.01.2026</t>
  </si>
  <si>
    <t>В ИЛЦ ФГБУЗ ГЦГ и Э ФМБА России</t>
  </si>
  <si>
    <t>Номер п/п</t>
  </si>
  <si>
    <t>Маркировка пробы</t>
  </si>
  <si>
    <t>_____часов</t>
  </si>
  <si>
    <t>_____минут</t>
  </si>
  <si>
    <t xml:space="preserve"> 01АМ.01</t>
  </si>
  <si>
    <t xml:space="preserve"> 02АМ.01</t>
  </si>
  <si>
    <t xml:space="preserve"> 03АМ.01</t>
  </si>
  <si>
    <t xml:space="preserve"> 01АП.01</t>
  </si>
  <si>
    <t xml:space="preserve"> 02АП.01</t>
  </si>
  <si>
    <t xml:space="preserve"> 03АП.01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</si>
</sst>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F800]dddd\,\ mmmm\ dd\,\ yyyy"/>
    <numFmt numFmtId="166" formatCode="h:mm;@"/>
  </numFmts>
  <fonts count="90" x14ac:knownFonts="1">
    <font>
      <sz val="10"/>
      <name val="Arial Cyr"/>
      <charset val="204"/>
    </font>
    <font>
      <b/>
      <sz val="11"/>
      <name val="Times New Roman"/>
      <family val="1"/>
      <charset val="204"/>
    </font>
    <font>
      <sz val="11"/>
      <name val="Times New Roman"/>
      <family val="1"/>
      <charset val="204"/>
    </font>
    <font>
      <b/>
      <sz val="11"/>
      <name val="Arial Cyr"/>
      <charset val="204"/>
    </font>
    <font>
      <sz val="8"/>
      <name val="Arial Cyr"/>
      <charset val="204"/>
    </font>
    <font>
      <b/>
      <u/>
      <sz val="11"/>
      <name val="Times New Roman"/>
      <family val="1"/>
      <charset val="204"/>
    </font>
    <font>
      <b/>
      <u/>
      <sz val="11"/>
      <color indexed="10"/>
      <name val="Times New Roman"/>
      <family val="1"/>
      <charset val="204"/>
    </font>
    <font>
      <b/>
      <sz val="11"/>
      <color indexed="8"/>
      <name val="Times New Roman"/>
      <family val="1"/>
      <charset val="204"/>
    </font>
    <font>
      <sz val="10"/>
      <name val="Arial Cyr"/>
      <charset val="204"/>
    </font>
    <font>
      <sz val="11"/>
      <color indexed="8"/>
      <name val="Calibri"/>
      <family val="2"/>
      <charset val="204"/>
    </font>
    <font>
      <b/>
      <sz val="11"/>
      <name val="Times New Roman"/>
      <family val="1"/>
    </font>
    <font>
      <b/>
      <sz val="12"/>
      <name val="Times New Roman"/>
      <family val="1"/>
    </font>
    <font>
      <b/>
      <u/>
      <sz val="12"/>
      <name val="Times New Roman"/>
      <family val="1"/>
      <charset val="204"/>
    </font>
    <font>
      <sz val="10"/>
      <name val="Times New Roman"/>
      <family val="1"/>
      <charset val="204"/>
    </font>
    <font>
      <sz val="12"/>
      <name val="Times New Roman"/>
      <family val="1"/>
    </font>
    <font>
      <sz val="11"/>
      <name val="Times New Roman"/>
      <family val="1"/>
    </font>
    <font>
      <sz val="16"/>
      <name val="Times New Roman"/>
      <family val="1"/>
      <charset val="204"/>
    </font>
    <font>
      <sz val="10"/>
      <color indexed="16"/>
      <name val="Times New Roman"/>
      <family val="1"/>
      <charset val="204"/>
    </font>
    <font>
      <b/>
      <sz val="12"/>
      <name val="Times New Roman"/>
      <family val="1"/>
      <charset val="204"/>
    </font>
    <font>
      <sz val="12"/>
      <name val="Times New Roman"/>
      <family val="1"/>
      <charset val="204"/>
    </font>
    <font>
      <sz val="9"/>
      <name val="Times New Roman"/>
      <family val="1"/>
      <charset val="204"/>
    </font>
    <font>
      <sz val="8"/>
      <name val="Times New Roman"/>
      <family val="1"/>
      <charset val="204"/>
    </font>
    <font>
      <b/>
      <sz val="10"/>
      <name val="Times New Roman"/>
      <family val="1"/>
      <charset val="204"/>
    </font>
    <font>
      <sz val="11"/>
      <name val="Arial Cyr"/>
      <charset val="204"/>
    </font>
    <font>
      <sz val="11"/>
      <color indexed="12"/>
      <name val="Times New Roman"/>
      <family val="1"/>
      <charset val="204"/>
    </font>
    <font>
      <sz val="11"/>
      <color indexed="16"/>
      <name val="Times New Roman"/>
      <family val="1"/>
    </font>
    <font>
      <sz val="11"/>
      <color indexed="57"/>
      <name val="Times New Roman"/>
      <family val="1"/>
    </font>
    <font>
      <sz val="8"/>
      <color indexed="81"/>
      <name val="Tahoma"/>
      <family val="2"/>
      <charset val="204"/>
    </font>
    <font>
      <sz val="14"/>
      <name val="Arial Cyr"/>
      <charset val="204"/>
    </font>
    <font>
      <b/>
      <sz val="14"/>
      <name val="Times New Roman"/>
      <family val="1"/>
      <charset val="204"/>
    </font>
    <font>
      <b/>
      <u/>
      <sz val="14"/>
      <name val="Times New Roman"/>
      <family val="1"/>
      <charset val="204"/>
    </font>
    <font>
      <sz val="12"/>
      <name val="Arial Cyr"/>
      <charset val="204"/>
    </font>
    <font>
      <b/>
      <sz val="10"/>
      <name val="Arial"/>
      <family val="2"/>
      <charset val="204"/>
    </font>
    <font>
      <b/>
      <sz val="10"/>
      <name val="Arial Cyr"/>
      <charset val="204"/>
    </font>
    <font>
      <b/>
      <sz val="7"/>
      <name val="Arial Cyr"/>
      <charset val="204"/>
    </font>
    <font>
      <sz val="10"/>
      <name val="Arial CYR"/>
      <family val="2"/>
      <charset val="204"/>
    </font>
    <font>
      <b/>
      <sz val="10"/>
      <name val="Arial CYR"/>
      <family val="2"/>
      <charset val="204"/>
    </font>
    <font>
      <b/>
      <sz val="10"/>
      <color indexed="10"/>
      <name val="Arial Cyr"/>
      <family val="2"/>
      <charset val="204"/>
    </font>
    <font>
      <sz val="10"/>
      <name val="Times New Roman CYR"/>
      <family val="1"/>
      <charset val="204"/>
    </font>
    <font>
      <sz val="12"/>
      <name val="Arial Cyr"/>
      <family val="2"/>
      <charset val="204"/>
    </font>
    <font>
      <sz val="8"/>
      <name val="Arial Cyr"/>
      <family val="2"/>
      <charset val="204"/>
    </font>
    <font>
      <sz val="9"/>
      <name val="Arial Cyr"/>
      <family val="2"/>
      <charset val="204"/>
    </font>
    <font>
      <sz val="10"/>
      <name val="Times New Roman"/>
      <family val="1"/>
    </font>
    <font>
      <u/>
      <sz val="10"/>
      <name val="Arial Cyr"/>
      <charset val="204"/>
    </font>
    <font>
      <vertAlign val="superscript"/>
      <sz val="9"/>
      <name val="Times New Roman"/>
      <family val="1"/>
      <charset val="204"/>
    </font>
    <font>
      <sz val="9"/>
      <name val="Symbol"/>
      <family val="1"/>
      <charset val="2"/>
    </font>
    <font>
      <vertAlign val="subscript"/>
      <sz val="9"/>
      <name val="Times New Roman"/>
      <family val="1"/>
      <charset val="204"/>
    </font>
    <font>
      <sz val="10"/>
      <color indexed="8"/>
      <name val="Times New Roman"/>
      <family val="1"/>
      <charset val="204"/>
    </font>
    <font>
      <b/>
      <u/>
      <sz val="10"/>
      <name val="Arial Cyr"/>
      <charset val="204"/>
    </font>
    <font>
      <b/>
      <sz val="10"/>
      <color indexed="8"/>
      <name val="Tahoma"/>
      <family val="2"/>
      <charset val="204"/>
    </font>
    <font>
      <vertAlign val="superscript"/>
      <sz val="11"/>
      <name val="Times New Roman"/>
      <family val="1"/>
      <charset val="204"/>
    </font>
    <font>
      <b/>
      <u/>
      <sz val="14"/>
      <color indexed="10"/>
      <name val="Times New Roman"/>
      <family val="1"/>
      <charset val="204"/>
    </font>
    <font>
      <sz val="11"/>
      <color indexed="8"/>
      <name val="Times New Roman"/>
      <family val="1"/>
      <charset val="204"/>
    </font>
    <font>
      <sz val="12"/>
      <color indexed="8"/>
      <name val="Times New Roman"/>
      <family val="1"/>
      <charset val="204"/>
    </font>
    <font>
      <b/>
      <sz val="12"/>
      <color indexed="8"/>
      <name val="Times New Roman"/>
      <family val="1"/>
      <charset val="204"/>
    </font>
    <font>
      <b/>
      <sz val="48"/>
      <name val="Times New Roman"/>
      <family val="1"/>
      <charset val="204"/>
    </font>
    <font>
      <b/>
      <sz val="72"/>
      <name val="Times New Roman"/>
      <family val="1"/>
      <charset val="204"/>
    </font>
    <font>
      <sz val="11"/>
      <color indexed="10"/>
      <name val="Times New Roman"/>
      <family val="1"/>
      <charset val="204"/>
    </font>
    <font>
      <b/>
      <sz val="36"/>
      <name val="Times New Roman"/>
      <family val="1"/>
      <charset val="204"/>
    </font>
    <font>
      <sz val="11"/>
      <name val="Calibri"/>
      <family val="2"/>
      <charset val="204"/>
    </font>
    <font>
      <i/>
      <sz val="8"/>
      <name val="Times New Roman"/>
      <family val="1"/>
      <charset val="204"/>
    </font>
    <font>
      <sz val="16"/>
      <name val="Times New Roman"/>
      <family val="1"/>
    </font>
    <font>
      <sz val="16"/>
      <color rgb="FFFF0000"/>
      <name val="Times New Roman"/>
      <family val="1"/>
      <charset val="204"/>
    </font>
    <font>
      <sz val="14"/>
      <color rgb="FFFF0000"/>
      <name val="Arial Cyr"/>
      <charset val="204"/>
    </font>
    <font>
      <b/>
      <sz val="20"/>
      <color rgb="FFFF0000"/>
      <name val="Arial Cyr"/>
      <charset val="204"/>
    </font>
    <font>
      <sz val="11"/>
      <color rgb="FFFF0000"/>
      <name val="Times New Roman"/>
      <family val="1"/>
    </font>
    <font>
      <b/>
      <sz val="11"/>
      <color rgb="FFFF0000"/>
      <name val="Times New Roman"/>
      <family val="1"/>
      <charset val="204"/>
    </font>
    <font>
      <sz val="11"/>
      <color rgb="FFFF0000"/>
      <name val="Times New Roman"/>
      <family val="1"/>
      <charset val="204"/>
    </font>
    <font>
      <sz val="12"/>
      <color rgb="FFFF0000"/>
      <name val="Times New Roman"/>
      <family val="1"/>
    </font>
    <font>
      <sz val="12"/>
      <color rgb="FFFF0000"/>
      <name val="Times New Roman"/>
      <family val="1"/>
      <charset val="204"/>
    </font>
    <font>
      <sz val="11"/>
      <color rgb="FF00B050"/>
      <name val="Times New Roman"/>
      <family val="1"/>
      <charset val="204"/>
    </font>
    <font>
      <b/>
      <u/>
      <sz val="12"/>
      <color rgb="FFFF0000"/>
      <name val="Times New Roman"/>
      <family val="1"/>
      <charset val="204"/>
    </font>
    <font>
      <b/>
      <sz val="10"/>
      <color rgb="FFFF0000"/>
      <name val="Arial Cyr"/>
      <charset val="204"/>
    </font>
    <font>
      <sz val="8"/>
      <color rgb="FFFF0000"/>
      <name val="Times New Roman"/>
      <family val="1"/>
    </font>
    <font>
      <b/>
      <sz val="10"/>
      <color rgb="FFFF0000"/>
      <name val="Times New Roman"/>
      <family val="1"/>
      <charset val="204"/>
    </font>
    <font>
      <b/>
      <u/>
      <sz val="14"/>
      <color rgb="FFFF0000"/>
      <name val="Times New Roman"/>
      <family val="1"/>
      <charset val="204"/>
    </font>
    <font>
      <u/>
      <sz val="11"/>
      <name val="Times New Roman"/>
      <family val="1"/>
      <charset val="204"/>
    </font>
    <font>
      <sz val="7"/>
      <name val="Times New Roman"/>
      <family val="1"/>
      <charset val="204"/>
    </font>
    <font>
      <sz val="9"/>
      <name val="Wingdings"/>
      <charset val="2"/>
    </font>
    <font>
      <sz val="9"/>
      <name val="Segoe UI Symbol"/>
      <family val="2"/>
    </font>
    <font>
      <i/>
      <sz val="10"/>
      <name val="Times New Roman"/>
      <family val="1"/>
      <charset val="204"/>
    </font>
    <font>
      <sz val="12"/>
      <name val="MS Gothic"/>
      <family val="3"/>
      <charset val="204"/>
    </font>
    <font>
      <sz val="12"/>
      <name val="Wingdings"/>
      <charset val="2"/>
    </font>
    <font>
      <sz val="3"/>
      <name val="Times New Roman"/>
      <family val="1"/>
      <charset val="204"/>
    </font>
    <font>
      <sz val="10"/>
      <color rgb="FFFF0000"/>
      <name val="Times New Roman"/>
      <family val="1"/>
      <charset val="204"/>
    </font>
    <font>
      <sz val="8"/>
      <name val="Wingdings"/>
      <charset val="2"/>
    </font>
    <font>
      <sz val="8"/>
      <name val="MS Gothic"/>
      <family val="3"/>
      <charset val="204"/>
    </font>
    <font>
      <b/>
      <sz val="7"/>
      <name val="Times New Roman"/>
      <family val="1"/>
      <charset val="204"/>
    </font>
    <font>
      <b/>
      <sz val="9"/>
      <name val="Times New Roman"/>
      <family val="1"/>
      <charset val="204"/>
    </font>
    <font>
      <b/>
      <sz val="6"/>
      <name val="Times New Roman"/>
      <family val="1"/>
      <charset val="204"/>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2" tint="-0.499984740745262"/>
        <bgColor indexed="64"/>
      </patternFill>
    </fill>
    <fill>
      <patternFill patternType="solid">
        <fgColor rgb="FFFFFF00"/>
        <bgColor indexed="64"/>
      </patternFill>
    </fill>
    <fill>
      <patternFill patternType="solid">
        <fgColor rgb="FF92D050"/>
        <bgColor indexed="64"/>
      </patternFill>
    </fill>
    <fill>
      <patternFill patternType="solid">
        <fgColor rgb="FF0070C0"/>
        <bgColor indexed="64"/>
      </patternFill>
    </fill>
    <fill>
      <patternFill patternType="solid">
        <fgColor rgb="FF00B0F0"/>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rgb="FFFFC000"/>
        <bgColor indexed="64"/>
      </patternFill>
    </fill>
  </fills>
  <borders count="58">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right style="medium">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s>
  <cellStyleXfs count="9">
    <xf numFmtId="0" fontId="0" fillId="0" borderId="0"/>
    <xf numFmtId="0" fontId="8" fillId="0" borderId="0"/>
    <xf numFmtId="0" fontId="8" fillId="0" borderId="0"/>
    <xf numFmtId="0" fontId="8" fillId="0" borderId="0"/>
    <xf numFmtId="0" fontId="9" fillId="0" borderId="0"/>
    <xf numFmtId="0" fontId="8" fillId="0" borderId="0"/>
    <xf numFmtId="0" fontId="8" fillId="0" borderId="0"/>
    <xf numFmtId="0" fontId="13" fillId="0" borderId="0"/>
    <xf numFmtId="0" fontId="13" fillId="0" borderId="0"/>
  </cellStyleXfs>
  <cellXfs count="1149">
    <xf numFmtId="0" fontId="0" fillId="0" borderId="0" xfId="0"/>
    <xf numFmtId="0" fontId="8" fillId="0" borderId="0" xfId="5"/>
    <xf numFmtId="0" fontId="10" fillId="0" borderId="0" xfId="5" applyFont="1" applyAlignment="1">
      <alignment vertical="center"/>
    </xf>
    <xf numFmtId="0" fontId="11" fillId="0" borderId="0" xfId="5" applyFont="1" applyAlignment="1">
      <alignment horizontal="right" vertical="center"/>
    </xf>
    <xf numFmtId="0" fontId="12" fillId="0" borderId="0" xfId="5" applyFont="1" applyAlignment="1">
      <alignment vertical="center"/>
    </xf>
    <xf numFmtId="0" fontId="13" fillId="0" borderId="0" xfId="7"/>
    <xf numFmtId="0" fontId="62" fillId="0" borderId="0" xfId="7" applyFont="1"/>
    <xf numFmtId="0" fontId="16" fillId="0" borderId="0" xfId="7" applyFont="1"/>
    <xf numFmtId="0" fontId="17" fillId="0" borderId="0" xfId="7" applyFont="1"/>
    <xf numFmtId="0" fontId="19" fillId="0" borderId="6" xfId="0" applyFont="1" applyBorder="1" applyAlignment="1">
      <alignment horizontal="center" vertical="center" wrapText="1"/>
    </xf>
    <xf numFmtId="0" fontId="19" fillId="0" borderId="14" xfId="0" applyFont="1" applyBorder="1" applyAlignment="1">
      <alignment horizontal="center" vertical="center" wrapText="1"/>
    </xf>
    <xf numFmtId="0" fontId="13" fillId="0" borderId="0" xfId="7" applyBorder="1"/>
    <xf numFmtId="0" fontId="2" fillId="0" borderId="6" xfId="0" applyFont="1" applyBorder="1" applyAlignment="1">
      <alignment horizontal="center" vertical="center" wrapText="1"/>
    </xf>
    <xf numFmtId="0" fontId="19" fillId="0" borderId="0" xfId="0" applyFont="1" applyBorder="1" applyAlignment="1">
      <alignment horizontal="center" vertical="center" wrapText="1"/>
    </xf>
    <xf numFmtId="14" fontId="19" fillId="0" borderId="0" xfId="0" applyNumberFormat="1" applyFont="1" applyBorder="1" applyAlignment="1">
      <alignment horizontal="center" vertical="center" wrapText="1"/>
    </xf>
    <xf numFmtId="0" fontId="2" fillId="0" borderId="0" xfId="5" applyFont="1" applyBorder="1" applyAlignment="1">
      <alignment horizontal="right" vertical="center" wrapText="1"/>
    </xf>
    <xf numFmtId="14" fontId="2" fillId="0" borderId="0" xfId="5" applyNumberFormat="1" applyFont="1" applyBorder="1" applyAlignment="1">
      <alignment horizontal="center" vertical="center" wrapText="1"/>
    </xf>
    <xf numFmtId="14" fontId="2" fillId="0" borderId="0" xfId="5" applyNumberFormat="1" applyFont="1" applyBorder="1" applyAlignment="1">
      <alignment horizontal="right" vertical="center" wrapText="1"/>
    </xf>
    <xf numFmtId="0" fontId="15" fillId="0" borderId="6" xfId="5" applyFont="1" applyBorder="1" applyAlignment="1">
      <alignment horizontal="center" vertical="center" wrapText="1"/>
    </xf>
    <xf numFmtId="0" fontId="2" fillId="0" borderId="6" xfId="7" applyFont="1" applyBorder="1" applyAlignment="1">
      <alignment horizontal="center" vertical="center"/>
    </xf>
    <xf numFmtId="0" fontId="15" fillId="0" borderId="6" xfId="5" applyFont="1" applyBorder="1" applyAlignment="1">
      <alignment horizontal="center" vertical="center"/>
    </xf>
    <xf numFmtId="0" fontId="21" fillId="3" borderId="6" xfId="7" applyFont="1" applyFill="1" applyBorder="1" applyAlignment="1">
      <alignment horizontal="center" vertical="center" wrapText="1"/>
    </xf>
    <xf numFmtId="0" fontId="21" fillId="3" borderId="6" xfId="7" applyFont="1" applyFill="1" applyBorder="1" applyAlignment="1">
      <alignment horizontal="center" vertical="center"/>
    </xf>
    <xf numFmtId="0" fontId="4" fillId="0" borderId="0" xfId="7" applyFont="1"/>
    <xf numFmtId="49" fontId="15" fillId="0" borderId="6" xfId="5" applyNumberFormat="1" applyFont="1" applyBorder="1" applyAlignment="1">
      <alignment horizontal="center" vertical="center"/>
    </xf>
    <xf numFmtId="0" fontId="15" fillId="0" borderId="10" xfId="5" applyFont="1" applyBorder="1" applyAlignment="1">
      <alignment horizontal="center" vertical="center"/>
    </xf>
    <xf numFmtId="0" fontId="15" fillId="0" borderId="10" xfId="7" applyFont="1" applyBorder="1" applyAlignment="1">
      <alignment horizontal="center" vertical="center"/>
    </xf>
    <xf numFmtId="0" fontId="22" fillId="0" borderId="14" xfId="7" applyFont="1" applyBorder="1" applyAlignment="1">
      <alignment horizontal="center" vertical="center"/>
    </xf>
    <xf numFmtId="0" fontId="21" fillId="0" borderId="0" xfId="5" applyFont="1" applyAlignment="1">
      <alignment vertical="top"/>
    </xf>
    <xf numFmtId="0" fontId="10" fillId="0" borderId="0" xfId="5" applyFont="1" applyBorder="1"/>
    <xf numFmtId="0" fontId="7" fillId="0" borderId="0" xfId="7" applyFont="1" applyBorder="1" applyAlignment="1">
      <alignment vertical="center"/>
    </xf>
    <xf numFmtId="0" fontId="2" fillId="2" borderId="0" xfId="7" applyFont="1" applyFill="1" applyBorder="1" applyAlignment="1">
      <alignment horizontal="center" vertical="center" wrapText="1"/>
    </xf>
    <xf numFmtId="0" fontId="2" fillId="0" borderId="6" xfId="7" applyFont="1" applyBorder="1" applyAlignment="1">
      <alignment horizontal="center" vertical="center" wrapText="1"/>
    </xf>
    <xf numFmtId="0" fontId="2" fillId="0" borderId="6" xfId="7" applyFont="1" applyBorder="1" applyAlignment="1">
      <alignment horizontal="center" wrapText="1"/>
    </xf>
    <xf numFmtId="0" fontId="2" fillId="0" borderId="0" xfId="7" applyFont="1" applyBorder="1" applyAlignment="1">
      <alignment horizontal="center" vertical="center"/>
    </xf>
    <xf numFmtId="0" fontId="21" fillId="2" borderId="0" xfId="7" applyFont="1" applyFill="1" applyBorder="1" applyAlignment="1">
      <alignment horizontal="center" vertical="center" wrapText="1"/>
    </xf>
    <xf numFmtId="0" fontId="21" fillId="2" borderId="0" xfId="7" applyFont="1" applyFill="1" applyBorder="1" applyAlignment="1">
      <alignment horizontal="center" vertical="center"/>
    </xf>
    <xf numFmtId="0" fontId="2" fillId="2" borderId="6" xfId="7" applyFont="1" applyFill="1" applyBorder="1" applyAlignment="1">
      <alignment horizontal="center" vertical="center" wrapText="1"/>
    </xf>
    <xf numFmtId="0" fontId="2" fillId="2" borderId="6" xfId="7" applyFont="1" applyFill="1" applyBorder="1" applyAlignment="1">
      <alignment horizontal="center" vertical="center"/>
    </xf>
    <xf numFmtId="0" fontId="2" fillId="0" borderId="0" xfId="7" applyFont="1" applyBorder="1" applyAlignment="1"/>
    <xf numFmtId="0" fontId="2" fillId="0" borderId="0" xfId="5" applyFont="1" applyBorder="1" applyAlignment="1">
      <alignment horizontal="center"/>
    </xf>
    <xf numFmtId="0" fontId="8" fillId="0" borderId="0" xfId="5" applyBorder="1" applyAlignment="1">
      <alignment horizontal="center"/>
    </xf>
    <xf numFmtId="0" fontId="15" fillId="0" borderId="0" xfId="5" applyFont="1" applyBorder="1" applyAlignment="1">
      <alignment horizontal="left"/>
    </xf>
    <xf numFmtId="0" fontId="1" fillId="0" borderId="6" xfId="0" applyFont="1" applyBorder="1" applyAlignment="1">
      <alignment horizontal="center" vertical="center"/>
    </xf>
    <xf numFmtId="0" fontId="2" fillId="0" borderId="0" xfId="0" applyFont="1" applyBorder="1" applyAlignment="1"/>
    <xf numFmtId="0" fontId="1" fillId="0" borderId="0" xfId="7" applyFont="1" applyFill="1" applyBorder="1" applyAlignment="1">
      <alignment vertical="center"/>
    </xf>
    <xf numFmtId="0" fontId="1" fillId="0" borderId="0" xfId="7" applyFont="1" applyBorder="1" applyAlignment="1">
      <alignment vertical="center"/>
    </xf>
    <xf numFmtId="0" fontId="13" fillId="0" borderId="0" xfId="7" applyFont="1"/>
    <xf numFmtId="0" fontId="19" fillId="0" borderId="0" xfId="5" applyFont="1" applyBorder="1" applyAlignment="1">
      <alignment horizontal="left" vertical="center"/>
    </xf>
    <xf numFmtId="0" fontId="2" fillId="0" borderId="0" xfId="7" applyFont="1" applyBorder="1" applyAlignment="1">
      <alignment horizontal="left"/>
    </xf>
    <xf numFmtId="0" fontId="14" fillId="0" borderId="0" xfId="5" applyFont="1" applyBorder="1" applyAlignment="1">
      <alignment horizontal="left" vertical="center"/>
    </xf>
    <xf numFmtId="0" fontId="15" fillId="0" borderId="0" xfId="5" applyFont="1"/>
    <xf numFmtId="0" fontId="23" fillId="0" borderId="0" xfId="5" applyFont="1"/>
    <xf numFmtId="0" fontId="8" fillId="0" borderId="0" xfId="5" applyFont="1"/>
    <xf numFmtId="0" fontId="2" fillId="0" borderId="0" xfId="7" applyFont="1" applyBorder="1" applyAlignment="1">
      <alignment vertical="center"/>
    </xf>
    <xf numFmtId="0" fontId="26" fillId="0" borderId="0" xfId="7" applyFont="1" applyBorder="1" applyAlignment="1">
      <alignment horizontal="left" vertical="center" wrapText="1"/>
    </xf>
    <xf numFmtId="0" fontId="2" fillId="0" borderId="0" xfId="7" applyFont="1"/>
    <xf numFmtId="0" fontId="13" fillId="0" borderId="0" xfId="0" applyFont="1" applyAlignment="1">
      <alignment horizontal="right"/>
    </xf>
    <xf numFmtId="0" fontId="13" fillId="2" borderId="0" xfId="0" applyFont="1" applyFill="1" applyBorder="1" applyAlignment="1">
      <alignment horizontal="right"/>
    </xf>
    <xf numFmtId="0" fontId="0" fillId="2" borderId="0" xfId="0" applyFill="1" applyBorder="1"/>
    <xf numFmtId="0" fontId="28" fillId="0" borderId="0" xfId="0" applyFont="1"/>
    <xf numFmtId="0" fontId="29" fillId="0" borderId="0" xfId="0" applyFont="1" applyAlignment="1">
      <alignment horizontal="left"/>
    </xf>
    <xf numFmtId="0" fontId="29" fillId="0" borderId="0" xfId="0" applyFont="1" applyAlignment="1">
      <alignment horizontal="right" vertical="center"/>
    </xf>
    <xf numFmtId="0" fontId="30" fillId="0" borderId="0" xfId="0" applyFont="1" applyAlignment="1">
      <alignment horizontal="left" vertical="center"/>
    </xf>
    <xf numFmtId="0" fontId="29" fillId="0" borderId="0" xfId="0" applyFont="1" applyAlignment="1">
      <alignment horizontal="left" vertical="center"/>
    </xf>
    <xf numFmtId="0" fontId="31" fillId="2" borderId="0" xfId="0" applyFont="1" applyFill="1" applyBorder="1"/>
    <xf numFmtId="0" fontId="31" fillId="0" borderId="0" xfId="0" applyFont="1"/>
    <xf numFmtId="0" fontId="2" fillId="0" borderId="0" xfId="0" applyFont="1" applyBorder="1" applyAlignment="1">
      <alignment horizontal="right" vertical="center" wrapText="1"/>
    </xf>
    <xf numFmtId="0" fontId="2" fillId="0" borderId="0" xfId="0" applyFont="1" applyBorder="1" applyAlignment="1">
      <alignment horizontal="left" vertical="center" wrapText="1"/>
    </xf>
    <xf numFmtId="0" fontId="31" fillId="2" borderId="0" xfId="0" applyFont="1" applyFill="1" applyBorder="1" applyAlignment="1">
      <alignment horizontal="left"/>
    </xf>
    <xf numFmtId="0" fontId="18" fillId="0" borderId="0" xfId="0" applyFont="1" applyAlignment="1">
      <alignment horizontal="right" vertical="center"/>
    </xf>
    <xf numFmtId="0" fontId="19" fillId="0" borderId="0" xfId="0" applyFont="1" applyAlignment="1">
      <alignment horizontal="left" wrapText="1"/>
    </xf>
    <xf numFmtId="0" fontId="2" fillId="0" borderId="0" xfId="0" applyFont="1" applyAlignment="1">
      <alignment horizontal="left"/>
    </xf>
    <xf numFmtId="0" fontId="1" fillId="3" borderId="6" xfId="0" applyFont="1" applyFill="1" applyBorder="1" applyAlignment="1">
      <alignment horizontal="center" vertical="center"/>
    </xf>
    <xf numFmtId="0" fontId="1" fillId="2" borderId="0" xfId="0" applyFont="1" applyFill="1" applyBorder="1" applyAlignment="1">
      <alignment horizontal="center"/>
    </xf>
    <xf numFmtId="0" fontId="13" fillId="2" borderId="0" xfId="0" applyFont="1" applyFill="1" applyBorder="1" applyAlignment="1">
      <alignment horizontal="center"/>
    </xf>
    <xf numFmtId="0" fontId="1" fillId="3" borderId="6" xfId="0" applyFont="1" applyFill="1" applyBorder="1" applyAlignment="1">
      <alignment horizontal="center" vertical="center" wrapText="1"/>
    </xf>
    <xf numFmtId="49" fontId="1" fillId="3" borderId="6" xfId="0" applyNumberFormat="1"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0" borderId="6" xfId="0" applyFont="1" applyBorder="1" applyAlignment="1">
      <alignment horizontal="center" vertical="center" wrapText="1"/>
    </xf>
    <xf numFmtId="0" fontId="1" fillId="2" borderId="6" xfId="0" applyFont="1" applyFill="1" applyBorder="1" applyAlignment="1">
      <alignment horizontal="center" vertical="center"/>
    </xf>
    <xf numFmtId="0" fontId="32" fillId="2" borderId="0" xfId="0" applyFont="1" applyFill="1" applyBorder="1" applyAlignment="1">
      <alignment horizontal="center" vertical="center" wrapText="1"/>
    </xf>
    <xf numFmtId="0" fontId="1" fillId="2" borderId="0" xfId="0" applyFont="1" applyFill="1" applyBorder="1" applyAlignment="1">
      <alignment horizontal="center" vertical="center"/>
    </xf>
    <xf numFmtId="0" fontId="1" fillId="2" borderId="6" xfId="0" applyFont="1" applyFill="1" applyBorder="1" applyAlignment="1">
      <alignment horizontal="center" vertical="justify"/>
    </xf>
    <xf numFmtId="0" fontId="23" fillId="2" borderId="0" xfId="0" applyFont="1" applyFill="1" applyBorder="1" applyAlignment="1">
      <alignment horizontal="center" vertical="center"/>
    </xf>
    <xf numFmtId="0" fontId="1" fillId="2" borderId="0" xfId="0" applyFont="1" applyFill="1" applyBorder="1" applyAlignment="1">
      <alignment horizontal="center" vertical="justify"/>
    </xf>
    <xf numFmtId="49" fontId="1" fillId="3" borderId="6" xfId="0" applyNumberFormat="1" applyFont="1" applyFill="1" applyBorder="1" applyAlignment="1">
      <alignment horizontal="center" vertical="center"/>
    </xf>
    <xf numFmtId="0" fontId="1" fillId="0" borderId="6" xfId="0" applyFont="1" applyFill="1" applyBorder="1" applyAlignment="1">
      <alignment horizontal="center" vertical="center" wrapText="1"/>
    </xf>
    <xf numFmtId="0" fontId="21" fillId="2" borderId="6" xfId="0" applyFont="1" applyFill="1" applyBorder="1" applyAlignment="1">
      <alignment vertical="center" wrapText="1"/>
    </xf>
    <xf numFmtId="0" fontId="1" fillId="3" borderId="6" xfId="0" quotePrefix="1" applyFont="1" applyFill="1" applyBorder="1" applyAlignment="1">
      <alignment horizontal="center" vertical="center" wrapText="1"/>
    </xf>
    <xf numFmtId="0" fontId="21" fillId="2" borderId="6" xfId="0" applyFont="1" applyFill="1" applyBorder="1" applyAlignment="1">
      <alignment horizontal="center" vertical="center" wrapText="1"/>
    </xf>
    <xf numFmtId="0" fontId="3" fillId="2" borderId="0" xfId="0" applyFont="1" applyFill="1" applyBorder="1" applyAlignment="1">
      <alignment horizontal="center" vertical="center"/>
    </xf>
    <xf numFmtId="49" fontId="1" fillId="3" borderId="0" xfId="0" applyNumberFormat="1" applyFont="1" applyFill="1" applyBorder="1" applyAlignment="1">
      <alignment horizontal="center" vertical="center" wrapText="1"/>
    </xf>
    <xf numFmtId="0" fontId="1" fillId="3" borderId="0"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6" xfId="0" applyFont="1" applyFill="1" applyBorder="1" applyAlignment="1">
      <alignment horizontal="center"/>
    </xf>
    <xf numFmtId="0" fontId="1" fillId="2" borderId="0" xfId="0" applyFont="1" applyFill="1" applyBorder="1" applyAlignment="1">
      <alignment horizontal="center" vertical="center" wrapText="1"/>
    </xf>
    <xf numFmtId="0" fontId="1" fillId="2" borderId="0" xfId="0" applyFont="1" applyFill="1" applyBorder="1" applyAlignment="1">
      <alignment vertical="center" wrapText="1"/>
    </xf>
    <xf numFmtId="0" fontId="33" fillId="2" borderId="0" xfId="0" applyFont="1" applyFill="1" applyBorder="1" applyAlignment="1">
      <alignment horizontal="center" vertical="center"/>
    </xf>
    <xf numFmtId="0" fontId="33" fillId="0" borderId="0" xfId="0" applyFont="1" applyAlignment="1">
      <alignment horizontal="right"/>
    </xf>
    <xf numFmtId="14" fontId="33" fillId="0" borderId="0" xfId="0" applyNumberFormat="1" applyFont="1" applyAlignment="1">
      <alignment horizontal="left"/>
    </xf>
    <xf numFmtId="0" fontId="18" fillId="0" borderId="0" xfId="0" applyFont="1"/>
    <xf numFmtId="0" fontId="33" fillId="0" borderId="0" xfId="0" applyFont="1"/>
    <xf numFmtId="0" fontId="33" fillId="2" borderId="0" xfId="0" applyFont="1" applyFill="1" applyBorder="1"/>
    <xf numFmtId="0" fontId="34" fillId="0" borderId="0" xfId="0" applyFont="1" applyAlignment="1">
      <alignment horizontal="right"/>
    </xf>
    <xf numFmtId="0" fontId="34" fillId="2" borderId="0" xfId="0" applyFont="1" applyFill="1" applyBorder="1" applyAlignment="1">
      <alignment horizontal="right"/>
    </xf>
    <xf numFmtId="0" fontId="18" fillId="0" borderId="0" xfId="0" applyFont="1" applyAlignment="1"/>
    <xf numFmtId="0" fontId="0" fillId="0" borderId="0" xfId="0" applyFill="1"/>
    <xf numFmtId="0" fontId="13" fillId="2" borderId="6" xfId="0" applyFont="1" applyFill="1" applyBorder="1" applyAlignment="1">
      <alignment horizontal="center" vertical="center" wrapText="1"/>
    </xf>
    <xf numFmtId="0" fontId="1" fillId="3" borderId="8" xfId="0" applyFont="1" applyFill="1" applyBorder="1" applyAlignment="1">
      <alignment horizontal="center" vertical="center" wrapText="1"/>
    </xf>
    <xf numFmtId="49" fontId="1" fillId="3" borderId="8" xfId="0" applyNumberFormat="1" applyFont="1" applyFill="1" applyBorder="1" applyAlignment="1">
      <alignment horizontal="center" vertical="center" wrapText="1"/>
    </xf>
    <xf numFmtId="0" fontId="1" fillId="0" borderId="8" xfId="0" applyFont="1" applyBorder="1" applyAlignment="1">
      <alignment horizontal="center" vertical="center" wrapText="1"/>
    </xf>
    <xf numFmtId="0" fontId="0" fillId="0" borderId="0" xfId="0" applyBorder="1"/>
    <xf numFmtId="49" fontId="13" fillId="0" borderId="0" xfId="0" applyNumberFormat="1" applyFont="1" applyBorder="1" applyAlignment="1">
      <alignment horizontal="center" vertical="center"/>
    </xf>
    <xf numFmtId="0" fontId="13" fillId="0" borderId="0" xfId="0" applyFont="1" applyFill="1" applyBorder="1" applyAlignment="1">
      <alignment horizontal="justify" vertical="distributed"/>
    </xf>
    <xf numFmtId="0" fontId="0" fillId="0" borderId="15" xfId="0" applyBorder="1" applyAlignment="1">
      <alignment vertical="center"/>
    </xf>
    <xf numFmtId="0" fontId="0" fillId="0" borderId="16" xfId="0" applyNumberFormat="1" applyBorder="1" applyAlignment="1">
      <alignment vertical="center"/>
    </xf>
    <xf numFmtId="0" fontId="0" fillId="0" borderId="16" xfId="0" applyBorder="1" applyAlignment="1">
      <alignment vertical="center"/>
    </xf>
    <xf numFmtId="0" fontId="0" fillId="0" borderId="17" xfId="0" applyBorder="1" applyAlignment="1">
      <alignment horizontal="center" vertical="center"/>
    </xf>
    <xf numFmtId="0" fontId="0" fillId="0" borderId="0" xfId="0" applyAlignment="1">
      <alignment vertical="center"/>
    </xf>
    <xf numFmtId="0" fontId="0" fillId="0" borderId="18" xfId="0" applyBorder="1" applyAlignment="1">
      <alignment vertical="center"/>
    </xf>
    <xf numFmtId="0" fontId="0" fillId="0" borderId="0" xfId="0" applyFill="1" applyBorder="1" applyAlignment="1">
      <alignment vertical="center"/>
    </xf>
    <xf numFmtId="0" fontId="0" fillId="0" borderId="19" xfId="0" applyBorder="1" applyAlignment="1">
      <alignment horizontal="center" vertical="center"/>
    </xf>
    <xf numFmtId="0" fontId="0" fillId="0" borderId="0" xfId="0" applyNumberFormat="1" applyFill="1" applyBorder="1" applyAlignment="1">
      <alignment vertical="center"/>
    </xf>
    <xf numFmtId="0" fontId="0" fillId="0" borderId="0" xfId="0" applyBorder="1" applyAlignment="1">
      <alignment vertical="center"/>
    </xf>
    <xf numFmtId="0" fontId="0" fillId="0" borderId="0" xfId="0" applyBorder="1" applyAlignment="1">
      <alignment horizontal="right" vertical="center"/>
    </xf>
    <xf numFmtId="14" fontId="0" fillId="0" borderId="19" xfId="0" applyNumberFormat="1" applyBorder="1" applyAlignment="1">
      <alignment horizontal="center" vertical="center"/>
    </xf>
    <xf numFmtId="0" fontId="0" fillId="0" borderId="0" xfId="0" applyNumberFormat="1" applyBorder="1" applyAlignment="1">
      <alignment vertical="center"/>
    </xf>
    <xf numFmtId="0" fontId="36" fillId="0" borderId="0" xfId="0" applyFont="1" applyBorder="1" applyAlignment="1">
      <alignment horizontal="center" vertical="center"/>
    </xf>
    <xf numFmtId="0" fontId="0" fillId="0" borderId="4" xfId="0" applyNumberFormat="1" applyBorder="1" applyAlignment="1">
      <alignment horizontal="center" vertical="center"/>
    </xf>
    <xf numFmtId="0" fontId="0" fillId="0" borderId="0" xfId="0" applyAlignment="1">
      <alignment horizontal="left" vertical="center"/>
    </xf>
    <xf numFmtId="0" fontId="38" fillId="0" borderId="4" xfId="0" applyFont="1" applyBorder="1" applyAlignment="1">
      <alignment horizontal="center" vertical="center"/>
    </xf>
    <xf numFmtId="0" fontId="39" fillId="0" borderId="0" xfId="0" applyFont="1" applyBorder="1" applyAlignment="1">
      <alignment vertical="center"/>
    </xf>
    <xf numFmtId="0" fontId="0" fillId="0" borderId="4" xfId="0" applyNumberFormat="1" applyBorder="1" applyAlignment="1">
      <alignment vertical="center"/>
    </xf>
    <xf numFmtId="0" fontId="0" fillId="0" borderId="4" xfId="0" applyBorder="1" applyAlignment="1">
      <alignment vertical="center"/>
    </xf>
    <xf numFmtId="0" fontId="40" fillId="0" borderId="20" xfId="0" applyFont="1" applyBorder="1" applyAlignment="1">
      <alignment vertical="center"/>
    </xf>
    <xf numFmtId="0" fontId="40" fillId="0" borderId="21" xfId="0" applyNumberFormat="1" applyFont="1" applyBorder="1" applyAlignment="1">
      <alignment vertical="center"/>
    </xf>
    <xf numFmtId="0" fontId="40" fillId="0" borderId="21" xfId="0" applyFont="1" applyBorder="1" applyAlignment="1">
      <alignment vertical="center"/>
    </xf>
    <xf numFmtId="0" fontId="40" fillId="0" borderId="21" xfId="0" applyFont="1" applyFill="1" applyBorder="1" applyAlignment="1">
      <alignment vertical="center"/>
    </xf>
    <xf numFmtId="0" fontId="40" fillId="0" borderId="22" xfId="0" applyFont="1" applyBorder="1" applyAlignment="1">
      <alignment horizontal="center" vertical="center"/>
    </xf>
    <xf numFmtId="0" fontId="40" fillId="0" borderId="0" xfId="0" applyFont="1" applyAlignment="1">
      <alignment vertical="center"/>
    </xf>
    <xf numFmtId="0" fontId="0" fillId="0" borderId="23" xfId="0" applyBorder="1" applyAlignment="1">
      <alignment vertical="center"/>
    </xf>
    <xf numFmtId="0" fontId="0" fillId="0" borderId="24" xfId="0" applyNumberFormat="1" applyBorder="1" applyAlignment="1">
      <alignment vertical="center"/>
    </xf>
    <xf numFmtId="0" fontId="0" fillId="0" borderId="24" xfId="0" applyBorder="1" applyAlignment="1">
      <alignment vertical="center"/>
    </xf>
    <xf numFmtId="0" fontId="38" fillId="0" borderId="27" xfId="0" applyFont="1" applyBorder="1" applyAlignment="1">
      <alignment horizontal="center" vertical="center"/>
    </xf>
    <xf numFmtId="0" fontId="41" fillId="0" borderId="20" xfId="0" applyFont="1" applyBorder="1" applyAlignment="1">
      <alignment vertical="center"/>
    </xf>
    <xf numFmtId="0" fontId="41" fillId="0" borderId="21" xfId="0" applyNumberFormat="1" applyFont="1" applyBorder="1" applyAlignment="1">
      <alignment vertical="center"/>
    </xf>
    <xf numFmtId="0" fontId="41" fillId="0" borderId="21" xfId="0" applyFont="1" applyBorder="1" applyAlignment="1">
      <alignment vertical="center"/>
    </xf>
    <xf numFmtId="0" fontId="41" fillId="0" borderId="0" xfId="0" applyFont="1" applyAlignment="1">
      <alignment vertical="center"/>
    </xf>
    <xf numFmtId="0" fontId="0" fillId="0" borderId="23" xfId="0" applyFill="1" applyBorder="1" applyAlignment="1">
      <alignment vertical="center"/>
    </xf>
    <xf numFmtId="0" fontId="0" fillId="0" borderId="24" xfId="0" applyNumberFormat="1" applyFill="1" applyBorder="1" applyAlignment="1">
      <alignment vertical="center"/>
    </xf>
    <xf numFmtId="0" fontId="0" fillId="0" borderId="24" xfId="0" applyFill="1" applyBorder="1" applyAlignment="1">
      <alignment vertical="center"/>
    </xf>
    <xf numFmtId="0" fontId="0" fillId="0" borderId="18" xfId="0" applyFill="1" applyBorder="1" applyAlignment="1">
      <alignment vertical="center"/>
    </xf>
    <xf numFmtId="0" fontId="0" fillId="0" borderId="0" xfId="0" applyFill="1" applyBorder="1" applyAlignment="1">
      <alignment horizontal="right" vertical="center"/>
    </xf>
    <xf numFmtId="0" fontId="36" fillId="0" borderId="0" xfId="0" applyFont="1" applyFill="1" applyBorder="1" applyAlignment="1">
      <alignment horizontal="center" vertical="center"/>
    </xf>
    <xf numFmtId="0" fontId="42" fillId="0" borderId="27" xfId="0" applyFont="1" applyFill="1" applyBorder="1" applyAlignment="1">
      <alignment horizontal="center" vertical="center" wrapText="1"/>
    </xf>
    <xf numFmtId="0" fontId="0" fillId="0" borderId="4" xfId="0" applyNumberFormat="1" applyFill="1" applyBorder="1" applyAlignment="1">
      <alignment vertical="center"/>
    </xf>
    <xf numFmtId="0" fontId="0" fillId="0" borderId="4" xfId="0" applyFill="1" applyBorder="1" applyAlignment="1">
      <alignment vertical="center"/>
    </xf>
    <xf numFmtId="0" fontId="40" fillId="0" borderId="20" xfId="0" applyFont="1" applyFill="1" applyBorder="1" applyAlignment="1">
      <alignment vertical="center"/>
    </xf>
    <xf numFmtId="0" fontId="40" fillId="0" borderId="21" xfId="0" applyNumberFormat="1" applyFont="1" applyFill="1" applyBorder="1" applyAlignment="1">
      <alignment vertical="center"/>
    </xf>
    <xf numFmtId="0" fontId="41" fillId="0" borderId="18" xfId="0" applyFont="1" applyBorder="1" applyAlignment="1">
      <alignment vertical="center"/>
    </xf>
    <xf numFmtId="0" fontId="41" fillId="0" borderId="0" xfId="0" applyNumberFormat="1" applyFont="1" applyBorder="1" applyAlignment="1">
      <alignment vertical="center"/>
    </xf>
    <xf numFmtId="0" fontId="41" fillId="0" borderId="0" xfId="0" applyFont="1" applyBorder="1" applyAlignment="1">
      <alignment vertical="center"/>
    </xf>
    <xf numFmtId="0" fontId="40" fillId="0" borderId="19" xfId="0" applyFont="1" applyBorder="1" applyAlignment="1">
      <alignment horizontal="center" vertical="center"/>
    </xf>
    <xf numFmtId="0" fontId="0" fillId="0" borderId="0" xfId="0" applyNumberFormat="1"/>
    <xf numFmtId="0" fontId="2" fillId="0" borderId="0" xfId="0" applyFont="1" applyAlignment="1">
      <alignment horizontal="justify"/>
    </xf>
    <xf numFmtId="0" fontId="5" fillId="0" borderId="0" xfId="0" applyFont="1" applyAlignment="1">
      <alignment vertical="center"/>
    </xf>
    <xf numFmtId="0" fontId="1" fillId="0" borderId="0" xfId="0" applyFont="1" applyAlignment="1">
      <alignment horizontal="right" vertical="center"/>
    </xf>
    <xf numFmtId="0" fontId="6" fillId="0" borderId="0" xfId="0" applyFont="1" applyAlignment="1">
      <alignment horizontal="left" vertical="center"/>
    </xf>
    <xf numFmtId="0" fontId="2" fillId="0" borderId="0" xfId="0" applyFont="1"/>
    <xf numFmtId="0" fontId="5" fillId="0" borderId="0" xfId="0" applyFont="1" applyAlignment="1">
      <alignment horizontal="left" vertical="center"/>
    </xf>
    <xf numFmtId="0" fontId="43" fillId="0" borderId="0" xfId="0" applyFont="1" applyAlignment="1">
      <alignment horizontal="left" vertical="center"/>
    </xf>
    <xf numFmtId="0" fontId="2" fillId="0" borderId="4" xfId="0" applyFont="1" applyBorder="1" applyAlignment="1">
      <alignment horizontal="right" vertical="distributed" wrapText="1"/>
    </xf>
    <xf numFmtId="0" fontId="2" fillId="0" borderId="4" xfId="0" applyFont="1" applyBorder="1" applyAlignment="1">
      <alignment horizontal="center"/>
    </xf>
    <xf numFmtId="0" fontId="2" fillId="0" borderId="4" xfId="0" applyFont="1" applyBorder="1" applyAlignment="1">
      <alignment horizontal="right" vertical="center"/>
    </xf>
    <xf numFmtId="0" fontId="2" fillId="0" borderId="0" xfId="0" applyFont="1" applyBorder="1" applyAlignment="1">
      <alignment horizontal="center" vertical="distributed" wrapText="1"/>
    </xf>
    <xf numFmtId="0" fontId="2" fillId="0" borderId="0" xfId="0" applyFont="1" applyBorder="1" applyAlignment="1">
      <alignment horizontal="center"/>
    </xf>
    <xf numFmtId="0" fontId="20" fillId="0" borderId="6" xfId="0" applyFont="1" applyBorder="1" applyAlignment="1">
      <alignment horizontal="center" wrapText="1"/>
    </xf>
    <xf numFmtId="0" fontId="45" fillId="0" borderId="6" xfId="0" applyFont="1" applyBorder="1" applyAlignment="1">
      <alignment horizontal="center" wrapText="1"/>
    </xf>
    <xf numFmtId="0" fontId="21" fillId="0" borderId="8" xfId="0" applyFont="1" applyBorder="1" applyAlignment="1">
      <alignment horizontal="center" vertical="center" wrapText="1"/>
    </xf>
    <xf numFmtId="0" fontId="21" fillId="0" borderId="6" xfId="0" applyFont="1" applyBorder="1" applyAlignment="1">
      <alignment horizontal="center" vertical="center" wrapText="1"/>
    </xf>
    <xf numFmtId="0" fontId="13" fillId="0" borderId="6" xfId="0" applyFont="1" applyBorder="1" applyAlignment="1">
      <alignment horizontal="center" vertical="center"/>
    </xf>
    <xf numFmtId="0" fontId="13" fillId="0" borderId="6" xfId="0" applyFont="1" applyBorder="1" applyAlignment="1">
      <alignment vertical="top" wrapText="1"/>
    </xf>
    <xf numFmtId="0" fontId="13" fillId="0" borderId="6" xfId="0" applyFont="1" applyBorder="1" applyAlignment="1">
      <alignment horizontal="center" vertical="top" wrapText="1"/>
    </xf>
    <xf numFmtId="0" fontId="47" fillId="0" borderId="6" xfId="0" applyFont="1" applyBorder="1" applyAlignment="1">
      <alignment horizontal="center" vertical="top" wrapText="1"/>
    </xf>
    <xf numFmtId="0" fontId="5" fillId="0" borderId="0" xfId="0" applyFont="1" applyBorder="1" applyAlignment="1">
      <alignment horizontal="left"/>
    </xf>
    <xf numFmtId="0" fontId="0" fillId="0" borderId="0" xfId="0" applyBorder="1" applyAlignment="1"/>
    <xf numFmtId="0" fontId="48" fillId="0" borderId="0" xfId="0" applyFont="1" applyBorder="1" applyAlignment="1">
      <alignment horizontal="left"/>
    </xf>
    <xf numFmtId="0" fontId="2" fillId="0" borderId="0" xfId="0" applyFont="1" applyAlignment="1"/>
    <xf numFmtId="0" fontId="6" fillId="0" borderId="0" xfId="0" applyFont="1" applyAlignment="1">
      <alignment vertical="center"/>
    </xf>
    <xf numFmtId="0" fontId="2" fillId="0" borderId="0" xfId="0" applyFont="1" applyBorder="1" applyAlignment="1">
      <alignment horizontal="center" vertical="center"/>
    </xf>
    <xf numFmtId="0" fontId="2" fillId="0" borderId="0" xfId="0" applyFont="1" applyBorder="1" applyAlignment="1">
      <alignment horizontal="left"/>
    </xf>
    <xf numFmtId="0" fontId="2" fillId="0" borderId="6" xfId="0" applyFont="1" applyBorder="1" applyAlignment="1">
      <alignment horizontal="left" vertical="distributed" wrapText="1"/>
    </xf>
    <xf numFmtId="0" fontId="2" fillId="0" borderId="6" xfId="0" applyFont="1" applyBorder="1" applyAlignment="1">
      <alignment vertical="center" wrapText="1"/>
    </xf>
    <xf numFmtId="0" fontId="2" fillId="0" borderId="6" xfId="0" applyNumberFormat="1" applyFont="1" applyBorder="1" applyAlignment="1">
      <alignment horizontal="center" vertical="center"/>
    </xf>
    <xf numFmtId="2" fontId="2" fillId="0" borderId="6" xfId="0" applyNumberFormat="1" applyFont="1" applyBorder="1" applyAlignment="1">
      <alignment horizontal="center" vertical="center"/>
    </xf>
    <xf numFmtId="2" fontId="2" fillId="0" borderId="6" xfId="0" applyNumberFormat="1" applyFont="1" applyFill="1" applyBorder="1" applyAlignment="1">
      <alignment horizontal="center" vertical="center"/>
    </xf>
    <xf numFmtId="0" fontId="2" fillId="0" borderId="6" xfId="0" applyFont="1" applyBorder="1" applyAlignment="1">
      <alignment horizontal="center"/>
    </xf>
    <xf numFmtId="0" fontId="2" fillId="0" borderId="0" xfId="0" applyFont="1" applyBorder="1"/>
    <xf numFmtId="0" fontId="7" fillId="0" borderId="0" xfId="0" applyFont="1" applyAlignment="1">
      <alignment horizontal="center"/>
    </xf>
    <xf numFmtId="0" fontId="1" fillId="0" borderId="0" xfId="0" applyFont="1" applyBorder="1" applyAlignment="1">
      <alignment horizontal="center"/>
    </xf>
    <xf numFmtId="2" fontId="2" fillId="0" borderId="0" xfId="0" applyNumberFormat="1" applyFont="1" applyBorder="1"/>
    <xf numFmtId="0" fontId="2" fillId="0" borderId="0" xfId="0" applyFont="1" applyAlignment="1">
      <alignment horizontal="right"/>
    </xf>
    <xf numFmtId="0" fontId="1" fillId="0" borderId="0" xfId="0" applyFont="1" applyAlignment="1">
      <alignment horizontal="center"/>
    </xf>
    <xf numFmtId="2" fontId="2" fillId="0" borderId="0" xfId="0" applyNumberFormat="1" applyFont="1"/>
    <xf numFmtId="0" fontId="5" fillId="0" borderId="0" xfId="0" applyFont="1" applyBorder="1" applyAlignment="1"/>
    <xf numFmtId="0" fontId="2" fillId="0" borderId="4" xfId="0" applyFont="1" applyBorder="1"/>
    <xf numFmtId="0" fontId="2" fillId="0" borderId="0" xfId="0" applyFont="1" applyAlignment="1">
      <alignment horizontal="center" vertical="center"/>
    </xf>
    <xf numFmtId="0" fontId="5" fillId="0" borderId="1" xfId="0" applyFont="1" applyBorder="1" applyAlignment="1"/>
    <xf numFmtId="0" fontId="2" fillId="0" borderId="2" xfId="0" applyFont="1" applyBorder="1"/>
    <xf numFmtId="0" fontId="2" fillId="0" borderId="3" xfId="0" applyFont="1" applyBorder="1"/>
    <xf numFmtId="0" fontId="2" fillId="0" borderId="5" xfId="0" applyFont="1" applyBorder="1"/>
    <xf numFmtId="0" fontId="2" fillId="0" borderId="0" xfId="0" applyFont="1" applyAlignment="1">
      <alignment wrapText="1"/>
    </xf>
    <xf numFmtId="0" fontId="2" fillId="0" borderId="14" xfId="0" applyNumberFormat="1" applyFont="1" applyBorder="1" applyAlignment="1">
      <alignment horizontal="center" vertical="center" wrapText="1"/>
    </xf>
    <xf numFmtId="0" fontId="2" fillId="0" borderId="14" xfId="0" applyFont="1" applyBorder="1" applyAlignment="1">
      <alignment horizontal="center" vertical="center"/>
    </xf>
    <xf numFmtId="1" fontId="2" fillId="0" borderId="6" xfId="0" applyNumberFormat="1" applyFont="1" applyBorder="1" applyAlignment="1">
      <alignment horizontal="center" vertical="center"/>
    </xf>
    <xf numFmtId="2" fontId="2" fillId="0" borderId="14" xfId="0" applyNumberFormat="1" applyFont="1" applyBorder="1" applyAlignment="1">
      <alignment horizontal="center" vertical="center"/>
    </xf>
    <xf numFmtId="164" fontId="2" fillId="0" borderId="0" xfId="0" applyNumberFormat="1" applyFont="1" applyBorder="1" applyAlignment="1">
      <alignment horizontal="center"/>
    </xf>
    <xf numFmtId="164" fontId="2" fillId="0" borderId="0" xfId="0" applyNumberFormat="1" applyFont="1" applyAlignment="1">
      <alignment horizontal="center"/>
    </xf>
    <xf numFmtId="0" fontId="49" fillId="0" borderId="0" xfId="0" applyFont="1" applyAlignment="1">
      <alignment horizontal="center"/>
    </xf>
    <xf numFmtId="0" fontId="2" fillId="0" borderId="14" xfId="0" applyFont="1" applyBorder="1" applyAlignment="1">
      <alignment horizontal="right"/>
    </xf>
    <xf numFmtId="0" fontId="2" fillId="0" borderId="30" xfId="0" applyFont="1" applyBorder="1" applyAlignment="1">
      <alignment vertical="distributed" wrapText="1"/>
    </xf>
    <xf numFmtId="0" fontId="2" fillId="0" borderId="31" xfId="0" applyFont="1" applyBorder="1" applyAlignment="1">
      <alignment vertical="distributed" wrapText="1"/>
    </xf>
    <xf numFmtId="0" fontId="2" fillId="0" borderId="8" xfId="0" applyFont="1" applyBorder="1" applyAlignment="1">
      <alignment horizontal="center" vertical="center" wrapText="1"/>
    </xf>
    <xf numFmtId="0" fontId="2" fillId="0" borderId="6" xfId="0" applyFont="1" applyBorder="1" applyAlignment="1">
      <alignment horizontal="center" vertical="top" wrapText="1"/>
    </xf>
    <xf numFmtId="0" fontId="13" fillId="0" borderId="6" xfId="0" applyFont="1" applyBorder="1" applyAlignment="1">
      <alignment horizontal="center" vertical="center" wrapText="1"/>
    </xf>
    <xf numFmtId="0" fontId="0" fillId="0" borderId="0" xfId="0" applyAlignment="1">
      <alignment horizontal="center" vertical="center"/>
    </xf>
    <xf numFmtId="0" fontId="13" fillId="0" borderId="10" xfId="0" applyFont="1" applyBorder="1" applyAlignment="1">
      <alignment horizontal="center" vertical="center" wrapText="1"/>
    </xf>
    <xf numFmtId="49" fontId="13" fillId="0" borderId="6" xfId="0" applyNumberFormat="1" applyFont="1" applyBorder="1" applyAlignment="1">
      <alignment vertical="center"/>
    </xf>
    <xf numFmtId="0" fontId="13" fillId="0" borderId="6" xfId="0" applyFont="1" applyBorder="1" applyAlignment="1">
      <alignment vertical="center" wrapText="1"/>
    </xf>
    <xf numFmtId="0" fontId="13" fillId="0" borderId="0" xfId="0" applyFont="1" applyAlignment="1">
      <alignment wrapText="1"/>
    </xf>
    <xf numFmtId="0" fontId="5" fillId="0" borderId="16" xfId="0" applyFont="1" applyBorder="1" applyAlignment="1">
      <alignment vertical="center"/>
    </xf>
    <xf numFmtId="0" fontId="5" fillId="0" borderId="32" xfId="0" applyFont="1" applyBorder="1" applyAlignment="1">
      <alignment vertical="center"/>
    </xf>
    <xf numFmtId="0" fontId="5" fillId="0" borderId="0" xfId="0" applyFont="1" applyBorder="1" applyAlignment="1">
      <alignment vertical="center"/>
    </xf>
    <xf numFmtId="0" fontId="5" fillId="0" borderId="2" xfId="0" applyFont="1" applyBorder="1" applyAlignment="1">
      <alignment vertical="center"/>
    </xf>
    <xf numFmtId="0" fontId="5" fillId="0" borderId="4" xfId="0" applyFont="1" applyBorder="1" applyAlignment="1">
      <alignment vertical="center"/>
    </xf>
    <xf numFmtId="0" fontId="5" fillId="0" borderId="5" xfId="0" applyFont="1" applyBorder="1" applyAlignment="1">
      <alignment vertical="center"/>
    </xf>
    <xf numFmtId="0" fontId="2" fillId="0" borderId="6" xfId="0" applyFont="1" applyBorder="1" applyAlignment="1">
      <alignment horizontal="right"/>
    </xf>
    <xf numFmtId="2" fontId="13" fillId="0" borderId="14" xfId="0" applyNumberFormat="1" applyFont="1" applyBorder="1" applyAlignment="1">
      <alignment horizontal="center" vertical="center" wrapText="1"/>
    </xf>
    <xf numFmtId="164" fontId="2" fillId="0" borderId="6" xfId="0" applyNumberFormat="1" applyFont="1" applyBorder="1" applyAlignment="1">
      <alignment horizontal="center" vertical="center"/>
    </xf>
    <xf numFmtId="0" fontId="2" fillId="0" borderId="6" xfId="0" applyNumberFormat="1" applyFont="1" applyBorder="1" applyAlignment="1">
      <alignment horizontal="center" vertical="center" wrapText="1"/>
    </xf>
    <xf numFmtId="0" fontId="2" fillId="0" borderId="6" xfId="0" applyNumberFormat="1" applyFont="1" applyBorder="1" applyAlignment="1">
      <alignment horizontal="center" wrapText="1"/>
    </xf>
    <xf numFmtId="1" fontId="2" fillId="0" borderId="6" xfId="0" applyNumberFormat="1" applyFont="1" applyBorder="1" applyAlignment="1">
      <alignment horizontal="center" vertical="center" wrapText="1"/>
    </xf>
    <xf numFmtId="0" fontId="2" fillId="0" borderId="6" xfId="0" applyNumberFormat="1" applyFont="1" applyBorder="1" applyAlignment="1">
      <alignment horizontal="center" vertical="center" textRotation="90" wrapText="1"/>
    </xf>
    <xf numFmtId="0" fontId="2" fillId="0" borderId="8" xfId="0" applyFont="1" applyBorder="1" applyAlignment="1">
      <alignment horizontal="center" wrapText="1"/>
    </xf>
    <xf numFmtId="2" fontId="2" fillId="0" borderId="8" xfId="0" applyNumberFormat="1" applyFont="1" applyBorder="1" applyAlignment="1">
      <alignment horizontal="center" vertical="center" wrapText="1"/>
    </xf>
    <xf numFmtId="1" fontId="2" fillId="0" borderId="8" xfId="0" applyNumberFormat="1" applyFont="1" applyBorder="1" applyAlignment="1">
      <alignment horizontal="center" vertical="center" wrapText="1"/>
    </xf>
    <xf numFmtId="0" fontId="2" fillId="0" borderId="6" xfId="0" applyFont="1" applyBorder="1" applyAlignment="1">
      <alignment horizontal="center" wrapText="1"/>
    </xf>
    <xf numFmtId="0" fontId="1" fillId="0" borderId="6" xfId="0" applyNumberFormat="1" applyFont="1" applyBorder="1" applyAlignment="1">
      <alignment vertical="center" textRotation="90" wrapText="1"/>
    </xf>
    <xf numFmtId="0" fontId="1" fillId="0" borderId="6" xfId="0" applyNumberFormat="1" applyFont="1" applyBorder="1" applyAlignment="1">
      <alignment vertical="center" wrapText="1"/>
    </xf>
    <xf numFmtId="0" fontId="2" fillId="0" borderId="8" xfId="0" applyNumberFormat="1" applyFont="1" applyBorder="1" applyAlignment="1">
      <alignment horizontal="center" vertical="center" wrapText="1"/>
    </xf>
    <xf numFmtId="164" fontId="2" fillId="0" borderId="8" xfId="0" applyNumberFormat="1" applyFont="1" applyBorder="1" applyAlignment="1">
      <alignment horizontal="center" vertical="center" wrapText="1"/>
    </xf>
    <xf numFmtId="0" fontId="1" fillId="0" borderId="6" xfId="0" applyNumberFormat="1" applyFont="1" applyBorder="1" applyAlignment="1">
      <alignment horizontal="center" vertical="center" wrapText="1"/>
    </xf>
    <xf numFmtId="0" fontId="2" fillId="0" borderId="0" xfId="0" applyNumberFormat="1" applyFont="1" applyBorder="1" applyAlignment="1">
      <alignment horizontal="center"/>
    </xf>
    <xf numFmtId="2" fontId="2" fillId="0" borderId="0" xfId="0" applyNumberFormat="1" applyFont="1" applyBorder="1" applyAlignment="1">
      <alignment horizontal="center"/>
    </xf>
    <xf numFmtId="0" fontId="22" fillId="0" borderId="0" xfId="0" applyFont="1" applyBorder="1" applyAlignment="1">
      <alignment horizontal="right"/>
    </xf>
    <xf numFmtId="164" fontId="13" fillId="0" borderId="0" xfId="0" applyNumberFormat="1" applyFont="1" applyBorder="1" applyAlignment="1">
      <alignment horizontal="center"/>
    </xf>
    <xf numFmtId="2" fontId="13" fillId="0" borderId="0" xfId="0" applyNumberFormat="1" applyFont="1" applyBorder="1" applyAlignment="1">
      <alignment horizontal="center"/>
    </xf>
    <xf numFmtId="0" fontId="22" fillId="0" borderId="0" xfId="0" applyFont="1" applyAlignment="1">
      <alignment horizontal="right"/>
    </xf>
    <xf numFmtId="0" fontId="5" fillId="0" borderId="33" xfId="0" applyFont="1" applyBorder="1" applyAlignment="1">
      <alignment vertical="center"/>
    </xf>
    <xf numFmtId="0" fontId="5" fillId="0" borderId="16" xfId="0" applyFont="1" applyBorder="1" applyAlignment="1"/>
    <xf numFmtId="0" fontId="1" fillId="0" borderId="16" xfId="0" applyFont="1" applyBorder="1" applyAlignment="1">
      <alignment horizontal="center"/>
    </xf>
    <xf numFmtId="0" fontId="5" fillId="0" borderId="33" xfId="0" applyFont="1" applyBorder="1" applyAlignment="1"/>
    <xf numFmtId="0" fontId="0" fillId="0" borderId="16" xfId="0" applyBorder="1"/>
    <xf numFmtId="0" fontId="5" fillId="0" borderId="3" xfId="0" applyFont="1" applyBorder="1" applyAlignment="1">
      <alignment vertical="center"/>
    </xf>
    <xf numFmtId="0" fontId="0" fillId="0" borderId="4" xfId="0" applyBorder="1"/>
    <xf numFmtId="0" fontId="0" fillId="0" borderId="5" xfId="0" applyBorder="1"/>
    <xf numFmtId="0" fontId="0" fillId="0" borderId="3" xfId="0" applyBorder="1"/>
    <xf numFmtId="0" fontId="63" fillId="0" borderId="0" xfId="0" applyFont="1"/>
    <xf numFmtId="0" fontId="51" fillId="0" borderId="0" xfId="0" applyFont="1" applyAlignment="1">
      <alignment horizontal="left" vertical="center"/>
    </xf>
    <xf numFmtId="0" fontId="1" fillId="0" borderId="0" xfId="0" applyFont="1" applyAlignment="1">
      <alignment horizontal="center" vertical="top" wrapText="1"/>
    </xf>
    <xf numFmtId="0" fontId="1" fillId="5" borderId="34" xfId="0" applyFont="1" applyFill="1" applyBorder="1" applyAlignment="1">
      <alignment horizontal="center" vertical="center" wrapText="1"/>
    </xf>
    <xf numFmtId="0" fontId="2" fillId="2" borderId="35" xfId="0" applyFont="1" applyFill="1" applyBorder="1" applyAlignment="1">
      <alignment horizontal="center" vertical="center" wrapText="1"/>
    </xf>
    <xf numFmtId="0" fontId="1" fillId="5" borderId="13"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1" fillId="5" borderId="36"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9" fillId="0" borderId="0" xfId="0" applyFont="1" applyAlignment="1">
      <alignment vertical="center"/>
    </xf>
    <xf numFmtId="0" fontId="1" fillId="6" borderId="34" xfId="0" applyFont="1" applyFill="1" applyBorder="1" applyAlignment="1">
      <alignment horizontal="center" vertical="center" wrapText="1"/>
    </xf>
    <xf numFmtId="0" fontId="47" fillId="0" borderId="0" xfId="0" applyFont="1" applyAlignment="1">
      <alignment vertical="top" wrapText="1"/>
    </xf>
    <xf numFmtId="0" fontId="47" fillId="0" borderId="0" xfId="0" applyFont="1" applyAlignment="1">
      <alignment horizontal="center" vertical="top" wrapText="1"/>
    </xf>
    <xf numFmtId="0" fontId="1" fillId="6" borderId="12"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1" fillId="6" borderId="13" xfId="0" applyFont="1" applyFill="1" applyBorder="1" applyAlignment="1">
      <alignment horizontal="center" vertical="center" wrapText="1"/>
    </xf>
    <xf numFmtId="0" fontId="1" fillId="6" borderId="3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1" fillId="6" borderId="36" xfId="0" applyFont="1" applyFill="1" applyBorder="1" applyAlignment="1">
      <alignment horizontal="center" vertical="center" wrapText="1"/>
    </xf>
    <xf numFmtId="0" fontId="1" fillId="0" borderId="0" xfId="3" applyFont="1" applyBorder="1" applyAlignment="1"/>
    <xf numFmtId="0" fontId="2" fillId="2" borderId="0" xfId="0" applyFont="1" applyFill="1" applyBorder="1" applyAlignment="1">
      <alignment horizontal="center" vertical="center" wrapText="1"/>
    </xf>
    <xf numFmtId="0" fontId="1" fillId="0" borderId="0" xfId="0" applyFont="1" applyBorder="1" applyAlignment="1"/>
    <xf numFmtId="0" fontId="52" fillId="0" borderId="0" xfId="4" applyFont="1"/>
    <xf numFmtId="0" fontId="53" fillId="0" borderId="0" xfId="4" applyFont="1" applyAlignment="1">
      <alignment vertical="center" wrapText="1"/>
    </xf>
    <xf numFmtId="0" fontId="54" fillId="0" borderId="0" xfId="4" applyFont="1" applyAlignment="1">
      <alignment horizontal="right" vertical="center" wrapText="1"/>
    </xf>
    <xf numFmtId="0" fontId="54" fillId="0" borderId="0" xfId="4" applyFont="1" applyAlignment="1">
      <alignment vertical="center" wrapText="1"/>
    </xf>
    <xf numFmtId="0" fontId="53" fillId="0" borderId="0" xfId="4" applyFont="1" applyBorder="1" applyAlignment="1">
      <alignment horizontal="center" vertical="center" wrapText="1"/>
    </xf>
    <xf numFmtId="0" fontId="52" fillId="0" borderId="4" xfId="4" applyFont="1" applyBorder="1" applyAlignment="1">
      <alignment horizontal="center" vertical="center" wrapText="1"/>
    </xf>
    <xf numFmtId="0" fontId="52" fillId="0" borderId="10" xfId="4" applyFont="1" applyBorder="1" applyAlignment="1">
      <alignment horizontal="center" vertical="center"/>
    </xf>
    <xf numFmtId="0" fontId="52" fillId="0" borderId="6" xfId="4" applyFont="1" applyBorder="1" applyAlignment="1">
      <alignment horizontal="center" vertical="center"/>
    </xf>
    <xf numFmtId="49" fontId="52" fillId="0" borderId="6" xfId="4" applyNumberFormat="1" applyFont="1" applyBorder="1" applyAlignment="1">
      <alignment horizontal="center" vertical="center"/>
    </xf>
    <xf numFmtId="16" fontId="52" fillId="0" borderId="6" xfId="4" applyNumberFormat="1" applyFont="1" applyBorder="1" applyAlignment="1">
      <alignment horizontal="center" vertical="center"/>
    </xf>
    <xf numFmtId="0" fontId="52" fillId="0" borderId="6" xfId="4" applyFont="1" applyBorder="1"/>
    <xf numFmtId="0" fontId="52" fillId="7" borderId="6" xfId="4" applyFont="1" applyFill="1" applyBorder="1" applyAlignment="1">
      <alignment horizontal="center" vertical="center"/>
    </xf>
    <xf numFmtId="49" fontId="52" fillId="7" borderId="6" xfId="4" applyNumberFormat="1" applyFont="1" applyFill="1" applyBorder="1" applyAlignment="1">
      <alignment horizontal="center" vertical="center"/>
    </xf>
    <xf numFmtId="0" fontId="52" fillId="0" borderId="0" xfId="4" applyFont="1" applyBorder="1"/>
    <xf numFmtId="49" fontId="52" fillId="0" borderId="10" xfId="4" applyNumberFormat="1" applyFont="1" applyBorder="1" applyAlignment="1">
      <alignment horizontal="center" vertical="center"/>
    </xf>
    <xf numFmtId="0" fontId="52" fillId="0" borderId="10" xfId="4" applyFont="1" applyBorder="1"/>
    <xf numFmtId="0" fontId="22" fillId="0" borderId="30" xfId="7" applyFont="1" applyBorder="1" applyAlignment="1"/>
    <xf numFmtId="0" fontId="15" fillId="0" borderId="30" xfId="7" applyFont="1" applyFill="1" applyBorder="1" applyAlignment="1">
      <alignment vertical="center"/>
    </xf>
    <xf numFmtId="0" fontId="22" fillId="0" borderId="30" xfId="7" applyFont="1" applyBorder="1" applyAlignment="1">
      <alignment horizontal="center" vertical="center"/>
    </xf>
    <xf numFmtId="0" fontId="22" fillId="0" borderId="31" xfId="7" applyFont="1" applyBorder="1" applyAlignment="1"/>
    <xf numFmtId="0" fontId="22" fillId="0" borderId="0" xfId="7" applyFont="1" applyBorder="1" applyAlignment="1"/>
    <xf numFmtId="0" fontId="52" fillId="0" borderId="0" xfId="4" applyFont="1" applyAlignment="1">
      <alignment horizontal="center" vertical="center"/>
    </xf>
    <xf numFmtId="0" fontId="52" fillId="0" borderId="0" xfId="4" applyFont="1" applyAlignment="1"/>
    <xf numFmtId="0" fontId="52" fillId="0" borderId="0" xfId="4" applyFont="1" applyAlignment="1">
      <alignment horizontal="center"/>
    </xf>
    <xf numFmtId="0" fontId="64" fillId="0" borderId="0" xfId="0" applyFont="1"/>
    <xf numFmtId="14" fontId="19" fillId="0" borderId="6" xfId="0" applyNumberFormat="1" applyFont="1" applyFill="1" applyBorder="1" applyAlignment="1">
      <alignment horizontal="center" vertical="center" wrapText="1"/>
    </xf>
    <xf numFmtId="0" fontId="65" fillId="0" borderId="6" xfId="7" applyFont="1" applyBorder="1" applyAlignment="1">
      <alignment horizontal="center" vertical="center"/>
    </xf>
    <xf numFmtId="0" fontId="65" fillId="0" borderId="6" xfId="5" applyFont="1" applyBorder="1" applyAlignment="1">
      <alignment horizontal="center" vertical="center"/>
    </xf>
    <xf numFmtId="0" fontId="15" fillId="0" borderId="14" xfId="5" applyFont="1" applyBorder="1" applyAlignment="1">
      <alignment horizontal="center" vertical="center" wrapText="1"/>
    </xf>
    <xf numFmtId="0" fontId="15" fillId="0" borderId="31" xfId="5" applyFont="1" applyBorder="1" applyAlignment="1">
      <alignment horizontal="center" vertical="center" wrapText="1"/>
    </xf>
    <xf numFmtId="0" fontId="55" fillId="0" borderId="0" xfId="0" applyFont="1" applyAlignment="1">
      <alignment horizontal="center" vertical="center" wrapText="1"/>
    </xf>
    <xf numFmtId="0" fontId="15" fillId="0" borderId="6" xfId="6" applyFont="1" applyBorder="1" applyAlignment="1">
      <alignment horizontal="center" vertical="center" wrapText="1"/>
    </xf>
    <xf numFmtId="0" fontId="56" fillId="0" borderId="0" xfId="0" applyFont="1" applyAlignment="1">
      <alignment horizontal="center" wrapText="1"/>
    </xf>
    <xf numFmtId="0" fontId="8" fillId="0" borderId="0" xfId="1"/>
    <xf numFmtId="0" fontId="13" fillId="0" borderId="0" xfId="1" applyFont="1" applyAlignment="1">
      <alignment horizontal="right"/>
    </xf>
    <xf numFmtId="0" fontId="13" fillId="0" borderId="0" xfId="1" applyFont="1" applyFill="1" applyAlignment="1">
      <alignment horizontal="right"/>
    </xf>
    <xf numFmtId="0" fontId="8" fillId="2" borderId="0" xfId="1" applyFill="1" applyBorder="1"/>
    <xf numFmtId="0" fontId="28" fillId="0" borderId="0" xfId="1" applyFont="1"/>
    <xf numFmtId="0" fontId="29" fillId="0" borderId="0" xfId="1" applyFont="1" applyAlignment="1">
      <alignment horizontal="left"/>
    </xf>
    <xf numFmtId="0" fontId="29" fillId="0" borderId="0" xfId="1" applyFont="1" applyAlignment="1">
      <alignment horizontal="right" vertical="center"/>
    </xf>
    <xf numFmtId="0" fontId="29" fillId="0" borderId="0" xfId="1" applyFont="1" applyAlignment="1">
      <alignment horizontal="left" vertical="center"/>
    </xf>
    <xf numFmtId="0" fontId="31" fillId="2" borderId="0" xfId="1" applyFont="1" applyFill="1" applyBorder="1"/>
    <xf numFmtId="0" fontId="18" fillId="0" borderId="0" xfId="1" applyFont="1" applyAlignment="1">
      <alignment horizontal="right" vertical="center"/>
    </xf>
    <xf numFmtId="0" fontId="19" fillId="0" borderId="0" xfId="1" applyFont="1" applyAlignment="1">
      <alignment horizontal="left" wrapText="1"/>
    </xf>
    <xf numFmtId="0" fontId="2" fillId="0" borderId="0" xfId="1" applyFont="1"/>
    <xf numFmtId="0" fontId="1" fillId="4" borderId="38" xfId="1" applyFont="1" applyFill="1" applyBorder="1" applyAlignment="1">
      <alignment horizontal="center" vertical="center" wrapText="1"/>
    </xf>
    <xf numFmtId="0" fontId="1" fillId="4" borderId="39" xfId="1" applyFont="1" applyFill="1" applyBorder="1" applyAlignment="1">
      <alignment horizontal="center" vertical="center" wrapText="1"/>
    </xf>
    <xf numFmtId="0" fontId="1" fillId="4" borderId="40" xfId="1" applyFont="1" applyFill="1" applyBorder="1" applyAlignment="1">
      <alignment horizontal="center" vertical="center" wrapText="1"/>
    </xf>
    <xf numFmtId="0" fontId="1" fillId="4" borderId="32" xfId="1" applyFont="1" applyFill="1" applyBorder="1" applyAlignment="1">
      <alignment horizontal="center" vertical="center" wrapText="1"/>
    </xf>
    <xf numFmtId="0" fontId="1" fillId="4" borderId="33" xfId="1" quotePrefix="1" applyFont="1" applyFill="1" applyBorder="1" applyAlignment="1">
      <alignment horizontal="center" vertical="center" wrapText="1"/>
    </xf>
    <xf numFmtId="0" fontId="1" fillId="4" borderId="6" xfId="1" applyFont="1" applyFill="1" applyBorder="1" applyAlignment="1">
      <alignment horizontal="center" vertical="center" wrapText="1"/>
    </xf>
    <xf numFmtId="0" fontId="1" fillId="4" borderId="41" xfId="1" applyFont="1" applyFill="1" applyBorder="1" applyAlignment="1">
      <alignment horizontal="center" vertical="center" wrapText="1"/>
    </xf>
    <xf numFmtId="0" fontId="66" fillId="4" borderId="6" xfId="1" applyFont="1" applyFill="1" applyBorder="1" applyAlignment="1">
      <alignment horizontal="center" vertical="center" wrapText="1"/>
    </xf>
    <xf numFmtId="0" fontId="1" fillId="4" borderId="6" xfId="1" quotePrefix="1" applyFont="1" applyFill="1" applyBorder="1" applyAlignment="1">
      <alignment horizontal="center" vertical="center" wrapText="1"/>
    </xf>
    <xf numFmtId="0" fontId="0" fillId="8" borderId="6" xfId="0" applyFill="1" applyBorder="1" applyAlignment="1">
      <alignment horizontal="center" vertical="center" wrapText="1"/>
    </xf>
    <xf numFmtId="0" fontId="1" fillId="4" borderId="41" xfId="1" applyFont="1" applyFill="1" applyBorder="1" applyAlignment="1">
      <alignment vertical="center" wrapText="1"/>
    </xf>
    <xf numFmtId="0" fontId="1" fillId="4" borderId="42" xfId="1" quotePrefix="1" applyFont="1" applyFill="1" applyBorder="1" applyAlignment="1">
      <alignment horizontal="center" vertical="center" wrapText="1"/>
    </xf>
    <xf numFmtId="0" fontId="1" fillId="4" borderId="9" xfId="1" applyFont="1" applyFill="1" applyBorder="1" applyAlignment="1">
      <alignment horizontal="center" vertical="center" wrapText="1"/>
    </xf>
    <xf numFmtId="0" fontId="1" fillId="4" borderId="7" xfId="1" applyFont="1" applyFill="1" applyBorder="1" applyAlignment="1">
      <alignment horizontal="center" vertical="center" wrapText="1"/>
    </xf>
    <xf numFmtId="0" fontId="18" fillId="0" borderId="0" xfId="1" applyFont="1"/>
    <xf numFmtId="0" fontId="33" fillId="0" borderId="0" xfId="1" applyFont="1"/>
    <xf numFmtId="0" fontId="33" fillId="2" borderId="0" xfId="1" applyFont="1" applyFill="1" applyBorder="1"/>
    <xf numFmtId="0" fontId="34" fillId="0" borderId="0" xfId="1" applyFont="1" applyAlignment="1">
      <alignment horizontal="right"/>
    </xf>
    <xf numFmtId="0" fontId="34" fillId="2" borderId="0" xfId="1" applyFont="1" applyFill="1" applyBorder="1" applyAlignment="1">
      <alignment horizontal="right"/>
    </xf>
    <xf numFmtId="0" fontId="33" fillId="0" borderId="0" xfId="1" applyFont="1" applyAlignment="1">
      <alignment horizontal="right"/>
    </xf>
    <xf numFmtId="0" fontId="18" fillId="0" borderId="0" xfId="1" applyFont="1" applyFill="1"/>
    <xf numFmtId="0" fontId="33" fillId="0" borderId="0" xfId="1" applyFont="1" applyFill="1"/>
    <xf numFmtId="0" fontId="18" fillId="0" borderId="0" xfId="1" applyFont="1" applyAlignment="1">
      <alignment horizontal="left"/>
    </xf>
    <xf numFmtId="0" fontId="8" fillId="0" borderId="0" xfId="5" applyAlignment="1">
      <alignment vertical="center"/>
    </xf>
    <xf numFmtId="0" fontId="2" fillId="0" borderId="30" xfId="0" applyFont="1" applyBorder="1" applyAlignment="1">
      <alignment horizontal="left"/>
    </xf>
    <xf numFmtId="0" fontId="2" fillId="0" borderId="30" xfId="0" applyFont="1" applyBorder="1" applyAlignment="1">
      <alignment horizontal="right" vertical="distributed" wrapText="1"/>
    </xf>
    <xf numFmtId="0" fontId="19" fillId="0" borderId="30" xfId="0" applyFont="1" applyBorder="1" applyAlignment="1">
      <alignment vertical="center" wrapText="1"/>
    </xf>
    <xf numFmtId="0" fontId="19" fillId="0" borderId="31" xfId="0" applyFont="1" applyBorder="1" applyAlignment="1">
      <alignment vertical="center" wrapText="1"/>
    </xf>
    <xf numFmtId="0" fontId="2" fillId="0" borderId="0" xfId="0" applyFont="1" applyBorder="1" applyAlignment="1">
      <alignment horizontal="center" vertical="center" wrapText="1"/>
    </xf>
    <xf numFmtId="2" fontId="2" fillId="0" borderId="0" xfId="0" applyNumberFormat="1" applyFont="1" applyBorder="1" applyAlignment="1">
      <alignment horizontal="center" vertical="center"/>
    </xf>
    <xf numFmtId="1" fontId="2" fillId="0" borderId="0" xfId="0" applyNumberFormat="1" applyFont="1" applyBorder="1" applyAlignment="1">
      <alignment horizontal="center" vertical="center"/>
    </xf>
    <xf numFmtId="2" fontId="2" fillId="0" borderId="0" xfId="0" applyNumberFormat="1" applyFont="1" applyAlignment="1">
      <alignment horizontal="center"/>
    </xf>
    <xf numFmtId="0" fontId="67" fillId="0" borderId="0" xfId="0" applyFont="1" applyBorder="1" applyAlignment="1">
      <alignment horizontal="center"/>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1" fillId="4" borderId="32" xfId="1" quotePrefix="1" applyFont="1" applyFill="1" applyBorder="1" applyAlignment="1">
      <alignment horizontal="center" vertical="center" wrapText="1"/>
    </xf>
    <xf numFmtId="0" fontId="5" fillId="4" borderId="33" xfId="1" quotePrefix="1" applyFont="1" applyFill="1" applyBorder="1" applyAlignment="1">
      <alignment horizontal="center" vertical="center" wrapText="1"/>
    </xf>
    <xf numFmtId="0" fontId="0" fillId="13" borderId="6" xfId="0" applyFill="1" applyBorder="1" applyAlignment="1">
      <alignment horizontal="center" vertical="center" wrapText="1"/>
    </xf>
    <xf numFmtId="0" fontId="15" fillId="0" borderId="14" xfId="5" applyFont="1" applyBorder="1" applyAlignment="1">
      <alignment horizontal="right"/>
    </xf>
    <xf numFmtId="0" fontId="15" fillId="0" borderId="30" xfId="5" applyFont="1" applyBorder="1" applyAlignment="1">
      <alignment horizontal="right"/>
    </xf>
    <xf numFmtId="0" fontId="2" fillId="0" borderId="14" xfId="0" applyFont="1" applyBorder="1" applyAlignment="1">
      <alignment horizontal="left" vertical="center"/>
    </xf>
    <xf numFmtId="0" fontId="2" fillId="0" borderId="30" xfId="0" applyFont="1" applyBorder="1" applyAlignment="1">
      <alignment horizontal="left" vertical="center"/>
    </xf>
    <xf numFmtId="0" fontId="21" fillId="3" borderId="31" xfId="7" applyFont="1" applyFill="1" applyBorder="1" applyAlignment="1">
      <alignment horizontal="center" vertical="center"/>
    </xf>
    <xf numFmtId="0" fontId="2" fillId="0" borderId="30" xfId="5" applyFont="1" applyBorder="1" applyAlignment="1">
      <alignment horizontal="center"/>
    </xf>
    <xf numFmtId="0" fontId="1" fillId="0" borderId="30" xfId="0" applyFont="1" applyBorder="1" applyAlignment="1">
      <alignment horizontal="center" vertical="center"/>
    </xf>
    <xf numFmtId="0" fontId="2" fillId="0" borderId="14" xfId="0" applyFont="1" applyBorder="1" applyAlignment="1"/>
    <xf numFmtId="0" fontId="2" fillId="0" borderId="30" xfId="0" applyFont="1" applyBorder="1" applyAlignment="1"/>
    <xf numFmtId="0" fontId="1" fillId="0" borderId="1" xfId="7" applyFont="1" applyFill="1" applyBorder="1" applyAlignment="1">
      <alignment vertical="center"/>
    </xf>
    <xf numFmtId="0" fontId="1" fillId="4" borderId="33" xfId="0" quotePrefix="1" applyFont="1" applyFill="1" applyBorder="1" applyAlignment="1">
      <alignment horizontal="center" vertical="center" wrapText="1"/>
    </xf>
    <xf numFmtId="0" fontId="0" fillId="14" borderId="6" xfId="0" applyFill="1" applyBorder="1" applyAlignment="1">
      <alignment horizontal="center" vertical="center" wrapText="1"/>
    </xf>
    <xf numFmtId="0" fontId="2" fillId="0" borderId="1" xfId="0" applyFont="1" applyBorder="1" applyAlignment="1">
      <alignment vertical="center" wrapText="1"/>
    </xf>
    <xf numFmtId="0" fontId="2" fillId="0" borderId="0" xfId="7" applyFont="1" applyBorder="1" applyAlignment="1">
      <alignment horizontal="left" vertical="center"/>
    </xf>
    <xf numFmtId="0" fontId="21" fillId="3" borderId="30" xfId="7" applyFont="1" applyFill="1" applyBorder="1" applyAlignment="1">
      <alignment horizontal="center" vertical="center"/>
    </xf>
    <xf numFmtId="0" fontId="15" fillId="0" borderId="30" xfId="7" applyFont="1" applyFill="1" applyBorder="1" applyAlignment="1">
      <alignment horizontal="center" vertical="center"/>
    </xf>
    <xf numFmtId="0" fontId="15" fillId="0" borderId="31" xfId="7" applyFont="1" applyFill="1" applyBorder="1" applyAlignment="1">
      <alignment vertical="center"/>
    </xf>
    <xf numFmtId="0" fontId="15" fillId="0" borderId="6" xfId="5" applyFont="1" applyBorder="1" applyAlignment="1">
      <alignment vertical="center" wrapText="1"/>
    </xf>
    <xf numFmtId="49" fontId="0" fillId="0" borderId="4" xfId="0" applyNumberFormat="1" applyBorder="1" applyAlignment="1">
      <alignment horizontal="center" vertical="center"/>
    </xf>
    <xf numFmtId="0" fontId="40" fillId="0" borderId="21" xfId="0" applyFont="1" applyFill="1" applyBorder="1" applyAlignment="1">
      <alignment horizontal="center" vertical="center"/>
    </xf>
    <xf numFmtId="0" fontId="40" fillId="0" borderId="28" xfId="0" applyFont="1" applyFill="1" applyBorder="1" applyAlignment="1">
      <alignment horizontal="center" vertical="center"/>
    </xf>
    <xf numFmtId="0" fontId="41" fillId="0" borderId="28" xfId="0" applyFont="1" applyFill="1" applyBorder="1" applyAlignment="1">
      <alignment horizontal="center" vertical="center"/>
    </xf>
    <xf numFmtId="0" fontId="41" fillId="0" borderId="26" xfId="0" applyFont="1" applyFill="1" applyBorder="1" applyAlignment="1">
      <alignment horizontal="center" vertical="center"/>
    </xf>
    <xf numFmtId="14" fontId="19" fillId="9" borderId="6" xfId="0" applyNumberFormat="1" applyFont="1" applyFill="1" applyBorder="1" applyAlignment="1">
      <alignment horizontal="center" vertical="center" wrapText="1"/>
    </xf>
    <xf numFmtId="0" fontId="29" fillId="0" borderId="0" xfId="7" applyFont="1" applyAlignment="1">
      <alignment horizontal="center" vertical="top" wrapText="1"/>
    </xf>
    <xf numFmtId="0" fontId="2" fillId="0" borderId="0" xfId="5" applyFont="1" applyBorder="1" applyAlignment="1">
      <alignment horizontal="left" vertical="center"/>
    </xf>
    <xf numFmtId="0" fontId="15" fillId="0" borderId="0" xfId="5" applyFont="1" applyAlignment="1">
      <alignment horizontal="left" vertical="center" wrapText="1"/>
    </xf>
    <xf numFmtId="0" fontId="24" fillId="0" borderId="0" xfId="2" applyFont="1" applyBorder="1" applyAlignment="1">
      <alignment horizontal="left" vertical="center" wrapText="1"/>
    </xf>
    <xf numFmtId="0" fontId="25" fillId="0" borderId="0" xfId="7" applyFont="1" applyBorder="1" applyAlignment="1">
      <alignment horizontal="left" vertical="center" wrapText="1"/>
    </xf>
    <xf numFmtId="0" fontId="15" fillId="0" borderId="0" xfId="5" applyFont="1" applyBorder="1" applyAlignment="1">
      <alignment vertical="center" wrapText="1"/>
    </xf>
    <xf numFmtId="14" fontId="14" fillId="0" borderId="0" xfId="5" applyNumberFormat="1" applyFont="1" applyBorder="1" applyAlignment="1" applyProtection="1">
      <alignment horizontal="left" vertical="center" wrapText="1"/>
      <protection locked="0"/>
    </xf>
    <xf numFmtId="0" fontId="14" fillId="0" borderId="0" xfId="5" applyFont="1" applyBorder="1" applyAlignment="1">
      <alignment horizontal="left" vertical="center" wrapText="1"/>
    </xf>
    <xf numFmtId="14" fontId="68" fillId="0" borderId="0" xfId="5" applyNumberFormat="1" applyFont="1" applyBorder="1" applyAlignment="1">
      <alignment horizontal="left" vertical="center" wrapText="1"/>
    </xf>
    <xf numFmtId="14" fontId="18" fillId="0" borderId="0" xfId="5" applyNumberFormat="1" applyFont="1" applyBorder="1" applyAlignment="1">
      <alignment horizontal="center" wrapText="1"/>
    </xf>
    <xf numFmtId="49" fontId="69" fillId="0" borderId="0" xfId="0" applyNumberFormat="1" applyFont="1" applyBorder="1" applyAlignment="1">
      <alignment horizontal="center" vertical="center"/>
    </xf>
    <xf numFmtId="0" fontId="1" fillId="0" borderId="0" xfId="5" applyFont="1" applyBorder="1" applyAlignment="1">
      <alignment horizontal="center" vertical="center" wrapText="1"/>
    </xf>
    <xf numFmtId="0" fontId="15" fillId="0" borderId="0" xfId="5" applyFont="1" applyBorder="1" applyAlignment="1">
      <alignment horizontal="center" vertical="center"/>
    </xf>
    <xf numFmtId="0" fontId="21" fillId="3" borderId="0" xfId="7" applyFont="1" applyFill="1" applyBorder="1" applyAlignment="1">
      <alignment horizontal="center" vertical="center"/>
    </xf>
    <xf numFmtId="0" fontId="65" fillId="0" borderId="0" xfId="5" applyFont="1" applyBorder="1" applyAlignment="1">
      <alignment horizontal="center" vertical="center"/>
    </xf>
    <xf numFmtId="0" fontId="15" fillId="0" borderId="0" xfId="5" applyFont="1" applyBorder="1" applyAlignment="1"/>
    <xf numFmtId="0" fontId="0" fillId="0" borderId="6" xfId="5" applyFont="1" applyBorder="1" applyAlignment="1">
      <alignment horizontal="center" vertical="center"/>
    </xf>
    <xf numFmtId="0" fontId="1" fillId="0" borderId="6" xfId="5" applyFont="1" applyBorder="1" applyAlignment="1">
      <alignment horizontal="center"/>
    </xf>
    <xf numFmtId="0" fontId="67" fillId="0" borderId="6" xfId="5" applyFont="1" applyBorder="1" applyAlignment="1">
      <alignment horizontal="center"/>
    </xf>
    <xf numFmtId="0" fontId="2" fillId="0" borderId="0" xfId="5" applyFont="1" applyBorder="1" applyAlignment="1"/>
    <xf numFmtId="0" fontId="2" fillId="7" borderId="6" xfId="7" applyFont="1" applyFill="1" applyBorder="1" applyAlignment="1">
      <alignment horizontal="center" vertical="center" wrapText="1"/>
    </xf>
    <xf numFmtId="0" fontId="21" fillId="7" borderId="6" xfId="7" applyFont="1" applyFill="1" applyBorder="1" applyAlignment="1">
      <alignment horizontal="center" vertical="center"/>
    </xf>
    <xf numFmtId="0" fontId="21" fillId="7" borderId="31" xfId="7" applyFont="1" applyFill="1" applyBorder="1" applyAlignment="1">
      <alignment horizontal="center" vertical="center"/>
    </xf>
    <xf numFmtId="0" fontId="21" fillId="7" borderId="6" xfId="7" applyFont="1" applyFill="1" applyBorder="1" applyAlignment="1">
      <alignment horizontal="center" vertical="center" wrapText="1"/>
    </xf>
    <xf numFmtId="0" fontId="15" fillId="0" borderId="10" xfId="5" applyFont="1" applyBorder="1" applyAlignment="1">
      <alignment horizontal="center" vertical="center" wrapText="1"/>
    </xf>
    <xf numFmtId="0" fontId="15" fillId="0" borderId="16" xfId="5" applyFont="1" applyBorder="1" applyAlignment="1">
      <alignment horizontal="center" vertical="center" wrapText="1"/>
    </xf>
    <xf numFmtId="0" fontId="29" fillId="0" borderId="0" xfId="7" applyFont="1" applyAlignment="1">
      <alignment vertical="top" wrapText="1"/>
    </xf>
    <xf numFmtId="0" fontId="4" fillId="0" borderId="0" xfId="7" applyFont="1" applyBorder="1"/>
    <xf numFmtId="0" fontId="15" fillId="0" borderId="0" xfId="5" applyFont="1" applyBorder="1" applyAlignment="1">
      <alignment horizontal="center" vertical="center" wrapText="1"/>
    </xf>
    <xf numFmtId="0" fontId="21" fillId="3" borderId="0" xfId="7" applyFont="1" applyFill="1" applyBorder="1" applyAlignment="1">
      <alignment horizontal="center" vertical="center" wrapText="1"/>
    </xf>
    <xf numFmtId="0" fontId="65" fillId="0" borderId="0" xfId="7" applyFont="1" applyBorder="1" applyAlignment="1">
      <alignment horizontal="center" vertical="center"/>
    </xf>
    <xf numFmtId="49" fontId="15" fillId="0" borderId="0" xfId="5" applyNumberFormat="1" applyFont="1" applyBorder="1" applyAlignment="1">
      <alignment horizontal="center" vertical="center"/>
    </xf>
    <xf numFmtId="0" fontId="15" fillId="0" borderId="0" xfId="7" applyFont="1" applyBorder="1" applyAlignment="1">
      <alignment horizontal="center" vertical="center"/>
    </xf>
    <xf numFmtId="0" fontId="13" fillId="0" borderId="0" xfId="7" applyFont="1" applyBorder="1"/>
    <xf numFmtId="14" fontId="19" fillId="0" borderId="0" xfId="0" applyNumberFormat="1" applyFont="1" applyFill="1" applyBorder="1" applyAlignment="1">
      <alignment horizontal="center" vertical="center" wrapText="1"/>
    </xf>
    <xf numFmtId="0" fontId="15" fillId="0" borderId="0" xfId="5" applyFont="1" applyBorder="1"/>
    <xf numFmtId="0" fontId="23" fillId="0" borderId="0" xfId="5" applyFont="1" applyBorder="1"/>
    <xf numFmtId="0" fontId="8" fillId="0" borderId="0" xfId="5" applyFont="1" applyBorder="1"/>
    <xf numFmtId="0" fontId="15" fillId="0" borderId="32" xfId="5" applyFont="1" applyBorder="1" applyAlignment="1">
      <alignment horizontal="center" vertical="center"/>
    </xf>
    <xf numFmtId="0" fontId="0" fillId="0" borderId="16" xfId="0" applyFill="1" applyBorder="1" applyAlignment="1">
      <alignment horizontal="center" vertical="center"/>
    </xf>
    <xf numFmtId="0" fontId="0" fillId="0" borderId="0" xfId="0" applyFill="1" applyBorder="1" applyAlignment="1">
      <alignment horizontal="center" vertical="center"/>
    </xf>
    <xf numFmtId="0" fontId="37" fillId="0" borderId="4" xfId="0" applyFont="1" applyFill="1" applyBorder="1" applyAlignment="1">
      <alignment horizontal="center" vertical="center"/>
    </xf>
    <xf numFmtId="0" fontId="37" fillId="0" borderId="0" xfId="0" applyFont="1" applyFill="1" applyBorder="1" applyAlignment="1">
      <alignment horizontal="center" vertical="center"/>
    </xf>
    <xf numFmtId="0" fontId="0" fillId="0" borderId="25" xfId="0" applyFill="1" applyBorder="1" applyAlignment="1">
      <alignment horizontal="center" vertical="center"/>
    </xf>
    <xf numFmtId="0" fontId="0" fillId="0" borderId="26" xfId="0" applyFill="1" applyBorder="1" applyAlignment="1">
      <alignment horizontal="center" vertical="center"/>
    </xf>
    <xf numFmtId="0" fontId="37" fillId="0" borderId="26" xfId="0" applyFont="1" applyFill="1" applyBorder="1" applyAlignment="1">
      <alignment horizontal="center" vertical="center"/>
    </xf>
    <xf numFmtId="0" fontId="0" fillId="0" borderId="29" xfId="0" applyFill="1" applyBorder="1" applyAlignment="1">
      <alignment horizontal="center" vertical="center"/>
    </xf>
    <xf numFmtId="0" fontId="0" fillId="0" borderId="0" xfId="0" applyFill="1" applyAlignment="1">
      <alignment horizontal="center"/>
    </xf>
    <xf numFmtId="0" fontId="65" fillId="0" borderId="6" xfId="7" applyFont="1" applyBorder="1" applyAlignment="1">
      <alignment horizontal="center" vertical="center"/>
    </xf>
    <xf numFmtId="0" fontId="65" fillId="5" borderId="0" xfId="5" applyFont="1" applyFill="1" applyBorder="1" applyAlignment="1">
      <alignment horizontal="center" vertical="center"/>
    </xf>
    <xf numFmtId="0" fontId="13" fillId="5" borderId="0" xfId="7" applyFill="1"/>
    <xf numFmtId="0" fontId="15" fillId="0" borderId="6" xfId="5" applyFont="1" applyFill="1" applyBorder="1" applyAlignment="1">
      <alignment horizontal="center" vertical="center" wrapText="1"/>
    </xf>
    <xf numFmtId="0" fontId="2" fillId="0" borderId="6" xfId="7" applyFont="1" applyFill="1" applyBorder="1" applyAlignment="1">
      <alignment horizontal="center" vertical="center"/>
    </xf>
    <xf numFmtId="0" fontId="65" fillId="0" borderId="6" xfId="7" applyFont="1" applyFill="1" applyBorder="1" applyAlignment="1">
      <alignment horizontal="center" vertical="center"/>
    </xf>
    <xf numFmtId="0" fontId="21" fillId="0" borderId="6" xfId="7" applyFont="1" applyFill="1" applyBorder="1" applyAlignment="1">
      <alignment horizontal="center" vertical="center" wrapText="1"/>
    </xf>
    <xf numFmtId="0" fontId="65" fillId="0" borderId="6" xfId="5" applyFont="1" applyFill="1" applyBorder="1" applyAlignment="1">
      <alignment horizontal="center" vertical="center"/>
    </xf>
    <xf numFmtId="0" fontId="21" fillId="0" borderId="31" xfId="7" applyFont="1" applyFill="1" applyBorder="1" applyAlignment="1">
      <alignment horizontal="center" vertical="center"/>
    </xf>
    <xf numFmtId="0" fontId="21" fillId="0" borderId="6" xfId="7" applyFont="1" applyFill="1" applyBorder="1" applyAlignment="1">
      <alignment horizontal="center" vertical="center"/>
    </xf>
    <xf numFmtId="0" fontId="73" fillId="0" borderId="31" xfId="7" applyFont="1" applyFill="1" applyBorder="1" applyAlignment="1">
      <alignment horizontal="center" vertical="center"/>
    </xf>
    <xf numFmtId="0" fontId="73" fillId="0" borderId="6" xfId="7" applyFont="1" applyFill="1" applyBorder="1" applyAlignment="1">
      <alignment horizontal="center" vertical="center" wrapText="1"/>
    </xf>
    <xf numFmtId="0" fontId="73" fillId="0" borderId="6" xfId="7" applyFont="1" applyFill="1" applyBorder="1" applyAlignment="1">
      <alignment horizontal="center" vertical="center"/>
    </xf>
    <xf numFmtId="0" fontId="74" fillId="0" borderId="14" xfId="7" applyFont="1" applyBorder="1" applyAlignment="1">
      <alignment horizontal="center" vertical="center"/>
    </xf>
    <xf numFmtId="49" fontId="2" fillId="0" borderId="0" xfId="0" applyNumberFormat="1" applyFont="1" applyBorder="1" applyAlignment="1">
      <alignment horizontal="center"/>
    </xf>
    <xf numFmtId="0" fontId="2" fillId="0" borderId="6" xfId="7" applyFont="1" applyBorder="1" applyAlignment="1">
      <alignment horizontal="center" vertical="center"/>
    </xf>
    <xf numFmtId="0" fontId="18" fillId="0" borderId="0" xfId="1" applyFont="1" applyFill="1" applyAlignment="1">
      <alignment horizontal="left"/>
    </xf>
    <xf numFmtId="0" fontId="75" fillId="0" borderId="0" xfId="1" applyFont="1" applyAlignment="1">
      <alignment horizontal="left" vertical="center"/>
    </xf>
    <xf numFmtId="0" fontId="1" fillId="0" borderId="14" xfId="7" applyFont="1" applyFill="1" applyBorder="1" applyAlignment="1">
      <alignment horizontal="center" vertical="center"/>
    </xf>
    <xf numFmtId="0" fontId="66" fillId="0" borderId="30" xfId="7" applyFont="1" applyFill="1" applyBorder="1" applyAlignment="1">
      <alignment horizontal="center" vertical="center"/>
    </xf>
    <xf numFmtId="0" fontId="19" fillId="5" borderId="0" xfId="0" applyFont="1" applyFill="1" applyBorder="1" applyAlignment="1">
      <alignment horizontal="center" vertical="center" wrapText="1"/>
    </xf>
    <xf numFmtId="0" fontId="26" fillId="0" borderId="0" xfId="7" applyFont="1" applyBorder="1" applyAlignment="1">
      <alignment horizontal="left" vertical="center" wrapText="1"/>
    </xf>
    <xf numFmtId="0" fontId="65" fillId="0" borderId="0" xfId="7" applyFont="1" applyBorder="1" applyAlignment="1">
      <alignment horizontal="center" vertical="center"/>
    </xf>
    <xf numFmtId="0" fontId="2" fillId="0" borderId="0" xfId="7" applyFont="1" applyBorder="1" applyAlignment="1">
      <alignment horizontal="center" vertical="center"/>
    </xf>
    <xf numFmtId="0" fontId="15" fillId="0" borderId="0" xfId="7" applyFont="1" applyBorder="1" applyAlignment="1">
      <alignment horizontal="center" vertical="center"/>
    </xf>
    <xf numFmtId="0" fontId="15" fillId="0" borderId="0" xfId="5" applyFont="1" applyBorder="1" applyAlignment="1">
      <alignment horizontal="center" vertical="center" wrapText="1"/>
    </xf>
    <xf numFmtId="0" fontId="21" fillId="3" borderId="0" xfId="7" applyFont="1" applyFill="1" applyBorder="1" applyAlignment="1">
      <alignment horizontal="center" vertical="center" wrapText="1"/>
    </xf>
    <xf numFmtId="0" fontId="21" fillId="3" borderId="0" xfId="7" applyFont="1" applyFill="1" applyBorder="1" applyAlignment="1">
      <alignment horizontal="center" vertical="center"/>
    </xf>
    <xf numFmtId="0" fontId="19" fillId="0" borderId="0" xfId="0" applyFont="1" applyBorder="1" applyAlignment="1">
      <alignment horizontal="center" vertical="center" wrapText="1"/>
    </xf>
    <xf numFmtId="14" fontId="19" fillId="0" borderId="0" xfId="0" applyNumberFormat="1" applyFont="1" applyBorder="1" applyAlignment="1">
      <alignment horizontal="center" vertical="center" wrapText="1"/>
    </xf>
    <xf numFmtId="0" fontId="65" fillId="0" borderId="6" xfId="7" applyFont="1" applyFill="1" applyBorder="1" applyAlignment="1">
      <alignment horizontal="center" vertical="center"/>
    </xf>
    <xf numFmtId="0" fontId="15" fillId="0" borderId="6" xfId="5" applyFont="1" applyFill="1" applyBorder="1" applyAlignment="1">
      <alignment horizontal="center" vertical="center" wrapText="1"/>
    </xf>
    <xf numFmtId="0" fontId="1" fillId="0" borderId="14" xfId="7" applyFont="1" applyBorder="1" applyAlignment="1">
      <alignment horizontal="center" vertical="center"/>
    </xf>
    <xf numFmtId="0" fontId="13" fillId="5" borderId="0" xfId="7" applyFill="1" applyBorder="1"/>
    <xf numFmtId="0" fontId="15" fillId="5" borderId="0" xfId="5" applyFont="1" applyFill="1" applyBorder="1" applyAlignment="1">
      <alignment horizontal="center" vertical="center" wrapText="1"/>
    </xf>
    <xf numFmtId="0" fontId="2" fillId="5" borderId="0" xfId="7" applyFont="1" applyFill="1" applyBorder="1" applyAlignment="1">
      <alignment horizontal="center" vertical="center"/>
    </xf>
    <xf numFmtId="0" fontId="65" fillId="5" borderId="0" xfId="7" applyFont="1" applyFill="1" applyBorder="1" applyAlignment="1">
      <alignment horizontal="center" vertical="center"/>
    </xf>
    <xf numFmtId="49" fontId="15" fillId="5" borderId="0" xfId="5" applyNumberFormat="1" applyFont="1" applyFill="1" applyBorder="1" applyAlignment="1">
      <alignment horizontal="center" vertical="center"/>
    </xf>
    <xf numFmtId="0" fontId="15" fillId="5" borderId="0" xfId="5" applyFont="1" applyFill="1" applyBorder="1" applyAlignment="1">
      <alignment horizontal="center" vertical="center"/>
    </xf>
    <xf numFmtId="14" fontId="19" fillId="5" borderId="0" xfId="0" applyNumberFormat="1" applyFont="1" applyFill="1" applyBorder="1" applyAlignment="1">
      <alignment horizontal="center" vertical="center" wrapText="1"/>
    </xf>
    <xf numFmtId="0" fontId="15" fillId="5" borderId="0" xfId="5" applyFont="1" applyFill="1" applyBorder="1"/>
    <xf numFmtId="0" fontId="13" fillId="5" borderId="0" xfId="7" applyFont="1" applyFill="1" applyBorder="1"/>
    <xf numFmtId="0" fontId="23" fillId="5" borderId="0" xfId="5" applyFont="1" applyFill="1" applyBorder="1"/>
    <xf numFmtId="0" fontId="8" fillId="5" borderId="0" xfId="5" applyFont="1" applyFill="1" applyBorder="1"/>
    <xf numFmtId="0" fontId="0" fillId="0" borderId="16" xfId="0" applyFont="1" applyFill="1" applyBorder="1" applyAlignment="1">
      <alignment horizontal="center" vertical="center"/>
    </xf>
    <xf numFmtId="0" fontId="0" fillId="0" borderId="0" xfId="0" applyFont="1" applyFill="1" applyBorder="1" applyAlignment="1">
      <alignment horizontal="center" vertical="center"/>
    </xf>
    <xf numFmtId="0" fontId="36" fillId="0" borderId="4"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26" xfId="0" applyFont="1" applyFill="1" applyBorder="1" applyAlignment="1">
      <alignment horizontal="center" vertical="center"/>
    </xf>
    <xf numFmtId="0" fontId="36" fillId="0" borderId="26" xfId="0" applyFont="1" applyFill="1" applyBorder="1" applyAlignment="1">
      <alignment horizontal="center" vertical="center"/>
    </xf>
    <xf numFmtId="0" fontId="0" fillId="0" borderId="29" xfId="0" applyFont="1" applyFill="1" applyBorder="1" applyAlignment="1">
      <alignment horizontal="center" vertical="center"/>
    </xf>
    <xf numFmtId="0" fontId="0" fillId="0" borderId="0" xfId="0" applyFont="1" applyFill="1" applyAlignment="1">
      <alignment horizontal="center"/>
    </xf>
    <xf numFmtId="0" fontId="0" fillId="0" borderId="15" xfId="0" applyFont="1" applyBorder="1" applyAlignment="1">
      <alignment vertical="center"/>
    </xf>
    <xf numFmtId="0" fontId="0" fillId="0" borderId="16" xfId="0" applyNumberFormat="1" applyFont="1" applyBorder="1" applyAlignment="1">
      <alignment vertical="center"/>
    </xf>
    <xf numFmtId="0" fontId="0" fillId="0" borderId="16" xfId="0" applyFont="1" applyBorder="1" applyAlignment="1">
      <alignment vertical="center"/>
    </xf>
    <xf numFmtId="0" fontId="0" fillId="0" borderId="17" xfId="0" applyFont="1" applyBorder="1" applyAlignment="1">
      <alignment horizontal="center" vertical="center"/>
    </xf>
    <xf numFmtId="0" fontId="0" fillId="0" borderId="18" xfId="0" applyFont="1" applyBorder="1" applyAlignment="1">
      <alignment vertical="center"/>
    </xf>
    <xf numFmtId="0" fontId="0" fillId="0" borderId="19" xfId="0" applyFont="1" applyBorder="1" applyAlignment="1">
      <alignment horizontal="center" vertical="center"/>
    </xf>
    <xf numFmtId="0" fontId="0" fillId="0" borderId="0" xfId="0" applyNumberFormat="1" applyFont="1" applyFill="1" applyBorder="1" applyAlignment="1">
      <alignment vertical="center"/>
    </xf>
    <xf numFmtId="0" fontId="0" fillId="0" borderId="0" xfId="0" applyFont="1" applyFill="1" applyBorder="1" applyAlignment="1">
      <alignment vertical="center"/>
    </xf>
    <xf numFmtId="14" fontId="0" fillId="0" borderId="19" xfId="0" applyNumberFormat="1" applyFont="1" applyBorder="1" applyAlignment="1">
      <alignment horizontal="center" vertical="center"/>
    </xf>
    <xf numFmtId="0" fontId="0" fillId="0" borderId="0" xfId="0" applyNumberFormat="1" applyFont="1" applyBorder="1" applyAlignment="1">
      <alignment vertical="center"/>
    </xf>
    <xf numFmtId="0" fontId="0" fillId="0" borderId="0" xfId="0" applyFont="1" applyBorder="1" applyAlignment="1">
      <alignment vertical="center"/>
    </xf>
    <xf numFmtId="0" fontId="0" fillId="0" borderId="0" xfId="0" applyFont="1" applyBorder="1" applyAlignment="1">
      <alignment horizontal="right" vertical="center"/>
    </xf>
    <xf numFmtId="0" fontId="0" fillId="0" borderId="4" xfId="0" applyNumberFormat="1" applyFont="1" applyBorder="1" applyAlignment="1">
      <alignment horizontal="center" vertical="center"/>
    </xf>
    <xf numFmtId="0" fontId="0" fillId="0" borderId="4" xfId="0" applyNumberFormat="1" applyFont="1" applyBorder="1" applyAlignment="1">
      <alignment vertical="center"/>
    </xf>
    <xf numFmtId="0" fontId="0" fillId="0" borderId="4" xfId="0" applyFont="1" applyBorder="1" applyAlignment="1">
      <alignment vertical="center"/>
    </xf>
    <xf numFmtId="0" fontId="0" fillId="0" borderId="23" xfId="0" applyFont="1" applyBorder="1" applyAlignment="1">
      <alignment vertical="center"/>
    </xf>
    <xf numFmtId="0" fontId="0" fillId="0" borderId="24" xfId="0" applyNumberFormat="1" applyFont="1" applyBorder="1" applyAlignment="1">
      <alignment vertical="center"/>
    </xf>
    <xf numFmtId="0" fontId="0" fillId="0" borderId="24" xfId="0" applyFont="1" applyBorder="1" applyAlignment="1">
      <alignment vertical="center"/>
    </xf>
    <xf numFmtId="0" fontId="0" fillId="0" borderId="23" xfId="0" applyFont="1" applyFill="1" applyBorder="1" applyAlignment="1">
      <alignment vertical="center"/>
    </xf>
    <xf numFmtId="0" fontId="0" fillId="0" borderId="24" xfId="0" applyNumberFormat="1" applyFont="1" applyFill="1" applyBorder="1" applyAlignment="1">
      <alignment vertical="center"/>
    </xf>
    <xf numFmtId="0" fontId="0" fillId="0" borderId="24" xfId="0" applyFont="1" applyFill="1" applyBorder="1" applyAlignment="1">
      <alignment vertical="center"/>
    </xf>
    <xf numFmtId="0" fontId="0" fillId="0" borderId="18" xfId="0" applyFont="1" applyFill="1" applyBorder="1" applyAlignment="1">
      <alignment vertical="center"/>
    </xf>
    <xf numFmtId="0" fontId="0" fillId="0" borderId="0" xfId="0" applyFont="1" applyFill="1" applyBorder="1" applyAlignment="1">
      <alignment horizontal="right" vertical="center"/>
    </xf>
    <xf numFmtId="0" fontId="0" fillId="0" borderId="4" xfId="0" applyNumberFormat="1" applyFont="1" applyFill="1" applyBorder="1" applyAlignment="1">
      <alignment vertical="center"/>
    </xf>
    <xf numFmtId="0" fontId="0" fillId="0" borderId="4" xfId="0" applyFont="1" applyFill="1" applyBorder="1" applyAlignment="1">
      <alignment vertical="center"/>
    </xf>
    <xf numFmtId="0" fontId="4" fillId="0" borderId="22" xfId="0" applyFont="1" applyBorder="1" applyAlignment="1">
      <alignment horizontal="center" vertical="center"/>
    </xf>
    <xf numFmtId="0" fontId="0" fillId="0" borderId="0" xfId="0" applyFont="1"/>
    <xf numFmtId="0" fontId="0" fillId="0" borderId="0" xfId="0" applyNumberFormat="1" applyFont="1"/>
    <xf numFmtId="0" fontId="15" fillId="0" borderId="6" xfId="7" applyFont="1" applyFill="1" applyBorder="1" applyAlignment="1">
      <alignment horizontal="center" vertical="center"/>
    </xf>
    <xf numFmtId="0" fontId="15" fillId="0" borderId="14" xfId="5" applyFont="1" applyBorder="1" applyAlignment="1">
      <alignment horizontal="left" vertical="center"/>
    </xf>
    <xf numFmtId="0" fontId="15" fillId="0" borderId="30" xfId="5" applyFont="1" applyBorder="1" applyAlignment="1">
      <alignment horizontal="left" vertical="center"/>
    </xf>
    <xf numFmtId="0" fontId="15" fillId="0" borderId="31" xfId="5" applyFont="1" applyBorder="1" applyAlignment="1">
      <alignment horizontal="left" vertical="center"/>
    </xf>
    <xf numFmtId="0" fontId="0" fillId="0" borderId="0" xfId="0" applyFill="1" applyBorder="1"/>
    <xf numFmtId="0" fontId="8" fillId="0" borderId="0" xfId="1" applyFill="1" applyBorder="1"/>
    <xf numFmtId="0" fontId="13" fillId="0" borderId="0" xfId="1" applyFont="1" applyFill="1" applyBorder="1" applyAlignment="1">
      <alignment horizontal="right"/>
    </xf>
    <xf numFmtId="0" fontId="19" fillId="0" borderId="0" xfId="0" applyFont="1" applyAlignment="1">
      <alignment vertical="center"/>
    </xf>
    <xf numFmtId="0" fontId="28" fillId="0" borderId="0" xfId="1" applyFont="1" applyFill="1" applyBorder="1"/>
    <xf numFmtId="0" fontId="29" fillId="0" borderId="0" xfId="1" applyFont="1" applyFill="1" applyBorder="1" applyAlignment="1"/>
    <xf numFmtId="0" fontId="18" fillId="0" borderId="0" xfId="0" applyFont="1" applyAlignment="1">
      <alignment horizontal="center" vertical="center"/>
    </xf>
    <xf numFmtId="0" fontId="8" fillId="0" borderId="0" xfId="1" applyFill="1" applyBorder="1" applyAlignment="1">
      <alignment horizontal="center" vertical="center"/>
    </xf>
    <xf numFmtId="0" fontId="29" fillId="0" borderId="0" xfId="1" applyFont="1" applyFill="1" applyBorder="1" applyAlignment="1">
      <alignment horizontal="left"/>
    </xf>
    <xf numFmtId="0" fontId="75" fillId="0" borderId="0" xfId="1" applyFont="1" applyFill="1" applyBorder="1" applyAlignment="1">
      <alignment horizontal="left" vertical="center"/>
    </xf>
    <xf numFmtId="0" fontId="29" fillId="0" borderId="0" xfId="1" applyFont="1" applyFill="1" applyBorder="1" applyAlignment="1">
      <alignment horizontal="center"/>
    </xf>
    <xf numFmtId="0" fontId="19" fillId="0" borderId="0" xfId="1" applyFont="1" applyFill="1" applyBorder="1" applyAlignment="1">
      <alignment horizontal="center" vertical="center"/>
    </xf>
    <xf numFmtId="0" fontId="78" fillId="0" borderId="0" xfId="0" applyFont="1" applyAlignment="1">
      <alignment horizontal="right"/>
    </xf>
    <xf numFmtId="0" fontId="2" fillId="0" borderId="0" xfId="0" applyFont="1" applyBorder="1" applyAlignment="1">
      <alignment vertical="center" wrapText="1"/>
    </xf>
    <xf numFmtId="0" fontId="15" fillId="0" borderId="0" xfId="1" applyFont="1" applyFill="1" applyBorder="1" applyAlignment="1" applyProtection="1">
      <alignment vertical="center" wrapText="1"/>
      <protection locked="0"/>
    </xf>
    <xf numFmtId="49" fontId="70" fillId="0" borderId="0" xfId="1" applyNumberFormat="1" applyFont="1" applyFill="1" applyBorder="1" applyAlignment="1" applyProtection="1">
      <alignment vertical="center" wrapText="1"/>
      <protection locked="0"/>
    </xf>
    <xf numFmtId="0" fontId="81" fillId="0" borderId="0" xfId="0" applyFont="1" applyAlignment="1">
      <alignment horizontal="right" vertical="center" wrapText="1"/>
    </xf>
    <xf numFmtId="0" fontId="2" fillId="0" borderId="0" xfId="0" applyFont="1" applyAlignment="1">
      <alignment horizontal="center" vertical="center" wrapText="1"/>
    </xf>
    <xf numFmtId="0" fontId="82" fillId="0" borderId="0" xfId="0" applyFont="1" applyAlignment="1">
      <alignment horizontal="right" vertical="center" wrapText="1"/>
    </xf>
    <xf numFmtId="0" fontId="0" fillId="0" borderId="0" xfId="0" applyFill="1" applyBorder="1" applyAlignment="1">
      <alignment vertical="center" wrapText="1"/>
    </xf>
    <xf numFmtId="0" fontId="1" fillId="0" borderId="0" xfId="1" applyFont="1" applyFill="1" applyBorder="1" applyAlignment="1">
      <alignment horizontal="center" vertical="center" wrapText="1"/>
    </xf>
    <xf numFmtId="0" fontId="1" fillId="0" borderId="0" xfId="1" quotePrefix="1" applyFont="1" applyFill="1" applyBorder="1" applyAlignment="1">
      <alignment horizontal="center" vertical="center" wrapText="1"/>
    </xf>
    <xf numFmtId="0" fontId="1" fillId="0" borderId="0" xfId="1" quotePrefix="1" applyFont="1" applyFill="1" applyBorder="1" applyAlignment="1">
      <alignment vertical="center" wrapText="1"/>
    </xf>
    <xf numFmtId="0" fontId="13" fillId="0" borderId="0" xfId="0" applyFont="1" applyAlignment="1">
      <alignment horizontal="right"/>
    </xf>
    <xf numFmtId="0" fontId="19" fillId="0" borderId="0" xfId="0" applyFont="1" applyAlignment="1">
      <alignment horizontal="right" vertical="center" wrapText="1"/>
    </xf>
    <xf numFmtId="0" fontId="2" fillId="0" borderId="0" xfId="0" applyFont="1" applyAlignment="1">
      <alignment vertical="center" wrapText="1"/>
    </xf>
    <xf numFmtId="0" fontId="59" fillId="0" borderId="0" xfId="0" applyFont="1" applyAlignment="1">
      <alignment vertical="center" wrapText="1"/>
    </xf>
    <xf numFmtId="14" fontId="13" fillId="9" borderId="4" xfId="1" quotePrefix="1" applyNumberFormat="1" applyFont="1" applyFill="1" applyBorder="1" applyAlignment="1">
      <alignment horizontal="center" vertical="center" wrapText="1"/>
    </xf>
    <xf numFmtId="0" fontId="2" fillId="0" borderId="0" xfId="1" quotePrefix="1" applyFont="1" applyFill="1" applyBorder="1" applyAlignment="1">
      <alignment vertical="center" wrapText="1"/>
    </xf>
    <xf numFmtId="0" fontId="2" fillId="7" borderId="0" xfId="1" quotePrefix="1" applyFont="1" applyFill="1" applyBorder="1" applyAlignment="1">
      <alignment horizontal="center" vertical="center" wrapText="1"/>
    </xf>
    <xf numFmtId="0" fontId="66" fillId="0" borderId="0" xfId="1" applyFont="1" applyFill="1" applyBorder="1" applyAlignment="1">
      <alignment horizontal="center" vertical="center" wrapText="1"/>
    </xf>
    <xf numFmtId="0" fontId="0" fillId="0" borderId="0" xfId="0" applyFill="1" applyBorder="1" applyAlignment="1">
      <alignment horizontal="center" vertical="center" wrapText="1"/>
    </xf>
    <xf numFmtId="0" fontId="5" fillId="0" borderId="0" xfId="1" quotePrefix="1" applyFont="1" applyFill="1" applyBorder="1" applyAlignment="1">
      <alignment horizontal="center" vertical="center" wrapText="1"/>
    </xf>
    <xf numFmtId="0" fontId="1" fillId="0" borderId="0" xfId="1" applyFont="1" applyFill="1" applyBorder="1" applyAlignment="1">
      <alignment vertical="center" wrapText="1"/>
    </xf>
    <xf numFmtId="0" fontId="1" fillId="0" borderId="0" xfId="0" quotePrefix="1" applyFont="1" applyFill="1" applyBorder="1" applyAlignment="1">
      <alignment horizontal="center" vertical="center" wrapText="1"/>
    </xf>
    <xf numFmtId="0" fontId="1" fillId="0" borderId="0" xfId="0" quotePrefix="1" applyFont="1" applyFill="1" applyBorder="1" applyAlignment="1">
      <alignment vertical="center" wrapText="1"/>
    </xf>
    <xf numFmtId="0" fontId="13" fillId="0" borderId="6" xfId="0" applyFont="1" applyBorder="1" applyAlignment="1">
      <alignment horizontal="center" vertical="center" wrapText="1"/>
    </xf>
    <xf numFmtId="0" fontId="13" fillId="0" borderId="6" xfId="0" applyFont="1" applyBorder="1" applyAlignment="1">
      <alignment horizontal="center"/>
    </xf>
    <xf numFmtId="0" fontId="13" fillId="0" borderId="6" xfId="1" applyFont="1" applyFill="1" applyBorder="1" applyAlignment="1">
      <alignment horizontal="center" vertical="center"/>
    </xf>
    <xf numFmtId="0" fontId="1" fillId="0" borderId="0" xfId="0" applyFont="1" applyAlignment="1">
      <alignment horizontal="right"/>
    </xf>
    <xf numFmtId="14" fontId="13" fillId="0" borderId="4" xfId="0" applyNumberFormat="1" applyFont="1" applyBorder="1" applyAlignment="1">
      <alignment horizontal="center" vertical="center"/>
    </xf>
    <xf numFmtId="0" fontId="13" fillId="0" borderId="0" xfId="1" applyFont="1" applyFill="1" applyBorder="1" applyAlignment="1">
      <alignment horizontal="left" vertical="center"/>
    </xf>
    <xf numFmtId="0" fontId="77" fillId="0" borderId="0" xfId="0" applyFont="1" applyAlignment="1">
      <alignment horizontal="right"/>
    </xf>
    <xf numFmtId="0" fontId="1" fillId="4" borderId="49" xfId="1" applyFont="1" applyFill="1" applyBorder="1" applyAlignment="1">
      <alignment horizontal="center" vertical="center" wrapText="1"/>
    </xf>
    <xf numFmtId="0" fontId="1" fillId="4" borderId="50" xfId="1" applyFont="1" applyFill="1" applyBorder="1" applyAlignment="1">
      <alignment horizontal="center" vertical="center" wrapText="1"/>
    </xf>
    <xf numFmtId="0" fontId="1" fillId="4" borderId="11" xfId="1" applyFont="1" applyFill="1" applyBorder="1" applyAlignment="1">
      <alignment horizontal="center" vertical="center" wrapText="1"/>
    </xf>
    <xf numFmtId="0" fontId="29" fillId="0" borderId="0" xfId="1" applyFont="1" applyAlignment="1">
      <alignment horizontal="center"/>
    </xf>
    <xf numFmtId="0" fontId="2" fillId="0" borderId="6" xfId="1" applyFont="1" applyBorder="1" applyAlignment="1">
      <alignment horizontal="right" vertical="distributed" wrapText="1"/>
    </xf>
    <xf numFmtId="0" fontId="15" fillId="0" borderId="14" xfId="1" applyFont="1" applyBorder="1" applyAlignment="1" applyProtection="1">
      <alignment horizontal="right" vertical="center" wrapText="1"/>
      <protection locked="0"/>
    </xf>
    <xf numFmtId="0" fontId="15" fillId="0" borderId="30" xfId="1" applyFont="1" applyBorder="1" applyAlignment="1" applyProtection="1">
      <alignment horizontal="right" vertical="center" wrapText="1"/>
      <protection locked="0"/>
    </xf>
    <xf numFmtId="49" fontId="70" fillId="0" borderId="6" xfId="1" applyNumberFormat="1" applyFont="1" applyBorder="1" applyAlignment="1" applyProtection="1">
      <alignment horizontal="left" vertical="center" wrapText="1"/>
      <protection locked="0"/>
    </xf>
    <xf numFmtId="0" fontId="1" fillId="4" borderId="39" xfId="1" applyFont="1" applyFill="1" applyBorder="1" applyAlignment="1">
      <alignment horizontal="center" vertical="center" wrapText="1"/>
    </xf>
    <xf numFmtId="0" fontId="67" fillId="0" borderId="33" xfId="0" applyFont="1" applyBorder="1" applyAlignment="1">
      <alignment horizontal="left" vertical="center" wrapText="1"/>
    </xf>
    <xf numFmtId="0" fontId="67" fillId="0" borderId="16" xfId="0" applyFont="1" applyBorder="1" applyAlignment="1">
      <alignment horizontal="left" vertical="center" wrapText="1"/>
    </xf>
    <xf numFmtId="0" fontId="67" fillId="0" borderId="32" xfId="0" applyFont="1" applyBorder="1" applyAlignment="1">
      <alignment horizontal="left" vertical="center" wrapText="1"/>
    </xf>
    <xf numFmtId="0" fontId="67" fillId="0" borderId="3" xfId="0" applyFont="1" applyBorder="1" applyAlignment="1">
      <alignment horizontal="left" vertical="center" wrapText="1"/>
    </xf>
    <xf numFmtId="0" fontId="67" fillId="0" borderId="4" xfId="0" applyFont="1" applyBorder="1" applyAlignment="1">
      <alignment horizontal="left" vertical="center" wrapText="1"/>
    </xf>
    <xf numFmtId="0" fontId="67" fillId="0" borderId="5" xfId="0" applyFont="1" applyBorder="1" applyAlignment="1">
      <alignment horizontal="left" vertical="center" wrapText="1"/>
    </xf>
    <xf numFmtId="0" fontId="2" fillId="0" borderId="6" xfId="1" applyFont="1" applyBorder="1" applyAlignment="1">
      <alignment horizontal="center" vertical="center" wrapText="1"/>
    </xf>
    <xf numFmtId="0" fontId="67" fillId="0" borderId="6" xfId="1" applyFont="1" applyBorder="1" applyAlignment="1">
      <alignment horizontal="left" vertical="center" wrapText="1"/>
    </xf>
    <xf numFmtId="0" fontId="1" fillId="4" borderId="33" xfId="0" quotePrefix="1" applyFont="1" applyFill="1" applyBorder="1" applyAlignment="1">
      <alignment horizontal="center" vertical="center" wrapText="1"/>
    </xf>
    <xf numFmtId="0" fontId="1" fillId="4" borderId="32" xfId="0" quotePrefix="1" applyFont="1" applyFill="1" applyBorder="1" applyAlignment="1">
      <alignment horizontal="center" vertical="center" wrapText="1"/>
    </xf>
    <xf numFmtId="0" fontId="0" fillId="9" borderId="6" xfId="0" applyFill="1" applyBorder="1" applyAlignment="1">
      <alignment horizontal="center" vertical="center" wrapText="1"/>
    </xf>
    <xf numFmtId="0" fontId="1" fillId="4" borderId="33" xfId="1" quotePrefix="1" applyFont="1" applyFill="1" applyBorder="1" applyAlignment="1">
      <alignment horizontal="center" vertical="center" wrapText="1"/>
    </xf>
    <xf numFmtId="0" fontId="1" fillId="4" borderId="32" xfId="1" quotePrefix="1" applyFont="1" applyFill="1" applyBorder="1" applyAlignment="1">
      <alignment horizontal="center" vertical="center" wrapText="1"/>
    </xf>
    <xf numFmtId="0" fontId="0" fillId="16" borderId="6" xfId="0" applyFill="1" applyBorder="1" applyAlignment="1">
      <alignment horizontal="center" vertical="center" wrapText="1"/>
    </xf>
    <xf numFmtId="0" fontId="1" fillId="4" borderId="14" xfId="1" quotePrefix="1" applyFont="1" applyFill="1" applyBorder="1" applyAlignment="1">
      <alignment horizontal="center" vertical="center" wrapText="1"/>
    </xf>
    <xf numFmtId="0" fontId="1" fillId="4" borderId="31" xfId="1" quotePrefix="1" applyFont="1" applyFill="1" applyBorder="1" applyAlignment="1">
      <alignment horizontal="center" vertical="center" wrapText="1"/>
    </xf>
    <xf numFmtId="0" fontId="1" fillId="4" borderId="42" xfId="1" quotePrefix="1" applyFont="1" applyFill="1" applyBorder="1" applyAlignment="1">
      <alignment horizontal="center" vertical="center" wrapText="1"/>
    </xf>
    <xf numFmtId="0" fontId="1" fillId="4" borderId="44" xfId="1" quotePrefix="1" applyFont="1" applyFill="1" applyBorder="1" applyAlignment="1">
      <alignment horizontal="center" vertical="center" wrapText="1"/>
    </xf>
    <xf numFmtId="0" fontId="0" fillId="15" borderId="6" xfId="0" applyFill="1" applyBorder="1" applyAlignment="1">
      <alignment horizontal="center" vertical="center" wrapText="1"/>
    </xf>
    <xf numFmtId="0" fontId="5" fillId="4" borderId="33" xfId="1" quotePrefix="1" applyFont="1" applyFill="1" applyBorder="1" applyAlignment="1">
      <alignment horizontal="center" vertical="center" wrapText="1"/>
    </xf>
    <xf numFmtId="0" fontId="5" fillId="4" borderId="32" xfId="1" quotePrefix="1" applyFont="1" applyFill="1" applyBorder="1" applyAlignment="1">
      <alignment horizontal="center" vertical="center" wrapText="1"/>
    </xf>
    <xf numFmtId="0" fontId="0" fillId="6" borderId="6" xfId="0" applyFill="1" applyBorder="1" applyAlignment="1">
      <alignment horizontal="center" vertical="center"/>
    </xf>
    <xf numFmtId="0" fontId="0" fillId="10" borderId="6" xfId="0" applyFill="1" applyBorder="1" applyAlignment="1">
      <alignment horizontal="center" vertical="center" wrapText="1"/>
    </xf>
    <xf numFmtId="0" fontId="1" fillId="3" borderId="6" xfId="0" applyFont="1" applyFill="1" applyBorder="1" applyAlignment="1">
      <alignment horizontal="center" vertical="center"/>
    </xf>
    <xf numFmtId="0" fontId="29" fillId="0" borderId="0" xfId="0" applyFont="1" applyAlignment="1">
      <alignment horizontal="center"/>
    </xf>
    <xf numFmtId="0" fontId="2" fillId="0" borderId="6" xfId="0" applyFont="1" applyBorder="1" applyAlignment="1">
      <alignment horizontal="right" vertical="distributed" wrapText="1"/>
    </xf>
    <xf numFmtId="0" fontId="2" fillId="0" borderId="6" xfId="0" applyFont="1" applyBorder="1" applyAlignment="1">
      <alignment horizontal="left" vertical="center" wrapText="1"/>
    </xf>
    <xf numFmtId="0" fontId="2" fillId="0" borderId="6" xfId="0" applyFont="1" applyBorder="1" applyAlignment="1">
      <alignment horizontal="right" vertical="center" wrapText="1"/>
    </xf>
    <xf numFmtId="0" fontId="15" fillId="0" borderId="14" xfId="0" applyFont="1" applyBorder="1" applyAlignment="1" applyProtection="1">
      <alignment horizontal="right" vertical="center" wrapText="1"/>
      <protection locked="0"/>
    </xf>
    <xf numFmtId="0" fontId="15" fillId="0" borderId="30" xfId="0" applyFont="1" applyBorder="1" applyAlignment="1" applyProtection="1">
      <alignment horizontal="right" vertical="center" wrapText="1"/>
      <protection locked="0"/>
    </xf>
    <xf numFmtId="165" fontId="2" fillId="0" borderId="6" xfId="0" applyNumberFormat="1" applyFont="1" applyBorder="1" applyAlignment="1" applyProtection="1">
      <alignment horizontal="left" vertical="center" wrapText="1"/>
      <protection locked="0"/>
    </xf>
    <xf numFmtId="0" fontId="1" fillId="3" borderId="6"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3" borderId="14" xfId="0" applyFont="1" applyFill="1" applyBorder="1" applyAlignment="1">
      <alignment horizontal="center" vertical="center"/>
    </xf>
    <xf numFmtId="0" fontId="1" fillId="3" borderId="31" xfId="0" applyFont="1" applyFill="1" applyBorder="1" applyAlignment="1">
      <alignment horizontal="center" vertical="center"/>
    </xf>
    <xf numFmtId="0" fontId="1" fillId="3" borderId="6" xfId="0" applyFont="1" applyFill="1" applyBorder="1" applyAlignment="1">
      <alignment horizontal="center" vertical="justify"/>
    </xf>
    <xf numFmtId="0" fontId="1" fillId="3" borderId="6" xfId="0" quotePrefix="1" applyFont="1" applyFill="1" applyBorder="1" applyAlignment="1">
      <alignment horizontal="center" vertical="center" wrapText="1"/>
    </xf>
    <xf numFmtId="0" fontId="21" fillId="2" borderId="6" xfId="0" applyFont="1" applyFill="1" applyBorder="1" applyAlignment="1">
      <alignment horizontal="center" vertical="center" wrapText="1"/>
    </xf>
    <xf numFmtId="0" fontId="1" fillId="3" borderId="51" xfId="0" applyFont="1" applyFill="1" applyBorder="1" applyAlignment="1">
      <alignment horizontal="center" vertical="center" wrapText="1"/>
    </xf>
    <xf numFmtId="0" fontId="1" fillId="3" borderId="52" xfId="0" applyFont="1" applyFill="1" applyBorder="1" applyAlignment="1">
      <alignment horizontal="center" vertical="center" wrapText="1"/>
    </xf>
    <xf numFmtId="165" fontId="1" fillId="0" borderId="51"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2" xfId="0" applyNumberFormat="1" applyFont="1" applyBorder="1" applyAlignment="1">
      <alignment horizontal="center" vertical="center"/>
    </xf>
    <xf numFmtId="0" fontId="1" fillId="0" borderId="51" xfId="0" applyFont="1" applyBorder="1" applyAlignment="1">
      <alignment horizontal="center" vertical="center"/>
    </xf>
    <xf numFmtId="0" fontId="1" fillId="0" borderId="54" xfId="0" applyFont="1" applyBorder="1" applyAlignment="1">
      <alignment horizontal="center" vertical="center"/>
    </xf>
    <xf numFmtId="14" fontId="12" fillId="0" borderId="0" xfId="0" applyNumberFormat="1" applyFont="1" applyAlignment="1">
      <alignment horizontal="center" vertical="center"/>
    </xf>
    <xf numFmtId="0" fontId="18" fillId="0" borderId="0" xfId="0" applyFont="1" applyAlignment="1">
      <alignment horizontal="left"/>
    </xf>
    <xf numFmtId="0" fontId="1" fillId="3" borderId="14" xfId="0" applyFont="1" applyFill="1" applyBorder="1" applyAlignment="1">
      <alignment horizontal="center" vertical="center" wrapText="1"/>
    </xf>
    <xf numFmtId="0" fontId="1" fillId="3" borderId="31" xfId="0" applyFont="1" applyFill="1" applyBorder="1" applyAlignment="1">
      <alignment horizontal="center" vertical="center" wrapText="1"/>
    </xf>
    <xf numFmtId="0" fontId="13" fillId="2" borderId="10" xfId="0" applyFont="1" applyFill="1" applyBorder="1" applyAlignment="1">
      <alignment horizontal="center" vertical="center" wrapText="1"/>
    </xf>
    <xf numFmtId="0" fontId="13" fillId="2" borderId="43" xfId="0" applyFont="1" applyFill="1" applyBorder="1" applyAlignment="1">
      <alignment horizontal="center" vertical="center" wrapText="1"/>
    </xf>
    <xf numFmtId="0" fontId="13" fillId="2" borderId="8" xfId="0" applyFont="1" applyFill="1" applyBorder="1" applyAlignment="1">
      <alignment horizontal="center" vertical="center" wrapText="1"/>
    </xf>
    <xf numFmtId="0" fontId="5" fillId="3" borderId="14" xfId="0" applyFont="1" applyFill="1" applyBorder="1" applyAlignment="1">
      <alignment horizontal="center" vertical="center" wrapText="1"/>
    </xf>
    <xf numFmtId="0" fontId="5" fillId="3" borderId="31" xfId="0" applyFont="1" applyFill="1" applyBorder="1" applyAlignment="1">
      <alignment horizontal="center" vertical="center" wrapText="1"/>
    </xf>
    <xf numFmtId="0" fontId="1" fillId="2" borderId="10" xfId="0" applyFont="1" applyFill="1" applyBorder="1" applyAlignment="1">
      <alignment horizontal="center" vertical="justify"/>
    </xf>
    <xf numFmtId="0" fontId="1" fillId="2" borderId="43" xfId="0" applyFont="1" applyFill="1" applyBorder="1" applyAlignment="1">
      <alignment horizontal="center" vertical="justify"/>
    </xf>
    <xf numFmtId="0" fontId="1" fillId="2" borderId="8" xfId="0" applyFont="1" applyFill="1" applyBorder="1" applyAlignment="1">
      <alignment horizontal="center" vertical="justify"/>
    </xf>
    <xf numFmtId="0" fontId="21" fillId="0" borderId="51" xfId="0" applyFont="1" applyBorder="1" applyAlignment="1">
      <alignment horizontal="center" vertical="center"/>
    </xf>
    <xf numFmtId="0" fontId="21" fillId="0" borderId="54" xfId="0" applyFont="1" applyBorder="1" applyAlignment="1">
      <alignment horizontal="center" vertical="center"/>
    </xf>
    <xf numFmtId="0" fontId="0" fillId="0" borderId="4" xfId="0" applyBorder="1" applyAlignment="1">
      <alignment horizontal="center"/>
    </xf>
    <xf numFmtId="0" fontId="21" fillId="0" borderId="16" xfId="0" applyFont="1" applyBorder="1" applyAlignment="1">
      <alignment horizontal="center"/>
    </xf>
    <xf numFmtId="0" fontId="22" fillId="0" borderId="6" xfId="1" applyFont="1" applyFill="1" applyBorder="1" applyAlignment="1">
      <alignment horizontal="center"/>
    </xf>
    <xf numFmtId="0" fontId="1" fillId="0" borderId="0" xfId="0" applyFont="1" applyAlignment="1">
      <alignment horizontal="right"/>
    </xf>
    <xf numFmtId="0" fontId="77" fillId="0" borderId="0" xfId="0" applyFont="1" applyAlignment="1">
      <alignment horizontal="right"/>
    </xf>
    <xf numFmtId="0" fontId="22" fillId="0" borderId="0" xfId="0" applyFont="1" applyAlignment="1">
      <alignment horizontal="center" vertical="center" wrapText="1"/>
    </xf>
    <xf numFmtId="0" fontId="85" fillId="0" borderId="0" xfId="0" applyFont="1" applyAlignment="1">
      <alignment horizontal="left" vertical="center" wrapText="1"/>
    </xf>
    <xf numFmtId="0" fontId="86" fillId="0" borderId="0" xfId="0" applyFont="1" applyAlignment="1">
      <alignment horizontal="left" vertical="top" wrapText="1"/>
    </xf>
    <xf numFmtId="0" fontId="13" fillId="0" borderId="6" xfId="1" applyFont="1" applyFill="1" applyBorder="1" applyAlignment="1">
      <alignment horizontal="center" vertical="center" wrapText="1"/>
    </xf>
    <xf numFmtId="0" fontId="22" fillId="0" borderId="14" xfId="1" applyFont="1" applyFill="1" applyBorder="1" applyAlignment="1">
      <alignment horizontal="center"/>
    </xf>
    <xf numFmtId="0" fontId="22" fillId="0" borderId="31" xfId="1" applyFont="1" applyFill="1" applyBorder="1" applyAlignment="1">
      <alignment horizontal="center"/>
    </xf>
    <xf numFmtId="0" fontId="13" fillId="0" borderId="33" xfId="1" applyFont="1" applyFill="1" applyBorder="1" applyAlignment="1">
      <alignment horizontal="center" vertical="center"/>
    </xf>
    <xf numFmtId="0" fontId="13" fillId="0" borderId="16" xfId="1" applyFont="1" applyFill="1" applyBorder="1" applyAlignment="1">
      <alignment horizontal="center" vertical="center"/>
    </xf>
    <xf numFmtId="0" fontId="13" fillId="0" borderId="32" xfId="1" applyFont="1" applyFill="1" applyBorder="1" applyAlignment="1">
      <alignment horizontal="center" vertical="center"/>
    </xf>
    <xf numFmtId="0" fontId="13" fillId="0" borderId="1" xfId="1" applyFont="1" applyFill="1" applyBorder="1" applyAlignment="1">
      <alignment horizontal="center" vertical="center"/>
    </xf>
    <xf numFmtId="0" fontId="13" fillId="0" borderId="0" xfId="1" applyFont="1" applyFill="1" applyBorder="1" applyAlignment="1">
      <alignment horizontal="center" vertical="center"/>
    </xf>
    <xf numFmtId="0" fontId="13" fillId="0" borderId="2" xfId="1" applyFont="1" applyFill="1" applyBorder="1" applyAlignment="1">
      <alignment horizontal="center" vertical="center"/>
    </xf>
    <xf numFmtId="0" fontId="13" fillId="0" borderId="3" xfId="1" applyFont="1" applyFill="1" applyBorder="1" applyAlignment="1">
      <alignment horizontal="center" vertical="center"/>
    </xf>
    <xf numFmtId="0" fontId="13" fillId="0" borderId="4" xfId="1" applyFont="1" applyFill="1" applyBorder="1" applyAlignment="1">
      <alignment horizontal="center" vertical="center"/>
    </xf>
    <xf numFmtId="0" fontId="13" fillId="0" borderId="5" xfId="1" applyFont="1" applyFill="1" applyBorder="1" applyAlignment="1">
      <alignment horizontal="center" vertical="center"/>
    </xf>
    <xf numFmtId="0" fontId="13" fillId="0" borderId="6"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6" xfId="0" applyFont="1" applyFill="1" applyBorder="1" applyAlignment="1">
      <alignment horizontal="center" vertical="center" wrapText="1"/>
    </xf>
    <xf numFmtId="0" fontId="77" fillId="0" borderId="0" xfId="1" quotePrefix="1" applyFont="1" applyFill="1" applyBorder="1" applyAlignment="1">
      <alignment horizontal="center" vertical="center" wrapText="1"/>
    </xf>
    <xf numFmtId="0" fontId="2" fillId="0" borderId="0" xfId="0" applyFont="1" applyAlignment="1">
      <alignment horizontal="right"/>
    </xf>
    <xf numFmtId="0" fontId="83" fillId="0" borderId="0" xfId="0" applyFont="1" applyAlignment="1">
      <alignment vertical="center" wrapText="1"/>
    </xf>
    <xf numFmtId="0" fontId="21" fillId="0" borderId="0" xfId="0" applyFont="1" applyAlignment="1">
      <alignment horizontal="center" vertical="center" wrapText="1"/>
    </xf>
    <xf numFmtId="0" fontId="2" fillId="0" borderId="0" xfId="0" applyFont="1" applyAlignment="1">
      <alignment horizontal="left"/>
    </xf>
    <xf numFmtId="0" fontId="2" fillId="7" borderId="0" xfId="1" quotePrefix="1" applyFont="1" applyFill="1" applyBorder="1" applyAlignment="1">
      <alignment horizontal="center" vertical="center" wrapText="1"/>
    </xf>
    <xf numFmtId="0" fontId="80" fillId="0" borderId="0" xfId="0" applyFont="1" applyAlignment="1">
      <alignment horizontal="left" vertical="top" wrapText="1"/>
    </xf>
    <xf numFmtId="0" fontId="2" fillId="0" borderId="0" xfId="0" applyFont="1" applyAlignment="1">
      <alignment horizontal="center" vertical="center" wrapText="1"/>
    </xf>
    <xf numFmtId="0" fontId="79" fillId="0" borderId="0" xfId="0" applyFont="1" applyAlignment="1">
      <alignment vertical="center" wrapText="1"/>
    </xf>
    <xf numFmtId="0" fontId="79" fillId="0" borderId="0" xfId="0" applyFont="1" applyAlignment="1">
      <alignment horizontal="left" vertical="center" wrapText="1"/>
    </xf>
    <xf numFmtId="0" fontId="2" fillId="0" borderId="4" xfId="1" applyFont="1" applyFill="1" applyBorder="1" applyAlignment="1">
      <alignment horizontal="center" vertical="distributed" wrapText="1"/>
    </xf>
    <xf numFmtId="0" fontId="2" fillId="0" borderId="0" xfId="0" applyFont="1" applyAlignment="1">
      <alignment horizontal="center"/>
    </xf>
    <xf numFmtId="0" fontId="77" fillId="0" borderId="0" xfId="1" applyFont="1" applyFill="1" applyBorder="1" applyAlignment="1">
      <alignment horizontal="center" vertical="center"/>
    </xf>
    <xf numFmtId="0" fontId="2" fillId="0" borderId="6" xfId="7" applyFont="1" applyFill="1" applyBorder="1" applyAlignment="1">
      <alignment horizontal="center" vertical="center"/>
    </xf>
    <xf numFmtId="0" fontId="21" fillId="0" borderId="6" xfId="7" applyFont="1" applyFill="1" applyBorder="1" applyAlignment="1">
      <alignment horizontal="center" vertical="center"/>
    </xf>
    <xf numFmtId="0" fontId="21" fillId="0" borderId="6" xfId="7" applyFont="1" applyFill="1" applyBorder="1" applyAlignment="1">
      <alignment horizontal="center" vertical="center" wrapText="1"/>
    </xf>
    <xf numFmtId="0" fontId="15" fillId="0" borderId="14" xfId="5" applyFont="1" applyFill="1" applyBorder="1" applyAlignment="1">
      <alignment horizontal="center" vertical="center" wrapText="1"/>
    </xf>
    <xf numFmtId="0" fontId="15" fillId="0" borderId="31" xfId="5" applyFont="1" applyFill="1" applyBorder="1" applyAlignment="1">
      <alignment horizontal="center" vertical="center" wrapText="1"/>
    </xf>
    <xf numFmtId="0" fontId="71" fillId="0" borderId="0" xfId="5" applyFont="1" applyAlignment="1">
      <alignment horizontal="left" vertical="center"/>
    </xf>
    <xf numFmtId="0" fontId="15" fillId="0" borderId="6" xfId="5" applyFont="1" applyFill="1" applyBorder="1" applyAlignment="1">
      <alignment horizontal="center" vertical="center" wrapText="1"/>
    </xf>
    <xf numFmtId="0" fontId="15" fillId="0" borderId="14" xfId="7" applyNumberFormat="1" applyFont="1" applyFill="1" applyBorder="1" applyAlignment="1">
      <alignment horizontal="center" vertical="center" wrapText="1"/>
    </xf>
    <xf numFmtId="0" fontId="15" fillId="0" borderId="31" xfId="7" applyNumberFormat="1" applyFont="1" applyFill="1" applyBorder="1" applyAlignment="1">
      <alignment horizontal="center" vertical="center" wrapText="1"/>
    </xf>
    <xf numFmtId="0" fontId="2" fillId="0" borderId="0" xfId="7" applyFont="1" applyBorder="1" applyAlignment="1">
      <alignment horizontal="center" vertical="center"/>
    </xf>
    <xf numFmtId="0" fontId="15" fillId="0" borderId="0" xfId="7" applyFont="1" applyBorder="1" applyAlignment="1">
      <alignment horizontal="center" vertical="center"/>
    </xf>
    <xf numFmtId="0" fontId="15" fillId="0" borderId="0" xfId="5" applyFont="1" applyBorder="1" applyAlignment="1">
      <alignment horizontal="center" vertical="center" wrapText="1"/>
    </xf>
    <xf numFmtId="0" fontId="65" fillId="0" borderId="0" xfId="7" applyFont="1" applyBorder="1" applyAlignment="1">
      <alignment horizontal="center" vertical="center"/>
    </xf>
    <xf numFmtId="0" fontId="2" fillId="5" borderId="0" xfId="7" applyFont="1" applyFill="1" applyBorder="1" applyAlignment="1">
      <alignment horizontal="center" vertical="center"/>
    </xf>
    <xf numFmtId="0" fontId="15" fillId="5" borderId="0" xfId="7" applyFont="1" applyFill="1" applyBorder="1" applyAlignment="1">
      <alignment horizontal="center" vertical="center"/>
    </xf>
    <xf numFmtId="0" fontId="65" fillId="5" borderId="0" xfId="7" applyFont="1" applyFill="1" applyBorder="1" applyAlignment="1">
      <alignment horizontal="center" vertical="center"/>
    </xf>
    <xf numFmtId="0" fontId="21" fillId="3" borderId="0" xfId="7" applyFont="1" applyFill="1" applyBorder="1" applyAlignment="1">
      <alignment horizontal="center" vertical="center" wrapText="1"/>
    </xf>
    <xf numFmtId="0" fontId="21" fillId="3" borderId="0" xfId="7" applyFont="1" applyFill="1" applyBorder="1" applyAlignment="1">
      <alignment horizontal="center" vertical="center"/>
    </xf>
    <xf numFmtId="0" fontId="15" fillId="0" borderId="0" xfId="7" applyNumberFormat="1" applyFont="1" applyBorder="1" applyAlignment="1">
      <alignment horizontal="center" vertical="center" wrapText="1"/>
    </xf>
    <xf numFmtId="0" fontId="73" fillId="0" borderId="6" xfId="7" applyFont="1" applyFill="1" applyBorder="1" applyAlignment="1">
      <alignment horizontal="center" vertical="center" wrapText="1"/>
    </xf>
    <xf numFmtId="0" fontId="73" fillId="0" borderId="6" xfId="7" applyFont="1" applyFill="1" applyBorder="1" applyAlignment="1">
      <alignment horizontal="center" vertical="center"/>
    </xf>
    <xf numFmtId="0" fontId="15" fillId="0" borderId="6" xfId="7" applyFont="1" applyFill="1" applyBorder="1" applyAlignment="1">
      <alignment horizontal="center" vertical="center"/>
    </xf>
    <xf numFmtId="0" fontId="1" fillId="0" borderId="0" xfId="5" applyFont="1" applyBorder="1" applyAlignment="1">
      <alignment horizontal="center" vertical="center" wrapText="1"/>
    </xf>
    <xf numFmtId="0" fontId="15" fillId="0" borderId="0" xfId="7" applyFont="1" applyBorder="1" applyAlignment="1">
      <alignment horizontal="center" textRotation="90" wrapText="1"/>
    </xf>
    <xf numFmtId="0" fontId="2" fillId="0" borderId="0" xfId="7" applyFont="1" applyBorder="1" applyAlignment="1">
      <alignment horizontal="center" vertical="center" wrapText="1"/>
    </xf>
    <xf numFmtId="0" fontId="15" fillId="0" borderId="0" xfId="5" applyFont="1" applyBorder="1" applyAlignment="1">
      <alignment horizontal="center" textRotation="90" wrapText="1"/>
    </xf>
    <xf numFmtId="0" fontId="15" fillId="0" borderId="0" xfId="5" applyFont="1" applyBorder="1" applyAlignment="1">
      <alignment horizontal="center" vertical="center" textRotation="90" wrapText="1"/>
    </xf>
    <xf numFmtId="0" fontId="2" fillId="0" borderId="0" xfId="0" applyFont="1" applyBorder="1" applyAlignment="1">
      <alignment horizontal="left" vertical="center"/>
    </xf>
    <xf numFmtId="0" fontId="1" fillId="0" borderId="0" xfId="0" applyFont="1" applyBorder="1" applyAlignment="1">
      <alignment horizontal="center" vertical="center"/>
    </xf>
    <xf numFmtId="0" fontId="15" fillId="0" borderId="14" xfId="5" applyFont="1" applyBorder="1" applyAlignment="1">
      <alignment horizontal="left" vertical="center" wrapText="1"/>
    </xf>
    <xf numFmtId="0" fontId="15" fillId="0" borderId="30" xfId="5" applyFont="1" applyBorder="1" applyAlignment="1">
      <alignment horizontal="left" vertical="center" wrapText="1"/>
    </xf>
    <xf numFmtId="0" fontId="15" fillId="0" borderId="31" xfId="5" applyFont="1" applyBorder="1" applyAlignment="1">
      <alignment horizontal="left" vertical="center" wrapText="1"/>
    </xf>
    <xf numFmtId="0" fontId="15" fillId="0" borderId="14" xfId="5" applyFont="1" applyBorder="1" applyAlignment="1">
      <alignment horizontal="right" vertical="center"/>
    </xf>
    <xf numFmtId="0" fontId="15" fillId="0" borderId="30" xfId="5" applyFont="1" applyBorder="1" applyAlignment="1">
      <alignment horizontal="right" vertical="center"/>
    </xf>
    <xf numFmtId="0" fontId="15" fillId="0" borderId="31" xfId="5" applyFont="1" applyBorder="1" applyAlignment="1">
      <alignment horizontal="right" vertical="center"/>
    </xf>
    <xf numFmtId="0" fontId="15" fillId="0" borderId="6" xfId="5" applyFont="1" applyBorder="1" applyAlignment="1">
      <alignment horizontal="center"/>
    </xf>
    <xf numFmtId="0" fontId="2" fillId="0" borderId="0" xfId="3" applyFont="1" applyBorder="1" applyAlignment="1">
      <alignment horizontal="left" vertical="center" wrapText="1"/>
    </xf>
    <xf numFmtId="0" fontId="15" fillId="0" borderId="4" xfId="5" applyFont="1" applyBorder="1" applyAlignment="1">
      <alignment horizontal="left"/>
    </xf>
    <xf numFmtId="0" fontId="15" fillId="0" borderId="0" xfId="5" applyFont="1" applyBorder="1" applyAlignment="1">
      <alignment horizontal="left" vertical="center"/>
    </xf>
    <xf numFmtId="0" fontId="15" fillId="0" borderId="14" xfId="5" applyFont="1" applyBorder="1" applyAlignment="1">
      <alignment horizontal="left" vertical="center"/>
    </xf>
    <xf numFmtId="0" fontId="15" fillId="0" borderId="30" xfId="5" applyFont="1" applyBorder="1" applyAlignment="1">
      <alignment horizontal="left" vertical="center"/>
    </xf>
    <xf numFmtId="0" fontId="15" fillId="0" borderId="31" xfId="5" applyFont="1" applyBorder="1" applyAlignment="1">
      <alignment horizontal="left" vertical="center"/>
    </xf>
    <xf numFmtId="0" fontId="60" fillId="0" borderId="16" xfId="5" applyFont="1" applyBorder="1" applyAlignment="1">
      <alignment horizontal="center" vertical="center"/>
    </xf>
    <xf numFmtId="0" fontId="15" fillId="0" borderId="6" xfId="5" applyFont="1" applyBorder="1" applyAlignment="1">
      <alignment horizontal="right"/>
    </xf>
    <xf numFmtId="49" fontId="15" fillId="0" borderId="14" xfId="5" applyNumberFormat="1" applyFont="1" applyBorder="1" applyAlignment="1">
      <alignment horizontal="center" vertical="center"/>
    </xf>
    <xf numFmtId="49" fontId="15" fillId="0" borderId="30" xfId="5" applyNumberFormat="1" applyFont="1" applyBorder="1" applyAlignment="1">
      <alignment horizontal="center" vertical="center"/>
    </xf>
    <xf numFmtId="49" fontId="15" fillId="0" borderId="31" xfId="5" applyNumberFormat="1" applyFont="1" applyBorder="1" applyAlignment="1">
      <alignment horizontal="center" vertical="center"/>
    </xf>
    <xf numFmtId="0" fontId="15" fillId="0" borderId="33" xfId="5" applyFont="1" applyBorder="1" applyAlignment="1">
      <alignment horizontal="right" vertical="center"/>
    </xf>
    <xf numFmtId="0" fontId="15" fillId="0" borderId="16" xfId="5" applyFont="1" applyBorder="1" applyAlignment="1">
      <alignment horizontal="right" vertical="center"/>
    </xf>
    <xf numFmtId="0" fontId="15" fillId="0" borderId="32" xfId="5" applyFont="1" applyBorder="1" applyAlignment="1">
      <alignment horizontal="right" vertical="center"/>
    </xf>
    <xf numFmtId="0" fontId="15" fillId="0" borderId="3" xfId="5" applyFont="1" applyBorder="1" applyAlignment="1">
      <alignment horizontal="right" vertical="center"/>
    </xf>
    <xf numFmtId="0" fontId="15" fillId="0" borderId="4" xfId="5" applyFont="1" applyBorder="1" applyAlignment="1">
      <alignment horizontal="right" vertical="center"/>
    </xf>
    <xf numFmtId="0" fontId="15" fillId="0" borderId="5" xfId="5" applyFont="1" applyBorder="1" applyAlignment="1">
      <alignment horizontal="right" vertical="center"/>
    </xf>
    <xf numFmtId="0" fontId="15" fillId="0" borderId="33" xfId="5" applyFont="1" applyBorder="1" applyAlignment="1">
      <alignment horizontal="left" vertical="center"/>
    </xf>
    <xf numFmtId="0" fontId="15" fillId="0" borderId="16" xfId="5" applyFont="1" applyBorder="1" applyAlignment="1">
      <alignment horizontal="left" vertical="center"/>
    </xf>
    <xf numFmtId="0" fontId="15" fillId="0" borderId="32" xfId="5" applyFont="1" applyBorder="1" applyAlignment="1">
      <alignment horizontal="left" vertical="center"/>
    </xf>
    <xf numFmtId="0" fontId="15" fillId="0" borderId="3" xfId="5" applyFont="1" applyBorder="1" applyAlignment="1">
      <alignment horizontal="left" vertical="center"/>
    </xf>
    <xf numFmtId="0" fontId="15" fillId="0" borderId="4" xfId="5" applyFont="1" applyBorder="1" applyAlignment="1">
      <alignment horizontal="left" vertical="center"/>
    </xf>
    <xf numFmtId="0" fontId="15" fillId="0" borderId="5" xfId="5" applyFont="1" applyBorder="1" applyAlignment="1">
      <alignment horizontal="left" vertical="center"/>
    </xf>
    <xf numFmtId="0" fontId="15" fillId="0" borderId="6" xfId="5" applyFont="1" applyBorder="1" applyAlignment="1">
      <alignment horizontal="left" vertical="center" wrapText="1"/>
    </xf>
    <xf numFmtId="0" fontId="15" fillId="0" borderId="6" xfId="7" applyNumberFormat="1" applyFont="1" applyFill="1" applyBorder="1" applyAlignment="1">
      <alignment horizontal="center" vertical="center" wrapText="1"/>
    </xf>
    <xf numFmtId="0" fontId="15" fillId="0" borderId="14" xfId="5" applyFont="1" applyBorder="1" applyAlignment="1">
      <alignment horizontal="center" vertical="center" wrapText="1"/>
    </xf>
    <xf numFmtId="0" fontId="15" fillId="0" borderId="31" xfId="5" applyFont="1" applyBorder="1" applyAlignment="1">
      <alignment horizontal="center" vertical="center" wrapText="1"/>
    </xf>
    <xf numFmtId="0" fontId="15" fillId="0" borderId="6" xfId="5" applyFont="1" applyBorder="1" applyAlignment="1">
      <alignment horizontal="center" vertical="center" wrapText="1"/>
    </xf>
    <xf numFmtId="0" fontId="15" fillId="0" borderId="6" xfId="7" applyFont="1" applyBorder="1" applyAlignment="1">
      <alignment horizontal="center" vertical="center" wrapText="1"/>
    </xf>
    <xf numFmtId="0" fontId="2" fillId="0" borderId="6" xfId="7" applyFont="1" applyBorder="1" applyAlignment="1">
      <alignment horizontal="center" vertical="center" wrapText="1"/>
    </xf>
    <xf numFmtId="0" fontId="2" fillId="0" borderId="14" xfId="7" applyFont="1" applyBorder="1" applyAlignment="1">
      <alignment horizontal="center" vertical="center" wrapText="1"/>
    </xf>
    <xf numFmtId="0" fontId="2" fillId="0" borderId="33" xfId="7" applyFont="1" applyBorder="1" applyAlignment="1">
      <alignment horizontal="center" vertical="center" wrapText="1"/>
    </xf>
    <xf numFmtId="0" fontId="2" fillId="0" borderId="16" xfId="7" applyFont="1" applyBorder="1" applyAlignment="1">
      <alignment horizontal="center" vertical="center" wrapText="1"/>
    </xf>
    <xf numFmtId="0" fontId="2" fillId="0" borderId="1" xfId="7" applyFont="1" applyBorder="1" applyAlignment="1">
      <alignment horizontal="center" vertical="center" wrapText="1"/>
    </xf>
    <xf numFmtId="0" fontId="21" fillId="3" borderId="6" xfId="7" applyFont="1" applyFill="1" applyBorder="1" applyAlignment="1">
      <alignment horizontal="center" vertical="center" wrapText="1"/>
    </xf>
    <xf numFmtId="0" fontId="2" fillId="7" borderId="14" xfId="7" applyFont="1" applyFill="1" applyBorder="1" applyAlignment="1">
      <alignment horizontal="center" vertical="center"/>
    </xf>
    <xf numFmtId="0" fontId="2" fillId="7" borderId="31" xfId="7" applyFont="1" applyFill="1" applyBorder="1" applyAlignment="1">
      <alignment horizontal="center" vertical="center"/>
    </xf>
    <xf numFmtId="0" fontId="21" fillId="3" borderId="14" xfId="7" applyFont="1" applyFill="1" applyBorder="1" applyAlignment="1">
      <alignment horizontal="center" vertical="center"/>
    </xf>
    <xf numFmtId="0" fontId="21" fillId="3" borderId="31" xfId="7" applyFont="1" applyFill="1" applyBorder="1" applyAlignment="1">
      <alignment horizontal="center" vertical="center"/>
    </xf>
    <xf numFmtId="0" fontId="21" fillId="3" borderId="6" xfId="7" applyFont="1" applyFill="1" applyBorder="1" applyAlignment="1">
      <alignment horizontal="center" vertical="center"/>
    </xf>
    <xf numFmtId="0" fontId="21" fillId="3" borderId="14" xfId="7" applyFont="1" applyFill="1" applyBorder="1" applyAlignment="1">
      <alignment horizontal="center" vertical="center" wrapText="1"/>
    </xf>
    <xf numFmtId="0" fontId="21" fillId="3" borderId="31" xfId="7" applyFont="1" applyFill="1" applyBorder="1" applyAlignment="1">
      <alignment horizontal="center" vertical="center" wrapText="1"/>
    </xf>
    <xf numFmtId="0" fontId="2" fillId="0" borderId="43" xfId="7" applyFont="1" applyBorder="1" applyAlignment="1">
      <alignment horizontal="center" vertical="center" wrapText="1"/>
    </xf>
    <xf numFmtId="0" fontId="2" fillId="0" borderId="8" xfId="7" applyFont="1" applyBorder="1" applyAlignment="1">
      <alignment horizontal="center" vertical="center" wrapText="1"/>
    </xf>
    <xf numFmtId="0" fontId="2" fillId="0" borderId="32" xfId="7" applyFont="1" applyBorder="1" applyAlignment="1">
      <alignment horizontal="center" vertical="center" wrapText="1"/>
    </xf>
    <xf numFmtId="0" fontId="2" fillId="0" borderId="3" xfId="7" applyFont="1" applyBorder="1" applyAlignment="1">
      <alignment horizontal="center" vertical="center" wrapText="1"/>
    </xf>
    <xf numFmtId="0" fontId="2" fillId="0" borderId="5" xfId="7" applyFont="1" applyBorder="1" applyAlignment="1">
      <alignment horizontal="center" vertical="center" wrapText="1"/>
    </xf>
    <xf numFmtId="0" fontId="2" fillId="7" borderId="6" xfId="7" applyFont="1" applyFill="1" applyBorder="1" applyAlignment="1">
      <alignment horizontal="center" vertical="center"/>
    </xf>
    <xf numFmtId="0" fontId="19" fillId="0" borderId="0" xfId="0" applyFont="1" applyBorder="1" applyAlignment="1">
      <alignment horizontal="center" vertical="center" wrapText="1"/>
    </xf>
    <xf numFmtId="0" fontId="19" fillId="5" borderId="0" xfId="0" applyFont="1" applyFill="1" applyBorder="1" applyAlignment="1">
      <alignment horizontal="center" vertical="center" wrapText="1"/>
    </xf>
    <xf numFmtId="0" fontId="18" fillId="0" borderId="0" xfId="5" applyFont="1" applyBorder="1" applyAlignment="1">
      <alignment horizontal="center" wrapText="1"/>
    </xf>
    <xf numFmtId="0" fontId="15" fillId="5" borderId="0" xfId="7" applyNumberFormat="1" applyFont="1" applyFill="1" applyBorder="1" applyAlignment="1">
      <alignment horizontal="center" vertical="center" wrapText="1"/>
    </xf>
    <xf numFmtId="0" fontId="15" fillId="5" borderId="0" xfId="5" applyFont="1" applyFill="1" applyBorder="1" applyAlignment="1">
      <alignment horizontal="center" vertical="center" wrapText="1"/>
    </xf>
    <xf numFmtId="0" fontId="15" fillId="0" borderId="6" xfId="7" applyNumberFormat="1" applyFont="1" applyBorder="1" applyAlignment="1">
      <alignment horizontal="center" vertical="center" wrapText="1"/>
    </xf>
    <xf numFmtId="0" fontId="15" fillId="0" borderId="14" xfId="7" applyNumberFormat="1" applyFont="1" applyBorder="1" applyAlignment="1">
      <alignment horizontal="center" vertical="center" wrapText="1"/>
    </xf>
    <xf numFmtId="0" fontId="15" fillId="0" borderId="31" xfId="7" applyNumberFormat="1" applyFont="1" applyBorder="1" applyAlignment="1">
      <alignment horizontal="center" vertical="center" wrapText="1"/>
    </xf>
    <xf numFmtId="0" fontId="29" fillId="0" borderId="0" xfId="7" applyFont="1" applyAlignment="1">
      <alignment horizontal="center" vertical="center" wrapText="1"/>
    </xf>
    <xf numFmtId="0" fontId="29" fillId="0" borderId="0" xfId="7" applyFont="1" applyAlignment="1">
      <alignment horizontal="center" vertical="top" wrapText="1"/>
    </xf>
    <xf numFmtId="14" fontId="14" fillId="0" borderId="6" xfId="5" applyNumberFormat="1" applyFont="1" applyBorder="1" applyAlignment="1">
      <alignment horizontal="right" vertical="center" wrapText="1"/>
    </xf>
    <xf numFmtId="14" fontId="68" fillId="0" borderId="14" xfId="5" applyNumberFormat="1" applyFont="1" applyBorder="1" applyAlignment="1">
      <alignment horizontal="left" vertical="center" wrapText="1"/>
    </xf>
    <xf numFmtId="14" fontId="68" fillId="0" borderId="30" xfId="5" applyNumberFormat="1" applyFont="1" applyBorder="1" applyAlignment="1">
      <alignment horizontal="left" vertical="center" wrapText="1"/>
    </xf>
    <xf numFmtId="14" fontId="68" fillId="0" borderId="31" xfId="5" applyNumberFormat="1" applyFont="1" applyBorder="1" applyAlignment="1">
      <alignment horizontal="left" vertical="center" wrapText="1"/>
    </xf>
    <xf numFmtId="0" fontId="24" fillId="0" borderId="0" xfId="2" applyFont="1" applyBorder="1" applyAlignment="1">
      <alignment horizontal="left" vertical="center"/>
    </xf>
    <xf numFmtId="0" fontId="14" fillId="0" borderId="14" xfId="5" applyFont="1" applyBorder="1" applyAlignment="1">
      <alignment horizontal="left" vertical="center" wrapText="1"/>
    </xf>
    <xf numFmtId="0" fontId="14" fillId="0" borderId="30" xfId="5" applyFont="1" applyBorder="1" applyAlignment="1">
      <alignment horizontal="left" vertical="center" wrapText="1"/>
    </xf>
    <xf numFmtId="0" fontId="14" fillId="0" borderId="31" xfId="5" applyFont="1" applyBorder="1" applyAlignment="1">
      <alignment horizontal="left" vertical="center" wrapText="1"/>
    </xf>
    <xf numFmtId="0" fontId="14" fillId="0" borderId="14" xfId="5" applyFont="1" applyBorder="1" applyAlignment="1">
      <alignment horizontal="right" vertical="center" wrapText="1"/>
    </xf>
    <xf numFmtId="0" fontId="14" fillId="0" borderId="30" xfId="5" applyFont="1" applyBorder="1" applyAlignment="1">
      <alignment horizontal="right" vertical="center" wrapText="1"/>
    </xf>
    <xf numFmtId="0" fontId="14" fillId="0" borderId="31" xfId="5" applyFont="1" applyBorder="1" applyAlignment="1">
      <alignment horizontal="right" vertical="center" wrapText="1"/>
    </xf>
    <xf numFmtId="14" fontId="14" fillId="0" borderId="14" xfId="5" applyNumberFormat="1" applyFont="1" applyBorder="1" applyAlignment="1">
      <alignment horizontal="left" vertical="center" wrapText="1"/>
    </xf>
    <xf numFmtId="14" fontId="14" fillId="0" borderId="30" xfId="5" applyNumberFormat="1" applyFont="1" applyBorder="1" applyAlignment="1">
      <alignment horizontal="left" vertical="center" wrapText="1"/>
    </xf>
    <xf numFmtId="14" fontId="14" fillId="0" borderId="31" xfId="5" applyNumberFormat="1" applyFont="1" applyBorder="1" applyAlignment="1">
      <alignment horizontal="left" vertical="center" wrapText="1"/>
    </xf>
    <xf numFmtId="0" fontId="68" fillId="0" borderId="6" xfId="5" applyFont="1" applyBorder="1" applyAlignment="1">
      <alignment horizontal="left" vertical="center" wrapText="1"/>
    </xf>
    <xf numFmtId="0" fontId="14" fillId="0" borderId="6" xfId="5" applyFont="1" applyBorder="1" applyAlignment="1">
      <alignment horizontal="left" vertical="center" wrapText="1"/>
    </xf>
    <xf numFmtId="0" fontId="15" fillId="5" borderId="0" xfId="5" applyFont="1" applyFill="1" applyBorder="1" applyAlignment="1">
      <alignment horizontal="left" vertical="center" wrapText="1"/>
    </xf>
    <xf numFmtId="0" fontId="24" fillId="0" borderId="0" xfId="2" applyFont="1" applyBorder="1" applyAlignment="1">
      <alignment horizontal="left" vertical="center" wrapText="1"/>
    </xf>
    <xf numFmtId="0" fontId="14" fillId="0" borderId="14" xfId="5" applyFont="1" applyBorder="1" applyAlignment="1" applyProtection="1">
      <alignment horizontal="right" vertical="center" wrapText="1"/>
      <protection locked="0"/>
    </xf>
    <xf numFmtId="0" fontId="14" fillId="0" borderId="30" xfId="5" applyFont="1" applyBorder="1" applyAlignment="1" applyProtection="1">
      <alignment horizontal="right" vertical="center" wrapText="1"/>
      <protection locked="0"/>
    </xf>
    <xf numFmtId="0" fontId="14" fillId="0" borderId="31" xfId="5" applyFont="1" applyBorder="1" applyAlignment="1" applyProtection="1">
      <alignment horizontal="right" vertical="center" wrapText="1"/>
      <protection locked="0"/>
    </xf>
    <xf numFmtId="14" fontId="68" fillId="0" borderId="6" xfId="5" applyNumberFormat="1" applyFont="1" applyBorder="1" applyAlignment="1" applyProtection="1">
      <alignment horizontal="left" vertical="center" wrapText="1"/>
      <protection locked="0"/>
    </xf>
    <xf numFmtId="0" fontId="14" fillId="0" borderId="33" xfId="5" applyFont="1" applyBorder="1" applyAlignment="1">
      <alignment horizontal="right" vertical="center" wrapText="1"/>
    </xf>
    <xf numFmtId="0" fontId="14" fillId="0" borderId="16" xfId="5" applyFont="1" applyBorder="1" applyAlignment="1">
      <alignment horizontal="right" vertical="center" wrapText="1"/>
    </xf>
    <xf numFmtId="0" fontId="14" fillId="0" borderId="32" xfId="5" applyFont="1" applyBorder="1" applyAlignment="1">
      <alignment horizontal="right" vertical="center" wrapText="1"/>
    </xf>
    <xf numFmtId="14" fontId="18" fillId="0" borderId="4" xfId="5" applyNumberFormat="1" applyFont="1" applyBorder="1" applyAlignment="1">
      <alignment horizontal="center" wrapText="1"/>
    </xf>
    <xf numFmtId="0" fontId="19" fillId="0" borderId="6" xfId="0" applyFont="1" applyBorder="1" applyAlignment="1">
      <alignment horizontal="center" vertical="center" wrapText="1"/>
    </xf>
    <xf numFmtId="0" fontId="25" fillId="0" borderId="0" xfId="7" applyFont="1" applyBorder="1" applyAlignment="1">
      <alignment horizontal="left" vertical="center" wrapText="1"/>
    </xf>
    <xf numFmtId="0" fontId="19" fillId="0" borderId="6" xfId="0" applyFont="1" applyBorder="1" applyAlignment="1">
      <alignment horizontal="center" vertical="center"/>
    </xf>
    <xf numFmtId="0" fontId="15" fillId="5" borderId="0" xfId="5" applyFont="1" applyFill="1" applyBorder="1" applyAlignment="1">
      <alignment horizontal="left" vertical="center"/>
    </xf>
    <xf numFmtId="0" fontId="19" fillId="0" borderId="0" xfId="0" applyFont="1" applyFill="1" applyBorder="1" applyAlignment="1">
      <alignment horizontal="center" vertical="center" wrapText="1"/>
    </xf>
    <xf numFmtId="0" fontId="19" fillId="0" borderId="14" xfId="0" applyFont="1" applyBorder="1" applyAlignment="1">
      <alignment horizontal="center" vertical="center" wrapText="1"/>
    </xf>
    <xf numFmtId="0" fontId="19" fillId="0" borderId="30" xfId="0" applyFont="1" applyBorder="1" applyAlignment="1">
      <alignment horizontal="center" vertical="center" wrapText="1"/>
    </xf>
    <xf numFmtId="0" fontId="19" fillId="0" borderId="31" xfId="0" applyFont="1" applyBorder="1" applyAlignment="1">
      <alignment horizontal="center" vertical="center" wrapText="1"/>
    </xf>
    <xf numFmtId="49" fontId="69" fillId="0" borderId="6" xfId="0" applyNumberFormat="1" applyFont="1" applyBorder="1" applyAlignment="1">
      <alignment horizontal="center" vertical="center"/>
    </xf>
    <xf numFmtId="49" fontId="69" fillId="0" borderId="14" xfId="0" applyNumberFormat="1" applyFont="1" applyBorder="1" applyAlignment="1">
      <alignment horizontal="center" vertical="center"/>
    </xf>
    <xf numFmtId="49" fontId="69" fillId="0" borderId="30" xfId="0" applyNumberFormat="1" applyFont="1" applyBorder="1" applyAlignment="1">
      <alignment horizontal="center" vertical="center"/>
    </xf>
    <xf numFmtId="49" fontId="69" fillId="0" borderId="31" xfId="0" applyNumberFormat="1" applyFont="1" applyBorder="1" applyAlignment="1">
      <alignment horizontal="center" vertical="center"/>
    </xf>
    <xf numFmtId="0" fontId="1" fillId="0" borderId="4" xfId="5" applyFont="1" applyBorder="1" applyAlignment="1">
      <alignment horizontal="center" vertical="center" wrapText="1"/>
    </xf>
    <xf numFmtId="16" fontId="19" fillId="5" borderId="0" xfId="0" applyNumberFormat="1" applyFont="1" applyFill="1" applyBorder="1" applyAlignment="1">
      <alignment horizontal="center" vertical="center" wrapText="1"/>
    </xf>
    <xf numFmtId="0" fontId="26" fillId="0" borderId="0" xfId="7" applyFont="1" applyBorder="1" applyAlignment="1">
      <alignment horizontal="left" vertical="center" wrapText="1"/>
    </xf>
    <xf numFmtId="14" fontId="19" fillId="5"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0" fontId="2" fillId="7" borderId="6" xfId="7" applyFont="1" applyFill="1" applyBorder="1" applyAlignment="1">
      <alignment horizontal="center" vertical="center" wrapText="1"/>
    </xf>
    <xf numFmtId="0" fontId="7" fillId="0" borderId="4" xfId="7" applyFont="1" applyBorder="1" applyAlignment="1">
      <alignment horizontal="center" vertical="center"/>
    </xf>
    <xf numFmtId="0" fontId="2" fillId="0" borderId="14" xfId="7" applyFont="1" applyBorder="1" applyAlignment="1">
      <alignment horizontal="center" wrapText="1"/>
    </xf>
    <xf numFmtId="0" fontId="2" fillId="0" borderId="31" xfId="7" applyFont="1" applyBorder="1" applyAlignment="1">
      <alignment horizontal="center" wrapText="1"/>
    </xf>
    <xf numFmtId="0" fontId="2" fillId="0" borderId="31" xfId="7" applyFont="1" applyBorder="1" applyAlignment="1">
      <alignment horizontal="center" vertical="center" wrapText="1"/>
    </xf>
    <xf numFmtId="0" fontId="2" fillId="0" borderId="6" xfId="7" applyFont="1" applyBorder="1" applyAlignment="1">
      <alignment horizontal="center" vertical="center"/>
    </xf>
    <xf numFmtId="49" fontId="69" fillId="0" borderId="6" xfId="0" applyNumberFormat="1" applyFont="1" applyBorder="1" applyAlignment="1">
      <alignment horizontal="center" vertical="center" wrapText="1"/>
    </xf>
    <xf numFmtId="0" fontId="2" fillId="0" borderId="0" xfId="5" applyFont="1" applyBorder="1" applyAlignment="1">
      <alignment horizontal="left" vertical="center"/>
    </xf>
    <xf numFmtId="14" fontId="14" fillId="0" borderId="6" xfId="5" applyNumberFormat="1" applyFont="1" applyBorder="1" applyAlignment="1" applyProtection="1">
      <alignment horizontal="left" vertical="center" wrapText="1"/>
      <protection locked="0"/>
    </xf>
    <xf numFmtId="0" fontId="14" fillId="0" borderId="6" xfId="5" applyFont="1" applyBorder="1" applyAlignment="1">
      <alignment horizontal="right" vertical="center" wrapText="1"/>
    </xf>
    <xf numFmtId="0" fontId="65" fillId="0" borderId="6" xfId="7" applyFont="1" applyBorder="1" applyAlignment="1">
      <alignment horizontal="center" vertical="center"/>
    </xf>
    <xf numFmtId="0" fontId="2" fillId="0" borderId="4" xfId="7" applyFont="1" applyBorder="1" applyAlignment="1">
      <alignment horizontal="center" vertical="center" wrapText="1"/>
    </xf>
    <xf numFmtId="0" fontId="10" fillId="0" borderId="6" xfId="5" applyFont="1" applyBorder="1" applyAlignment="1">
      <alignment horizontal="right" vertical="center"/>
    </xf>
    <xf numFmtId="0" fontId="10" fillId="0" borderId="14" xfId="5" applyFont="1" applyBorder="1" applyAlignment="1">
      <alignment horizontal="right" vertical="center"/>
    </xf>
    <xf numFmtId="0" fontId="74" fillId="0" borderId="14" xfId="7" applyFont="1" applyBorder="1" applyAlignment="1">
      <alignment horizontal="center"/>
    </xf>
    <xf numFmtId="0" fontId="74" fillId="0" borderId="30" xfId="7" applyFont="1" applyBorder="1" applyAlignment="1">
      <alignment horizontal="center"/>
    </xf>
    <xf numFmtId="0" fontId="22" fillId="0" borderId="30" xfId="7" applyFont="1" applyBorder="1" applyAlignment="1">
      <alignment horizontal="center"/>
    </xf>
    <xf numFmtId="0" fontId="22" fillId="0" borderId="31" xfId="7" applyFont="1" applyBorder="1" applyAlignment="1">
      <alignment horizontal="center"/>
    </xf>
    <xf numFmtId="0" fontId="15" fillId="0" borderId="30" xfId="7" applyFont="1" applyFill="1" applyBorder="1" applyAlignment="1">
      <alignment horizontal="center" vertical="center"/>
    </xf>
    <xf numFmtId="0" fontId="15" fillId="0" borderId="31" xfId="7" applyFont="1" applyFill="1" applyBorder="1" applyAlignment="1">
      <alignment horizontal="center" vertical="center"/>
    </xf>
    <xf numFmtId="0" fontId="15" fillId="0" borderId="14" xfId="7" applyFont="1" applyBorder="1" applyAlignment="1">
      <alignment horizontal="center" vertical="center"/>
    </xf>
    <xf numFmtId="0" fontId="15" fillId="0" borderId="31" xfId="7" applyFont="1" applyBorder="1" applyAlignment="1">
      <alignment horizontal="center" vertical="center"/>
    </xf>
    <xf numFmtId="0" fontId="24" fillId="0" borderId="0" xfId="2" applyFont="1" applyAlignment="1">
      <alignment horizontal="left" vertical="center"/>
    </xf>
    <xf numFmtId="0" fontId="15" fillId="0" borderId="0" xfId="5" applyFont="1" applyAlignment="1">
      <alignment horizontal="left" vertical="center"/>
    </xf>
    <xf numFmtId="0" fontId="15" fillId="0" borderId="0" xfId="5" applyFont="1" applyAlignment="1">
      <alignment horizontal="left" vertical="center" wrapText="1"/>
    </xf>
    <xf numFmtId="0" fontId="61" fillId="0" borderId="0" xfId="8" applyFont="1" applyBorder="1" applyAlignment="1">
      <alignment horizontal="center" vertical="center"/>
    </xf>
    <xf numFmtId="0" fontId="61" fillId="0" borderId="0" xfId="3" applyFont="1" applyBorder="1" applyAlignment="1">
      <alignment horizontal="center" vertical="center" wrapText="1"/>
    </xf>
    <xf numFmtId="0" fontId="61" fillId="0" borderId="0" xfId="3" applyFont="1" applyBorder="1" applyAlignment="1">
      <alignment horizontal="center" vertical="center"/>
    </xf>
    <xf numFmtId="49" fontId="15" fillId="0" borderId="6" xfId="5" applyNumberFormat="1" applyFont="1" applyBorder="1" applyAlignment="1">
      <alignment horizontal="center"/>
    </xf>
    <xf numFmtId="14" fontId="14" fillId="0" borderId="0" xfId="5" applyNumberFormat="1" applyFont="1" applyBorder="1" applyAlignment="1">
      <alignment horizontal="left" vertical="center" wrapText="1"/>
    </xf>
    <xf numFmtId="14" fontId="14" fillId="0" borderId="0" xfId="5" applyNumberFormat="1" applyFont="1" applyBorder="1" applyAlignment="1">
      <alignment horizontal="right" vertical="center" wrapText="1"/>
    </xf>
    <xf numFmtId="14" fontId="68" fillId="0" borderId="0" xfId="5" applyNumberFormat="1" applyFont="1" applyBorder="1" applyAlignment="1">
      <alignment horizontal="left" vertical="center" wrapText="1"/>
    </xf>
    <xf numFmtId="0" fontId="14" fillId="0" borderId="0" xfId="5" applyFont="1" applyBorder="1" applyAlignment="1">
      <alignment horizontal="right" vertical="center" wrapText="1"/>
    </xf>
    <xf numFmtId="0" fontId="14" fillId="0" borderId="0" xfId="5" applyFont="1" applyBorder="1" applyAlignment="1" applyProtection="1">
      <alignment horizontal="right" vertical="center" wrapText="1"/>
      <protection locked="0"/>
    </xf>
    <xf numFmtId="14" fontId="14" fillId="0" borderId="0" xfId="5" applyNumberFormat="1" applyFont="1" applyBorder="1" applyAlignment="1" applyProtection="1">
      <alignment horizontal="left" vertical="center" wrapText="1"/>
      <protection locked="0"/>
    </xf>
    <xf numFmtId="0" fontId="14" fillId="0" borderId="0" xfId="5" applyFont="1" applyBorder="1" applyAlignment="1">
      <alignment horizontal="left" vertical="center" wrapText="1"/>
    </xf>
    <xf numFmtId="0" fontId="15" fillId="0" borderId="33" xfId="5" applyFont="1" applyBorder="1" applyAlignment="1">
      <alignment horizontal="center" vertical="center" wrapText="1"/>
    </xf>
    <xf numFmtId="0" fontId="15" fillId="0" borderId="32" xfId="5" applyFont="1" applyBorder="1" applyAlignment="1">
      <alignment horizontal="center" vertical="center" wrapText="1"/>
    </xf>
    <xf numFmtId="0" fontId="15" fillId="0" borderId="1" xfId="5" applyFont="1" applyBorder="1" applyAlignment="1">
      <alignment horizontal="center" vertical="center" wrapText="1"/>
    </xf>
    <xf numFmtId="0" fontId="15" fillId="0" borderId="2" xfId="5" applyFont="1" applyBorder="1" applyAlignment="1">
      <alignment horizontal="center" vertical="center" wrapText="1"/>
    </xf>
    <xf numFmtId="0" fontId="15" fillId="0" borderId="3" xfId="5" applyFont="1" applyBorder="1" applyAlignment="1">
      <alignment horizontal="center" vertical="center" wrapText="1"/>
    </xf>
    <xf numFmtId="0" fontId="15" fillId="0" borderId="5" xfId="5" applyFont="1" applyBorder="1" applyAlignment="1">
      <alignment horizontal="center" vertical="center" wrapText="1"/>
    </xf>
    <xf numFmtId="0" fontId="19" fillId="0" borderId="6" xfId="5" applyFont="1" applyBorder="1" applyAlignment="1">
      <alignment horizontal="left" vertical="center" wrapText="1"/>
    </xf>
    <xf numFmtId="0" fontId="18" fillId="0" borderId="4" xfId="5" applyFont="1" applyBorder="1" applyAlignment="1">
      <alignment horizontal="center" wrapText="1"/>
    </xf>
    <xf numFmtId="0" fontId="19" fillId="0" borderId="6" xfId="0" applyFont="1" applyFill="1" applyBorder="1" applyAlignment="1">
      <alignment horizontal="center" vertical="center" wrapText="1"/>
    </xf>
    <xf numFmtId="0" fontId="19" fillId="0" borderId="14" xfId="0" applyFont="1" applyFill="1" applyBorder="1" applyAlignment="1">
      <alignment horizontal="center" vertical="center" wrapText="1"/>
    </xf>
    <xf numFmtId="0" fontId="19" fillId="0" borderId="30" xfId="0" applyFont="1" applyFill="1" applyBorder="1" applyAlignment="1">
      <alignment horizontal="center" vertical="center" wrapText="1"/>
    </xf>
    <xf numFmtId="0" fontId="19" fillId="0" borderId="31" xfId="0" applyFont="1" applyFill="1" applyBorder="1" applyAlignment="1">
      <alignment horizontal="center" vertical="center" wrapText="1"/>
    </xf>
    <xf numFmtId="0" fontId="19" fillId="9" borderId="14" xfId="0" applyFont="1" applyFill="1" applyBorder="1" applyAlignment="1">
      <alignment horizontal="center" vertical="center" wrapText="1"/>
    </xf>
    <xf numFmtId="0" fontId="19" fillId="9" borderId="30" xfId="0" applyFont="1" applyFill="1" applyBorder="1" applyAlignment="1">
      <alignment horizontal="center" vertical="center" wrapText="1"/>
    </xf>
    <xf numFmtId="0" fontId="19" fillId="9" borderId="6" xfId="0" applyFont="1" applyFill="1" applyBorder="1" applyAlignment="1">
      <alignment horizontal="center" vertical="center" wrapText="1"/>
    </xf>
    <xf numFmtId="0" fontId="19" fillId="9" borderId="31" xfId="0" applyFont="1" applyFill="1" applyBorder="1" applyAlignment="1">
      <alignment horizontal="center" vertical="center" wrapText="1"/>
    </xf>
    <xf numFmtId="0" fontId="15" fillId="0" borderId="6" xfId="5" applyFont="1" applyBorder="1" applyAlignment="1">
      <alignment horizontal="center" textRotation="90" wrapText="1"/>
    </xf>
    <xf numFmtId="0" fontId="15" fillId="0" borderId="6" xfId="7" applyFont="1" applyBorder="1" applyAlignment="1">
      <alignment horizontal="center" textRotation="90" wrapText="1"/>
    </xf>
    <xf numFmtId="0" fontId="15" fillId="0" borderId="33" xfId="5" applyFont="1" applyBorder="1" applyAlignment="1">
      <alignment horizontal="center" vertical="center" textRotation="90" wrapText="1"/>
    </xf>
    <xf numFmtId="0" fontId="15" fillId="0" borderId="32" xfId="5" applyFont="1" applyBorder="1" applyAlignment="1">
      <alignment horizontal="center" vertical="center" textRotation="90" wrapText="1"/>
    </xf>
    <xf numFmtId="0" fontId="15" fillId="0" borderId="3" xfId="5" applyFont="1" applyBorder="1" applyAlignment="1">
      <alignment horizontal="center" vertical="center" textRotation="90" wrapText="1"/>
    </xf>
    <xf numFmtId="0" fontId="15" fillId="0" borderId="5" xfId="5" applyFont="1" applyBorder="1" applyAlignment="1">
      <alignment horizontal="center" vertical="center" textRotation="90" wrapText="1"/>
    </xf>
    <xf numFmtId="0" fontId="21" fillId="3" borderId="30" xfId="7" applyFont="1" applyFill="1" applyBorder="1" applyAlignment="1">
      <alignment horizontal="center" vertical="center"/>
    </xf>
    <xf numFmtId="0" fontId="15" fillId="0" borderId="10" xfId="5" applyFont="1" applyBorder="1" applyAlignment="1">
      <alignment horizontal="center" textRotation="90" wrapText="1"/>
    </xf>
    <xf numFmtId="0" fontId="15" fillId="0" borderId="8" xfId="5" applyFont="1" applyBorder="1" applyAlignment="1">
      <alignment horizontal="center" textRotation="90" wrapText="1"/>
    </xf>
    <xf numFmtId="0" fontId="2" fillId="0" borderId="14" xfId="7" applyFont="1" applyBorder="1" applyAlignment="1">
      <alignment horizontal="center" vertical="center"/>
    </xf>
    <xf numFmtId="0" fontId="2" fillId="0" borderId="30" xfId="7" applyFont="1" applyBorder="1" applyAlignment="1">
      <alignment horizontal="center" vertical="center"/>
    </xf>
    <xf numFmtId="0" fontId="2" fillId="0" borderId="31" xfId="7" applyFont="1" applyBorder="1" applyAlignment="1">
      <alignment horizontal="center" vertical="center"/>
    </xf>
    <xf numFmtId="0" fontId="15" fillId="0" borderId="30" xfId="7" applyFont="1" applyBorder="1" applyAlignment="1">
      <alignment horizontal="center" vertical="center"/>
    </xf>
    <xf numFmtId="0" fontId="2" fillId="0" borderId="0" xfId="7" applyFont="1" applyBorder="1" applyAlignment="1">
      <alignment horizontal="left" vertical="center"/>
    </xf>
    <xf numFmtId="0" fontId="2" fillId="0" borderId="14" xfId="0" applyFont="1" applyBorder="1" applyAlignment="1">
      <alignment horizontal="left" vertical="center"/>
    </xf>
    <xf numFmtId="0" fontId="2" fillId="0" borderId="30" xfId="0" applyFont="1" applyBorder="1" applyAlignment="1">
      <alignment horizontal="left" vertical="center"/>
    </xf>
    <xf numFmtId="0" fontId="2" fillId="0" borderId="31" xfId="0" applyFont="1" applyBorder="1" applyAlignment="1">
      <alignment horizontal="left" vertical="center"/>
    </xf>
    <xf numFmtId="0" fontId="1" fillId="0" borderId="6" xfId="0" applyFont="1" applyBorder="1" applyAlignment="1">
      <alignment horizontal="center" vertical="center"/>
    </xf>
    <xf numFmtId="0" fontId="2" fillId="0" borderId="14" xfId="0" applyFont="1" applyBorder="1" applyAlignment="1">
      <alignment horizontal="left"/>
    </xf>
    <xf numFmtId="0" fontId="2" fillId="0" borderId="30"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1" fillId="0" borderId="3" xfId="7" applyFont="1" applyBorder="1" applyAlignment="1">
      <alignment horizontal="center" vertical="center"/>
    </xf>
    <xf numFmtId="0" fontId="1" fillId="0" borderId="5" xfId="7" applyFont="1" applyBorder="1" applyAlignment="1">
      <alignment horizontal="center" vertical="center"/>
    </xf>
    <xf numFmtId="0" fontId="1" fillId="0" borderId="0" xfId="7" applyFont="1" applyBorder="1" applyAlignment="1">
      <alignment horizontal="left"/>
    </xf>
    <xf numFmtId="0" fontId="2" fillId="0" borderId="30" xfId="7" applyFont="1" applyBorder="1" applyAlignment="1">
      <alignment horizontal="center" vertical="center" wrapText="1"/>
    </xf>
    <xf numFmtId="0" fontId="15" fillId="0" borderId="14" xfId="5" applyFont="1" applyBorder="1" applyAlignment="1">
      <alignment horizontal="right"/>
    </xf>
    <xf numFmtId="0" fontId="15" fillId="0" borderId="30" xfId="5" applyFont="1" applyBorder="1" applyAlignment="1">
      <alignment horizontal="right"/>
    </xf>
    <xf numFmtId="0" fontId="15" fillId="0" borderId="31" xfId="5" applyFont="1" applyBorder="1" applyAlignment="1">
      <alignment horizontal="right"/>
    </xf>
    <xf numFmtId="0" fontId="2" fillId="0" borderId="14" xfId="5" applyFont="1" applyBorder="1" applyAlignment="1">
      <alignment horizontal="center"/>
    </xf>
    <xf numFmtId="0" fontId="2" fillId="0" borderId="31" xfId="5" applyFont="1" applyBorder="1" applyAlignment="1">
      <alignment horizontal="center"/>
    </xf>
    <xf numFmtId="0" fontId="15" fillId="0" borderId="14" xfId="7" applyFont="1" applyBorder="1" applyAlignment="1">
      <alignment horizontal="center" vertical="center" wrapText="1"/>
    </xf>
    <xf numFmtId="0" fontId="15" fillId="0" borderId="30" xfId="7" applyFont="1" applyBorder="1" applyAlignment="1">
      <alignment horizontal="center" vertical="center" wrapText="1"/>
    </xf>
    <xf numFmtId="0" fontId="15" fillId="0" borderId="31" xfId="7" applyFont="1" applyBorder="1" applyAlignment="1">
      <alignment horizontal="center" vertical="center" wrapText="1"/>
    </xf>
    <xf numFmtId="0" fontId="15" fillId="0" borderId="6" xfId="5" applyFont="1" applyBorder="1" applyAlignment="1">
      <alignment horizontal="left" vertical="center"/>
    </xf>
    <xf numFmtId="49" fontId="65" fillId="0" borderId="6" xfId="5" applyNumberFormat="1" applyFont="1" applyBorder="1" applyAlignment="1">
      <alignment horizontal="center"/>
    </xf>
    <xf numFmtId="0" fontId="15" fillId="0" borderId="16" xfId="5" applyFont="1" applyBorder="1" applyAlignment="1">
      <alignment horizontal="left" vertical="center" wrapText="1"/>
    </xf>
    <xf numFmtId="0" fontId="65" fillId="0" borderId="14" xfId="7" applyFont="1" applyBorder="1" applyAlignment="1">
      <alignment horizontal="center" vertical="center"/>
    </xf>
    <xf numFmtId="0" fontId="65" fillId="0" borderId="30" xfId="7" applyFont="1" applyBorder="1" applyAlignment="1">
      <alignment horizontal="center" vertical="center"/>
    </xf>
    <xf numFmtId="0" fontId="65" fillId="0" borderId="31" xfId="7" applyFont="1" applyBorder="1" applyAlignment="1">
      <alignment horizontal="center" vertical="center"/>
    </xf>
    <xf numFmtId="0" fontId="67" fillId="0" borderId="14" xfId="7" applyFont="1" applyBorder="1" applyAlignment="1">
      <alignment horizontal="center" vertical="center"/>
    </xf>
    <xf numFmtId="0" fontId="67" fillId="0" borderId="30" xfId="7" applyFont="1" applyBorder="1" applyAlignment="1">
      <alignment horizontal="center" vertical="center"/>
    </xf>
    <xf numFmtId="0" fontId="67" fillId="0" borderId="31" xfId="7" applyFont="1" applyBorder="1" applyAlignment="1">
      <alignment horizontal="center" vertical="center"/>
    </xf>
    <xf numFmtId="0" fontId="71" fillId="0" borderId="0" xfId="5" applyFont="1" applyAlignment="1">
      <alignment horizontal="center" vertical="center"/>
    </xf>
    <xf numFmtId="0" fontId="21" fillId="3" borderId="30" xfId="7" applyFont="1" applyFill="1" applyBorder="1" applyAlignment="1">
      <alignment horizontal="center" vertical="center" wrapText="1"/>
    </xf>
    <xf numFmtId="0" fontId="21" fillId="7" borderId="14" xfId="7" applyFont="1" applyFill="1" applyBorder="1" applyAlignment="1">
      <alignment horizontal="center" vertical="center" wrapText="1"/>
    </xf>
    <xf numFmtId="0" fontId="21" fillId="7" borderId="31" xfId="7" applyFont="1" applyFill="1" applyBorder="1" applyAlignment="1">
      <alignment horizontal="center" vertical="center" wrapText="1"/>
    </xf>
    <xf numFmtId="0" fontId="15" fillId="0" borderId="10" xfId="5" applyFont="1" applyBorder="1" applyAlignment="1">
      <alignment horizontal="center" vertical="center" wrapText="1"/>
    </xf>
    <xf numFmtId="0" fontId="15" fillId="0" borderId="8" xfId="5" applyFont="1" applyBorder="1" applyAlignment="1">
      <alignment horizontal="center" vertical="center" wrapText="1"/>
    </xf>
    <xf numFmtId="0" fontId="67" fillId="7" borderId="14" xfId="7" applyFont="1" applyFill="1" applyBorder="1" applyAlignment="1">
      <alignment horizontal="center" vertical="center"/>
    </xf>
    <xf numFmtId="0" fontId="67" fillId="7" borderId="31" xfId="7" applyFont="1" applyFill="1" applyBorder="1" applyAlignment="1">
      <alignment horizontal="center" vertical="center"/>
    </xf>
    <xf numFmtId="0" fontId="21" fillId="3" borderId="8" xfId="7" applyFont="1" applyFill="1" applyBorder="1" applyAlignment="1">
      <alignment horizontal="center" vertical="center"/>
    </xf>
    <xf numFmtId="0" fontId="67" fillId="7" borderId="14" xfId="7" applyFont="1" applyFill="1" applyBorder="1" applyAlignment="1">
      <alignment horizontal="center" vertical="center" wrapText="1"/>
    </xf>
    <xf numFmtId="0" fontId="67" fillId="7" borderId="30" xfId="7" applyFont="1" applyFill="1" applyBorder="1" applyAlignment="1">
      <alignment horizontal="center" vertical="center" wrapText="1"/>
    </xf>
    <xf numFmtId="0" fontId="67" fillId="7" borderId="31" xfId="7" applyFont="1" applyFill="1" applyBorder="1" applyAlignment="1">
      <alignment horizontal="center" vertical="center" wrapText="1"/>
    </xf>
    <xf numFmtId="0" fontId="21" fillId="3" borderId="3" xfId="7" applyFont="1" applyFill="1" applyBorder="1" applyAlignment="1">
      <alignment horizontal="center" vertical="center"/>
    </xf>
    <xf numFmtId="0" fontId="21" fillId="3" borderId="4" xfId="7" applyFont="1" applyFill="1" applyBorder="1" applyAlignment="1">
      <alignment horizontal="center" vertical="center"/>
    </xf>
    <xf numFmtId="0" fontId="21" fillId="3" borderId="5" xfId="7" applyFont="1" applyFill="1" applyBorder="1" applyAlignment="1">
      <alignment horizontal="center" vertical="center"/>
    </xf>
    <xf numFmtId="0" fontId="21" fillId="7" borderId="6" xfId="7" applyFont="1" applyFill="1" applyBorder="1" applyAlignment="1">
      <alignment horizontal="center" vertical="center"/>
    </xf>
    <xf numFmtId="0" fontId="21" fillId="7" borderId="6" xfId="7" applyFont="1" applyFill="1" applyBorder="1" applyAlignment="1">
      <alignment horizontal="center" vertical="center" wrapText="1"/>
    </xf>
    <xf numFmtId="16" fontId="19" fillId="0" borderId="0" xfId="0" applyNumberFormat="1" applyFont="1" applyBorder="1" applyAlignment="1">
      <alignment horizontal="center" vertical="center" wrapText="1"/>
    </xf>
    <xf numFmtId="49" fontId="19" fillId="0" borderId="0" xfId="0" applyNumberFormat="1" applyFont="1" applyBorder="1" applyAlignment="1">
      <alignment horizontal="center" vertical="center" wrapText="1"/>
    </xf>
    <xf numFmtId="14" fontId="19" fillId="0" borderId="0" xfId="0" applyNumberFormat="1" applyFont="1" applyBorder="1" applyAlignment="1">
      <alignment horizontal="center" vertical="center" wrapText="1"/>
    </xf>
    <xf numFmtId="0" fontId="15" fillId="0" borderId="0" xfId="5" applyFont="1" applyBorder="1" applyAlignment="1">
      <alignment horizontal="left" vertical="center" wrapText="1"/>
    </xf>
    <xf numFmtId="0" fontId="21" fillId="7" borderId="14" xfId="7" applyFont="1" applyFill="1" applyBorder="1" applyAlignment="1">
      <alignment horizontal="center" vertical="center"/>
    </xf>
    <xf numFmtId="0" fontId="21" fillId="7" borderId="31" xfId="7" applyFont="1" applyFill="1" applyBorder="1" applyAlignment="1">
      <alignment horizontal="center" vertical="center"/>
    </xf>
    <xf numFmtId="0" fontId="15" fillId="0" borderId="6" xfId="5" applyFont="1" applyBorder="1" applyAlignment="1">
      <alignment horizontal="center" vertical="center"/>
    </xf>
    <xf numFmtId="0" fontId="15" fillId="0" borderId="4" xfId="5" applyFont="1" applyBorder="1" applyAlignment="1">
      <alignment horizontal="center" vertical="center" wrapText="1"/>
    </xf>
    <xf numFmtId="0" fontId="0" fillId="0" borderId="0" xfId="0" applyFont="1" applyFill="1" applyBorder="1" applyAlignment="1">
      <alignment vertical="center"/>
    </xf>
    <xf numFmtId="0" fontId="35" fillId="0" borderId="0" xfId="0" applyFont="1" applyFill="1" applyBorder="1" applyAlignment="1">
      <alignment vertical="center"/>
    </xf>
    <xf numFmtId="14" fontId="0" fillId="0" borderId="0" xfId="0" applyNumberFormat="1" applyFont="1" applyFill="1" applyBorder="1" applyAlignment="1">
      <alignment horizontal="right" vertical="center"/>
    </xf>
    <xf numFmtId="0" fontId="0" fillId="0" borderId="0" xfId="0" applyNumberFormat="1" applyFont="1" applyFill="1" applyBorder="1" applyAlignment="1">
      <alignment horizontal="right" vertical="center"/>
    </xf>
    <xf numFmtId="0" fontId="33" fillId="0" borderId="0" xfId="0" applyFont="1" applyBorder="1" applyAlignment="1">
      <alignment horizontal="left" vertical="top" wrapText="1"/>
    </xf>
    <xf numFmtId="0" fontId="33" fillId="0" borderId="26" xfId="0" applyFont="1" applyBorder="1" applyAlignment="1">
      <alignment horizontal="left" vertical="top" wrapText="1"/>
    </xf>
    <xf numFmtId="0" fontId="0" fillId="0" borderId="18" xfId="0" applyFont="1" applyBorder="1" applyAlignment="1">
      <alignment vertical="center"/>
    </xf>
    <xf numFmtId="0" fontId="0" fillId="0" borderId="0" xfId="0" applyFont="1" applyBorder="1" applyAlignment="1">
      <alignment vertical="center"/>
    </xf>
    <xf numFmtId="0" fontId="36" fillId="0" borderId="4" xfId="0" applyNumberFormat="1" applyFont="1" applyBorder="1" applyAlignment="1">
      <alignment horizontal="center" vertical="center"/>
    </xf>
    <xf numFmtId="0" fontId="0" fillId="0" borderId="0" xfId="0" applyFont="1" applyBorder="1" applyAlignment="1">
      <alignment horizontal="right" vertical="center"/>
    </xf>
    <xf numFmtId="0" fontId="0" fillId="0" borderId="0" xfId="0" applyFont="1" applyBorder="1" applyAlignment="1">
      <alignment horizontal="left" vertical="top" wrapText="1"/>
    </xf>
    <xf numFmtId="0" fontId="0" fillId="0" borderId="26" xfId="0" applyFont="1" applyBorder="1" applyAlignment="1">
      <alignment horizontal="left" vertical="top" wrapText="1"/>
    </xf>
    <xf numFmtId="0" fontId="36" fillId="0" borderId="4" xfId="0" applyFont="1" applyBorder="1" applyAlignment="1">
      <alignment horizontal="center" vertical="center"/>
    </xf>
    <xf numFmtId="0" fontId="35" fillId="0" borderId="0" xfId="0" applyFont="1" applyBorder="1" applyAlignment="1">
      <alignment horizontal="center" vertical="center"/>
    </xf>
    <xf numFmtId="0" fontId="35" fillId="0" borderId="4" xfId="0" applyFont="1" applyBorder="1" applyAlignment="1">
      <alignment horizontal="center" vertical="center"/>
    </xf>
    <xf numFmtId="0" fontId="0" fillId="0" borderId="18" xfId="0" applyFont="1" applyFill="1" applyBorder="1" applyAlignment="1">
      <alignment vertical="center"/>
    </xf>
    <xf numFmtId="0" fontId="0" fillId="0" borderId="0" xfId="0" applyFont="1" applyFill="1" applyBorder="1" applyAlignment="1">
      <alignment horizontal="right" vertical="center"/>
    </xf>
    <xf numFmtId="0" fontId="35" fillId="0" borderId="4" xfId="0" applyFont="1" applyFill="1" applyBorder="1" applyAlignment="1">
      <alignment horizontal="center" vertical="center" wrapText="1"/>
    </xf>
    <xf numFmtId="0" fontId="42" fillId="0" borderId="4" xfId="0" applyFont="1" applyFill="1" applyBorder="1" applyAlignment="1">
      <alignment horizontal="center" vertical="center" wrapText="1"/>
    </xf>
    <xf numFmtId="0" fontId="0" fillId="0" borderId="0" xfId="0" applyFill="1" applyBorder="1" applyAlignment="1">
      <alignment vertical="center"/>
    </xf>
    <xf numFmtId="14" fontId="0" fillId="0" borderId="0" xfId="0" applyNumberFormat="1" applyFill="1" applyBorder="1" applyAlignment="1">
      <alignment horizontal="right" vertical="center"/>
    </xf>
    <xf numFmtId="0" fontId="0" fillId="0" borderId="0" xfId="0" applyNumberFormat="1" applyFill="1" applyBorder="1" applyAlignment="1">
      <alignment horizontal="right" vertical="center"/>
    </xf>
    <xf numFmtId="0" fontId="72" fillId="0" borderId="0" xfId="0" applyFont="1" applyBorder="1" applyAlignment="1">
      <alignment horizontal="left" vertical="top" wrapText="1"/>
    </xf>
    <xf numFmtId="0" fontId="72" fillId="0" borderId="26" xfId="0" applyFont="1" applyBorder="1" applyAlignment="1">
      <alignment horizontal="left" vertical="top" wrapText="1"/>
    </xf>
    <xf numFmtId="0" fontId="0" fillId="0" borderId="18" xfId="0" applyBorder="1" applyAlignment="1">
      <alignment vertical="center"/>
    </xf>
    <xf numFmtId="0" fontId="0" fillId="0" borderId="0" xfId="0" applyBorder="1" applyAlignment="1">
      <alignment vertical="center"/>
    </xf>
    <xf numFmtId="0" fontId="0" fillId="0" borderId="0" xfId="0" applyBorder="1" applyAlignment="1">
      <alignment horizontal="right" vertical="center"/>
    </xf>
    <xf numFmtId="0" fontId="0" fillId="0" borderId="0" xfId="0" applyBorder="1" applyAlignment="1">
      <alignment horizontal="left" vertical="top" wrapText="1"/>
    </xf>
    <xf numFmtId="0" fontId="0" fillId="0" borderId="26" xfId="0" applyBorder="1" applyAlignment="1">
      <alignment horizontal="left" vertical="top" wrapText="1"/>
    </xf>
    <xf numFmtId="0" fontId="0" fillId="0" borderId="18" xfId="0" applyFill="1" applyBorder="1" applyAlignment="1">
      <alignment vertical="center"/>
    </xf>
    <xf numFmtId="0" fontId="0" fillId="0" borderId="0" xfId="0" applyFill="1" applyBorder="1" applyAlignment="1">
      <alignment horizontal="right" vertical="center"/>
    </xf>
    <xf numFmtId="0" fontId="58" fillId="0" borderId="0" xfId="0" applyFont="1" applyAlignment="1">
      <alignment horizontal="center" vertical="center" wrapText="1"/>
    </xf>
    <xf numFmtId="0" fontId="2" fillId="0" borderId="14" xfId="0" applyFont="1" applyBorder="1" applyAlignment="1">
      <alignment horizontal="right" vertical="distributed" wrapText="1"/>
    </xf>
    <xf numFmtId="0" fontId="2" fillId="0" borderId="30" xfId="0" applyFont="1" applyBorder="1" applyAlignment="1">
      <alignment horizontal="right" vertical="distributed" wrapText="1"/>
    </xf>
    <xf numFmtId="0" fontId="2" fillId="0" borderId="6" xfId="0" applyFont="1" applyBorder="1" applyAlignment="1">
      <alignment horizontal="left" vertical="center"/>
    </xf>
    <xf numFmtId="0" fontId="1" fillId="0" borderId="0" xfId="0" applyFont="1" applyAlignment="1">
      <alignment horizontal="center" vertical="center"/>
    </xf>
    <xf numFmtId="0" fontId="6" fillId="0" borderId="4" xfId="0" applyFont="1" applyBorder="1" applyAlignment="1">
      <alignment horizontal="left" vertical="center"/>
    </xf>
    <xf numFmtId="14" fontId="2" fillId="0" borderId="14" xfId="0" applyNumberFormat="1" applyFont="1" applyBorder="1" applyAlignment="1">
      <alignment horizontal="left" vertical="center"/>
    </xf>
    <xf numFmtId="14" fontId="2" fillId="0" borderId="30" xfId="0" applyNumberFormat="1" applyFont="1" applyBorder="1" applyAlignment="1">
      <alignment horizontal="left" vertical="center"/>
    </xf>
    <xf numFmtId="0" fontId="2" fillId="0" borderId="33" xfId="0" applyFont="1" applyBorder="1" applyAlignment="1">
      <alignment horizontal="right" vertical="top" wrapText="1"/>
    </xf>
    <xf numFmtId="0" fontId="2" fillId="0" borderId="32" xfId="0" applyFont="1" applyBorder="1" applyAlignment="1">
      <alignment horizontal="right" vertical="top" wrapText="1"/>
    </xf>
    <xf numFmtId="0" fontId="2" fillId="0" borderId="3" xfId="0" applyFont="1" applyBorder="1" applyAlignment="1">
      <alignment horizontal="right" vertical="top" wrapText="1"/>
    </xf>
    <xf numFmtId="0" fontId="2" fillId="0" borderId="5" xfId="0" applyFont="1" applyBorder="1" applyAlignment="1">
      <alignment horizontal="right" vertical="top" wrapText="1"/>
    </xf>
    <xf numFmtId="0" fontId="2" fillId="0" borderId="6" xfId="0" applyNumberFormat="1" applyFont="1" applyBorder="1" applyAlignment="1">
      <alignment horizontal="left" vertical="center" wrapText="1"/>
    </xf>
    <xf numFmtId="0" fontId="2" fillId="0" borderId="0" xfId="0" applyFont="1" applyBorder="1" applyAlignment="1">
      <alignment horizontal="right"/>
    </xf>
    <xf numFmtId="0" fontId="2" fillId="0" borderId="0" xfId="0" applyNumberFormat="1" applyFont="1" applyBorder="1" applyAlignment="1">
      <alignment horizontal="left" vertical="center" wrapText="1"/>
    </xf>
    <xf numFmtId="0" fontId="2" fillId="0" borderId="0" xfId="0" applyFont="1" applyBorder="1" applyAlignment="1">
      <alignment horizontal="left" vertical="distributed" wrapText="1"/>
    </xf>
    <xf numFmtId="0" fontId="2" fillId="0" borderId="0" xfId="0" applyFont="1" applyAlignment="1">
      <alignment horizontal="left" vertical="center" wrapText="1"/>
    </xf>
    <xf numFmtId="0" fontId="2" fillId="0" borderId="4" xfId="0" applyFont="1" applyBorder="1" applyAlignment="1">
      <alignment horizontal="right" vertical="distributed" wrapText="1"/>
    </xf>
    <xf numFmtId="0" fontId="2" fillId="0" borderId="4" xfId="0" applyNumberFormat="1" applyFont="1" applyBorder="1" applyAlignment="1">
      <alignment horizontal="left" vertical="center" wrapText="1"/>
    </xf>
    <xf numFmtId="0" fontId="2" fillId="0" borderId="31" xfId="0" applyFont="1" applyBorder="1" applyAlignment="1">
      <alignment horizontal="right" vertical="distributed" wrapText="1"/>
    </xf>
    <xf numFmtId="0" fontId="2" fillId="0" borderId="31" xfId="0" applyFont="1" applyBorder="1" applyAlignment="1">
      <alignment horizontal="left"/>
    </xf>
    <xf numFmtId="2" fontId="5" fillId="0" borderId="30" xfId="0" applyNumberFormat="1" applyFont="1" applyBorder="1" applyAlignment="1">
      <alignment horizontal="center" vertical="center"/>
    </xf>
    <xf numFmtId="49" fontId="69" fillId="0" borderId="14" xfId="0" applyNumberFormat="1" applyFont="1" applyBorder="1" applyAlignment="1">
      <alignment horizontal="center" vertical="center" wrapText="1"/>
    </xf>
    <xf numFmtId="49" fontId="69" fillId="0" borderId="31" xfId="0" applyNumberFormat="1" applyFont="1" applyBorder="1" applyAlignment="1">
      <alignment horizontal="center" vertical="center" wrapText="1"/>
    </xf>
    <xf numFmtId="49" fontId="69" fillId="0" borderId="30" xfId="0" applyNumberFormat="1" applyFont="1" applyBorder="1" applyAlignment="1">
      <alignment horizontal="center" vertical="center" wrapText="1"/>
    </xf>
    <xf numFmtId="0" fontId="5" fillId="0" borderId="0" xfId="0" applyFont="1" applyBorder="1" applyAlignment="1">
      <alignment horizontal="left" vertical="center"/>
    </xf>
    <xf numFmtId="0" fontId="5" fillId="0" borderId="0" xfId="0" applyFont="1" applyBorder="1" applyAlignment="1">
      <alignment horizontal="center"/>
    </xf>
    <xf numFmtId="0" fontId="2" fillId="0" borderId="0" xfId="0" applyFont="1" applyBorder="1" applyAlignment="1">
      <alignment horizontal="right" vertical="distributed" wrapText="1"/>
    </xf>
    <xf numFmtId="0" fontId="5" fillId="0" borderId="4" xfId="0" applyFont="1" applyBorder="1" applyAlignment="1">
      <alignment horizontal="left" vertical="center"/>
    </xf>
    <xf numFmtId="0" fontId="6" fillId="0" borderId="0" xfId="0" applyFont="1" applyAlignment="1">
      <alignment horizontal="left" vertical="center"/>
    </xf>
    <xf numFmtId="14" fontId="2" fillId="0" borderId="14" xfId="0" applyNumberFormat="1" applyFont="1" applyBorder="1" applyAlignment="1">
      <alignment horizontal="left"/>
    </xf>
    <xf numFmtId="0" fontId="2" fillId="0" borderId="33" xfId="0" applyFont="1" applyBorder="1" applyAlignment="1">
      <alignment horizontal="right" vertical="distributed" wrapText="1"/>
    </xf>
    <xf numFmtId="0" fontId="2" fillId="0" borderId="16" xfId="0" applyFont="1" applyBorder="1" applyAlignment="1">
      <alignment horizontal="right" vertical="distributed" wrapText="1"/>
    </xf>
    <xf numFmtId="0" fontId="2" fillId="0" borderId="32" xfId="0" applyFont="1" applyBorder="1" applyAlignment="1">
      <alignment horizontal="right" vertical="distributed" wrapText="1"/>
    </xf>
    <xf numFmtId="0" fontId="2" fillId="0" borderId="3" xfId="0" applyFont="1" applyBorder="1" applyAlignment="1">
      <alignment horizontal="right" vertical="distributed" wrapText="1"/>
    </xf>
    <xf numFmtId="0" fontId="2" fillId="0" borderId="5" xfId="0" applyFont="1" applyBorder="1" applyAlignment="1">
      <alignment horizontal="right" vertical="distributed" wrapText="1"/>
    </xf>
    <xf numFmtId="49" fontId="2" fillId="0" borderId="6" xfId="0" applyNumberFormat="1" applyFont="1" applyBorder="1" applyAlignment="1">
      <alignment horizontal="left" vertical="center" wrapText="1"/>
    </xf>
    <xf numFmtId="0" fontId="2" fillId="0" borderId="33" xfId="0" applyFont="1" applyBorder="1" applyAlignment="1">
      <alignment horizontal="right" vertical="center" wrapText="1"/>
    </xf>
    <xf numFmtId="0" fontId="2" fillId="0" borderId="16" xfId="0" applyFont="1" applyBorder="1" applyAlignment="1">
      <alignment horizontal="right" vertical="center" wrapText="1"/>
    </xf>
    <xf numFmtId="0" fontId="2" fillId="0" borderId="32" xfId="0" applyFont="1" applyBorder="1" applyAlignment="1">
      <alignment horizontal="right" vertical="center" wrapText="1"/>
    </xf>
    <xf numFmtId="0" fontId="2" fillId="0" borderId="3" xfId="0" applyFont="1" applyBorder="1" applyAlignment="1">
      <alignment horizontal="right" vertical="center" wrapText="1"/>
    </xf>
    <xf numFmtId="0" fontId="2" fillId="0" borderId="4" xfId="0" applyFont="1" applyBorder="1" applyAlignment="1">
      <alignment horizontal="right" vertical="center" wrapText="1"/>
    </xf>
    <xf numFmtId="0" fontId="2" fillId="0" borderId="5" xfId="0" applyFont="1" applyBorder="1" applyAlignment="1">
      <alignment horizontal="right" vertical="center" wrapText="1"/>
    </xf>
    <xf numFmtId="0" fontId="2" fillId="0" borderId="6" xfId="0" applyFont="1" applyBorder="1" applyAlignment="1">
      <alignment horizontal="left" vertical="distributed" wrapText="1"/>
    </xf>
    <xf numFmtId="0" fontId="2" fillId="0" borderId="14" xfId="0" applyFont="1" applyBorder="1" applyAlignment="1">
      <alignment horizontal="right" vertical="center"/>
    </xf>
    <xf numFmtId="0" fontId="2" fillId="0" borderId="31" xfId="0" applyFont="1" applyBorder="1" applyAlignment="1">
      <alignment horizontal="right" vertical="center"/>
    </xf>
    <xf numFmtId="0" fontId="2" fillId="0" borderId="30" xfId="0" applyFont="1" applyBorder="1" applyAlignment="1">
      <alignment horizontal="center"/>
    </xf>
    <xf numFmtId="0" fontId="2" fillId="0" borderId="31" xfId="0" applyFont="1" applyBorder="1" applyAlignment="1">
      <alignment horizontal="center"/>
    </xf>
    <xf numFmtId="0" fontId="2" fillId="0" borderId="14" xfId="0" applyFont="1" applyBorder="1" applyAlignment="1">
      <alignment horizontal="center"/>
    </xf>
    <xf numFmtId="0" fontId="2" fillId="0" borderId="33" xfId="0" applyNumberFormat="1" applyFont="1" applyBorder="1" applyAlignment="1">
      <alignment horizontal="left" vertical="center" wrapText="1"/>
    </xf>
    <xf numFmtId="0" fontId="2" fillId="0" borderId="16" xfId="0" applyNumberFormat="1" applyFont="1" applyBorder="1" applyAlignment="1">
      <alignment horizontal="left" vertical="center" wrapText="1"/>
    </xf>
    <xf numFmtId="0" fontId="2" fillId="0" borderId="3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0" xfId="0" applyFont="1" applyBorder="1" applyAlignment="1">
      <alignment horizontal="right" vertical="center" wrapText="1"/>
    </xf>
    <xf numFmtId="0" fontId="2" fillId="0" borderId="33" xfId="0" applyFont="1" applyBorder="1" applyAlignment="1">
      <alignment horizontal="left" vertical="center" wrapText="1"/>
    </xf>
    <xf numFmtId="0" fontId="2" fillId="0" borderId="16" xfId="0" applyFont="1" applyBorder="1" applyAlignment="1">
      <alignment horizontal="left" vertical="center" wrapText="1"/>
    </xf>
    <xf numFmtId="0" fontId="2" fillId="0" borderId="32" xfId="0" applyFont="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5" xfId="0" applyFont="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20" fillId="0" borderId="6" xfId="0" applyFont="1" applyBorder="1" applyAlignment="1">
      <alignment horizontal="center" vertical="center" wrapText="1"/>
    </xf>
    <xf numFmtId="49" fontId="2" fillId="0" borderId="6" xfId="0" applyNumberFormat="1" applyFont="1" applyBorder="1" applyAlignment="1">
      <alignment horizontal="center" vertical="distributed" wrapText="1"/>
    </xf>
    <xf numFmtId="49" fontId="2" fillId="0" borderId="6" xfId="0" applyNumberFormat="1" applyFont="1" applyBorder="1" applyAlignment="1">
      <alignment horizontal="center"/>
    </xf>
    <xf numFmtId="0" fontId="20" fillId="0" borderId="6" xfId="0" applyFont="1" applyBorder="1" applyAlignment="1">
      <alignment horizontal="center" textRotation="90" wrapText="1"/>
    </xf>
    <xf numFmtId="0" fontId="20" fillId="0" borderId="6" xfId="0" applyFont="1" applyBorder="1" applyAlignment="1">
      <alignment horizontal="center" wrapText="1"/>
    </xf>
    <xf numFmtId="0" fontId="20" fillId="0" borderId="6" xfId="0" applyFont="1" applyBorder="1" applyAlignment="1">
      <alignment horizontal="center" vertical="center"/>
    </xf>
    <xf numFmtId="0" fontId="20" fillId="0" borderId="6" xfId="0" applyFont="1" applyBorder="1" applyAlignment="1">
      <alignment wrapText="1"/>
    </xf>
    <xf numFmtId="0" fontId="47" fillId="0" borderId="14" xfId="0" applyFont="1" applyBorder="1" applyAlignment="1">
      <alignment horizontal="center" vertical="top" wrapText="1"/>
    </xf>
    <xf numFmtId="0" fontId="47" fillId="0" borderId="31" xfId="0" applyFont="1" applyBorder="1" applyAlignment="1">
      <alignment horizontal="center" vertical="top" wrapText="1"/>
    </xf>
    <xf numFmtId="0" fontId="21" fillId="0" borderId="6" xfId="0" applyFont="1" applyBorder="1" applyAlignment="1">
      <alignment horizontal="center" vertical="center" wrapText="1"/>
    </xf>
    <xf numFmtId="0" fontId="5" fillId="0" borderId="0" xfId="0" applyFont="1" applyBorder="1" applyAlignment="1">
      <alignment horizontal="left"/>
    </xf>
    <xf numFmtId="14" fontId="2" fillId="0" borderId="14" xfId="0" applyNumberFormat="1" applyFont="1" applyBorder="1" applyAlignment="1">
      <alignment horizontal="center" vertical="distributed" wrapText="1"/>
    </xf>
    <xf numFmtId="0" fontId="2" fillId="0" borderId="30" xfId="0" applyFont="1" applyBorder="1" applyAlignment="1">
      <alignment horizontal="center" vertical="distributed" wrapText="1"/>
    </xf>
    <xf numFmtId="0" fontId="5" fillId="0" borderId="33" xfId="0"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0"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2" fillId="0" borderId="10" xfId="0" applyFont="1" applyBorder="1" applyAlignment="1">
      <alignment horizontal="center" vertical="center" textRotation="90" wrapText="1"/>
    </xf>
    <xf numFmtId="0" fontId="2" fillId="0" borderId="43" xfId="0" applyFont="1" applyBorder="1" applyAlignment="1">
      <alignment horizontal="center" vertical="center" textRotation="90" wrapText="1"/>
    </xf>
    <xf numFmtId="0" fontId="2" fillId="0" borderId="8" xfId="0" applyFont="1" applyBorder="1" applyAlignment="1">
      <alignment horizontal="center" vertical="center" textRotation="90" wrapText="1"/>
    </xf>
    <xf numFmtId="0" fontId="2" fillId="0" borderId="10" xfId="0" applyFont="1" applyBorder="1" applyAlignment="1">
      <alignment horizontal="center" vertical="center" textRotation="90"/>
    </xf>
    <xf numFmtId="0" fontId="2" fillId="0" borderId="43" xfId="0" applyFont="1" applyBorder="1" applyAlignment="1">
      <alignment horizontal="center" vertical="center" textRotation="90"/>
    </xf>
    <xf numFmtId="0" fontId="2" fillId="0" borderId="8" xfId="0" applyFont="1" applyBorder="1" applyAlignment="1">
      <alignment horizontal="center" vertical="center" textRotation="90"/>
    </xf>
    <xf numFmtId="0" fontId="2" fillId="0" borderId="6" xfId="0" applyFont="1" applyBorder="1" applyAlignment="1">
      <alignment horizontal="center" textRotation="90" wrapText="1"/>
    </xf>
    <xf numFmtId="0" fontId="2" fillId="0" borderId="14"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43"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0" xfId="0" applyFont="1" applyBorder="1" applyAlignment="1">
      <alignment horizontal="center" textRotation="90" wrapText="1"/>
    </xf>
    <xf numFmtId="0" fontId="2" fillId="0" borderId="43" xfId="0" applyFont="1" applyBorder="1" applyAlignment="1">
      <alignment horizontal="center" textRotation="90" wrapText="1"/>
    </xf>
    <xf numFmtId="0" fontId="2" fillId="0" borderId="8" xfId="0" applyFont="1" applyBorder="1" applyAlignment="1">
      <alignment horizontal="center" textRotation="90" wrapText="1"/>
    </xf>
    <xf numFmtId="0" fontId="2" fillId="0" borderId="6" xfId="0" applyFont="1" applyBorder="1" applyAlignment="1">
      <alignment horizontal="center" vertical="center" wrapText="1"/>
    </xf>
    <xf numFmtId="14" fontId="2" fillId="0" borderId="6" xfId="0" applyNumberFormat="1" applyFont="1" applyBorder="1" applyAlignment="1">
      <alignment horizontal="left" vertical="distributed" wrapText="1"/>
    </xf>
    <xf numFmtId="166" fontId="2" fillId="0" borderId="6" xfId="0" applyNumberFormat="1" applyFont="1" applyBorder="1" applyAlignment="1">
      <alignment horizontal="center"/>
    </xf>
    <xf numFmtId="0" fontId="2" fillId="0" borderId="6" xfId="0" applyFont="1" applyBorder="1" applyAlignment="1">
      <alignment horizontal="center"/>
    </xf>
    <xf numFmtId="2" fontId="5" fillId="0" borderId="4" xfId="0" applyNumberFormat="1" applyFont="1" applyBorder="1" applyAlignment="1">
      <alignment horizontal="center"/>
    </xf>
    <xf numFmtId="2" fontId="2" fillId="0" borderId="14" xfId="0" applyNumberFormat="1" applyFont="1" applyBorder="1" applyAlignment="1">
      <alignment horizontal="center" vertical="center" wrapText="1"/>
    </xf>
    <xf numFmtId="2" fontId="2" fillId="0" borderId="30" xfId="0" applyNumberFormat="1" applyFont="1" applyBorder="1" applyAlignment="1">
      <alignment horizontal="center" vertical="center" wrapText="1"/>
    </xf>
    <xf numFmtId="2" fontId="2" fillId="0" borderId="31" xfId="0" applyNumberFormat="1" applyFont="1" applyBorder="1" applyAlignment="1">
      <alignment horizontal="center" vertical="center" wrapText="1"/>
    </xf>
    <xf numFmtId="0" fontId="1" fillId="0" borderId="16" xfId="0" applyFont="1" applyBorder="1" applyAlignment="1">
      <alignment horizontal="center"/>
    </xf>
    <xf numFmtId="0" fontId="1" fillId="0" borderId="32" xfId="0" applyFont="1" applyBorder="1" applyAlignment="1">
      <alignment horizontal="center"/>
    </xf>
    <xf numFmtId="0" fontId="1" fillId="0" borderId="16" xfId="0" applyFont="1" applyBorder="1" applyAlignment="1">
      <alignment horizontal="right"/>
    </xf>
    <xf numFmtId="0" fontId="1" fillId="0" borderId="32" xfId="0" applyFont="1" applyBorder="1" applyAlignment="1">
      <alignment horizontal="right"/>
    </xf>
    <xf numFmtId="0" fontId="2" fillId="0" borderId="6" xfId="0" applyFont="1" applyBorder="1" applyAlignment="1">
      <alignment horizontal="left"/>
    </xf>
    <xf numFmtId="1" fontId="2" fillId="0" borderId="6" xfId="0" applyNumberFormat="1" applyFont="1" applyBorder="1" applyAlignment="1">
      <alignment horizontal="center" vertical="center" wrapText="1"/>
    </xf>
    <xf numFmtId="2" fontId="5" fillId="0" borderId="30" xfId="0" applyNumberFormat="1" applyFont="1" applyBorder="1" applyAlignment="1">
      <alignment horizontal="center"/>
    </xf>
    <xf numFmtId="0" fontId="1" fillId="0" borderId="0" xfId="0" applyFont="1" applyAlignment="1">
      <alignment horizontal="center" vertical="top" wrapText="1"/>
    </xf>
    <xf numFmtId="0" fontId="15" fillId="0" borderId="31" xfId="0" applyFont="1" applyBorder="1" applyAlignment="1" applyProtection="1">
      <alignment horizontal="right" vertical="center" wrapText="1"/>
      <protection locked="0"/>
    </xf>
    <xf numFmtId="165" fontId="2" fillId="0" borderId="14" xfId="0" applyNumberFormat="1" applyFont="1" applyBorder="1" applyAlignment="1" applyProtection="1">
      <alignment horizontal="left" vertical="center" wrapText="1"/>
      <protection locked="0"/>
    </xf>
    <xf numFmtId="165" fontId="2" fillId="0" borderId="30" xfId="0" applyNumberFormat="1" applyFont="1" applyBorder="1" applyAlignment="1" applyProtection="1">
      <alignment horizontal="left" vertical="center" wrapText="1"/>
      <protection locked="0"/>
    </xf>
    <xf numFmtId="165" fontId="2" fillId="0" borderId="31" xfId="0" applyNumberFormat="1" applyFont="1" applyBorder="1" applyAlignment="1" applyProtection="1">
      <alignment horizontal="left" vertical="center" wrapText="1"/>
      <protection locked="0"/>
    </xf>
    <xf numFmtId="0" fontId="13" fillId="0" borderId="0" xfId="0" applyFont="1" applyAlignment="1"/>
    <xf numFmtId="0" fontId="1" fillId="5" borderId="9" xfId="0" applyFont="1" applyFill="1" applyBorder="1" applyAlignment="1">
      <alignment horizontal="center" vertical="center" wrapText="1"/>
    </xf>
    <xf numFmtId="0" fontId="1" fillId="5" borderId="39" xfId="0" applyFont="1" applyFill="1" applyBorder="1" applyAlignment="1">
      <alignment horizontal="center" vertical="center"/>
    </xf>
    <xf numFmtId="0" fontId="1" fillId="5" borderId="43" xfId="0" applyFont="1" applyFill="1" applyBorder="1" applyAlignment="1">
      <alignment horizontal="center" vertical="center"/>
    </xf>
    <xf numFmtId="0" fontId="1" fillId="5" borderId="45" xfId="0" applyFont="1" applyFill="1" applyBorder="1" applyAlignment="1">
      <alignment horizontal="center" vertical="center"/>
    </xf>
    <xf numFmtId="0" fontId="1" fillId="5" borderId="47" xfId="0" applyFont="1" applyFill="1" applyBorder="1" applyAlignment="1">
      <alignment horizontal="center" vertical="center"/>
    </xf>
    <xf numFmtId="0" fontId="1" fillId="5" borderId="24" xfId="0" applyFont="1" applyFill="1" applyBorder="1" applyAlignment="1">
      <alignment horizontal="center" vertical="center"/>
    </xf>
    <xf numFmtId="0" fontId="1" fillId="5" borderId="48" xfId="0" applyFont="1" applyFill="1" applyBorder="1" applyAlignment="1">
      <alignment horizontal="center" vertical="center"/>
    </xf>
    <xf numFmtId="0" fontId="1" fillId="5" borderId="55" xfId="0" applyFont="1" applyFill="1" applyBorder="1" applyAlignment="1">
      <alignment horizontal="center" vertical="center"/>
    </xf>
    <xf numFmtId="0" fontId="1" fillId="5" borderId="21" xfId="0" applyFont="1" applyFill="1" applyBorder="1" applyAlignment="1">
      <alignment horizontal="center" vertical="center"/>
    </xf>
    <xf numFmtId="0" fontId="1" fillId="5" borderId="56" xfId="0" applyFont="1" applyFill="1" applyBorder="1" applyAlignment="1">
      <alignment horizontal="center" vertical="center"/>
    </xf>
    <xf numFmtId="0" fontId="1" fillId="0" borderId="40"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7" xfId="0" applyFont="1" applyBorder="1" applyAlignment="1">
      <alignment horizontal="center" vertical="center" wrapText="1"/>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14" fontId="12" fillId="0" borderId="0" xfId="0" applyNumberFormat="1" applyFont="1" applyAlignment="1">
      <alignment horizontal="center"/>
    </xf>
    <xf numFmtId="0" fontId="1" fillId="5" borderId="6" xfId="0" applyFont="1" applyFill="1" applyBorder="1" applyAlignment="1">
      <alignment horizontal="center" vertical="center" wrapText="1"/>
    </xf>
    <xf numFmtId="0" fontId="1" fillId="5" borderId="35" xfId="0" applyFont="1" applyFill="1" applyBorder="1" applyAlignment="1">
      <alignment horizontal="center" vertical="center" wrapText="1"/>
    </xf>
    <xf numFmtId="0" fontId="1" fillId="5" borderId="38" xfId="0" applyFont="1" applyFill="1" applyBorder="1" applyAlignment="1">
      <alignment horizontal="center" vertical="center"/>
    </xf>
    <xf numFmtId="0" fontId="1" fillId="5" borderId="46" xfId="0" applyFont="1" applyFill="1" applyBorder="1" applyAlignment="1">
      <alignment horizontal="center" vertical="center"/>
    </xf>
    <xf numFmtId="0" fontId="1" fillId="6" borderId="38" xfId="0" applyFont="1" applyFill="1" applyBorder="1" applyAlignment="1">
      <alignment horizontal="center" vertical="center"/>
    </xf>
    <xf numFmtId="0" fontId="1" fillId="6" borderId="46" xfId="0" applyFont="1" applyFill="1" applyBorder="1" applyAlignment="1">
      <alignment horizontal="center" vertical="center"/>
    </xf>
    <xf numFmtId="0" fontId="1" fillId="6" borderId="47" xfId="0" applyFont="1" applyFill="1" applyBorder="1" applyAlignment="1">
      <alignment horizontal="center" vertical="center"/>
    </xf>
    <xf numFmtId="0" fontId="1" fillId="6" borderId="24" xfId="0" applyFont="1" applyFill="1" applyBorder="1" applyAlignment="1">
      <alignment horizontal="center" vertical="center"/>
    </xf>
    <xf numFmtId="0" fontId="1" fillId="6" borderId="48" xfId="0" applyFont="1" applyFill="1" applyBorder="1" applyAlignment="1">
      <alignment horizontal="center" vertical="center"/>
    </xf>
    <xf numFmtId="0" fontId="1" fillId="6" borderId="55" xfId="0" applyFont="1" applyFill="1" applyBorder="1" applyAlignment="1">
      <alignment horizontal="center" vertical="center"/>
    </xf>
    <xf numFmtId="0" fontId="1" fillId="6" borderId="21" xfId="0" applyFont="1" applyFill="1" applyBorder="1" applyAlignment="1">
      <alignment horizontal="center" vertical="center"/>
    </xf>
    <xf numFmtId="0" fontId="1" fillId="6" borderId="56" xfId="0" applyFont="1" applyFill="1" applyBorder="1" applyAlignment="1">
      <alignment horizontal="center" vertical="center"/>
    </xf>
    <xf numFmtId="0" fontId="1" fillId="6" borderId="39" xfId="0" applyFont="1" applyFill="1" applyBorder="1" applyAlignment="1">
      <alignment horizontal="center" vertical="center"/>
    </xf>
    <xf numFmtId="0" fontId="1" fillId="6" borderId="45" xfId="0" applyFont="1" applyFill="1" applyBorder="1" applyAlignment="1">
      <alignment horizontal="center" vertical="center"/>
    </xf>
    <xf numFmtId="0" fontId="1" fillId="6" borderId="40" xfId="0" applyFont="1" applyFill="1" applyBorder="1" applyAlignment="1">
      <alignment horizontal="center" vertical="center"/>
    </xf>
    <xf numFmtId="0" fontId="1" fillId="6" borderId="57" xfId="0" applyFont="1" applyFill="1" applyBorder="1" applyAlignment="1">
      <alignment horizontal="center" vertical="center"/>
    </xf>
    <xf numFmtId="0" fontId="13" fillId="0" borderId="0" xfId="0" applyFont="1" applyAlignment="1">
      <alignment horizontal="left"/>
    </xf>
    <xf numFmtId="0" fontId="1" fillId="0" borderId="0" xfId="0" applyFont="1" applyAlignment="1">
      <alignment horizontal="left" wrapText="1"/>
    </xf>
    <xf numFmtId="0" fontId="1" fillId="6" borderId="35" xfId="0" applyFont="1" applyFill="1" applyBorder="1" applyAlignment="1">
      <alignment horizontal="center" vertical="center" wrapText="1"/>
    </xf>
    <xf numFmtId="0" fontId="1" fillId="6" borderId="43" xfId="0" applyFont="1" applyFill="1" applyBorder="1" applyAlignment="1">
      <alignment horizontal="center" vertical="center"/>
    </xf>
    <xf numFmtId="0" fontId="1" fillId="6" borderId="14" xfId="0" applyFont="1" applyFill="1" applyBorder="1" applyAlignment="1">
      <alignment horizontal="center" vertical="center"/>
    </xf>
    <xf numFmtId="0" fontId="1" fillId="6" borderId="30" xfId="0" applyFont="1" applyFill="1" applyBorder="1" applyAlignment="1">
      <alignment horizontal="center" vertical="center"/>
    </xf>
    <xf numFmtId="0" fontId="1" fillId="6" borderId="31" xfId="0" applyFont="1" applyFill="1" applyBorder="1" applyAlignment="1">
      <alignment horizontal="center" vertical="center"/>
    </xf>
    <xf numFmtId="0" fontId="1" fillId="6" borderId="6" xfId="0" applyFont="1" applyFill="1" applyBorder="1" applyAlignment="1">
      <alignment horizontal="center" vertical="center" wrapText="1"/>
    </xf>
    <xf numFmtId="0" fontId="1" fillId="6" borderId="9" xfId="0" applyFont="1" applyFill="1" applyBorder="1" applyAlignment="1">
      <alignment horizontal="center" vertical="center" wrapText="1"/>
    </xf>
    <xf numFmtId="0" fontId="7" fillId="0" borderId="0" xfId="4" applyFont="1" applyAlignment="1">
      <alignment horizontal="center" vertical="center" wrapText="1"/>
    </xf>
    <xf numFmtId="0" fontId="54" fillId="0" borderId="0" xfId="4" applyFont="1" applyAlignment="1">
      <alignment horizontal="left" vertical="center" wrapText="1"/>
    </xf>
    <xf numFmtId="0" fontId="52" fillId="0" borderId="6" xfId="4" applyFont="1" applyBorder="1" applyAlignment="1">
      <alignment horizontal="center" vertical="center" wrapText="1"/>
    </xf>
    <xf numFmtId="14" fontId="52" fillId="0" borderId="6" xfId="4" applyNumberFormat="1" applyFont="1" applyBorder="1" applyAlignment="1">
      <alignment horizontal="left" vertical="center" wrapText="1"/>
    </xf>
    <xf numFmtId="0" fontId="52" fillId="0" borderId="6" xfId="4" applyFont="1" applyBorder="1" applyAlignment="1">
      <alignment horizontal="left" vertical="center" wrapText="1"/>
    </xf>
    <xf numFmtId="0" fontId="52" fillId="0" borderId="10" xfId="4" applyFont="1" applyBorder="1" applyAlignment="1">
      <alignment horizontal="center" vertical="center" wrapText="1"/>
    </xf>
    <xf numFmtId="0" fontId="52" fillId="0" borderId="8" xfId="4" applyFont="1" applyBorder="1" applyAlignment="1">
      <alignment horizontal="center" vertical="center" wrapText="1"/>
    </xf>
    <xf numFmtId="0" fontId="52" fillId="0" borderId="10" xfId="4" applyFont="1" applyBorder="1" applyAlignment="1">
      <alignment horizontal="center" vertical="center"/>
    </xf>
    <xf numFmtId="0" fontId="52" fillId="0" borderId="8" xfId="4" applyFont="1" applyBorder="1" applyAlignment="1">
      <alignment horizontal="center" vertical="center"/>
    </xf>
    <xf numFmtId="0" fontId="52" fillId="0" borderId="0" xfId="4" applyFont="1" applyAlignment="1">
      <alignment horizontal="left"/>
    </xf>
    <xf numFmtId="0" fontId="22" fillId="0" borderId="0" xfId="0" applyFont="1" applyAlignment="1">
      <alignment horizontal="left" wrapText="1"/>
    </xf>
    <xf numFmtId="0" fontId="88" fillId="0" borderId="0" xfId="0" applyFont="1" applyAlignment="1">
      <alignment horizontal="right" vertical="center" wrapText="1"/>
    </xf>
    <xf numFmtId="0" fontId="2" fillId="0" borderId="0" xfId="0" applyFont="1" applyAlignment="1">
      <alignment horizontal="left" vertical="center"/>
    </xf>
    <xf numFmtId="0" fontId="13" fillId="0" borderId="0" xfId="1" applyFont="1" applyFill="1" applyBorder="1" applyAlignment="1">
      <alignment horizontal="left" vertical="center" wrapText="1"/>
    </xf>
    <xf numFmtId="0" fontId="19" fillId="0" borderId="0" xfId="1" applyFont="1" applyFill="1" applyBorder="1" applyAlignment="1">
      <alignment vertical="center"/>
    </xf>
    <xf numFmtId="0" fontId="21" fillId="0" borderId="16" xfId="1" applyFont="1" applyFill="1" applyBorder="1" applyAlignment="1">
      <alignment horizontal="left" vertical="distributed" wrapText="1"/>
    </xf>
    <xf numFmtId="0" fontId="89" fillId="0" borderId="0" xfId="0" applyFont="1" applyFill="1" applyBorder="1" applyAlignment="1">
      <alignment horizontal="center" vertical="center" wrapText="1"/>
    </xf>
    <xf numFmtId="0" fontId="89" fillId="0" borderId="0" xfId="0" applyFont="1" applyFill="1" applyBorder="1" applyAlignment="1">
      <alignment vertical="center" wrapText="1"/>
    </xf>
    <xf numFmtId="0" fontId="13" fillId="9" borderId="0" xfId="1" quotePrefix="1" applyFont="1" applyFill="1" applyBorder="1" applyAlignment="1">
      <alignment horizontal="left" vertical="top" wrapText="1"/>
    </xf>
    <xf numFmtId="0" fontId="13" fillId="9" borderId="4" xfId="1" quotePrefix="1" applyFont="1" applyFill="1" applyBorder="1" applyAlignment="1">
      <alignment horizontal="left" vertical="top" wrapText="1"/>
    </xf>
    <xf numFmtId="0" fontId="1" fillId="0" borderId="0" xfId="0" applyFont="1" applyAlignment="1">
      <alignment horizontal="right" vertical="center" wrapText="1"/>
    </xf>
    <xf numFmtId="0" fontId="13" fillId="0" borderId="4" xfId="1" quotePrefix="1" applyFont="1" applyFill="1" applyBorder="1" applyAlignment="1">
      <alignment horizontal="left" vertical="center" wrapText="1"/>
    </xf>
    <xf numFmtId="0" fontId="2" fillId="0" borderId="4" xfId="0" applyFont="1" applyBorder="1" applyAlignment="1">
      <alignment horizontal="center"/>
    </xf>
    <xf numFmtId="0" fontId="13" fillId="0" borderId="0" xfId="0" applyFont="1" applyAlignment="1">
      <alignment vertical="center" wrapText="1"/>
    </xf>
    <xf numFmtId="0" fontId="13" fillId="0" borderId="0" xfId="0" applyFont="1" applyAlignment="1">
      <alignment horizontal="left" vertical="center" wrapText="1"/>
    </xf>
  </cellXfs>
  <cellStyles count="9">
    <cellStyle name="Обычный" xfId="0" builtinId="0"/>
    <cellStyle name="Обычный 3" xfId="1"/>
    <cellStyle name="Обычный_076-00086-52029-09" xfId="2"/>
    <cellStyle name="Обычный_076-00086-52029-09 2" xfId="3"/>
    <cellStyle name="Обычный_ГГХ Таблица" xfId="4"/>
    <cellStyle name="Обычный_Лист1" xfId="5"/>
    <cellStyle name="Обычный_Лист1 2" xfId="6"/>
    <cellStyle name="Обычный_Проект акта отбора проб ред1" xfId="7"/>
    <cellStyle name="Обычный_Проект акта отбора проб ред1 2"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5.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7.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7.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542925</xdr:colOff>
      <xdr:row>128</xdr:row>
      <xdr:rowOff>9525</xdr:rowOff>
    </xdr:from>
    <xdr:to>
      <xdr:col>8</xdr:col>
      <xdr:colOff>276225</xdr:colOff>
      <xdr:row>130</xdr:row>
      <xdr:rowOff>82924</xdr:rowOff>
    </xdr:to>
    <xdr:pic>
      <xdr:nvPicPr>
        <xdr:cNvPr id="19282" name="Рисунок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57575" y="25527000"/>
          <a:ext cx="62865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142875</xdr:colOff>
      <xdr:row>127</xdr:row>
      <xdr:rowOff>28575</xdr:rowOff>
    </xdr:from>
    <xdr:to>
      <xdr:col>15</xdr:col>
      <xdr:colOff>114300</xdr:colOff>
      <xdr:row>130</xdr:row>
      <xdr:rowOff>49306</xdr:rowOff>
    </xdr:to>
    <xdr:pic>
      <xdr:nvPicPr>
        <xdr:cNvPr id="19284" name="Рисунок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96125" y="25384125"/>
          <a:ext cx="8667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191061</xdr:colOff>
      <xdr:row>127</xdr:row>
      <xdr:rowOff>89578</xdr:rowOff>
    </xdr:from>
    <xdr:to>
      <xdr:col>18</xdr:col>
      <xdr:colOff>324970</xdr:colOff>
      <xdr:row>129</xdr:row>
      <xdr:rowOff>4356</xdr:rowOff>
    </xdr:to>
    <xdr:sp macro="" textlink="">
      <xdr:nvSpPr>
        <xdr:cNvPr id="8" name="Надпись 2"/>
        <xdr:cNvSpPr txBox="1">
          <a:spLocks noChangeArrowheads="1"/>
        </xdr:cNvSpPr>
      </xdr:nvSpPr>
      <xdr:spPr bwMode="auto">
        <a:xfrm>
          <a:off x="8057590" y="22815107"/>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13</xdr:col>
      <xdr:colOff>142875</xdr:colOff>
      <xdr:row>129</xdr:row>
      <xdr:rowOff>85725</xdr:rowOff>
    </xdr:from>
    <xdr:to>
      <xdr:col>14</xdr:col>
      <xdr:colOff>400050</xdr:colOff>
      <xdr:row>134</xdr:row>
      <xdr:rowOff>54349</xdr:rowOff>
    </xdr:to>
    <xdr:pic>
      <xdr:nvPicPr>
        <xdr:cNvPr id="19286" name="Рисунок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96125" y="25765125"/>
          <a:ext cx="5429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534003</xdr:colOff>
      <xdr:row>131</xdr:row>
      <xdr:rowOff>13308</xdr:rowOff>
    </xdr:from>
    <xdr:to>
      <xdr:col>17</xdr:col>
      <xdr:colOff>862853</xdr:colOff>
      <xdr:row>132</xdr:row>
      <xdr:rowOff>28939</xdr:rowOff>
    </xdr:to>
    <xdr:sp macro="" textlink="">
      <xdr:nvSpPr>
        <xdr:cNvPr id="9" name="Надпись 2"/>
        <xdr:cNvSpPr txBox="1">
          <a:spLocks noChangeArrowheads="1"/>
        </xdr:cNvSpPr>
      </xdr:nvSpPr>
      <xdr:spPr bwMode="auto">
        <a:xfrm>
          <a:off x="7795415" y="23299132"/>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0</xdr:col>
      <xdr:colOff>47625</xdr:colOff>
      <xdr:row>0</xdr:row>
      <xdr:rowOff>0</xdr:rowOff>
    </xdr:from>
    <xdr:to>
      <xdr:col>2</xdr:col>
      <xdr:colOff>38100</xdr:colOff>
      <xdr:row>0</xdr:row>
      <xdr:rowOff>733425</xdr:rowOff>
    </xdr:to>
    <xdr:pic>
      <xdr:nvPicPr>
        <xdr:cNvPr id="19288" name="Рисунок 9" descr="C:\Users\matveeva\Documents\РЭИ ЛОГОТИП 2020-текст.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b="13072"/>
        <a:stretch>
          <a:fillRect/>
        </a:stretch>
      </xdr:blipFill>
      <xdr:spPr bwMode="auto">
        <a:xfrm>
          <a:off x="47625" y="0"/>
          <a:ext cx="8858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358588</xdr:colOff>
      <xdr:row>128</xdr:row>
      <xdr:rowOff>78441</xdr:rowOff>
    </xdr:from>
    <xdr:to>
      <xdr:col>12</xdr:col>
      <xdr:colOff>763567</xdr:colOff>
      <xdr:row>130</xdr:row>
      <xdr:rowOff>4426</xdr:rowOff>
    </xdr:to>
    <xdr:sp macro="" textlink="">
      <xdr:nvSpPr>
        <xdr:cNvPr id="10" name="Надпись 2"/>
        <xdr:cNvSpPr txBox="1">
          <a:spLocks noChangeArrowheads="1"/>
        </xdr:cNvSpPr>
      </xdr:nvSpPr>
      <xdr:spPr bwMode="auto">
        <a:xfrm>
          <a:off x="4179794" y="22725529"/>
          <a:ext cx="2702185" cy="194926"/>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Главный специалист отдела КИИМ Ермолов Т.А.</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1</xdr:row>
      <xdr:rowOff>38100</xdr:rowOff>
    </xdr:from>
    <xdr:to>
      <xdr:col>2</xdr:col>
      <xdr:colOff>9525</xdr:colOff>
      <xdr:row>1</xdr:row>
      <xdr:rowOff>762000</xdr:rowOff>
    </xdr:to>
    <xdr:pic>
      <xdr:nvPicPr>
        <xdr:cNvPr id="25392" name="Рисунок 9" descr="C:\Users\matveeva\Documents\РЭИ ЛОГОТИП 2020-текст.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3072"/>
        <a:stretch>
          <a:fillRect/>
        </a:stretch>
      </xdr:blipFill>
      <xdr:spPr bwMode="auto">
        <a:xfrm>
          <a:off x="19050" y="38100"/>
          <a:ext cx="8858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106</xdr:row>
      <xdr:rowOff>14567</xdr:rowOff>
    </xdr:from>
    <xdr:to>
      <xdr:col>10</xdr:col>
      <xdr:colOff>629771</xdr:colOff>
      <xdr:row>108</xdr:row>
      <xdr:rowOff>43142</xdr:rowOff>
    </xdr:to>
    <xdr:pic>
      <xdr:nvPicPr>
        <xdr:cNvPr id="9" name="Рисунок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97824" y="14414126"/>
          <a:ext cx="629771" cy="342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654537</xdr:colOff>
      <xdr:row>106</xdr:row>
      <xdr:rowOff>43701</xdr:rowOff>
    </xdr:from>
    <xdr:to>
      <xdr:col>15</xdr:col>
      <xdr:colOff>734546</xdr:colOff>
      <xdr:row>107</xdr:row>
      <xdr:rowOff>81744</xdr:rowOff>
    </xdr:to>
    <xdr:sp macro="" textlink="">
      <xdr:nvSpPr>
        <xdr:cNvPr id="10" name="Надпись 2"/>
        <xdr:cNvSpPr txBox="1">
          <a:spLocks noChangeArrowheads="1"/>
        </xdr:cNvSpPr>
      </xdr:nvSpPr>
      <xdr:spPr bwMode="auto">
        <a:xfrm>
          <a:off x="5652361" y="14443260"/>
          <a:ext cx="2702185"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Главный специалист отдела КИИМ Ермолов Т.А.</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16</xdr:col>
      <xdr:colOff>227480</xdr:colOff>
      <xdr:row>105</xdr:row>
      <xdr:rowOff>0</xdr:rowOff>
    </xdr:from>
    <xdr:to>
      <xdr:col>17</xdr:col>
      <xdr:colOff>176492</xdr:colOff>
      <xdr:row>108</xdr:row>
      <xdr:rowOff>9525</xdr:rowOff>
    </xdr:to>
    <xdr:pic>
      <xdr:nvPicPr>
        <xdr:cNvPr id="11"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43098" y="14242676"/>
          <a:ext cx="867895" cy="480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253254</xdr:colOff>
      <xdr:row>105</xdr:row>
      <xdr:rowOff>61003</xdr:rowOff>
    </xdr:from>
    <xdr:to>
      <xdr:col>21</xdr:col>
      <xdr:colOff>510429</xdr:colOff>
      <xdr:row>106</xdr:row>
      <xdr:rowOff>99045</xdr:rowOff>
    </xdr:to>
    <xdr:sp macro="" textlink="">
      <xdr:nvSpPr>
        <xdr:cNvPr id="12" name="Надпись 2"/>
        <xdr:cNvSpPr txBox="1">
          <a:spLocks noChangeArrowheads="1"/>
        </xdr:cNvSpPr>
      </xdr:nvSpPr>
      <xdr:spPr bwMode="auto">
        <a:xfrm>
          <a:off x="9587754" y="14303679"/>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16</xdr:col>
      <xdr:colOff>227480</xdr:colOff>
      <xdr:row>107</xdr:row>
      <xdr:rowOff>23532</xdr:rowOff>
    </xdr:from>
    <xdr:to>
      <xdr:col>16</xdr:col>
      <xdr:colOff>776008</xdr:colOff>
      <xdr:row>111</xdr:row>
      <xdr:rowOff>36980</xdr:rowOff>
    </xdr:to>
    <xdr:pic>
      <xdr:nvPicPr>
        <xdr:cNvPr id="13" name="Рисунок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43098" y="14579973"/>
          <a:ext cx="548528" cy="7082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909961</xdr:colOff>
      <xdr:row>108</xdr:row>
      <xdr:rowOff>74379</xdr:rowOff>
    </xdr:from>
    <xdr:to>
      <xdr:col>21</xdr:col>
      <xdr:colOff>129429</xdr:colOff>
      <xdr:row>109</xdr:row>
      <xdr:rowOff>78804</xdr:rowOff>
    </xdr:to>
    <xdr:sp macro="" textlink="">
      <xdr:nvSpPr>
        <xdr:cNvPr id="14" name="Надпись 2"/>
        <xdr:cNvSpPr txBox="1">
          <a:spLocks noChangeArrowheads="1"/>
        </xdr:cNvSpPr>
      </xdr:nvSpPr>
      <xdr:spPr bwMode="auto">
        <a:xfrm>
          <a:off x="9325579" y="14787703"/>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180975</xdr:colOff>
      <xdr:row>93</xdr:row>
      <xdr:rowOff>152400</xdr:rowOff>
    </xdr:from>
    <xdr:to>
      <xdr:col>15</xdr:col>
      <xdr:colOff>66675</xdr:colOff>
      <xdr:row>98</xdr:row>
      <xdr:rowOff>114299</xdr:rowOff>
    </xdr:to>
    <xdr:pic>
      <xdr:nvPicPr>
        <xdr:cNvPr id="27360" name="Рисунок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77075" y="12934950"/>
          <a:ext cx="8667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210797</xdr:colOff>
      <xdr:row>95</xdr:row>
      <xdr:rowOff>13936</xdr:rowOff>
    </xdr:from>
    <xdr:to>
      <xdr:col>18</xdr:col>
      <xdr:colOff>97156</xdr:colOff>
      <xdr:row>98</xdr:row>
      <xdr:rowOff>9603</xdr:rowOff>
    </xdr:to>
    <xdr:sp macro="" textlink="">
      <xdr:nvSpPr>
        <xdr:cNvPr id="7" name="Надпись 2"/>
        <xdr:cNvSpPr txBox="1">
          <a:spLocks noChangeArrowheads="1"/>
        </xdr:cNvSpPr>
      </xdr:nvSpPr>
      <xdr:spPr bwMode="auto">
        <a:xfrm>
          <a:off x="8087972" y="13006036"/>
          <a:ext cx="1696109" cy="300467"/>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a:p>
          <a:pPr marL="0" marR="0" lvl="0" indent="0" algn="ctr" defTabSz="914400" eaLnBrk="1" fontAlgn="auto" latinLnBrk="0" hangingPunct="1">
            <a:lnSpc>
              <a:spcPts val="7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13</xdr:col>
      <xdr:colOff>95250</xdr:colOff>
      <xdr:row>98</xdr:row>
      <xdr:rowOff>142875</xdr:rowOff>
    </xdr:from>
    <xdr:to>
      <xdr:col>14</xdr:col>
      <xdr:colOff>257176</xdr:colOff>
      <xdr:row>107</xdr:row>
      <xdr:rowOff>66676</xdr:rowOff>
    </xdr:to>
    <xdr:pic>
      <xdr:nvPicPr>
        <xdr:cNvPr id="27362" name="Рисунок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67575" y="13439775"/>
          <a:ext cx="5524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108823</xdr:colOff>
      <xdr:row>100</xdr:row>
      <xdr:rowOff>128147</xdr:rowOff>
    </xdr:from>
    <xdr:to>
      <xdr:col>18</xdr:col>
      <xdr:colOff>4642</xdr:colOff>
      <xdr:row>102</xdr:row>
      <xdr:rowOff>167587</xdr:rowOff>
    </xdr:to>
    <xdr:sp macro="" textlink="">
      <xdr:nvSpPr>
        <xdr:cNvPr id="9" name="Надпись 2"/>
        <xdr:cNvSpPr txBox="1">
          <a:spLocks noChangeArrowheads="1"/>
        </xdr:cNvSpPr>
      </xdr:nvSpPr>
      <xdr:spPr bwMode="auto">
        <a:xfrm>
          <a:off x="8218408" y="13827002"/>
          <a:ext cx="1676991" cy="300467"/>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a:p>
          <a:pPr marL="0" marR="0" lvl="0" indent="0" algn="ctr" defTabSz="914400" eaLnBrk="1" fontAlgn="auto" latinLnBrk="0" hangingPunct="1">
            <a:lnSpc>
              <a:spcPts val="7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609600</xdr:colOff>
      <xdr:row>0</xdr:row>
      <xdr:rowOff>728382</xdr:rowOff>
    </xdr:to>
    <xdr:pic>
      <xdr:nvPicPr>
        <xdr:cNvPr id="40268" name="Рисунок 9" descr="C:\Users\matveeva\Documents\РЭИ ЛОГОТИП 2020-текст.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3072"/>
        <a:stretch>
          <a:fillRect/>
        </a:stretch>
      </xdr:blipFill>
      <xdr:spPr bwMode="auto">
        <a:xfrm>
          <a:off x="0" y="0"/>
          <a:ext cx="8858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56</xdr:row>
      <xdr:rowOff>14567</xdr:rowOff>
    </xdr:from>
    <xdr:to>
      <xdr:col>14</xdr:col>
      <xdr:colOff>338418</xdr:colOff>
      <xdr:row>58</xdr:row>
      <xdr:rowOff>43143</xdr:rowOff>
    </xdr:to>
    <xdr:pic>
      <xdr:nvPicPr>
        <xdr:cNvPr id="10" name="Рисунок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26088" y="12811685"/>
          <a:ext cx="629771" cy="342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93009</xdr:colOff>
      <xdr:row>55</xdr:row>
      <xdr:rowOff>0</xdr:rowOff>
    </xdr:from>
    <xdr:to>
      <xdr:col>19</xdr:col>
      <xdr:colOff>109257</xdr:colOff>
      <xdr:row>58</xdr:row>
      <xdr:rowOff>9525</xdr:rowOff>
    </xdr:to>
    <xdr:pic>
      <xdr:nvPicPr>
        <xdr:cNvPr id="12"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671362" y="12640235"/>
          <a:ext cx="867895" cy="480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186018</xdr:colOff>
      <xdr:row>55</xdr:row>
      <xdr:rowOff>61003</xdr:rowOff>
    </xdr:from>
    <xdr:to>
      <xdr:col>24</xdr:col>
      <xdr:colOff>286310</xdr:colOff>
      <xdr:row>56</xdr:row>
      <xdr:rowOff>99045</xdr:rowOff>
    </xdr:to>
    <xdr:sp macro="" textlink="">
      <xdr:nvSpPr>
        <xdr:cNvPr id="13" name="Надпись 2"/>
        <xdr:cNvSpPr txBox="1">
          <a:spLocks noChangeArrowheads="1"/>
        </xdr:cNvSpPr>
      </xdr:nvSpPr>
      <xdr:spPr bwMode="auto">
        <a:xfrm>
          <a:off x="11616018" y="12701238"/>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18</xdr:col>
      <xdr:colOff>93009</xdr:colOff>
      <xdr:row>57</xdr:row>
      <xdr:rowOff>23532</xdr:rowOff>
    </xdr:from>
    <xdr:to>
      <xdr:col>18</xdr:col>
      <xdr:colOff>641537</xdr:colOff>
      <xdr:row>61</xdr:row>
      <xdr:rowOff>104215</xdr:rowOff>
    </xdr:to>
    <xdr:pic>
      <xdr:nvPicPr>
        <xdr:cNvPr id="14" name="Рисунок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71362" y="12977532"/>
          <a:ext cx="548528" cy="7082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775490</xdr:colOff>
      <xdr:row>58</xdr:row>
      <xdr:rowOff>74380</xdr:rowOff>
    </xdr:from>
    <xdr:to>
      <xdr:col>23</xdr:col>
      <xdr:colOff>443193</xdr:colOff>
      <xdr:row>59</xdr:row>
      <xdr:rowOff>112422</xdr:rowOff>
    </xdr:to>
    <xdr:sp macro="" textlink="">
      <xdr:nvSpPr>
        <xdr:cNvPr id="15" name="Надпись 2"/>
        <xdr:cNvSpPr txBox="1">
          <a:spLocks noChangeArrowheads="1"/>
        </xdr:cNvSpPr>
      </xdr:nvSpPr>
      <xdr:spPr bwMode="auto">
        <a:xfrm>
          <a:off x="11353843" y="13185262"/>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xdr:from>
      <xdr:col>14</xdr:col>
      <xdr:colOff>425823</xdr:colOff>
      <xdr:row>56</xdr:row>
      <xdr:rowOff>22411</xdr:rowOff>
    </xdr:from>
    <xdr:to>
      <xdr:col>17</xdr:col>
      <xdr:colOff>785978</xdr:colOff>
      <xdr:row>57</xdr:row>
      <xdr:rowOff>60455</xdr:rowOff>
    </xdr:to>
    <xdr:sp macro="" textlink="">
      <xdr:nvSpPr>
        <xdr:cNvPr id="9" name="Надпись 2"/>
        <xdr:cNvSpPr txBox="1">
          <a:spLocks noChangeArrowheads="1"/>
        </xdr:cNvSpPr>
      </xdr:nvSpPr>
      <xdr:spPr bwMode="auto">
        <a:xfrm>
          <a:off x="7743264" y="12819529"/>
          <a:ext cx="2702185" cy="194926"/>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Главный специалист отдела КИИМ Ермолов Т.А.</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609600</xdr:colOff>
      <xdr:row>0</xdr:row>
      <xdr:rowOff>728382</xdr:rowOff>
    </xdr:to>
    <xdr:pic>
      <xdr:nvPicPr>
        <xdr:cNvPr id="42199" name="Рисунок 9" descr="C:\Users\matveeva\Documents\РЭИ ЛОГОТИП 2020-текст.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3072"/>
        <a:stretch>
          <a:fillRect/>
        </a:stretch>
      </xdr:blipFill>
      <xdr:spPr bwMode="auto">
        <a:xfrm>
          <a:off x="0" y="0"/>
          <a:ext cx="8858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143</xdr:row>
      <xdr:rowOff>14567</xdr:rowOff>
    </xdr:from>
    <xdr:to>
      <xdr:col>3</xdr:col>
      <xdr:colOff>349624</xdr:colOff>
      <xdr:row>145</xdr:row>
      <xdr:rowOff>43142</xdr:rowOff>
    </xdr:to>
    <xdr:pic>
      <xdr:nvPicPr>
        <xdr:cNvPr id="10" name="Рисунок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471" y="16240685"/>
          <a:ext cx="629771" cy="342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115421</xdr:colOff>
      <xdr:row>142</xdr:row>
      <xdr:rowOff>0</xdr:rowOff>
    </xdr:from>
    <xdr:to>
      <xdr:col>10</xdr:col>
      <xdr:colOff>310964</xdr:colOff>
      <xdr:row>145</xdr:row>
      <xdr:rowOff>9524</xdr:rowOff>
    </xdr:to>
    <xdr:pic>
      <xdr:nvPicPr>
        <xdr:cNvPr id="12"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41745" y="16069235"/>
          <a:ext cx="867895" cy="480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387725</xdr:colOff>
      <xdr:row>142</xdr:row>
      <xdr:rowOff>61003</xdr:rowOff>
    </xdr:from>
    <xdr:to>
      <xdr:col>15</xdr:col>
      <xdr:colOff>544046</xdr:colOff>
      <xdr:row>143</xdr:row>
      <xdr:rowOff>99045</xdr:rowOff>
    </xdr:to>
    <xdr:sp macro="" textlink="">
      <xdr:nvSpPr>
        <xdr:cNvPr id="13" name="Надпись 2"/>
        <xdr:cNvSpPr txBox="1">
          <a:spLocks noChangeArrowheads="1"/>
        </xdr:cNvSpPr>
      </xdr:nvSpPr>
      <xdr:spPr bwMode="auto">
        <a:xfrm>
          <a:off x="5486401" y="16130238"/>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9</xdr:col>
      <xdr:colOff>115421</xdr:colOff>
      <xdr:row>144</xdr:row>
      <xdr:rowOff>23532</xdr:rowOff>
    </xdr:from>
    <xdr:to>
      <xdr:col>9</xdr:col>
      <xdr:colOff>663949</xdr:colOff>
      <xdr:row>148</xdr:row>
      <xdr:rowOff>104215</xdr:rowOff>
    </xdr:to>
    <xdr:pic>
      <xdr:nvPicPr>
        <xdr:cNvPr id="14" name="Рисунок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41745" y="16406532"/>
          <a:ext cx="548528" cy="7082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125550</xdr:colOff>
      <xdr:row>145</xdr:row>
      <xdr:rowOff>74380</xdr:rowOff>
    </xdr:from>
    <xdr:to>
      <xdr:col>15</xdr:col>
      <xdr:colOff>163046</xdr:colOff>
      <xdr:row>146</xdr:row>
      <xdr:rowOff>112422</xdr:rowOff>
    </xdr:to>
    <xdr:sp macro="" textlink="">
      <xdr:nvSpPr>
        <xdr:cNvPr id="15" name="Надпись 2"/>
        <xdr:cNvSpPr txBox="1">
          <a:spLocks noChangeArrowheads="1"/>
        </xdr:cNvSpPr>
      </xdr:nvSpPr>
      <xdr:spPr bwMode="auto">
        <a:xfrm>
          <a:off x="5224226" y="16614262"/>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4;&#1058;&#1044;&#1045;&#1051;&#1067;/&#1054;&#1090;&#1076;&#1077;&#1083;%20&#1050;&#1048;&#1048;&#1052;/&#1054;&#1088;&#1075;&#1072;&#1085;&#1080;&#1079;&#1072;&#1094;&#1080;&#1103;%20&#1048;&#1048;/&#1055;&#1088;&#1077;&#1081;&#1089;&#1082;&#1091;&#1088;&#1072;&#1085;&#1090;%20&#1085;&#1072;%20&#1088;&#1072;&#1073;&#1086;&#1090;&#1099;%20(&#1091;&#1089;&#1083;&#1091;&#1075;&#1080;)%20&#1048;&#1051;&#1062;%20&#1054;&#1054;&#1054;%20%20&#1043;&#1050;%20&#1056;&#1069;&#1048;%20&#8470;%2010%20(&#1076;&#1077;&#1081;&#1089;&#1090;&#1074;&#1091;&#1077;&#1090;%20&#1089;%2001.02.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DSheet"/>
    </sheetNames>
    <sheetDataSet>
      <sheetData sheetId="0">
        <row r="74">
          <cell r="C74" t="str">
            <v>Комплекс 1.23. (Исследование свойств вскрышных и вмещающих пород (почв (грунтов) таежно-лесной природно-климатической зоны) при проектировании рекультивационных работ в соответствии с ГОСТ 17.5.1.03-86): водородный показатель (рН) водной вытяжки, сухой (плотный) остаток, гумус, содержание физической глины (сумма фракций менее 0,01 мм)</v>
          </cell>
        </row>
      </sheetData>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8"/>
  <sheetViews>
    <sheetView view="pageBreakPreview" topLeftCell="A4" zoomScaleNormal="100" zoomScaleSheetLayoutView="100" workbookViewId="0">
      <selection activeCell="E8" sqref="E8"/>
    </sheetView>
  </sheetViews>
  <sheetFormatPr defaultRowHeight="12.75" x14ac:dyDescent="0.2"/>
  <cols>
    <col min="1" max="1" width="14.7109375" customWidth="1"/>
    <col min="3" max="3" width="10.42578125" customWidth="1"/>
    <col min="5" max="5" width="42.7109375" customWidth="1"/>
    <col min="6" max="6" width="10.42578125" customWidth="1"/>
    <col min="8" max="8" width="21.5703125" customWidth="1"/>
  </cols>
  <sheetData>
    <row r="1" spans="1:9" x14ac:dyDescent="0.2">
      <c r="B1" s="323"/>
      <c r="C1" s="323"/>
      <c r="D1" s="323"/>
      <c r="E1" s="324"/>
      <c r="F1" s="324"/>
      <c r="G1" s="323"/>
      <c r="H1" s="324"/>
    </row>
    <row r="2" spans="1:9" x14ac:dyDescent="0.2">
      <c r="B2" s="323"/>
      <c r="C2" s="323"/>
      <c r="D2" s="323"/>
      <c r="E2" s="325"/>
      <c r="F2" s="324"/>
      <c r="G2" s="323"/>
      <c r="H2" s="324"/>
    </row>
    <row r="3" spans="1:9" x14ac:dyDescent="0.2">
      <c r="B3" s="323"/>
      <c r="C3" s="323"/>
      <c r="D3" s="323"/>
      <c r="E3" s="324"/>
      <c r="F3" s="324"/>
      <c r="G3" s="323"/>
      <c r="H3" s="324"/>
    </row>
    <row r="4" spans="1:9" x14ac:dyDescent="0.2">
      <c r="B4" s="323"/>
      <c r="C4" s="323"/>
      <c r="D4" s="323"/>
      <c r="E4" s="324"/>
      <c r="F4" s="324"/>
      <c r="G4" s="324"/>
      <c r="H4" s="326"/>
    </row>
    <row r="5" spans="1:9" x14ac:dyDescent="0.2">
      <c r="B5" s="323"/>
      <c r="C5" s="323"/>
      <c r="D5" s="323"/>
      <c r="E5" s="323"/>
      <c r="F5" s="323"/>
      <c r="G5" s="323"/>
      <c r="H5" s="326"/>
    </row>
    <row r="6" spans="1:9" ht="18.75" x14ac:dyDescent="0.3">
      <c r="B6" s="327"/>
      <c r="C6" s="575" t="s">
        <v>91</v>
      </c>
      <c r="D6" s="575"/>
      <c r="E6" s="575"/>
      <c r="F6" s="575"/>
      <c r="G6" s="323"/>
      <c r="H6" s="326"/>
    </row>
    <row r="7" spans="1:9" ht="18.75" x14ac:dyDescent="0.3">
      <c r="B7" s="327"/>
      <c r="C7" s="328"/>
      <c r="D7" s="329" t="s">
        <v>8</v>
      </c>
      <c r="E7" s="462" t="s">
        <v>1042</v>
      </c>
      <c r="F7" s="323"/>
      <c r="G7" s="323"/>
      <c r="H7" s="326"/>
    </row>
    <row r="8" spans="1:9" ht="18.75" x14ac:dyDescent="0.3">
      <c r="B8" s="327"/>
      <c r="C8" s="328"/>
      <c r="D8" s="328"/>
      <c r="E8" s="330"/>
      <c r="F8" s="323"/>
      <c r="G8" s="323"/>
      <c r="H8" s="326"/>
    </row>
    <row r="9" spans="1:9" ht="12.75" customHeight="1" x14ac:dyDescent="0.2">
      <c r="B9" s="576" t="s">
        <v>965</v>
      </c>
      <c r="C9" s="576"/>
      <c r="D9" s="581" t="s">
        <v>966</v>
      </c>
      <c r="E9" s="582"/>
      <c r="F9" s="582"/>
      <c r="G9" s="582"/>
      <c r="H9" s="583"/>
      <c r="I9" s="385"/>
    </row>
    <row r="10" spans="1:9" ht="15.6" customHeight="1" x14ac:dyDescent="0.2">
      <c r="B10" s="576"/>
      <c r="C10" s="576"/>
      <c r="D10" s="584"/>
      <c r="E10" s="585"/>
      <c r="F10" s="585"/>
      <c r="G10" s="585"/>
      <c r="H10" s="586"/>
      <c r="I10" s="385"/>
    </row>
    <row r="11" spans="1:9" ht="82.5" customHeight="1" x14ac:dyDescent="0.2">
      <c r="B11" s="587" t="s">
        <v>963</v>
      </c>
      <c r="C11" s="587"/>
      <c r="D11" s="588" t="s">
        <v>964</v>
      </c>
      <c r="E11" s="588"/>
      <c r="F11" s="588"/>
      <c r="G11" s="588"/>
      <c r="H11" s="588"/>
      <c r="I11" s="385"/>
    </row>
    <row r="12" spans="1:9" ht="15.75" x14ac:dyDescent="0.25">
      <c r="B12" s="332"/>
      <c r="C12" s="333"/>
      <c r="D12" s="334"/>
      <c r="E12" s="334"/>
      <c r="F12" s="334"/>
      <c r="G12" s="334"/>
      <c r="H12" s="331"/>
    </row>
    <row r="13" spans="1:9" ht="15" x14ac:dyDescent="0.2">
      <c r="B13" s="577" t="s">
        <v>92</v>
      </c>
      <c r="C13" s="578"/>
      <c r="D13" s="579" t="s">
        <v>1040</v>
      </c>
      <c r="E13" s="579"/>
      <c r="F13" s="579"/>
      <c r="G13" s="579"/>
      <c r="H13" s="579"/>
    </row>
    <row r="14" spans="1:9" ht="13.5" thickBot="1" x14ac:dyDescent="0.25">
      <c r="B14" s="323"/>
      <c r="C14" s="323"/>
      <c r="D14" s="323"/>
      <c r="E14" s="323"/>
      <c r="F14" s="323"/>
      <c r="G14" s="323"/>
      <c r="H14" s="326"/>
    </row>
    <row r="15" spans="1:9" ht="28.5" x14ac:dyDescent="0.2">
      <c r="B15" s="335" t="s">
        <v>18</v>
      </c>
      <c r="C15" s="336" t="s">
        <v>93</v>
      </c>
      <c r="D15" s="580" t="s">
        <v>9</v>
      </c>
      <c r="E15" s="580"/>
      <c r="F15" s="336" t="s">
        <v>4</v>
      </c>
      <c r="G15" s="337" t="s">
        <v>5</v>
      </c>
      <c r="H15" s="337" t="s">
        <v>94</v>
      </c>
    </row>
    <row r="16" spans="1:9" ht="14.25" x14ac:dyDescent="0.2">
      <c r="A16" s="591" t="s">
        <v>705</v>
      </c>
      <c r="B16" s="338">
        <v>1</v>
      </c>
      <c r="C16" s="339"/>
      <c r="D16" s="592" t="s">
        <v>706</v>
      </c>
      <c r="E16" s="593"/>
      <c r="F16" s="340" t="s">
        <v>707</v>
      </c>
      <c r="G16" s="340"/>
      <c r="H16" s="341"/>
    </row>
    <row r="17" spans="1:8" ht="28.5" x14ac:dyDescent="0.2">
      <c r="A17" s="591"/>
      <c r="B17" s="338">
        <v>3</v>
      </c>
      <c r="C17" s="339"/>
      <c r="D17" s="592" t="s">
        <v>709</v>
      </c>
      <c r="E17" s="593"/>
      <c r="F17" s="343" t="s">
        <v>710</v>
      </c>
      <c r="G17" s="340"/>
      <c r="H17" s="341"/>
    </row>
    <row r="18" spans="1:8" ht="32.25" customHeight="1" x14ac:dyDescent="0.2">
      <c r="A18" s="594" t="s">
        <v>711</v>
      </c>
      <c r="B18" s="338">
        <v>4</v>
      </c>
      <c r="C18" s="339"/>
      <c r="D18" s="595" t="s">
        <v>712</v>
      </c>
      <c r="E18" s="596"/>
      <c r="F18" s="343" t="s">
        <v>713</v>
      </c>
      <c r="G18" s="342" t="s">
        <v>708</v>
      </c>
      <c r="H18" s="341"/>
    </row>
    <row r="19" spans="1:8" ht="54.6" customHeight="1" x14ac:dyDescent="0.2">
      <c r="A19" s="594"/>
      <c r="B19" s="338">
        <v>5</v>
      </c>
      <c r="C19" s="339"/>
      <c r="D19" s="592" t="s">
        <v>714</v>
      </c>
      <c r="E19" s="593"/>
      <c r="F19" s="343" t="s">
        <v>715</v>
      </c>
      <c r="G19" s="342" t="s">
        <v>708</v>
      </c>
      <c r="H19" s="341"/>
    </row>
    <row r="20" spans="1:8" ht="133.5" customHeight="1" x14ac:dyDescent="0.2">
      <c r="A20" s="599" t="s">
        <v>716</v>
      </c>
      <c r="B20" s="338">
        <v>6</v>
      </c>
      <c r="C20" s="339"/>
      <c r="D20" s="600" t="s">
        <v>774</v>
      </c>
      <c r="E20" s="593"/>
      <c r="F20" s="340" t="s">
        <v>97</v>
      </c>
      <c r="G20" s="340"/>
      <c r="H20" s="572"/>
    </row>
    <row r="21" spans="1:8" ht="102" customHeight="1" x14ac:dyDescent="0.2">
      <c r="A21" s="599"/>
      <c r="B21" s="338">
        <v>7</v>
      </c>
      <c r="C21" s="339"/>
      <c r="D21" s="600" t="s">
        <v>717</v>
      </c>
      <c r="E21" s="593"/>
      <c r="F21" s="340" t="s">
        <v>97</v>
      </c>
      <c r="G21" s="340"/>
      <c r="H21" s="573"/>
    </row>
    <row r="22" spans="1:8" ht="72.75" customHeight="1" x14ac:dyDescent="0.2">
      <c r="A22" s="372" t="s">
        <v>742</v>
      </c>
      <c r="B22" s="338">
        <v>8</v>
      </c>
      <c r="C22" s="339" t="s">
        <v>25</v>
      </c>
      <c r="D22" s="371"/>
      <c r="E22" s="370" t="s">
        <v>743</v>
      </c>
      <c r="F22" s="340" t="s">
        <v>97</v>
      </c>
      <c r="G22" s="340"/>
      <c r="H22" s="574"/>
    </row>
    <row r="23" spans="1:8" ht="41.25" customHeight="1" x14ac:dyDescent="0.2">
      <c r="A23" s="344" t="s">
        <v>718</v>
      </c>
      <c r="B23" s="338">
        <v>8</v>
      </c>
      <c r="C23" s="339"/>
      <c r="D23" s="592" t="s">
        <v>247</v>
      </c>
      <c r="E23" s="601"/>
      <c r="F23" s="340" t="s">
        <v>97</v>
      </c>
      <c r="G23" s="340"/>
      <c r="H23" s="341"/>
    </row>
    <row r="24" spans="1:8" ht="132.75" customHeight="1" x14ac:dyDescent="0.2">
      <c r="A24" s="603" t="s">
        <v>721</v>
      </c>
      <c r="B24" s="338">
        <v>9</v>
      </c>
      <c r="C24" s="339"/>
      <c r="D24" s="600" t="s">
        <v>722</v>
      </c>
      <c r="E24" s="601"/>
      <c r="F24" s="340" t="s">
        <v>97</v>
      </c>
      <c r="G24" s="340"/>
      <c r="H24" s="345"/>
    </row>
    <row r="25" spans="1:8" ht="14.25" x14ac:dyDescent="0.2">
      <c r="A25" s="603"/>
      <c r="B25" s="338">
        <v>10</v>
      </c>
      <c r="C25" s="339"/>
      <c r="D25" s="592" t="s">
        <v>723</v>
      </c>
      <c r="E25" s="601"/>
      <c r="F25" s="340" t="s">
        <v>97</v>
      </c>
      <c r="G25" s="340"/>
      <c r="H25" s="345"/>
    </row>
    <row r="26" spans="1:8" ht="14.25" x14ac:dyDescent="0.2">
      <c r="A26" s="603"/>
      <c r="B26" s="338">
        <v>11</v>
      </c>
      <c r="C26" s="339"/>
      <c r="D26" s="592" t="s">
        <v>724</v>
      </c>
      <c r="E26" s="593"/>
      <c r="F26" s="340" t="s">
        <v>97</v>
      </c>
      <c r="G26" s="340"/>
      <c r="H26" s="345"/>
    </row>
    <row r="27" spans="1:8" ht="109.9" customHeight="1" x14ac:dyDescent="0.2">
      <c r="A27" s="384" t="s">
        <v>773</v>
      </c>
      <c r="B27" s="338">
        <v>12</v>
      </c>
      <c r="C27" s="383"/>
      <c r="D27" s="589" t="str">
        <f>[1]TDSheet!$C$74</f>
        <v>Комплекс 1.23. (Исследование свойств вскрышных и вмещающих пород (почв (грунтов) таежно-лесной природно-климатической зоны) при проектировании рекультивационных работ в соответствии с ГОСТ 17.5.1.03-86): водородный показатель (рН) водной вытяжки, сухой (плотный) остаток, гумус, содержание физической глины (сумма фракций менее 0,01 мм)</v>
      </c>
      <c r="E27" s="590"/>
      <c r="F27" s="340" t="s">
        <v>97</v>
      </c>
      <c r="G27" s="340"/>
      <c r="H27" s="345"/>
    </row>
    <row r="28" spans="1:8" ht="184.5" customHeight="1" x14ac:dyDescent="0.2">
      <c r="A28" s="369" t="s">
        <v>734</v>
      </c>
      <c r="B28" s="338">
        <v>13</v>
      </c>
      <c r="C28" s="339" t="s">
        <v>737</v>
      </c>
      <c r="D28" s="595" t="s">
        <v>736</v>
      </c>
      <c r="E28" s="596"/>
      <c r="F28" s="340" t="s">
        <v>97</v>
      </c>
      <c r="G28" s="340"/>
      <c r="H28" s="345"/>
    </row>
    <row r="29" spans="1:8" ht="106.5" customHeight="1" x14ac:dyDescent="0.2">
      <c r="A29" s="344" t="s">
        <v>10</v>
      </c>
      <c r="B29" s="338">
        <v>14</v>
      </c>
      <c r="C29" s="339" t="s">
        <v>739</v>
      </c>
      <c r="D29" s="595" t="s">
        <v>738</v>
      </c>
      <c r="E29" s="596"/>
      <c r="F29" s="340" t="s">
        <v>97</v>
      </c>
      <c r="G29" s="340"/>
      <c r="H29" s="345"/>
    </row>
    <row r="30" spans="1:8" ht="135" customHeight="1" x14ac:dyDescent="0.2">
      <c r="A30" s="368" t="s">
        <v>735</v>
      </c>
      <c r="B30" s="338">
        <v>15</v>
      </c>
      <c r="C30" s="339" t="s">
        <v>741</v>
      </c>
      <c r="D30" s="595" t="s">
        <v>740</v>
      </c>
      <c r="E30" s="596"/>
      <c r="F30" s="340" t="s">
        <v>97</v>
      </c>
      <c r="G30" s="340"/>
      <c r="H30" s="345"/>
    </row>
    <row r="31" spans="1:8" ht="48.75" customHeight="1" x14ac:dyDescent="0.2">
      <c r="A31" s="602" t="s">
        <v>719</v>
      </c>
      <c r="B31" s="338">
        <v>16</v>
      </c>
      <c r="C31" s="339"/>
      <c r="D31" s="595" t="s">
        <v>220</v>
      </c>
      <c r="E31" s="596"/>
      <c r="F31" s="340" t="s">
        <v>715</v>
      </c>
      <c r="G31" s="340"/>
      <c r="H31" s="345"/>
    </row>
    <row r="32" spans="1:8" ht="55.5" customHeight="1" x14ac:dyDescent="0.2">
      <c r="A32" s="602"/>
      <c r="B32" s="338">
        <v>17</v>
      </c>
      <c r="C32" s="339"/>
      <c r="D32" s="595" t="s">
        <v>720</v>
      </c>
      <c r="E32" s="596"/>
      <c r="F32" s="340" t="s">
        <v>715</v>
      </c>
      <c r="G32" s="340"/>
      <c r="H32" s="345"/>
    </row>
    <row r="33" spans="1:8" ht="46.5" customHeight="1" x14ac:dyDescent="0.2">
      <c r="A33" s="602"/>
      <c r="B33" s="338">
        <v>18</v>
      </c>
      <c r="C33" s="339"/>
      <c r="D33" s="592" t="s">
        <v>229</v>
      </c>
      <c r="E33" s="593"/>
      <c r="F33" s="343" t="s">
        <v>715</v>
      </c>
      <c r="G33" s="340"/>
      <c r="H33" s="345"/>
    </row>
    <row r="34" spans="1:8" ht="29.25" thickBot="1" x14ac:dyDescent="0.25">
      <c r="B34" s="338">
        <v>19</v>
      </c>
      <c r="C34" s="346"/>
      <c r="D34" s="597" t="s">
        <v>251</v>
      </c>
      <c r="E34" s="598"/>
      <c r="F34" s="347" t="s">
        <v>252</v>
      </c>
      <c r="G34" s="347">
        <v>1</v>
      </c>
      <c r="H34" s="348"/>
    </row>
    <row r="35" spans="1:8" x14ac:dyDescent="0.2">
      <c r="B35" s="323"/>
      <c r="C35" s="323"/>
      <c r="D35" s="323"/>
      <c r="E35" s="323"/>
      <c r="F35" s="323"/>
      <c r="G35" s="323"/>
      <c r="H35" s="326"/>
    </row>
    <row r="36" spans="1:8" ht="15.75" x14ac:dyDescent="0.25">
      <c r="B36" s="349" t="s">
        <v>254</v>
      </c>
      <c r="C36" s="461" t="s">
        <v>725</v>
      </c>
      <c r="D36" s="461"/>
      <c r="E36" s="350"/>
      <c r="F36" s="350" t="s">
        <v>256</v>
      </c>
      <c r="G36" s="350"/>
      <c r="H36" s="351"/>
    </row>
    <row r="37" spans="1:8" x14ac:dyDescent="0.2">
      <c r="B37" s="350"/>
      <c r="C37" s="350"/>
      <c r="D37" s="352"/>
      <c r="E37" s="352"/>
      <c r="F37" s="352" t="s">
        <v>257</v>
      </c>
      <c r="G37" s="352"/>
      <c r="H37" s="353"/>
    </row>
    <row r="38" spans="1:8" x14ac:dyDescent="0.2">
      <c r="B38" s="350"/>
      <c r="C38" s="354" t="s">
        <v>258</v>
      </c>
      <c r="D38" s="350"/>
      <c r="E38" s="350"/>
      <c r="F38" s="350"/>
      <c r="G38" s="352"/>
      <c r="H38" s="351"/>
    </row>
    <row r="39" spans="1:8" x14ac:dyDescent="0.2">
      <c r="B39" s="350"/>
      <c r="C39" s="350"/>
      <c r="D39" s="350"/>
      <c r="E39" s="350"/>
      <c r="F39" s="350"/>
      <c r="G39" s="352"/>
      <c r="H39" s="351"/>
    </row>
    <row r="40" spans="1:8" ht="15.75" x14ac:dyDescent="0.25">
      <c r="B40" s="350"/>
      <c r="C40" s="355"/>
      <c r="D40" s="356"/>
      <c r="E40" s="350"/>
      <c r="F40" s="350"/>
      <c r="G40" s="352"/>
      <c r="H40" s="351"/>
    </row>
    <row r="41" spans="1:8" ht="15.75" x14ac:dyDescent="0.25">
      <c r="B41" s="355"/>
      <c r="C41" s="355"/>
      <c r="D41" s="355"/>
      <c r="E41" s="355"/>
      <c r="F41" s="355"/>
      <c r="G41" s="355"/>
      <c r="H41" s="355"/>
    </row>
    <row r="42" spans="1:8" x14ac:dyDescent="0.2">
      <c r="B42" s="350"/>
      <c r="C42" s="350"/>
      <c r="D42" s="350"/>
      <c r="E42" s="350"/>
      <c r="F42" s="350"/>
      <c r="G42" s="352"/>
      <c r="H42" s="351"/>
    </row>
    <row r="43" spans="1:8" ht="15.75" x14ac:dyDescent="0.25">
      <c r="B43" s="349" t="s">
        <v>366</v>
      </c>
      <c r="C43" s="357" t="s">
        <v>726</v>
      </c>
      <c r="D43" s="357"/>
      <c r="E43" s="350"/>
      <c r="F43" s="350" t="s">
        <v>256</v>
      </c>
      <c r="G43" s="352"/>
      <c r="H43" s="351"/>
    </row>
    <row r="44" spans="1:8" x14ac:dyDescent="0.2">
      <c r="B44" s="350"/>
      <c r="C44" s="350"/>
      <c r="D44" s="350"/>
      <c r="E44" s="350"/>
      <c r="F44" s="352" t="s">
        <v>257</v>
      </c>
      <c r="G44" s="350"/>
      <c r="H44" s="351"/>
    </row>
    <row r="45" spans="1:8" x14ac:dyDescent="0.2">
      <c r="B45" s="350"/>
      <c r="C45" s="354" t="s">
        <v>258</v>
      </c>
      <c r="D45" s="350"/>
      <c r="E45" s="350"/>
      <c r="F45" s="350"/>
      <c r="G45" s="350"/>
      <c r="H45" s="351"/>
    </row>
    <row r="46" spans="1:8" ht="15.75" x14ac:dyDescent="0.25">
      <c r="B46" s="349"/>
      <c r="C46" s="357"/>
      <c r="D46" s="357"/>
      <c r="E46" s="350"/>
      <c r="F46" s="350"/>
      <c r="G46" s="350"/>
      <c r="H46" s="351"/>
    </row>
    <row r="47" spans="1:8" x14ac:dyDescent="0.2">
      <c r="B47" s="350"/>
      <c r="C47" s="350"/>
      <c r="D47" s="352"/>
      <c r="E47" s="352"/>
      <c r="F47" s="352"/>
      <c r="G47" s="352"/>
      <c r="H47" s="353"/>
    </row>
    <row r="48" spans="1:8" x14ac:dyDescent="0.2">
      <c r="B48" s="323"/>
      <c r="C48" s="354"/>
      <c r="D48" s="323"/>
      <c r="E48" s="323"/>
      <c r="F48" s="323"/>
      <c r="G48" s="323"/>
      <c r="H48" s="326"/>
    </row>
  </sheetData>
  <mergeCells count="32">
    <mergeCell ref="D34:E34"/>
    <mergeCell ref="A20:A21"/>
    <mergeCell ref="D20:E20"/>
    <mergeCell ref="D28:E28"/>
    <mergeCell ref="D29:E29"/>
    <mergeCell ref="D21:E21"/>
    <mergeCell ref="D23:E23"/>
    <mergeCell ref="A31:A33"/>
    <mergeCell ref="D31:E31"/>
    <mergeCell ref="D32:E32"/>
    <mergeCell ref="D33:E33"/>
    <mergeCell ref="A24:A26"/>
    <mergeCell ref="D24:E24"/>
    <mergeCell ref="D25:E25"/>
    <mergeCell ref="D26:E26"/>
    <mergeCell ref="D30:E30"/>
    <mergeCell ref="D27:E27"/>
    <mergeCell ref="A16:A17"/>
    <mergeCell ref="D16:E16"/>
    <mergeCell ref="D17:E17"/>
    <mergeCell ref="A18:A19"/>
    <mergeCell ref="D18:E18"/>
    <mergeCell ref="D19:E19"/>
    <mergeCell ref="H20:H22"/>
    <mergeCell ref="C6:F6"/>
    <mergeCell ref="B9:C10"/>
    <mergeCell ref="B13:C13"/>
    <mergeCell ref="D13:H13"/>
    <mergeCell ref="D15:E15"/>
    <mergeCell ref="D9:H10"/>
    <mergeCell ref="B11:C11"/>
    <mergeCell ref="D11:H11"/>
  </mergeCells>
  <pageMargins left="0.7" right="0.7" top="0.75" bottom="0.75" header="0.3" footer="0.3"/>
  <pageSetup paperSize="9" scale="4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pageSetUpPr fitToPage="1"/>
  </sheetPr>
  <dimension ref="A1:O110"/>
  <sheetViews>
    <sheetView view="pageBreakPreview" zoomScaleNormal="100" workbookViewId="0">
      <selection activeCell="N76" sqref="N76"/>
    </sheetView>
  </sheetViews>
  <sheetFormatPr defaultRowHeight="12.75" x14ac:dyDescent="0.2"/>
  <cols>
    <col min="1" max="1" width="7" customWidth="1"/>
    <col min="2" max="2" width="10.7109375" customWidth="1"/>
    <col min="3" max="3" width="15.7109375" customWidth="1"/>
    <col min="4" max="4" width="40.7109375" customWidth="1"/>
    <col min="5" max="5" width="9.7109375" customWidth="1"/>
    <col min="6" max="6" width="8.85546875" customWidth="1"/>
    <col min="7" max="7" width="14.7109375" customWidth="1"/>
  </cols>
  <sheetData>
    <row r="1" spans="1:10" x14ac:dyDescent="0.2">
      <c r="D1" s="57"/>
      <c r="E1" s="57"/>
      <c r="F1" s="57"/>
      <c r="G1" s="57" t="s">
        <v>88</v>
      </c>
      <c r="H1" s="58"/>
      <c r="I1" s="59"/>
      <c r="J1" s="58"/>
    </row>
    <row r="2" spans="1:10" x14ac:dyDescent="0.2">
      <c r="D2" s="57"/>
      <c r="E2" s="57"/>
      <c r="F2" s="57"/>
      <c r="G2" s="57" t="s">
        <v>89</v>
      </c>
      <c r="H2" s="58"/>
      <c r="I2" s="59"/>
      <c r="J2" s="58"/>
    </row>
    <row r="3" spans="1:10" ht="14.25" x14ac:dyDescent="0.2">
      <c r="D3" s="57"/>
      <c r="E3" s="57"/>
      <c r="F3" s="57"/>
      <c r="G3" s="57" t="s">
        <v>90</v>
      </c>
      <c r="H3" s="58"/>
      <c r="I3" s="59"/>
      <c r="J3" s="58"/>
    </row>
    <row r="4" spans="1:10" x14ac:dyDescent="0.2">
      <c r="D4" s="57"/>
      <c r="E4" s="57"/>
      <c r="F4" s="57"/>
      <c r="G4" s="59"/>
      <c r="H4" s="58"/>
      <c r="I4" s="59"/>
      <c r="J4" s="58"/>
    </row>
    <row r="5" spans="1:10" ht="26.25" x14ac:dyDescent="0.4">
      <c r="D5" s="314" t="s">
        <v>640</v>
      </c>
      <c r="G5" s="59"/>
      <c r="H5" s="59"/>
      <c r="I5" s="59"/>
      <c r="J5" s="59"/>
    </row>
    <row r="6" spans="1:10" ht="18.75" x14ac:dyDescent="0.3">
      <c r="A6" s="60"/>
      <c r="B6" s="605" t="s">
        <v>91</v>
      </c>
      <c r="C6" s="605"/>
      <c r="D6" s="605"/>
      <c r="E6" s="605"/>
      <c r="F6" s="605"/>
      <c r="G6" s="59"/>
      <c r="H6" s="59"/>
      <c r="I6" s="59"/>
      <c r="J6" s="59"/>
    </row>
    <row r="7" spans="1:10" ht="18.75" x14ac:dyDescent="0.3">
      <c r="A7" s="60"/>
      <c r="B7" s="61"/>
      <c r="C7" s="62" t="s">
        <v>8</v>
      </c>
      <c r="D7" s="63" t="s">
        <v>634</v>
      </c>
      <c r="G7" s="59"/>
      <c r="H7" s="59"/>
      <c r="I7" s="59"/>
      <c r="J7" s="59"/>
    </row>
    <row r="8" spans="1:10" ht="18.75" x14ac:dyDescent="0.3">
      <c r="A8" s="60"/>
      <c r="B8" s="61"/>
      <c r="C8" s="61"/>
      <c r="D8" s="64"/>
      <c r="G8" s="59"/>
      <c r="H8" s="59"/>
      <c r="I8" s="59"/>
      <c r="J8" s="59"/>
    </row>
    <row r="9" spans="1:10" ht="15" customHeight="1" x14ac:dyDescent="0.2">
      <c r="A9" s="606" t="s">
        <v>0</v>
      </c>
      <c r="B9" s="606"/>
      <c r="C9" s="607" t="e">
        <f>#REF!</f>
        <v>#REF!</v>
      </c>
      <c r="D9" s="607"/>
      <c r="E9" s="607"/>
      <c r="F9" s="607"/>
      <c r="G9" s="607"/>
      <c r="H9" s="59"/>
      <c r="I9" s="59"/>
      <c r="J9" s="59"/>
    </row>
    <row r="10" spans="1:10" s="66" customFormat="1" ht="15" x14ac:dyDescent="0.2">
      <c r="A10" s="606"/>
      <c r="B10" s="606"/>
      <c r="C10" s="607"/>
      <c r="D10" s="607"/>
      <c r="E10" s="607"/>
      <c r="F10" s="607"/>
      <c r="G10" s="607"/>
      <c r="H10" s="65"/>
      <c r="I10" s="65"/>
      <c r="J10" s="65"/>
    </row>
    <row r="11" spans="1:10" s="66" customFormat="1" ht="15" x14ac:dyDescent="0.2">
      <c r="A11" s="608" t="s">
        <v>1</v>
      </c>
      <c r="B11" s="608"/>
      <c r="C11" s="607" t="e">
        <f>#REF!</f>
        <v>#REF!</v>
      </c>
      <c r="D11" s="607"/>
      <c r="E11" s="607"/>
      <c r="F11" s="607"/>
      <c r="G11" s="607"/>
      <c r="H11" s="65"/>
      <c r="I11" s="65"/>
      <c r="J11" s="65"/>
    </row>
    <row r="12" spans="1:10" s="66" customFormat="1" ht="30" customHeight="1" x14ac:dyDescent="0.2">
      <c r="A12" s="608"/>
      <c r="B12" s="608"/>
      <c r="C12" s="607"/>
      <c r="D12" s="607"/>
      <c r="E12" s="607"/>
      <c r="F12" s="607"/>
      <c r="G12" s="607"/>
      <c r="H12" s="65"/>
      <c r="I12" s="65"/>
      <c r="J12" s="65"/>
    </row>
    <row r="13" spans="1:10" s="66" customFormat="1" ht="15" x14ac:dyDescent="0.2">
      <c r="A13" s="67"/>
      <c r="B13" s="67"/>
      <c r="C13" s="68"/>
      <c r="D13" s="68"/>
      <c r="E13" s="68"/>
      <c r="F13" s="68"/>
      <c r="G13" s="69"/>
      <c r="H13" s="65"/>
      <c r="I13" s="65"/>
      <c r="J13" s="65"/>
    </row>
    <row r="14" spans="1:10" s="66" customFormat="1" ht="15" customHeight="1" x14ac:dyDescent="0.25">
      <c r="A14" s="70"/>
      <c r="B14" s="71"/>
      <c r="C14" s="72"/>
      <c r="D14" s="72"/>
      <c r="E14" s="72"/>
      <c r="F14" s="72"/>
      <c r="G14" s="69"/>
      <c r="H14" s="65"/>
      <c r="I14" s="65"/>
      <c r="J14" s="65"/>
    </row>
    <row r="15" spans="1:10" s="66" customFormat="1" ht="15" customHeight="1" x14ac:dyDescent="0.2">
      <c r="A15" s="609" t="s">
        <v>92</v>
      </c>
      <c r="B15" s="610"/>
      <c r="C15" s="611">
        <v>43111</v>
      </c>
      <c r="D15" s="611"/>
      <c r="E15" s="611"/>
      <c r="F15" s="611"/>
      <c r="G15" s="611"/>
      <c r="H15" s="65"/>
      <c r="I15" s="65"/>
      <c r="J15" s="65"/>
    </row>
    <row r="16" spans="1:10" x14ac:dyDescent="0.2">
      <c r="G16" s="59"/>
      <c r="H16" s="59"/>
      <c r="I16" s="59"/>
      <c r="J16" s="59"/>
    </row>
    <row r="17" spans="1:15" ht="15" customHeight="1" x14ac:dyDescent="0.3">
      <c r="A17" s="604" t="s">
        <v>18</v>
      </c>
      <c r="B17" s="604" t="s">
        <v>93</v>
      </c>
      <c r="C17" s="604" t="s">
        <v>9</v>
      </c>
      <c r="D17" s="604"/>
      <c r="E17" s="604" t="s">
        <v>4</v>
      </c>
      <c r="F17" s="604" t="s">
        <v>5</v>
      </c>
      <c r="G17" s="604" t="s">
        <v>94</v>
      </c>
      <c r="H17" s="74"/>
      <c r="I17" s="74"/>
      <c r="J17" s="6"/>
      <c r="K17" s="7"/>
      <c r="L17" s="7"/>
      <c r="M17" s="5"/>
      <c r="N17" s="5"/>
      <c r="O17" s="5"/>
    </row>
    <row r="18" spans="1:15" ht="13.5" customHeight="1" x14ac:dyDescent="0.3">
      <c r="A18" s="604"/>
      <c r="B18" s="604"/>
      <c r="C18" s="604"/>
      <c r="D18" s="604"/>
      <c r="E18" s="604"/>
      <c r="F18" s="604"/>
      <c r="G18" s="604"/>
      <c r="H18" s="75"/>
      <c r="I18" s="75"/>
      <c r="J18" s="7"/>
      <c r="K18" s="7"/>
      <c r="L18" s="7"/>
      <c r="M18" s="5"/>
      <c r="N18" s="5"/>
      <c r="O18" s="5"/>
    </row>
    <row r="19" spans="1:15" ht="140.1" hidden="1" customHeight="1" x14ac:dyDescent="0.3">
      <c r="A19" s="76">
        <v>1</v>
      </c>
      <c r="B19" s="77" t="s">
        <v>95</v>
      </c>
      <c r="C19" s="613" t="s">
        <v>96</v>
      </c>
      <c r="D19" s="612"/>
      <c r="E19" s="73" t="s">
        <v>97</v>
      </c>
      <c r="F19" s="79"/>
      <c r="G19" s="80"/>
      <c r="H19" s="81"/>
      <c r="I19" s="82"/>
      <c r="J19" s="7"/>
      <c r="K19" s="7"/>
      <c r="L19" s="7"/>
      <c r="M19" s="5"/>
      <c r="N19" s="5"/>
      <c r="O19" s="5"/>
    </row>
    <row r="20" spans="1:15" ht="45" hidden="1" customHeight="1" x14ac:dyDescent="0.3">
      <c r="A20" s="76"/>
      <c r="B20" s="77" t="s">
        <v>98</v>
      </c>
      <c r="C20" s="612" t="s">
        <v>99</v>
      </c>
      <c r="D20" s="612" t="s">
        <v>99</v>
      </c>
      <c r="E20" s="73" t="s">
        <v>97</v>
      </c>
      <c r="F20" s="79"/>
      <c r="G20" s="80"/>
      <c r="H20" s="81"/>
      <c r="I20" s="82"/>
      <c r="J20" s="7"/>
      <c r="K20" s="7"/>
      <c r="L20" s="7"/>
      <c r="M20" s="5"/>
      <c r="N20" s="5"/>
      <c r="O20" s="5"/>
    </row>
    <row r="21" spans="1:15" ht="30" hidden="1" customHeight="1" x14ac:dyDescent="0.3">
      <c r="A21" s="76">
        <v>2</v>
      </c>
      <c r="B21" s="77" t="s">
        <v>100</v>
      </c>
      <c r="C21" s="612" t="s">
        <v>101</v>
      </c>
      <c r="D21" s="612" t="s">
        <v>101</v>
      </c>
      <c r="E21" s="76" t="s">
        <v>102</v>
      </c>
      <c r="F21" s="79"/>
      <c r="G21" s="80"/>
      <c r="H21" s="81"/>
      <c r="I21" s="82"/>
      <c r="J21" s="7"/>
      <c r="K21" s="5"/>
      <c r="L21" s="5"/>
      <c r="M21" s="5"/>
      <c r="N21" s="5"/>
      <c r="O21" s="5"/>
    </row>
    <row r="22" spans="1:15" ht="30" hidden="1" customHeight="1" x14ac:dyDescent="0.2">
      <c r="A22" s="76"/>
      <c r="B22" s="77" t="s">
        <v>103</v>
      </c>
      <c r="C22" s="612" t="s">
        <v>104</v>
      </c>
      <c r="D22" s="612"/>
      <c r="E22" s="73" t="s">
        <v>97</v>
      </c>
      <c r="F22" s="79"/>
      <c r="G22" s="80"/>
      <c r="H22" s="81"/>
      <c r="I22" s="82"/>
      <c r="J22" s="81"/>
    </row>
    <row r="23" spans="1:15" ht="30" hidden="1" customHeight="1" x14ac:dyDescent="0.2">
      <c r="A23" s="76">
        <v>2</v>
      </c>
      <c r="B23" s="77" t="s">
        <v>105</v>
      </c>
      <c r="C23" s="614" t="s">
        <v>106</v>
      </c>
      <c r="D23" s="615"/>
      <c r="E23" s="73"/>
      <c r="F23" s="79"/>
      <c r="G23" s="83"/>
      <c r="H23" s="84"/>
      <c r="I23" s="85"/>
      <c r="J23" s="84"/>
    </row>
    <row r="24" spans="1:15" ht="30" hidden="1" customHeight="1" x14ac:dyDescent="0.2">
      <c r="A24" s="76">
        <v>3</v>
      </c>
      <c r="B24" s="77" t="s">
        <v>107</v>
      </c>
      <c r="C24" s="612" t="s">
        <v>108</v>
      </c>
      <c r="D24" s="612"/>
      <c r="E24" s="73" t="s">
        <v>97</v>
      </c>
      <c r="F24" s="79"/>
      <c r="G24" s="83"/>
      <c r="H24" s="84"/>
      <c r="I24" s="85"/>
      <c r="J24" s="84"/>
    </row>
    <row r="25" spans="1:15" ht="30" hidden="1" customHeight="1" x14ac:dyDescent="0.2">
      <c r="A25" s="76">
        <v>4</v>
      </c>
      <c r="B25" s="77" t="s">
        <v>109</v>
      </c>
      <c r="C25" s="612" t="s">
        <v>110</v>
      </c>
      <c r="D25" s="612"/>
      <c r="E25" s="73" t="s">
        <v>97</v>
      </c>
      <c r="F25" s="79"/>
      <c r="G25" s="83"/>
      <c r="H25" s="84"/>
      <c r="I25" s="85"/>
      <c r="J25" s="84"/>
    </row>
    <row r="26" spans="1:15" ht="30" hidden="1" customHeight="1" x14ac:dyDescent="0.2">
      <c r="A26" s="76">
        <v>4</v>
      </c>
      <c r="B26" s="77" t="s">
        <v>111</v>
      </c>
      <c r="C26" s="612" t="s">
        <v>112</v>
      </c>
      <c r="D26" s="612"/>
      <c r="E26" s="73" t="s">
        <v>97</v>
      </c>
      <c r="F26" s="79"/>
      <c r="G26" s="83"/>
      <c r="H26" s="84"/>
      <c r="I26" s="85"/>
      <c r="J26" s="84"/>
    </row>
    <row r="27" spans="1:15" ht="30" hidden="1" customHeight="1" x14ac:dyDescent="0.2">
      <c r="A27" s="76">
        <v>5</v>
      </c>
      <c r="B27" s="77" t="s">
        <v>113</v>
      </c>
      <c r="C27" s="612" t="s">
        <v>114</v>
      </c>
      <c r="D27" s="612"/>
      <c r="E27" s="73" t="s">
        <v>97</v>
      </c>
      <c r="F27" s="79"/>
      <c r="G27" s="83"/>
      <c r="H27" s="84"/>
      <c r="I27" s="85"/>
      <c r="J27" s="84"/>
    </row>
    <row r="28" spans="1:15" ht="30" hidden="1" customHeight="1" x14ac:dyDescent="0.2">
      <c r="A28" s="76">
        <v>6</v>
      </c>
      <c r="B28" s="77" t="s">
        <v>115</v>
      </c>
      <c r="C28" s="612" t="s">
        <v>116</v>
      </c>
      <c r="D28" s="612" t="s">
        <v>116</v>
      </c>
      <c r="E28" s="73" t="s">
        <v>97</v>
      </c>
      <c r="F28" s="79"/>
      <c r="G28" s="83"/>
      <c r="H28" s="84"/>
      <c r="I28" s="85"/>
      <c r="J28" s="84"/>
    </row>
    <row r="29" spans="1:15" ht="30" hidden="1" customHeight="1" x14ac:dyDescent="0.2">
      <c r="A29" s="76">
        <v>7</v>
      </c>
      <c r="B29" s="77" t="s">
        <v>117</v>
      </c>
      <c r="C29" s="612" t="s">
        <v>118</v>
      </c>
      <c r="D29" s="612" t="s">
        <v>118</v>
      </c>
      <c r="E29" s="73" t="s">
        <v>97</v>
      </c>
      <c r="F29" s="79"/>
      <c r="G29" s="83"/>
      <c r="H29" s="84"/>
      <c r="I29" s="85"/>
      <c r="J29" s="84"/>
    </row>
    <row r="30" spans="1:15" ht="30" hidden="1" customHeight="1" x14ac:dyDescent="0.2">
      <c r="A30" s="76">
        <v>8</v>
      </c>
      <c r="B30" s="77" t="s">
        <v>119</v>
      </c>
      <c r="C30" s="612" t="s">
        <v>120</v>
      </c>
      <c r="D30" s="612" t="s">
        <v>120</v>
      </c>
      <c r="E30" s="73" t="s">
        <v>97</v>
      </c>
      <c r="F30" s="79"/>
      <c r="G30" s="83"/>
      <c r="H30" s="84"/>
      <c r="I30" s="85"/>
      <c r="J30" s="84"/>
    </row>
    <row r="31" spans="1:15" ht="30" hidden="1" customHeight="1" x14ac:dyDescent="0.2">
      <c r="A31" s="76">
        <v>9</v>
      </c>
      <c r="B31" s="77" t="s">
        <v>121</v>
      </c>
      <c r="C31" s="612" t="s">
        <v>122</v>
      </c>
      <c r="D31" s="612" t="s">
        <v>122</v>
      </c>
      <c r="E31" s="73" t="s">
        <v>97</v>
      </c>
      <c r="F31" s="79"/>
      <c r="G31" s="83"/>
      <c r="H31" s="84"/>
      <c r="I31" s="85"/>
      <c r="J31" s="84"/>
    </row>
    <row r="32" spans="1:15" ht="30" hidden="1" customHeight="1" x14ac:dyDescent="0.2">
      <c r="A32" s="76">
        <v>10</v>
      </c>
      <c r="B32" s="77" t="s">
        <v>123</v>
      </c>
      <c r="C32" s="612" t="s">
        <v>124</v>
      </c>
      <c r="D32" s="612"/>
      <c r="E32" s="73" t="s">
        <v>97</v>
      </c>
      <c r="F32" s="79"/>
      <c r="G32" s="83"/>
      <c r="H32" s="84"/>
      <c r="I32" s="85"/>
      <c r="J32" s="84"/>
    </row>
    <row r="33" spans="1:10" ht="30" hidden="1" customHeight="1" x14ac:dyDescent="0.2">
      <c r="A33" s="76">
        <v>12</v>
      </c>
      <c r="B33" s="77" t="s">
        <v>125</v>
      </c>
      <c r="C33" s="612" t="s">
        <v>126</v>
      </c>
      <c r="D33" s="612"/>
      <c r="E33" s="73" t="s">
        <v>97</v>
      </c>
      <c r="F33" s="79"/>
      <c r="G33" s="83"/>
      <c r="H33" s="84"/>
      <c r="I33" s="85"/>
      <c r="J33" s="84"/>
    </row>
    <row r="34" spans="1:10" ht="30" hidden="1" customHeight="1" x14ac:dyDescent="0.2">
      <c r="A34" s="76">
        <v>11</v>
      </c>
      <c r="B34" s="77" t="s">
        <v>127</v>
      </c>
      <c r="C34" s="612" t="s">
        <v>128</v>
      </c>
      <c r="D34" s="612"/>
      <c r="E34" s="73" t="s">
        <v>97</v>
      </c>
      <c r="F34" s="79"/>
      <c r="G34" s="83"/>
      <c r="H34" s="84"/>
      <c r="I34" s="85"/>
      <c r="J34" s="84"/>
    </row>
    <row r="35" spans="1:10" ht="30" hidden="1" customHeight="1" x14ac:dyDescent="0.2">
      <c r="A35" s="76">
        <v>12</v>
      </c>
      <c r="B35" s="77" t="s">
        <v>129</v>
      </c>
      <c r="C35" s="612" t="s">
        <v>130</v>
      </c>
      <c r="D35" s="612"/>
      <c r="E35" s="73" t="s">
        <v>97</v>
      </c>
      <c r="F35" s="79"/>
      <c r="G35" s="83"/>
      <c r="H35" s="84"/>
      <c r="I35" s="85"/>
      <c r="J35" s="84"/>
    </row>
    <row r="36" spans="1:10" ht="30" hidden="1" customHeight="1" x14ac:dyDescent="0.2">
      <c r="A36" s="76">
        <v>13</v>
      </c>
      <c r="B36" s="77" t="s">
        <v>131</v>
      </c>
      <c r="C36" s="614" t="s">
        <v>132</v>
      </c>
      <c r="D36" s="615"/>
      <c r="E36" s="73"/>
      <c r="F36" s="79"/>
      <c r="G36" s="83"/>
      <c r="H36" s="84"/>
      <c r="I36" s="85"/>
      <c r="J36" s="84"/>
    </row>
    <row r="37" spans="1:10" ht="30" hidden="1" customHeight="1" x14ac:dyDescent="0.2">
      <c r="A37" s="76">
        <v>14</v>
      </c>
      <c r="B37" s="77" t="s">
        <v>133</v>
      </c>
      <c r="C37" s="612" t="s">
        <v>134</v>
      </c>
      <c r="D37" s="612"/>
      <c r="E37" s="73" t="s">
        <v>97</v>
      </c>
      <c r="F37" s="79"/>
      <c r="G37" s="83"/>
      <c r="H37" s="84"/>
      <c r="I37" s="85"/>
      <c r="J37" s="84"/>
    </row>
    <row r="38" spans="1:10" ht="30" hidden="1" customHeight="1" x14ac:dyDescent="0.2">
      <c r="A38" s="76">
        <v>15</v>
      </c>
      <c r="B38" s="77" t="s">
        <v>135</v>
      </c>
      <c r="C38" s="612" t="s">
        <v>136</v>
      </c>
      <c r="D38" s="612"/>
      <c r="E38" s="73" t="s">
        <v>97</v>
      </c>
      <c r="F38" s="79"/>
      <c r="G38" s="83"/>
      <c r="H38" s="84"/>
      <c r="I38" s="85"/>
      <c r="J38" s="84"/>
    </row>
    <row r="39" spans="1:10" ht="30" hidden="1" customHeight="1" x14ac:dyDescent="0.2">
      <c r="A39" s="76">
        <v>16</v>
      </c>
      <c r="B39" s="77" t="s">
        <v>137</v>
      </c>
      <c r="C39" s="612" t="s">
        <v>138</v>
      </c>
      <c r="D39" s="612"/>
      <c r="E39" s="73" t="s">
        <v>97</v>
      </c>
      <c r="F39" s="79"/>
      <c r="G39" s="83"/>
      <c r="H39" s="84"/>
      <c r="I39" s="85"/>
      <c r="J39" s="84"/>
    </row>
    <row r="40" spans="1:10" ht="30" hidden="1" customHeight="1" x14ac:dyDescent="0.2">
      <c r="A40" s="76">
        <v>17</v>
      </c>
      <c r="B40" s="77" t="s">
        <v>139</v>
      </c>
      <c r="C40" s="612" t="s">
        <v>140</v>
      </c>
      <c r="D40" s="612"/>
      <c r="E40" s="73" t="s">
        <v>97</v>
      </c>
      <c r="F40" s="79"/>
      <c r="G40" s="83"/>
      <c r="H40" s="84"/>
      <c r="I40" s="85"/>
      <c r="J40" s="84"/>
    </row>
    <row r="41" spans="1:10" ht="30" hidden="1" customHeight="1" x14ac:dyDescent="0.2">
      <c r="A41" s="76">
        <v>18</v>
      </c>
      <c r="B41" s="77" t="s">
        <v>141</v>
      </c>
      <c r="C41" s="612" t="s">
        <v>142</v>
      </c>
      <c r="D41" s="612"/>
      <c r="E41" s="73" t="s">
        <v>97</v>
      </c>
      <c r="F41" s="79"/>
      <c r="G41" s="83"/>
      <c r="H41" s="84"/>
      <c r="I41" s="85"/>
      <c r="J41" s="84"/>
    </row>
    <row r="42" spans="1:10" ht="30" hidden="1" customHeight="1" x14ac:dyDescent="0.2">
      <c r="A42" s="76">
        <v>19</v>
      </c>
      <c r="B42" s="77" t="s">
        <v>143</v>
      </c>
      <c r="C42" s="614" t="s">
        <v>144</v>
      </c>
      <c r="D42" s="615"/>
      <c r="E42" s="73" t="s">
        <v>97</v>
      </c>
      <c r="F42" s="79"/>
      <c r="G42" s="83"/>
      <c r="H42" s="84"/>
      <c r="I42" s="85"/>
      <c r="J42" s="84"/>
    </row>
    <row r="43" spans="1:10" ht="30" hidden="1" customHeight="1" x14ac:dyDescent="0.2">
      <c r="A43" s="76">
        <v>20</v>
      </c>
      <c r="B43" s="77" t="s">
        <v>145</v>
      </c>
      <c r="C43" s="614" t="s">
        <v>146</v>
      </c>
      <c r="D43" s="615"/>
      <c r="E43" s="73" t="s">
        <v>97</v>
      </c>
      <c r="F43" s="79"/>
      <c r="G43" s="83"/>
      <c r="H43" s="84"/>
      <c r="I43" s="85"/>
      <c r="J43" s="84"/>
    </row>
    <row r="44" spans="1:10" ht="68.25" hidden="1" customHeight="1" x14ac:dyDescent="0.2">
      <c r="A44" s="76">
        <v>21</v>
      </c>
      <c r="B44" s="77" t="s">
        <v>147</v>
      </c>
      <c r="C44" s="616" t="s">
        <v>148</v>
      </c>
      <c r="D44" s="616" t="s">
        <v>148</v>
      </c>
      <c r="E44" s="73" t="s">
        <v>97</v>
      </c>
      <c r="F44" s="79"/>
      <c r="G44" s="83"/>
      <c r="H44" s="84"/>
      <c r="I44" s="85"/>
      <c r="J44" s="84"/>
    </row>
    <row r="45" spans="1:10" ht="76.5" hidden="1" customHeight="1" x14ac:dyDescent="0.2">
      <c r="A45" s="76">
        <v>22</v>
      </c>
      <c r="B45" s="77" t="s">
        <v>149</v>
      </c>
      <c r="C45" s="616" t="s">
        <v>150</v>
      </c>
      <c r="D45" s="616" t="s">
        <v>150</v>
      </c>
      <c r="E45" s="73" t="s">
        <v>97</v>
      </c>
      <c r="F45" s="79"/>
      <c r="G45" s="83"/>
      <c r="H45" s="84"/>
      <c r="I45" s="85"/>
      <c r="J45" s="84"/>
    </row>
    <row r="46" spans="1:10" ht="30" hidden="1" customHeight="1" x14ac:dyDescent="0.2">
      <c r="A46" s="76">
        <v>23</v>
      </c>
      <c r="B46" s="77" t="s">
        <v>151</v>
      </c>
      <c r="C46" s="604" t="s">
        <v>152</v>
      </c>
      <c r="D46" s="604"/>
      <c r="E46" s="73" t="s">
        <v>97</v>
      </c>
      <c r="F46" s="79"/>
      <c r="G46" s="83"/>
      <c r="H46" s="84"/>
      <c r="I46" s="85"/>
      <c r="J46" s="84"/>
    </row>
    <row r="47" spans="1:10" ht="30" hidden="1" customHeight="1" x14ac:dyDescent="0.2">
      <c r="A47" s="76">
        <v>24</v>
      </c>
      <c r="B47" s="77" t="s">
        <v>153</v>
      </c>
      <c r="C47" s="604" t="s">
        <v>154</v>
      </c>
      <c r="D47" s="604"/>
      <c r="E47" s="73" t="s">
        <v>97</v>
      </c>
      <c r="F47" s="79"/>
      <c r="G47" s="83"/>
      <c r="H47" s="84"/>
      <c r="I47" s="85"/>
      <c r="J47" s="84"/>
    </row>
    <row r="48" spans="1:10" ht="151.5" hidden="1" customHeight="1" x14ac:dyDescent="0.2">
      <c r="A48" s="76">
        <v>1</v>
      </c>
      <c r="B48" s="86" t="s">
        <v>155</v>
      </c>
      <c r="C48" s="613" t="s">
        <v>156</v>
      </c>
      <c r="D48" s="613"/>
      <c r="E48" s="76" t="s">
        <v>97</v>
      </c>
      <c r="F48" s="87"/>
      <c r="G48" s="88" t="s">
        <v>157</v>
      </c>
      <c r="H48" s="74"/>
      <c r="I48" s="74"/>
      <c r="J48" s="74"/>
    </row>
    <row r="49" spans="1:10" ht="30" hidden="1" customHeight="1" x14ac:dyDescent="0.2">
      <c r="A49" s="76">
        <v>1</v>
      </c>
      <c r="B49" s="89" t="s">
        <v>158</v>
      </c>
      <c r="C49" s="617" t="s">
        <v>159</v>
      </c>
      <c r="D49" s="617"/>
      <c r="E49" s="76" t="s">
        <v>97</v>
      </c>
      <c r="F49" s="87"/>
      <c r="G49" s="618" t="s">
        <v>157</v>
      </c>
      <c r="H49" s="74"/>
      <c r="I49" s="74"/>
      <c r="J49" s="74"/>
    </row>
    <row r="50" spans="1:10" ht="30" hidden="1" customHeight="1" x14ac:dyDescent="0.2">
      <c r="A50" s="76">
        <v>2</v>
      </c>
      <c r="B50" s="89" t="s">
        <v>160</v>
      </c>
      <c r="C50" s="617" t="s">
        <v>161</v>
      </c>
      <c r="D50" s="617"/>
      <c r="E50" s="76" t="s">
        <v>97</v>
      </c>
      <c r="F50" s="87"/>
      <c r="G50" s="618"/>
      <c r="H50" s="74"/>
      <c r="I50" s="74"/>
      <c r="J50" s="74"/>
    </row>
    <row r="51" spans="1:10" ht="30" hidden="1" customHeight="1" x14ac:dyDescent="0.2">
      <c r="A51" s="76">
        <v>3</v>
      </c>
      <c r="B51" s="89" t="s">
        <v>162</v>
      </c>
      <c r="C51" s="617" t="s">
        <v>163</v>
      </c>
      <c r="D51" s="617"/>
      <c r="E51" s="76" t="s">
        <v>97</v>
      </c>
      <c r="F51" s="87"/>
      <c r="G51" s="618"/>
      <c r="H51" s="74"/>
      <c r="I51" s="74"/>
      <c r="J51" s="74"/>
    </row>
    <row r="52" spans="1:10" ht="30" hidden="1" customHeight="1" x14ac:dyDescent="0.2">
      <c r="A52" s="76">
        <v>1</v>
      </c>
      <c r="B52" s="89" t="s">
        <v>164</v>
      </c>
      <c r="C52" s="617" t="s">
        <v>165</v>
      </c>
      <c r="D52" s="617"/>
      <c r="E52" s="76" t="s">
        <v>97</v>
      </c>
      <c r="F52" s="87"/>
      <c r="G52" s="618"/>
      <c r="H52" s="74"/>
      <c r="I52" s="74"/>
      <c r="J52" s="74"/>
    </row>
    <row r="53" spans="1:10" ht="30" hidden="1" customHeight="1" x14ac:dyDescent="0.2">
      <c r="A53" s="76">
        <v>5</v>
      </c>
      <c r="B53" s="89" t="s">
        <v>166</v>
      </c>
      <c r="C53" s="617" t="s">
        <v>167</v>
      </c>
      <c r="D53" s="617"/>
      <c r="E53" s="76" t="s">
        <v>97</v>
      </c>
      <c r="F53" s="87"/>
      <c r="G53" s="618"/>
      <c r="H53" s="74"/>
      <c r="I53" s="74"/>
      <c r="J53" s="74"/>
    </row>
    <row r="54" spans="1:10" ht="30" hidden="1" customHeight="1" x14ac:dyDescent="0.2">
      <c r="A54" s="76">
        <v>2</v>
      </c>
      <c r="B54" s="89" t="s">
        <v>168</v>
      </c>
      <c r="C54" s="617" t="s">
        <v>169</v>
      </c>
      <c r="D54" s="617"/>
      <c r="E54" s="76" t="s">
        <v>97</v>
      </c>
      <c r="F54" s="87"/>
      <c r="G54" s="618"/>
      <c r="H54" s="74"/>
      <c r="I54" s="74"/>
      <c r="J54" s="74"/>
    </row>
    <row r="55" spans="1:10" ht="30" hidden="1" customHeight="1" x14ac:dyDescent="0.2">
      <c r="A55" s="76">
        <v>3</v>
      </c>
      <c r="B55" s="89" t="s">
        <v>170</v>
      </c>
      <c r="C55" s="617" t="s">
        <v>171</v>
      </c>
      <c r="D55" s="617"/>
      <c r="E55" s="76" t="s">
        <v>97</v>
      </c>
      <c r="F55" s="87"/>
      <c r="G55" s="618"/>
      <c r="H55" s="74"/>
      <c r="I55" s="74"/>
      <c r="J55" s="74"/>
    </row>
    <row r="56" spans="1:10" ht="30" hidden="1" customHeight="1" x14ac:dyDescent="0.2">
      <c r="A56" s="76">
        <v>4</v>
      </c>
      <c r="B56" s="89" t="s">
        <v>172</v>
      </c>
      <c r="C56" s="617" t="s">
        <v>173</v>
      </c>
      <c r="D56" s="617"/>
      <c r="E56" s="76" t="s">
        <v>97</v>
      </c>
      <c r="F56" s="87"/>
      <c r="G56" s="618"/>
      <c r="H56" s="74"/>
      <c r="I56" s="74"/>
      <c r="J56" s="74"/>
    </row>
    <row r="57" spans="1:10" ht="30" hidden="1" customHeight="1" x14ac:dyDescent="0.2">
      <c r="A57" s="76">
        <v>9</v>
      </c>
      <c r="B57" s="89" t="s">
        <v>174</v>
      </c>
      <c r="C57" s="617" t="s">
        <v>175</v>
      </c>
      <c r="D57" s="617"/>
      <c r="E57" s="76" t="s">
        <v>97</v>
      </c>
      <c r="F57" s="87"/>
      <c r="G57" s="618"/>
      <c r="H57" s="74"/>
      <c r="I57" s="74"/>
      <c r="J57" s="74"/>
    </row>
    <row r="58" spans="1:10" ht="129.94999999999999" hidden="1" customHeight="1" x14ac:dyDescent="0.2">
      <c r="A58" s="76"/>
      <c r="B58" s="77" t="s">
        <v>176</v>
      </c>
      <c r="C58" s="613" t="s">
        <v>177</v>
      </c>
      <c r="D58" s="613"/>
      <c r="E58" s="73" t="s">
        <v>97</v>
      </c>
      <c r="F58" s="43"/>
      <c r="G58" s="83"/>
      <c r="H58" s="84"/>
      <c r="I58" s="85"/>
      <c r="J58" s="84"/>
    </row>
    <row r="59" spans="1:10" ht="144.94999999999999" hidden="1" customHeight="1" x14ac:dyDescent="0.2">
      <c r="A59" s="76"/>
      <c r="B59" s="77" t="s">
        <v>178</v>
      </c>
      <c r="C59" s="613" t="s">
        <v>179</v>
      </c>
      <c r="D59" s="613"/>
      <c r="E59" s="73" t="s">
        <v>97</v>
      </c>
      <c r="F59" s="43"/>
      <c r="G59" s="83"/>
      <c r="H59" s="84"/>
      <c r="I59" s="85"/>
      <c r="J59" s="84"/>
    </row>
    <row r="60" spans="1:10" ht="129.94999999999999" hidden="1" customHeight="1" x14ac:dyDescent="0.2">
      <c r="A60" s="76">
        <v>1</v>
      </c>
      <c r="B60" s="77" t="s">
        <v>180</v>
      </c>
      <c r="C60" s="613" t="s">
        <v>181</v>
      </c>
      <c r="D60" s="613"/>
      <c r="E60" s="73" t="s">
        <v>97</v>
      </c>
      <c r="F60" s="43"/>
      <c r="G60" s="83"/>
      <c r="H60" s="84"/>
      <c r="I60" s="85"/>
      <c r="J60" s="84"/>
    </row>
    <row r="61" spans="1:10" ht="144.94999999999999" hidden="1" customHeight="1" x14ac:dyDescent="0.2">
      <c r="A61" s="76"/>
      <c r="B61" s="77" t="s">
        <v>182</v>
      </c>
      <c r="C61" s="613" t="s">
        <v>183</v>
      </c>
      <c r="D61" s="613"/>
      <c r="E61" s="73" t="s">
        <v>97</v>
      </c>
      <c r="F61" s="43"/>
      <c r="G61" s="83"/>
      <c r="H61" s="84"/>
      <c r="I61" s="85"/>
      <c r="J61" s="84"/>
    </row>
    <row r="62" spans="1:10" ht="159.94999999999999" hidden="1" customHeight="1" x14ac:dyDescent="0.2">
      <c r="A62" s="76"/>
      <c r="B62" s="77" t="s">
        <v>184</v>
      </c>
      <c r="C62" s="78" t="s">
        <v>185</v>
      </c>
      <c r="D62" s="78" t="s">
        <v>186</v>
      </c>
      <c r="E62" s="73" t="s">
        <v>97</v>
      </c>
      <c r="F62" s="43"/>
      <c r="G62" s="83"/>
      <c r="H62" s="84"/>
      <c r="I62" s="85"/>
      <c r="J62" s="84"/>
    </row>
    <row r="63" spans="1:10" ht="129.94999999999999" hidden="1" customHeight="1" x14ac:dyDescent="0.2">
      <c r="A63" s="76"/>
      <c r="B63" s="77" t="s">
        <v>187</v>
      </c>
      <c r="C63" s="613" t="s">
        <v>188</v>
      </c>
      <c r="D63" s="613" t="s">
        <v>189</v>
      </c>
      <c r="E63" s="73" t="s">
        <v>97</v>
      </c>
      <c r="F63" s="43"/>
      <c r="G63" s="83"/>
      <c r="H63" s="84"/>
      <c r="I63" s="85"/>
      <c r="J63" s="84"/>
    </row>
    <row r="64" spans="1:10" ht="144.94999999999999" hidden="1" customHeight="1" x14ac:dyDescent="0.2">
      <c r="A64" s="76"/>
      <c r="B64" s="77" t="s">
        <v>190</v>
      </c>
      <c r="C64" s="613" t="s">
        <v>191</v>
      </c>
      <c r="D64" s="613" t="s">
        <v>192</v>
      </c>
      <c r="E64" s="73" t="s">
        <v>97</v>
      </c>
      <c r="F64" s="43"/>
      <c r="G64" s="83"/>
      <c r="H64" s="84"/>
      <c r="I64" s="85"/>
      <c r="J64" s="84"/>
    </row>
    <row r="65" spans="1:12" ht="159.94999999999999" hidden="1" customHeight="1" x14ac:dyDescent="0.2">
      <c r="A65" s="76"/>
      <c r="B65" s="77" t="s">
        <v>193</v>
      </c>
      <c r="C65" s="613" t="s">
        <v>194</v>
      </c>
      <c r="D65" s="613" t="s">
        <v>195</v>
      </c>
      <c r="E65" s="73" t="s">
        <v>97</v>
      </c>
      <c r="F65" s="43"/>
      <c r="G65" s="83"/>
      <c r="H65" s="84"/>
      <c r="I65" s="85"/>
      <c r="J65" s="84"/>
    </row>
    <row r="66" spans="1:12" ht="60" customHeight="1" x14ac:dyDescent="0.2">
      <c r="A66" s="76">
        <v>1</v>
      </c>
      <c r="B66" s="77" t="s">
        <v>196</v>
      </c>
      <c r="C66" s="613" t="s">
        <v>197</v>
      </c>
      <c r="D66" s="612" t="s">
        <v>198</v>
      </c>
      <c r="E66" s="73" t="s">
        <v>97</v>
      </c>
      <c r="F66" s="79"/>
      <c r="G66" s="83"/>
      <c r="H66" s="84"/>
      <c r="I66" s="85"/>
      <c r="J66" s="84"/>
    </row>
    <row r="67" spans="1:12" ht="14.25" hidden="1" x14ac:dyDescent="0.2">
      <c r="A67" s="76"/>
      <c r="B67" s="77" t="s">
        <v>199</v>
      </c>
      <c r="C67" s="612" t="s">
        <v>200</v>
      </c>
      <c r="D67" s="612" t="s">
        <v>200</v>
      </c>
      <c r="E67" s="73" t="s">
        <v>97</v>
      </c>
      <c r="F67" s="79">
        <v>1</v>
      </c>
      <c r="G67" s="83"/>
      <c r="H67" s="84"/>
      <c r="I67" s="85"/>
      <c r="J67" s="84"/>
    </row>
    <row r="68" spans="1:12" ht="41.25" hidden="1" customHeight="1" x14ac:dyDescent="0.2">
      <c r="A68" s="76"/>
      <c r="B68" s="77" t="s">
        <v>201</v>
      </c>
      <c r="C68" s="613" t="s">
        <v>202</v>
      </c>
      <c r="D68" s="612" t="s">
        <v>203</v>
      </c>
      <c r="E68" s="73" t="s">
        <v>97</v>
      </c>
      <c r="F68" s="79"/>
      <c r="G68" s="83"/>
      <c r="H68" s="91"/>
      <c r="I68" s="85"/>
      <c r="J68" s="91"/>
    </row>
    <row r="69" spans="1:12" ht="14.25" hidden="1" x14ac:dyDescent="0.2">
      <c r="A69" s="76"/>
      <c r="B69" s="77" t="s">
        <v>204</v>
      </c>
      <c r="C69" s="612" t="s">
        <v>205</v>
      </c>
      <c r="D69" s="612"/>
      <c r="E69" s="73" t="s">
        <v>97</v>
      </c>
      <c r="F69" s="43"/>
      <c r="G69" s="83"/>
      <c r="H69" s="84"/>
      <c r="I69" s="85"/>
      <c r="J69" s="84"/>
    </row>
    <row r="70" spans="1:12" ht="15" hidden="1" customHeight="1" x14ac:dyDescent="0.2">
      <c r="A70" s="76"/>
      <c r="B70" s="77" t="s">
        <v>206</v>
      </c>
      <c r="C70" s="612" t="s">
        <v>207</v>
      </c>
      <c r="D70" s="612"/>
      <c r="E70" s="73" t="s">
        <v>97</v>
      </c>
      <c r="F70" s="43"/>
      <c r="G70" s="83"/>
      <c r="H70" s="84"/>
      <c r="I70" s="85"/>
      <c r="J70" s="84"/>
    </row>
    <row r="71" spans="1:12" ht="15" hidden="1" customHeight="1" x14ac:dyDescent="0.2">
      <c r="A71" s="76"/>
      <c r="B71" s="77" t="s">
        <v>208</v>
      </c>
      <c r="C71" s="612" t="s">
        <v>209</v>
      </c>
      <c r="D71" s="612"/>
      <c r="E71" s="73" t="s">
        <v>97</v>
      </c>
      <c r="F71" s="43"/>
      <c r="G71" s="83"/>
      <c r="H71" s="84"/>
      <c r="I71" s="85"/>
      <c r="J71" s="84"/>
    </row>
    <row r="72" spans="1:12" ht="15" hidden="1" customHeight="1" x14ac:dyDescent="0.2">
      <c r="A72" s="76"/>
      <c r="B72" s="77" t="s">
        <v>210</v>
      </c>
      <c r="C72" s="612" t="s">
        <v>211</v>
      </c>
      <c r="D72" s="612"/>
      <c r="E72" s="73" t="s">
        <v>97</v>
      </c>
      <c r="F72" s="43"/>
      <c r="G72" s="83"/>
      <c r="H72" s="84"/>
      <c r="I72" s="85"/>
      <c r="J72" s="84"/>
    </row>
    <row r="73" spans="1:12" ht="15" hidden="1" customHeight="1" x14ac:dyDescent="0.2">
      <c r="A73" s="76"/>
      <c r="B73" s="77" t="s">
        <v>212</v>
      </c>
      <c r="C73" s="612" t="s">
        <v>213</v>
      </c>
      <c r="D73" s="612"/>
      <c r="E73" s="73" t="s">
        <v>97</v>
      </c>
      <c r="F73" s="43"/>
      <c r="G73" s="83"/>
      <c r="H73" s="84"/>
      <c r="I73" s="85"/>
      <c r="J73" s="84"/>
    </row>
    <row r="74" spans="1:12" ht="15" hidden="1" customHeight="1" x14ac:dyDescent="0.2">
      <c r="A74" s="76"/>
      <c r="B74" s="77" t="s">
        <v>214</v>
      </c>
      <c r="C74" s="612" t="s">
        <v>215</v>
      </c>
      <c r="D74" s="612"/>
      <c r="E74" s="73" t="s">
        <v>97</v>
      </c>
      <c r="F74" s="43"/>
      <c r="G74" s="83"/>
      <c r="H74" s="84"/>
      <c r="I74" s="85"/>
      <c r="J74" s="84"/>
    </row>
    <row r="75" spans="1:12" ht="60" hidden="1" customHeight="1" x14ac:dyDescent="0.2">
      <c r="A75" s="76"/>
      <c r="B75" s="77" t="s">
        <v>216</v>
      </c>
      <c r="C75" s="613" t="s">
        <v>217</v>
      </c>
      <c r="D75" s="612"/>
      <c r="E75" s="73" t="s">
        <v>97</v>
      </c>
      <c r="F75" s="43"/>
      <c r="G75" s="83"/>
      <c r="H75" s="84"/>
      <c r="I75" s="85"/>
      <c r="J75" s="77" t="s">
        <v>218</v>
      </c>
      <c r="K75" s="612" t="s">
        <v>219</v>
      </c>
      <c r="L75" s="612" t="s">
        <v>220</v>
      </c>
    </row>
    <row r="76" spans="1:12" ht="41.25" customHeight="1" x14ac:dyDescent="0.2">
      <c r="A76" s="76">
        <v>2</v>
      </c>
      <c r="B76" s="77" t="s">
        <v>221</v>
      </c>
      <c r="C76" s="612" t="s">
        <v>219</v>
      </c>
      <c r="D76" s="612" t="s">
        <v>220</v>
      </c>
      <c r="E76" s="76" t="s">
        <v>222</v>
      </c>
      <c r="F76" s="43"/>
      <c r="G76" s="83"/>
      <c r="H76" s="84"/>
      <c r="I76" s="85"/>
      <c r="J76" s="92"/>
      <c r="K76" s="93"/>
      <c r="L76" s="93"/>
    </row>
    <row r="77" spans="1:12" ht="45" customHeight="1" x14ac:dyDescent="0.2">
      <c r="A77" s="76"/>
      <c r="B77" s="77" t="s">
        <v>223</v>
      </c>
      <c r="C77" s="612" t="s">
        <v>224</v>
      </c>
      <c r="D77" s="612" t="s">
        <v>224</v>
      </c>
      <c r="E77" s="76" t="s">
        <v>222</v>
      </c>
      <c r="F77" s="43"/>
      <c r="G77" s="83"/>
      <c r="H77" s="84"/>
      <c r="I77" s="85"/>
      <c r="J77" s="84"/>
    </row>
    <row r="78" spans="1:12" ht="45" customHeight="1" x14ac:dyDescent="0.2">
      <c r="A78" s="76">
        <v>3</v>
      </c>
      <c r="B78" s="77" t="s">
        <v>225</v>
      </c>
      <c r="C78" s="612" t="s">
        <v>220</v>
      </c>
      <c r="D78" s="612" t="s">
        <v>220</v>
      </c>
      <c r="E78" s="76" t="s">
        <v>222</v>
      </c>
      <c r="F78" s="43"/>
      <c r="G78" s="83"/>
      <c r="H78" s="84"/>
      <c r="I78" s="85"/>
      <c r="J78" s="84"/>
    </row>
    <row r="79" spans="1:12" ht="45" customHeight="1" x14ac:dyDescent="0.2">
      <c r="A79" s="76"/>
      <c r="B79" s="77"/>
      <c r="C79" s="612" t="s">
        <v>226</v>
      </c>
      <c r="D79" s="612"/>
      <c r="E79" s="76" t="s">
        <v>222</v>
      </c>
      <c r="F79" s="43"/>
      <c r="G79" s="83"/>
      <c r="H79" s="84"/>
      <c r="I79" s="85"/>
      <c r="J79" s="84"/>
    </row>
    <row r="80" spans="1:12" ht="45" customHeight="1" x14ac:dyDescent="0.2">
      <c r="A80" s="76">
        <v>4</v>
      </c>
      <c r="B80" s="77"/>
      <c r="C80" s="612" t="s">
        <v>227</v>
      </c>
      <c r="D80" s="612"/>
      <c r="E80" s="76" t="s">
        <v>222</v>
      </c>
      <c r="F80" s="43"/>
      <c r="G80" s="83"/>
      <c r="H80" s="84"/>
      <c r="I80" s="85"/>
      <c r="J80" s="84"/>
    </row>
    <row r="81" spans="1:11" ht="48" customHeight="1" x14ac:dyDescent="0.2">
      <c r="A81" s="76">
        <v>4</v>
      </c>
      <c r="B81" s="77" t="s">
        <v>228</v>
      </c>
      <c r="C81" s="612" t="s">
        <v>229</v>
      </c>
      <c r="D81" s="612"/>
      <c r="E81" s="76" t="s">
        <v>222</v>
      </c>
      <c r="F81" s="43"/>
      <c r="G81" s="83"/>
      <c r="H81" s="84"/>
      <c r="I81" s="85"/>
      <c r="J81" s="84"/>
    </row>
    <row r="82" spans="1:11" ht="45" customHeight="1" x14ac:dyDescent="0.2">
      <c r="A82" s="76"/>
      <c r="B82" s="77" t="s">
        <v>230</v>
      </c>
      <c r="C82" s="612" t="s">
        <v>231</v>
      </c>
      <c r="D82" s="612"/>
      <c r="E82" s="76" t="s">
        <v>222</v>
      </c>
      <c r="F82" s="43"/>
      <c r="G82" s="83"/>
      <c r="H82" s="84"/>
      <c r="I82" s="85"/>
      <c r="J82" s="84"/>
    </row>
    <row r="83" spans="1:11" ht="60" customHeight="1" x14ac:dyDescent="0.2">
      <c r="A83" s="76">
        <v>5</v>
      </c>
      <c r="B83" s="77" t="s">
        <v>232</v>
      </c>
      <c r="C83" s="612" t="s">
        <v>233</v>
      </c>
      <c r="D83" s="612" t="s">
        <v>233</v>
      </c>
      <c r="E83" s="76" t="s">
        <v>222</v>
      </c>
      <c r="F83" s="43"/>
      <c r="G83" s="83"/>
      <c r="H83" s="84"/>
      <c r="I83" s="85"/>
      <c r="J83" s="84"/>
    </row>
    <row r="84" spans="1:11" ht="88.5" customHeight="1" x14ac:dyDescent="0.2">
      <c r="A84" s="76">
        <v>6</v>
      </c>
      <c r="B84" s="77" t="s">
        <v>234</v>
      </c>
      <c r="C84" s="612" t="s">
        <v>235</v>
      </c>
      <c r="D84" s="612" t="s">
        <v>236</v>
      </c>
      <c r="E84" s="73" t="s">
        <v>237</v>
      </c>
      <c r="F84" s="43"/>
      <c r="G84" s="83"/>
      <c r="H84" s="84"/>
      <c r="I84" s="85"/>
      <c r="J84" s="84"/>
    </row>
    <row r="85" spans="1:11" ht="45" customHeight="1" x14ac:dyDescent="0.2">
      <c r="A85" s="76"/>
      <c r="B85" s="77" t="s">
        <v>238</v>
      </c>
      <c r="C85" s="612" t="s">
        <v>239</v>
      </c>
      <c r="D85" s="612"/>
      <c r="E85" s="73" t="s">
        <v>97</v>
      </c>
      <c r="F85" s="43"/>
      <c r="G85" s="83"/>
      <c r="H85" s="84"/>
      <c r="I85" s="85"/>
      <c r="J85" s="84"/>
    </row>
    <row r="86" spans="1:11" ht="88.5" customHeight="1" x14ac:dyDescent="0.2">
      <c r="A86" s="76">
        <v>7</v>
      </c>
      <c r="B86" s="77" t="s">
        <v>240</v>
      </c>
      <c r="C86" s="612" t="s">
        <v>241</v>
      </c>
      <c r="D86" s="612" t="s">
        <v>236</v>
      </c>
      <c r="E86" s="73" t="s">
        <v>237</v>
      </c>
      <c r="F86" s="43"/>
      <c r="G86" s="83"/>
      <c r="H86" s="84"/>
      <c r="I86" s="85"/>
      <c r="J86" s="84"/>
    </row>
    <row r="87" spans="1:11" ht="45" customHeight="1" x14ac:dyDescent="0.2">
      <c r="A87" s="76">
        <v>8</v>
      </c>
      <c r="B87" s="77" t="s">
        <v>242</v>
      </c>
      <c r="C87" s="612" t="s">
        <v>243</v>
      </c>
      <c r="D87" s="612" t="s">
        <v>243</v>
      </c>
      <c r="E87" s="73" t="s">
        <v>97</v>
      </c>
      <c r="F87" s="43"/>
      <c r="G87" s="83"/>
      <c r="H87" s="84"/>
      <c r="I87" s="85"/>
      <c r="J87" s="84"/>
    </row>
    <row r="88" spans="1:11" ht="45" hidden="1" customHeight="1" x14ac:dyDescent="0.2">
      <c r="A88" s="76"/>
      <c r="B88" s="77" t="s">
        <v>244</v>
      </c>
      <c r="C88" s="612" t="s">
        <v>245</v>
      </c>
      <c r="D88" s="612" t="s">
        <v>245</v>
      </c>
      <c r="E88" s="73" t="s">
        <v>97</v>
      </c>
      <c r="F88" s="79"/>
      <c r="G88" s="83"/>
      <c r="H88" s="84"/>
      <c r="I88" s="85"/>
      <c r="J88" s="84"/>
    </row>
    <row r="89" spans="1:11" ht="60" hidden="1" customHeight="1" x14ac:dyDescent="0.2">
      <c r="A89" s="76">
        <v>3</v>
      </c>
      <c r="B89" s="77" t="s">
        <v>246</v>
      </c>
      <c r="C89" s="612" t="s">
        <v>247</v>
      </c>
      <c r="D89" s="612"/>
      <c r="E89" s="76" t="s">
        <v>97</v>
      </c>
      <c r="F89" s="94"/>
      <c r="G89" s="95"/>
      <c r="H89" s="74"/>
      <c r="I89" s="74"/>
      <c r="J89" s="74"/>
    </row>
    <row r="90" spans="1:11" ht="30" hidden="1" customHeight="1" x14ac:dyDescent="0.2">
      <c r="A90" s="76">
        <v>4</v>
      </c>
      <c r="B90" s="77" t="s">
        <v>248</v>
      </c>
      <c r="C90" s="612" t="s">
        <v>249</v>
      </c>
      <c r="D90" s="612"/>
      <c r="E90" s="76" t="s">
        <v>97</v>
      </c>
      <c r="F90" s="94"/>
      <c r="G90" s="95"/>
      <c r="H90" s="74"/>
      <c r="I90" s="74"/>
      <c r="J90" s="74"/>
    </row>
    <row r="91" spans="1:11" ht="30" customHeight="1" x14ac:dyDescent="0.2">
      <c r="A91" s="76">
        <v>9</v>
      </c>
      <c r="B91" s="77" t="s">
        <v>250</v>
      </c>
      <c r="C91" s="628" t="s">
        <v>251</v>
      </c>
      <c r="D91" s="629"/>
      <c r="E91" s="73" t="s">
        <v>252</v>
      </c>
      <c r="F91" s="79">
        <v>1</v>
      </c>
      <c r="G91" s="83"/>
      <c r="H91" s="91"/>
      <c r="I91" s="77"/>
      <c r="J91" s="612"/>
      <c r="K91" s="612"/>
    </row>
    <row r="92" spans="1:11" ht="30" customHeight="1" thickBot="1" x14ac:dyDescent="0.25">
      <c r="A92" s="96"/>
      <c r="B92" s="97"/>
      <c r="C92" s="96"/>
      <c r="D92" s="96"/>
      <c r="E92" s="85"/>
      <c r="F92" s="82"/>
      <c r="G92" s="85"/>
      <c r="H92" s="91"/>
      <c r="I92" s="85"/>
      <c r="J92" s="91"/>
    </row>
    <row r="93" spans="1:11" ht="30" customHeight="1" thickBot="1" x14ac:dyDescent="0.25">
      <c r="A93" s="619" t="s">
        <v>6</v>
      </c>
      <c r="B93" s="620"/>
      <c r="C93" s="621">
        <f>C15+14</f>
        <v>43125</v>
      </c>
      <c r="D93" s="622"/>
      <c r="E93" s="623"/>
      <c r="F93" s="624"/>
      <c r="G93" s="625"/>
      <c r="H93" s="59"/>
      <c r="I93" s="98"/>
      <c r="J93" s="59"/>
    </row>
    <row r="94" spans="1:11" x14ac:dyDescent="0.2">
      <c r="A94" s="99"/>
      <c r="B94" s="100"/>
      <c r="G94" s="59"/>
      <c r="H94" s="59"/>
      <c r="I94" s="59"/>
      <c r="J94" s="59"/>
    </row>
    <row r="95" spans="1:11" ht="12.75" customHeight="1" x14ac:dyDescent="0.2">
      <c r="A95" s="626" t="s">
        <v>253</v>
      </c>
      <c r="B95" s="626"/>
      <c r="C95" s="626"/>
      <c r="D95" s="626"/>
      <c r="E95" s="626"/>
      <c r="F95" s="626"/>
      <c r="G95" s="626"/>
      <c r="H95" s="59"/>
      <c r="I95" s="59"/>
      <c r="J95" s="59"/>
    </row>
    <row r="96" spans="1:11" x14ac:dyDescent="0.2">
      <c r="A96" s="99"/>
      <c r="B96" s="100"/>
      <c r="G96" s="59"/>
      <c r="H96" s="59"/>
      <c r="I96" s="59"/>
      <c r="J96" s="59"/>
    </row>
    <row r="97" spans="1:10" x14ac:dyDescent="0.2">
      <c r="G97" s="59"/>
      <c r="H97" s="59"/>
      <c r="I97" s="59"/>
      <c r="J97" s="59"/>
    </row>
    <row r="98" spans="1:10" ht="15.75" x14ac:dyDescent="0.25">
      <c r="A98" s="101" t="s">
        <v>254</v>
      </c>
      <c r="B98" s="627" t="s">
        <v>255</v>
      </c>
      <c r="C98" s="627"/>
      <c r="D98" s="102"/>
      <c r="E98" s="102"/>
      <c r="F98" s="102" t="s">
        <v>256</v>
      </c>
      <c r="G98" s="102"/>
      <c r="H98" s="103"/>
      <c r="I98" s="103"/>
      <c r="J98" s="103"/>
    </row>
    <row r="99" spans="1:10" x14ac:dyDescent="0.2">
      <c r="A99" s="102"/>
      <c r="B99" s="102"/>
      <c r="C99" s="104"/>
      <c r="D99" s="104"/>
      <c r="E99" s="104"/>
      <c r="F99" s="104" t="s">
        <v>257</v>
      </c>
      <c r="G99" s="104"/>
      <c r="H99" s="105"/>
      <c r="I99" s="105"/>
      <c r="J99" s="105"/>
    </row>
    <row r="100" spans="1:10" x14ac:dyDescent="0.2">
      <c r="A100" s="102"/>
      <c r="B100" s="99" t="s">
        <v>258</v>
      </c>
      <c r="C100" s="102"/>
      <c r="D100" s="102"/>
      <c r="E100" s="102"/>
      <c r="F100" s="104"/>
      <c r="G100" s="103"/>
      <c r="H100" s="105"/>
      <c r="I100" s="103"/>
      <c r="J100" s="105"/>
    </row>
    <row r="101" spans="1:10" x14ac:dyDescent="0.2">
      <c r="A101" s="102"/>
      <c r="B101" s="102"/>
      <c r="C101" s="102"/>
      <c r="D101" s="102"/>
      <c r="E101" s="102"/>
      <c r="F101" s="104"/>
      <c r="G101" s="103"/>
      <c r="H101" s="105"/>
      <c r="I101" s="103"/>
      <c r="J101" s="105"/>
    </row>
    <row r="102" spans="1:10" x14ac:dyDescent="0.2">
      <c r="A102" s="102"/>
      <c r="B102" s="102"/>
      <c r="C102" s="102"/>
      <c r="D102" s="102"/>
      <c r="E102" s="102"/>
      <c r="F102" s="104"/>
      <c r="G102" s="103"/>
      <c r="H102" s="105"/>
      <c r="I102" s="103"/>
      <c r="J102" s="105"/>
    </row>
    <row r="103" spans="1:10" x14ac:dyDescent="0.2">
      <c r="A103" s="102"/>
      <c r="B103" s="102"/>
      <c r="C103" s="102"/>
      <c r="D103" s="102"/>
      <c r="E103" s="102"/>
      <c r="F103" s="104"/>
      <c r="G103" s="103"/>
      <c r="H103" s="105"/>
      <c r="I103" s="103"/>
      <c r="J103" s="105"/>
    </row>
    <row r="104" spans="1:10" x14ac:dyDescent="0.2">
      <c r="A104" s="102"/>
      <c r="B104" s="102"/>
      <c r="C104" s="102"/>
      <c r="D104" s="102"/>
      <c r="E104" s="102"/>
      <c r="F104" s="104"/>
      <c r="G104" s="103"/>
      <c r="H104" s="105"/>
      <c r="I104" s="103"/>
      <c r="J104" s="105"/>
    </row>
    <row r="105" spans="1:10" ht="15.75" x14ac:dyDescent="0.25">
      <c r="A105" s="106" t="s">
        <v>259</v>
      </c>
      <c r="B105" s="106"/>
      <c r="C105" s="106"/>
      <c r="D105" s="102"/>
      <c r="E105" s="102"/>
      <c r="F105" s="102" t="s">
        <v>256</v>
      </c>
      <c r="G105" s="103"/>
      <c r="H105" s="105"/>
      <c r="I105" s="103"/>
      <c r="J105" s="105"/>
    </row>
    <row r="106" spans="1:10" x14ac:dyDescent="0.2">
      <c r="A106" s="102"/>
      <c r="B106" s="102"/>
      <c r="C106" s="102"/>
      <c r="D106" s="102"/>
      <c r="E106" s="104"/>
      <c r="F106" s="104" t="s">
        <v>257</v>
      </c>
      <c r="G106" s="103"/>
      <c r="H106" s="103"/>
      <c r="I106" s="103"/>
      <c r="J106" s="103"/>
    </row>
    <row r="107" spans="1:10" x14ac:dyDescent="0.2">
      <c r="A107" s="102"/>
      <c r="B107" s="99" t="s">
        <v>258</v>
      </c>
      <c r="C107" s="102"/>
      <c r="D107" s="102"/>
      <c r="E107" s="102"/>
      <c r="F107" s="102"/>
      <c r="G107" s="103"/>
      <c r="H107" s="103"/>
      <c r="I107" s="103"/>
      <c r="J107" s="103"/>
    </row>
    <row r="108" spans="1:10" ht="15.75" x14ac:dyDescent="0.25">
      <c r="A108" s="101"/>
      <c r="B108" s="627"/>
      <c r="C108" s="627"/>
      <c r="D108" s="102"/>
      <c r="E108" s="102"/>
      <c r="F108" s="102"/>
      <c r="G108" s="103"/>
      <c r="H108" s="103"/>
      <c r="I108" s="103"/>
      <c r="J108" s="103"/>
    </row>
    <row r="109" spans="1:10" x14ac:dyDescent="0.2">
      <c r="A109" s="102"/>
      <c r="B109" s="102"/>
      <c r="C109" s="104"/>
      <c r="D109" s="104"/>
      <c r="E109" s="104"/>
      <c r="F109" s="104"/>
      <c r="G109" s="105"/>
      <c r="H109" s="105"/>
      <c r="I109" s="105"/>
      <c r="J109" s="105"/>
    </row>
    <row r="110" spans="1:10" x14ac:dyDescent="0.2">
      <c r="B110" s="99"/>
      <c r="G110" s="59"/>
      <c r="H110" s="59"/>
      <c r="I110" s="59"/>
      <c r="J110" s="59"/>
    </row>
  </sheetData>
  <mergeCells count="94">
    <mergeCell ref="A95:G95"/>
    <mergeCell ref="B98:C98"/>
    <mergeCell ref="B108:C108"/>
    <mergeCell ref="C88:D88"/>
    <mergeCell ref="C89:D89"/>
    <mergeCell ref="C90:D90"/>
    <mergeCell ref="C91:D91"/>
    <mergeCell ref="J91:K91"/>
    <mergeCell ref="A93:B93"/>
    <mergeCell ref="C93:E93"/>
    <mergeCell ref="F93:G93"/>
    <mergeCell ref="C82:D82"/>
    <mergeCell ref="C83:D83"/>
    <mergeCell ref="C84:D84"/>
    <mergeCell ref="C85:D85"/>
    <mergeCell ref="C86:D86"/>
    <mergeCell ref="C87:D87"/>
    <mergeCell ref="C81:D81"/>
    <mergeCell ref="C71:D71"/>
    <mergeCell ref="C72:D72"/>
    <mergeCell ref="C73:D73"/>
    <mergeCell ref="C74:D74"/>
    <mergeCell ref="C75:D75"/>
    <mergeCell ref="C76:D76"/>
    <mergeCell ref="C77:D77"/>
    <mergeCell ref="C78:D78"/>
    <mergeCell ref="C79:D79"/>
    <mergeCell ref="C80:D80"/>
    <mergeCell ref="K75:L75"/>
    <mergeCell ref="C65:D65"/>
    <mergeCell ref="C66:D66"/>
    <mergeCell ref="C67:D67"/>
    <mergeCell ref="C68:D68"/>
    <mergeCell ref="C69:D69"/>
    <mergeCell ref="C70:D70"/>
    <mergeCell ref="C64:D64"/>
    <mergeCell ref="C49:D49"/>
    <mergeCell ref="G49:G57"/>
    <mergeCell ref="C50:D50"/>
    <mergeCell ref="C51:D51"/>
    <mergeCell ref="C52:D52"/>
    <mergeCell ref="C53:D53"/>
    <mergeCell ref="C54:D54"/>
    <mergeCell ref="C55:D55"/>
    <mergeCell ref="C56:D56"/>
    <mergeCell ref="C57:D57"/>
    <mergeCell ref="C58:D58"/>
    <mergeCell ref="C59:D59"/>
    <mergeCell ref="C60:D60"/>
    <mergeCell ref="C61:D61"/>
    <mergeCell ref="C63:D63"/>
    <mergeCell ref="C48:D48"/>
    <mergeCell ref="C37:D37"/>
    <mergeCell ref="C38:D38"/>
    <mergeCell ref="C39:D39"/>
    <mergeCell ref="C40:D40"/>
    <mergeCell ref="C41:D41"/>
    <mergeCell ref="C42:D42"/>
    <mergeCell ref="C43:D43"/>
    <mergeCell ref="C44:D44"/>
    <mergeCell ref="C45:D45"/>
    <mergeCell ref="C46:D46"/>
    <mergeCell ref="C47:D47"/>
    <mergeCell ref="C36:D36"/>
    <mergeCell ref="C25:D25"/>
    <mergeCell ref="C26:D26"/>
    <mergeCell ref="C27:D27"/>
    <mergeCell ref="C28:D28"/>
    <mergeCell ref="C29:D29"/>
    <mergeCell ref="C30:D30"/>
    <mergeCell ref="C31:D31"/>
    <mergeCell ref="C32:D32"/>
    <mergeCell ref="C33:D33"/>
    <mergeCell ref="C34:D34"/>
    <mergeCell ref="C35:D35"/>
    <mergeCell ref="C24:D24"/>
    <mergeCell ref="A17:A18"/>
    <mergeCell ref="B17:B18"/>
    <mergeCell ref="C17:D18"/>
    <mergeCell ref="E17:E18"/>
    <mergeCell ref="C19:D19"/>
    <mergeCell ref="C20:D20"/>
    <mergeCell ref="C21:D21"/>
    <mergeCell ref="C22:D22"/>
    <mergeCell ref="C23:D23"/>
    <mergeCell ref="F17:F18"/>
    <mergeCell ref="G17:G18"/>
    <mergeCell ref="B6:F6"/>
    <mergeCell ref="A9:B10"/>
    <mergeCell ref="C9:G10"/>
    <mergeCell ref="A11:B12"/>
    <mergeCell ref="C11:G12"/>
    <mergeCell ref="A15:B15"/>
    <mergeCell ref="C15:G15"/>
  </mergeCells>
  <pageMargins left="0.75" right="0.34" top="0.31" bottom="0.45" header="0.17" footer="0.17"/>
  <pageSetup paperSize="9" scale="86" fitToHeight="5" orientation="portrait" r:id="rId1"/>
  <headerFooter alignWithMargins="0">
    <oddFooter>&amp;R&amp;"Times New Roman,обычный"&amp;8&amp;U&amp;A&amp;U стр.&amp;P из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pageSetUpPr fitToPage="1"/>
  </sheetPr>
  <dimension ref="A1:M114"/>
  <sheetViews>
    <sheetView view="pageBreakPreview" zoomScaleNormal="100" zoomScaleSheetLayoutView="100" workbookViewId="0">
      <selection activeCell="L70" sqref="L70"/>
    </sheetView>
  </sheetViews>
  <sheetFormatPr defaultRowHeight="12.75" x14ac:dyDescent="0.2"/>
  <cols>
    <col min="1" max="1" width="7" customWidth="1"/>
    <col min="2" max="2" width="10.7109375" customWidth="1"/>
    <col min="3" max="3" width="15.7109375" customWidth="1"/>
    <col min="4" max="4" width="40.7109375" customWidth="1"/>
    <col min="5" max="5" width="9.7109375" customWidth="1"/>
    <col min="6" max="6" width="8.85546875" customWidth="1"/>
    <col min="7" max="7" width="14.7109375" customWidth="1"/>
    <col min="8" max="8" width="11.5703125" customWidth="1"/>
  </cols>
  <sheetData>
    <row r="1" spans="1:12" x14ac:dyDescent="0.2">
      <c r="D1" s="57"/>
      <c r="E1" s="57"/>
      <c r="F1" s="57"/>
      <c r="G1" s="57" t="s">
        <v>88</v>
      </c>
      <c r="H1" s="58"/>
      <c r="J1" s="59"/>
      <c r="K1" s="59"/>
      <c r="L1" s="58"/>
    </row>
    <row r="2" spans="1:12" x14ac:dyDescent="0.2">
      <c r="D2" s="57"/>
      <c r="E2" s="57"/>
      <c r="F2" s="57"/>
      <c r="G2" s="57" t="s">
        <v>89</v>
      </c>
      <c r="H2" s="58"/>
      <c r="J2" s="59"/>
      <c r="K2" s="59"/>
      <c r="L2" s="58"/>
    </row>
    <row r="3" spans="1:12" ht="14.25" x14ac:dyDescent="0.2">
      <c r="D3" s="57"/>
      <c r="E3" s="57"/>
      <c r="F3" s="57"/>
      <c r="G3" s="57" t="s">
        <v>90</v>
      </c>
      <c r="H3" s="58"/>
      <c r="J3" s="59"/>
      <c r="K3" s="59"/>
      <c r="L3" s="58"/>
    </row>
    <row r="4" spans="1:12" x14ac:dyDescent="0.2">
      <c r="D4" s="57"/>
      <c r="E4" s="57"/>
      <c r="F4" s="57"/>
      <c r="G4" s="59"/>
      <c r="H4" s="58"/>
      <c r="J4" s="59"/>
      <c r="K4" s="59"/>
      <c r="L4" s="58"/>
    </row>
    <row r="5" spans="1:12" x14ac:dyDescent="0.2">
      <c r="G5" s="59"/>
      <c r="H5" s="59"/>
      <c r="J5" s="59"/>
      <c r="K5" s="59"/>
      <c r="L5" s="59"/>
    </row>
    <row r="6" spans="1:12" ht="18.75" x14ac:dyDescent="0.3">
      <c r="A6" s="60"/>
      <c r="B6" s="605" t="s">
        <v>91</v>
      </c>
      <c r="C6" s="605"/>
      <c r="D6" s="605"/>
      <c r="E6" s="605"/>
      <c r="F6" s="605"/>
      <c r="G6" s="59"/>
      <c r="H6" s="59"/>
      <c r="J6" s="59"/>
      <c r="K6" s="59"/>
      <c r="L6" s="59"/>
    </row>
    <row r="7" spans="1:12" ht="18.75" x14ac:dyDescent="0.3">
      <c r="A7" s="60"/>
      <c r="B7" s="61"/>
      <c r="C7" s="62" t="s">
        <v>8</v>
      </c>
      <c r="D7" s="63" t="s">
        <v>260</v>
      </c>
      <c r="G7" s="59"/>
      <c r="H7" s="59"/>
      <c r="J7" s="59"/>
      <c r="K7" s="59"/>
      <c r="L7" s="59"/>
    </row>
    <row r="8" spans="1:12" ht="18.75" x14ac:dyDescent="0.3">
      <c r="A8" s="60"/>
      <c r="B8" s="61"/>
      <c r="C8" s="61"/>
      <c r="D8" s="64"/>
      <c r="G8" s="59"/>
      <c r="H8" s="59"/>
      <c r="J8" s="59"/>
      <c r="K8" s="59"/>
      <c r="L8" s="59"/>
    </row>
    <row r="9" spans="1:12" ht="15" customHeight="1" x14ac:dyDescent="0.2">
      <c r="A9" s="606" t="s">
        <v>0</v>
      </c>
      <c r="B9" s="606"/>
      <c r="C9" s="607" t="e">
        <f>#REF!</f>
        <v>#REF!</v>
      </c>
      <c r="D9" s="607"/>
      <c r="E9" s="607"/>
      <c r="F9" s="607"/>
      <c r="G9" s="607"/>
      <c r="H9" s="59"/>
      <c r="J9" s="59"/>
      <c r="K9" s="59"/>
      <c r="L9" s="59"/>
    </row>
    <row r="10" spans="1:12" s="66" customFormat="1" ht="15" x14ac:dyDescent="0.2">
      <c r="A10" s="606"/>
      <c r="B10" s="606"/>
      <c r="C10" s="607"/>
      <c r="D10" s="607"/>
      <c r="E10" s="607"/>
      <c r="F10" s="607"/>
      <c r="G10" s="607"/>
      <c r="H10" s="65"/>
      <c r="J10" s="65"/>
      <c r="K10" s="65"/>
      <c r="L10" s="65"/>
    </row>
    <row r="11" spans="1:12" s="66" customFormat="1" ht="15" x14ac:dyDescent="0.2">
      <c r="A11" s="608" t="s">
        <v>1</v>
      </c>
      <c r="B11" s="608"/>
      <c r="C11" s="607" t="e">
        <f>#REF!</f>
        <v>#REF!</v>
      </c>
      <c r="D11" s="607"/>
      <c r="E11" s="607"/>
      <c r="F11" s="607"/>
      <c r="G11" s="607"/>
      <c r="H11" s="65"/>
      <c r="J11" s="65"/>
      <c r="K11" s="65"/>
      <c r="L11" s="65"/>
    </row>
    <row r="12" spans="1:12" s="66" customFormat="1" ht="30" customHeight="1" x14ac:dyDescent="0.2">
      <c r="A12" s="608"/>
      <c r="B12" s="608"/>
      <c r="C12" s="607"/>
      <c r="D12" s="607"/>
      <c r="E12" s="607"/>
      <c r="F12" s="607"/>
      <c r="G12" s="607"/>
      <c r="H12" s="65"/>
      <c r="J12" s="65"/>
      <c r="K12" s="65"/>
      <c r="L12" s="65"/>
    </row>
    <row r="13" spans="1:12" s="66" customFormat="1" ht="15" x14ac:dyDescent="0.2">
      <c r="A13" s="67"/>
      <c r="B13" s="67"/>
      <c r="C13" s="68"/>
      <c r="D13" s="68"/>
      <c r="E13" s="68"/>
      <c r="F13" s="68"/>
      <c r="G13" s="69"/>
      <c r="H13" s="65"/>
      <c r="J13" s="65"/>
      <c r="K13" s="65"/>
      <c r="L13" s="65"/>
    </row>
    <row r="14" spans="1:12" s="66" customFormat="1" ht="15" customHeight="1" x14ac:dyDescent="0.25">
      <c r="A14" s="70"/>
      <c r="B14" s="71"/>
      <c r="C14" s="72"/>
      <c r="D14" s="72"/>
      <c r="E14" s="72"/>
      <c r="F14" s="72"/>
      <c r="G14" s="69"/>
      <c r="H14" s="65"/>
      <c r="J14" s="65"/>
      <c r="K14" s="65"/>
      <c r="L14" s="65"/>
    </row>
    <row r="15" spans="1:12" s="66" customFormat="1" ht="15" customHeight="1" x14ac:dyDescent="0.2">
      <c r="A15" s="609" t="s">
        <v>92</v>
      </c>
      <c r="B15" s="610"/>
      <c r="C15" s="611"/>
      <c r="D15" s="611"/>
      <c r="E15" s="611"/>
      <c r="F15" s="611"/>
      <c r="G15" s="611"/>
      <c r="H15" s="65"/>
      <c r="J15" s="65"/>
      <c r="K15" s="65"/>
      <c r="L15" s="65"/>
    </row>
    <row r="16" spans="1:12" x14ac:dyDescent="0.2">
      <c r="G16" s="59"/>
      <c r="H16" s="59"/>
      <c r="I16" s="107"/>
      <c r="J16" s="59"/>
      <c r="K16" s="59"/>
      <c r="L16" s="59"/>
    </row>
    <row r="17" spans="1:13" ht="15" customHeight="1" x14ac:dyDescent="0.2">
      <c r="A17" s="604" t="s">
        <v>18</v>
      </c>
      <c r="B17" s="604" t="s">
        <v>93</v>
      </c>
      <c r="C17" s="604" t="s">
        <v>9</v>
      </c>
      <c r="D17" s="604"/>
      <c r="E17" s="604" t="s">
        <v>4</v>
      </c>
      <c r="F17" s="604" t="s">
        <v>5</v>
      </c>
      <c r="G17" s="604" t="s">
        <v>94</v>
      </c>
      <c r="H17" s="74"/>
      <c r="J17" s="59"/>
      <c r="K17" s="74"/>
      <c r="L17" s="74"/>
    </row>
    <row r="18" spans="1:13" ht="13.5" customHeight="1" x14ac:dyDescent="0.2">
      <c r="A18" s="604"/>
      <c r="B18" s="604"/>
      <c r="C18" s="604"/>
      <c r="D18" s="604"/>
      <c r="E18" s="604"/>
      <c r="F18" s="604"/>
      <c r="G18" s="604"/>
      <c r="H18" s="75"/>
      <c r="J18" s="59"/>
      <c r="K18" s="75"/>
      <c r="L18" s="75"/>
    </row>
    <row r="19" spans="1:13" ht="140.1" customHeight="1" x14ac:dyDescent="0.2">
      <c r="A19" s="76">
        <v>1</v>
      </c>
      <c r="B19" s="77" t="s">
        <v>261</v>
      </c>
      <c r="C19" s="613" t="s">
        <v>262</v>
      </c>
      <c r="D19" s="612"/>
      <c r="E19" s="73" t="s">
        <v>97</v>
      </c>
      <c r="F19" s="79"/>
      <c r="G19" s="108" t="s">
        <v>263</v>
      </c>
      <c r="H19" s="81"/>
      <c r="J19" s="59"/>
      <c r="K19" s="82"/>
      <c r="L19" s="81"/>
    </row>
    <row r="20" spans="1:13" ht="140.1" customHeight="1" x14ac:dyDescent="0.2">
      <c r="A20" s="109">
        <v>2</v>
      </c>
      <c r="B20" s="110" t="s">
        <v>264</v>
      </c>
      <c r="C20" s="613" t="s">
        <v>265</v>
      </c>
      <c r="D20" s="612" t="s">
        <v>266</v>
      </c>
      <c r="E20" s="73" t="s">
        <v>97</v>
      </c>
      <c r="F20" s="111"/>
      <c r="G20" s="108" t="s">
        <v>263</v>
      </c>
      <c r="H20" s="81"/>
      <c r="J20" s="59"/>
      <c r="K20" s="82"/>
      <c r="L20" s="81"/>
    </row>
    <row r="21" spans="1:13" ht="141" customHeight="1" x14ac:dyDescent="0.2">
      <c r="A21" s="109">
        <v>3</v>
      </c>
      <c r="B21" s="110" t="s">
        <v>267</v>
      </c>
      <c r="C21" s="628" t="s">
        <v>268</v>
      </c>
      <c r="D21" s="629" t="s">
        <v>99</v>
      </c>
      <c r="E21" s="73" t="s">
        <v>97</v>
      </c>
      <c r="F21" s="111"/>
      <c r="G21" s="108" t="s">
        <v>263</v>
      </c>
      <c r="H21" s="81"/>
      <c r="J21" s="59"/>
      <c r="K21" s="82"/>
      <c r="L21" s="81"/>
    </row>
    <row r="22" spans="1:13" ht="34.5" customHeight="1" x14ac:dyDescent="0.2">
      <c r="A22" s="76">
        <v>4</v>
      </c>
      <c r="B22" s="77" t="s">
        <v>117</v>
      </c>
      <c r="C22" s="612" t="s">
        <v>269</v>
      </c>
      <c r="D22" s="612"/>
      <c r="E22" s="73" t="s">
        <v>97</v>
      </c>
      <c r="F22" s="79"/>
      <c r="G22" s="630" t="s">
        <v>263</v>
      </c>
      <c r="H22" s="81"/>
      <c r="J22" s="59"/>
      <c r="K22" s="82"/>
      <c r="L22" s="81"/>
    </row>
    <row r="23" spans="1:13" ht="30" hidden="1" customHeight="1" x14ac:dyDescent="0.2">
      <c r="A23" s="76">
        <v>4</v>
      </c>
      <c r="B23" s="77" t="s">
        <v>270</v>
      </c>
      <c r="C23" s="612" t="s">
        <v>271</v>
      </c>
      <c r="D23" s="612"/>
      <c r="E23" s="73" t="s">
        <v>97</v>
      </c>
      <c r="F23" s="79"/>
      <c r="G23" s="631"/>
      <c r="H23" s="81"/>
      <c r="J23" s="59"/>
      <c r="K23" s="82"/>
      <c r="L23" s="81"/>
    </row>
    <row r="24" spans="1:13" ht="30" customHeight="1" x14ac:dyDescent="0.2">
      <c r="A24" s="109">
        <v>5</v>
      </c>
      <c r="B24" s="77" t="s">
        <v>272</v>
      </c>
      <c r="C24" s="612" t="s">
        <v>273</v>
      </c>
      <c r="D24" s="612"/>
      <c r="E24" s="73" t="s">
        <v>97</v>
      </c>
      <c r="F24" s="79"/>
      <c r="G24" s="631"/>
      <c r="H24" s="81"/>
      <c r="J24" s="59"/>
      <c r="K24" s="82"/>
      <c r="L24" s="81"/>
    </row>
    <row r="25" spans="1:13" ht="30" customHeight="1" x14ac:dyDescent="0.2">
      <c r="A25" s="109">
        <v>6</v>
      </c>
      <c r="B25" s="77" t="s">
        <v>274</v>
      </c>
      <c r="C25" s="614" t="s">
        <v>112</v>
      </c>
      <c r="D25" s="615"/>
      <c r="E25" s="73" t="s">
        <v>97</v>
      </c>
      <c r="F25" s="111"/>
      <c r="G25" s="632"/>
      <c r="H25" s="81"/>
      <c r="J25" s="59"/>
      <c r="K25" s="82"/>
      <c r="L25" s="81"/>
      <c r="M25" s="112"/>
    </row>
    <row r="26" spans="1:13" ht="30" customHeight="1" x14ac:dyDescent="0.2">
      <c r="A26" s="76">
        <v>7</v>
      </c>
      <c r="B26" s="77" t="s">
        <v>275</v>
      </c>
      <c r="C26" s="612" t="s">
        <v>101</v>
      </c>
      <c r="D26" s="612" t="s">
        <v>101</v>
      </c>
      <c r="E26" s="76" t="s">
        <v>102</v>
      </c>
      <c r="F26" s="79"/>
      <c r="G26" s="108" t="s">
        <v>276</v>
      </c>
      <c r="H26" s="81"/>
      <c r="J26" s="113"/>
      <c r="K26" s="113"/>
      <c r="L26" s="114"/>
      <c r="M26" s="112"/>
    </row>
    <row r="27" spans="1:13" ht="30" customHeight="1" x14ac:dyDescent="0.2">
      <c r="A27" s="76">
        <v>8</v>
      </c>
      <c r="B27" s="77" t="s">
        <v>277</v>
      </c>
      <c r="C27" s="628" t="s">
        <v>278</v>
      </c>
      <c r="D27" s="629" t="s">
        <v>278</v>
      </c>
      <c r="E27" s="73" t="s">
        <v>97</v>
      </c>
      <c r="F27" s="79"/>
      <c r="G27" s="630" t="s">
        <v>263</v>
      </c>
      <c r="H27" s="81"/>
      <c r="J27" s="59"/>
      <c r="K27" s="82"/>
      <c r="L27" s="81"/>
      <c r="M27" s="112"/>
    </row>
    <row r="28" spans="1:13" ht="30" customHeight="1" x14ac:dyDescent="0.2">
      <c r="A28" s="76">
        <v>9</v>
      </c>
      <c r="B28" s="77" t="s">
        <v>279</v>
      </c>
      <c r="C28" s="628" t="s">
        <v>280</v>
      </c>
      <c r="D28" s="629" t="s">
        <v>280</v>
      </c>
      <c r="E28" s="73" t="s">
        <v>97</v>
      </c>
      <c r="F28" s="79"/>
      <c r="G28" s="631"/>
      <c r="H28" s="81" t="s">
        <v>281</v>
      </c>
      <c r="J28" s="59"/>
      <c r="K28" s="85"/>
      <c r="L28" s="84"/>
      <c r="M28" s="112"/>
    </row>
    <row r="29" spans="1:13" ht="30" customHeight="1" x14ac:dyDescent="0.2">
      <c r="A29" s="76">
        <v>10</v>
      </c>
      <c r="B29" s="77" t="s">
        <v>282</v>
      </c>
      <c r="C29" s="612" t="s">
        <v>283</v>
      </c>
      <c r="D29" s="612"/>
      <c r="E29" s="73" t="s">
        <v>97</v>
      </c>
      <c r="F29" s="79"/>
      <c r="G29" s="632"/>
      <c r="H29" s="84"/>
      <c r="J29" s="59"/>
      <c r="K29" s="85"/>
      <c r="L29" s="84"/>
    </row>
    <row r="30" spans="1:13" ht="30" hidden="1" customHeight="1" x14ac:dyDescent="0.2">
      <c r="A30" s="76">
        <v>4</v>
      </c>
      <c r="B30" s="77" t="s">
        <v>109</v>
      </c>
      <c r="C30" s="612" t="s">
        <v>110</v>
      </c>
      <c r="D30" s="612"/>
      <c r="E30" s="73" t="s">
        <v>97</v>
      </c>
      <c r="F30" s="79"/>
      <c r="G30" s="83"/>
      <c r="H30" s="84"/>
      <c r="J30" s="59"/>
      <c r="K30" s="85"/>
      <c r="L30" s="84"/>
    </row>
    <row r="31" spans="1:13" ht="30" hidden="1" customHeight="1" x14ac:dyDescent="0.2">
      <c r="A31" s="76">
        <v>4</v>
      </c>
      <c r="B31" s="77" t="s">
        <v>111</v>
      </c>
      <c r="C31" s="612" t="s">
        <v>112</v>
      </c>
      <c r="D31" s="612"/>
      <c r="E31" s="73" t="s">
        <v>97</v>
      </c>
      <c r="F31" s="79"/>
      <c r="G31" s="83"/>
      <c r="H31" s="84"/>
      <c r="J31" s="59"/>
      <c r="K31" s="85"/>
      <c r="L31" s="84"/>
    </row>
    <row r="32" spans="1:13" ht="30" hidden="1" customHeight="1" x14ac:dyDescent="0.2">
      <c r="A32" s="76">
        <v>5</v>
      </c>
      <c r="B32" s="77" t="s">
        <v>113</v>
      </c>
      <c r="C32" s="612" t="s">
        <v>114</v>
      </c>
      <c r="D32" s="612"/>
      <c r="E32" s="73" t="s">
        <v>97</v>
      </c>
      <c r="F32" s="79"/>
      <c r="G32" s="83"/>
      <c r="H32" s="84"/>
      <c r="J32" s="59"/>
      <c r="K32" s="85"/>
      <c r="L32" s="84"/>
    </row>
    <row r="33" spans="1:12" ht="30" hidden="1" customHeight="1" x14ac:dyDescent="0.2">
      <c r="A33" s="76">
        <v>6</v>
      </c>
      <c r="B33" s="77" t="s">
        <v>115</v>
      </c>
      <c r="C33" s="612" t="s">
        <v>116</v>
      </c>
      <c r="D33" s="612" t="s">
        <v>116</v>
      </c>
      <c r="E33" s="73" t="s">
        <v>97</v>
      </c>
      <c r="F33" s="79"/>
      <c r="G33" s="83"/>
      <c r="H33" s="84"/>
      <c r="J33" s="59"/>
      <c r="K33" s="85"/>
      <c r="L33" s="84"/>
    </row>
    <row r="34" spans="1:12" ht="30" hidden="1" customHeight="1" x14ac:dyDescent="0.2">
      <c r="A34" s="76">
        <v>7</v>
      </c>
      <c r="B34" s="77" t="s">
        <v>117</v>
      </c>
      <c r="C34" s="612" t="s">
        <v>118</v>
      </c>
      <c r="D34" s="612" t="s">
        <v>118</v>
      </c>
      <c r="E34" s="73" t="s">
        <v>97</v>
      </c>
      <c r="F34" s="79"/>
      <c r="G34" s="83"/>
      <c r="H34" s="84"/>
      <c r="J34" s="59"/>
      <c r="K34" s="85"/>
      <c r="L34" s="84"/>
    </row>
    <row r="35" spans="1:12" ht="30" hidden="1" customHeight="1" x14ac:dyDescent="0.2">
      <c r="A35" s="76">
        <v>8</v>
      </c>
      <c r="B35" s="77" t="s">
        <v>119</v>
      </c>
      <c r="C35" s="612" t="s">
        <v>120</v>
      </c>
      <c r="D35" s="612" t="s">
        <v>120</v>
      </c>
      <c r="E35" s="73" t="s">
        <v>97</v>
      </c>
      <c r="F35" s="79"/>
      <c r="G35" s="83"/>
      <c r="H35" s="84"/>
      <c r="J35" s="59"/>
      <c r="K35" s="85"/>
      <c r="L35" s="84"/>
    </row>
    <row r="36" spans="1:12" ht="30" hidden="1" customHeight="1" x14ac:dyDescent="0.2">
      <c r="A36" s="76">
        <v>9</v>
      </c>
      <c r="B36" s="77" t="s">
        <v>121</v>
      </c>
      <c r="C36" s="612" t="s">
        <v>122</v>
      </c>
      <c r="D36" s="612" t="s">
        <v>122</v>
      </c>
      <c r="E36" s="73" t="s">
        <v>97</v>
      </c>
      <c r="F36" s="79"/>
      <c r="G36" s="83"/>
      <c r="H36" s="84"/>
      <c r="J36" s="59"/>
      <c r="K36" s="85"/>
      <c r="L36" s="84"/>
    </row>
    <row r="37" spans="1:12" ht="30" hidden="1" customHeight="1" x14ac:dyDescent="0.2">
      <c r="A37" s="76">
        <v>10</v>
      </c>
      <c r="B37" s="77" t="s">
        <v>123</v>
      </c>
      <c r="C37" s="612" t="s">
        <v>124</v>
      </c>
      <c r="D37" s="612"/>
      <c r="E37" s="73" t="s">
        <v>97</v>
      </c>
      <c r="F37" s="79"/>
      <c r="G37" s="83"/>
      <c r="H37" s="84"/>
      <c r="J37" s="59"/>
      <c r="K37" s="85"/>
      <c r="L37" s="84"/>
    </row>
    <row r="38" spans="1:12" ht="30" hidden="1" customHeight="1" x14ac:dyDescent="0.2">
      <c r="A38" s="76">
        <v>12</v>
      </c>
      <c r="B38" s="77" t="s">
        <v>125</v>
      </c>
      <c r="C38" s="612" t="s">
        <v>126</v>
      </c>
      <c r="D38" s="612"/>
      <c r="E38" s="73" t="s">
        <v>97</v>
      </c>
      <c r="F38" s="79"/>
      <c r="G38" s="83"/>
      <c r="H38" s="84"/>
      <c r="J38" s="59"/>
      <c r="K38" s="85"/>
      <c r="L38" s="84"/>
    </row>
    <row r="39" spans="1:12" ht="30" hidden="1" customHeight="1" x14ac:dyDescent="0.2">
      <c r="A39" s="76">
        <v>11</v>
      </c>
      <c r="B39" s="77" t="s">
        <v>127</v>
      </c>
      <c r="C39" s="612" t="s">
        <v>128</v>
      </c>
      <c r="D39" s="612"/>
      <c r="E39" s="73" t="s">
        <v>97</v>
      </c>
      <c r="F39" s="79"/>
      <c r="G39" s="83"/>
      <c r="H39" s="84"/>
      <c r="J39" s="59"/>
      <c r="K39" s="85"/>
      <c r="L39" s="84"/>
    </row>
    <row r="40" spans="1:12" ht="30" hidden="1" customHeight="1" x14ac:dyDescent="0.2">
      <c r="A40" s="76">
        <v>12</v>
      </c>
      <c r="B40" s="77" t="s">
        <v>129</v>
      </c>
      <c r="C40" s="612" t="s">
        <v>130</v>
      </c>
      <c r="D40" s="612"/>
      <c r="E40" s="73" t="s">
        <v>97</v>
      </c>
      <c r="F40" s="79"/>
      <c r="G40" s="83"/>
      <c r="H40" s="84"/>
      <c r="J40" s="59"/>
      <c r="K40" s="85"/>
      <c r="L40" s="84"/>
    </row>
    <row r="41" spans="1:12" ht="30" hidden="1" customHeight="1" x14ac:dyDescent="0.2">
      <c r="A41" s="76">
        <v>13</v>
      </c>
      <c r="B41" s="77" t="s">
        <v>131</v>
      </c>
      <c r="C41" s="614" t="s">
        <v>132</v>
      </c>
      <c r="D41" s="615"/>
      <c r="E41" s="73"/>
      <c r="F41" s="79"/>
      <c r="G41" s="83"/>
      <c r="H41" s="84"/>
      <c r="J41" s="59"/>
      <c r="K41" s="85"/>
      <c r="L41" s="84"/>
    </row>
    <row r="42" spans="1:12" ht="30" hidden="1" customHeight="1" x14ac:dyDescent="0.2">
      <c r="A42" s="76">
        <v>14</v>
      </c>
      <c r="B42" s="77" t="s">
        <v>133</v>
      </c>
      <c r="C42" s="612" t="s">
        <v>134</v>
      </c>
      <c r="D42" s="612"/>
      <c r="E42" s="73" t="s">
        <v>97</v>
      </c>
      <c r="F42" s="79"/>
      <c r="G42" s="83"/>
      <c r="H42" s="84"/>
      <c r="J42" s="59"/>
      <c r="K42" s="85"/>
      <c r="L42" s="84"/>
    </row>
    <row r="43" spans="1:12" ht="30" hidden="1" customHeight="1" x14ac:dyDescent="0.2">
      <c r="A43" s="76">
        <v>15</v>
      </c>
      <c r="B43" s="77" t="s">
        <v>135</v>
      </c>
      <c r="C43" s="612" t="s">
        <v>136</v>
      </c>
      <c r="D43" s="612"/>
      <c r="E43" s="73" t="s">
        <v>97</v>
      </c>
      <c r="F43" s="79"/>
      <c r="G43" s="83"/>
      <c r="H43" s="84"/>
      <c r="J43" s="59"/>
      <c r="K43" s="85"/>
      <c r="L43" s="84"/>
    </row>
    <row r="44" spans="1:12" ht="30" hidden="1" customHeight="1" x14ac:dyDescent="0.2">
      <c r="A44" s="76">
        <v>16</v>
      </c>
      <c r="B44" s="77" t="s">
        <v>137</v>
      </c>
      <c r="C44" s="612" t="s">
        <v>138</v>
      </c>
      <c r="D44" s="612"/>
      <c r="E44" s="73" t="s">
        <v>97</v>
      </c>
      <c r="F44" s="79"/>
      <c r="G44" s="83"/>
      <c r="H44" s="84"/>
      <c r="J44" s="59"/>
      <c r="K44" s="85"/>
      <c r="L44" s="84"/>
    </row>
    <row r="45" spans="1:12" ht="30" hidden="1" customHeight="1" x14ac:dyDescent="0.2">
      <c r="A45" s="76">
        <v>17</v>
      </c>
      <c r="B45" s="77" t="s">
        <v>139</v>
      </c>
      <c r="C45" s="612" t="s">
        <v>140</v>
      </c>
      <c r="D45" s="612"/>
      <c r="E45" s="73" t="s">
        <v>97</v>
      </c>
      <c r="F45" s="79"/>
      <c r="G45" s="83"/>
      <c r="H45" s="84"/>
      <c r="J45" s="59"/>
      <c r="K45" s="85"/>
      <c r="L45" s="84"/>
    </row>
    <row r="46" spans="1:12" ht="30" hidden="1" customHeight="1" x14ac:dyDescent="0.2">
      <c r="A46" s="76">
        <v>18</v>
      </c>
      <c r="B46" s="77" t="s">
        <v>141</v>
      </c>
      <c r="C46" s="612" t="s">
        <v>142</v>
      </c>
      <c r="D46" s="612"/>
      <c r="E46" s="73" t="s">
        <v>97</v>
      </c>
      <c r="F46" s="79"/>
      <c r="G46" s="83"/>
      <c r="H46" s="84"/>
      <c r="J46" s="59"/>
      <c r="K46" s="85"/>
      <c r="L46" s="84"/>
    </row>
    <row r="47" spans="1:12" ht="30" hidden="1" customHeight="1" x14ac:dyDescent="0.2">
      <c r="A47" s="76">
        <v>19</v>
      </c>
      <c r="B47" s="77" t="s">
        <v>143</v>
      </c>
      <c r="C47" s="614" t="s">
        <v>144</v>
      </c>
      <c r="D47" s="615"/>
      <c r="E47" s="73" t="s">
        <v>97</v>
      </c>
      <c r="F47" s="79"/>
      <c r="G47" s="83"/>
      <c r="H47" s="84"/>
      <c r="J47" s="59"/>
      <c r="K47" s="85"/>
      <c r="L47" s="84"/>
    </row>
    <row r="48" spans="1:12" ht="30" hidden="1" customHeight="1" x14ac:dyDescent="0.2">
      <c r="A48" s="76">
        <v>20</v>
      </c>
      <c r="B48" s="77" t="s">
        <v>145</v>
      </c>
      <c r="C48" s="614" t="s">
        <v>146</v>
      </c>
      <c r="D48" s="615"/>
      <c r="E48" s="73" t="s">
        <v>97</v>
      </c>
      <c r="F48" s="79"/>
      <c r="G48" s="83"/>
      <c r="H48" s="84"/>
      <c r="J48" s="59"/>
      <c r="K48" s="85"/>
      <c r="L48" s="84"/>
    </row>
    <row r="49" spans="1:12" ht="68.25" hidden="1" customHeight="1" x14ac:dyDescent="0.2">
      <c r="A49" s="76">
        <v>21</v>
      </c>
      <c r="B49" s="77" t="s">
        <v>147</v>
      </c>
      <c r="C49" s="616" t="s">
        <v>148</v>
      </c>
      <c r="D49" s="616" t="s">
        <v>148</v>
      </c>
      <c r="E49" s="73" t="s">
        <v>97</v>
      </c>
      <c r="F49" s="79"/>
      <c r="G49" s="83"/>
      <c r="H49" s="84"/>
      <c r="J49" s="59"/>
      <c r="K49" s="85"/>
      <c r="L49" s="84"/>
    </row>
    <row r="50" spans="1:12" ht="76.5" hidden="1" customHeight="1" x14ac:dyDescent="0.2">
      <c r="A50" s="76">
        <v>22</v>
      </c>
      <c r="B50" s="77" t="s">
        <v>149</v>
      </c>
      <c r="C50" s="616" t="s">
        <v>150</v>
      </c>
      <c r="D50" s="616" t="s">
        <v>150</v>
      </c>
      <c r="E50" s="73" t="s">
        <v>97</v>
      </c>
      <c r="F50" s="79"/>
      <c r="G50" s="83"/>
      <c r="H50" s="84"/>
      <c r="J50" s="59"/>
      <c r="K50" s="85"/>
      <c r="L50" s="84"/>
    </row>
    <row r="51" spans="1:12" ht="30" hidden="1" customHeight="1" x14ac:dyDescent="0.2">
      <c r="A51" s="76">
        <v>23</v>
      </c>
      <c r="B51" s="77" t="s">
        <v>151</v>
      </c>
      <c r="C51" s="604" t="s">
        <v>152</v>
      </c>
      <c r="D51" s="604"/>
      <c r="E51" s="73" t="s">
        <v>97</v>
      </c>
      <c r="F51" s="79"/>
      <c r="G51" s="83"/>
      <c r="H51" s="84"/>
      <c r="J51" s="59"/>
      <c r="K51" s="85"/>
      <c r="L51" s="84"/>
    </row>
    <row r="52" spans="1:12" ht="30" hidden="1" customHeight="1" x14ac:dyDescent="0.2">
      <c r="A52" s="76">
        <v>24</v>
      </c>
      <c r="B52" s="77" t="s">
        <v>153</v>
      </c>
      <c r="C52" s="604" t="s">
        <v>154</v>
      </c>
      <c r="D52" s="604"/>
      <c r="E52" s="73" t="s">
        <v>97</v>
      </c>
      <c r="F52" s="79"/>
      <c r="G52" s="83"/>
      <c r="H52" s="84"/>
      <c r="J52" s="59"/>
      <c r="K52" s="85"/>
      <c r="L52" s="84"/>
    </row>
    <row r="53" spans="1:12" ht="151.5" hidden="1" customHeight="1" x14ac:dyDescent="0.2">
      <c r="A53" s="76">
        <v>1</v>
      </c>
      <c r="B53" s="86" t="s">
        <v>155</v>
      </c>
      <c r="C53" s="613" t="s">
        <v>284</v>
      </c>
      <c r="D53" s="613"/>
      <c r="E53" s="76" t="s">
        <v>97</v>
      </c>
      <c r="F53" s="87"/>
      <c r="G53" s="88" t="s">
        <v>157</v>
      </c>
      <c r="H53" s="74"/>
      <c r="J53" s="59"/>
      <c r="K53" s="74"/>
      <c r="L53" s="74"/>
    </row>
    <row r="54" spans="1:12" ht="30" hidden="1" customHeight="1" x14ac:dyDescent="0.2">
      <c r="A54" s="76">
        <v>1</v>
      </c>
      <c r="B54" s="89" t="s">
        <v>158</v>
      </c>
      <c r="C54" s="617" t="s">
        <v>159</v>
      </c>
      <c r="D54" s="617"/>
      <c r="E54" s="76" t="s">
        <v>97</v>
      </c>
      <c r="F54" s="87"/>
      <c r="G54" s="618" t="s">
        <v>157</v>
      </c>
      <c r="H54" s="74"/>
      <c r="J54" s="59"/>
      <c r="K54" s="74"/>
      <c r="L54" s="74"/>
    </row>
    <row r="55" spans="1:12" ht="30" hidden="1" customHeight="1" x14ac:dyDescent="0.2">
      <c r="A55" s="76">
        <v>2</v>
      </c>
      <c r="B55" s="89" t="s">
        <v>160</v>
      </c>
      <c r="C55" s="617" t="s">
        <v>161</v>
      </c>
      <c r="D55" s="617"/>
      <c r="E55" s="76" t="s">
        <v>97</v>
      </c>
      <c r="F55" s="87"/>
      <c r="G55" s="618"/>
      <c r="H55" s="74"/>
      <c r="J55" s="59"/>
      <c r="K55" s="74"/>
      <c r="L55" s="74"/>
    </row>
    <row r="56" spans="1:12" ht="30" hidden="1" customHeight="1" x14ac:dyDescent="0.2">
      <c r="A56" s="76">
        <v>3</v>
      </c>
      <c r="B56" s="89" t="s">
        <v>162</v>
      </c>
      <c r="C56" s="617" t="s">
        <v>163</v>
      </c>
      <c r="D56" s="617"/>
      <c r="E56" s="76" t="s">
        <v>97</v>
      </c>
      <c r="F56" s="87"/>
      <c r="G56" s="618"/>
      <c r="H56" s="74"/>
      <c r="J56" s="59"/>
      <c r="K56" s="74"/>
      <c r="L56" s="74"/>
    </row>
    <row r="57" spans="1:12" ht="30" hidden="1" customHeight="1" x14ac:dyDescent="0.2">
      <c r="A57" s="76">
        <v>1</v>
      </c>
      <c r="B57" s="89" t="s">
        <v>164</v>
      </c>
      <c r="C57" s="617" t="s">
        <v>165</v>
      </c>
      <c r="D57" s="617"/>
      <c r="E57" s="76" t="s">
        <v>97</v>
      </c>
      <c r="F57" s="87"/>
      <c r="G57" s="618"/>
      <c r="H57" s="74"/>
      <c r="J57" s="59"/>
      <c r="K57" s="74"/>
      <c r="L57" s="74"/>
    </row>
    <row r="58" spans="1:12" ht="30" hidden="1" customHeight="1" x14ac:dyDescent="0.2">
      <c r="A58" s="76">
        <v>5</v>
      </c>
      <c r="B58" s="89" t="s">
        <v>166</v>
      </c>
      <c r="C58" s="617" t="s">
        <v>167</v>
      </c>
      <c r="D58" s="617"/>
      <c r="E58" s="76" t="s">
        <v>97</v>
      </c>
      <c r="F58" s="87"/>
      <c r="G58" s="618"/>
      <c r="H58" s="74"/>
      <c r="J58" s="59"/>
      <c r="K58" s="74"/>
      <c r="L58" s="74"/>
    </row>
    <row r="59" spans="1:12" ht="30" hidden="1" customHeight="1" x14ac:dyDescent="0.2">
      <c r="A59" s="76">
        <v>2</v>
      </c>
      <c r="B59" s="89" t="s">
        <v>168</v>
      </c>
      <c r="C59" s="617" t="s">
        <v>169</v>
      </c>
      <c r="D59" s="617"/>
      <c r="E59" s="76" t="s">
        <v>97</v>
      </c>
      <c r="F59" s="87"/>
      <c r="G59" s="618"/>
      <c r="H59" s="74"/>
      <c r="J59" s="59"/>
      <c r="K59" s="74"/>
      <c r="L59" s="74"/>
    </row>
    <row r="60" spans="1:12" ht="30" hidden="1" customHeight="1" x14ac:dyDescent="0.2">
      <c r="A60" s="76">
        <v>3</v>
      </c>
      <c r="B60" s="89" t="s">
        <v>170</v>
      </c>
      <c r="C60" s="617" t="s">
        <v>171</v>
      </c>
      <c r="D60" s="617"/>
      <c r="E60" s="76" t="s">
        <v>97</v>
      </c>
      <c r="F60" s="87"/>
      <c r="G60" s="618"/>
      <c r="H60" s="74"/>
      <c r="J60" s="59"/>
      <c r="K60" s="74"/>
      <c r="L60" s="74"/>
    </row>
    <row r="61" spans="1:12" ht="30" hidden="1" customHeight="1" x14ac:dyDescent="0.2">
      <c r="A61" s="76">
        <v>4</v>
      </c>
      <c r="B61" s="89" t="s">
        <v>172</v>
      </c>
      <c r="C61" s="617" t="s">
        <v>173</v>
      </c>
      <c r="D61" s="617"/>
      <c r="E61" s="76" t="s">
        <v>97</v>
      </c>
      <c r="F61" s="87"/>
      <c r="G61" s="618"/>
      <c r="H61" s="74"/>
      <c r="J61" s="59"/>
      <c r="K61" s="74"/>
      <c r="L61" s="74"/>
    </row>
    <row r="62" spans="1:12" ht="30" hidden="1" customHeight="1" x14ac:dyDescent="0.2">
      <c r="A62" s="76">
        <v>9</v>
      </c>
      <c r="B62" s="89" t="s">
        <v>174</v>
      </c>
      <c r="C62" s="617" t="s">
        <v>175</v>
      </c>
      <c r="D62" s="617"/>
      <c r="E62" s="76" t="s">
        <v>97</v>
      </c>
      <c r="F62" s="87"/>
      <c r="G62" s="618"/>
      <c r="H62" s="74"/>
      <c r="J62" s="59"/>
      <c r="K62" s="74"/>
      <c r="L62" s="74"/>
    </row>
    <row r="63" spans="1:12" ht="129.94999999999999" hidden="1" customHeight="1" x14ac:dyDescent="0.2">
      <c r="A63" s="76"/>
      <c r="B63" s="77" t="s">
        <v>176</v>
      </c>
      <c r="C63" s="613" t="s">
        <v>285</v>
      </c>
      <c r="D63" s="613"/>
      <c r="E63" s="73" t="s">
        <v>97</v>
      </c>
      <c r="F63" s="43"/>
      <c r="G63" s="83"/>
      <c r="H63" s="84"/>
      <c r="J63" s="59"/>
      <c r="K63" s="85"/>
      <c r="L63" s="84"/>
    </row>
    <row r="64" spans="1:12" ht="144.94999999999999" customHeight="1" x14ac:dyDescent="0.2">
      <c r="A64" s="76">
        <v>11</v>
      </c>
      <c r="B64" s="77" t="s">
        <v>286</v>
      </c>
      <c r="C64" s="613" t="s">
        <v>287</v>
      </c>
      <c r="D64" s="613"/>
      <c r="E64" s="73" t="s">
        <v>97</v>
      </c>
      <c r="F64" s="43"/>
      <c r="G64" s="83"/>
      <c r="H64" s="84"/>
      <c r="J64" s="59"/>
      <c r="K64" s="85"/>
      <c r="L64" s="84"/>
    </row>
    <row r="65" spans="1:12" ht="129.94999999999999" hidden="1" customHeight="1" x14ac:dyDescent="0.2">
      <c r="A65" s="76">
        <v>1</v>
      </c>
      <c r="B65" s="77" t="s">
        <v>180</v>
      </c>
      <c r="C65" s="613" t="s">
        <v>288</v>
      </c>
      <c r="D65" s="613"/>
      <c r="E65" s="73" t="s">
        <v>97</v>
      </c>
      <c r="F65" s="43"/>
      <c r="G65" s="83"/>
      <c r="H65" s="84"/>
      <c r="J65" s="59"/>
      <c r="K65" s="85"/>
      <c r="L65" s="84"/>
    </row>
    <row r="66" spans="1:12" ht="144.94999999999999" hidden="1" customHeight="1" x14ac:dyDescent="0.2">
      <c r="A66" s="76"/>
      <c r="B66" s="77" t="s">
        <v>182</v>
      </c>
      <c r="C66" s="613" t="s">
        <v>289</v>
      </c>
      <c r="D66" s="613"/>
      <c r="E66" s="73" t="s">
        <v>97</v>
      </c>
      <c r="F66" s="43"/>
      <c r="G66" s="83"/>
      <c r="H66" s="84"/>
      <c r="J66" s="59"/>
      <c r="K66" s="85"/>
      <c r="L66" s="84"/>
    </row>
    <row r="67" spans="1:12" ht="159.94999999999999" hidden="1" customHeight="1" x14ac:dyDescent="0.2">
      <c r="A67" s="76"/>
      <c r="B67" s="77" t="s">
        <v>184</v>
      </c>
      <c r="C67" s="633" t="s">
        <v>290</v>
      </c>
      <c r="D67" s="634"/>
      <c r="E67" s="73" t="s">
        <v>97</v>
      </c>
      <c r="F67" s="43"/>
      <c r="G67" s="83"/>
      <c r="H67" s="84"/>
      <c r="J67" s="59"/>
      <c r="K67" s="85"/>
      <c r="L67" s="84"/>
    </row>
    <row r="68" spans="1:12" ht="129.94999999999999" hidden="1" customHeight="1" x14ac:dyDescent="0.2">
      <c r="A68" s="76"/>
      <c r="B68" s="77" t="s">
        <v>187</v>
      </c>
      <c r="C68" s="613" t="s">
        <v>291</v>
      </c>
      <c r="D68" s="613" t="s">
        <v>292</v>
      </c>
      <c r="E68" s="73" t="s">
        <v>97</v>
      </c>
      <c r="F68" s="43"/>
      <c r="G68" s="83"/>
      <c r="H68" s="84"/>
      <c r="J68" s="59"/>
      <c r="K68" s="85"/>
      <c r="L68" s="84"/>
    </row>
    <row r="69" spans="1:12" ht="144.94999999999999" hidden="1" customHeight="1" x14ac:dyDescent="0.2">
      <c r="A69" s="76"/>
      <c r="B69" s="77" t="s">
        <v>190</v>
      </c>
      <c r="C69" s="613" t="s">
        <v>293</v>
      </c>
      <c r="D69" s="613" t="s">
        <v>294</v>
      </c>
      <c r="E69" s="73" t="s">
        <v>97</v>
      </c>
      <c r="F69" s="43"/>
      <c r="G69" s="83"/>
      <c r="H69" s="84"/>
      <c r="J69" s="59"/>
      <c r="K69" s="85"/>
      <c r="L69" s="84"/>
    </row>
    <row r="70" spans="1:12" ht="159.94999999999999" customHeight="1" x14ac:dyDescent="0.2">
      <c r="A70" s="76">
        <v>12</v>
      </c>
      <c r="B70" s="77" t="s">
        <v>295</v>
      </c>
      <c r="C70" s="613" t="s">
        <v>296</v>
      </c>
      <c r="D70" s="613" t="s">
        <v>297</v>
      </c>
      <c r="E70" s="73" t="s">
        <v>97</v>
      </c>
      <c r="F70" s="43"/>
      <c r="G70" s="83"/>
      <c r="H70" s="84"/>
      <c r="J70" s="59"/>
      <c r="K70" s="85"/>
      <c r="L70" s="84"/>
    </row>
    <row r="71" spans="1:12" ht="60" hidden="1" customHeight="1" x14ac:dyDescent="0.2">
      <c r="A71" s="76"/>
      <c r="B71" s="77" t="s">
        <v>298</v>
      </c>
      <c r="C71" s="613" t="s">
        <v>299</v>
      </c>
      <c r="D71" s="612" t="s">
        <v>198</v>
      </c>
      <c r="E71" s="73" t="s">
        <v>97</v>
      </c>
      <c r="F71" s="79" t="s">
        <v>25</v>
      </c>
      <c r="G71" s="83"/>
      <c r="H71" s="84"/>
      <c r="J71" s="59"/>
      <c r="K71" s="85"/>
      <c r="L71" s="84"/>
    </row>
    <row r="72" spans="1:12" ht="14.25" hidden="1" x14ac:dyDescent="0.2">
      <c r="A72" s="76"/>
      <c r="B72" s="77" t="s">
        <v>199</v>
      </c>
      <c r="C72" s="612" t="s">
        <v>200</v>
      </c>
      <c r="D72" s="612" t="s">
        <v>200</v>
      </c>
      <c r="E72" s="73" t="s">
        <v>97</v>
      </c>
      <c r="F72" s="79" t="s">
        <v>25</v>
      </c>
      <c r="G72" s="83"/>
      <c r="H72" s="84"/>
      <c r="J72" s="59"/>
      <c r="K72" s="85"/>
      <c r="L72" s="84"/>
    </row>
    <row r="73" spans="1:12" ht="41.25" hidden="1" customHeight="1" x14ac:dyDescent="0.2">
      <c r="A73" s="76"/>
      <c r="B73" s="77" t="s">
        <v>201</v>
      </c>
      <c r="C73" s="613" t="s">
        <v>202</v>
      </c>
      <c r="D73" s="612" t="s">
        <v>203</v>
      </c>
      <c r="E73" s="73" t="s">
        <v>97</v>
      </c>
      <c r="F73" s="79" t="s">
        <v>25</v>
      </c>
      <c r="G73" s="83"/>
      <c r="H73" s="91"/>
      <c r="J73" s="59"/>
      <c r="K73" s="85"/>
      <c r="L73" s="91"/>
    </row>
    <row r="74" spans="1:12" ht="14.25" hidden="1" x14ac:dyDescent="0.2">
      <c r="A74" s="76"/>
      <c r="B74" s="77" t="s">
        <v>204</v>
      </c>
      <c r="C74" s="612" t="s">
        <v>205</v>
      </c>
      <c r="D74" s="612"/>
      <c r="E74" s="73" t="s">
        <v>97</v>
      </c>
      <c r="F74" s="43" t="s">
        <v>25</v>
      </c>
      <c r="G74" s="83"/>
      <c r="H74" s="84"/>
      <c r="J74" s="59"/>
      <c r="K74" s="85"/>
      <c r="L74" s="84"/>
    </row>
    <row r="75" spans="1:12" ht="15" hidden="1" customHeight="1" x14ac:dyDescent="0.2">
      <c r="A75" s="76"/>
      <c r="B75" s="77" t="s">
        <v>100</v>
      </c>
      <c r="C75" s="628" t="s">
        <v>209</v>
      </c>
      <c r="D75" s="629"/>
      <c r="E75" s="73" t="s">
        <v>97</v>
      </c>
      <c r="F75" s="43">
        <v>4</v>
      </c>
      <c r="G75" s="635"/>
      <c r="H75" s="84"/>
      <c r="J75" s="59"/>
      <c r="K75" s="85"/>
      <c r="L75" s="84"/>
    </row>
    <row r="76" spans="1:12" ht="15" hidden="1" customHeight="1" x14ac:dyDescent="0.2">
      <c r="A76" s="76"/>
      <c r="B76" s="77" t="s">
        <v>300</v>
      </c>
      <c r="C76" s="628" t="s">
        <v>211</v>
      </c>
      <c r="D76" s="629"/>
      <c r="E76" s="73" t="s">
        <v>97</v>
      </c>
      <c r="F76" s="43">
        <v>4</v>
      </c>
      <c r="G76" s="636"/>
      <c r="H76" s="84"/>
      <c r="J76" s="59"/>
      <c r="K76" s="85"/>
      <c r="L76" s="84"/>
    </row>
    <row r="77" spans="1:12" ht="15" hidden="1" customHeight="1" x14ac:dyDescent="0.2">
      <c r="A77" s="76"/>
      <c r="B77" s="77" t="s">
        <v>301</v>
      </c>
      <c r="C77" s="628" t="s">
        <v>213</v>
      </c>
      <c r="D77" s="629"/>
      <c r="E77" s="73" t="s">
        <v>97</v>
      </c>
      <c r="F77" s="43">
        <v>4</v>
      </c>
      <c r="G77" s="636"/>
      <c r="H77" s="84"/>
      <c r="J77" s="59"/>
      <c r="K77" s="85"/>
      <c r="L77" s="84"/>
    </row>
    <row r="78" spans="1:12" ht="15" hidden="1" customHeight="1" x14ac:dyDescent="0.2">
      <c r="A78" s="76"/>
      <c r="B78" s="77" t="s">
        <v>103</v>
      </c>
      <c r="C78" s="628" t="s">
        <v>215</v>
      </c>
      <c r="D78" s="629"/>
      <c r="E78" s="73" t="s">
        <v>97</v>
      </c>
      <c r="F78" s="43">
        <v>4</v>
      </c>
      <c r="G78" s="637"/>
      <c r="H78" s="84"/>
      <c r="J78" s="59"/>
      <c r="K78" s="85"/>
      <c r="L78" s="84"/>
    </row>
    <row r="79" spans="1:12" ht="15" hidden="1" customHeight="1" x14ac:dyDescent="0.2">
      <c r="A79" s="76"/>
      <c r="B79" s="77"/>
      <c r="C79" s="612" t="s">
        <v>215</v>
      </c>
      <c r="D79" s="612"/>
      <c r="E79" s="73" t="s">
        <v>97</v>
      </c>
      <c r="F79" s="43" t="s">
        <v>25</v>
      </c>
      <c r="G79" s="83"/>
      <c r="H79" s="84"/>
      <c r="J79" s="59"/>
      <c r="K79" s="85"/>
      <c r="L79" s="84"/>
    </row>
    <row r="80" spans="1:12" ht="60" hidden="1" customHeight="1" x14ac:dyDescent="0.2">
      <c r="A80" s="76"/>
      <c r="B80" s="77" t="s">
        <v>302</v>
      </c>
      <c r="C80" s="613" t="s">
        <v>303</v>
      </c>
      <c r="D80" s="612"/>
      <c r="E80" s="73" t="s">
        <v>97</v>
      </c>
      <c r="F80" s="43"/>
      <c r="G80" s="83"/>
      <c r="H80" s="84"/>
      <c r="J80" s="59"/>
      <c r="K80" s="85"/>
      <c r="L80" s="84"/>
    </row>
    <row r="81" spans="1:12" ht="45" hidden="1" customHeight="1" x14ac:dyDescent="0.2">
      <c r="A81" s="76"/>
      <c r="B81" s="77" t="s">
        <v>223</v>
      </c>
      <c r="C81" s="612" t="s">
        <v>224</v>
      </c>
      <c r="D81" s="612" t="s">
        <v>224</v>
      </c>
      <c r="E81" s="76" t="s">
        <v>222</v>
      </c>
      <c r="F81" s="43" t="s">
        <v>25</v>
      </c>
      <c r="G81" s="83"/>
      <c r="H81" s="84"/>
      <c r="J81" s="59"/>
      <c r="K81" s="85"/>
      <c r="L81" s="84"/>
    </row>
    <row r="82" spans="1:12" ht="45" hidden="1" customHeight="1" x14ac:dyDescent="0.2">
      <c r="A82" s="76"/>
      <c r="B82" s="77" t="s">
        <v>304</v>
      </c>
      <c r="C82" s="612" t="s">
        <v>220</v>
      </c>
      <c r="D82" s="612" t="s">
        <v>220</v>
      </c>
      <c r="E82" s="76" t="s">
        <v>222</v>
      </c>
      <c r="F82" s="43" t="s">
        <v>25</v>
      </c>
      <c r="G82" s="83"/>
      <c r="H82" s="84"/>
      <c r="J82" s="59"/>
      <c r="K82" s="85"/>
      <c r="L82" s="84"/>
    </row>
    <row r="83" spans="1:12" ht="45" hidden="1" customHeight="1" x14ac:dyDescent="0.2">
      <c r="A83" s="76"/>
      <c r="B83" s="77" t="s">
        <v>275</v>
      </c>
      <c r="C83" s="612" t="s">
        <v>226</v>
      </c>
      <c r="D83" s="612"/>
      <c r="E83" s="76" t="s">
        <v>222</v>
      </c>
      <c r="F83" s="43" t="s">
        <v>25</v>
      </c>
      <c r="G83" s="83"/>
      <c r="H83" s="84"/>
      <c r="J83" s="59"/>
      <c r="K83" s="85"/>
      <c r="L83" s="84"/>
    </row>
    <row r="84" spans="1:12" ht="45" hidden="1" customHeight="1" x14ac:dyDescent="0.2">
      <c r="A84" s="76"/>
      <c r="B84" s="77" t="s">
        <v>305</v>
      </c>
      <c r="C84" s="612" t="s">
        <v>227</v>
      </c>
      <c r="D84" s="612"/>
      <c r="E84" s="76" t="s">
        <v>222</v>
      </c>
      <c r="F84" s="43"/>
      <c r="G84" s="83"/>
      <c r="H84" s="84"/>
      <c r="J84" s="59"/>
      <c r="K84" s="85"/>
      <c r="L84" s="84"/>
    </row>
    <row r="85" spans="1:12" ht="30" hidden="1" customHeight="1" x14ac:dyDescent="0.2">
      <c r="A85" s="76"/>
      <c r="B85" s="77" t="s">
        <v>306</v>
      </c>
      <c r="C85" s="612" t="s">
        <v>307</v>
      </c>
      <c r="D85" s="612"/>
      <c r="E85" s="76" t="s">
        <v>222</v>
      </c>
      <c r="F85" s="43"/>
      <c r="G85" s="83"/>
      <c r="H85" s="84"/>
      <c r="J85" s="59"/>
      <c r="K85" s="85"/>
      <c r="L85" s="84"/>
    </row>
    <row r="86" spans="1:12" ht="45" hidden="1" customHeight="1" x14ac:dyDescent="0.2">
      <c r="A86" s="76"/>
      <c r="B86" s="77" t="s">
        <v>230</v>
      </c>
      <c r="C86" s="612" t="s">
        <v>231</v>
      </c>
      <c r="D86" s="612"/>
      <c r="E86" s="76" t="s">
        <v>222</v>
      </c>
      <c r="F86" s="43" t="s">
        <v>25</v>
      </c>
      <c r="G86" s="83"/>
      <c r="H86" s="84"/>
      <c r="J86" s="59"/>
      <c r="K86" s="85"/>
      <c r="L86" s="84"/>
    </row>
    <row r="87" spans="1:12" ht="60" hidden="1" customHeight="1" x14ac:dyDescent="0.2">
      <c r="A87" s="76"/>
      <c r="B87" s="77" t="s">
        <v>308</v>
      </c>
      <c r="C87" s="612" t="s">
        <v>233</v>
      </c>
      <c r="D87" s="612" t="s">
        <v>233</v>
      </c>
      <c r="E87" s="76" t="s">
        <v>222</v>
      </c>
      <c r="F87" s="43" t="s">
        <v>25</v>
      </c>
      <c r="G87" s="83"/>
      <c r="H87" s="84"/>
      <c r="J87" s="59"/>
      <c r="K87" s="85"/>
      <c r="L87" s="84"/>
    </row>
    <row r="88" spans="1:12" ht="88.5" hidden="1" customHeight="1" x14ac:dyDescent="0.2">
      <c r="A88" s="76"/>
      <c r="B88" s="77" t="s">
        <v>309</v>
      </c>
      <c r="C88" s="612" t="s">
        <v>235</v>
      </c>
      <c r="D88" s="612" t="s">
        <v>235</v>
      </c>
      <c r="E88" s="73" t="s">
        <v>237</v>
      </c>
      <c r="F88" s="43" t="s">
        <v>25</v>
      </c>
      <c r="G88" s="83"/>
      <c r="H88" s="84"/>
      <c r="J88" s="59"/>
      <c r="K88" s="85"/>
      <c r="L88" s="84"/>
    </row>
    <row r="89" spans="1:12" ht="45" hidden="1" customHeight="1" x14ac:dyDescent="0.2">
      <c r="A89" s="76"/>
      <c r="B89" s="77" t="s">
        <v>238</v>
      </c>
      <c r="C89" s="612" t="s">
        <v>239</v>
      </c>
      <c r="D89" s="612"/>
      <c r="E89" s="73" t="s">
        <v>97</v>
      </c>
      <c r="F89" s="43"/>
      <c r="G89" s="83"/>
      <c r="H89" s="84"/>
      <c r="J89" s="59"/>
      <c r="K89" s="85"/>
      <c r="L89" s="84"/>
    </row>
    <row r="90" spans="1:12" ht="45" hidden="1" customHeight="1" x14ac:dyDescent="0.2">
      <c r="A90" s="76"/>
      <c r="B90" s="77" t="s">
        <v>310</v>
      </c>
      <c r="C90" s="612" t="s">
        <v>243</v>
      </c>
      <c r="D90" s="612" t="s">
        <v>243</v>
      </c>
      <c r="E90" s="73" t="s">
        <v>97</v>
      </c>
      <c r="F90" s="43"/>
      <c r="G90" s="83"/>
      <c r="H90" s="84"/>
      <c r="J90" s="59"/>
      <c r="K90" s="85"/>
      <c r="L90" s="84"/>
    </row>
    <row r="91" spans="1:12" ht="45" hidden="1" customHeight="1" x14ac:dyDescent="0.2">
      <c r="A91" s="76"/>
      <c r="B91" s="77" t="s">
        <v>244</v>
      </c>
      <c r="C91" s="612" t="s">
        <v>245</v>
      </c>
      <c r="D91" s="612" t="s">
        <v>245</v>
      </c>
      <c r="E91" s="73" t="s">
        <v>97</v>
      </c>
      <c r="F91" s="79" t="s">
        <v>25</v>
      </c>
      <c r="G91" s="83"/>
      <c r="H91" s="84"/>
      <c r="J91" s="59"/>
      <c r="K91" s="85"/>
      <c r="L91" s="84"/>
    </row>
    <row r="92" spans="1:12" ht="60" customHeight="1" x14ac:dyDescent="0.2">
      <c r="A92" s="76">
        <v>13</v>
      </c>
      <c r="B92" s="77" t="s">
        <v>309</v>
      </c>
      <c r="C92" s="612" t="s">
        <v>247</v>
      </c>
      <c r="D92" s="612"/>
      <c r="E92" s="76" t="s">
        <v>97</v>
      </c>
      <c r="F92" s="94"/>
      <c r="G92" s="108" t="s">
        <v>263</v>
      </c>
      <c r="H92" s="74"/>
      <c r="J92" s="59"/>
      <c r="K92" s="74"/>
      <c r="L92" s="74"/>
    </row>
    <row r="93" spans="1:12" ht="42" customHeight="1" x14ac:dyDescent="0.2">
      <c r="A93" s="76">
        <v>14</v>
      </c>
      <c r="B93" s="77" t="s">
        <v>119</v>
      </c>
      <c r="C93" s="612" t="s">
        <v>249</v>
      </c>
      <c r="D93" s="612"/>
      <c r="E93" s="76" t="s">
        <v>97</v>
      </c>
      <c r="F93" s="94"/>
      <c r="G93" s="108" t="s">
        <v>263</v>
      </c>
      <c r="H93" s="74"/>
      <c r="J93" s="59"/>
      <c r="K93" s="74"/>
      <c r="L93" s="74"/>
    </row>
    <row r="94" spans="1:12" ht="69.75" hidden="1" customHeight="1" x14ac:dyDescent="0.2">
      <c r="A94" s="76"/>
      <c r="B94" s="77" t="s">
        <v>311</v>
      </c>
      <c r="C94" s="628" t="s">
        <v>312</v>
      </c>
      <c r="D94" s="629"/>
      <c r="E94" s="73" t="s">
        <v>97</v>
      </c>
      <c r="F94" s="94"/>
      <c r="G94" s="108" t="s">
        <v>313</v>
      </c>
      <c r="H94" s="74"/>
      <c r="J94" s="59"/>
      <c r="K94" s="74"/>
      <c r="L94" s="74"/>
    </row>
    <row r="95" spans="1:12" ht="30" customHeight="1" x14ac:dyDescent="0.2">
      <c r="A95" s="76">
        <v>15</v>
      </c>
      <c r="B95" s="77" t="s">
        <v>250</v>
      </c>
      <c r="C95" s="612" t="s">
        <v>251</v>
      </c>
      <c r="D95" s="612"/>
      <c r="E95" s="73" t="s">
        <v>252</v>
      </c>
      <c r="F95" s="79"/>
      <c r="G95" s="83"/>
      <c r="H95" s="91"/>
      <c r="J95" s="59"/>
      <c r="K95" s="85"/>
      <c r="L95" s="91"/>
    </row>
    <row r="96" spans="1:12" ht="30" customHeight="1" thickBot="1" x14ac:dyDescent="0.25">
      <c r="A96" s="96"/>
      <c r="B96" s="97"/>
      <c r="C96" s="96"/>
      <c r="D96" s="96"/>
      <c r="E96" s="85"/>
      <c r="F96" s="82"/>
      <c r="G96" s="85"/>
      <c r="H96" s="91"/>
      <c r="J96" s="59"/>
      <c r="K96" s="85"/>
      <c r="L96" s="91"/>
    </row>
    <row r="97" spans="1:12" ht="30" customHeight="1" thickBot="1" x14ac:dyDescent="0.25">
      <c r="A97" s="619" t="s">
        <v>6</v>
      </c>
      <c r="B97" s="620"/>
      <c r="C97" s="621">
        <f>C15+14</f>
        <v>14</v>
      </c>
      <c r="D97" s="622"/>
      <c r="E97" s="623"/>
      <c r="F97" s="638" t="s">
        <v>314</v>
      </c>
      <c r="G97" s="639"/>
      <c r="H97" s="59"/>
      <c r="I97" t="s">
        <v>315</v>
      </c>
      <c r="J97" s="59"/>
      <c r="K97" s="98"/>
      <c r="L97" s="59"/>
    </row>
    <row r="98" spans="1:12" x14ac:dyDescent="0.2">
      <c r="A98" s="99"/>
      <c r="B98" s="100"/>
      <c r="G98" s="59"/>
      <c r="H98" s="59"/>
      <c r="J98" s="59"/>
      <c r="K98" s="59"/>
      <c r="L98" s="59"/>
    </row>
    <row r="99" spans="1:12" ht="12.75" customHeight="1" x14ac:dyDescent="0.2">
      <c r="A99" s="626" t="s">
        <v>253</v>
      </c>
      <c r="B99" s="626"/>
      <c r="C99" s="626"/>
      <c r="D99" s="626"/>
      <c r="E99" s="626"/>
      <c r="F99" s="626"/>
      <c r="G99" s="626"/>
      <c r="H99" s="59"/>
      <c r="J99" s="59"/>
      <c r="K99" s="59"/>
      <c r="L99" s="59"/>
    </row>
    <row r="100" spans="1:12" x14ac:dyDescent="0.2">
      <c r="A100" s="99"/>
      <c r="B100" s="100"/>
      <c r="G100" s="59"/>
      <c r="H100" s="59"/>
      <c r="J100" s="59"/>
      <c r="K100" s="59"/>
      <c r="L100" s="59"/>
    </row>
    <row r="101" spans="1:12" x14ac:dyDescent="0.2">
      <c r="G101" s="59"/>
      <c r="H101" s="59"/>
      <c r="J101" s="59"/>
      <c r="K101" s="59"/>
      <c r="L101" s="59"/>
    </row>
    <row r="102" spans="1:12" ht="15.75" x14ac:dyDescent="0.25">
      <c r="A102" s="101" t="s">
        <v>254</v>
      </c>
      <c r="B102" s="627" t="s">
        <v>255</v>
      </c>
      <c r="C102" s="627"/>
      <c r="D102" s="102"/>
      <c r="E102" s="102"/>
      <c r="F102" s="102" t="s">
        <v>256</v>
      </c>
      <c r="G102" s="102"/>
      <c r="H102" s="103"/>
      <c r="J102" s="59"/>
      <c r="K102" s="103"/>
      <c r="L102" s="103"/>
    </row>
    <row r="103" spans="1:12" x14ac:dyDescent="0.2">
      <c r="A103" s="102"/>
      <c r="B103" s="102"/>
      <c r="C103" s="104"/>
      <c r="D103" s="104"/>
      <c r="E103" s="104"/>
      <c r="F103" s="104" t="s">
        <v>257</v>
      </c>
      <c r="G103" s="104"/>
      <c r="H103" s="105"/>
      <c r="J103" s="59"/>
      <c r="K103" s="105"/>
      <c r="L103" s="105"/>
    </row>
    <row r="104" spans="1:12" x14ac:dyDescent="0.2">
      <c r="A104" s="102"/>
      <c r="B104" s="99" t="s">
        <v>258</v>
      </c>
      <c r="C104" s="102"/>
      <c r="D104" s="102"/>
      <c r="E104" s="102"/>
      <c r="F104" s="104"/>
      <c r="G104" s="103"/>
      <c r="H104" s="105"/>
      <c r="J104" s="59"/>
      <c r="K104" s="103"/>
      <c r="L104" s="105"/>
    </row>
    <row r="105" spans="1:12" x14ac:dyDescent="0.2">
      <c r="A105" s="102"/>
      <c r="B105" s="102"/>
      <c r="C105" s="102"/>
      <c r="D105" s="102"/>
      <c r="E105" s="102"/>
      <c r="F105" s="104"/>
      <c r="G105" s="103"/>
      <c r="H105" s="105"/>
      <c r="J105" s="59"/>
      <c r="K105" s="103"/>
      <c r="L105" s="105"/>
    </row>
    <row r="106" spans="1:12" x14ac:dyDescent="0.2">
      <c r="A106" s="102"/>
      <c r="B106" s="102"/>
      <c r="C106" s="102"/>
      <c r="D106" s="102"/>
      <c r="E106" s="102"/>
      <c r="F106" s="104"/>
      <c r="G106" s="103"/>
      <c r="H106" s="105"/>
      <c r="J106" s="59"/>
      <c r="K106" s="103"/>
      <c r="L106" s="105"/>
    </row>
    <row r="107" spans="1:12" x14ac:dyDescent="0.2">
      <c r="A107" s="102"/>
      <c r="B107" s="102"/>
      <c r="C107" s="102"/>
      <c r="D107" s="102"/>
      <c r="E107" s="102"/>
      <c r="F107" s="104"/>
      <c r="G107" s="103"/>
      <c r="H107" s="105"/>
      <c r="J107" s="59"/>
      <c r="K107" s="103"/>
      <c r="L107" s="105"/>
    </row>
    <row r="108" spans="1:12" x14ac:dyDescent="0.2">
      <c r="A108" s="102"/>
      <c r="B108" s="102"/>
      <c r="C108" s="102"/>
      <c r="D108" s="102"/>
      <c r="E108" s="102"/>
      <c r="F108" s="104"/>
      <c r="G108" s="103"/>
      <c r="H108" s="105"/>
      <c r="J108" s="59"/>
      <c r="K108" s="103"/>
      <c r="L108" s="105"/>
    </row>
    <row r="109" spans="1:12" ht="15.75" x14ac:dyDescent="0.25">
      <c r="A109" s="106" t="s">
        <v>259</v>
      </c>
      <c r="B109" s="106"/>
      <c r="C109" s="106"/>
      <c r="D109" s="102"/>
      <c r="E109" s="102"/>
      <c r="F109" s="102" t="s">
        <v>256</v>
      </c>
      <c r="G109" s="103"/>
      <c r="H109" s="105"/>
      <c r="J109" s="59"/>
      <c r="K109" s="103"/>
      <c r="L109" s="105"/>
    </row>
    <row r="110" spans="1:12" x14ac:dyDescent="0.2">
      <c r="A110" s="102"/>
      <c r="B110" s="102"/>
      <c r="C110" s="102"/>
      <c r="D110" s="102"/>
      <c r="E110" s="104"/>
      <c r="F110" s="104" t="s">
        <v>257</v>
      </c>
      <c r="G110" s="103"/>
      <c r="H110" s="103"/>
      <c r="J110" s="59"/>
      <c r="K110" s="103"/>
      <c r="L110" s="103"/>
    </row>
    <row r="111" spans="1:12" x14ac:dyDescent="0.2">
      <c r="A111" s="102"/>
      <c r="B111" s="99" t="s">
        <v>258</v>
      </c>
      <c r="C111" s="102"/>
      <c r="D111" s="102"/>
      <c r="E111" s="102"/>
      <c r="F111" s="102"/>
      <c r="G111" s="103"/>
      <c r="H111" s="103"/>
      <c r="J111" s="59"/>
      <c r="K111" s="103"/>
      <c r="L111" s="103"/>
    </row>
    <row r="112" spans="1:12" ht="15.75" x14ac:dyDescent="0.25">
      <c r="A112" s="101"/>
      <c r="B112" s="627"/>
      <c r="C112" s="627"/>
      <c r="D112" s="102"/>
      <c r="E112" s="102"/>
      <c r="F112" s="102"/>
      <c r="G112" s="103"/>
      <c r="H112" s="103"/>
      <c r="J112" s="59"/>
      <c r="K112" s="103"/>
      <c r="L112" s="103"/>
    </row>
    <row r="113" spans="1:12" x14ac:dyDescent="0.2">
      <c r="A113" s="102"/>
      <c r="B113" s="102"/>
      <c r="C113" s="104"/>
      <c r="D113" s="104"/>
      <c r="E113" s="104"/>
      <c r="F113" s="104"/>
      <c r="G113" s="105"/>
      <c r="H113" s="105"/>
      <c r="J113" s="59"/>
      <c r="K113" s="105"/>
      <c r="L113" s="105"/>
    </row>
    <row r="114" spans="1:12" x14ac:dyDescent="0.2">
      <c r="B114" s="99"/>
      <c r="G114" s="59"/>
      <c r="H114" s="59"/>
      <c r="J114" s="59"/>
      <c r="K114" s="59"/>
      <c r="L114" s="59"/>
    </row>
  </sheetData>
  <mergeCells count="100">
    <mergeCell ref="F97:G97"/>
    <mergeCell ref="A99:G99"/>
    <mergeCell ref="B102:C102"/>
    <mergeCell ref="B112:C112"/>
    <mergeCell ref="C92:D92"/>
    <mergeCell ref="C93:D93"/>
    <mergeCell ref="C94:D94"/>
    <mergeCell ref="C95:D95"/>
    <mergeCell ref="A97:B97"/>
    <mergeCell ref="C97:E97"/>
    <mergeCell ref="G75:G78"/>
    <mergeCell ref="C76:D76"/>
    <mergeCell ref="C77:D77"/>
    <mergeCell ref="C78:D78"/>
    <mergeCell ref="C91:D91"/>
    <mergeCell ref="C80:D80"/>
    <mergeCell ref="C81:D81"/>
    <mergeCell ref="C82:D82"/>
    <mergeCell ref="C83:D83"/>
    <mergeCell ref="C84:D84"/>
    <mergeCell ref="C85:D85"/>
    <mergeCell ref="C86:D86"/>
    <mergeCell ref="C87:D87"/>
    <mergeCell ref="C88:D88"/>
    <mergeCell ref="C89:D89"/>
    <mergeCell ref="C90:D90"/>
    <mergeCell ref="C79:D79"/>
    <mergeCell ref="C69:D69"/>
    <mergeCell ref="C70:D70"/>
    <mergeCell ref="C71:D71"/>
    <mergeCell ref="C72:D72"/>
    <mergeCell ref="C73:D73"/>
    <mergeCell ref="C74:D74"/>
    <mergeCell ref="C75:D75"/>
    <mergeCell ref="C68:D68"/>
    <mergeCell ref="G54:G62"/>
    <mergeCell ref="C55:D55"/>
    <mergeCell ref="C56:D56"/>
    <mergeCell ref="C57:D57"/>
    <mergeCell ref="C58:D58"/>
    <mergeCell ref="C59:D59"/>
    <mergeCell ref="C60:D60"/>
    <mergeCell ref="C61:D61"/>
    <mergeCell ref="C62:D62"/>
    <mergeCell ref="C54:D54"/>
    <mergeCell ref="C63:D63"/>
    <mergeCell ref="C64:D64"/>
    <mergeCell ref="C65:D65"/>
    <mergeCell ref="C66:D66"/>
    <mergeCell ref="C67:D67"/>
    <mergeCell ref="C49:D49"/>
    <mergeCell ref="C50:D50"/>
    <mergeCell ref="C51:D51"/>
    <mergeCell ref="C52:D52"/>
    <mergeCell ref="C53:D53"/>
    <mergeCell ref="C48:D48"/>
    <mergeCell ref="C37:D37"/>
    <mergeCell ref="C38:D38"/>
    <mergeCell ref="C39:D39"/>
    <mergeCell ref="C40:D40"/>
    <mergeCell ref="C41:D41"/>
    <mergeCell ref="C42:D42"/>
    <mergeCell ref="C43:D43"/>
    <mergeCell ref="C44:D44"/>
    <mergeCell ref="C45:D45"/>
    <mergeCell ref="C46:D46"/>
    <mergeCell ref="C47:D47"/>
    <mergeCell ref="C36:D36"/>
    <mergeCell ref="C26:D26"/>
    <mergeCell ref="C27:D27"/>
    <mergeCell ref="G27:G29"/>
    <mergeCell ref="C28:D28"/>
    <mergeCell ref="C29:D29"/>
    <mergeCell ref="C30:D30"/>
    <mergeCell ref="C31:D31"/>
    <mergeCell ref="C32:D32"/>
    <mergeCell ref="C33:D33"/>
    <mergeCell ref="C34:D34"/>
    <mergeCell ref="C35:D35"/>
    <mergeCell ref="C19:D19"/>
    <mergeCell ref="C20:D20"/>
    <mergeCell ref="C21:D21"/>
    <mergeCell ref="C22:D22"/>
    <mergeCell ref="G22:G25"/>
    <mergeCell ref="C23:D23"/>
    <mergeCell ref="C24:D24"/>
    <mergeCell ref="C25:D25"/>
    <mergeCell ref="G17:G18"/>
    <mergeCell ref="B6:F6"/>
    <mergeCell ref="A9:B10"/>
    <mergeCell ref="C9:G10"/>
    <mergeCell ref="A11:B12"/>
    <mergeCell ref="C11:G12"/>
    <mergeCell ref="A15:B15"/>
    <mergeCell ref="C15:G15"/>
    <mergeCell ref="A17:A18"/>
    <mergeCell ref="B17:B18"/>
    <mergeCell ref="C17:D18"/>
    <mergeCell ref="E17:E18"/>
    <mergeCell ref="F17:F18"/>
  </mergeCells>
  <pageMargins left="0.75" right="0.34" top="0.31" bottom="0.45" header="0.17" footer="0.17"/>
  <pageSetup paperSize="9" scale="86" fitToHeight="5" orientation="portrait" r:id="rId1"/>
  <headerFooter alignWithMargins="0">
    <oddFooter>&amp;R&amp;"Times New Roman,обычный"&amp;8&amp;U&amp;A&amp;U стр.&amp;P из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pageSetUpPr fitToPage="1"/>
  </sheetPr>
  <dimension ref="A1:L113"/>
  <sheetViews>
    <sheetView view="pageBreakPreview" zoomScaleNormal="100" zoomScaleSheetLayoutView="100" workbookViewId="0">
      <selection activeCell="G19" sqref="G19"/>
    </sheetView>
  </sheetViews>
  <sheetFormatPr defaultRowHeight="12.75" x14ac:dyDescent="0.2"/>
  <cols>
    <col min="1" max="1" width="7" customWidth="1"/>
    <col min="2" max="2" width="10.7109375" customWidth="1"/>
    <col min="3" max="3" width="15.7109375" customWidth="1"/>
    <col min="4" max="4" width="40.7109375" customWidth="1"/>
    <col min="5" max="5" width="9.7109375" customWidth="1"/>
    <col min="6" max="6" width="8.85546875" customWidth="1"/>
    <col min="7" max="7" width="14.7109375" customWidth="1"/>
  </cols>
  <sheetData>
    <row r="1" spans="1:12" x14ac:dyDescent="0.2">
      <c r="D1" s="57"/>
      <c r="E1" s="57"/>
      <c r="F1" s="57"/>
      <c r="G1" s="57" t="s">
        <v>88</v>
      </c>
      <c r="H1" s="58"/>
      <c r="J1" s="59"/>
      <c r="K1" s="59"/>
      <c r="L1" s="58"/>
    </row>
    <row r="2" spans="1:12" x14ac:dyDescent="0.2">
      <c r="D2" s="57"/>
      <c r="E2" s="57"/>
      <c r="F2" s="57"/>
      <c r="G2" s="57" t="s">
        <v>89</v>
      </c>
      <c r="H2" s="58"/>
      <c r="J2" s="59"/>
      <c r="K2" s="59"/>
      <c r="L2" s="58"/>
    </row>
    <row r="3" spans="1:12" ht="14.25" x14ac:dyDescent="0.2">
      <c r="D3" s="57"/>
      <c r="E3" s="57"/>
      <c r="F3" s="57"/>
      <c r="G3" s="57" t="s">
        <v>90</v>
      </c>
      <c r="H3" s="58"/>
      <c r="J3" s="59"/>
      <c r="K3" s="59"/>
      <c r="L3" s="58"/>
    </row>
    <row r="4" spans="1:12" x14ac:dyDescent="0.2">
      <c r="D4" s="57"/>
      <c r="E4" s="57"/>
      <c r="F4" s="57"/>
      <c r="G4" s="59"/>
      <c r="H4" s="58"/>
      <c r="J4" s="59"/>
      <c r="K4" s="59"/>
      <c r="L4" s="58"/>
    </row>
    <row r="5" spans="1:12" x14ac:dyDescent="0.2">
      <c r="G5" s="59"/>
      <c r="H5" s="59"/>
      <c r="J5" s="59"/>
      <c r="K5" s="59"/>
      <c r="L5" s="59"/>
    </row>
    <row r="6" spans="1:12" ht="18.75" x14ac:dyDescent="0.3">
      <c r="A6" s="60"/>
      <c r="B6" s="605" t="s">
        <v>91</v>
      </c>
      <c r="C6" s="605"/>
      <c r="D6" s="605"/>
      <c r="E6" s="605"/>
      <c r="F6" s="605"/>
      <c r="G6" s="59"/>
      <c r="H6" s="59"/>
      <c r="J6" s="59"/>
      <c r="K6" s="59"/>
      <c r="L6" s="59"/>
    </row>
    <row r="7" spans="1:12" ht="18.75" x14ac:dyDescent="0.3">
      <c r="A7" s="60"/>
      <c r="B7" s="61"/>
      <c r="C7" s="62" t="s">
        <v>8</v>
      </c>
      <c r="D7" s="63" t="s">
        <v>260</v>
      </c>
      <c r="G7" s="59"/>
      <c r="H7" s="59"/>
      <c r="J7" s="59"/>
      <c r="K7" s="59"/>
      <c r="L7" s="59"/>
    </row>
    <row r="8" spans="1:12" ht="18.75" x14ac:dyDescent="0.3">
      <c r="A8" s="60"/>
      <c r="B8" s="61"/>
      <c r="C8" s="61"/>
      <c r="D8" s="64"/>
      <c r="G8" s="59"/>
      <c r="H8" s="59"/>
      <c r="J8" s="59"/>
      <c r="K8" s="59"/>
      <c r="L8" s="59"/>
    </row>
    <row r="9" spans="1:12" ht="15" customHeight="1" x14ac:dyDescent="0.2">
      <c r="A9" s="606" t="s">
        <v>0</v>
      </c>
      <c r="B9" s="606"/>
      <c r="C9" s="607" t="e">
        <f>#REF!</f>
        <v>#REF!</v>
      </c>
      <c r="D9" s="607"/>
      <c r="E9" s="607"/>
      <c r="F9" s="607"/>
      <c r="G9" s="607"/>
      <c r="H9" s="59"/>
      <c r="J9" s="59"/>
      <c r="K9" s="59"/>
      <c r="L9" s="59"/>
    </row>
    <row r="10" spans="1:12" s="66" customFormat="1" ht="15" x14ac:dyDescent="0.2">
      <c r="A10" s="606"/>
      <c r="B10" s="606"/>
      <c r="C10" s="607"/>
      <c r="D10" s="607"/>
      <c r="E10" s="607"/>
      <c r="F10" s="607"/>
      <c r="G10" s="607"/>
      <c r="H10" s="65"/>
      <c r="J10" s="65"/>
      <c r="K10" s="65"/>
      <c r="L10" s="65"/>
    </row>
    <row r="11" spans="1:12" s="66" customFormat="1" ht="15" x14ac:dyDescent="0.2">
      <c r="A11" s="608" t="s">
        <v>1</v>
      </c>
      <c r="B11" s="608"/>
      <c r="C11" s="607" t="e">
        <f>#REF!</f>
        <v>#REF!</v>
      </c>
      <c r="D11" s="607"/>
      <c r="E11" s="607"/>
      <c r="F11" s="607"/>
      <c r="G11" s="607"/>
      <c r="H11" s="65"/>
      <c r="J11" s="65"/>
      <c r="K11" s="65"/>
      <c r="L11" s="65"/>
    </row>
    <row r="12" spans="1:12" s="66" customFormat="1" ht="30" customHeight="1" x14ac:dyDescent="0.2">
      <c r="A12" s="608"/>
      <c r="B12" s="608"/>
      <c r="C12" s="607"/>
      <c r="D12" s="607"/>
      <c r="E12" s="607"/>
      <c r="F12" s="607"/>
      <c r="G12" s="607"/>
      <c r="H12" s="65"/>
      <c r="J12" s="65"/>
      <c r="K12" s="65"/>
      <c r="L12" s="65"/>
    </row>
    <row r="13" spans="1:12" s="66" customFormat="1" ht="15" x14ac:dyDescent="0.2">
      <c r="A13" s="67"/>
      <c r="B13" s="67"/>
      <c r="C13" s="68"/>
      <c r="D13" s="68"/>
      <c r="E13" s="68"/>
      <c r="F13" s="68"/>
      <c r="G13" s="69"/>
      <c r="H13" s="65"/>
      <c r="J13" s="65"/>
      <c r="K13" s="65"/>
      <c r="L13" s="65"/>
    </row>
    <row r="14" spans="1:12" s="66" customFormat="1" ht="15" customHeight="1" x14ac:dyDescent="0.25">
      <c r="A14" s="70"/>
      <c r="B14" s="71"/>
      <c r="C14" s="72"/>
      <c r="D14" s="72"/>
      <c r="E14" s="72"/>
      <c r="F14" s="72"/>
      <c r="G14" s="69"/>
      <c r="H14" s="65"/>
      <c r="J14" s="65"/>
      <c r="K14" s="65"/>
      <c r="L14" s="65"/>
    </row>
    <row r="15" spans="1:12" s="66" customFormat="1" ht="15" customHeight="1" x14ac:dyDescent="0.2">
      <c r="A15" s="609" t="s">
        <v>92</v>
      </c>
      <c r="B15" s="610"/>
      <c r="C15" s="611"/>
      <c r="D15" s="611"/>
      <c r="E15" s="611"/>
      <c r="F15" s="611"/>
      <c r="G15" s="611"/>
      <c r="H15" s="65"/>
      <c r="J15" s="65"/>
      <c r="K15" s="65"/>
      <c r="L15" s="65"/>
    </row>
    <row r="16" spans="1:12" x14ac:dyDescent="0.2">
      <c r="G16" s="59"/>
      <c r="H16" s="59"/>
      <c r="I16" s="107"/>
      <c r="J16" s="59"/>
      <c r="K16" s="59"/>
      <c r="L16" s="59"/>
    </row>
    <row r="17" spans="1:12" ht="15" customHeight="1" x14ac:dyDescent="0.2">
      <c r="A17" s="604" t="s">
        <v>18</v>
      </c>
      <c r="B17" s="604" t="s">
        <v>93</v>
      </c>
      <c r="C17" s="604" t="s">
        <v>9</v>
      </c>
      <c r="D17" s="604"/>
      <c r="E17" s="604" t="s">
        <v>4</v>
      </c>
      <c r="F17" s="604" t="s">
        <v>5</v>
      </c>
      <c r="G17" s="604" t="s">
        <v>94</v>
      </c>
      <c r="H17" s="74"/>
      <c r="J17" s="59"/>
      <c r="K17" s="74"/>
      <c r="L17" s="74"/>
    </row>
    <row r="18" spans="1:12" ht="13.5" customHeight="1" x14ac:dyDescent="0.2">
      <c r="A18" s="604"/>
      <c r="B18" s="604"/>
      <c r="C18" s="604"/>
      <c r="D18" s="604"/>
      <c r="E18" s="604"/>
      <c r="F18" s="604"/>
      <c r="G18" s="604"/>
      <c r="H18" s="75"/>
      <c r="J18" s="59"/>
      <c r="K18" s="75"/>
      <c r="L18" s="75"/>
    </row>
    <row r="19" spans="1:12" ht="140.1" customHeight="1" x14ac:dyDescent="0.2">
      <c r="A19" s="76">
        <v>1</v>
      </c>
      <c r="B19" s="77" t="s">
        <v>261</v>
      </c>
      <c r="C19" s="613" t="s">
        <v>262</v>
      </c>
      <c r="D19" s="612"/>
      <c r="E19" s="73" t="s">
        <v>97</v>
      </c>
      <c r="F19" s="79"/>
      <c r="G19" s="108"/>
      <c r="H19" s="81"/>
      <c r="J19" s="59"/>
      <c r="K19" s="82"/>
      <c r="L19" s="81"/>
    </row>
    <row r="20" spans="1:12" ht="140.1" customHeight="1" x14ac:dyDescent="0.2">
      <c r="A20" s="109"/>
      <c r="B20" s="110" t="s">
        <v>264</v>
      </c>
      <c r="C20" s="613" t="s">
        <v>265</v>
      </c>
      <c r="D20" s="612" t="s">
        <v>266</v>
      </c>
      <c r="E20" s="73" t="s">
        <v>97</v>
      </c>
      <c r="F20" s="111"/>
      <c r="G20" s="80"/>
      <c r="H20" s="81"/>
      <c r="J20" s="59"/>
      <c r="K20" s="82"/>
      <c r="L20" s="81"/>
    </row>
    <row r="21" spans="1:12" ht="141" customHeight="1" x14ac:dyDescent="0.2">
      <c r="A21" s="109">
        <v>2</v>
      </c>
      <c r="B21" s="110" t="s">
        <v>267</v>
      </c>
      <c r="C21" s="628" t="s">
        <v>268</v>
      </c>
      <c r="D21" s="629" t="s">
        <v>99</v>
      </c>
      <c r="E21" s="73" t="s">
        <v>97</v>
      </c>
      <c r="F21" s="111"/>
      <c r="G21" s="108"/>
      <c r="H21" s="81"/>
      <c r="J21" s="59"/>
      <c r="K21" s="82"/>
      <c r="L21" s="81"/>
    </row>
    <row r="22" spans="1:12" ht="30" customHeight="1" x14ac:dyDescent="0.2">
      <c r="A22" s="76">
        <v>3</v>
      </c>
      <c r="B22" s="77" t="s">
        <v>117</v>
      </c>
      <c r="C22" s="612" t="s">
        <v>269</v>
      </c>
      <c r="D22" s="612"/>
      <c r="E22" s="73" t="s">
        <v>97</v>
      </c>
      <c r="F22" s="79">
        <v>1</v>
      </c>
      <c r="G22" s="108"/>
      <c r="H22" s="81"/>
      <c r="J22" s="59"/>
      <c r="K22" s="82"/>
      <c r="L22" s="81"/>
    </row>
    <row r="23" spans="1:12" ht="30" customHeight="1" x14ac:dyDescent="0.2">
      <c r="A23" s="76">
        <v>4</v>
      </c>
      <c r="B23" s="77" t="s">
        <v>316</v>
      </c>
      <c r="C23" s="612" t="s">
        <v>317</v>
      </c>
      <c r="D23" s="612"/>
      <c r="E23" s="73" t="s">
        <v>97</v>
      </c>
      <c r="F23" s="79">
        <v>1</v>
      </c>
      <c r="G23" s="90"/>
      <c r="H23" s="81"/>
      <c r="J23" s="59"/>
      <c r="K23" s="82"/>
      <c r="L23" s="81"/>
    </row>
    <row r="24" spans="1:12" ht="30" customHeight="1" x14ac:dyDescent="0.2">
      <c r="A24" s="109"/>
      <c r="B24" s="77" t="s">
        <v>318</v>
      </c>
      <c r="C24" s="614" t="s">
        <v>144</v>
      </c>
      <c r="D24" s="615"/>
      <c r="E24" s="73" t="s">
        <v>97</v>
      </c>
      <c r="F24" s="111">
        <v>1</v>
      </c>
      <c r="G24" s="94"/>
      <c r="H24" s="81"/>
      <c r="J24" s="59"/>
      <c r="K24" s="82"/>
      <c r="L24" s="81"/>
    </row>
    <row r="25" spans="1:12" ht="30" customHeight="1" x14ac:dyDescent="0.2">
      <c r="A25" s="76">
        <v>2</v>
      </c>
      <c r="B25" s="77" t="s">
        <v>275</v>
      </c>
      <c r="C25" s="612" t="s">
        <v>101</v>
      </c>
      <c r="D25" s="612" t="s">
        <v>101</v>
      </c>
      <c r="E25" s="76" t="s">
        <v>102</v>
      </c>
      <c r="F25" s="79">
        <v>24</v>
      </c>
      <c r="G25" s="108" t="s">
        <v>319</v>
      </c>
      <c r="H25" s="81"/>
      <c r="J25" s="613"/>
      <c r="K25" s="612"/>
      <c r="L25" s="81"/>
    </row>
    <row r="26" spans="1:12" ht="30" customHeight="1" x14ac:dyDescent="0.2">
      <c r="A26" s="76"/>
      <c r="B26" s="77" t="s">
        <v>103</v>
      </c>
      <c r="C26" s="612" t="s">
        <v>104</v>
      </c>
      <c r="D26" s="612"/>
      <c r="E26" s="73" t="s">
        <v>97</v>
      </c>
      <c r="F26" s="79" t="s">
        <v>25</v>
      </c>
      <c r="G26" s="80"/>
      <c r="H26" s="81"/>
      <c r="J26" s="59"/>
      <c r="K26" s="82"/>
      <c r="L26" s="81"/>
    </row>
    <row r="27" spans="1:12" ht="30" customHeight="1" x14ac:dyDescent="0.2">
      <c r="A27" s="76">
        <v>2</v>
      </c>
      <c r="B27" s="77" t="s">
        <v>105</v>
      </c>
      <c r="C27" s="614" t="s">
        <v>106</v>
      </c>
      <c r="D27" s="615"/>
      <c r="E27" s="73"/>
      <c r="F27" s="79"/>
      <c r="G27" s="83"/>
      <c r="H27" s="84"/>
      <c r="J27" s="59"/>
      <c r="K27" s="85"/>
      <c r="L27" s="84"/>
    </row>
    <row r="28" spans="1:12" ht="30" customHeight="1" x14ac:dyDescent="0.2">
      <c r="A28" s="76">
        <v>3</v>
      </c>
      <c r="B28" s="77" t="s">
        <v>107</v>
      </c>
      <c r="C28" s="612" t="s">
        <v>108</v>
      </c>
      <c r="D28" s="612"/>
      <c r="E28" s="73" t="s">
        <v>97</v>
      </c>
      <c r="F28" s="79"/>
      <c r="G28" s="83"/>
      <c r="H28" s="84"/>
      <c r="J28" s="59"/>
      <c r="K28" s="85"/>
      <c r="L28" s="84"/>
    </row>
    <row r="29" spans="1:12" ht="30" customHeight="1" x14ac:dyDescent="0.2">
      <c r="A29" s="76">
        <v>4</v>
      </c>
      <c r="B29" s="77" t="s">
        <v>109</v>
      </c>
      <c r="C29" s="612" t="s">
        <v>110</v>
      </c>
      <c r="D29" s="612"/>
      <c r="E29" s="73" t="s">
        <v>97</v>
      </c>
      <c r="F29" s="79"/>
      <c r="G29" s="83"/>
      <c r="H29" s="84"/>
      <c r="J29" s="59"/>
      <c r="K29" s="85"/>
      <c r="L29" s="84"/>
    </row>
    <row r="30" spans="1:12" ht="30" customHeight="1" x14ac:dyDescent="0.2">
      <c r="A30" s="76">
        <v>4</v>
      </c>
      <c r="B30" s="77" t="s">
        <v>111</v>
      </c>
      <c r="C30" s="612" t="s">
        <v>112</v>
      </c>
      <c r="D30" s="612"/>
      <c r="E30" s="73" t="s">
        <v>97</v>
      </c>
      <c r="F30" s="79"/>
      <c r="G30" s="83"/>
      <c r="H30" s="84"/>
      <c r="J30" s="59"/>
      <c r="K30" s="85"/>
      <c r="L30" s="84"/>
    </row>
    <row r="31" spans="1:12" ht="30" customHeight="1" x14ac:dyDescent="0.2">
      <c r="A31" s="76">
        <v>5</v>
      </c>
      <c r="B31" s="77" t="s">
        <v>113</v>
      </c>
      <c r="C31" s="612" t="s">
        <v>114</v>
      </c>
      <c r="D31" s="612"/>
      <c r="E31" s="73" t="s">
        <v>97</v>
      </c>
      <c r="F31" s="79"/>
      <c r="G31" s="83"/>
      <c r="H31" s="84"/>
      <c r="J31" s="59"/>
      <c r="K31" s="85"/>
      <c r="L31" s="84"/>
    </row>
    <row r="32" spans="1:12" ht="30" customHeight="1" x14ac:dyDescent="0.2">
      <c r="A32" s="76">
        <v>6</v>
      </c>
      <c r="B32" s="77" t="s">
        <v>115</v>
      </c>
      <c r="C32" s="612" t="s">
        <v>116</v>
      </c>
      <c r="D32" s="612" t="s">
        <v>116</v>
      </c>
      <c r="E32" s="73" t="s">
        <v>97</v>
      </c>
      <c r="F32" s="79"/>
      <c r="G32" s="83"/>
      <c r="H32" s="84"/>
      <c r="J32" s="59"/>
      <c r="K32" s="85"/>
      <c r="L32" s="84"/>
    </row>
    <row r="33" spans="1:12" ht="30" customHeight="1" x14ac:dyDescent="0.2">
      <c r="A33" s="76">
        <v>7</v>
      </c>
      <c r="B33" s="77" t="s">
        <v>117</v>
      </c>
      <c r="C33" s="612" t="s">
        <v>118</v>
      </c>
      <c r="D33" s="612" t="s">
        <v>118</v>
      </c>
      <c r="E33" s="73" t="s">
        <v>97</v>
      </c>
      <c r="F33" s="79"/>
      <c r="G33" s="83"/>
      <c r="H33" s="84"/>
      <c r="J33" s="59"/>
      <c r="K33" s="85"/>
      <c r="L33" s="84"/>
    </row>
    <row r="34" spans="1:12" ht="30" customHeight="1" x14ac:dyDescent="0.2">
      <c r="A34" s="76">
        <v>8</v>
      </c>
      <c r="B34" s="77" t="s">
        <v>119</v>
      </c>
      <c r="C34" s="612" t="s">
        <v>120</v>
      </c>
      <c r="D34" s="612" t="s">
        <v>120</v>
      </c>
      <c r="E34" s="73" t="s">
        <v>97</v>
      </c>
      <c r="F34" s="79"/>
      <c r="G34" s="83"/>
      <c r="H34" s="84"/>
      <c r="J34" s="59"/>
      <c r="K34" s="85"/>
      <c r="L34" s="84"/>
    </row>
    <row r="35" spans="1:12" ht="30" customHeight="1" x14ac:dyDescent="0.2">
      <c r="A35" s="76">
        <v>9</v>
      </c>
      <c r="B35" s="77" t="s">
        <v>121</v>
      </c>
      <c r="C35" s="612" t="s">
        <v>122</v>
      </c>
      <c r="D35" s="612" t="s">
        <v>122</v>
      </c>
      <c r="E35" s="73" t="s">
        <v>97</v>
      </c>
      <c r="F35" s="79"/>
      <c r="G35" s="83"/>
      <c r="H35" s="84"/>
      <c r="J35" s="59"/>
      <c r="K35" s="85"/>
      <c r="L35" s="84"/>
    </row>
    <row r="36" spans="1:12" ht="30" customHeight="1" x14ac:dyDescent="0.2">
      <c r="A36" s="76">
        <v>10</v>
      </c>
      <c r="B36" s="77" t="s">
        <v>123</v>
      </c>
      <c r="C36" s="612" t="s">
        <v>124</v>
      </c>
      <c r="D36" s="612"/>
      <c r="E36" s="73" t="s">
        <v>97</v>
      </c>
      <c r="F36" s="79"/>
      <c r="G36" s="83"/>
      <c r="H36" s="84"/>
      <c r="J36" s="59"/>
      <c r="K36" s="85"/>
      <c r="L36" s="84"/>
    </row>
    <row r="37" spans="1:12" ht="30" customHeight="1" x14ac:dyDescent="0.2">
      <c r="A37" s="76">
        <v>12</v>
      </c>
      <c r="B37" s="77" t="s">
        <v>125</v>
      </c>
      <c r="C37" s="612" t="s">
        <v>126</v>
      </c>
      <c r="D37" s="612"/>
      <c r="E37" s="73" t="s">
        <v>97</v>
      </c>
      <c r="F37" s="79"/>
      <c r="G37" s="83"/>
      <c r="H37" s="84"/>
      <c r="J37" s="59"/>
      <c r="K37" s="85"/>
      <c r="L37" s="84"/>
    </row>
    <row r="38" spans="1:12" ht="30" customHeight="1" x14ac:dyDescent="0.2">
      <c r="A38" s="76">
        <v>11</v>
      </c>
      <c r="B38" s="77" t="s">
        <v>127</v>
      </c>
      <c r="C38" s="612" t="s">
        <v>128</v>
      </c>
      <c r="D38" s="612"/>
      <c r="E38" s="73" t="s">
        <v>97</v>
      </c>
      <c r="F38" s="79"/>
      <c r="G38" s="83"/>
      <c r="H38" s="84"/>
      <c r="J38" s="59"/>
      <c r="K38" s="85"/>
      <c r="L38" s="84"/>
    </row>
    <row r="39" spans="1:12" ht="30" customHeight="1" x14ac:dyDescent="0.2">
      <c r="A39" s="76">
        <v>12</v>
      </c>
      <c r="B39" s="77" t="s">
        <v>129</v>
      </c>
      <c r="C39" s="612" t="s">
        <v>130</v>
      </c>
      <c r="D39" s="612"/>
      <c r="E39" s="73" t="s">
        <v>97</v>
      </c>
      <c r="F39" s="79"/>
      <c r="G39" s="83"/>
      <c r="H39" s="84"/>
      <c r="J39" s="59"/>
      <c r="K39" s="85"/>
      <c r="L39" s="84"/>
    </row>
    <row r="40" spans="1:12" ht="30" customHeight="1" x14ac:dyDescent="0.2">
      <c r="A40" s="76">
        <v>13</v>
      </c>
      <c r="B40" s="77" t="s">
        <v>131</v>
      </c>
      <c r="C40" s="614" t="s">
        <v>132</v>
      </c>
      <c r="D40" s="615"/>
      <c r="E40" s="73"/>
      <c r="F40" s="79"/>
      <c r="G40" s="83"/>
      <c r="H40" s="84"/>
      <c r="J40" s="59"/>
      <c r="K40" s="85"/>
      <c r="L40" s="84"/>
    </row>
    <row r="41" spans="1:12" ht="30" customHeight="1" x14ac:dyDescent="0.2">
      <c r="A41" s="76">
        <v>14</v>
      </c>
      <c r="B41" s="77" t="s">
        <v>133</v>
      </c>
      <c r="C41" s="612" t="s">
        <v>134</v>
      </c>
      <c r="D41" s="612"/>
      <c r="E41" s="73" t="s">
        <v>97</v>
      </c>
      <c r="F41" s="79"/>
      <c r="G41" s="83"/>
      <c r="H41" s="84"/>
      <c r="J41" s="59"/>
      <c r="K41" s="85"/>
      <c r="L41" s="84"/>
    </row>
    <row r="42" spans="1:12" ht="30" customHeight="1" x14ac:dyDescent="0.2">
      <c r="A42" s="76">
        <v>15</v>
      </c>
      <c r="B42" s="77" t="s">
        <v>135</v>
      </c>
      <c r="C42" s="612" t="s">
        <v>136</v>
      </c>
      <c r="D42" s="612"/>
      <c r="E42" s="73" t="s">
        <v>97</v>
      </c>
      <c r="F42" s="79"/>
      <c r="G42" s="83"/>
      <c r="H42" s="84"/>
      <c r="J42" s="59"/>
      <c r="K42" s="85"/>
      <c r="L42" s="84"/>
    </row>
    <row r="43" spans="1:12" ht="30" customHeight="1" x14ac:dyDescent="0.2">
      <c r="A43" s="76">
        <v>16</v>
      </c>
      <c r="B43" s="77" t="s">
        <v>137</v>
      </c>
      <c r="C43" s="612" t="s">
        <v>138</v>
      </c>
      <c r="D43" s="612"/>
      <c r="E43" s="73" t="s">
        <v>97</v>
      </c>
      <c r="F43" s="79"/>
      <c r="G43" s="83"/>
      <c r="H43" s="84"/>
      <c r="J43" s="59"/>
      <c r="K43" s="85"/>
      <c r="L43" s="84"/>
    </row>
    <row r="44" spans="1:12" ht="30" customHeight="1" x14ac:dyDescent="0.2">
      <c r="A44" s="76">
        <v>17</v>
      </c>
      <c r="B44" s="77" t="s">
        <v>139</v>
      </c>
      <c r="C44" s="612" t="s">
        <v>140</v>
      </c>
      <c r="D44" s="612"/>
      <c r="E44" s="73" t="s">
        <v>97</v>
      </c>
      <c r="F44" s="79"/>
      <c r="G44" s="83"/>
      <c r="H44" s="84"/>
      <c r="J44" s="59"/>
      <c r="K44" s="85"/>
      <c r="L44" s="84"/>
    </row>
    <row r="45" spans="1:12" ht="30" customHeight="1" x14ac:dyDescent="0.2">
      <c r="A45" s="76">
        <v>18</v>
      </c>
      <c r="B45" s="77" t="s">
        <v>141</v>
      </c>
      <c r="C45" s="612" t="s">
        <v>142</v>
      </c>
      <c r="D45" s="612"/>
      <c r="E45" s="73" t="s">
        <v>97</v>
      </c>
      <c r="F45" s="79"/>
      <c r="G45" s="83"/>
      <c r="H45" s="84"/>
      <c r="J45" s="59"/>
      <c r="K45" s="85"/>
      <c r="L45" s="84"/>
    </row>
    <row r="46" spans="1:12" ht="30" customHeight="1" x14ac:dyDescent="0.2">
      <c r="A46" s="76">
        <v>19</v>
      </c>
      <c r="B46" s="77" t="s">
        <v>143</v>
      </c>
      <c r="C46" s="614" t="s">
        <v>144</v>
      </c>
      <c r="D46" s="615"/>
      <c r="E46" s="73" t="s">
        <v>97</v>
      </c>
      <c r="F46" s="79"/>
      <c r="G46" s="83"/>
      <c r="H46" s="84"/>
      <c r="J46" s="59"/>
      <c r="K46" s="85"/>
      <c r="L46" s="84"/>
    </row>
    <row r="47" spans="1:12" ht="30" customHeight="1" x14ac:dyDescent="0.2">
      <c r="A47" s="76">
        <v>20</v>
      </c>
      <c r="B47" s="77" t="s">
        <v>145</v>
      </c>
      <c r="C47" s="614" t="s">
        <v>146</v>
      </c>
      <c r="D47" s="615"/>
      <c r="E47" s="73" t="s">
        <v>97</v>
      </c>
      <c r="F47" s="79"/>
      <c r="G47" s="83"/>
      <c r="H47" s="84"/>
      <c r="J47" s="59"/>
      <c r="K47" s="85"/>
      <c r="L47" s="84"/>
    </row>
    <row r="48" spans="1:12" ht="68.25" customHeight="1" x14ac:dyDescent="0.2">
      <c r="A48" s="76">
        <v>21</v>
      </c>
      <c r="B48" s="77" t="s">
        <v>147</v>
      </c>
      <c r="C48" s="616" t="s">
        <v>148</v>
      </c>
      <c r="D48" s="616" t="s">
        <v>148</v>
      </c>
      <c r="E48" s="73" t="s">
        <v>97</v>
      </c>
      <c r="F48" s="79"/>
      <c r="G48" s="83"/>
      <c r="H48" s="84"/>
      <c r="J48" s="59"/>
      <c r="K48" s="85"/>
      <c r="L48" s="84"/>
    </row>
    <row r="49" spans="1:12" ht="76.5" customHeight="1" x14ac:dyDescent="0.2">
      <c r="A49" s="76">
        <v>22</v>
      </c>
      <c r="B49" s="77" t="s">
        <v>149</v>
      </c>
      <c r="C49" s="616" t="s">
        <v>150</v>
      </c>
      <c r="D49" s="616" t="s">
        <v>150</v>
      </c>
      <c r="E49" s="73" t="s">
        <v>97</v>
      </c>
      <c r="F49" s="79"/>
      <c r="G49" s="83"/>
      <c r="H49" s="84"/>
      <c r="J49" s="59"/>
      <c r="K49" s="85"/>
      <c r="L49" s="84"/>
    </row>
    <row r="50" spans="1:12" ht="30" customHeight="1" x14ac:dyDescent="0.2">
      <c r="A50" s="76">
        <v>23</v>
      </c>
      <c r="B50" s="77" t="s">
        <v>151</v>
      </c>
      <c r="C50" s="604" t="s">
        <v>152</v>
      </c>
      <c r="D50" s="604"/>
      <c r="E50" s="73" t="s">
        <v>97</v>
      </c>
      <c r="F50" s="79"/>
      <c r="G50" s="83"/>
      <c r="H50" s="84"/>
      <c r="J50" s="59"/>
      <c r="K50" s="85"/>
      <c r="L50" s="84"/>
    </row>
    <row r="51" spans="1:12" ht="30" customHeight="1" x14ac:dyDescent="0.2">
      <c r="A51" s="76">
        <v>24</v>
      </c>
      <c r="B51" s="77" t="s">
        <v>153</v>
      </c>
      <c r="C51" s="604" t="s">
        <v>154</v>
      </c>
      <c r="D51" s="604"/>
      <c r="E51" s="73" t="s">
        <v>97</v>
      </c>
      <c r="F51" s="79"/>
      <c r="G51" s="83"/>
      <c r="H51" s="84"/>
      <c r="J51" s="59"/>
      <c r="K51" s="85"/>
      <c r="L51" s="84"/>
    </row>
    <row r="52" spans="1:12" ht="151.5" customHeight="1" x14ac:dyDescent="0.2">
      <c r="A52" s="76">
        <v>1</v>
      </c>
      <c r="B52" s="86" t="s">
        <v>155</v>
      </c>
      <c r="C52" s="613" t="s">
        <v>284</v>
      </c>
      <c r="D52" s="613"/>
      <c r="E52" s="76" t="s">
        <v>97</v>
      </c>
      <c r="F52" s="87"/>
      <c r="G52" s="88" t="s">
        <v>157</v>
      </c>
      <c r="H52" s="74"/>
      <c r="J52" s="59"/>
      <c r="K52" s="74"/>
      <c r="L52" s="74"/>
    </row>
    <row r="53" spans="1:12" ht="30" customHeight="1" x14ac:dyDescent="0.2">
      <c r="A53" s="76">
        <v>1</v>
      </c>
      <c r="B53" s="89" t="s">
        <v>158</v>
      </c>
      <c r="C53" s="617" t="s">
        <v>159</v>
      </c>
      <c r="D53" s="617"/>
      <c r="E53" s="76" t="s">
        <v>97</v>
      </c>
      <c r="F53" s="87" t="s">
        <v>25</v>
      </c>
      <c r="G53" s="618" t="s">
        <v>157</v>
      </c>
      <c r="H53" s="74"/>
      <c r="J53" s="59"/>
      <c r="K53" s="74"/>
      <c r="L53" s="74"/>
    </row>
    <row r="54" spans="1:12" ht="30" customHeight="1" x14ac:dyDescent="0.2">
      <c r="A54" s="76">
        <v>2</v>
      </c>
      <c r="B54" s="89" t="s">
        <v>160</v>
      </c>
      <c r="C54" s="617" t="s">
        <v>161</v>
      </c>
      <c r="D54" s="617"/>
      <c r="E54" s="76" t="s">
        <v>97</v>
      </c>
      <c r="F54" s="87" t="s">
        <v>25</v>
      </c>
      <c r="G54" s="618"/>
      <c r="H54" s="74"/>
      <c r="J54" s="59"/>
      <c r="K54" s="74"/>
      <c r="L54" s="74"/>
    </row>
    <row r="55" spans="1:12" ht="30" customHeight="1" x14ac:dyDescent="0.2">
      <c r="A55" s="76">
        <v>3</v>
      </c>
      <c r="B55" s="89" t="s">
        <v>162</v>
      </c>
      <c r="C55" s="617" t="s">
        <v>163</v>
      </c>
      <c r="D55" s="617"/>
      <c r="E55" s="76" t="s">
        <v>97</v>
      </c>
      <c r="F55" s="87" t="s">
        <v>25</v>
      </c>
      <c r="G55" s="618"/>
      <c r="H55" s="74"/>
      <c r="J55" s="59"/>
      <c r="K55" s="74"/>
      <c r="L55" s="74"/>
    </row>
    <row r="56" spans="1:12" ht="30" customHeight="1" x14ac:dyDescent="0.2">
      <c r="A56" s="76">
        <v>1</v>
      </c>
      <c r="B56" s="89" t="s">
        <v>164</v>
      </c>
      <c r="C56" s="617" t="s">
        <v>165</v>
      </c>
      <c r="D56" s="617"/>
      <c r="E56" s="76" t="s">
        <v>97</v>
      </c>
      <c r="F56" s="87"/>
      <c r="G56" s="618"/>
      <c r="H56" s="74"/>
      <c r="J56" s="59"/>
      <c r="K56" s="74"/>
      <c r="L56" s="74"/>
    </row>
    <row r="57" spans="1:12" ht="30" customHeight="1" x14ac:dyDescent="0.2">
      <c r="A57" s="76">
        <v>5</v>
      </c>
      <c r="B57" s="89" t="s">
        <v>166</v>
      </c>
      <c r="C57" s="617" t="s">
        <v>167</v>
      </c>
      <c r="D57" s="617"/>
      <c r="E57" s="76" t="s">
        <v>97</v>
      </c>
      <c r="F57" s="87"/>
      <c r="G57" s="618"/>
      <c r="H57" s="74"/>
      <c r="J57" s="59"/>
      <c r="K57" s="74"/>
      <c r="L57" s="74"/>
    </row>
    <row r="58" spans="1:12" ht="30" customHeight="1" x14ac:dyDescent="0.2">
      <c r="A58" s="76">
        <v>2</v>
      </c>
      <c r="B58" s="89" t="s">
        <v>168</v>
      </c>
      <c r="C58" s="617" t="s">
        <v>169</v>
      </c>
      <c r="D58" s="617"/>
      <c r="E58" s="76" t="s">
        <v>97</v>
      </c>
      <c r="F58" s="87"/>
      <c r="G58" s="618"/>
      <c r="H58" s="74"/>
      <c r="J58" s="59"/>
      <c r="K58" s="74"/>
      <c r="L58" s="74"/>
    </row>
    <row r="59" spans="1:12" ht="30" customHeight="1" x14ac:dyDescent="0.2">
      <c r="A59" s="76">
        <v>3</v>
      </c>
      <c r="B59" s="89" t="s">
        <v>170</v>
      </c>
      <c r="C59" s="617" t="s">
        <v>171</v>
      </c>
      <c r="D59" s="617"/>
      <c r="E59" s="76" t="s">
        <v>97</v>
      </c>
      <c r="F59" s="87"/>
      <c r="G59" s="618"/>
      <c r="H59" s="74"/>
      <c r="J59" s="59"/>
      <c r="K59" s="74"/>
      <c r="L59" s="74"/>
    </row>
    <row r="60" spans="1:12" ht="30" customHeight="1" x14ac:dyDescent="0.2">
      <c r="A60" s="76">
        <v>4</v>
      </c>
      <c r="B60" s="89" t="s">
        <v>172</v>
      </c>
      <c r="C60" s="617" t="s">
        <v>173</v>
      </c>
      <c r="D60" s="617"/>
      <c r="E60" s="76" t="s">
        <v>97</v>
      </c>
      <c r="F60" s="87"/>
      <c r="G60" s="618"/>
      <c r="H60" s="74"/>
      <c r="J60" s="59"/>
      <c r="K60" s="74"/>
      <c r="L60" s="74"/>
    </row>
    <row r="61" spans="1:12" ht="30" customHeight="1" x14ac:dyDescent="0.2">
      <c r="A61" s="76">
        <v>9</v>
      </c>
      <c r="B61" s="89" t="s">
        <v>174</v>
      </c>
      <c r="C61" s="617" t="s">
        <v>175</v>
      </c>
      <c r="D61" s="617"/>
      <c r="E61" s="76" t="s">
        <v>97</v>
      </c>
      <c r="F61" s="87" t="s">
        <v>25</v>
      </c>
      <c r="G61" s="618"/>
      <c r="H61" s="74"/>
      <c r="J61" s="59"/>
      <c r="K61" s="74"/>
      <c r="L61" s="74"/>
    </row>
    <row r="62" spans="1:12" ht="129.94999999999999" customHeight="1" x14ac:dyDescent="0.2">
      <c r="A62" s="76"/>
      <c r="B62" s="77" t="s">
        <v>176</v>
      </c>
      <c r="C62" s="613" t="s">
        <v>285</v>
      </c>
      <c r="D62" s="613"/>
      <c r="E62" s="73" t="s">
        <v>97</v>
      </c>
      <c r="F62" s="43" t="s">
        <v>25</v>
      </c>
      <c r="G62" s="83"/>
      <c r="H62" s="84"/>
      <c r="J62" s="59"/>
      <c r="K62" s="85"/>
      <c r="L62" s="84"/>
    </row>
    <row r="63" spans="1:12" ht="144.94999999999999" customHeight="1" x14ac:dyDescent="0.2">
      <c r="A63" s="76"/>
      <c r="B63" s="77" t="s">
        <v>286</v>
      </c>
      <c r="C63" s="613" t="s">
        <v>287</v>
      </c>
      <c r="D63" s="613"/>
      <c r="E63" s="73" t="s">
        <v>97</v>
      </c>
      <c r="F63" s="43">
        <v>2</v>
      </c>
      <c r="G63" s="83"/>
      <c r="H63" s="84"/>
      <c r="J63" s="59"/>
      <c r="K63" s="85"/>
      <c r="L63" s="84"/>
    </row>
    <row r="64" spans="1:12" ht="129.94999999999999" customHeight="1" x14ac:dyDescent="0.2">
      <c r="A64" s="76">
        <v>1</v>
      </c>
      <c r="B64" s="77" t="s">
        <v>180</v>
      </c>
      <c r="C64" s="613" t="s">
        <v>288</v>
      </c>
      <c r="D64" s="613"/>
      <c r="E64" s="73" t="s">
        <v>97</v>
      </c>
      <c r="F64" s="43" t="s">
        <v>25</v>
      </c>
      <c r="G64" s="83"/>
      <c r="H64" s="84"/>
      <c r="J64" s="59"/>
      <c r="K64" s="85"/>
      <c r="L64" s="84"/>
    </row>
    <row r="65" spans="1:12" ht="144.94999999999999" customHeight="1" x14ac:dyDescent="0.2">
      <c r="A65" s="76"/>
      <c r="B65" s="77" t="s">
        <v>182</v>
      </c>
      <c r="C65" s="613" t="s">
        <v>289</v>
      </c>
      <c r="D65" s="613"/>
      <c r="E65" s="73" t="s">
        <v>97</v>
      </c>
      <c r="F65" s="43"/>
      <c r="G65" s="83"/>
      <c r="H65" s="84"/>
      <c r="J65" s="59"/>
      <c r="K65" s="85"/>
      <c r="L65" s="84"/>
    </row>
    <row r="66" spans="1:12" ht="159.94999999999999" customHeight="1" x14ac:dyDescent="0.2">
      <c r="A66" s="76"/>
      <c r="B66" s="77" t="s">
        <v>184</v>
      </c>
      <c r="C66" s="633" t="s">
        <v>290</v>
      </c>
      <c r="D66" s="634"/>
      <c r="E66" s="73" t="s">
        <v>97</v>
      </c>
      <c r="F66" s="43" t="s">
        <v>25</v>
      </c>
      <c r="G66" s="83"/>
      <c r="H66" s="84"/>
      <c r="J66" s="59"/>
      <c r="K66" s="85"/>
      <c r="L66" s="84"/>
    </row>
    <row r="67" spans="1:12" ht="129.94999999999999" customHeight="1" x14ac:dyDescent="0.2">
      <c r="A67" s="76"/>
      <c r="B67" s="77" t="s">
        <v>187</v>
      </c>
      <c r="C67" s="613" t="s">
        <v>291</v>
      </c>
      <c r="D67" s="613" t="s">
        <v>292</v>
      </c>
      <c r="E67" s="73" t="s">
        <v>97</v>
      </c>
      <c r="F67" s="43"/>
      <c r="G67" s="83"/>
      <c r="H67" s="84"/>
      <c r="J67" s="59"/>
      <c r="K67" s="85"/>
      <c r="L67" s="84"/>
    </row>
    <row r="68" spans="1:12" ht="144.94999999999999" customHeight="1" x14ac:dyDescent="0.2">
      <c r="A68" s="76"/>
      <c r="B68" s="77" t="s">
        <v>190</v>
      </c>
      <c r="C68" s="613" t="s">
        <v>293</v>
      </c>
      <c r="D68" s="613" t="s">
        <v>294</v>
      </c>
      <c r="E68" s="73" t="s">
        <v>97</v>
      </c>
      <c r="F68" s="43" t="s">
        <v>25</v>
      </c>
      <c r="G68" s="83"/>
      <c r="H68" s="84"/>
      <c r="J68" s="59"/>
      <c r="K68" s="85"/>
      <c r="L68" s="84"/>
    </row>
    <row r="69" spans="1:12" ht="159.94999999999999" customHeight="1" x14ac:dyDescent="0.2">
      <c r="A69" s="76"/>
      <c r="B69" s="77" t="s">
        <v>295</v>
      </c>
      <c r="C69" s="613" t="s">
        <v>296</v>
      </c>
      <c r="D69" s="613" t="s">
        <v>297</v>
      </c>
      <c r="E69" s="73" t="s">
        <v>97</v>
      </c>
      <c r="F69" s="43">
        <v>2</v>
      </c>
      <c r="G69" s="83"/>
      <c r="H69" s="84"/>
      <c r="J69" s="59"/>
      <c r="K69" s="85"/>
      <c r="L69" s="84"/>
    </row>
    <row r="70" spans="1:12" ht="60" customHeight="1" x14ac:dyDescent="0.2">
      <c r="A70" s="76"/>
      <c r="B70" s="77" t="s">
        <v>298</v>
      </c>
      <c r="C70" s="613" t="s">
        <v>299</v>
      </c>
      <c r="D70" s="612" t="s">
        <v>198</v>
      </c>
      <c r="E70" s="73" t="s">
        <v>97</v>
      </c>
      <c r="F70" s="79" t="s">
        <v>25</v>
      </c>
      <c r="G70" s="83"/>
      <c r="H70" s="84"/>
      <c r="J70" s="59"/>
      <c r="K70" s="85"/>
      <c r="L70" s="84"/>
    </row>
    <row r="71" spans="1:12" ht="14.25" x14ac:dyDescent="0.2">
      <c r="A71" s="76"/>
      <c r="B71" s="77" t="s">
        <v>199</v>
      </c>
      <c r="C71" s="612" t="s">
        <v>200</v>
      </c>
      <c r="D71" s="612" t="s">
        <v>200</v>
      </c>
      <c r="E71" s="73" t="s">
        <v>97</v>
      </c>
      <c r="F71" s="79" t="s">
        <v>25</v>
      </c>
      <c r="G71" s="83"/>
      <c r="H71" s="84"/>
      <c r="J71" s="59"/>
      <c r="K71" s="85"/>
      <c r="L71" s="84"/>
    </row>
    <row r="72" spans="1:12" ht="41.25" customHeight="1" x14ac:dyDescent="0.2">
      <c r="A72" s="76"/>
      <c r="B72" s="77" t="s">
        <v>201</v>
      </c>
      <c r="C72" s="613" t="s">
        <v>202</v>
      </c>
      <c r="D72" s="612" t="s">
        <v>203</v>
      </c>
      <c r="E72" s="73" t="s">
        <v>97</v>
      </c>
      <c r="F72" s="79" t="s">
        <v>25</v>
      </c>
      <c r="G72" s="83"/>
      <c r="H72" s="91"/>
      <c r="J72" s="59"/>
      <c r="K72" s="85"/>
      <c r="L72" s="91"/>
    </row>
    <row r="73" spans="1:12" ht="14.25" x14ac:dyDescent="0.2">
      <c r="A73" s="76"/>
      <c r="B73" s="77" t="s">
        <v>204</v>
      </c>
      <c r="C73" s="612" t="s">
        <v>205</v>
      </c>
      <c r="D73" s="612"/>
      <c r="E73" s="73" t="s">
        <v>97</v>
      </c>
      <c r="F73" s="43" t="s">
        <v>25</v>
      </c>
      <c r="G73" s="83"/>
      <c r="H73" s="84"/>
      <c r="J73" s="59"/>
      <c r="K73" s="85"/>
      <c r="L73" s="84"/>
    </row>
    <row r="74" spans="1:12" ht="15" customHeight="1" x14ac:dyDescent="0.2">
      <c r="A74" s="76"/>
      <c r="B74" s="77" t="s">
        <v>100</v>
      </c>
      <c r="C74" s="628" t="s">
        <v>209</v>
      </c>
      <c r="D74" s="629"/>
      <c r="E74" s="73" t="s">
        <v>97</v>
      </c>
      <c r="F74" s="43">
        <v>4</v>
      </c>
      <c r="G74" s="635"/>
      <c r="H74" s="84"/>
      <c r="J74" s="59"/>
      <c r="K74" s="85"/>
      <c r="L74" s="84"/>
    </row>
    <row r="75" spans="1:12" ht="15" customHeight="1" x14ac:dyDescent="0.2">
      <c r="A75" s="76"/>
      <c r="B75" s="77" t="s">
        <v>300</v>
      </c>
      <c r="C75" s="628" t="s">
        <v>211</v>
      </c>
      <c r="D75" s="629"/>
      <c r="E75" s="73" t="s">
        <v>97</v>
      </c>
      <c r="F75" s="43">
        <v>4</v>
      </c>
      <c r="G75" s="636"/>
      <c r="H75" s="84"/>
      <c r="J75" s="59"/>
      <c r="K75" s="85"/>
      <c r="L75" s="84"/>
    </row>
    <row r="76" spans="1:12" ht="15" customHeight="1" x14ac:dyDescent="0.2">
      <c r="A76" s="76"/>
      <c r="B76" s="77" t="s">
        <v>301</v>
      </c>
      <c r="C76" s="628" t="s">
        <v>213</v>
      </c>
      <c r="D76" s="629"/>
      <c r="E76" s="73" t="s">
        <v>97</v>
      </c>
      <c r="F76" s="43">
        <v>4</v>
      </c>
      <c r="G76" s="636"/>
      <c r="H76" s="84"/>
      <c r="J76" s="59"/>
      <c r="K76" s="85"/>
      <c r="L76" s="84"/>
    </row>
    <row r="77" spans="1:12" ht="15" customHeight="1" x14ac:dyDescent="0.2">
      <c r="A77" s="76"/>
      <c r="B77" s="77" t="s">
        <v>103</v>
      </c>
      <c r="C77" s="628" t="s">
        <v>215</v>
      </c>
      <c r="D77" s="629"/>
      <c r="E77" s="73" t="s">
        <v>97</v>
      </c>
      <c r="F77" s="43">
        <v>4</v>
      </c>
      <c r="G77" s="637"/>
      <c r="H77" s="84"/>
      <c r="J77" s="59"/>
      <c r="K77" s="85"/>
      <c r="L77" s="84"/>
    </row>
    <row r="78" spans="1:12" ht="15" customHeight="1" x14ac:dyDescent="0.2">
      <c r="A78" s="76"/>
      <c r="B78" s="77"/>
      <c r="C78" s="612" t="s">
        <v>215</v>
      </c>
      <c r="D78" s="612"/>
      <c r="E78" s="73" t="s">
        <v>97</v>
      </c>
      <c r="F78" s="43" t="s">
        <v>25</v>
      </c>
      <c r="G78" s="83"/>
      <c r="H78" s="84"/>
      <c r="J78" s="59"/>
      <c r="K78" s="85"/>
      <c r="L78" s="84"/>
    </row>
    <row r="79" spans="1:12" ht="60" customHeight="1" x14ac:dyDescent="0.2">
      <c r="A79" s="76"/>
      <c r="B79" s="77" t="s">
        <v>302</v>
      </c>
      <c r="C79" s="613" t="s">
        <v>303</v>
      </c>
      <c r="D79" s="612"/>
      <c r="E79" s="73" t="s">
        <v>97</v>
      </c>
      <c r="F79" s="43"/>
      <c r="G79" s="83"/>
      <c r="H79" s="84"/>
      <c r="J79" s="59"/>
      <c r="K79" s="85"/>
      <c r="L79" s="84"/>
    </row>
    <row r="80" spans="1:12" ht="45" customHeight="1" x14ac:dyDescent="0.2">
      <c r="A80" s="76"/>
      <c r="B80" s="77" t="s">
        <v>223</v>
      </c>
      <c r="C80" s="612" t="s">
        <v>224</v>
      </c>
      <c r="D80" s="612" t="s">
        <v>224</v>
      </c>
      <c r="E80" s="76" t="s">
        <v>222</v>
      </c>
      <c r="F80" s="43" t="s">
        <v>25</v>
      </c>
      <c r="G80" s="83"/>
      <c r="H80" s="84"/>
      <c r="J80" s="59"/>
      <c r="K80" s="85"/>
      <c r="L80" s="84"/>
    </row>
    <row r="81" spans="1:12" ht="45" customHeight="1" x14ac:dyDescent="0.2">
      <c r="A81" s="76"/>
      <c r="B81" s="77" t="s">
        <v>304</v>
      </c>
      <c r="C81" s="612" t="s">
        <v>220</v>
      </c>
      <c r="D81" s="612" t="s">
        <v>220</v>
      </c>
      <c r="E81" s="76" t="s">
        <v>222</v>
      </c>
      <c r="F81" s="43" t="s">
        <v>25</v>
      </c>
      <c r="G81" s="83"/>
      <c r="H81" s="84"/>
      <c r="J81" s="59"/>
      <c r="K81" s="85"/>
      <c r="L81" s="84"/>
    </row>
    <row r="82" spans="1:12" ht="45" customHeight="1" x14ac:dyDescent="0.2">
      <c r="A82" s="76"/>
      <c r="B82" s="77" t="s">
        <v>275</v>
      </c>
      <c r="C82" s="612" t="s">
        <v>226</v>
      </c>
      <c r="D82" s="612"/>
      <c r="E82" s="76" t="s">
        <v>222</v>
      </c>
      <c r="F82" s="43" t="s">
        <v>25</v>
      </c>
      <c r="G82" s="83"/>
      <c r="H82" s="84"/>
      <c r="J82" s="59"/>
      <c r="K82" s="85"/>
      <c r="L82" s="84"/>
    </row>
    <row r="83" spans="1:12" ht="45" customHeight="1" x14ac:dyDescent="0.2">
      <c r="A83" s="76"/>
      <c r="B83" s="77" t="s">
        <v>305</v>
      </c>
      <c r="C83" s="612" t="s">
        <v>227</v>
      </c>
      <c r="D83" s="612"/>
      <c r="E83" s="76" t="s">
        <v>222</v>
      </c>
      <c r="F83" s="43"/>
      <c r="G83" s="83"/>
      <c r="H83" s="84"/>
      <c r="J83" s="59"/>
      <c r="K83" s="85"/>
      <c r="L83" s="84"/>
    </row>
    <row r="84" spans="1:12" ht="30" customHeight="1" x14ac:dyDescent="0.2">
      <c r="A84" s="76"/>
      <c r="B84" s="77" t="s">
        <v>306</v>
      </c>
      <c r="C84" s="612" t="s">
        <v>307</v>
      </c>
      <c r="D84" s="612"/>
      <c r="E84" s="76" t="s">
        <v>222</v>
      </c>
      <c r="F84" s="43"/>
      <c r="G84" s="83"/>
      <c r="H84" s="84"/>
      <c r="J84" s="59"/>
      <c r="K84" s="85"/>
      <c r="L84" s="84"/>
    </row>
    <row r="85" spans="1:12" ht="45" customHeight="1" x14ac:dyDescent="0.2">
      <c r="A85" s="76"/>
      <c r="B85" s="77" t="s">
        <v>230</v>
      </c>
      <c r="C85" s="612" t="s">
        <v>231</v>
      </c>
      <c r="D85" s="612"/>
      <c r="E85" s="76" t="s">
        <v>222</v>
      </c>
      <c r="F85" s="43" t="s">
        <v>25</v>
      </c>
      <c r="G85" s="83"/>
      <c r="H85" s="84"/>
      <c r="J85" s="59"/>
      <c r="K85" s="85"/>
      <c r="L85" s="84"/>
    </row>
    <row r="86" spans="1:12" ht="60" customHeight="1" x14ac:dyDescent="0.2">
      <c r="A86" s="76"/>
      <c r="B86" s="77" t="s">
        <v>308</v>
      </c>
      <c r="C86" s="612" t="s">
        <v>233</v>
      </c>
      <c r="D86" s="612" t="s">
        <v>233</v>
      </c>
      <c r="E86" s="76" t="s">
        <v>222</v>
      </c>
      <c r="F86" s="43" t="s">
        <v>25</v>
      </c>
      <c r="G86" s="83"/>
      <c r="H86" s="84"/>
      <c r="J86" s="59"/>
      <c r="K86" s="85"/>
      <c r="L86" s="84"/>
    </row>
    <row r="87" spans="1:12" ht="88.5" customHeight="1" x14ac:dyDescent="0.2">
      <c r="A87" s="76"/>
      <c r="B87" s="77" t="s">
        <v>309</v>
      </c>
      <c r="C87" s="612" t="s">
        <v>235</v>
      </c>
      <c r="D87" s="612" t="s">
        <v>235</v>
      </c>
      <c r="E87" s="73" t="s">
        <v>237</v>
      </c>
      <c r="F87" s="43" t="s">
        <v>25</v>
      </c>
      <c r="G87" s="83"/>
      <c r="H87" s="84"/>
      <c r="J87" s="59"/>
      <c r="K87" s="85"/>
      <c r="L87" s="84"/>
    </row>
    <row r="88" spans="1:12" ht="45" customHeight="1" x14ac:dyDescent="0.2">
      <c r="A88" s="76"/>
      <c r="B88" s="77" t="s">
        <v>238</v>
      </c>
      <c r="C88" s="612" t="s">
        <v>239</v>
      </c>
      <c r="D88" s="612"/>
      <c r="E88" s="73" t="s">
        <v>97</v>
      </c>
      <c r="F88" s="43"/>
      <c r="G88" s="83"/>
      <c r="H88" s="84"/>
      <c r="J88" s="59"/>
      <c r="K88" s="85"/>
      <c r="L88" s="84"/>
    </row>
    <row r="89" spans="1:12" ht="45" customHeight="1" x14ac:dyDescent="0.2">
      <c r="A89" s="76"/>
      <c r="B89" s="77" t="s">
        <v>310</v>
      </c>
      <c r="C89" s="612" t="s">
        <v>243</v>
      </c>
      <c r="D89" s="612" t="s">
        <v>243</v>
      </c>
      <c r="E89" s="73" t="s">
        <v>97</v>
      </c>
      <c r="F89" s="43"/>
      <c r="G89" s="83"/>
      <c r="H89" s="84"/>
      <c r="J89" s="59"/>
      <c r="K89" s="85"/>
      <c r="L89" s="84"/>
    </row>
    <row r="90" spans="1:12" ht="45" customHeight="1" x14ac:dyDescent="0.2">
      <c r="A90" s="76"/>
      <c r="B90" s="77" t="s">
        <v>244</v>
      </c>
      <c r="C90" s="612" t="s">
        <v>245</v>
      </c>
      <c r="D90" s="612" t="s">
        <v>245</v>
      </c>
      <c r="E90" s="73" t="s">
        <v>97</v>
      </c>
      <c r="F90" s="79" t="s">
        <v>25</v>
      </c>
      <c r="G90" s="83"/>
      <c r="H90" s="84"/>
      <c r="J90" s="59"/>
      <c r="K90" s="85"/>
      <c r="L90" s="84"/>
    </row>
    <row r="91" spans="1:12" ht="60" customHeight="1" x14ac:dyDescent="0.2">
      <c r="A91" s="76">
        <v>3</v>
      </c>
      <c r="B91" s="77" t="s">
        <v>309</v>
      </c>
      <c r="C91" s="612" t="s">
        <v>247</v>
      </c>
      <c r="D91" s="612"/>
      <c r="E91" s="76" t="s">
        <v>97</v>
      </c>
      <c r="F91" s="94" t="s">
        <v>25</v>
      </c>
      <c r="G91" s="95"/>
      <c r="H91" s="74"/>
      <c r="J91" s="59"/>
      <c r="K91" s="74"/>
      <c r="L91" s="74"/>
    </row>
    <row r="92" spans="1:12" ht="30" customHeight="1" x14ac:dyDescent="0.2">
      <c r="A92" s="76">
        <v>4</v>
      </c>
      <c r="B92" s="77" t="s">
        <v>119</v>
      </c>
      <c r="C92" s="612" t="s">
        <v>249</v>
      </c>
      <c r="D92" s="612"/>
      <c r="E92" s="76" t="s">
        <v>97</v>
      </c>
      <c r="F92" s="94" t="s">
        <v>25</v>
      </c>
      <c r="G92" s="95"/>
      <c r="H92" s="74"/>
      <c r="J92" s="59"/>
      <c r="K92" s="74"/>
      <c r="L92" s="74"/>
    </row>
    <row r="93" spans="1:12" ht="69.75" customHeight="1" x14ac:dyDescent="0.2">
      <c r="A93" s="76">
        <v>1</v>
      </c>
      <c r="B93" s="77" t="s">
        <v>311</v>
      </c>
      <c r="C93" s="628" t="s">
        <v>312</v>
      </c>
      <c r="D93" s="629"/>
      <c r="E93" s="73" t="s">
        <v>97</v>
      </c>
      <c r="F93" s="94" t="s">
        <v>320</v>
      </c>
      <c r="G93" s="108" t="s">
        <v>321</v>
      </c>
      <c r="H93" s="74"/>
      <c r="J93" s="59"/>
      <c r="K93" s="74"/>
      <c r="L93" s="74"/>
    </row>
    <row r="94" spans="1:12" ht="63.75" customHeight="1" x14ac:dyDescent="0.2">
      <c r="A94" s="76">
        <v>2</v>
      </c>
      <c r="B94" s="77" t="s">
        <v>322</v>
      </c>
      <c r="C94" s="612" t="s">
        <v>323</v>
      </c>
      <c r="D94" s="612"/>
      <c r="E94" s="73" t="s">
        <v>324</v>
      </c>
      <c r="F94" s="79">
        <v>1</v>
      </c>
      <c r="G94" s="83"/>
      <c r="H94" s="91"/>
      <c r="J94" s="59"/>
      <c r="K94" s="85"/>
      <c r="L94" s="91"/>
    </row>
    <row r="95" spans="1:12" ht="30" customHeight="1" thickBot="1" x14ac:dyDescent="0.25">
      <c r="A95" s="96"/>
      <c r="B95" s="97"/>
      <c r="C95" s="96"/>
      <c r="D95" s="96"/>
      <c r="E95" s="85"/>
      <c r="F95" s="82"/>
      <c r="G95" s="85"/>
      <c r="H95" s="91"/>
      <c r="J95" s="59"/>
      <c r="K95" s="85"/>
      <c r="L95" s="91"/>
    </row>
    <row r="96" spans="1:12" ht="30" customHeight="1" thickBot="1" x14ac:dyDescent="0.25">
      <c r="A96" s="619" t="s">
        <v>6</v>
      </c>
      <c r="B96" s="620"/>
      <c r="C96" s="621">
        <f>C15+14</f>
        <v>14</v>
      </c>
      <c r="D96" s="622"/>
      <c r="E96" s="623"/>
      <c r="F96" s="638"/>
      <c r="G96" s="639"/>
      <c r="H96" s="59"/>
      <c r="J96" s="59"/>
      <c r="K96" s="98"/>
      <c r="L96" s="59"/>
    </row>
    <row r="97" spans="1:12" x14ac:dyDescent="0.2">
      <c r="A97" s="99"/>
      <c r="B97" s="100"/>
      <c r="G97" s="59"/>
      <c r="H97" s="59"/>
      <c r="J97" s="59"/>
      <c r="K97" s="59"/>
      <c r="L97" s="59"/>
    </row>
    <row r="98" spans="1:12" ht="12.75" customHeight="1" x14ac:dyDescent="0.2">
      <c r="A98" s="626" t="s">
        <v>253</v>
      </c>
      <c r="B98" s="626"/>
      <c r="C98" s="626"/>
      <c r="D98" s="626"/>
      <c r="E98" s="626"/>
      <c r="F98" s="626"/>
      <c r="G98" s="626"/>
      <c r="H98" s="59"/>
      <c r="J98" s="59"/>
      <c r="K98" s="59"/>
      <c r="L98" s="59"/>
    </row>
    <row r="99" spans="1:12" x14ac:dyDescent="0.2">
      <c r="A99" s="99"/>
      <c r="B99" s="100"/>
      <c r="G99" s="59"/>
      <c r="H99" s="59"/>
      <c r="J99" s="59"/>
      <c r="K99" s="59"/>
      <c r="L99" s="59"/>
    </row>
    <row r="100" spans="1:12" x14ac:dyDescent="0.2">
      <c r="G100" s="59"/>
      <c r="H100" s="59"/>
      <c r="J100" s="59"/>
      <c r="K100" s="59"/>
      <c r="L100" s="59"/>
    </row>
    <row r="101" spans="1:12" ht="15.75" x14ac:dyDescent="0.25">
      <c r="A101" s="101" t="s">
        <v>254</v>
      </c>
      <c r="B101" s="627" t="s">
        <v>255</v>
      </c>
      <c r="C101" s="627"/>
      <c r="D101" s="102"/>
      <c r="E101" s="102"/>
      <c r="F101" s="102" t="s">
        <v>256</v>
      </c>
      <c r="G101" s="102"/>
      <c r="H101" s="103"/>
      <c r="J101" s="59"/>
      <c r="K101" s="103"/>
      <c r="L101" s="103"/>
    </row>
    <row r="102" spans="1:12" x14ac:dyDescent="0.2">
      <c r="A102" s="102"/>
      <c r="B102" s="102"/>
      <c r="C102" s="104"/>
      <c r="D102" s="104"/>
      <c r="E102" s="104"/>
      <c r="F102" s="104" t="s">
        <v>257</v>
      </c>
      <c r="G102" s="104"/>
      <c r="H102" s="105"/>
      <c r="J102" s="59"/>
      <c r="K102" s="105"/>
      <c r="L102" s="105"/>
    </row>
    <row r="103" spans="1:12" x14ac:dyDescent="0.2">
      <c r="A103" s="102"/>
      <c r="B103" s="99" t="s">
        <v>258</v>
      </c>
      <c r="C103" s="102"/>
      <c r="D103" s="102"/>
      <c r="E103" s="102"/>
      <c r="F103" s="104"/>
      <c r="G103" s="103"/>
      <c r="H103" s="105"/>
      <c r="J103" s="59"/>
      <c r="K103" s="103"/>
      <c r="L103" s="105"/>
    </row>
    <row r="104" spans="1:12" x14ac:dyDescent="0.2">
      <c r="A104" s="102"/>
      <c r="B104" s="102"/>
      <c r="C104" s="102"/>
      <c r="D104" s="102"/>
      <c r="E104" s="102"/>
      <c r="F104" s="104"/>
      <c r="G104" s="103"/>
      <c r="H104" s="105"/>
      <c r="J104" s="59"/>
      <c r="K104" s="103"/>
      <c r="L104" s="105"/>
    </row>
    <row r="105" spans="1:12" x14ac:dyDescent="0.2">
      <c r="A105" s="102"/>
      <c r="B105" s="102"/>
      <c r="C105" s="102"/>
      <c r="D105" s="102"/>
      <c r="E105" s="102"/>
      <c r="F105" s="104"/>
      <c r="G105" s="103"/>
      <c r="H105" s="105"/>
      <c r="J105" s="59"/>
      <c r="K105" s="103"/>
      <c r="L105" s="105"/>
    </row>
    <row r="106" spans="1:12" x14ac:dyDescent="0.2">
      <c r="A106" s="102"/>
      <c r="B106" s="102"/>
      <c r="C106" s="102"/>
      <c r="D106" s="102"/>
      <c r="E106" s="102"/>
      <c r="F106" s="104"/>
      <c r="G106" s="103"/>
      <c r="H106" s="105"/>
      <c r="J106" s="59"/>
      <c r="K106" s="103"/>
      <c r="L106" s="105"/>
    </row>
    <row r="107" spans="1:12" x14ac:dyDescent="0.2">
      <c r="A107" s="102"/>
      <c r="B107" s="102"/>
      <c r="C107" s="102"/>
      <c r="D107" s="102"/>
      <c r="E107" s="102"/>
      <c r="F107" s="104"/>
      <c r="G107" s="103"/>
      <c r="H107" s="105"/>
      <c r="J107" s="59"/>
      <c r="K107" s="103"/>
      <c r="L107" s="105"/>
    </row>
    <row r="108" spans="1:12" ht="15.75" x14ac:dyDescent="0.25">
      <c r="A108" s="106" t="s">
        <v>259</v>
      </c>
      <c r="B108" s="106"/>
      <c r="C108" s="106"/>
      <c r="D108" s="102"/>
      <c r="E108" s="102"/>
      <c r="F108" s="102" t="s">
        <v>256</v>
      </c>
      <c r="G108" s="103"/>
      <c r="H108" s="105"/>
      <c r="J108" s="59"/>
      <c r="K108" s="103"/>
      <c r="L108" s="105"/>
    </row>
    <row r="109" spans="1:12" x14ac:dyDescent="0.2">
      <c r="A109" s="102"/>
      <c r="B109" s="102"/>
      <c r="C109" s="102"/>
      <c r="D109" s="102"/>
      <c r="E109" s="104"/>
      <c r="F109" s="104" t="s">
        <v>257</v>
      </c>
      <c r="G109" s="103"/>
      <c r="H109" s="103"/>
      <c r="J109" s="59"/>
      <c r="K109" s="103"/>
      <c r="L109" s="103"/>
    </row>
    <row r="110" spans="1:12" x14ac:dyDescent="0.2">
      <c r="A110" s="102"/>
      <c r="B110" s="99" t="s">
        <v>258</v>
      </c>
      <c r="C110" s="102"/>
      <c r="D110" s="102"/>
      <c r="E110" s="102"/>
      <c r="F110" s="102"/>
      <c r="G110" s="103"/>
      <c r="H110" s="103"/>
      <c r="J110" s="59"/>
      <c r="K110" s="103"/>
      <c r="L110" s="103"/>
    </row>
    <row r="111" spans="1:12" ht="15.75" x14ac:dyDescent="0.25">
      <c r="A111" s="101"/>
      <c r="B111" s="627"/>
      <c r="C111" s="627"/>
      <c r="D111" s="102"/>
      <c r="E111" s="102"/>
      <c r="F111" s="102"/>
      <c r="G111" s="103"/>
      <c r="H111" s="103"/>
      <c r="J111" s="59"/>
      <c r="K111" s="103"/>
      <c r="L111" s="103"/>
    </row>
    <row r="112" spans="1:12" x14ac:dyDescent="0.2">
      <c r="A112" s="102"/>
      <c r="B112" s="102"/>
      <c r="C112" s="104"/>
      <c r="D112" s="104"/>
      <c r="E112" s="104"/>
      <c r="F112" s="104"/>
      <c r="G112" s="105"/>
      <c r="H112" s="105"/>
      <c r="J112" s="59"/>
      <c r="K112" s="105"/>
      <c r="L112" s="105"/>
    </row>
    <row r="113" spans="2:12" x14ac:dyDescent="0.2">
      <c r="B113" s="99"/>
      <c r="G113" s="59"/>
      <c r="H113" s="59"/>
      <c r="J113" s="59"/>
      <c r="K113" s="59"/>
      <c r="L113" s="59"/>
    </row>
  </sheetData>
  <mergeCells count="98">
    <mergeCell ref="F96:G96"/>
    <mergeCell ref="A98:G98"/>
    <mergeCell ref="B101:C101"/>
    <mergeCell ref="B111:C111"/>
    <mergeCell ref="C91:D91"/>
    <mergeCell ref="C92:D92"/>
    <mergeCell ref="C93:D93"/>
    <mergeCell ref="C94:D94"/>
    <mergeCell ref="A96:B96"/>
    <mergeCell ref="C96:E96"/>
    <mergeCell ref="G74:G77"/>
    <mergeCell ref="C75:D75"/>
    <mergeCell ref="C76:D76"/>
    <mergeCell ref="C77:D77"/>
    <mergeCell ref="C90:D90"/>
    <mergeCell ref="C79:D79"/>
    <mergeCell ref="C80:D80"/>
    <mergeCell ref="C81:D81"/>
    <mergeCell ref="C82:D82"/>
    <mergeCell ref="C83:D83"/>
    <mergeCell ref="C84:D84"/>
    <mergeCell ref="C85:D85"/>
    <mergeCell ref="C86:D86"/>
    <mergeCell ref="C87:D87"/>
    <mergeCell ref="C88:D88"/>
    <mergeCell ref="C89:D89"/>
    <mergeCell ref="C78:D78"/>
    <mergeCell ref="C68:D68"/>
    <mergeCell ref="C69:D69"/>
    <mergeCell ref="C70:D70"/>
    <mergeCell ref="C71:D71"/>
    <mergeCell ref="C72:D72"/>
    <mergeCell ref="C73:D73"/>
    <mergeCell ref="C74:D74"/>
    <mergeCell ref="C67:D67"/>
    <mergeCell ref="G53:G61"/>
    <mergeCell ref="C54:D54"/>
    <mergeCell ref="C55:D55"/>
    <mergeCell ref="C56:D56"/>
    <mergeCell ref="C57:D57"/>
    <mergeCell ref="C58:D58"/>
    <mergeCell ref="C59:D59"/>
    <mergeCell ref="C60:D60"/>
    <mergeCell ref="C61:D61"/>
    <mergeCell ref="C53:D53"/>
    <mergeCell ref="C62:D62"/>
    <mergeCell ref="C63:D63"/>
    <mergeCell ref="C64:D64"/>
    <mergeCell ref="C65:D65"/>
    <mergeCell ref="C66:D66"/>
    <mergeCell ref="C48:D48"/>
    <mergeCell ref="C49:D49"/>
    <mergeCell ref="C50:D50"/>
    <mergeCell ref="C51:D51"/>
    <mergeCell ref="C52:D52"/>
    <mergeCell ref="C47:D47"/>
    <mergeCell ref="C36:D36"/>
    <mergeCell ref="C37:D37"/>
    <mergeCell ref="C38:D38"/>
    <mergeCell ref="C39:D39"/>
    <mergeCell ref="C40:D40"/>
    <mergeCell ref="C41:D41"/>
    <mergeCell ref="C42:D42"/>
    <mergeCell ref="C43:D43"/>
    <mergeCell ref="C44:D44"/>
    <mergeCell ref="C45:D45"/>
    <mergeCell ref="C46:D46"/>
    <mergeCell ref="C35:D35"/>
    <mergeCell ref="C25:D25"/>
    <mergeCell ref="J25:K25"/>
    <mergeCell ref="C26:D26"/>
    <mergeCell ref="C27:D27"/>
    <mergeCell ref="C28:D28"/>
    <mergeCell ref="C29:D29"/>
    <mergeCell ref="C30:D30"/>
    <mergeCell ref="C31:D31"/>
    <mergeCell ref="C32:D32"/>
    <mergeCell ref="C33:D33"/>
    <mergeCell ref="C34:D34"/>
    <mergeCell ref="C24:D24"/>
    <mergeCell ref="A17:A18"/>
    <mergeCell ref="B17:B18"/>
    <mergeCell ref="C17:D18"/>
    <mergeCell ref="E17:E18"/>
    <mergeCell ref="C19:D19"/>
    <mergeCell ref="C20:D20"/>
    <mergeCell ref="C21:D21"/>
    <mergeCell ref="C22:D22"/>
    <mergeCell ref="C23:D23"/>
    <mergeCell ref="F17:F18"/>
    <mergeCell ref="G17:G18"/>
    <mergeCell ref="B6:F6"/>
    <mergeCell ref="A9:B10"/>
    <mergeCell ref="C9:G10"/>
    <mergeCell ref="A11:B12"/>
    <mergeCell ref="C11:G12"/>
    <mergeCell ref="A15:B15"/>
    <mergeCell ref="C15:G15"/>
  </mergeCells>
  <pageMargins left="0.75" right="0.34" top="0.31" bottom="0.45" header="0.17" footer="0.17"/>
  <pageSetup paperSize="9" scale="85" fitToHeight="5" orientation="portrait" r:id="rId1"/>
  <headerFooter alignWithMargins="0">
    <oddFooter>&amp;R&amp;"Times New Roman,обычный"&amp;8&amp;U&amp;A&amp;U стр.&amp;P из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78"/>
  <sheetViews>
    <sheetView tabSelected="1" view="pageBreakPreview" zoomScaleNormal="100" zoomScaleSheetLayoutView="100" workbookViewId="0">
      <selection activeCell="G82" sqref="G82"/>
    </sheetView>
  </sheetViews>
  <sheetFormatPr defaultRowHeight="12.75" x14ac:dyDescent="0.2"/>
  <cols>
    <col min="1" max="1" width="6.85546875" customWidth="1"/>
    <col min="2" max="2" width="11.28515625" customWidth="1"/>
    <col min="3" max="3" width="16" customWidth="1"/>
    <col min="4" max="4" width="9.140625" customWidth="1"/>
    <col min="5" max="5" width="7.28515625" customWidth="1"/>
    <col min="6" max="6" width="12.5703125" customWidth="1"/>
    <col min="7" max="7" width="10.140625" customWidth="1"/>
    <col min="8" max="8" width="11.5703125" customWidth="1"/>
    <col min="9" max="10" width="10.140625" customWidth="1"/>
    <col min="11" max="11" width="2.85546875" customWidth="1"/>
  </cols>
  <sheetData>
    <row r="1" spans="2:11" ht="6.75" customHeight="1" x14ac:dyDescent="0.2">
      <c r="D1" s="529"/>
      <c r="E1" s="530"/>
      <c r="F1" s="530"/>
      <c r="G1" s="530"/>
      <c r="H1" s="531"/>
      <c r="I1" s="531"/>
      <c r="J1" s="530"/>
      <c r="K1" s="531"/>
    </row>
    <row r="2" spans="2:11" ht="14.25" customHeight="1" x14ac:dyDescent="0.2">
      <c r="B2" s="1136" t="s">
        <v>1098</v>
      </c>
      <c r="C2" s="1136"/>
      <c r="D2" s="1136"/>
      <c r="E2" s="530"/>
      <c r="F2" s="530"/>
      <c r="G2" s="530"/>
      <c r="H2" s="531"/>
      <c r="I2" s="532" t="s">
        <v>1100</v>
      </c>
      <c r="J2" s="530"/>
      <c r="K2" s="531"/>
    </row>
    <row r="3" spans="2:11" ht="14.25" customHeight="1" x14ac:dyDescent="0.25">
      <c r="B3" s="667" t="s">
        <v>1099</v>
      </c>
      <c r="C3" s="667"/>
      <c r="D3" s="667"/>
      <c r="E3" s="530"/>
      <c r="F3" s="530"/>
      <c r="G3" s="530"/>
      <c r="H3" s="531"/>
      <c r="I3" s="532" t="s">
        <v>1101</v>
      </c>
      <c r="J3" s="530"/>
      <c r="K3" s="531"/>
    </row>
    <row r="4" spans="2:11" ht="14.25" customHeight="1" x14ac:dyDescent="0.2">
      <c r="D4" s="529"/>
      <c r="E4" s="530"/>
      <c r="F4" s="530"/>
      <c r="G4" s="530"/>
      <c r="H4" s="531"/>
      <c r="I4" s="532" t="s">
        <v>1047</v>
      </c>
      <c r="J4" s="531"/>
      <c r="K4" s="530"/>
    </row>
    <row r="5" spans="2:11" ht="0.75" customHeight="1" x14ac:dyDescent="0.2">
      <c r="D5" s="529"/>
      <c r="E5" s="530"/>
      <c r="F5" s="530"/>
      <c r="G5" s="530"/>
      <c r="H5" s="530"/>
      <c r="I5" s="530"/>
      <c r="J5" s="530"/>
      <c r="K5" s="530"/>
    </row>
    <row r="6" spans="2:11" ht="24.75" customHeight="1" x14ac:dyDescent="0.2">
      <c r="B6" s="645" t="s">
        <v>1102</v>
      </c>
      <c r="C6" s="645"/>
      <c r="D6" s="645"/>
      <c r="E6" s="530"/>
      <c r="F6" s="530"/>
      <c r="G6" s="530"/>
      <c r="H6" s="530"/>
      <c r="I6" s="530"/>
      <c r="J6" s="530"/>
      <c r="K6" s="530"/>
    </row>
    <row r="7" spans="2:11" ht="1.5" customHeight="1" x14ac:dyDescent="0.2">
      <c r="C7" s="1134"/>
      <c r="D7" s="1134"/>
      <c r="E7" s="530"/>
      <c r="F7" s="530"/>
      <c r="G7" s="530"/>
      <c r="H7" s="530"/>
      <c r="I7" s="530"/>
      <c r="J7" s="530"/>
      <c r="K7" s="530"/>
    </row>
    <row r="8" spans="2:11" ht="14.25" customHeight="1" x14ac:dyDescent="0.3">
      <c r="D8" s="533"/>
      <c r="E8" s="534"/>
      <c r="F8" s="535" t="s">
        <v>1103</v>
      </c>
      <c r="G8" s="534"/>
      <c r="H8" s="534"/>
      <c r="J8" s="530"/>
      <c r="K8" s="530"/>
    </row>
    <row r="9" spans="2:11" s="226" customFormat="1" ht="8.25" customHeight="1" x14ac:dyDescent="0.2">
      <c r="D9" s="675" t="s">
        <v>1048</v>
      </c>
      <c r="E9" s="675"/>
      <c r="F9" s="675"/>
      <c r="G9" s="675"/>
      <c r="H9" s="675"/>
      <c r="J9" s="536"/>
      <c r="K9" s="536"/>
    </row>
    <row r="10" spans="2:11" ht="14.25" customHeight="1" x14ac:dyDescent="0.3">
      <c r="D10" s="533"/>
      <c r="E10" s="537"/>
      <c r="F10" s="535" t="s">
        <v>1104</v>
      </c>
      <c r="G10" s="538"/>
      <c r="H10" s="530"/>
      <c r="J10" s="530"/>
      <c r="K10" s="530"/>
    </row>
    <row r="11" spans="2:11" ht="6" customHeight="1" x14ac:dyDescent="0.3">
      <c r="D11" s="533"/>
      <c r="E11" s="539"/>
      <c r="F11" s="539"/>
      <c r="G11" s="539"/>
      <c r="H11" s="530"/>
      <c r="J11" s="530"/>
      <c r="K11" s="530"/>
    </row>
    <row r="12" spans="2:11" ht="15.75" x14ac:dyDescent="0.2">
      <c r="C12" s="226"/>
      <c r="D12" s="1138" t="s">
        <v>1049</v>
      </c>
      <c r="E12" s="1138"/>
      <c r="F12" s="1138"/>
      <c r="G12" s="1138"/>
      <c r="H12" s="540"/>
      <c r="J12" s="530"/>
      <c r="K12" s="530"/>
    </row>
    <row r="13" spans="2:11" ht="15.75" x14ac:dyDescent="0.2">
      <c r="B13" s="1115" t="s">
        <v>1050</v>
      </c>
      <c r="C13" s="1115"/>
      <c r="D13" s="1115"/>
      <c r="E13" s="1115"/>
      <c r="F13" s="1115"/>
      <c r="G13" s="540"/>
      <c r="H13" s="540"/>
      <c r="I13" s="540"/>
      <c r="J13" s="530"/>
      <c r="K13" s="530"/>
    </row>
    <row r="14" spans="2:11" ht="15.75" customHeight="1" x14ac:dyDescent="0.2">
      <c r="B14" s="541" t="s">
        <v>1051</v>
      </c>
      <c r="D14" s="529"/>
      <c r="E14" s="540"/>
      <c r="F14" s="671" t="s">
        <v>1052</v>
      </c>
      <c r="G14" s="671"/>
      <c r="H14" s="540"/>
      <c r="I14" s="540"/>
      <c r="J14" s="530"/>
      <c r="K14" s="530"/>
    </row>
    <row r="15" spans="2:11" ht="15.75" x14ac:dyDescent="0.2">
      <c r="B15" s="552" t="s">
        <v>1053</v>
      </c>
      <c r="D15" s="529"/>
      <c r="E15" s="540"/>
      <c r="F15" s="671" t="s">
        <v>1054</v>
      </c>
      <c r="G15" s="671"/>
      <c r="H15" s="540"/>
      <c r="I15" s="540"/>
      <c r="J15" s="530"/>
      <c r="K15" s="530"/>
    </row>
    <row r="16" spans="2:11" ht="15.75" customHeight="1" x14ac:dyDescent="0.2">
      <c r="D16" s="529"/>
      <c r="E16" s="540"/>
      <c r="F16" s="672" t="s">
        <v>1055</v>
      </c>
      <c r="G16" s="672"/>
      <c r="H16" s="672"/>
      <c r="I16" s="672"/>
      <c r="J16" s="530"/>
      <c r="K16" s="530"/>
    </row>
    <row r="17" spans="2:12" ht="8.25" customHeight="1" x14ac:dyDescent="0.2">
      <c r="D17" s="529"/>
      <c r="E17" s="540"/>
      <c r="F17" s="540"/>
      <c r="G17" s="540"/>
      <c r="H17" s="540"/>
      <c r="I17" s="540"/>
      <c r="J17" s="530"/>
      <c r="K17" s="530"/>
    </row>
    <row r="18" spans="2:12" ht="14.25" customHeight="1" x14ac:dyDescent="0.2">
      <c r="B18" s="568" t="s">
        <v>1056</v>
      </c>
      <c r="C18" s="673" t="s">
        <v>1057</v>
      </c>
      <c r="D18" s="673"/>
      <c r="E18" s="673"/>
      <c r="F18" s="673"/>
      <c r="G18" s="673"/>
      <c r="H18" s="673"/>
      <c r="I18" s="673"/>
      <c r="L18" s="542"/>
    </row>
    <row r="19" spans="2:12" ht="12" customHeight="1" x14ac:dyDescent="0.2">
      <c r="D19" s="1139" t="s">
        <v>1058</v>
      </c>
      <c r="E19" s="1139"/>
      <c r="F19" s="1139"/>
      <c r="G19" s="1139"/>
      <c r="H19" s="1139"/>
      <c r="I19" s="1139"/>
      <c r="J19" s="1139"/>
      <c r="K19" s="1139"/>
      <c r="L19" s="542"/>
    </row>
    <row r="20" spans="2:12" ht="28.5" customHeight="1" x14ac:dyDescent="0.2">
      <c r="B20" s="1135" t="s">
        <v>1059</v>
      </c>
      <c r="C20" s="1135"/>
      <c r="D20" s="1135"/>
      <c r="E20" s="1137" t="s">
        <v>1060</v>
      </c>
      <c r="F20" s="1137"/>
      <c r="G20" s="1137"/>
      <c r="H20" s="1137"/>
      <c r="I20" s="1137"/>
      <c r="J20" s="1137"/>
      <c r="K20" s="1137"/>
    </row>
    <row r="21" spans="2:12" ht="6.75" customHeight="1" x14ac:dyDescent="0.2">
      <c r="D21" s="529"/>
      <c r="E21" s="543"/>
      <c r="F21" s="543"/>
      <c r="G21" s="544"/>
      <c r="H21" s="544"/>
      <c r="I21" s="544"/>
      <c r="J21" s="544"/>
      <c r="K21" s="544"/>
    </row>
    <row r="22" spans="2:12" ht="3.75" customHeight="1" x14ac:dyDescent="0.2">
      <c r="B22" s="669" t="s">
        <v>1061</v>
      </c>
      <c r="C22" s="669"/>
      <c r="D22" s="669"/>
      <c r="E22" s="669"/>
      <c r="F22" s="669"/>
      <c r="G22" s="669"/>
      <c r="H22" s="669"/>
      <c r="I22" s="669"/>
      <c r="J22" s="669"/>
      <c r="K22" s="669"/>
    </row>
    <row r="23" spans="2:12" ht="31.5" customHeight="1" x14ac:dyDescent="0.2">
      <c r="B23" s="669"/>
      <c r="C23" s="669"/>
      <c r="D23" s="669"/>
      <c r="E23" s="669"/>
      <c r="F23" s="669"/>
      <c r="G23" s="669"/>
      <c r="H23" s="669"/>
      <c r="I23" s="669"/>
      <c r="J23" s="669"/>
      <c r="K23" s="669"/>
    </row>
    <row r="24" spans="2:12" ht="16.5" customHeight="1" x14ac:dyDescent="0.2">
      <c r="B24" s="545" t="s">
        <v>1062</v>
      </c>
      <c r="C24" s="670" t="s">
        <v>1063</v>
      </c>
      <c r="D24" s="670"/>
      <c r="E24" s="670"/>
      <c r="F24" s="547" t="s">
        <v>1064</v>
      </c>
      <c r="G24" s="670" t="s">
        <v>1065</v>
      </c>
      <c r="H24" s="670"/>
      <c r="I24" s="670"/>
      <c r="J24" s="546"/>
    </row>
    <row r="25" spans="2:12" ht="10.5" customHeight="1" x14ac:dyDescent="0.2">
      <c r="D25" s="548"/>
      <c r="E25" s="549"/>
      <c r="F25" s="550"/>
      <c r="G25" s="551"/>
      <c r="H25" s="551"/>
      <c r="I25" s="549"/>
      <c r="J25" s="549"/>
      <c r="K25" s="549"/>
    </row>
    <row r="26" spans="2:12" ht="12" customHeight="1" x14ac:dyDescent="0.2">
      <c r="B26" s="1140" t="s">
        <v>1066</v>
      </c>
      <c r="C26" s="1140"/>
      <c r="D26" s="1140"/>
      <c r="E26" s="1140"/>
      <c r="F26" s="1141"/>
      <c r="G26" s="1141"/>
      <c r="H26" s="1141"/>
      <c r="I26" s="549"/>
      <c r="J26" s="549"/>
      <c r="K26" s="549"/>
    </row>
    <row r="27" spans="2:12" ht="18.75" customHeight="1" x14ac:dyDescent="0.2">
      <c r="B27" s="1140"/>
      <c r="C27" s="1140"/>
      <c r="D27" s="1140"/>
      <c r="E27" s="1140"/>
      <c r="F27" s="1141"/>
      <c r="G27" s="1141"/>
      <c r="H27" s="1141"/>
      <c r="I27" s="549"/>
      <c r="J27" s="549"/>
      <c r="K27" s="549"/>
    </row>
    <row r="28" spans="2:12" ht="16.5" customHeight="1" x14ac:dyDescent="0.2">
      <c r="B28" s="1115" t="s">
        <v>1067</v>
      </c>
      <c r="C28" s="1115"/>
      <c r="D28" s="1115"/>
      <c r="E28" s="1115"/>
      <c r="F28" s="1115"/>
      <c r="G28" s="551"/>
      <c r="H28" s="551"/>
      <c r="I28" s="549"/>
      <c r="J28" s="549"/>
      <c r="K28" s="549"/>
    </row>
    <row r="29" spans="2:12" ht="15.75" customHeight="1" x14ac:dyDescent="0.2">
      <c r="B29" s="553" t="s">
        <v>1068</v>
      </c>
      <c r="C29" s="666" t="s">
        <v>1069</v>
      </c>
      <c r="D29" s="666"/>
      <c r="E29" s="666"/>
      <c r="F29" s="545" t="s">
        <v>1062</v>
      </c>
      <c r="G29" s="554" t="s">
        <v>1070</v>
      </c>
      <c r="J29" s="549"/>
      <c r="K29" s="549"/>
    </row>
    <row r="30" spans="2:12" ht="6" customHeight="1" x14ac:dyDescent="0.2">
      <c r="D30" s="665"/>
      <c r="E30" s="665"/>
      <c r="F30" s="665"/>
      <c r="G30" s="665"/>
      <c r="H30" s="555"/>
      <c r="I30" s="549"/>
      <c r="J30" s="549"/>
      <c r="K30" s="549"/>
    </row>
    <row r="31" spans="2:12" ht="15" customHeight="1" x14ac:dyDescent="0.2">
      <c r="B31" s="547" t="s">
        <v>1064</v>
      </c>
      <c r="C31" s="666" t="s">
        <v>1071</v>
      </c>
      <c r="D31" s="666"/>
      <c r="E31" s="666"/>
      <c r="F31" s="545" t="s">
        <v>1062</v>
      </c>
      <c r="G31" s="666" t="s">
        <v>1072</v>
      </c>
      <c r="H31" s="666"/>
      <c r="K31" s="549"/>
    </row>
    <row r="32" spans="2:12" ht="8.25" customHeight="1" x14ac:dyDescent="0.2">
      <c r="D32" s="548"/>
      <c r="E32" s="549"/>
      <c r="F32" s="550"/>
      <c r="G32" s="551"/>
      <c r="H32" s="551"/>
      <c r="I32" s="549"/>
      <c r="J32" s="549"/>
      <c r="K32" s="549"/>
    </row>
    <row r="33" spans="1:12" ht="14.25" customHeight="1" x14ac:dyDescent="0.2">
      <c r="B33" s="643" t="s">
        <v>1073</v>
      </c>
      <c r="C33" s="643"/>
      <c r="D33" s="556">
        <v>45739</v>
      </c>
      <c r="E33" s="557" t="s">
        <v>1074</v>
      </c>
      <c r="F33" s="643" t="s">
        <v>1075</v>
      </c>
      <c r="G33" s="643"/>
      <c r="H33" s="558" t="s">
        <v>1107</v>
      </c>
      <c r="I33" s="668" t="s">
        <v>1108</v>
      </c>
      <c r="J33" s="668"/>
    </row>
    <row r="34" spans="1:12" ht="9" customHeight="1" x14ac:dyDescent="0.2">
      <c r="D34" s="548"/>
      <c r="E34" s="549"/>
      <c r="F34" s="550"/>
      <c r="G34" s="551"/>
      <c r="H34" s="663" t="s">
        <v>1076</v>
      </c>
      <c r="I34" s="663"/>
      <c r="J34" s="559"/>
      <c r="K34" s="549"/>
    </row>
    <row r="35" spans="1:12" ht="6" customHeight="1" x14ac:dyDescent="0.2">
      <c r="D35" s="560"/>
      <c r="E35" s="549"/>
      <c r="F35" s="550"/>
      <c r="G35" s="561"/>
      <c r="H35" s="550"/>
      <c r="I35" s="549"/>
      <c r="J35" s="549"/>
      <c r="K35" s="562"/>
    </row>
    <row r="36" spans="1:12" ht="14.25" customHeight="1" x14ac:dyDescent="0.2">
      <c r="A36" s="1144" t="s">
        <v>1077</v>
      </c>
      <c r="B36" s="1144"/>
      <c r="C36" s="1144"/>
      <c r="D36" s="1142" t="s">
        <v>1078</v>
      </c>
      <c r="E36" s="1142"/>
      <c r="F36" s="1142"/>
      <c r="G36" s="1142"/>
      <c r="H36" s="1142"/>
      <c r="I36" s="1142"/>
      <c r="J36" s="1142"/>
    </row>
    <row r="37" spans="1:12" ht="14.25" customHeight="1" x14ac:dyDescent="0.2">
      <c r="D37" s="1142"/>
      <c r="E37" s="1142"/>
      <c r="F37" s="1142"/>
      <c r="G37" s="1142"/>
      <c r="H37" s="1142"/>
      <c r="I37" s="1142"/>
      <c r="J37" s="1142"/>
    </row>
    <row r="38" spans="1:12" ht="14.25" customHeight="1" x14ac:dyDescent="0.2">
      <c r="D38" s="1142"/>
      <c r="E38" s="1142"/>
      <c r="F38" s="1142"/>
      <c r="G38" s="1142"/>
      <c r="H38" s="1142"/>
      <c r="I38" s="1142"/>
      <c r="J38" s="1142"/>
    </row>
    <row r="39" spans="1:12" ht="6" customHeight="1" x14ac:dyDescent="0.2">
      <c r="D39" s="1143"/>
      <c r="E39" s="1143"/>
      <c r="F39" s="1143"/>
      <c r="G39" s="1143"/>
      <c r="H39" s="1143"/>
      <c r="I39" s="1143"/>
      <c r="J39" s="1143"/>
    </row>
    <row r="40" spans="1:12" ht="5.25" customHeight="1" x14ac:dyDescent="0.2">
      <c r="D40" s="560"/>
      <c r="E40" s="549"/>
      <c r="F40" s="563"/>
      <c r="G40" s="564"/>
      <c r="H40" s="564"/>
      <c r="I40" s="549"/>
      <c r="J40" s="549"/>
      <c r="K40" s="562"/>
    </row>
    <row r="41" spans="1:12" ht="12.75" customHeight="1" x14ac:dyDescent="0.2">
      <c r="B41" s="643" t="s">
        <v>1079</v>
      </c>
      <c r="C41" s="643"/>
      <c r="D41" s="1145" t="s">
        <v>891</v>
      </c>
      <c r="E41" s="1145"/>
      <c r="F41" s="1145"/>
      <c r="G41" s="1145"/>
      <c r="H41" s="1145"/>
      <c r="I41" s="1145"/>
      <c r="J41" s="1145"/>
    </row>
    <row r="42" spans="1:12" ht="6.75" customHeight="1" x14ac:dyDescent="0.2">
      <c r="D42" s="560"/>
      <c r="E42" s="549"/>
      <c r="F42" s="550"/>
      <c r="G42" s="551"/>
      <c r="H42" s="551"/>
      <c r="I42" s="549"/>
      <c r="J42" s="549"/>
      <c r="K42" s="562"/>
    </row>
    <row r="43" spans="1:12" ht="14.25" customHeight="1" x14ac:dyDescent="0.25">
      <c r="A43" s="643" t="s">
        <v>1080</v>
      </c>
      <c r="B43" s="643"/>
      <c r="C43" s="643"/>
      <c r="D43" s="1146"/>
      <c r="E43" s="1146"/>
      <c r="F43" s="1146"/>
      <c r="G43" s="1146"/>
      <c r="H43" s="1146"/>
      <c r="I43" s="1146"/>
      <c r="J43" s="1146"/>
      <c r="K43" s="551"/>
      <c r="L43" s="551"/>
    </row>
    <row r="44" spans="1:12" ht="6.75" customHeight="1" x14ac:dyDescent="0.2">
      <c r="D44" s="529"/>
      <c r="E44" s="530"/>
      <c r="F44" s="530"/>
      <c r="G44" s="530"/>
      <c r="H44" s="530"/>
      <c r="I44" s="530"/>
      <c r="J44" s="530"/>
      <c r="K44" s="530"/>
    </row>
    <row r="45" spans="1:12" ht="23.25" customHeight="1" x14ac:dyDescent="0.2">
      <c r="A45" s="660" t="s">
        <v>1105</v>
      </c>
      <c r="B45" s="660" t="s">
        <v>1106</v>
      </c>
      <c r="C45" s="660" t="s">
        <v>1081</v>
      </c>
      <c r="D45" s="662" t="s">
        <v>796</v>
      </c>
      <c r="E45" s="648" t="s">
        <v>1082</v>
      </c>
      <c r="F45" s="648"/>
      <c r="G45" s="648" t="s">
        <v>1083</v>
      </c>
      <c r="H45" s="648" t="s">
        <v>1084</v>
      </c>
      <c r="I45" s="648"/>
      <c r="J45" s="648" t="s">
        <v>1085</v>
      </c>
      <c r="K45" s="648"/>
      <c r="L45" s="648"/>
    </row>
    <row r="46" spans="1:12" ht="23.25" customHeight="1" x14ac:dyDescent="0.2">
      <c r="A46" s="660"/>
      <c r="B46" s="660"/>
      <c r="C46" s="660"/>
      <c r="D46" s="662"/>
      <c r="E46" s="648"/>
      <c r="F46" s="648"/>
      <c r="G46" s="648"/>
      <c r="H46" s="648"/>
      <c r="I46" s="648"/>
      <c r="J46" s="648"/>
      <c r="K46" s="648"/>
      <c r="L46" s="648"/>
    </row>
    <row r="47" spans="1:12" ht="23.25" customHeight="1" x14ac:dyDescent="0.2">
      <c r="A47" s="660"/>
      <c r="B47" s="660"/>
      <c r="C47" s="661"/>
      <c r="D47" s="662"/>
      <c r="E47" s="648"/>
      <c r="F47" s="648"/>
      <c r="G47" s="648"/>
      <c r="H47" s="648"/>
      <c r="I47" s="648"/>
      <c r="J47" s="648"/>
      <c r="K47" s="648"/>
      <c r="L47" s="648"/>
    </row>
    <row r="48" spans="1:12" ht="14.25" customHeight="1" x14ac:dyDescent="0.2">
      <c r="A48" s="566">
        <v>1</v>
      </c>
      <c r="B48" s="181" t="s">
        <v>1109</v>
      </c>
      <c r="C48" s="225" t="s">
        <v>43</v>
      </c>
      <c r="D48" s="566" t="s">
        <v>40</v>
      </c>
      <c r="E48" s="649" t="s">
        <v>25</v>
      </c>
      <c r="F48" s="650"/>
      <c r="G48" s="567" t="s">
        <v>1086</v>
      </c>
      <c r="H48" s="648" t="s">
        <v>1087</v>
      </c>
      <c r="I48" s="648"/>
      <c r="J48" s="651" t="s">
        <v>1088</v>
      </c>
      <c r="K48" s="652"/>
      <c r="L48" s="653"/>
    </row>
    <row r="49" spans="1:12" ht="14.25" customHeight="1" x14ac:dyDescent="0.2">
      <c r="A49" s="566">
        <v>2</v>
      </c>
      <c r="B49" s="181" t="s">
        <v>1110</v>
      </c>
      <c r="C49" s="565" t="s">
        <v>45</v>
      </c>
      <c r="D49" s="566" t="s">
        <v>40</v>
      </c>
      <c r="E49" s="642" t="s">
        <v>25</v>
      </c>
      <c r="F49" s="642"/>
      <c r="G49" s="567" t="s">
        <v>1086</v>
      </c>
      <c r="H49" s="648"/>
      <c r="I49" s="648"/>
      <c r="J49" s="654"/>
      <c r="K49" s="655"/>
      <c r="L49" s="656"/>
    </row>
    <row r="50" spans="1:12" ht="14.25" customHeight="1" x14ac:dyDescent="0.2">
      <c r="A50" s="566">
        <v>3</v>
      </c>
      <c r="B50" s="181" t="s">
        <v>1111</v>
      </c>
      <c r="C50" s="565" t="s">
        <v>47</v>
      </c>
      <c r="D50" s="566" t="s">
        <v>40</v>
      </c>
      <c r="E50" s="642" t="s">
        <v>25</v>
      </c>
      <c r="F50" s="642"/>
      <c r="G50" s="567" t="s">
        <v>1086</v>
      </c>
      <c r="H50" s="648"/>
      <c r="I50" s="648"/>
      <c r="J50" s="654"/>
      <c r="K50" s="655"/>
      <c r="L50" s="656"/>
    </row>
    <row r="51" spans="1:12" ht="14.25" customHeight="1" x14ac:dyDescent="0.2">
      <c r="A51" s="566">
        <v>4</v>
      </c>
      <c r="B51" s="181" t="s">
        <v>697</v>
      </c>
      <c r="C51" s="565" t="s">
        <v>49</v>
      </c>
      <c r="D51" s="566" t="s">
        <v>40</v>
      </c>
      <c r="E51" s="642" t="s">
        <v>25</v>
      </c>
      <c r="F51" s="642"/>
      <c r="G51" s="567" t="s">
        <v>1086</v>
      </c>
      <c r="H51" s="648"/>
      <c r="I51" s="648"/>
      <c r="J51" s="654"/>
      <c r="K51" s="655"/>
      <c r="L51" s="656"/>
    </row>
    <row r="52" spans="1:12" ht="14.25" customHeight="1" x14ac:dyDescent="0.2">
      <c r="A52" s="566">
        <v>5</v>
      </c>
      <c r="B52" s="181" t="s">
        <v>698</v>
      </c>
      <c r="C52" s="565" t="s">
        <v>646</v>
      </c>
      <c r="D52" s="566" t="s">
        <v>40</v>
      </c>
      <c r="E52" s="642" t="s">
        <v>25</v>
      </c>
      <c r="F52" s="642"/>
      <c r="G52" s="567" t="s">
        <v>1086</v>
      </c>
      <c r="H52" s="648"/>
      <c r="I52" s="648"/>
      <c r="J52" s="654"/>
      <c r="K52" s="655"/>
      <c r="L52" s="656"/>
    </row>
    <row r="53" spans="1:12" ht="14.25" customHeight="1" x14ac:dyDescent="0.2">
      <c r="A53" s="566">
        <v>6</v>
      </c>
      <c r="B53" s="181" t="s">
        <v>699</v>
      </c>
      <c r="C53" s="565" t="s">
        <v>648</v>
      </c>
      <c r="D53" s="566" t="s">
        <v>40</v>
      </c>
      <c r="E53" s="642" t="s">
        <v>25</v>
      </c>
      <c r="F53" s="642"/>
      <c r="G53" s="567" t="s">
        <v>1086</v>
      </c>
      <c r="H53" s="648"/>
      <c r="I53" s="648"/>
      <c r="J53" s="654"/>
      <c r="K53" s="655"/>
      <c r="L53" s="656"/>
    </row>
    <row r="54" spans="1:12" ht="14.25" customHeight="1" x14ac:dyDescent="0.2">
      <c r="A54" s="566">
        <v>7</v>
      </c>
      <c r="B54" s="181" t="s">
        <v>700</v>
      </c>
      <c r="C54" s="565" t="s">
        <v>649</v>
      </c>
      <c r="D54" s="566" t="s">
        <v>40</v>
      </c>
      <c r="E54" s="642" t="s">
        <v>25</v>
      </c>
      <c r="F54" s="642"/>
      <c r="G54" s="567" t="s">
        <v>1086</v>
      </c>
      <c r="H54" s="648"/>
      <c r="I54" s="648"/>
      <c r="J54" s="654"/>
      <c r="K54" s="655"/>
      <c r="L54" s="656"/>
    </row>
    <row r="55" spans="1:12" ht="14.25" customHeight="1" x14ac:dyDescent="0.2">
      <c r="A55" s="566">
        <v>8</v>
      </c>
      <c r="B55" s="181" t="s">
        <v>701</v>
      </c>
      <c r="C55" s="565" t="s">
        <v>650</v>
      </c>
      <c r="D55" s="566" t="s">
        <v>40</v>
      </c>
      <c r="E55" s="642" t="s">
        <v>25</v>
      </c>
      <c r="F55" s="642"/>
      <c r="G55" s="567" t="s">
        <v>1086</v>
      </c>
      <c r="H55" s="648"/>
      <c r="I55" s="648"/>
      <c r="J55" s="654"/>
      <c r="K55" s="655"/>
      <c r="L55" s="656"/>
    </row>
    <row r="56" spans="1:12" ht="14.25" customHeight="1" x14ac:dyDescent="0.2">
      <c r="A56" s="566">
        <v>9</v>
      </c>
      <c r="B56" s="181" t="s">
        <v>702</v>
      </c>
      <c r="C56" s="565" t="s">
        <v>651</v>
      </c>
      <c r="D56" s="566" t="s">
        <v>40</v>
      </c>
      <c r="E56" s="642" t="s">
        <v>25</v>
      </c>
      <c r="F56" s="642"/>
      <c r="G56" s="567" t="s">
        <v>1086</v>
      </c>
      <c r="H56" s="648"/>
      <c r="I56" s="648"/>
      <c r="J56" s="654"/>
      <c r="K56" s="655"/>
      <c r="L56" s="656"/>
    </row>
    <row r="57" spans="1:12" ht="14.25" customHeight="1" x14ac:dyDescent="0.2">
      <c r="A57" s="566">
        <v>10</v>
      </c>
      <c r="B57" s="181" t="s">
        <v>703</v>
      </c>
      <c r="C57" s="565" t="s">
        <v>652</v>
      </c>
      <c r="D57" s="566" t="s">
        <v>40</v>
      </c>
      <c r="E57" s="642" t="s">
        <v>25</v>
      </c>
      <c r="F57" s="642"/>
      <c r="G57" s="567" t="s">
        <v>1086</v>
      </c>
      <c r="H57" s="648"/>
      <c r="I57" s="648"/>
      <c r="J57" s="654"/>
      <c r="K57" s="655"/>
      <c r="L57" s="656"/>
    </row>
    <row r="58" spans="1:12" x14ac:dyDescent="0.2">
      <c r="A58" s="566">
        <v>11</v>
      </c>
      <c r="B58" s="181" t="s">
        <v>1112</v>
      </c>
      <c r="C58" s="565" t="s">
        <v>43</v>
      </c>
      <c r="D58" s="566" t="s">
        <v>786</v>
      </c>
      <c r="E58" s="642" t="s">
        <v>25</v>
      </c>
      <c r="F58" s="642"/>
      <c r="G58" s="567" t="s">
        <v>1086</v>
      </c>
      <c r="H58" s="648" t="s">
        <v>1089</v>
      </c>
      <c r="I58" s="648"/>
      <c r="J58" s="654"/>
      <c r="K58" s="655"/>
      <c r="L58" s="656"/>
    </row>
    <row r="59" spans="1:12" x14ac:dyDescent="0.2">
      <c r="A59" s="566">
        <v>12</v>
      </c>
      <c r="B59" s="181" t="s">
        <v>1113</v>
      </c>
      <c r="C59" s="565" t="s">
        <v>45</v>
      </c>
      <c r="D59" s="566" t="s">
        <v>786</v>
      </c>
      <c r="E59" s="642" t="s">
        <v>25</v>
      </c>
      <c r="F59" s="642"/>
      <c r="G59" s="567" t="s">
        <v>1086</v>
      </c>
      <c r="H59" s="648"/>
      <c r="I59" s="648"/>
      <c r="J59" s="654"/>
      <c r="K59" s="655"/>
      <c r="L59" s="656"/>
    </row>
    <row r="60" spans="1:12" x14ac:dyDescent="0.2">
      <c r="A60" s="566">
        <v>13</v>
      </c>
      <c r="B60" s="181" t="s">
        <v>1114</v>
      </c>
      <c r="C60" s="565" t="s">
        <v>47</v>
      </c>
      <c r="D60" s="566" t="s">
        <v>786</v>
      </c>
      <c r="E60" s="642" t="s">
        <v>25</v>
      </c>
      <c r="F60" s="642"/>
      <c r="G60" s="567" t="s">
        <v>1086</v>
      </c>
      <c r="H60" s="648"/>
      <c r="I60" s="648"/>
      <c r="J60" s="654"/>
      <c r="K60" s="655"/>
      <c r="L60" s="656"/>
    </row>
    <row r="61" spans="1:12" ht="12.75" customHeight="1" x14ac:dyDescent="0.2">
      <c r="A61" s="566">
        <v>14</v>
      </c>
      <c r="B61" s="181" t="s">
        <v>778</v>
      </c>
      <c r="C61" s="565" t="s">
        <v>49</v>
      </c>
      <c r="D61" s="566" t="s">
        <v>786</v>
      </c>
      <c r="E61" s="642" t="s">
        <v>25</v>
      </c>
      <c r="F61" s="642"/>
      <c r="G61" s="567" t="s">
        <v>1086</v>
      </c>
      <c r="H61" s="648"/>
      <c r="I61" s="648"/>
      <c r="J61" s="654"/>
      <c r="K61" s="655"/>
      <c r="L61" s="656"/>
    </row>
    <row r="62" spans="1:12" x14ac:dyDescent="0.2">
      <c r="A62" s="566">
        <v>15</v>
      </c>
      <c r="B62" s="181" t="s">
        <v>779</v>
      </c>
      <c r="C62" s="565" t="s">
        <v>646</v>
      </c>
      <c r="D62" s="566" t="s">
        <v>786</v>
      </c>
      <c r="E62" s="642" t="s">
        <v>25</v>
      </c>
      <c r="F62" s="642"/>
      <c r="G62" s="567" t="s">
        <v>1086</v>
      </c>
      <c r="H62" s="648"/>
      <c r="I62" s="648"/>
      <c r="J62" s="654"/>
      <c r="K62" s="655"/>
      <c r="L62" s="656"/>
    </row>
    <row r="63" spans="1:12" x14ac:dyDescent="0.2">
      <c r="A63" s="566">
        <v>16</v>
      </c>
      <c r="B63" s="181" t="s">
        <v>780</v>
      </c>
      <c r="C63" s="565" t="s">
        <v>648</v>
      </c>
      <c r="D63" s="566" t="s">
        <v>786</v>
      </c>
      <c r="E63" s="642" t="s">
        <v>25</v>
      </c>
      <c r="F63" s="642"/>
      <c r="G63" s="567" t="s">
        <v>1086</v>
      </c>
      <c r="H63" s="648"/>
      <c r="I63" s="648"/>
      <c r="J63" s="654"/>
      <c r="K63" s="655"/>
      <c r="L63" s="656"/>
    </row>
    <row r="64" spans="1:12" x14ac:dyDescent="0.2">
      <c r="A64" s="566">
        <v>17</v>
      </c>
      <c r="B64" s="181" t="s">
        <v>781</v>
      </c>
      <c r="C64" s="565" t="s">
        <v>649</v>
      </c>
      <c r="D64" s="566" t="s">
        <v>786</v>
      </c>
      <c r="E64" s="642" t="s">
        <v>25</v>
      </c>
      <c r="F64" s="642"/>
      <c r="G64" s="567" t="s">
        <v>1086</v>
      </c>
      <c r="H64" s="648"/>
      <c r="I64" s="648"/>
      <c r="J64" s="654"/>
      <c r="K64" s="655"/>
      <c r="L64" s="656"/>
    </row>
    <row r="65" spans="1:12" x14ac:dyDescent="0.2">
      <c r="A65" s="566">
        <v>18</v>
      </c>
      <c r="B65" s="181" t="s">
        <v>782</v>
      </c>
      <c r="C65" s="565" t="s">
        <v>650</v>
      </c>
      <c r="D65" s="566" t="s">
        <v>786</v>
      </c>
      <c r="E65" s="642" t="s">
        <v>25</v>
      </c>
      <c r="F65" s="642"/>
      <c r="G65" s="567" t="s">
        <v>1086</v>
      </c>
      <c r="H65" s="648"/>
      <c r="I65" s="648"/>
      <c r="J65" s="654"/>
      <c r="K65" s="655"/>
      <c r="L65" s="656"/>
    </row>
    <row r="66" spans="1:12" x14ac:dyDescent="0.2">
      <c r="A66" s="566">
        <v>19</v>
      </c>
      <c r="B66" s="181" t="s">
        <v>783</v>
      </c>
      <c r="C66" s="565" t="s">
        <v>651</v>
      </c>
      <c r="D66" s="566" t="s">
        <v>786</v>
      </c>
      <c r="E66" s="642" t="s">
        <v>25</v>
      </c>
      <c r="F66" s="642"/>
      <c r="G66" s="567" t="s">
        <v>1086</v>
      </c>
      <c r="H66" s="648"/>
      <c r="I66" s="648"/>
      <c r="J66" s="654"/>
      <c r="K66" s="655"/>
      <c r="L66" s="656"/>
    </row>
    <row r="67" spans="1:12" x14ac:dyDescent="0.2">
      <c r="A67" s="566">
        <v>20</v>
      </c>
      <c r="B67" s="181" t="s">
        <v>784</v>
      </c>
      <c r="C67" s="565" t="s">
        <v>652</v>
      </c>
      <c r="D67" s="566" t="s">
        <v>786</v>
      </c>
      <c r="E67" s="642" t="s">
        <v>25</v>
      </c>
      <c r="F67" s="642"/>
      <c r="G67" s="567" t="s">
        <v>1086</v>
      </c>
      <c r="H67" s="648"/>
      <c r="I67" s="648"/>
      <c r="J67" s="657"/>
      <c r="K67" s="658"/>
      <c r="L67" s="659"/>
    </row>
    <row r="68" spans="1:12" ht="7.5" customHeight="1" x14ac:dyDescent="0.2"/>
    <row r="69" spans="1:12" ht="14.25" x14ac:dyDescent="0.2">
      <c r="C69" s="643" t="s">
        <v>1090</v>
      </c>
      <c r="D69" s="643"/>
      <c r="E69" s="643"/>
      <c r="F69" s="643"/>
      <c r="G69" s="569">
        <f>D33</f>
        <v>45739</v>
      </c>
      <c r="H69" s="570" t="s">
        <v>1074</v>
      </c>
    </row>
    <row r="70" spans="1:12" ht="14.25" customHeight="1" x14ac:dyDescent="0.2">
      <c r="C70" s="644" t="s">
        <v>1091</v>
      </c>
      <c r="D70" s="644"/>
      <c r="E70" s="644"/>
    </row>
    <row r="71" spans="1:12" ht="3.75" customHeight="1" x14ac:dyDescent="0.2">
      <c r="C71" s="571"/>
      <c r="D71" s="571"/>
      <c r="E71" s="571"/>
    </row>
    <row r="72" spans="1:12" ht="20.25" customHeight="1" x14ac:dyDescent="0.2">
      <c r="C72" s="645" t="s">
        <v>1092</v>
      </c>
      <c r="D72" s="646" t="s">
        <v>1093</v>
      </c>
      <c r="E72" s="646"/>
      <c r="F72" s="646"/>
      <c r="G72" s="646"/>
      <c r="H72" s="646"/>
      <c r="I72" s="646"/>
      <c r="J72" s="646"/>
      <c r="K72" s="646"/>
      <c r="L72" s="646"/>
    </row>
    <row r="73" spans="1:12" ht="15" customHeight="1" x14ac:dyDescent="0.2">
      <c r="C73" s="645"/>
      <c r="D73" s="647" t="s">
        <v>1094</v>
      </c>
      <c r="E73" s="647"/>
      <c r="F73" s="647"/>
      <c r="G73" s="647"/>
      <c r="H73" s="647"/>
      <c r="I73" s="647"/>
      <c r="J73" s="647"/>
      <c r="K73" s="647"/>
      <c r="L73" s="647"/>
    </row>
    <row r="74" spans="1:12" ht="5.25" customHeight="1" x14ac:dyDescent="0.2">
      <c r="C74" s="571"/>
      <c r="D74" s="571"/>
      <c r="E74" s="571"/>
    </row>
    <row r="75" spans="1:12" ht="5.25" customHeight="1" x14ac:dyDescent="0.2"/>
    <row r="76" spans="1:12" ht="12.75" customHeight="1" x14ac:dyDescent="0.2">
      <c r="B76" s="1148" t="s">
        <v>1095</v>
      </c>
      <c r="C76" s="1148"/>
      <c r="D76" s="1148"/>
      <c r="E76" s="1148"/>
    </row>
    <row r="77" spans="1:12" x14ac:dyDescent="0.2">
      <c r="B77" s="1148"/>
      <c r="C77" s="1148"/>
      <c r="D77" s="1148"/>
      <c r="E77" s="1148"/>
      <c r="F77" s="640"/>
      <c r="G77" s="640"/>
      <c r="I77" s="640"/>
      <c r="J77" s="640"/>
      <c r="K77" s="640"/>
    </row>
    <row r="78" spans="1:12" x14ac:dyDescent="0.2">
      <c r="B78" s="1147"/>
      <c r="C78" s="1147"/>
      <c r="D78" s="1147"/>
      <c r="E78" s="1147"/>
      <c r="F78" s="641" t="s">
        <v>1096</v>
      </c>
      <c r="G78" s="641"/>
      <c r="I78" s="641" t="s">
        <v>1097</v>
      </c>
      <c r="J78" s="641"/>
      <c r="K78" s="641"/>
    </row>
  </sheetData>
  <mergeCells count="72">
    <mergeCell ref="B33:C33"/>
    <mergeCell ref="F33:G33"/>
    <mergeCell ref="D9:H9"/>
    <mergeCell ref="B76:E77"/>
    <mergeCell ref="D41:J41"/>
    <mergeCell ref="B41:C41"/>
    <mergeCell ref="A43:C43"/>
    <mergeCell ref="D43:J43"/>
    <mergeCell ref="H34:I34"/>
    <mergeCell ref="B13:F13"/>
    <mergeCell ref="C18:I18"/>
    <mergeCell ref="D19:K19"/>
    <mergeCell ref="B20:D20"/>
    <mergeCell ref="E20:K20"/>
    <mergeCell ref="A45:A47"/>
    <mergeCell ref="B45:B47"/>
    <mergeCell ref="B2:D2"/>
    <mergeCell ref="B3:D3"/>
    <mergeCell ref="B6:D6"/>
    <mergeCell ref="B22:K23"/>
    <mergeCell ref="G24:I24"/>
    <mergeCell ref="C24:E24"/>
    <mergeCell ref="B26:E27"/>
    <mergeCell ref="B28:F28"/>
    <mergeCell ref="C29:E29"/>
    <mergeCell ref="C31:E31"/>
    <mergeCell ref="D36:J39"/>
    <mergeCell ref="A36:C36"/>
    <mergeCell ref="F14:G14"/>
    <mergeCell ref="F15:G15"/>
    <mergeCell ref="F16:I16"/>
    <mergeCell ref="I33:J33"/>
    <mergeCell ref="D30:G30"/>
    <mergeCell ref="G31:H31"/>
    <mergeCell ref="J45:L47"/>
    <mergeCell ref="C45:C47"/>
    <mergeCell ref="D45:D47"/>
    <mergeCell ref="E45:F47"/>
    <mergeCell ref="G45:G47"/>
    <mergeCell ref="H45:I47"/>
    <mergeCell ref="E48:F48"/>
    <mergeCell ref="H48:I57"/>
    <mergeCell ref="J48:L67"/>
    <mergeCell ref="E49:F49"/>
    <mergeCell ref="E50:F50"/>
    <mergeCell ref="E51:F51"/>
    <mergeCell ref="E52:F52"/>
    <mergeCell ref="E53:F53"/>
    <mergeCell ref="E54:F54"/>
    <mergeCell ref="E55:F55"/>
    <mergeCell ref="C72:C73"/>
    <mergeCell ref="D72:L72"/>
    <mergeCell ref="D73:L73"/>
    <mergeCell ref="E56:F56"/>
    <mergeCell ref="E57:F57"/>
    <mergeCell ref="E58:F58"/>
    <mergeCell ref="H58:I67"/>
    <mergeCell ref="E59:F59"/>
    <mergeCell ref="E60:F60"/>
    <mergeCell ref="E61:F61"/>
    <mergeCell ref="E62:F62"/>
    <mergeCell ref="E63:F63"/>
    <mergeCell ref="E64:F64"/>
    <mergeCell ref="E65:F65"/>
    <mergeCell ref="E66:F66"/>
    <mergeCell ref="E67:F67"/>
    <mergeCell ref="C69:F69"/>
    <mergeCell ref="C70:E70"/>
    <mergeCell ref="F77:G77"/>
    <mergeCell ref="I77:K77"/>
    <mergeCell ref="F78:G78"/>
    <mergeCell ref="I78:K78"/>
  </mergeCells>
  <pageMargins left="0.3543307086614173" right="0.3543307086614173" top="0.27559055118110237" bottom="0.3543307086614173" header="0.3543307086614173" footer="0.15748031496062992"/>
  <pageSetup paperSize="9" scale="84" fitToHeight="0"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pageSetUpPr fitToPage="1"/>
  </sheetPr>
  <dimension ref="A1:BM148"/>
  <sheetViews>
    <sheetView view="pageBreakPreview" zoomScale="85" zoomScaleNormal="100" zoomScaleSheetLayoutView="85" workbookViewId="0">
      <selection activeCell="J3" sqref="J3"/>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10" style="5" customWidth="1"/>
    <col min="10" max="10" width="11.140625" style="5" customWidth="1"/>
    <col min="11" max="11" width="9.7109375" style="5" customWidth="1"/>
    <col min="12" max="12" width="3.5703125" style="5" customWidth="1"/>
    <col min="13" max="13" width="12.7109375" style="5" customWidth="1"/>
    <col min="14" max="14" width="4.28515625" style="5" customWidth="1"/>
    <col min="15" max="15" width="9.140625" style="5" customWidth="1"/>
    <col min="16" max="16" width="12.28515625" style="5" customWidth="1"/>
    <col min="17" max="18" width="13.7109375" style="5" customWidth="1"/>
    <col min="19" max="19" width="12.7109375" style="5" customWidth="1"/>
    <col min="20" max="29" width="8" style="5"/>
    <col min="30" max="30" width="3.28515625" style="5" customWidth="1"/>
    <col min="31" max="31" width="13" style="5" customWidth="1"/>
    <col min="32" max="16384" width="8" style="5"/>
  </cols>
  <sheetData>
    <row r="1" spans="1:30" ht="71.25" customHeight="1" x14ac:dyDescent="0.2">
      <c r="A1" s="769"/>
      <c r="B1" s="769"/>
      <c r="C1" s="768" t="s">
        <v>1038</v>
      </c>
      <c r="D1" s="768"/>
      <c r="E1" s="768"/>
      <c r="F1" s="768"/>
      <c r="G1" s="768"/>
      <c r="H1" s="768"/>
      <c r="I1" s="768"/>
      <c r="J1" s="768"/>
      <c r="K1" s="768"/>
      <c r="L1" s="768"/>
      <c r="M1" s="768"/>
      <c r="N1" s="768"/>
      <c r="O1" s="768"/>
      <c r="P1" s="768"/>
      <c r="Q1" s="768"/>
      <c r="R1" s="768"/>
      <c r="S1" s="397"/>
    </row>
    <row r="2" spans="1:30" ht="15" customHeight="1" x14ac:dyDescent="0.2">
      <c r="A2" s="1"/>
      <c r="B2" s="1"/>
      <c r="C2" s="1"/>
      <c r="D2" s="1"/>
      <c r="E2" s="2"/>
      <c r="F2" s="2"/>
      <c r="G2" s="3"/>
      <c r="H2" s="3"/>
      <c r="I2" s="3" t="s">
        <v>11</v>
      </c>
      <c r="J2" s="681" t="s">
        <v>1043</v>
      </c>
      <c r="K2" s="681"/>
      <c r="L2" s="681"/>
      <c r="M2" s="4"/>
      <c r="N2" s="4"/>
      <c r="O2" s="4"/>
      <c r="P2" s="4"/>
      <c r="Q2" s="1"/>
      <c r="R2" s="1"/>
      <c r="S2" s="1"/>
    </row>
    <row r="3" spans="1:30" ht="15" customHeight="1" x14ac:dyDescent="0.2">
      <c r="A3" s="1"/>
      <c r="B3" s="1"/>
      <c r="C3" s="1"/>
      <c r="D3" s="1"/>
      <c r="E3" s="1"/>
      <c r="F3" s="1"/>
      <c r="G3" s="1"/>
      <c r="H3" s="1"/>
      <c r="I3" s="1"/>
      <c r="L3" s="1"/>
      <c r="M3" s="1"/>
      <c r="N3" s="1"/>
      <c r="O3" s="1"/>
      <c r="P3" s="1"/>
      <c r="Q3" s="1"/>
      <c r="R3" s="1"/>
      <c r="S3" s="1"/>
    </row>
    <row r="4" spans="1:30" ht="24.95" customHeight="1" x14ac:dyDescent="0.2">
      <c r="A4" s="788" t="s">
        <v>12</v>
      </c>
      <c r="B4" s="789"/>
      <c r="C4" s="789"/>
      <c r="D4" s="790"/>
      <c r="E4" s="791">
        <v>45739</v>
      </c>
      <c r="F4" s="791"/>
      <c r="G4" s="791"/>
      <c r="H4" s="791"/>
      <c r="I4" s="791"/>
      <c r="J4" s="791"/>
      <c r="K4" s="791"/>
      <c r="L4" s="791"/>
      <c r="M4" s="791"/>
      <c r="N4" s="791"/>
      <c r="O4" s="791"/>
      <c r="P4" s="791"/>
      <c r="Q4" s="791"/>
      <c r="R4" s="791"/>
      <c r="S4" s="403"/>
    </row>
    <row r="5" spans="1:30" ht="44.45" customHeight="1" x14ac:dyDescent="0.2">
      <c r="A5" s="792" t="s">
        <v>967</v>
      </c>
      <c r="B5" s="793"/>
      <c r="C5" s="793"/>
      <c r="D5" s="794"/>
      <c r="E5" s="784" t="s">
        <v>966</v>
      </c>
      <c r="F5" s="784"/>
      <c r="G5" s="784"/>
      <c r="H5" s="784"/>
      <c r="I5" s="784"/>
      <c r="J5" s="784"/>
      <c r="K5" s="784"/>
      <c r="L5" s="784"/>
      <c r="M5" s="784"/>
      <c r="N5" s="784"/>
      <c r="O5" s="784"/>
      <c r="P5" s="784"/>
      <c r="Q5" s="784"/>
      <c r="R5" s="784"/>
      <c r="S5" s="404"/>
    </row>
    <row r="6" spans="1:30" ht="27.75" customHeight="1" x14ac:dyDescent="0.2">
      <c r="A6" s="778" t="s">
        <v>791</v>
      </c>
      <c r="B6" s="779"/>
      <c r="C6" s="779"/>
      <c r="D6" s="780"/>
      <c r="E6" s="784" t="s">
        <v>1033</v>
      </c>
      <c r="F6" s="784"/>
      <c r="G6" s="784"/>
      <c r="H6" s="784"/>
      <c r="I6" s="784"/>
      <c r="J6" s="784"/>
      <c r="K6" s="784"/>
      <c r="L6" s="784"/>
      <c r="M6" s="784"/>
      <c r="N6" s="784"/>
      <c r="O6" s="784"/>
      <c r="P6" s="784"/>
      <c r="Q6" s="784"/>
      <c r="R6" s="784"/>
      <c r="S6" s="404"/>
    </row>
    <row r="7" spans="1:30" ht="24.95" customHeight="1" x14ac:dyDescent="0.2">
      <c r="A7" s="778" t="s">
        <v>792</v>
      </c>
      <c r="B7" s="779"/>
      <c r="C7" s="779"/>
      <c r="D7" s="780"/>
      <c r="E7" s="785" t="s">
        <v>962</v>
      </c>
      <c r="F7" s="785"/>
      <c r="G7" s="785"/>
      <c r="H7" s="785"/>
      <c r="I7" s="785"/>
      <c r="J7" s="785"/>
      <c r="K7" s="785"/>
      <c r="L7" s="785"/>
      <c r="M7" s="785"/>
      <c r="N7" s="785"/>
      <c r="O7" s="785"/>
      <c r="P7" s="785"/>
      <c r="Q7" s="785"/>
      <c r="R7" s="785"/>
      <c r="S7" s="404"/>
    </row>
    <row r="8" spans="1:30" ht="45.75" customHeight="1" x14ac:dyDescent="0.2">
      <c r="A8" s="778" t="s">
        <v>793</v>
      </c>
      <c r="B8" s="779"/>
      <c r="C8" s="779"/>
      <c r="D8" s="780"/>
      <c r="E8" s="775" t="s">
        <v>1041</v>
      </c>
      <c r="F8" s="776"/>
      <c r="G8" s="776"/>
      <c r="H8" s="776"/>
      <c r="I8" s="776"/>
      <c r="J8" s="776"/>
      <c r="K8" s="776"/>
      <c r="L8" s="776"/>
      <c r="M8" s="776"/>
      <c r="N8" s="776"/>
      <c r="O8" s="776"/>
      <c r="P8" s="776"/>
      <c r="Q8" s="776"/>
      <c r="R8" s="777"/>
      <c r="S8" s="404"/>
    </row>
    <row r="9" spans="1:30" ht="24.95" customHeight="1" x14ac:dyDescent="0.2">
      <c r="A9" s="778" t="s">
        <v>14</v>
      </c>
      <c r="B9" s="779"/>
      <c r="C9" s="779"/>
      <c r="D9" s="780"/>
      <c r="E9" s="781">
        <f>E4</f>
        <v>45739</v>
      </c>
      <c r="F9" s="782"/>
      <c r="G9" s="782"/>
      <c r="H9" s="782"/>
      <c r="I9" s="782"/>
      <c r="J9" s="783"/>
      <c r="K9" s="770" t="s">
        <v>15</v>
      </c>
      <c r="L9" s="770"/>
      <c r="M9" s="770"/>
      <c r="N9" s="771" t="s">
        <v>16</v>
      </c>
      <c r="O9" s="772"/>
      <c r="P9" s="772"/>
      <c r="Q9" s="772"/>
      <c r="R9" s="773"/>
      <c r="S9" s="405"/>
    </row>
    <row r="10" spans="1:30" ht="9.75" customHeight="1" x14ac:dyDescent="0.2">
      <c r="A10" s="13"/>
      <c r="B10" s="13"/>
      <c r="C10" s="13"/>
      <c r="D10" s="13"/>
      <c r="E10" s="13"/>
      <c r="F10" s="13"/>
      <c r="G10" s="13"/>
      <c r="H10" s="13"/>
      <c r="I10" s="13"/>
      <c r="J10" s="13"/>
      <c r="K10" s="14"/>
      <c r="L10" s="13"/>
      <c r="M10" s="13"/>
      <c r="N10" s="13"/>
      <c r="O10" s="13"/>
      <c r="P10" s="13"/>
      <c r="Q10" s="13"/>
      <c r="R10" s="13"/>
      <c r="S10" s="13"/>
      <c r="U10" s="11"/>
      <c r="V10" s="11"/>
      <c r="W10" s="11"/>
      <c r="X10" s="11"/>
      <c r="Y10" s="11"/>
      <c r="Z10" s="11"/>
      <c r="AA10" s="11"/>
      <c r="AB10" s="11"/>
      <c r="AC10" s="11"/>
      <c r="AD10" s="11"/>
    </row>
    <row r="11" spans="1:30" ht="12" customHeight="1" x14ac:dyDescent="0.25">
      <c r="A11" s="795" t="s">
        <v>1032</v>
      </c>
      <c r="B11" s="795"/>
      <c r="C11" s="795"/>
      <c r="D11" s="795"/>
      <c r="E11" s="795"/>
      <c r="F11" s="795"/>
      <c r="G11" s="795"/>
      <c r="H11" s="795"/>
      <c r="I11" s="795"/>
      <c r="J11" s="795"/>
      <c r="K11" s="795"/>
      <c r="L11" s="795"/>
      <c r="M11" s="795"/>
      <c r="N11" s="795"/>
      <c r="O11" s="795"/>
      <c r="P11" s="795"/>
      <c r="Q11" s="795"/>
      <c r="R11" s="795"/>
      <c r="S11" s="406"/>
    </row>
    <row r="12" spans="1:30" customFormat="1" ht="30" customHeight="1" x14ac:dyDescent="0.2">
      <c r="A12" s="796" t="s">
        <v>27</v>
      </c>
      <c r="B12" s="796"/>
      <c r="C12" s="796"/>
      <c r="D12" s="796"/>
      <c r="E12" s="796" t="s">
        <v>28</v>
      </c>
      <c r="F12" s="796"/>
      <c r="G12" s="796"/>
      <c r="H12" s="796" t="s">
        <v>29</v>
      </c>
      <c r="I12" s="796"/>
      <c r="J12" s="796"/>
      <c r="K12" s="796"/>
      <c r="L12" s="798" t="s">
        <v>642</v>
      </c>
      <c r="M12" s="798"/>
      <c r="N12" s="798"/>
      <c r="O12" s="798"/>
      <c r="P12" s="801" t="s">
        <v>31</v>
      </c>
      <c r="Q12" s="802"/>
      <c r="R12" s="803"/>
      <c r="S12" s="13"/>
    </row>
    <row r="13" spans="1:30" customFormat="1" ht="30" customHeight="1" x14ac:dyDescent="0.2">
      <c r="A13" s="819"/>
      <c r="B13" s="819"/>
      <c r="C13" s="819"/>
      <c r="D13" s="819"/>
      <c r="E13" s="819"/>
      <c r="F13" s="819"/>
      <c r="G13" s="819"/>
      <c r="H13" s="804"/>
      <c r="I13" s="804"/>
      <c r="J13" s="804"/>
      <c r="K13" s="804"/>
      <c r="L13" s="804"/>
      <c r="M13" s="804"/>
      <c r="N13" s="804"/>
      <c r="O13" s="804"/>
      <c r="P13" s="805"/>
      <c r="Q13" s="806"/>
      <c r="R13" s="807"/>
      <c r="S13" s="407"/>
    </row>
    <row r="14" spans="1:30" ht="7.5" customHeight="1" x14ac:dyDescent="0.2">
      <c r="A14" s="15"/>
      <c r="B14" s="15"/>
      <c r="C14" s="15"/>
      <c r="D14" s="15"/>
      <c r="E14" s="16"/>
      <c r="F14" s="16"/>
      <c r="G14" s="16"/>
      <c r="H14" s="16"/>
      <c r="I14" s="16"/>
      <c r="J14" s="16"/>
      <c r="K14" s="17"/>
      <c r="L14" s="17"/>
      <c r="M14" s="17"/>
      <c r="N14" s="16"/>
      <c r="O14" s="16"/>
      <c r="P14" s="16"/>
      <c r="Q14" s="16"/>
      <c r="R14" s="16"/>
      <c r="S14" s="16"/>
      <c r="T14" s="5" t="s">
        <v>337</v>
      </c>
    </row>
    <row r="15" spans="1:30" ht="15" customHeight="1" x14ac:dyDescent="0.2">
      <c r="A15" s="808" t="s">
        <v>794</v>
      </c>
      <c r="B15" s="808"/>
      <c r="C15" s="808"/>
      <c r="D15" s="808"/>
      <c r="E15" s="808"/>
      <c r="F15" s="808"/>
      <c r="G15" s="808"/>
      <c r="H15" s="808"/>
      <c r="I15" s="808"/>
      <c r="J15" s="808"/>
      <c r="K15" s="808"/>
      <c r="L15" s="808"/>
      <c r="M15" s="808"/>
      <c r="N15" s="808"/>
      <c r="O15" s="808"/>
      <c r="P15" s="808"/>
      <c r="Q15" s="808"/>
      <c r="R15" s="808"/>
      <c r="S15" s="408"/>
    </row>
    <row r="16" spans="1:30" ht="21" customHeight="1" x14ac:dyDescent="0.2">
      <c r="A16" s="739" t="s">
        <v>7</v>
      </c>
      <c r="B16" s="740" t="s">
        <v>815</v>
      </c>
      <c r="C16" s="740"/>
      <c r="D16" s="740"/>
      <c r="E16" s="740"/>
      <c r="F16" s="740"/>
      <c r="G16" s="740"/>
      <c r="H16" s="740"/>
      <c r="I16" s="740"/>
      <c r="J16" s="741" t="s">
        <v>816</v>
      </c>
      <c r="K16" s="741"/>
      <c r="L16" s="741"/>
      <c r="M16" s="741"/>
      <c r="N16" s="741"/>
      <c r="O16" s="741"/>
      <c r="P16" s="742"/>
      <c r="Q16" s="739" t="s">
        <v>797</v>
      </c>
      <c r="R16" s="739"/>
      <c r="S16" s="402"/>
    </row>
    <row r="17" spans="1:65" ht="36" customHeight="1" x14ac:dyDescent="0.2">
      <c r="A17" s="739"/>
      <c r="B17" s="740" t="s">
        <v>796</v>
      </c>
      <c r="C17" s="740" t="s">
        <v>35</v>
      </c>
      <c r="D17" s="740"/>
      <c r="E17" s="741" t="s">
        <v>813</v>
      </c>
      <c r="F17" s="741" t="s">
        <v>814</v>
      </c>
      <c r="G17" s="741"/>
      <c r="H17" s="741" t="s">
        <v>795</v>
      </c>
      <c r="I17" s="741"/>
      <c r="J17" s="754" t="s">
        <v>796</v>
      </c>
      <c r="K17" s="743" t="s">
        <v>847</v>
      </c>
      <c r="L17" s="756"/>
      <c r="M17" s="741" t="s">
        <v>813</v>
      </c>
      <c r="N17" s="743" t="s">
        <v>814</v>
      </c>
      <c r="O17" s="744"/>
      <c r="P17" s="741" t="s">
        <v>795</v>
      </c>
      <c r="Q17" s="739"/>
      <c r="R17" s="739"/>
      <c r="S17" s="402"/>
    </row>
    <row r="18" spans="1:65" ht="57" customHeight="1" x14ac:dyDescent="0.2">
      <c r="A18" s="739"/>
      <c r="B18" s="740"/>
      <c r="C18" s="740"/>
      <c r="D18" s="740"/>
      <c r="E18" s="741"/>
      <c r="F18" s="741"/>
      <c r="G18" s="741"/>
      <c r="H18" s="741"/>
      <c r="I18" s="741"/>
      <c r="J18" s="755"/>
      <c r="K18" s="757"/>
      <c r="L18" s="758"/>
      <c r="M18" s="741"/>
      <c r="N18" s="745"/>
      <c r="O18" s="700"/>
      <c r="P18" s="741"/>
      <c r="Q18" s="25" t="s">
        <v>38</v>
      </c>
      <c r="R18" s="25" t="s">
        <v>39</v>
      </c>
      <c r="S18" s="409"/>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row>
    <row r="19" spans="1:65" s="23" customFormat="1" ht="11.1" customHeight="1" x14ac:dyDescent="0.2">
      <c r="A19" s="21">
        <v>1</v>
      </c>
      <c r="B19" s="21">
        <v>2</v>
      </c>
      <c r="C19" s="752">
        <v>3</v>
      </c>
      <c r="D19" s="753"/>
      <c r="E19" s="22">
        <v>4</v>
      </c>
      <c r="F19" s="749">
        <v>5</v>
      </c>
      <c r="G19" s="750"/>
      <c r="H19" s="751">
        <v>6</v>
      </c>
      <c r="I19" s="751"/>
      <c r="J19" s="377">
        <v>7</v>
      </c>
      <c r="K19" s="751">
        <v>8</v>
      </c>
      <c r="L19" s="751"/>
      <c r="M19" s="21">
        <v>9</v>
      </c>
      <c r="N19" s="746">
        <v>10</v>
      </c>
      <c r="O19" s="746"/>
      <c r="P19" s="21">
        <v>11</v>
      </c>
      <c r="Q19" s="21">
        <v>12</v>
      </c>
      <c r="R19" s="22">
        <v>13</v>
      </c>
      <c r="S19" s="410"/>
      <c r="U19" s="424"/>
      <c r="V19" s="424"/>
      <c r="W19" s="424"/>
      <c r="X19" s="424"/>
      <c r="Y19" s="424"/>
      <c r="Z19" s="424"/>
      <c r="AA19" s="424"/>
      <c r="AB19" s="424"/>
      <c r="AC19" s="424"/>
      <c r="AD19" s="424"/>
      <c r="AE19" s="424"/>
      <c r="AF19" s="424"/>
      <c r="AG19" s="424"/>
      <c r="AH19" s="424"/>
      <c r="AI19" s="424"/>
      <c r="AJ19" s="424"/>
      <c r="AK19" s="424"/>
      <c r="AL19" s="424"/>
      <c r="AM19" s="424"/>
      <c r="AN19" s="424"/>
      <c r="AO19" s="424"/>
      <c r="AP19" s="424"/>
      <c r="AQ19" s="424"/>
      <c r="AR19" s="424"/>
      <c r="AS19" s="424"/>
      <c r="AT19" s="424"/>
      <c r="AU19" s="424"/>
      <c r="AV19" s="424"/>
      <c r="AW19" s="424"/>
      <c r="AX19" s="424"/>
      <c r="AY19" s="424"/>
      <c r="AZ19" s="424"/>
      <c r="BA19" s="424"/>
      <c r="BB19" s="424"/>
      <c r="BC19" s="424"/>
      <c r="BD19" s="424"/>
      <c r="BE19" s="424"/>
      <c r="BF19" s="424"/>
      <c r="BG19" s="424"/>
      <c r="BH19" s="424"/>
      <c r="BI19" s="424"/>
      <c r="BJ19" s="424"/>
      <c r="BK19" s="424"/>
      <c r="BL19" s="424"/>
      <c r="BM19" s="424"/>
    </row>
    <row r="20" spans="1:65" ht="15" customHeight="1" x14ac:dyDescent="0.2">
      <c r="A20" s="18">
        <v>1</v>
      </c>
      <c r="B20" s="19" t="s">
        <v>40</v>
      </c>
      <c r="C20" s="766" t="s">
        <v>41</v>
      </c>
      <c r="D20" s="767"/>
      <c r="E20" s="316" t="s">
        <v>42</v>
      </c>
      <c r="F20" s="737" t="s">
        <v>43</v>
      </c>
      <c r="G20" s="738"/>
      <c r="H20" s="759" t="s">
        <v>844</v>
      </c>
      <c r="I20" s="759"/>
      <c r="J20" s="19" t="s">
        <v>786</v>
      </c>
      <c r="K20" s="747" t="s">
        <v>838</v>
      </c>
      <c r="L20" s="748"/>
      <c r="M20" s="316" t="s">
        <v>42</v>
      </c>
      <c r="N20" s="737" t="s">
        <v>43</v>
      </c>
      <c r="O20" s="738"/>
      <c r="P20" s="417" t="s">
        <v>844</v>
      </c>
      <c r="Q20" s="317" t="s">
        <v>643</v>
      </c>
      <c r="R20" s="317" t="s">
        <v>644</v>
      </c>
      <c r="S20" s="411"/>
      <c r="U20" s="11"/>
      <c r="V20" s="11"/>
      <c r="W20" s="11"/>
      <c r="X20" s="11"/>
      <c r="Y20" s="11"/>
      <c r="Z20" s="698"/>
      <c r="AA20" s="698"/>
      <c r="AB20" s="698"/>
      <c r="AC20" s="698"/>
      <c r="AD20" s="698"/>
      <c r="AE20" s="698"/>
      <c r="AF20" s="698"/>
      <c r="AG20" s="698"/>
      <c r="AH20" s="698"/>
      <c r="AI20" s="698"/>
      <c r="AJ20" s="698"/>
      <c r="AK20" s="698"/>
      <c r="AL20" s="698"/>
      <c r="AM20" s="698"/>
      <c r="AN20" s="698"/>
      <c r="AO20" s="698"/>
      <c r="AP20" s="698"/>
      <c r="AQ20" s="698"/>
      <c r="AR20" s="11"/>
      <c r="AS20" s="11"/>
      <c r="AT20" s="11"/>
      <c r="AU20" s="11"/>
      <c r="AV20" s="11"/>
      <c r="AW20" s="11"/>
      <c r="AX20" s="11"/>
      <c r="AY20" s="11"/>
      <c r="AZ20" s="11"/>
      <c r="BA20" s="11"/>
      <c r="BB20" s="11"/>
      <c r="BC20" s="11"/>
      <c r="BD20" s="11"/>
      <c r="BE20" s="11"/>
      <c r="BF20" s="11"/>
      <c r="BG20" s="11"/>
      <c r="BH20" s="11"/>
      <c r="BI20" s="11"/>
      <c r="BJ20" s="11"/>
      <c r="BK20" s="11"/>
      <c r="BL20" s="11"/>
      <c r="BM20" s="11"/>
    </row>
    <row r="21" spans="1:65" ht="15" customHeight="1" x14ac:dyDescent="0.2">
      <c r="A21" s="18">
        <v>2</v>
      </c>
      <c r="B21" s="19" t="s">
        <v>40</v>
      </c>
      <c r="C21" s="766" t="s">
        <v>44</v>
      </c>
      <c r="D21" s="767"/>
      <c r="E21" s="316" t="s">
        <v>42</v>
      </c>
      <c r="F21" s="737" t="s">
        <v>45</v>
      </c>
      <c r="G21" s="738"/>
      <c r="H21" s="759" t="s">
        <v>844</v>
      </c>
      <c r="I21" s="759"/>
      <c r="J21" s="460" t="s">
        <v>786</v>
      </c>
      <c r="K21" s="747" t="s">
        <v>839</v>
      </c>
      <c r="L21" s="748"/>
      <c r="M21" s="316" t="s">
        <v>42</v>
      </c>
      <c r="N21" s="737" t="s">
        <v>45</v>
      </c>
      <c r="O21" s="738"/>
      <c r="P21" s="417" t="s">
        <v>844</v>
      </c>
      <c r="Q21" s="317" t="s">
        <v>643</v>
      </c>
      <c r="R21" s="317" t="s">
        <v>644</v>
      </c>
      <c r="S21" s="411"/>
      <c r="U21" s="11"/>
      <c r="V21" s="11"/>
      <c r="W21" s="11"/>
      <c r="X21" s="11"/>
      <c r="Y21" s="11"/>
      <c r="Z21" s="687"/>
      <c r="AA21" s="699"/>
      <c r="AB21" s="700"/>
      <c r="AC21" s="700"/>
      <c r="AD21" s="700"/>
      <c r="AE21" s="700"/>
      <c r="AF21" s="700"/>
      <c r="AG21" s="700"/>
      <c r="AH21" s="700"/>
      <c r="AI21" s="685"/>
      <c r="AJ21" s="685"/>
      <c r="AK21" s="685"/>
      <c r="AL21" s="685"/>
      <c r="AM21" s="685"/>
      <c r="AN21" s="685"/>
      <c r="AO21" s="685"/>
      <c r="AP21" s="687"/>
      <c r="AQ21" s="687"/>
      <c r="AR21" s="11"/>
      <c r="AS21" s="11"/>
      <c r="AT21" s="11"/>
      <c r="AU21" s="11"/>
      <c r="AV21" s="11"/>
      <c r="AW21" s="11"/>
      <c r="AX21" s="11"/>
      <c r="AY21" s="11"/>
      <c r="AZ21" s="11"/>
      <c r="BA21" s="11"/>
      <c r="BB21" s="11"/>
      <c r="BC21" s="11"/>
      <c r="BD21" s="11"/>
      <c r="BE21" s="11"/>
      <c r="BF21" s="11"/>
      <c r="BG21" s="11"/>
      <c r="BH21" s="11"/>
      <c r="BI21" s="11"/>
      <c r="BJ21" s="11"/>
      <c r="BK21" s="11"/>
      <c r="BL21" s="11"/>
      <c r="BM21" s="11"/>
    </row>
    <row r="22" spans="1:65" ht="15" customHeight="1" x14ac:dyDescent="0.2">
      <c r="A22" s="18">
        <v>3</v>
      </c>
      <c r="B22" s="19" t="s">
        <v>40</v>
      </c>
      <c r="C22" s="765" t="s">
        <v>46</v>
      </c>
      <c r="D22" s="765"/>
      <c r="E22" s="316" t="s">
        <v>42</v>
      </c>
      <c r="F22" s="739" t="s">
        <v>47</v>
      </c>
      <c r="G22" s="739"/>
      <c r="H22" s="759" t="s">
        <v>844</v>
      </c>
      <c r="I22" s="759"/>
      <c r="J22" s="460" t="s">
        <v>786</v>
      </c>
      <c r="K22" s="747" t="s">
        <v>840</v>
      </c>
      <c r="L22" s="748"/>
      <c r="M22" s="316" t="s">
        <v>42</v>
      </c>
      <c r="N22" s="739" t="s">
        <v>47</v>
      </c>
      <c r="O22" s="739"/>
      <c r="P22" s="417" t="s">
        <v>844</v>
      </c>
      <c r="Q22" s="317" t="s">
        <v>643</v>
      </c>
      <c r="R22" s="317" t="s">
        <v>644</v>
      </c>
      <c r="S22" s="411"/>
      <c r="U22" s="11"/>
      <c r="V22" s="11"/>
      <c r="W22" s="11"/>
      <c r="X22" s="11"/>
      <c r="Y22" s="11"/>
      <c r="Z22" s="687"/>
      <c r="AA22" s="699"/>
      <c r="AB22" s="699"/>
      <c r="AC22" s="699"/>
      <c r="AD22" s="699"/>
      <c r="AE22" s="701"/>
      <c r="AF22" s="701"/>
      <c r="AG22" s="702"/>
      <c r="AH22" s="702"/>
      <c r="AI22" s="702"/>
      <c r="AJ22" s="701"/>
      <c r="AK22" s="699"/>
      <c r="AL22" s="699"/>
      <c r="AM22" s="699"/>
      <c r="AN22" s="701"/>
      <c r="AO22" s="701"/>
      <c r="AP22" s="687"/>
      <c r="AQ22" s="687"/>
      <c r="AR22" s="11"/>
      <c r="AS22" s="11"/>
      <c r="AT22" s="11"/>
      <c r="AU22" s="11"/>
      <c r="AV22" s="11"/>
      <c r="AW22" s="11"/>
      <c r="AX22" s="11"/>
      <c r="AY22" s="11"/>
      <c r="AZ22" s="11"/>
      <c r="BA22" s="11"/>
      <c r="BB22" s="11"/>
      <c r="BC22" s="11"/>
      <c r="BD22" s="11"/>
      <c r="BE22" s="11"/>
      <c r="BF22" s="11"/>
      <c r="BG22" s="11"/>
      <c r="BH22" s="11"/>
      <c r="BI22" s="11"/>
      <c r="BJ22" s="11"/>
      <c r="BK22" s="11"/>
      <c r="BL22" s="11"/>
      <c r="BM22" s="11"/>
    </row>
    <row r="23" spans="1:65" ht="15" customHeight="1" x14ac:dyDescent="0.2">
      <c r="A23" s="18">
        <v>4</v>
      </c>
      <c r="B23" s="19" t="s">
        <v>40</v>
      </c>
      <c r="C23" s="765" t="s">
        <v>48</v>
      </c>
      <c r="D23" s="765"/>
      <c r="E23" s="316" t="s">
        <v>42</v>
      </c>
      <c r="F23" s="739" t="s">
        <v>49</v>
      </c>
      <c r="G23" s="739"/>
      <c r="H23" s="759" t="s">
        <v>844</v>
      </c>
      <c r="I23" s="759"/>
      <c r="J23" s="460" t="s">
        <v>786</v>
      </c>
      <c r="K23" s="747" t="s">
        <v>841</v>
      </c>
      <c r="L23" s="748"/>
      <c r="M23" s="316" t="s">
        <v>42</v>
      </c>
      <c r="N23" s="739" t="s">
        <v>49</v>
      </c>
      <c r="O23" s="739"/>
      <c r="P23" s="417" t="s">
        <v>844</v>
      </c>
      <c r="Q23" s="317" t="s">
        <v>643</v>
      </c>
      <c r="R23" s="317" t="s">
        <v>644</v>
      </c>
      <c r="S23" s="411"/>
      <c r="U23" s="11"/>
      <c r="V23" s="11"/>
      <c r="W23" s="11"/>
      <c r="X23" s="11"/>
      <c r="Y23" s="11"/>
      <c r="Z23" s="687"/>
      <c r="AA23" s="699"/>
      <c r="AB23" s="699"/>
      <c r="AC23" s="699"/>
      <c r="AD23" s="699"/>
      <c r="AE23" s="701"/>
      <c r="AF23" s="701"/>
      <c r="AG23" s="702"/>
      <c r="AH23" s="702"/>
      <c r="AI23" s="702"/>
      <c r="AJ23" s="701"/>
      <c r="AK23" s="699"/>
      <c r="AL23" s="699"/>
      <c r="AM23" s="699"/>
      <c r="AN23" s="701"/>
      <c r="AO23" s="701"/>
      <c r="AP23" s="409"/>
      <c r="AQ23" s="409"/>
      <c r="AR23" s="11"/>
      <c r="AS23" s="11"/>
      <c r="AT23" s="11"/>
      <c r="AU23" s="11"/>
      <c r="AV23" s="11"/>
      <c r="AW23" s="11"/>
      <c r="AX23" s="11"/>
      <c r="AY23" s="11"/>
      <c r="AZ23" s="11"/>
      <c r="BA23" s="11"/>
      <c r="BB23" s="11"/>
      <c r="BC23" s="11"/>
      <c r="BD23" s="11"/>
      <c r="BE23" s="11"/>
      <c r="BF23" s="11"/>
      <c r="BG23" s="11"/>
      <c r="BH23" s="11"/>
      <c r="BI23" s="11"/>
      <c r="BJ23" s="11"/>
      <c r="BK23" s="11"/>
      <c r="BL23" s="11"/>
      <c r="BM23" s="11"/>
    </row>
    <row r="24" spans="1:65" ht="15" customHeight="1" x14ac:dyDescent="0.2">
      <c r="A24" s="18">
        <v>5</v>
      </c>
      <c r="B24" s="19" t="s">
        <v>40</v>
      </c>
      <c r="C24" s="765" t="s">
        <v>645</v>
      </c>
      <c r="D24" s="765"/>
      <c r="E24" s="316" t="s">
        <v>42</v>
      </c>
      <c r="F24" s="739" t="s">
        <v>646</v>
      </c>
      <c r="G24" s="739"/>
      <c r="H24" s="759" t="s">
        <v>844</v>
      </c>
      <c r="I24" s="759"/>
      <c r="J24" s="460" t="s">
        <v>786</v>
      </c>
      <c r="K24" s="747" t="s">
        <v>842</v>
      </c>
      <c r="L24" s="748"/>
      <c r="M24" s="316" t="s">
        <v>42</v>
      </c>
      <c r="N24" s="739" t="s">
        <v>646</v>
      </c>
      <c r="O24" s="739"/>
      <c r="P24" s="417" t="s">
        <v>844</v>
      </c>
      <c r="Q24" s="317" t="s">
        <v>643</v>
      </c>
      <c r="R24" s="317" t="s">
        <v>644</v>
      </c>
      <c r="S24" s="411"/>
      <c r="U24" s="11"/>
      <c r="V24" s="11"/>
      <c r="W24" s="11"/>
      <c r="X24" s="11"/>
      <c r="Y24" s="11"/>
      <c r="Z24" s="471"/>
      <c r="AA24" s="471"/>
      <c r="AB24" s="692"/>
      <c r="AC24" s="692"/>
      <c r="AD24" s="472"/>
      <c r="AE24" s="693"/>
      <c r="AF24" s="693"/>
      <c r="AG24" s="472"/>
      <c r="AH24" s="472"/>
      <c r="AI24" s="472"/>
      <c r="AJ24" s="472"/>
      <c r="AK24" s="692"/>
      <c r="AL24" s="692"/>
      <c r="AM24" s="692"/>
      <c r="AN24" s="692"/>
      <c r="AO24" s="692"/>
      <c r="AP24" s="471"/>
      <c r="AQ24" s="472"/>
      <c r="AR24" s="11"/>
      <c r="AS24" s="11"/>
      <c r="AT24" s="11"/>
      <c r="AU24" s="11"/>
      <c r="AV24" s="11"/>
      <c r="AW24" s="11"/>
      <c r="AX24" s="11"/>
      <c r="AY24" s="11"/>
      <c r="AZ24" s="11"/>
      <c r="BA24" s="11"/>
      <c r="BB24" s="11"/>
      <c r="BC24" s="11"/>
      <c r="BD24" s="11"/>
      <c r="BE24" s="11"/>
      <c r="BF24" s="11"/>
      <c r="BG24" s="11"/>
      <c r="BH24" s="11"/>
      <c r="BI24" s="11"/>
      <c r="BJ24" s="11"/>
      <c r="BK24" s="11"/>
      <c r="BL24" s="11"/>
      <c r="BM24" s="11"/>
    </row>
    <row r="25" spans="1:65" ht="15" customHeight="1" x14ac:dyDescent="0.2">
      <c r="A25" s="18">
        <v>6</v>
      </c>
      <c r="B25" s="19" t="s">
        <v>40</v>
      </c>
      <c r="C25" s="765" t="s">
        <v>647</v>
      </c>
      <c r="D25" s="765"/>
      <c r="E25" s="445" t="s">
        <v>42</v>
      </c>
      <c r="F25" s="739" t="s">
        <v>648</v>
      </c>
      <c r="G25" s="739"/>
      <c r="H25" s="759" t="s">
        <v>844</v>
      </c>
      <c r="I25" s="759"/>
      <c r="J25" s="460" t="s">
        <v>786</v>
      </c>
      <c r="K25" s="747" t="s">
        <v>843</v>
      </c>
      <c r="L25" s="748"/>
      <c r="M25" s="316" t="s">
        <v>42</v>
      </c>
      <c r="N25" s="739" t="s">
        <v>648</v>
      </c>
      <c r="O25" s="739"/>
      <c r="P25" s="417" t="s">
        <v>844</v>
      </c>
      <c r="Q25" s="317" t="s">
        <v>643</v>
      </c>
      <c r="R25" s="317" t="s">
        <v>644</v>
      </c>
      <c r="S25" s="411"/>
      <c r="U25" s="11"/>
      <c r="V25" s="11"/>
      <c r="W25" s="11"/>
      <c r="X25" s="11"/>
      <c r="Y25" s="11"/>
      <c r="Z25" s="470"/>
      <c r="AA25" s="468"/>
      <c r="AB25" s="694"/>
      <c r="AC25" s="694"/>
      <c r="AD25" s="467"/>
      <c r="AE25" s="687"/>
      <c r="AF25" s="687"/>
      <c r="AG25" s="470"/>
      <c r="AH25" s="470"/>
      <c r="AI25" s="470"/>
      <c r="AJ25" s="428"/>
      <c r="AK25" s="688"/>
      <c r="AL25" s="688"/>
      <c r="AM25" s="688"/>
      <c r="AN25" s="687"/>
      <c r="AO25" s="687"/>
      <c r="AP25" s="411"/>
      <c r="AQ25" s="411"/>
      <c r="AR25" s="11"/>
      <c r="AS25" s="11"/>
      <c r="AT25" s="11"/>
      <c r="AU25" s="11"/>
      <c r="AV25" s="11"/>
      <c r="AW25" s="11"/>
      <c r="AX25" s="11"/>
      <c r="AY25" s="11"/>
      <c r="AZ25" s="11"/>
      <c r="BA25" s="11"/>
      <c r="BB25" s="11"/>
      <c r="BC25" s="11"/>
      <c r="BD25" s="11"/>
      <c r="BE25" s="11"/>
      <c r="BF25" s="11"/>
      <c r="BG25" s="11"/>
      <c r="BH25" s="11"/>
      <c r="BI25" s="11"/>
      <c r="BJ25" s="11"/>
      <c r="BK25" s="11"/>
      <c r="BL25" s="11"/>
      <c r="BM25" s="11"/>
    </row>
    <row r="26" spans="1:65" s="447" customFormat="1" ht="15" customHeight="1" x14ac:dyDescent="0.2">
      <c r="A26" s="448">
        <v>7</v>
      </c>
      <c r="B26" s="449" t="s">
        <v>771</v>
      </c>
      <c r="C26" s="683" t="s">
        <v>50</v>
      </c>
      <c r="D26" s="684"/>
      <c r="E26" s="450" t="s">
        <v>42</v>
      </c>
      <c r="F26" s="682" t="s">
        <v>52</v>
      </c>
      <c r="G26" s="682"/>
      <c r="H26" s="676" t="s">
        <v>844</v>
      </c>
      <c r="I26" s="676"/>
      <c r="J26" s="449"/>
      <c r="K26" s="677"/>
      <c r="L26" s="677"/>
      <c r="M26" s="451"/>
      <c r="N26" s="678"/>
      <c r="O26" s="678"/>
      <c r="P26" s="451"/>
      <c r="Q26" s="452"/>
      <c r="R26" s="452"/>
      <c r="S26" s="446"/>
      <c r="U26" s="478"/>
      <c r="V26" s="478"/>
      <c r="W26" s="478"/>
      <c r="X26" s="478"/>
      <c r="Y26" s="478"/>
      <c r="Z26" s="479"/>
      <c r="AA26" s="480"/>
      <c r="AB26" s="763"/>
      <c r="AC26" s="763"/>
      <c r="AD26" s="481"/>
      <c r="AE26" s="764"/>
      <c r="AF26" s="764"/>
      <c r="AG26" s="479"/>
      <c r="AH26" s="479"/>
      <c r="AI26" s="479"/>
      <c r="AJ26" s="482"/>
      <c r="AK26" s="691"/>
      <c r="AL26" s="691"/>
      <c r="AM26" s="691"/>
      <c r="AN26" s="764"/>
      <c r="AO26" s="764"/>
      <c r="AP26" s="446"/>
      <c r="AQ26" s="446"/>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row>
    <row r="27" spans="1:65" s="447" customFormat="1" ht="15" customHeight="1" x14ac:dyDescent="0.2">
      <c r="A27" s="448">
        <v>8</v>
      </c>
      <c r="B27" s="449" t="s">
        <v>771</v>
      </c>
      <c r="C27" s="683" t="s">
        <v>53</v>
      </c>
      <c r="D27" s="684"/>
      <c r="E27" s="450" t="s">
        <v>42</v>
      </c>
      <c r="F27" s="682" t="s">
        <v>54</v>
      </c>
      <c r="G27" s="682"/>
      <c r="H27" s="676" t="s">
        <v>844</v>
      </c>
      <c r="I27" s="676"/>
      <c r="J27" s="449"/>
      <c r="K27" s="677"/>
      <c r="L27" s="677"/>
      <c r="M27" s="451"/>
      <c r="N27" s="678"/>
      <c r="O27" s="678"/>
      <c r="P27" s="451"/>
      <c r="Q27" s="452"/>
      <c r="R27" s="452"/>
      <c r="S27" s="446"/>
      <c r="U27" s="478"/>
      <c r="V27" s="478"/>
      <c r="W27" s="478"/>
      <c r="X27" s="478"/>
      <c r="Y27" s="478"/>
      <c r="Z27" s="478"/>
      <c r="AA27" s="478"/>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row>
    <row r="28" spans="1:65" s="447" customFormat="1" ht="15" customHeight="1" x14ac:dyDescent="0.2">
      <c r="A28" s="448">
        <v>9</v>
      </c>
      <c r="B28" s="449" t="s">
        <v>771</v>
      </c>
      <c r="C28" s="736" t="s">
        <v>55</v>
      </c>
      <c r="D28" s="736"/>
      <c r="E28" s="450" t="s">
        <v>42</v>
      </c>
      <c r="F28" s="682" t="s">
        <v>56</v>
      </c>
      <c r="G28" s="682"/>
      <c r="H28" s="676" t="s">
        <v>844</v>
      </c>
      <c r="I28" s="676"/>
      <c r="J28" s="449"/>
      <c r="K28" s="677"/>
      <c r="L28" s="677"/>
      <c r="M28" s="451"/>
      <c r="N28" s="678"/>
      <c r="O28" s="678"/>
      <c r="P28" s="451"/>
      <c r="Q28" s="452"/>
      <c r="R28" s="452"/>
      <c r="S28" s="446"/>
      <c r="U28" s="478"/>
      <c r="V28" s="478"/>
      <c r="W28" s="478"/>
      <c r="X28" s="478"/>
      <c r="Y28" s="478"/>
      <c r="Z28" s="478"/>
      <c r="AA28" s="478"/>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row>
    <row r="29" spans="1:65" s="447" customFormat="1" ht="15" customHeight="1" x14ac:dyDescent="0.2">
      <c r="A29" s="448">
        <v>10</v>
      </c>
      <c r="B29" s="449" t="s">
        <v>771</v>
      </c>
      <c r="C29" s="736" t="s">
        <v>57</v>
      </c>
      <c r="D29" s="736"/>
      <c r="E29" s="450" t="s">
        <v>42</v>
      </c>
      <c r="F29" s="682" t="s">
        <v>58</v>
      </c>
      <c r="G29" s="682"/>
      <c r="H29" s="676" t="s">
        <v>844</v>
      </c>
      <c r="I29" s="676"/>
      <c r="J29" s="449"/>
      <c r="K29" s="677"/>
      <c r="L29" s="677"/>
      <c r="M29" s="451"/>
      <c r="N29" s="678"/>
      <c r="O29" s="678"/>
      <c r="P29" s="451"/>
      <c r="Q29" s="452"/>
      <c r="R29" s="452"/>
      <c r="S29" s="446"/>
      <c r="U29" s="478"/>
      <c r="V29" s="478"/>
      <c r="W29" s="478"/>
      <c r="X29" s="478"/>
      <c r="Y29" s="478"/>
      <c r="Z29" s="478"/>
      <c r="AA29" s="478"/>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row>
    <row r="30" spans="1:65" s="447" customFormat="1" ht="15" customHeight="1" x14ac:dyDescent="0.2">
      <c r="A30" s="448">
        <v>11</v>
      </c>
      <c r="B30" s="449" t="s">
        <v>771</v>
      </c>
      <c r="C30" s="736" t="s">
        <v>655</v>
      </c>
      <c r="D30" s="736"/>
      <c r="E30" s="450" t="s">
        <v>42</v>
      </c>
      <c r="F30" s="682" t="s">
        <v>656</v>
      </c>
      <c r="G30" s="682"/>
      <c r="H30" s="676" t="s">
        <v>844</v>
      </c>
      <c r="I30" s="676"/>
      <c r="J30" s="449"/>
      <c r="K30" s="677"/>
      <c r="L30" s="677"/>
      <c r="M30" s="451"/>
      <c r="N30" s="678"/>
      <c r="O30" s="678"/>
      <c r="P30" s="451"/>
      <c r="Q30" s="452"/>
      <c r="R30" s="452"/>
      <c r="S30" s="446"/>
      <c r="U30" s="478"/>
      <c r="V30" s="478"/>
      <c r="W30" s="478"/>
      <c r="X30" s="478"/>
      <c r="Y30" s="478"/>
      <c r="Z30" s="478"/>
      <c r="AA30" s="478"/>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row>
    <row r="31" spans="1:65" s="447" customFormat="1" ht="15" customHeight="1" x14ac:dyDescent="0.2">
      <c r="A31" s="448">
        <v>12</v>
      </c>
      <c r="B31" s="449" t="s">
        <v>771</v>
      </c>
      <c r="C31" s="736" t="s">
        <v>657</v>
      </c>
      <c r="D31" s="736"/>
      <c r="E31" s="450" t="s">
        <v>42</v>
      </c>
      <c r="F31" s="682" t="s">
        <v>658</v>
      </c>
      <c r="G31" s="682"/>
      <c r="H31" s="676" t="s">
        <v>844</v>
      </c>
      <c r="I31" s="676"/>
      <c r="J31" s="449"/>
      <c r="K31" s="677"/>
      <c r="L31" s="677"/>
      <c r="M31" s="451"/>
      <c r="N31" s="678"/>
      <c r="O31" s="678"/>
      <c r="P31" s="451"/>
      <c r="Q31" s="452"/>
      <c r="R31" s="452"/>
      <c r="S31" s="446"/>
      <c r="U31" s="478"/>
      <c r="V31" s="478"/>
      <c r="W31" s="478"/>
      <c r="X31" s="478"/>
      <c r="Y31" s="478"/>
      <c r="Z31" s="478"/>
      <c r="AA31" s="478"/>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row>
    <row r="32" spans="1:65" ht="15" customHeight="1" x14ac:dyDescent="0.2">
      <c r="A32" s="448">
        <v>13</v>
      </c>
      <c r="B32" s="449" t="s">
        <v>970</v>
      </c>
      <c r="C32" s="683" t="s">
        <v>59</v>
      </c>
      <c r="D32" s="684"/>
      <c r="E32" s="450" t="s">
        <v>42</v>
      </c>
      <c r="F32" s="682" t="s">
        <v>52</v>
      </c>
      <c r="G32" s="682"/>
      <c r="H32" s="676" t="s">
        <v>844</v>
      </c>
      <c r="I32" s="676"/>
      <c r="J32" s="449"/>
      <c r="K32" s="677"/>
      <c r="L32" s="677"/>
      <c r="M32" s="451"/>
      <c r="N32" s="678"/>
      <c r="O32" s="678"/>
      <c r="P32" s="451"/>
      <c r="Q32" s="452"/>
      <c r="R32" s="452"/>
      <c r="S32" s="4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row>
    <row r="33" spans="1:65" ht="15" customHeight="1" x14ac:dyDescent="0.2">
      <c r="A33" s="448">
        <v>14</v>
      </c>
      <c r="B33" s="449" t="s">
        <v>970</v>
      </c>
      <c r="C33" s="683" t="s">
        <v>60</v>
      </c>
      <c r="D33" s="684"/>
      <c r="E33" s="450" t="s">
        <v>42</v>
      </c>
      <c r="F33" s="682" t="s">
        <v>54</v>
      </c>
      <c r="G33" s="682"/>
      <c r="H33" s="676" t="s">
        <v>844</v>
      </c>
      <c r="I33" s="676"/>
      <c r="J33" s="449"/>
      <c r="K33" s="677"/>
      <c r="L33" s="677"/>
      <c r="M33" s="451"/>
      <c r="N33" s="678"/>
      <c r="O33" s="678"/>
      <c r="P33" s="451"/>
      <c r="Q33" s="452"/>
      <c r="R33" s="452"/>
      <c r="S33" s="4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row>
    <row r="34" spans="1:65" ht="15" customHeight="1" x14ac:dyDescent="0.2">
      <c r="A34" s="448">
        <v>15</v>
      </c>
      <c r="B34" s="449" t="s">
        <v>970</v>
      </c>
      <c r="C34" s="736" t="s">
        <v>61</v>
      </c>
      <c r="D34" s="736"/>
      <c r="E34" s="450" t="s">
        <v>42</v>
      </c>
      <c r="F34" s="682" t="s">
        <v>56</v>
      </c>
      <c r="G34" s="682"/>
      <c r="H34" s="676" t="s">
        <v>844</v>
      </c>
      <c r="I34" s="676"/>
      <c r="J34" s="449"/>
      <c r="K34" s="677"/>
      <c r="L34" s="677"/>
      <c r="M34" s="451"/>
      <c r="N34" s="678"/>
      <c r="O34" s="678"/>
      <c r="P34" s="451"/>
      <c r="Q34" s="452"/>
      <c r="R34" s="452"/>
      <c r="S34" s="4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row>
    <row r="35" spans="1:65" ht="15" customHeight="1" x14ac:dyDescent="0.2">
      <c r="A35" s="448">
        <v>16</v>
      </c>
      <c r="B35" s="449" t="s">
        <v>970</v>
      </c>
      <c r="C35" s="736" t="s">
        <v>62</v>
      </c>
      <c r="D35" s="736"/>
      <c r="E35" s="450" t="s">
        <v>42</v>
      </c>
      <c r="F35" s="682" t="s">
        <v>58</v>
      </c>
      <c r="G35" s="682"/>
      <c r="H35" s="676" t="s">
        <v>844</v>
      </c>
      <c r="I35" s="676"/>
      <c r="J35" s="453"/>
      <c r="K35" s="677"/>
      <c r="L35" s="677"/>
      <c r="M35" s="451"/>
      <c r="N35" s="678"/>
      <c r="O35" s="678"/>
      <c r="P35" s="451"/>
      <c r="Q35" s="451"/>
      <c r="R35" s="454"/>
      <c r="S35" s="4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row>
    <row r="36" spans="1:65" ht="15" customHeight="1" x14ac:dyDescent="0.2">
      <c r="A36" s="448">
        <v>17</v>
      </c>
      <c r="B36" s="449" t="s">
        <v>970</v>
      </c>
      <c r="C36" s="736" t="s">
        <v>665</v>
      </c>
      <c r="D36" s="736"/>
      <c r="E36" s="450" t="s">
        <v>42</v>
      </c>
      <c r="F36" s="682" t="s">
        <v>656</v>
      </c>
      <c r="G36" s="682"/>
      <c r="H36" s="676" t="s">
        <v>844</v>
      </c>
      <c r="I36" s="676"/>
      <c r="J36" s="453"/>
      <c r="K36" s="677"/>
      <c r="L36" s="677"/>
      <c r="M36" s="451"/>
      <c r="N36" s="678"/>
      <c r="O36" s="678"/>
      <c r="P36" s="451"/>
      <c r="Q36" s="451"/>
      <c r="R36" s="454"/>
      <c r="S36" s="4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row>
    <row r="37" spans="1:65" ht="15" customHeight="1" x14ac:dyDescent="0.2">
      <c r="A37" s="448">
        <v>18</v>
      </c>
      <c r="B37" s="449" t="s">
        <v>970</v>
      </c>
      <c r="C37" s="736" t="s">
        <v>666</v>
      </c>
      <c r="D37" s="736"/>
      <c r="E37" s="450" t="s">
        <v>42</v>
      </c>
      <c r="F37" s="682" t="s">
        <v>658</v>
      </c>
      <c r="G37" s="682"/>
      <c r="H37" s="676" t="s">
        <v>844</v>
      </c>
      <c r="I37" s="676"/>
      <c r="J37" s="453"/>
      <c r="K37" s="677"/>
      <c r="L37" s="677"/>
      <c r="M37" s="451"/>
      <c r="N37" s="678"/>
      <c r="O37" s="678"/>
      <c r="P37" s="451"/>
      <c r="Q37" s="451"/>
      <c r="R37" s="454"/>
      <c r="S37" s="4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row>
    <row r="38" spans="1:65" s="447" customFormat="1" ht="15" customHeight="1" x14ac:dyDescent="0.2">
      <c r="A38" s="476">
        <v>19</v>
      </c>
      <c r="B38" s="525" t="s">
        <v>685</v>
      </c>
      <c r="C38" s="683" t="s">
        <v>50</v>
      </c>
      <c r="D38" s="684"/>
      <c r="E38" s="475" t="s">
        <v>42</v>
      </c>
      <c r="F38" s="682" t="s">
        <v>52</v>
      </c>
      <c r="G38" s="682"/>
      <c r="H38" s="697" t="s">
        <v>844</v>
      </c>
      <c r="I38" s="697"/>
      <c r="J38" s="455"/>
      <c r="K38" s="696"/>
      <c r="L38" s="696"/>
      <c r="M38" s="456"/>
      <c r="N38" s="695"/>
      <c r="O38" s="695"/>
      <c r="P38" s="456"/>
      <c r="Q38" s="456"/>
      <c r="R38" s="457"/>
      <c r="S38" s="446"/>
      <c r="U38" s="478"/>
      <c r="V38" s="478"/>
      <c r="W38" s="478"/>
      <c r="X38" s="478"/>
      <c r="Y38" s="478"/>
      <c r="Z38" s="478"/>
      <c r="AA38" s="478"/>
      <c r="AB38" s="478"/>
      <c r="AC38" s="478"/>
      <c r="AD38" s="478"/>
      <c r="AE38" s="478"/>
      <c r="AF38" s="478"/>
      <c r="AG38" s="478"/>
      <c r="AH38" s="478"/>
      <c r="AI38" s="478"/>
      <c r="AJ38" s="478"/>
      <c r="AK38" s="478"/>
      <c r="AL38" s="478"/>
      <c r="AM38" s="478"/>
      <c r="AN38" s="478"/>
      <c r="AO38" s="47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row>
    <row r="39" spans="1:65" s="447" customFormat="1" ht="15" customHeight="1" x14ac:dyDescent="0.2">
      <c r="A39" s="476">
        <v>20</v>
      </c>
      <c r="B39" s="525" t="s">
        <v>685</v>
      </c>
      <c r="C39" s="683" t="s">
        <v>53</v>
      </c>
      <c r="D39" s="684"/>
      <c r="E39" s="475" t="s">
        <v>42</v>
      </c>
      <c r="F39" s="682" t="s">
        <v>54</v>
      </c>
      <c r="G39" s="682"/>
      <c r="H39" s="697" t="s">
        <v>844</v>
      </c>
      <c r="I39" s="697"/>
      <c r="J39" s="455"/>
      <c r="K39" s="696"/>
      <c r="L39" s="696"/>
      <c r="M39" s="456"/>
      <c r="N39" s="695"/>
      <c r="O39" s="695"/>
      <c r="P39" s="456"/>
      <c r="Q39" s="456"/>
      <c r="R39" s="457"/>
      <c r="S39" s="446"/>
      <c r="U39" s="478"/>
      <c r="V39" s="478"/>
      <c r="W39" s="478"/>
      <c r="X39" s="478"/>
      <c r="Y39" s="478"/>
      <c r="Z39" s="478"/>
      <c r="AA39" s="478"/>
      <c r="AB39" s="478"/>
      <c r="AC39" s="478"/>
      <c r="AD39" s="478"/>
      <c r="AE39" s="478"/>
      <c r="AF39" s="478"/>
      <c r="AG39" s="478"/>
      <c r="AH39" s="478"/>
      <c r="AI39" s="478"/>
      <c r="AJ39" s="478"/>
      <c r="AK39" s="478"/>
      <c r="AL39" s="478"/>
      <c r="AM39" s="478"/>
      <c r="AN39" s="478"/>
      <c r="AO39" s="47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row>
    <row r="40" spans="1:65" s="447" customFormat="1" ht="15" customHeight="1" x14ac:dyDescent="0.2">
      <c r="A40" s="476">
        <v>21</v>
      </c>
      <c r="B40" s="525" t="s">
        <v>685</v>
      </c>
      <c r="C40" s="736" t="s">
        <v>55</v>
      </c>
      <c r="D40" s="736"/>
      <c r="E40" s="475" t="s">
        <v>42</v>
      </c>
      <c r="F40" s="682" t="s">
        <v>56</v>
      </c>
      <c r="G40" s="682"/>
      <c r="H40" s="697" t="s">
        <v>844</v>
      </c>
      <c r="I40" s="697"/>
      <c r="J40" s="455"/>
      <c r="K40" s="696"/>
      <c r="L40" s="696"/>
      <c r="M40" s="456"/>
      <c r="N40" s="695"/>
      <c r="O40" s="695"/>
      <c r="P40" s="456"/>
      <c r="Q40" s="456"/>
      <c r="R40" s="457"/>
      <c r="S40" s="446"/>
      <c r="U40" s="478"/>
      <c r="V40" s="478"/>
      <c r="W40" s="478"/>
      <c r="X40" s="478"/>
      <c r="Y40" s="478"/>
      <c r="Z40" s="478"/>
      <c r="AA40" s="478"/>
      <c r="AB40" s="478"/>
      <c r="AC40" s="478"/>
      <c r="AD40" s="478"/>
      <c r="AE40" s="478"/>
      <c r="AF40" s="478"/>
      <c r="AG40" s="478"/>
      <c r="AH40" s="478"/>
      <c r="AI40" s="478"/>
      <c r="AJ40" s="478"/>
      <c r="AK40" s="478"/>
      <c r="AL40" s="478"/>
      <c r="AM40" s="478"/>
      <c r="AN40" s="478"/>
      <c r="AO40" s="47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row>
    <row r="41" spans="1:65" s="447" customFormat="1" ht="15" customHeight="1" x14ac:dyDescent="0.2">
      <c r="A41" s="476">
        <v>22</v>
      </c>
      <c r="B41" s="525" t="s">
        <v>685</v>
      </c>
      <c r="C41" s="736" t="s">
        <v>57</v>
      </c>
      <c r="D41" s="736"/>
      <c r="E41" s="475" t="s">
        <v>42</v>
      </c>
      <c r="F41" s="682" t="s">
        <v>58</v>
      </c>
      <c r="G41" s="682"/>
      <c r="H41" s="697" t="s">
        <v>844</v>
      </c>
      <c r="I41" s="697"/>
      <c r="J41" s="455"/>
      <c r="K41" s="696"/>
      <c r="L41" s="696"/>
      <c r="M41" s="456"/>
      <c r="N41" s="695"/>
      <c r="O41" s="695"/>
      <c r="P41" s="456"/>
      <c r="Q41" s="456"/>
      <c r="R41" s="457"/>
      <c r="S41" s="446"/>
      <c r="U41" s="478"/>
      <c r="V41" s="478"/>
      <c r="W41" s="478"/>
      <c r="X41" s="478"/>
      <c r="Y41" s="478"/>
      <c r="Z41" s="478"/>
      <c r="AA41" s="478"/>
      <c r="AB41" s="478"/>
      <c r="AC41" s="478"/>
      <c r="AD41" s="478"/>
      <c r="AE41" s="478"/>
      <c r="AF41" s="478"/>
      <c r="AG41" s="478"/>
      <c r="AH41" s="478"/>
      <c r="AI41" s="478"/>
      <c r="AJ41" s="478"/>
      <c r="AK41" s="478"/>
      <c r="AL41" s="478"/>
      <c r="AM41" s="478"/>
      <c r="AN41" s="478"/>
      <c r="AO41" s="47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row>
    <row r="42" spans="1:65" s="447" customFormat="1" ht="15" customHeight="1" x14ac:dyDescent="0.2">
      <c r="A42" s="476">
        <v>23</v>
      </c>
      <c r="B42" s="525" t="s">
        <v>685</v>
      </c>
      <c r="C42" s="736" t="s">
        <v>655</v>
      </c>
      <c r="D42" s="736"/>
      <c r="E42" s="475" t="s">
        <v>42</v>
      </c>
      <c r="F42" s="682" t="s">
        <v>656</v>
      </c>
      <c r="G42" s="682"/>
      <c r="H42" s="697" t="s">
        <v>844</v>
      </c>
      <c r="I42" s="697"/>
      <c r="J42" s="455"/>
      <c r="K42" s="696"/>
      <c r="L42" s="696"/>
      <c r="M42" s="456"/>
      <c r="N42" s="695"/>
      <c r="O42" s="695"/>
      <c r="P42" s="456"/>
      <c r="Q42" s="456"/>
      <c r="R42" s="457"/>
      <c r="S42" s="446"/>
      <c r="U42" s="478"/>
      <c r="V42" s="478"/>
      <c r="W42" s="478"/>
      <c r="X42" s="478"/>
      <c r="Y42" s="478"/>
      <c r="Z42" s="478"/>
      <c r="AA42" s="478"/>
      <c r="AB42" s="478"/>
      <c r="AC42" s="478"/>
      <c r="AD42" s="478"/>
      <c r="AE42" s="478"/>
      <c r="AF42" s="478"/>
      <c r="AG42" s="478"/>
      <c r="AH42" s="478"/>
      <c r="AI42" s="478"/>
      <c r="AJ42" s="478"/>
      <c r="AK42" s="478"/>
      <c r="AL42" s="478"/>
      <c r="AM42" s="478"/>
      <c r="AN42" s="478"/>
      <c r="AO42" s="47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row>
    <row r="43" spans="1:65" s="447" customFormat="1" ht="15" customHeight="1" x14ac:dyDescent="0.2">
      <c r="A43" s="476">
        <v>24</v>
      </c>
      <c r="B43" s="525" t="s">
        <v>685</v>
      </c>
      <c r="C43" s="736" t="s">
        <v>657</v>
      </c>
      <c r="D43" s="736"/>
      <c r="E43" s="475" t="s">
        <v>42</v>
      </c>
      <c r="F43" s="682" t="s">
        <v>658</v>
      </c>
      <c r="G43" s="682"/>
      <c r="H43" s="697" t="s">
        <v>844</v>
      </c>
      <c r="I43" s="697"/>
      <c r="J43" s="455"/>
      <c r="K43" s="696"/>
      <c r="L43" s="696"/>
      <c r="M43" s="456"/>
      <c r="N43" s="695"/>
      <c r="O43" s="695"/>
      <c r="P43" s="456"/>
      <c r="Q43" s="456"/>
      <c r="R43" s="457"/>
      <c r="S43" s="446"/>
      <c r="U43" s="478"/>
      <c r="V43" s="478"/>
      <c r="W43" s="478"/>
      <c r="X43" s="478"/>
      <c r="Y43" s="478"/>
      <c r="Z43" s="478"/>
      <c r="AA43" s="478"/>
      <c r="AB43" s="478"/>
      <c r="AC43" s="478"/>
      <c r="AD43" s="478"/>
      <c r="AE43" s="478"/>
      <c r="AF43" s="478"/>
      <c r="AG43" s="478"/>
      <c r="AH43" s="478"/>
      <c r="AI43" s="478"/>
      <c r="AJ43" s="478"/>
      <c r="AK43" s="478"/>
      <c r="AL43" s="478"/>
      <c r="AM43" s="478"/>
      <c r="AN43" s="47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row>
    <row r="44" spans="1:65" ht="15" customHeight="1" x14ac:dyDescent="0.2">
      <c r="A44" s="448">
        <v>25</v>
      </c>
      <c r="B44" s="449" t="s">
        <v>689</v>
      </c>
      <c r="C44" s="683" t="s">
        <v>63</v>
      </c>
      <c r="D44" s="684"/>
      <c r="E44" s="450" t="s">
        <v>51</v>
      </c>
      <c r="F44" s="679" t="s">
        <v>52</v>
      </c>
      <c r="G44" s="680"/>
      <c r="H44" s="676" t="s">
        <v>844</v>
      </c>
      <c r="I44" s="676"/>
      <c r="J44" s="453"/>
      <c r="K44" s="677"/>
      <c r="L44" s="677"/>
      <c r="M44" s="451"/>
      <c r="N44" s="678"/>
      <c r="O44" s="678"/>
      <c r="P44" s="451"/>
      <c r="Q44" s="451"/>
      <c r="R44" s="454"/>
      <c r="S44" s="4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row>
    <row r="45" spans="1:65" ht="15" customHeight="1" x14ac:dyDescent="0.2">
      <c r="A45" s="448">
        <v>26</v>
      </c>
      <c r="B45" s="449" t="s">
        <v>689</v>
      </c>
      <c r="C45" s="683" t="s">
        <v>64</v>
      </c>
      <c r="D45" s="684"/>
      <c r="E45" s="450" t="s">
        <v>51</v>
      </c>
      <c r="F45" s="679" t="s">
        <v>54</v>
      </c>
      <c r="G45" s="680"/>
      <c r="H45" s="676" t="s">
        <v>844</v>
      </c>
      <c r="I45" s="676"/>
      <c r="J45" s="453"/>
      <c r="K45" s="677"/>
      <c r="L45" s="677"/>
      <c r="M45" s="451"/>
      <c r="N45" s="678"/>
      <c r="O45" s="678"/>
      <c r="P45" s="451"/>
      <c r="Q45" s="451"/>
      <c r="R45" s="454"/>
      <c r="S45" s="4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row>
    <row r="46" spans="1:65" ht="15" customHeight="1" x14ac:dyDescent="0.2">
      <c r="A46" s="448">
        <v>27</v>
      </c>
      <c r="B46" s="449" t="s">
        <v>689</v>
      </c>
      <c r="C46" s="683" t="s">
        <v>65</v>
      </c>
      <c r="D46" s="684"/>
      <c r="E46" s="450" t="s">
        <v>51</v>
      </c>
      <c r="F46" s="679" t="s">
        <v>56</v>
      </c>
      <c r="G46" s="680"/>
      <c r="H46" s="676" t="s">
        <v>844</v>
      </c>
      <c r="I46" s="676"/>
      <c r="J46" s="453"/>
      <c r="K46" s="677"/>
      <c r="L46" s="677"/>
      <c r="M46" s="451"/>
      <c r="N46" s="678"/>
      <c r="O46" s="678"/>
      <c r="P46" s="451"/>
      <c r="Q46" s="451"/>
      <c r="R46" s="454"/>
      <c r="S46" s="4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row>
    <row r="47" spans="1:65" ht="15" customHeight="1" x14ac:dyDescent="0.2">
      <c r="A47" s="448">
        <v>28</v>
      </c>
      <c r="B47" s="449" t="s">
        <v>689</v>
      </c>
      <c r="C47" s="683" t="s">
        <v>66</v>
      </c>
      <c r="D47" s="684"/>
      <c r="E47" s="450" t="s">
        <v>51</v>
      </c>
      <c r="F47" s="679" t="s">
        <v>58</v>
      </c>
      <c r="G47" s="680"/>
      <c r="H47" s="676" t="s">
        <v>844</v>
      </c>
      <c r="I47" s="676"/>
      <c r="J47" s="453"/>
      <c r="K47" s="677"/>
      <c r="L47" s="677"/>
      <c r="M47" s="451"/>
      <c r="N47" s="678"/>
      <c r="O47" s="678"/>
      <c r="P47" s="451"/>
      <c r="Q47" s="451"/>
      <c r="R47" s="454"/>
      <c r="S47" s="4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row>
    <row r="48" spans="1:65" ht="15" customHeight="1" x14ac:dyDescent="0.2">
      <c r="A48" s="448">
        <v>29</v>
      </c>
      <c r="B48" s="449" t="s">
        <v>689</v>
      </c>
      <c r="C48" s="683" t="s">
        <v>673</v>
      </c>
      <c r="D48" s="684"/>
      <c r="E48" s="450" t="s">
        <v>51</v>
      </c>
      <c r="F48" s="679" t="s">
        <v>656</v>
      </c>
      <c r="G48" s="680"/>
      <c r="H48" s="676" t="s">
        <v>844</v>
      </c>
      <c r="I48" s="676"/>
      <c r="J48" s="453"/>
      <c r="K48" s="677"/>
      <c r="L48" s="677"/>
      <c r="M48" s="451"/>
      <c r="N48" s="678"/>
      <c r="O48" s="678"/>
      <c r="P48" s="451"/>
      <c r="Q48" s="451"/>
      <c r="R48" s="454"/>
      <c r="S48" s="4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row>
    <row r="49" spans="1:65" ht="15" customHeight="1" x14ac:dyDescent="0.2">
      <c r="A49" s="448">
        <v>30</v>
      </c>
      <c r="B49" s="449" t="s">
        <v>689</v>
      </c>
      <c r="C49" s="683" t="s">
        <v>674</v>
      </c>
      <c r="D49" s="684"/>
      <c r="E49" s="450" t="s">
        <v>51</v>
      </c>
      <c r="F49" s="679" t="s">
        <v>658</v>
      </c>
      <c r="G49" s="680"/>
      <c r="H49" s="676" t="s">
        <v>844</v>
      </c>
      <c r="I49" s="676"/>
      <c r="J49" s="453"/>
      <c r="K49" s="677"/>
      <c r="L49" s="677"/>
      <c r="M49" s="451"/>
      <c r="N49" s="678"/>
      <c r="O49" s="678"/>
      <c r="P49" s="451"/>
      <c r="Q49" s="451"/>
      <c r="R49" s="454"/>
      <c r="S49" s="4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row>
    <row r="50" spans="1:65" s="447" customFormat="1" ht="15" customHeight="1" x14ac:dyDescent="0.2">
      <c r="A50" s="448">
        <v>31</v>
      </c>
      <c r="B50" s="449" t="s">
        <v>693</v>
      </c>
      <c r="C50" s="683" t="s">
        <v>971</v>
      </c>
      <c r="D50" s="684"/>
      <c r="E50" s="450" t="s">
        <v>51</v>
      </c>
      <c r="F50" s="679" t="s">
        <v>52</v>
      </c>
      <c r="G50" s="680"/>
      <c r="H50" s="676" t="s">
        <v>844</v>
      </c>
      <c r="I50" s="676"/>
      <c r="J50" s="453"/>
      <c r="K50" s="677"/>
      <c r="L50" s="677"/>
      <c r="M50" s="451"/>
      <c r="N50" s="678"/>
      <c r="O50" s="678"/>
      <c r="P50" s="451"/>
      <c r="Q50" s="451"/>
      <c r="R50" s="454"/>
      <c r="S50" s="446"/>
      <c r="U50" s="478"/>
      <c r="V50" s="478"/>
      <c r="W50" s="478"/>
      <c r="X50" s="478"/>
      <c r="Y50" s="478"/>
      <c r="Z50" s="478"/>
      <c r="AA50" s="478"/>
      <c r="AB50" s="478"/>
      <c r="AC50" s="478"/>
      <c r="AD50" s="478"/>
      <c r="AE50" s="478"/>
      <c r="AF50" s="478"/>
      <c r="AG50" s="478"/>
      <c r="AH50" s="478"/>
      <c r="AI50" s="478"/>
      <c r="AJ50" s="478"/>
      <c r="AK50" s="478"/>
      <c r="AL50" s="478"/>
      <c r="AM50" s="478"/>
      <c r="AN50" s="478"/>
      <c r="AO50" s="47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row>
    <row r="51" spans="1:65" s="447" customFormat="1" ht="15" customHeight="1" x14ac:dyDescent="0.2">
      <c r="A51" s="448">
        <v>32</v>
      </c>
      <c r="B51" s="449" t="s">
        <v>693</v>
      </c>
      <c r="C51" s="683" t="s">
        <v>972</v>
      </c>
      <c r="D51" s="684"/>
      <c r="E51" s="450" t="s">
        <v>51</v>
      </c>
      <c r="F51" s="679" t="s">
        <v>54</v>
      </c>
      <c r="G51" s="680"/>
      <c r="H51" s="676" t="s">
        <v>844</v>
      </c>
      <c r="I51" s="676"/>
      <c r="J51" s="453"/>
      <c r="K51" s="677"/>
      <c r="L51" s="677"/>
      <c r="M51" s="451"/>
      <c r="N51" s="678"/>
      <c r="O51" s="678"/>
      <c r="P51" s="451"/>
      <c r="Q51" s="451"/>
      <c r="R51" s="454"/>
      <c r="S51" s="446"/>
      <c r="U51" s="478"/>
      <c r="V51" s="478"/>
      <c r="W51" s="478"/>
      <c r="X51" s="478"/>
      <c r="Y51" s="478"/>
      <c r="Z51" s="478"/>
      <c r="AA51" s="478"/>
      <c r="AB51" s="478"/>
      <c r="AC51" s="478"/>
      <c r="AD51" s="478"/>
      <c r="AE51" s="478"/>
      <c r="AF51" s="478"/>
      <c r="AG51" s="478"/>
      <c r="AH51" s="478"/>
      <c r="AI51" s="478"/>
      <c r="AJ51" s="478"/>
      <c r="AK51" s="478"/>
      <c r="AL51" s="478"/>
      <c r="AM51" s="478"/>
      <c r="AN51" s="478"/>
      <c r="AO51" s="47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row>
    <row r="52" spans="1:65" s="447" customFormat="1" ht="15" customHeight="1" x14ac:dyDescent="0.2">
      <c r="A52" s="448">
        <v>33</v>
      </c>
      <c r="B52" s="449" t="s">
        <v>693</v>
      </c>
      <c r="C52" s="683" t="s">
        <v>973</v>
      </c>
      <c r="D52" s="684"/>
      <c r="E52" s="450" t="s">
        <v>51</v>
      </c>
      <c r="F52" s="679" t="s">
        <v>56</v>
      </c>
      <c r="G52" s="680"/>
      <c r="H52" s="676" t="s">
        <v>844</v>
      </c>
      <c r="I52" s="676"/>
      <c r="J52" s="453"/>
      <c r="K52" s="677"/>
      <c r="L52" s="677"/>
      <c r="M52" s="451"/>
      <c r="N52" s="678"/>
      <c r="O52" s="678"/>
      <c r="P52" s="451"/>
      <c r="Q52" s="451"/>
      <c r="R52" s="454"/>
      <c r="S52" s="446"/>
      <c r="U52" s="478"/>
      <c r="V52" s="478"/>
      <c r="W52" s="478"/>
      <c r="X52" s="478"/>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row>
    <row r="53" spans="1:65" s="447" customFormat="1" ht="15" customHeight="1" x14ac:dyDescent="0.2">
      <c r="A53" s="448">
        <v>34</v>
      </c>
      <c r="B53" s="449" t="s">
        <v>693</v>
      </c>
      <c r="C53" s="683" t="s">
        <v>826</v>
      </c>
      <c r="D53" s="684"/>
      <c r="E53" s="450" t="s">
        <v>51</v>
      </c>
      <c r="F53" s="679" t="s">
        <v>58</v>
      </c>
      <c r="G53" s="680"/>
      <c r="H53" s="676" t="s">
        <v>844</v>
      </c>
      <c r="I53" s="676"/>
      <c r="J53" s="453"/>
      <c r="K53" s="677"/>
      <c r="L53" s="677"/>
      <c r="M53" s="451"/>
      <c r="N53" s="678"/>
      <c r="O53" s="678"/>
      <c r="P53" s="451"/>
      <c r="Q53" s="451"/>
      <c r="R53" s="454"/>
      <c r="S53" s="446"/>
      <c r="U53" s="478"/>
      <c r="V53" s="478"/>
      <c r="W53" s="478"/>
      <c r="X53" s="478"/>
      <c r="Y53" s="478"/>
      <c r="Z53" s="478"/>
      <c r="AA53" s="478"/>
      <c r="AB53" s="478"/>
      <c r="AC53" s="478"/>
      <c r="AD53" s="478"/>
      <c r="AE53" s="478"/>
      <c r="AF53" s="478"/>
      <c r="AG53" s="478"/>
      <c r="AH53" s="478"/>
      <c r="AI53" s="478"/>
      <c r="AJ53" s="478"/>
      <c r="AK53" s="478"/>
      <c r="AL53" s="478"/>
      <c r="AM53" s="478"/>
      <c r="AN53" s="478"/>
      <c r="AO53" s="478"/>
      <c r="AP53" s="689"/>
      <c r="AQ53" s="689"/>
      <c r="AR53" s="689"/>
      <c r="AS53" s="690"/>
      <c r="AT53" s="690"/>
      <c r="AU53" s="690"/>
      <c r="AV53" s="689"/>
      <c r="AW53" s="689"/>
      <c r="AX53" s="689"/>
      <c r="AY53" s="482"/>
      <c r="AZ53" s="690"/>
      <c r="BA53" s="690"/>
      <c r="BB53" s="690"/>
      <c r="BC53" s="691"/>
      <c r="BD53" s="691"/>
      <c r="BE53" s="691"/>
      <c r="BF53" s="483"/>
      <c r="BG53" s="478"/>
      <c r="BH53" s="478"/>
      <c r="BI53" s="478"/>
      <c r="BJ53" s="478"/>
      <c r="BK53" s="478"/>
      <c r="BL53" s="478"/>
      <c r="BM53" s="478"/>
    </row>
    <row r="54" spans="1:65" s="447" customFormat="1" ht="15" customHeight="1" x14ac:dyDescent="0.2">
      <c r="A54" s="448">
        <v>35</v>
      </c>
      <c r="B54" s="449" t="s">
        <v>693</v>
      </c>
      <c r="C54" s="683" t="s">
        <v>827</v>
      </c>
      <c r="D54" s="684"/>
      <c r="E54" s="450" t="s">
        <v>51</v>
      </c>
      <c r="F54" s="679" t="s">
        <v>656</v>
      </c>
      <c r="G54" s="680"/>
      <c r="H54" s="676" t="s">
        <v>844</v>
      </c>
      <c r="I54" s="676"/>
      <c r="J54" s="453"/>
      <c r="K54" s="677"/>
      <c r="L54" s="677"/>
      <c r="M54" s="451"/>
      <c r="N54" s="678"/>
      <c r="O54" s="678"/>
      <c r="P54" s="451"/>
      <c r="Q54" s="451"/>
      <c r="R54" s="454"/>
      <c r="S54" s="446"/>
      <c r="U54" s="478"/>
      <c r="V54" s="478"/>
      <c r="W54" s="478"/>
      <c r="X54" s="478"/>
      <c r="Y54" s="478"/>
      <c r="Z54" s="478"/>
      <c r="AA54" s="478"/>
      <c r="AB54" s="478"/>
      <c r="AC54" s="478"/>
      <c r="AD54" s="478"/>
      <c r="AE54" s="478"/>
      <c r="AF54" s="478"/>
      <c r="AG54" s="478"/>
      <c r="AH54" s="478"/>
      <c r="AI54" s="478"/>
      <c r="AJ54" s="478"/>
      <c r="AK54" s="478"/>
      <c r="AL54" s="478"/>
      <c r="AM54" s="478"/>
      <c r="AN54" s="478"/>
      <c r="AO54" s="478"/>
      <c r="AP54" s="689"/>
      <c r="AQ54" s="689"/>
      <c r="AR54" s="689"/>
      <c r="AS54" s="690"/>
      <c r="AT54" s="690"/>
      <c r="AU54" s="690"/>
      <c r="AV54" s="689"/>
      <c r="AW54" s="689"/>
      <c r="AX54" s="689"/>
      <c r="AY54" s="482"/>
      <c r="AZ54" s="690"/>
      <c r="BA54" s="690"/>
      <c r="BB54" s="690"/>
      <c r="BC54" s="691"/>
      <c r="BD54" s="691"/>
      <c r="BE54" s="691"/>
      <c r="BF54" s="483"/>
      <c r="BG54" s="478"/>
      <c r="BH54" s="478"/>
      <c r="BI54" s="478"/>
      <c r="BJ54" s="478"/>
      <c r="BK54" s="478"/>
      <c r="BL54" s="478"/>
      <c r="BM54" s="478"/>
    </row>
    <row r="55" spans="1:65" s="447" customFormat="1" ht="15" customHeight="1" x14ac:dyDescent="0.2">
      <c r="A55" s="448">
        <v>36</v>
      </c>
      <c r="B55" s="449" t="s">
        <v>693</v>
      </c>
      <c r="C55" s="683" t="s">
        <v>828</v>
      </c>
      <c r="D55" s="684"/>
      <c r="E55" s="450" t="s">
        <v>51</v>
      </c>
      <c r="F55" s="679" t="s">
        <v>658</v>
      </c>
      <c r="G55" s="680"/>
      <c r="H55" s="676" t="s">
        <v>844</v>
      </c>
      <c r="I55" s="676"/>
      <c r="J55" s="453"/>
      <c r="K55" s="677"/>
      <c r="L55" s="677"/>
      <c r="M55" s="451"/>
      <c r="N55" s="678"/>
      <c r="O55" s="678"/>
      <c r="P55" s="451"/>
      <c r="Q55" s="451"/>
      <c r="R55" s="454"/>
      <c r="S55" s="446"/>
      <c r="U55" s="478"/>
      <c r="V55" s="478"/>
      <c r="W55" s="478"/>
      <c r="X55" s="478"/>
      <c r="Y55" s="478"/>
      <c r="Z55" s="478"/>
      <c r="AA55" s="478"/>
      <c r="AB55" s="478"/>
      <c r="AC55" s="478"/>
      <c r="AD55" s="478"/>
      <c r="AE55" s="478"/>
      <c r="AF55" s="478"/>
      <c r="AG55" s="478"/>
      <c r="AH55" s="478"/>
      <c r="AI55" s="478"/>
      <c r="AJ55" s="478"/>
      <c r="AK55" s="478"/>
      <c r="AL55" s="478"/>
      <c r="AM55" s="478"/>
      <c r="AN55" s="478"/>
      <c r="AO55" s="478"/>
      <c r="AP55" s="689"/>
      <c r="AQ55" s="689"/>
      <c r="AR55" s="689"/>
      <c r="AS55" s="690"/>
      <c r="AT55" s="690"/>
      <c r="AU55" s="690"/>
      <c r="AV55" s="689"/>
      <c r="AW55" s="689"/>
      <c r="AX55" s="689"/>
      <c r="AY55" s="482"/>
      <c r="AZ55" s="690"/>
      <c r="BA55" s="690"/>
      <c r="BB55" s="690"/>
      <c r="BC55" s="691"/>
      <c r="BD55" s="691"/>
      <c r="BE55" s="691"/>
      <c r="BF55" s="483"/>
      <c r="BG55" s="478"/>
      <c r="BH55" s="478"/>
      <c r="BI55" s="478"/>
      <c r="BJ55" s="478"/>
      <c r="BK55" s="478"/>
      <c r="BL55" s="478"/>
      <c r="BM55" s="478"/>
    </row>
    <row r="56" spans="1:65" ht="15" customHeight="1" x14ac:dyDescent="0.2">
      <c r="A56" s="448">
        <v>37</v>
      </c>
      <c r="B56" s="449" t="s">
        <v>992</v>
      </c>
      <c r="C56" s="683" t="s">
        <v>974</v>
      </c>
      <c r="D56" s="684"/>
      <c r="E56" s="450" t="s">
        <v>51</v>
      </c>
      <c r="F56" s="679" t="s">
        <v>52</v>
      </c>
      <c r="G56" s="680"/>
      <c r="H56" s="676" t="s">
        <v>844</v>
      </c>
      <c r="I56" s="676"/>
      <c r="J56" s="453"/>
      <c r="K56" s="677"/>
      <c r="L56" s="677"/>
      <c r="M56" s="451"/>
      <c r="N56" s="678"/>
      <c r="O56" s="678"/>
      <c r="P56" s="451"/>
      <c r="Q56" s="451"/>
      <c r="R56" s="454"/>
      <c r="S56" s="411"/>
      <c r="U56" s="11"/>
      <c r="V56" s="11"/>
      <c r="W56" s="11"/>
      <c r="X56" s="11"/>
      <c r="Y56" s="11"/>
      <c r="Z56" s="11"/>
      <c r="AA56" s="11"/>
      <c r="AB56" s="11"/>
      <c r="AC56" s="11"/>
      <c r="AD56" s="11"/>
      <c r="AE56" s="11"/>
      <c r="AF56" s="11"/>
      <c r="AG56" s="11"/>
      <c r="AH56" s="11"/>
      <c r="AI56" s="11"/>
      <c r="AJ56" s="11"/>
      <c r="AK56" s="11"/>
      <c r="AL56" s="11"/>
      <c r="AM56" s="11"/>
      <c r="AN56" s="11"/>
      <c r="AO56" s="11"/>
      <c r="AP56" s="685"/>
      <c r="AQ56" s="685"/>
      <c r="AR56" s="685"/>
      <c r="AS56" s="686"/>
      <c r="AT56" s="686"/>
      <c r="AU56" s="686"/>
      <c r="AV56" s="685"/>
      <c r="AW56" s="685"/>
      <c r="AX56" s="685"/>
      <c r="AY56" s="428"/>
      <c r="AZ56" s="686"/>
      <c r="BA56" s="686"/>
      <c r="BB56" s="686"/>
      <c r="BC56" s="688"/>
      <c r="BD56" s="688"/>
      <c r="BE56" s="688"/>
      <c r="BF56" s="409"/>
      <c r="BG56" s="11"/>
      <c r="BH56" s="11"/>
      <c r="BI56" s="11"/>
      <c r="BJ56" s="11"/>
      <c r="BK56" s="11"/>
      <c r="BL56" s="11"/>
      <c r="BM56" s="11"/>
    </row>
    <row r="57" spans="1:65" ht="15" customHeight="1" x14ac:dyDescent="0.2">
      <c r="A57" s="448">
        <v>38</v>
      </c>
      <c r="B57" s="449" t="s">
        <v>992</v>
      </c>
      <c r="C57" s="683" t="s">
        <v>975</v>
      </c>
      <c r="D57" s="684"/>
      <c r="E57" s="450" t="s">
        <v>51</v>
      </c>
      <c r="F57" s="679" t="s">
        <v>54</v>
      </c>
      <c r="G57" s="680"/>
      <c r="H57" s="676" t="s">
        <v>844</v>
      </c>
      <c r="I57" s="676"/>
      <c r="J57" s="453"/>
      <c r="K57" s="677"/>
      <c r="L57" s="677"/>
      <c r="M57" s="451"/>
      <c r="N57" s="678"/>
      <c r="O57" s="678"/>
      <c r="P57" s="451"/>
      <c r="Q57" s="451"/>
      <c r="R57" s="454"/>
      <c r="S57" s="411"/>
      <c r="U57" s="11"/>
      <c r="V57" s="11"/>
      <c r="W57" s="11"/>
      <c r="X57" s="11"/>
      <c r="Y57" s="11"/>
      <c r="Z57" s="11"/>
      <c r="AA57" s="11"/>
      <c r="AB57" s="11"/>
      <c r="AC57" s="11"/>
      <c r="AD57" s="11"/>
      <c r="AE57" s="11"/>
      <c r="AF57" s="11"/>
      <c r="AG57" s="11"/>
      <c r="AH57" s="11"/>
      <c r="AI57" s="11"/>
      <c r="AJ57" s="11"/>
      <c r="AK57" s="11"/>
      <c r="AL57" s="11"/>
      <c r="AM57" s="11"/>
      <c r="AN57" s="11"/>
      <c r="AO57" s="11"/>
      <c r="AP57" s="685"/>
      <c r="AQ57" s="685"/>
      <c r="AR57" s="685"/>
      <c r="AS57" s="686"/>
      <c r="AT57" s="686"/>
      <c r="AU57" s="686"/>
      <c r="AV57" s="685"/>
      <c r="AW57" s="685"/>
      <c r="AX57" s="685"/>
      <c r="AY57" s="428"/>
      <c r="AZ57" s="686"/>
      <c r="BA57" s="686"/>
      <c r="BB57" s="686"/>
      <c r="BC57" s="688"/>
      <c r="BD57" s="688"/>
      <c r="BE57" s="688"/>
      <c r="BF57" s="409"/>
      <c r="BG57" s="11"/>
      <c r="BH57" s="11"/>
      <c r="BI57" s="11"/>
      <c r="BJ57" s="11"/>
      <c r="BK57" s="11"/>
      <c r="BL57" s="11"/>
      <c r="BM57" s="11"/>
    </row>
    <row r="58" spans="1:65" ht="15" customHeight="1" x14ac:dyDescent="0.25">
      <c r="A58" s="448">
        <v>39</v>
      </c>
      <c r="B58" s="449" t="s">
        <v>992</v>
      </c>
      <c r="C58" s="683" t="s">
        <v>976</v>
      </c>
      <c r="D58" s="684"/>
      <c r="E58" s="450" t="s">
        <v>51</v>
      </c>
      <c r="F58" s="679" t="s">
        <v>56</v>
      </c>
      <c r="G58" s="680"/>
      <c r="H58" s="676" t="s">
        <v>844</v>
      </c>
      <c r="I58" s="676"/>
      <c r="J58" s="453"/>
      <c r="K58" s="677"/>
      <c r="L58" s="677"/>
      <c r="M58" s="451"/>
      <c r="N58" s="678"/>
      <c r="O58" s="678"/>
      <c r="P58" s="451"/>
      <c r="Q58" s="451"/>
      <c r="R58" s="454"/>
      <c r="S58" s="411"/>
      <c r="U58" s="762"/>
      <c r="V58" s="762"/>
      <c r="W58" s="762"/>
      <c r="X58" s="762"/>
      <c r="Y58" s="762"/>
      <c r="Z58" s="762"/>
      <c r="AA58" s="762"/>
      <c r="AB58" s="762"/>
      <c r="AC58" s="762"/>
      <c r="AD58" s="762"/>
      <c r="AE58" s="762"/>
      <c r="AF58" s="762"/>
      <c r="AG58" s="762"/>
      <c r="AH58" s="762"/>
      <c r="AI58" s="762"/>
      <c r="AJ58" s="762"/>
      <c r="AK58" s="762"/>
      <c r="AL58" s="762"/>
      <c r="AM58" s="11"/>
      <c r="AN58" s="11"/>
      <c r="AO58" s="11"/>
      <c r="AP58" s="685"/>
      <c r="AQ58" s="685"/>
      <c r="AR58" s="685"/>
      <c r="AS58" s="686"/>
      <c r="AT58" s="686"/>
      <c r="AU58" s="686"/>
      <c r="AV58" s="685"/>
      <c r="AW58" s="685"/>
      <c r="AX58" s="685"/>
      <c r="AY58" s="428"/>
      <c r="AZ58" s="686"/>
      <c r="BA58" s="686"/>
      <c r="BB58" s="686"/>
      <c r="BC58" s="688"/>
      <c r="BD58" s="688"/>
      <c r="BE58" s="688"/>
      <c r="BF58" s="409"/>
      <c r="BG58" s="11"/>
      <c r="BH58" s="11"/>
      <c r="BI58" s="11"/>
      <c r="BJ58" s="11"/>
      <c r="BK58" s="11"/>
      <c r="BL58" s="11"/>
      <c r="BM58" s="11"/>
    </row>
    <row r="59" spans="1:65" ht="15" customHeight="1" x14ac:dyDescent="0.2">
      <c r="A59" s="448">
        <v>40</v>
      </c>
      <c r="B59" s="449" t="s">
        <v>992</v>
      </c>
      <c r="C59" s="683" t="s">
        <v>977</v>
      </c>
      <c r="D59" s="684"/>
      <c r="E59" s="450" t="s">
        <v>51</v>
      </c>
      <c r="F59" s="679" t="s">
        <v>58</v>
      </c>
      <c r="G59" s="680"/>
      <c r="H59" s="676" t="s">
        <v>844</v>
      </c>
      <c r="I59" s="676"/>
      <c r="J59" s="453"/>
      <c r="K59" s="677"/>
      <c r="L59" s="677"/>
      <c r="M59" s="451"/>
      <c r="N59" s="678"/>
      <c r="O59" s="678"/>
      <c r="P59" s="451"/>
      <c r="Q59" s="451"/>
      <c r="R59" s="454"/>
      <c r="S59" s="411"/>
      <c r="U59" s="473"/>
      <c r="V59" s="760"/>
      <c r="W59" s="760"/>
      <c r="X59" s="760"/>
      <c r="Y59" s="760"/>
      <c r="Z59" s="760"/>
      <c r="AA59" s="760"/>
      <c r="AB59" s="760"/>
      <c r="AC59" s="760"/>
      <c r="AD59" s="760"/>
      <c r="AE59" s="473"/>
      <c r="AF59" s="760"/>
      <c r="AG59" s="760"/>
      <c r="AH59" s="760"/>
      <c r="AI59" s="760"/>
      <c r="AJ59" s="760"/>
      <c r="AK59" s="760"/>
      <c r="AL59" s="760"/>
      <c r="AM59" s="11"/>
      <c r="AN59" s="11"/>
      <c r="AO59" s="11"/>
      <c r="AP59" s="685"/>
      <c r="AQ59" s="685"/>
      <c r="AR59" s="685"/>
      <c r="AS59" s="686"/>
      <c r="AT59" s="686"/>
      <c r="AU59" s="686"/>
      <c r="AV59" s="685"/>
      <c r="AW59" s="685"/>
      <c r="AX59" s="685"/>
      <c r="AY59" s="428"/>
      <c r="AZ59" s="686"/>
      <c r="BA59" s="686"/>
      <c r="BB59" s="686"/>
      <c r="BC59" s="688"/>
      <c r="BD59" s="688"/>
      <c r="BE59" s="688"/>
      <c r="BF59" s="409"/>
      <c r="BG59" s="11"/>
      <c r="BH59" s="11"/>
      <c r="BI59" s="11"/>
      <c r="BJ59" s="11"/>
      <c r="BK59" s="11"/>
      <c r="BL59" s="11"/>
      <c r="BM59" s="11"/>
    </row>
    <row r="60" spans="1:65" ht="15" customHeight="1" x14ac:dyDescent="0.2">
      <c r="A60" s="448">
        <v>41</v>
      </c>
      <c r="B60" s="449" t="s">
        <v>992</v>
      </c>
      <c r="C60" s="683" t="s">
        <v>978</v>
      </c>
      <c r="D60" s="684"/>
      <c r="E60" s="450" t="s">
        <v>51</v>
      </c>
      <c r="F60" s="679" t="s">
        <v>656</v>
      </c>
      <c r="G60" s="680"/>
      <c r="H60" s="676" t="s">
        <v>844</v>
      </c>
      <c r="I60" s="676"/>
      <c r="J60" s="453"/>
      <c r="K60" s="677"/>
      <c r="L60" s="677"/>
      <c r="M60" s="451"/>
      <c r="N60" s="678"/>
      <c r="O60" s="678"/>
      <c r="P60" s="451"/>
      <c r="Q60" s="451"/>
      <c r="R60" s="454"/>
      <c r="S60" s="411"/>
      <c r="U60" s="473"/>
      <c r="V60" s="760"/>
      <c r="W60" s="760"/>
      <c r="X60" s="760"/>
      <c r="Y60" s="760"/>
      <c r="Z60" s="800"/>
      <c r="AA60" s="800"/>
      <c r="AB60" s="800"/>
      <c r="AC60" s="800"/>
      <c r="AD60" s="800"/>
      <c r="AE60" s="431"/>
      <c r="AF60" s="800"/>
      <c r="AG60" s="800"/>
      <c r="AH60" s="800"/>
      <c r="AI60" s="800"/>
      <c r="AJ60" s="800"/>
      <c r="AK60" s="800"/>
      <c r="AL60" s="800"/>
      <c r="AM60" s="11"/>
      <c r="AN60" s="11"/>
      <c r="AO60" s="11"/>
      <c r="AP60" s="685"/>
      <c r="AQ60" s="685"/>
      <c r="AR60" s="685"/>
      <c r="AS60" s="686"/>
      <c r="AT60" s="686"/>
      <c r="AU60" s="686"/>
      <c r="AV60" s="685"/>
      <c r="AW60" s="685"/>
      <c r="AX60" s="685"/>
      <c r="AY60" s="428"/>
      <c r="AZ60" s="686"/>
      <c r="BA60" s="686"/>
      <c r="BB60" s="686"/>
      <c r="BC60" s="688"/>
      <c r="BD60" s="688"/>
      <c r="BE60" s="688"/>
      <c r="BF60" s="409"/>
      <c r="BG60" s="11"/>
      <c r="BH60" s="11"/>
      <c r="BI60" s="11"/>
      <c r="BJ60" s="11"/>
      <c r="BK60" s="11"/>
      <c r="BL60" s="11"/>
      <c r="BM60" s="11"/>
    </row>
    <row r="61" spans="1:65" ht="15" customHeight="1" x14ac:dyDescent="0.2">
      <c r="A61" s="448">
        <v>42</v>
      </c>
      <c r="B61" s="449" t="s">
        <v>992</v>
      </c>
      <c r="C61" s="683" t="s">
        <v>979</v>
      </c>
      <c r="D61" s="684"/>
      <c r="E61" s="450" t="s">
        <v>51</v>
      </c>
      <c r="F61" s="679" t="s">
        <v>658</v>
      </c>
      <c r="G61" s="680"/>
      <c r="H61" s="676" t="s">
        <v>844</v>
      </c>
      <c r="I61" s="676"/>
      <c r="J61" s="453"/>
      <c r="K61" s="677"/>
      <c r="L61" s="677"/>
      <c r="M61" s="451"/>
      <c r="N61" s="678"/>
      <c r="O61" s="678"/>
      <c r="P61" s="451"/>
      <c r="Q61" s="451"/>
      <c r="R61" s="454"/>
      <c r="S61" s="411"/>
      <c r="U61" s="473"/>
      <c r="V61" s="760"/>
      <c r="W61" s="760"/>
      <c r="X61" s="760"/>
      <c r="Y61" s="760"/>
      <c r="Z61" s="800"/>
      <c r="AA61" s="800"/>
      <c r="AB61" s="800"/>
      <c r="AC61" s="800"/>
      <c r="AD61" s="800"/>
      <c r="AE61" s="431"/>
      <c r="AF61" s="800"/>
      <c r="AG61" s="800"/>
      <c r="AH61" s="800"/>
      <c r="AI61" s="800"/>
      <c r="AJ61" s="800"/>
      <c r="AK61" s="800"/>
      <c r="AL61" s="800"/>
      <c r="AM61" s="11"/>
      <c r="AN61" s="11"/>
      <c r="AO61" s="11"/>
      <c r="AP61" s="685"/>
      <c r="AQ61" s="685"/>
      <c r="AR61" s="685"/>
      <c r="AS61" s="686"/>
      <c r="AT61" s="686"/>
      <c r="AU61" s="686"/>
      <c r="AV61" s="685"/>
      <c r="AW61" s="685"/>
      <c r="AX61" s="685"/>
      <c r="AY61" s="428"/>
      <c r="AZ61" s="686"/>
      <c r="BA61" s="686"/>
      <c r="BB61" s="686"/>
      <c r="BC61" s="688"/>
      <c r="BD61" s="688"/>
      <c r="BE61" s="688"/>
      <c r="BF61" s="409"/>
      <c r="BG61" s="11"/>
      <c r="BH61" s="11"/>
      <c r="BI61" s="11"/>
      <c r="BJ61" s="11"/>
      <c r="BK61" s="11"/>
      <c r="BL61" s="11"/>
      <c r="BM61" s="11"/>
    </row>
    <row r="62" spans="1:65" s="447" customFormat="1" ht="15" customHeight="1" x14ac:dyDescent="0.2">
      <c r="A62" s="448">
        <v>43</v>
      </c>
      <c r="B62" s="449" t="s">
        <v>945</v>
      </c>
      <c r="C62" s="683" t="s">
        <v>980</v>
      </c>
      <c r="D62" s="684"/>
      <c r="E62" s="450" t="s">
        <v>51</v>
      </c>
      <c r="F62" s="679" t="s">
        <v>52</v>
      </c>
      <c r="G62" s="680"/>
      <c r="H62" s="676" t="s">
        <v>844</v>
      </c>
      <c r="I62" s="676"/>
      <c r="J62" s="453"/>
      <c r="K62" s="677"/>
      <c r="L62" s="677"/>
      <c r="M62" s="451"/>
      <c r="N62" s="678"/>
      <c r="O62" s="678"/>
      <c r="P62" s="451"/>
      <c r="Q62" s="451"/>
      <c r="R62" s="454"/>
      <c r="S62" s="446"/>
      <c r="U62" s="465"/>
      <c r="V62" s="761"/>
      <c r="W62" s="761"/>
      <c r="X62" s="761"/>
      <c r="Y62" s="761"/>
      <c r="Z62" s="809"/>
      <c r="AA62" s="809"/>
      <c r="AB62" s="809"/>
      <c r="AC62" s="761"/>
      <c r="AD62" s="761"/>
      <c r="AE62" s="484"/>
      <c r="AF62" s="761"/>
      <c r="AG62" s="761"/>
      <c r="AH62" s="761"/>
      <c r="AI62" s="761"/>
      <c r="AJ62" s="761"/>
      <c r="AK62" s="761"/>
      <c r="AL62" s="761"/>
      <c r="AM62" s="478"/>
      <c r="AN62" s="478"/>
      <c r="AO62" s="478"/>
      <c r="AP62" s="689"/>
      <c r="AQ62" s="689"/>
      <c r="AR62" s="689"/>
      <c r="AS62" s="690"/>
      <c r="AT62" s="690"/>
      <c r="AU62" s="690"/>
      <c r="AV62" s="689"/>
      <c r="AW62" s="689"/>
      <c r="AX62" s="689"/>
      <c r="AY62" s="482"/>
      <c r="AZ62" s="690"/>
      <c r="BA62" s="690"/>
      <c r="BB62" s="690"/>
      <c r="BC62" s="691"/>
      <c r="BD62" s="691"/>
      <c r="BE62" s="691"/>
      <c r="BF62" s="483"/>
      <c r="BG62" s="478"/>
      <c r="BH62" s="478"/>
      <c r="BI62" s="478"/>
      <c r="BJ62" s="478"/>
      <c r="BK62" s="478"/>
      <c r="BL62" s="478"/>
      <c r="BM62" s="478"/>
    </row>
    <row r="63" spans="1:65" s="447" customFormat="1" ht="15" customHeight="1" x14ac:dyDescent="0.2">
      <c r="A63" s="448">
        <v>44</v>
      </c>
      <c r="B63" s="449" t="s">
        <v>945</v>
      </c>
      <c r="C63" s="683" t="s">
        <v>981</v>
      </c>
      <c r="D63" s="684"/>
      <c r="E63" s="450" t="s">
        <v>51</v>
      </c>
      <c r="F63" s="679" t="s">
        <v>54</v>
      </c>
      <c r="G63" s="680"/>
      <c r="H63" s="676" t="s">
        <v>844</v>
      </c>
      <c r="I63" s="676"/>
      <c r="J63" s="453"/>
      <c r="K63" s="677"/>
      <c r="L63" s="677"/>
      <c r="M63" s="451"/>
      <c r="N63" s="678"/>
      <c r="O63" s="678"/>
      <c r="P63" s="451"/>
      <c r="Q63" s="451"/>
      <c r="R63" s="454"/>
      <c r="S63" s="446"/>
      <c r="U63" s="465"/>
      <c r="V63" s="761"/>
      <c r="W63" s="761"/>
      <c r="X63" s="761"/>
      <c r="Y63" s="761"/>
      <c r="Z63" s="761"/>
      <c r="AA63" s="761"/>
      <c r="AB63" s="761"/>
      <c r="AC63" s="761"/>
      <c r="AD63" s="761"/>
      <c r="AE63" s="484"/>
      <c r="AF63" s="761"/>
      <c r="AG63" s="761"/>
      <c r="AH63" s="761"/>
      <c r="AI63" s="761"/>
      <c r="AJ63" s="761"/>
      <c r="AK63" s="761"/>
      <c r="AL63" s="761"/>
      <c r="AM63" s="478"/>
      <c r="AN63" s="478"/>
      <c r="AO63" s="478"/>
      <c r="AP63" s="689"/>
      <c r="AQ63" s="689"/>
      <c r="AR63" s="689"/>
      <c r="AS63" s="690"/>
      <c r="AT63" s="690"/>
      <c r="AU63" s="690"/>
      <c r="AV63" s="689"/>
      <c r="AW63" s="689"/>
      <c r="AX63" s="689"/>
      <c r="AY63" s="482"/>
      <c r="AZ63" s="690"/>
      <c r="BA63" s="690"/>
      <c r="BB63" s="690"/>
      <c r="BC63" s="691"/>
      <c r="BD63" s="691"/>
      <c r="BE63" s="691"/>
      <c r="BF63" s="483"/>
      <c r="BG63" s="478"/>
      <c r="BH63" s="478"/>
      <c r="BI63" s="478"/>
      <c r="BJ63" s="478"/>
      <c r="BK63" s="478"/>
      <c r="BL63" s="478"/>
      <c r="BM63" s="478"/>
    </row>
    <row r="64" spans="1:65" s="447" customFormat="1" ht="15" customHeight="1" x14ac:dyDescent="0.2">
      <c r="A64" s="448">
        <v>45</v>
      </c>
      <c r="B64" s="449" t="s">
        <v>945</v>
      </c>
      <c r="C64" s="683" t="s">
        <v>982</v>
      </c>
      <c r="D64" s="684"/>
      <c r="E64" s="450" t="s">
        <v>51</v>
      </c>
      <c r="F64" s="679" t="s">
        <v>56</v>
      </c>
      <c r="G64" s="680"/>
      <c r="H64" s="676" t="s">
        <v>844</v>
      </c>
      <c r="I64" s="676"/>
      <c r="J64" s="453"/>
      <c r="K64" s="677"/>
      <c r="L64" s="677"/>
      <c r="M64" s="451"/>
      <c r="N64" s="678"/>
      <c r="O64" s="678"/>
      <c r="P64" s="451"/>
      <c r="Q64" s="451"/>
      <c r="R64" s="454"/>
      <c r="S64" s="446"/>
      <c r="U64" s="465"/>
      <c r="V64" s="761"/>
      <c r="W64" s="761"/>
      <c r="X64" s="761"/>
      <c r="Y64" s="761"/>
      <c r="Z64" s="761"/>
      <c r="AA64" s="761"/>
      <c r="AB64" s="761"/>
      <c r="AC64" s="761"/>
      <c r="AD64" s="761"/>
      <c r="AE64" s="484"/>
      <c r="AF64" s="761"/>
      <c r="AG64" s="761"/>
      <c r="AH64" s="761"/>
      <c r="AI64" s="761"/>
      <c r="AJ64" s="761"/>
      <c r="AK64" s="761"/>
      <c r="AL64" s="761"/>
      <c r="AM64" s="478"/>
      <c r="AN64" s="478"/>
      <c r="AO64" s="478"/>
      <c r="AP64" s="689"/>
      <c r="AQ64" s="689"/>
      <c r="AR64" s="689"/>
      <c r="AS64" s="690"/>
      <c r="AT64" s="690"/>
      <c r="AU64" s="690"/>
      <c r="AV64" s="689"/>
      <c r="AW64" s="689"/>
      <c r="AX64" s="689"/>
      <c r="AY64" s="482"/>
      <c r="AZ64" s="690"/>
      <c r="BA64" s="690"/>
      <c r="BB64" s="690"/>
      <c r="BC64" s="691"/>
      <c r="BD64" s="691"/>
      <c r="BE64" s="691"/>
      <c r="BF64" s="483"/>
      <c r="BG64" s="478"/>
      <c r="BH64" s="478"/>
      <c r="BI64" s="478"/>
      <c r="BJ64" s="478"/>
      <c r="BK64" s="478"/>
      <c r="BL64" s="478"/>
      <c r="BM64" s="478"/>
    </row>
    <row r="65" spans="1:65" s="447" customFormat="1" ht="15" customHeight="1" x14ac:dyDescent="0.2">
      <c r="A65" s="448">
        <v>46</v>
      </c>
      <c r="B65" s="449" t="s">
        <v>945</v>
      </c>
      <c r="C65" s="683" t="s">
        <v>983</v>
      </c>
      <c r="D65" s="684"/>
      <c r="E65" s="450" t="s">
        <v>51</v>
      </c>
      <c r="F65" s="679" t="s">
        <v>58</v>
      </c>
      <c r="G65" s="680"/>
      <c r="H65" s="676" t="s">
        <v>844</v>
      </c>
      <c r="I65" s="676"/>
      <c r="J65" s="453"/>
      <c r="K65" s="677"/>
      <c r="L65" s="677"/>
      <c r="M65" s="451"/>
      <c r="N65" s="678"/>
      <c r="O65" s="678"/>
      <c r="P65" s="451"/>
      <c r="Q65" s="451"/>
      <c r="R65" s="454"/>
      <c r="S65" s="446"/>
      <c r="U65" s="761"/>
      <c r="V65" s="761"/>
      <c r="W65" s="761"/>
      <c r="X65" s="761"/>
      <c r="Y65" s="761"/>
      <c r="Z65" s="761"/>
      <c r="AA65" s="761"/>
      <c r="AB65" s="761"/>
      <c r="AC65" s="761"/>
      <c r="AD65" s="761"/>
      <c r="AE65" s="811"/>
      <c r="AF65" s="761"/>
      <c r="AG65" s="761"/>
      <c r="AH65" s="761"/>
      <c r="AI65" s="812"/>
      <c r="AJ65" s="812"/>
      <c r="AK65" s="812"/>
      <c r="AL65" s="812"/>
      <c r="AM65" s="478"/>
      <c r="AN65" s="478"/>
      <c r="AO65" s="478"/>
      <c r="AP65" s="689"/>
      <c r="AQ65" s="689"/>
      <c r="AR65" s="689"/>
      <c r="AS65" s="690"/>
      <c r="AT65" s="690"/>
      <c r="AU65" s="690"/>
      <c r="AV65" s="689"/>
      <c r="AW65" s="689"/>
      <c r="AX65" s="689"/>
      <c r="AY65" s="482"/>
      <c r="AZ65" s="690"/>
      <c r="BA65" s="690"/>
      <c r="BB65" s="690"/>
      <c r="BC65" s="691"/>
      <c r="BD65" s="691"/>
      <c r="BE65" s="691"/>
      <c r="BF65" s="483"/>
      <c r="BG65" s="478"/>
      <c r="BH65" s="478"/>
      <c r="BI65" s="478"/>
      <c r="BJ65" s="478"/>
      <c r="BK65" s="478"/>
      <c r="BL65" s="478"/>
      <c r="BM65" s="478"/>
    </row>
    <row r="66" spans="1:65" s="447" customFormat="1" ht="15" customHeight="1" x14ac:dyDescent="0.2">
      <c r="A66" s="448">
        <v>47</v>
      </c>
      <c r="B66" s="449" t="s">
        <v>945</v>
      </c>
      <c r="C66" s="683" t="s">
        <v>984</v>
      </c>
      <c r="D66" s="684"/>
      <c r="E66" s="450" t="s">
        <v>51</v>
      </c>
      <c r="F66" s="679" t="s">
        <v>656</v>
      </c>
      <c r="G66" s="680"/>
      <c r="H66" s="676" t="s">
        <v>844</v>
      </c>
      <c r="I66" s="676"/>
      <c r="J66" s="453"/>
      <c r="K66" s="677"/>
      <c r="L66" s="677"/>
      <c r="M66" s="451"/>
      <c r="N66" s="678"/>
      <c r="O66" s="678"/>
      <c r="P66" s="451"/>
      <c r="Q66" s="451"/>
      <c r="R66" s="454"/>
      <c r="S66" s="446"/>
      <c r="U66" s="761"/>
      <c r="V66" s="761"/>
      <c r="W66" s="761"/>
      <c r="X66" s="761"/>
      <c r="Y66" s="761"/>
      <c r="Z66" s="761"/>
      <c r="AA66" s="761"/>
      <c r="AB66" s="761"/>
      <c r="AC66" s="761"/>
      <c r="AD66" s="761"/>
      <c r="AE66" s="811"/>
      <c r="AF66" s="761"/>
      <c r="AG66" s="761"/>
      <c r="AH66" s="761"/>
      <c r="AI66" s="812"/>
      <c r="AJ66" s="812"/>
      <c r="AK66" s="812"/>
      <c r="AL66" s="812"/>
      <c r="AM66" s="478"/>
      <c r="AN66" s="478"/>
      <c r="AO66" s="478"/>
      <c r="AP66" s="689"/>
      <c r="AQ66" s="689"/>
      <c r="AR66" s="689"/>
      <c r="AS66" s="690"/>
      <c r="AT66" s="690"/>
      <c r="AU66" s="690"/>
      <c r="AV66" s="689"/>
      <c r="AW66" s="689"/>
      <c r="AX66" s="689"/>
      <c r="AY66" s="482"/>
      <c r="AZ66" s="690"/>
      <c r="BA66" s="690"/>
      <c r="BB66" s="690"/>
      <c r="BC66" s="691"/>
      <c r="BD66" s="691"/>
      <c r="BE66" s="691"/>
      <c r="BF66" s="483"/>
      <c r="BG66" s="478"/>
      <c r="BH66" s="478"/>
      <c r="BI66" s="478"/>
      <c r="BJ66" s="478"/>
      <c r="BK66" s="478"/>
      <c r="BL66" s="478"/>
      <c r="BM66" s="478"/>
    </row>
    <row r="67" spans="1:65" s="447" customFormat="1" ht="15" customHeight="1" x14ac:dyDescent="0.2">
      <c r="A67" s="448">
        <v>48</v>
      </c>
      <c r="B67" s="449" t="s">
        <v>945</v>
      </c>
      <c r="C67" s="683" t="s">
        <v>985</v>
      </c>
      <c r="D67" s="684"/>
      <c r="E67" s="450" t="s">
        <v>51</v>
      </c>
      <c r="F67" s="679" t="s">
        <v>658</v>
      </c>
      <c r="G67" s="680"/>
      <c r="H67" s="676" t="s">
        <v>844</v>
      </c>
      <c r="I67" s="676"/>
      <c r="J67" s="453"/>
      <c r="K67" s="677"/>
      <c r="L67" s="677"/>
      <c r="M67" s="451"/>
      <c r="N67" s="678"/>
      <c r="O67" s="678"/>
      <c r="P67" s="451"/>
      <c r="Q67" s="451"/>
      <c r="R67" s="454"/>
      <c r="S67" s="446"/>
      <c r="U67" s="761"/>
      <c r="V67" s="761"/>
      <c r="W67" s="761"/>
      <c r="X67" s="761"/>
      <c r="Y67" s="761"/>
      <c r="Z67" s="761"/>
      <c r="AA67" s="761"/>
      <c r="AB67" s="761"/>
      <c r="AC67" s="761"/>
      <c r="AD67" s="761"/>
      <c r="AE67" s="811"/>
      <c r="AF67" s="761"/>
      <c r="AG67" s="761"/>
      <c r="AH67" s="761"/>
      <c r="AI67" s="812"/>
      <c r="AJ67" s="812"/>
      <c r="AK67" s="812"/>
      <c r="AL67" s="812"/>
      <c r="AM67" s="478"/>
      <c r="AN67" s="478"/>
      <c r="AO67" s="478"/>
      <c r="AP67" s="689"/>
      <c r="AQ67" s="689"/>
      <c r="AR67" s="689"/>
      <c r="AS67" s="690"/>
      <c r="AT67" s="690"/>
      <c r="AU67" s="690"/>
      <c r="AV67" s="689"/>
      <c r="AW67" s="689"/>
      <c r="AX67" s="689"/>
      <c r="AY67" s="482"/>
      <c r="AZ67" s="690"/>
      <c r="BA67" s="690"/>
      <c r="BB67" s="690"/>
      <c r="BC67" s="691"/>
      <c r="BD67" s="691"/>
      <c r="BE67" s="691"/>
      <c r="BF67" s="483"/>
      <c r="BG67" s="478"/>
      <c r="BH67" s="478"/>
      <c r="BI67" s="478"/>
      <c r="BJ67" s="478"/>
      <c r="BK67" s="478"/>
      <c r="BL67" s="478"/>
      <c r="BM67" s="478"/>
    </row>
    <row r="68" spans="1:65" ht="15" customHeight="1" x14ac:dyDescent="0.2">
      <c r="A68" s="448">
        <v>49</v>
      </c>
      <c r="B68" s="449" t="s">
        <v>993</v>
      </c>
      <c r="C68" s="683" t="s">
        <v>986</v>
      </c>
      <c r="D68" s="684"/>
      <c r="E68" s="450" t="s">
        <v>51</v>
      </c>
      <c r="F68" s="679" t="s">
        <v>52</v>
      </c>
      <c r="G68" s="680"/>
      <c r="H68" s="676" t="s">
        <v>844</v>
      </c>
      <c r="I68" s="676"/>
      <c r="J68" s="453"/>
      <c r="K68" s="677"/>
      <c r="L68" s="677"/>
      <c r="M68" s="451"/>
      <c r="N68" s="678"/>
      <c r="O68" s="678"/>
      <c r="P68" s="451"/>
      <c r="Q68" s="451"/>
      <c r="R68" s="454"/>
      <c r="S68" s="411"/>
      <c r="U68" s="473"/>
      <c r="V68" s="760"/>
      <c r="W68" s="760"/>
      <c r="X68" s="760"/>
      <c r="Y68" s="760"/>
      <c r="Z68" s="760"/>
      <c r="AA68" s="760"/>
      <c r="AB68" s="760"/>
      <c r="AC68" s="760"/>
      <c r="AD68" s="760"/>
      <c r="AE68" s="474"/>
      <c r="AF68" s="760"/>
      <c r="AG68" s="760"/>
      <c r="AH68" s="760"/>
      <c r="AI68" s="760"/>
      <c r="AJ68" s="760"/>
      <c r="AK68" s="760"/>
      <c r="AL68" s="760"/>
      <c r="AM68" s="11"/>
      <c r="AN68" s="11"/>
      <c r="AO68" s="11"/>
      <c r="AP68" s="685"/>
      <c r="AQ68" s="685"/>
      <c r="AR68" s="685"/>
      <c r="AS68" s="686"/>
      <c r="AT68" s="686"/>
      <c r="AU68" s="686"/>
      <c r="AV68" s="685"/>
      <c r="AW68" s="685"/>
      <c r="AX68" s="685"/>
      <c r="AY68" s="428"/>
      <c r="AZ68" s="686"/>
      <c r="BA68" s="686"/>
      <c r="BB68" s="686"/>
      <c r="BC68" s="688"/>
      <c r="BD68" s="688"/>
      <c r="BE68" s="688"/>
      <c r="BF68" s="409"/>
      <c r="BG68" s="11"/>
      <c r="BH68" s="11"/>
      <c r="BI68" s="11"/>
      <c r="BJ68" s="11"/>
      <c r="BK68" s="11"/>
      <c r="BL68" s="11"/>
      <c r="BM68" s="11"/>
    </row>
    <row r="69" spans="1:65" ht="15" customHeight="1" x14ac:dyDescent="0.2">
      <c r="A69" s="448">
        <v>50</v>
      </c>
      <c r="B69" s="449" t="s">
        <v>993</v>
      </c>
      <c r="C69" s="683" t="s">
        <v>987</v>
      </c>
      <c r="D69" s="684"/>
      <c r="E69" s="450" t="s">
        <v>51</v>
      </c>
      <c r="F69" s="679" t="s">
        <v>54</v>
      </c>
      <c r="G69" s="680"/>
      <c r="H69" s="676" t="s">
        <v>844</v>
      </c>
      <c r="I69" s="676"/>
      <c r="J69" s="453"/>
      <c r="K69" s="677"/>
      <c r="L69" s="677"/>
      <c r="M69" s="451"/>
      <c r="N69" s="678"/>
      <c r="O69" s="678"/>
      <c r="P69" s="451"/>
      <c r="Q69" s="451"/>
      <c r="R69" s="454"/>
      <c r="S69" s="411"/>
      <c r="U69" s="473"/>
      <c r="V69" s="760"/>
      <c r="W69" s="760"/>
      <c r="X69" s="760"/>
      <c r="Y69" s="760"/>
      <c r="Z69" s="760"/>
      <c r="AA69" s="760"/>
      <c r="AB69" s="760"/>
      <c r="AC69" s="760"/>
      <c r="AD69" s="760"/>
      <c r="AE69" s="474"/>
      <c r="AF69" s="760"/>
      <c r="AG69" s="760"/>
      <c r="AH69" s="760"/>
      <c r="AI69" s="760"/>
      <c r="AJ69" s="760"/>
      <c r="AK69" s="760"/>
      <c r="AL69" s="760"/>
      <c r="AM69" s="11"/>
      <c r="AN69" s="11"/>
      <c r="AO69" s="11"/>
      <c r="AP69" s="685"/>
      <c r="AQ69" s="685"/>
      <c r="AR69" s="685"/>
      <c r="AS69" s="686"/>
      <c r="AT69" s="686"/>
      <c r="AU69" s="686"/>
      <c r="AV69" s="685"/>
      <c r="AW69" s="685"/>
      <c r="AX69" s="685"/>
      <c r="AY69" s="428"/>
      <c r="AZ69" s="686"/>
      <c r="BA69" s="686"/>
      <c r="BB69" s="686"/>
      <c r="BC69" s="688"/>
      <c r="BD69" s="688"/>
      <c r="BE69" s="688"/>
      <c r="BF69" s="409"/>
      <c r="BG69" s="11"/>
      <c r="BH69" s="11"/>
      <c r="BI69" s="11"/>
      <c r="BJ69" s="11"/>
      <c r="BK69" s="11"/>
      <c r="BL69" s="11"/>
      <c r="BM69" s="11"/>
    </row>
    <row r="70" spans="1:65" ht="15" customHeight="1" x14ac:dyDescent="0.2">
      <c r="A70" s="448">
        <v>51</v>
      </c>
      <c r="B70" s="449" t="s">
        <v>993</v>
      </c>
      <c r="C70" s="683" t="s">
        <v>988</v>
      </c>
      <c r="D70" s="684"/>
      <c r="E70" s="450" t="s">
        <v>51</v>
      </c>
      <c r="F70" s="679" t="s">
        <v>56</v>
      </c>
      <c r="G70" s="680"/>
      <c r="H70" s="676" t="s">
        <v>844</v>
      </c>
      <c r="I70" s="676"/>
      <c r="J70" s="453"/>
      <c r="K70" s="677"/>
      <c r="L70" s="677"/>
      <c r="M70" s="451"/>
      <c r="N70" s="678"/>
      <c r="O70" s="678"/>
      <c r="P70" s="451"/>
      <c r="Q70" s="451"/>
      <c r="R70" s="454"/>
      <c r="S70" s="411"/>
      <c r="U70" s="473"/>
      <c r="V70" s="760"/>
      <c r="W70" s="760"/>
      <c r="X70" s="760"/>
      <c r="Y70" s="760"/>
      <c r="Z70" s="760"/>
      <c r="AA70" s="760"/>
      <c r="AB70" s="760"/>
      <c r="AC70" s="760"/>
      <c r="AD70" s="760"/>
      <c r="AE70" s="474"/>
      <c r="AF70" s="760"/>
      <c r="AG70" s="760"/>
      <c r="AH70" s="760"/>
      <c r="AI70" s="760"/>
      <c r="AJ70" s="760"/>
      <c r="AK70" s="760"/>
      <c r="AL70" s="760"/>
      <c r="AM70" s="11"/>
      <c r="AN70" s="11"/>
      <c r="AO70" s="11"/>
      <c r="AP70" s="685"/>
      <c r="AQ70" s="685"/>
      <c r="AR70" s="685"/>
      <c r="AS70" s="686"/>
      <c r="AT70" s="686"/>
      <c r="AU70" s="686"/>
      <c r="AV70" s="685"/>
      <c r="AW70" s="685"/>
      <c r="AX70" s="685"/>
      <c r="AY70" s="428"/>
      <c r="AZ70" s="686"/>
      <c r="BA70" s="686"/>
      <c r="BB70" s="686"/>
      <c r="BC70" s="688"/>
      <c r="BD70" s="688"/>
      <c r="BE70" s="688"/>
      <c r="BF70" s="409"/>
      <c r="BG70" s="11"/>
      <c r="BH70" s="11"/>
      <c r="BI70" s="11"/>
      <c r="BJ70" s="11"/>
      <c r="BK70" s="11"/>
      <c r="BL70" s="11"/>
      <c r="BM70" s="11"/>
    </row>
    <row r="71" spans="1:65" ht="15" customHeight="1" x14ac:dyDescent="0.2">
      <c r="A71" s="448">
        <v>52</v>
      </c>
      <c r="B71" s="449" t="s">
        <v>993</v>
      </c>
      <c r="C71" s="683" t="s">
        <v>989</v>
      </c>
      <c r="D71" s="684"/>
      <c r="E71" s="450" t="s">
        <v>51</v>
      </c>
      <c r="F71" s="679" t="s">
        <v>58</v>
      </c>
      <c r="G71" s="680"/>
      <c r="H71" s="676" t="s">
        <v>844</v>
      </c>
      <c r="I71" s="676"/>
      <c r="J71" s="453"/>
      <c r="K71" s="677"/>
      <c r="L71" s="677"/>
      <c r="M71" s="451"/>
      <c r="N71" s="678"/>
      <c r="O71" s="678"/>
      <c r="P71" s="451"/>
      <c r="Q71" s="451"/>
      <c r="R71" s="454"/>
      <c r="S71" s="411"/>
      <c r="U71" s="11"/>
      <c r="V71" s="11"/>
      <c r="W71" s="11"/>
      <c r="X71" s="11"/>
      <c r="Y71" s="11"/>
      <c r="Z71" s="11"/>
      <c r="AA71" s="11"/>
      <c r="AB71" s="11"/>
      <c r="AC71" s="11"/>
      <c r="AD71" s="11"/>
      <c r="AE71" s="11"/>
      <c r="AF71" s="11"/>
      <c r="AG71" s="11"/>
      <c r="AH71" s="11"/>
      <c r="AI71" s="11"/>
      <c r="AJ71" s="11"/>
      <c r="AK71" s="11"/>
      <c r="AL71" s="11"/>
      <c r="AM71" s="11"/>
      <c r="AN71" s="11"/>
      <c r="AO71" s="11"/>
      <c r="AP71" s="685"/>
      <c r="AQ71" s="685"/>
      <c r="AR71" s="685"/>
      <c r="AS71" s="686"/>
      <c r="AT71" s="686"/>
      <c r="AU71" s="686"/>
      <c r="AV71" s="685"/>
      <c r="AW71" s="685"/>
      <c r="AX71" s="685"/>
      <c r="AY71" s="428"/>
      <c r="AZ71" s="686"/>
      <c r="BA71" s="686"/>
      <c r="BB71" s="686"/>
      <c r="BC71" s="688"/>
      <c r="BD71" s="688"/>
      <c r="BE71" s="688"/>
      <c r="BF71" s="409"/>
      <c r="BG71" s="11"/>
      <c r="BH71" s="11"/>
      <c r="BI71" s="11"/>
      <c r="BJ71" s="11"/>
      <c r="BK71" s="11"/>
      <c r="BL71" s="11"/>
      <c r="BM71" s="11"/>
    </row>
    <row r="72" spans="1:65" ht="15" customHeight="1" x14ac:dyDescent="0.2">
      <c r="A72" s="448">
        <v>53</v>
      </c>
      <c r="B72" s="449" t="s">
        <v>993</v>
      </c>
      <c r="C72" s="683" t="s">
        <v>990</v>
      </c>
      <c r="D72" s="684"/>
      <c r="E72" s="450" t="s">
        <v>51</v>
      </c>
      <c r="F72" s="679" t="s">
        <v>656</v>
      </c>
      <c r="G72" s="680"/>
      <c r="H72" s="676" t="s">
        <v>844</v>
      </c>
      <c r="I72" s="676"/>
      <c r="J72" s="453"/>
      <c r="K72" s="677"/>
      <c r="L72" s="677"/>
      <c r="M72" s="451"/>
      <c r="N72" s="678"/>
      <c r="O72" s="678"/>
      <c r="P72" s="451"/>
      <c r="Q72" s="451"/>
      <c r="R72" s="454"/>
      <c r="S72" s="411"/>
      <c r="U72" s="11"/>
      <c r="V72" s="11"/>
      <c r="W72" s="11"/>
      <c r="X72" s="11"/>
      <c r="Y72" s="11"/>
      <c r="Z72" s="11"/>
      <c r="AA72" s="11"/>
      <c r="AB72" s="11"/>
      <c r="AC72" s="11"/>
      <c r="AD72" s="11"/>
      <c r="AE72" s="11"/>
      <c r="AF72" s="11"/>
      <c r="AG72" s="11"/>
      <c r="AH72" s="11"/>
      <c r="AI72" s="11"/>
      <c r="AJ72" s="11"/>
      <c r="AK72" s="11"/>
      <c r="AL72" s="11"/>
      <c r="AM72" s="11"/>
      <c r="AN72" s="11"/>
      <c r="AO72" s="11"/>
      <c r="AP72" s="685"/>
      <c r="AQ72" s="685"/>
      <c r="AR72" s="685"/>
      <c r="AS72" s="686"/>
      <c r="AT72" s="686"/>
      <c r="AU72" s="686"/>
      <c r="AV72" s="685"/>
      <c r="AW72" s="685"/>
      <c r="AX72" s="685"/>
      <c r="AY72" s="428"/>
      <c r="AZ72" s="686"/>
      <c r="BA72" s="686"/>
      <c r="BB72" s="686"/>
      <c r="BC72" s="688"/>
      <c r="BD72" s="688"/>
      <c r="BE72" s="688"/>
      <c r="BF72" s="409"/>
      <c r="BG72" s="11"/>
      <c r="BH72" s="11"/>
      <c r="BI72" s="11"/>
      <c r="BJ72" s="11"/>
      <c r="BK72" s="11"/>
      <c r="BL72" s="11"/>
      <c r="BM72" s="11"/>
    </row>
    <row r="73" spans="1:65" ht="15" customHeight="1" x14ac:dyDescent="0.2">
      <c r="A73" s="448">
        <v>54</v>
      </c>
      <c r="B73" s="449" t="s">
        <v>993</v>
      </c>
      <c r="C73" s="683" t="s">
        <v>991</v>
      </c>
      <c r="D73" s="684"/>
      <c r="E73" s="450" t="s">
        <v>51</v>
      </c>
      <c r="F73" s="679" t="s">
        <v>658</v>
      </c>
      <c r="G73" s="680"/>
      <c r="H73" s="676" t="s">
        <v>844</v>
      </c>
      <c r="I73" s="676"/>
      <c r="J73" s="453"/>
      <c r="K73" s="677"/>
      <c r="L73" s="677"/>
      <c r="M73" s="451"/>
      <c r="N73" s="678"/>
      <c r="O73" s="678"/>
      <c r="P73" s="451"/>
      <c r="Q73" s="451"/>
      <c r="R73" s="454"/>
      <c r="S73" s="411"/>
      <c r="U73" s="11"/>
      <c r="V73" s="11"/>
      <c r="W73" s="11"/>
      <c r="X73" s="11"/>
      <c r="Y73" s="11"/>
      <c r="Z73" s="11"/>
      <c r="AA73" s="11"/>
      <c r="AB73" s="11"/>
      <c r="AC73" s="11"/>
      <c r="AD73" s="11"/>
      <c r="AE73" s="11"/>
      <c r="AF73" s="11"/>
      <c r="AG73" s="11"/>
      <c r="AH73" s="11"/>
      <c r="AI73" s="11"/>
      <c r="AJ73" s="11"/>
      <c r="AK73" s="11"/>
      <c r="AL73" s="11"/>
      <c r="AM73" s="11"/>
      <c r="AN73" s="11"/>
      <c r="AO73" s="11"/>
      <c r="AP73" s="685"/>
      <c r="AQ73" s="685"/>
      <c r="AR73" s="685"/>
      <c r="AS73" s="686"/>
      <c r="AT73" s="686"/>
      <c r="AU73" s="686"/>
      <c r="AV73" s="685"/>
      <c r="AW73" s="685"/>
      <c r="AX73" s="685"/>
      <c r="AY73" s="428"/>
      <c r="AZ73" s="686"/>
      <c r="BA73" s="686"/>
      <c r="BB73" s="686"/>
      <c r="BC73" s="688"/>
      <c r="BD73" s="688"/>
      <c r="BE73" s="688"/>
      <c r="BF73" s="409"/>
      <c r="BG73" s="11"/>
      <c r="BH73" s="11"/>
      <c r="BI73" s="11"/>
      <c r="BJ73" s="11"/>
      <c r="BK73" s="11"/>
      <c r="BL73" s="11"/>
      <c r="BM73" s="11"/>
    </row>
    <row r="74" spans="1:65" s="447" customFormat="1" ht="15" customHeight="1" x14ac:dyDescent="0.2">
      <c r="A74" s="448">
        <v>55</v>
      </c>
      <c r="B74" s="449" t="s">
        <v>994</v>
      </c>
      <c r="C74" s="683" t="s">
        <v>1004</v>
      </c>
      <c r="D74" s="684"/>
      <c r="E74" s="450" t="s">
        <v>51</v>
      </c>
      <c r="F74" s="679" t="s">
        <v>52</v>
      </c>
      <c r="G74" s="680"/>
      <c r="H74" s="676" t="s">
        <v>844</v>
      </c>
      <c r="I74" s="676"/>
      <c r="J74" s="453"/>
      <c r="K74" s="677"/>
      <c r="L74" s="677"/>
      <c r="M74" s="451"/>
      <c r="N74" s="678"/>
      <c r="O74" s="678"/>
      <c r="P74" s="451"/>
      <c r="Q74" s="451"/>
      <c r="R74" s="454"/>
      <c r="S74" s="446"/>
      <c r="U74" s="478"/>
      <c r="V74" s="478"/>
      <c r="W74" s="478"/>
      <c r="X74" s="478"/>
      <c r="Y74" s="478"/>
      <c r="Z74" s="478"/>
      <c r="AA74" s="478"/>
      <c r="AB74" s="478"/>
      <c r="AC74" s="478"/>
      <c r="AD74" s="478"/>
      <c r="AE74" s="478"/>
      <c r="AF74" s="478"/>
      <c r="AG74" s="478"/>
      <c r="AH74" s="478"/>
      <c r="AI74" s="478"/>
      <c r="AJ74" s="478"/>
      <c r="AK74" s="478"/>
      <c r="AL74" s="478"/>
      <c r="AM74" s="478"/>
      <c r="AN74" s="478"/>
      <c r="AO74" s="478"/>
      <c r="AP74" s="689"/>
      <c r="AQ74" s="689"/>
      <c r="AR74" s="689"/>
      <c r="AS74" s="690"/>
      <c r="AT74" s="690"/>
      <c r="AU74" s="690"/>
      <c r="AV74" s="689"/>
      <c r="AW74" s="689"/>
      <c r="AX74" s="689"/>
      <c r="AY74" s="482"/>
      <c r="AZ74" s="690"/>
      <c r="BA74" s="690"/>
      <c r="BB74" s="690"/>
      <c r="BC74" s="691"/>
      <c r="BD74" s="691"/>
      <c r="BE74" s="691"/>
      <c r="BF74" s="483"/>
      <c r="BG74" s="478"/>
      <c r="BH74" s="478"/>
      <c r="BI74" s="478"/>
      <c r="BJ74" s="478"/>
      <c r="BK74" s="478"/>
      <c r="BL74" s="478"/>
      <c r="BM74" s="478"/>
    </row>
    <row r="75" spans="1:65" s="447" customFormat="1" ht="15" customHeight="1" x14ac:dyDescent="0.25">
      <c r="A75" s="448">
        <v>56</v>
      </c>
      <c r="B75" s="449" t="s">
        <v>994</v>
      </c>
      <c r="C75" s="683" t="s">
        <v>1005</v>
      </c>
      <c r="D75" s="684"/>
      <c r="E75" s="450" t="s">
        <v>51</v>
      </c>
      <c r="F75" s="679" t="s">
        <v>54</v>
      </c>
      <c r="G75" s="680"/>
      <c r="H75" s="676" t="s">
        <v>844</v>
      </c>
      <c r="I75" s="676"/>
      <c r="J75" s="453"/>
      <c r="K75" s="677"/>
      <c r="L75" s="677"/>
      <c r="M75" s="451"/>
      <c r="N75" s="678"/>
      <c r="O75" s="678"/>
      <c r="P75" s="451"/>
      <c r="Q75" s="451"/>
      <c r="R75" s="454"/>
      <c r="S75" s="446"/>
      <c r="U75" s="485"/>
      <c r="V75" s="485"/>
      <c r="W75" s="485"/>
      <c r="X75" s="485"/>
      <c r="Y75" s="485"/>
      <c r="Z75" s="485"/>
      <c r="AA75" s="485"/>
      <c r="AB75" s="485"/>
      <c r="AC75" s="485"/>
      <c r="AD75" s="486"/>
      <c r="AE75" s="486"/>
      <c r="AF75" s="485"/>
      <c r="AG75" s="485"/>
      <c r="AH75" s="485"/>
      <c r="AI75" s="485"/>
      <c r="AJ75" s="485"/>
      <c r="AK75" s="485"/>
      <c r="AL75" s="487"/>
      <c r="AM75" s="478"/>
      <c r="AN75" s="478"/>
      <c r="AO75" s="478"/>
      <c r="AP75" s="689"/>
      <c r="AQ75" s="689"/>
      <c r="AR75" s="689"/>
      <c r="AS75" s="690"/>
      <c r="AT75" s="690"/>
      <c r="AU75" s="690"/>
      <c r="AV75" s="689"/>
      <c r="AW75" s="689"/>
      <c r="AX75" s="689"/>
      <c r="AY75" s="482"/>
      <c r="AZ75" s="690"/>
      <c r="BA75" s="690"/>
      <c r="BB75" s="690"/>
      <c r="BC75" s="691"/>
      <c r="BD75" s="691"/>
      <c r="BE75" s="691"/>
      <c r="BF75" s="483"/>
      <c r="BG75" s="478"/>
      <c r="BH75" s="478"/>
      <c r="BI75" s="478"/>
      <c r="BJ75" s="478"/>
      <c r="BK75" s="478"/>
      <c r="BL75" s="478"/>
      <c r="BM75" s="478"/>
    </row>
    <row r="76" spans="1:65" s="447" customFormat="1" ht="15" customHeight="1" x14ac:dyDescent="0.2">
      <c r="A76" s="448">
        <v>57</v>
      </c>
      <c r="B76" s="449" t="s">
        <v>994</v>
      </c>
      <c r="C76" s="683" t="s">
        <v>1006</v>
      </c>
      <c r="D76" s="684"/>
      <c r="E76" s="450" t="s">
        <v>51</v>
      </c>
      <c r="F76" s="679" t="s">
        <v>56</v>
      </c>
      <c r="G76" s="680"/>
      <c r="H76" s="676" t="s">
        <v>844</v>
      </c>
      <c r="I76" s="676"/>
      <c r="J76" s="453"/>
      <c r="K76" s="677"/>
      <c r="L76" s="677"/>
      <c r="M76" s="451"/>
      <c r="N76" s="678"/>
      <c r="O76" s="678"/>
      <c r="P76" s="451"/>
      <c r="Q76" s="451"/>
      <c r="R76" s="454"/>
      <c r="S76" s="446"/>
      <c r="U76" s="488"/>
      <c r="V76" s="799"/>
      <c r="W76" s="799"/>
      <c r="X76" s="799"/>
      <c r="Y76" s="799"/>
      <c r="Z76" s="799"/>
      <c r="AA76" s="799"/>
      <c r="AB76" s="799"/>
      <c r="AC76" s="799"/>
      <c r="AD76" s="799"/>
      <c r="AE76" s="799"/>
      <c r="AF76" s="799"/>
      <c r="AG76" s="799"/>
      <c r="AH76" s="799"/>
      <c r="AI76" s="799"/>
      <c r="AJ76" s="799"/>
      <c r="AK76" s="799"/>
      <c r="AL76" s="799"/>
      <c r="AM76" s="478"/>
      <c r="AN76" s="478"/>
      <c r="AO76" s="478"/>
      <c r="AP76" s="689"/>
      <c r="AQ76" s="689"/>
      <c r="AR76" s="689"/>
      <c r="AS76" s="690"/>
      <c r="AT76" s="690"/>
      <c r="AU76" s="690"/>
      <c r="AV76" s="689"/>
      <c r="AW76" s="689"/>
      <c r="AX76" s="689"/>
      <c r="AY76" s="482"/>
      <c r="AZ76" s="690"/>
      <c r="BA76" s="690"/>
      <c r="BB76" s="690"/>
      <c r="BC76" s="691"/>
      <c r="BD76" s="691"/>
      <c r="BE76" s="691"/>
      <c r="BF76" s="483"/>
      <c r="BG76" s="478"/>
      <c r="BH76" s="478"/>
      <c r="BI76" s="478"/>
      <c r="BJ76" s="478"/>
      <c r="BK76" s="478"/>
      <c r="BL76" s="478"/>
      <c r="BM76" s="478"/>
    </row>
    <row r="77" spans="1:65" s="447" customFormat="1" ht="15" customHeight="1" x14ac:dyDescent="0.2">
      <c r="A77" s="448">
        <v>58</v>
      </c>
      <c r="B77" s="449" t="s">
        <v>994</v>
      </c>
      <c r="C77" s="683" t="s">
        <v>1007</v>
      </c>
      <c r="D77" s="684"/>
      <c r="E77" s="450" t="s">
        <v>51</v>
      </c>
      <c r="F77" s="679" t="s">
        <v>58</v>
      </c>
      <c r="G77" s="680"/>
      <c r="H77" s="676" t="s">
        <v>844</v>
      </c>
      <c r="I77" s="676"/>
      <c r="J77" s="453"/>
      <c r="K77" s="677"/>
      <c r="L77" s="677"/>
      <c r="M77" s="451"/>
      <c r="N77" s="678"/>
      <c r="O77" s="678"/>
      <c r="P77" s="451"/>
      <c r="Q77" s="451"/>
      <c r="R77" s="454"/>
      <c r="S77" s="446"/>
      <c r="U77" s="488"/>
      <c r="V77" s="786"/>
      <c r="W77" s="786"/>
      <c r="X77" s="786"/>
      <c r="Y77" s="786"/>
      <c r="Z77" s="786"/>
      <c r="AA77" s="786"/>
      <c r="AB77" s="786"/>
      <c r="AC77" s="786"/>
      <c r="AD77" s="786"/>
      <c r="AE77" s="786"/>
      <c r="AF77" s="786"/>
      <c r="AG77" s="786"/>
      <c r="AH77" s="786"/>
      <c r="AI77" s="786"/>
      <c r="AJ77" s="786"/>
      <c r="AK77" s="786"/>
      <c r="AL77" s="786"/>
      <c r="AM77" s="478"/>
      <c r="AN77" s="478"/>
      <c r="AO77" s="478"/>
      <c r="AP77" s="689"/>
      <c r="AQ77" s="689"/>
      <c r="AR77" s="689"/>
      <c r="AS77" s="690"/>
      <c r="AT77" s="690"/>
      <c r="AU77" s="690"/>
      <c r="AV77" s="689"/>
      <c r="AW77" s="689"/>
      <c r="AX77" s="689"/>
      <c r="AY77" s="482"/>
      <c r="AZ77" s="690"/>
      <c r="BA77" s="690"/>
      <c r="BB77" s="690"/>
      <c r="BC77" s="691"/>
      <c r="BD77" s="691"/>
      <c r="BE77" s="691"/>
      <c r="BF77" s="483"/>
      <c r="BG77" s="478"/>
      <c r="BH77" s="478"/>
      <c r="BI77" s="478"/>
      <c r="BJ77" s="478"/>
      <c r="BK77" s="478"/>
      <c r="BL77" s="478"/>
      <c r="BM77" s="478"/>
    </row>
    <row r="78" spans="1:65" s="447" customFormat="1" ht="15" customHeight="1" x14ac:dyDescent="0.2">
      <c r="A78" s="448">
        <v>59</v>
      </c>
      <c r="B78" s="449" t="s">
        <v>994</v>
      </c>
      <c r="C78" s="683" t="s">
        <v>1008</v>
      </c>
      <c r="D78" s="684"/>
      <c r="E78" s="450" t="s">
        <v>51</v>
      </c>
      <c r="F78" s="679" t="s">
        <v>656</v>
      </c>
      <c r="G78" s="680"/>
      <c r="H78" s="676" t="s">
        <v>844</v>
      </c>
      <c r="I78" s="676"/>
      <c r="J78" s="453"/>
      <c r="K78" s="677"/>
      <c r="L78" s="677"/>
      <c r="M78" s="451"/>
      <c r="N78" s="678"/>
      <c r="O78" s="678"/>
      <c r="P78" s="451"/>
      <c r="Q78" s="451"/>
      <c r="R78" s="454"/>
      <c r="S78" s="446"/>
      <c r="U78" s="488"/>
      <c r="V78" s="786"/>
      <c r="W78" s="786"/>
      <c r="X78" s="786"/>
      <c r="Y78" s="786"/>
      <c r="Z78" s="786"/>
      <c r="AA78" s="786"/>
      <c r="AB78" s="786"/>
      <c r="AC78" s="786"/>
      <c r="AD78" s="786"/>
      <c r="AE78" s="786"/>
      <c r="AF78" s="786"/>
      <c r="AG78" s="786"/>
      <c r="AH78" s="786"/>
      <c r="AI78" s="786"/>
      <c r="AJ78" s="786"/>
      <c r="AK78" s="786"/>
      <c r="AL78" s="786"/>
      <c r="AM78" s="478"/>
      <c r="AN78" s="478"/>
      <c r="AO78" s="478"/>
      <c r="AP78" s="689"/>
      <c r="AQ78" s="689"/>
      <c r="AR78" s="689"/>
      <c r="AS78" s="690"/>
      <c r="AT78" s="690"/>
      <c r="AU78" s="690"/>
      <c r="AV78" s="689"/>
      <c r="AW78" s="689"/>
      <c r="AX78" s="689"/>
      <c r="AY78" s="482"/>
      <c r="AZ78" s="690"/>
      <c r="BA78" s="690"/>
      <c r="BB78" s="690"/>
      <c r="BC78" s="691"/>
      <c r="BD78" s="691"/>
      <c r="BE78" s="691"/>
      <c r="BF78" s="483"/>
      <c r="BG78" s="478"/>
      <c r="BH78" s="478"/>
      <c r="BI78" s="478"/>
      <c r="BJ78" s="478"/>
      <c r="BK78" s="478"/>
      <c r="BL78" s="478"/>
      <c r="BM78" s="478"/>
    </row>
    <row r="79" spans="1:65" s="447" customFormat="1" ht="15" customHeight="1" x14ac:dyDescent="0.2">
      <c r="A79" s="448">
        <v>60</v>
      </c>
      <c r="B79" s="449" t="s">
        <v>994</v>
      </c>
      <c r="C79" s="683" t="s">
        <v>1009</v>
      </c>
      <c r="D79" s="684"/>
      <c r="E79" s="450" t="s">
        <v>51</v>
      </c>
      <c r="F79" s="679" t="s">
        <v>658</v>
      </c>
      <c r="G79" s="680"/>
      <c r="H79" s="676" t="s">
        <v>844</v>
      </c>
      <c r="I79" s="676"/>
      <c r="J79" s="453"/>
      <c r="K79" s="677"/>
      <c r="L79" s="677"/>
      <c r="M79" s="451"/>
      <c r="N79" s="678"/>
      <c r="O79" s="678"/>
      <c r="P79" s="451"/>
      <c r="Q79" s="451"/>
      <c r="R79" s="454"/>
      <c r="S79" s="446"/>
      <c r="U79" s="486"/>
      <c r="V79" s="786"/>
      <c r="W79" s="786"/>
      <c r="X79" s="786"/>
      <c r="Y79" s="786"/>
      <c r="Z79" s="786"/>
      <c r="AA79" s="786"/>
      <c r="AB79" s="786"/>
      <c r="AC79" s="786"/>
      <c r="AD79" s="786"/>
      <c r="AE79" s="786"/>
      <c r="AF79" s="786"/>
      <c r="AG79" s="786"/>
      <c r="AH79" s="786"/>
      <c r="AI79" s="786"/>
      <c r="AJ79" s="786"/>
      <c r="AK79" s="786"/>
      <c r="AL79" s="786"/>
      <c r="AM79" s="478"/>
      <c r="AN79" s="478"/>
      <c r="AO79" s="478"/>
      <c r="AP79" s="689"/>
      <c r="AQ79" s="689"/>
      <c r="AR79" s="689"/>
      <c r="AS79" s="690"/>
      <c r="AT79" s="690"/>
      <c r="AU79" s="690"/>
      <c r="AV79" s="689"/>
      <c r="AW79" s="689"/>
      <c r="AX79" s="689"/>
      <c r="AY79" s="482"/>
      <c r="AZ79" s="690"/>
      <c r="BA79" s="690"/>
      <c r="BB79" s="690"/>
      <c r="BC79" s="691"/>
      <c r="BD79" s="691"/>
      <c r="BE79" s="691"/>
      <c r="BF79" s="483"/>
      <c r="BG79" s="478"/>
      <c r="BH79" s="478"/>
      <c r="BI79" s="478"/>
      <c r="BJ79" s="478"/>
      <c r="BK79" s="478"/>
      <c r="BL79" s="478"/>
      <c r="BM79" s="478"/>
    </row>
    <row r="80" spans="1:65" ht="15" customHeight="1" x14ac:dyDescent="0.2">
      <c r="A80" s="28" t="s">
        <v>798</v>
      </c>
      <c r="B80" s="29"/>
      <c r="C80" s="29"/>
      <c r="S80" s="411"/>
      <c r="U80" s="11"/>
      <c r="V80" s="787"/>
      <c r="W80" s="787"/>
      <c r="X80" s="787"/>
      <c r="Y80" s="787"/>
      <c r="Z80" s="787"/>
      <c r="AA80" s="787"/>
      <c r="AB80" s="787"/>
      <c r="AC80" s="787"/>
      <c r="AD80" s="787"/>
      <c r="AE80" s="787"/>
      <c r="AF80" s="787"/>
      <c r="AG80" s="787"/>
      <c r="AH80" s="787"/>
      <c r="AI80" s="787"/>
      <c r="AJ80" s="787"/>
      <c r="AK80" s="787"/>
      <c r="AL80" s="787"/>
      <c r="AM80" s="11"/>
      <c r="AN80" s="11"/>
      <c r="AO80" s="11"/>
      <c r="AP80" s="685"/>
      <c r="AQ80" s="685"/>
      <c r="AR80" s="685"/>
      <c r="AS80" s="686"/>
      <c r="AT80" s="686"/>
      <c r="AU80" s="686"/>
      <c r="AV80" s="685"/>
      <c r="AW80" s="685"/>
      <c r="AX80" s="685"/>
      <c r="AY80" s="428"/>
      <c r="AZ80" s="686"/>
      <c r="BA80" s="686"/>
      <c r="BB80" s="686"/>
      <c r="BC80" s="688"/>
      <c r="BD80" s="688"/>
      <c r="BE80" s="688"/>
      <c r="BF80" s="409"/>
      <c r="BG80" s="11"/>
      <c r="BH80" s="11"/>
      <c r="BI80" s="11"/>
      <c r="BJ80" s="11"/>
      <c r="BK80" s="11"/>
      <c r="BL80" s="11"/>
      <c r="BM80" s="11"/>
    </row>
    <row r="81" spans="1:65" ht="15" hidden="1" customHeight="1" x14ac:dyDescent="0.2">
      <c r="A81" s="1"/>
      <c r="B81" s="1"/>
      <c r="C81" s="1"/>
      <c r="S81" s="409"/>
      <c r="U81" s="11"/>
      <c r="V81" s="787"/>
      <c r="W81" s="787"/>
      <c r="X81" s="787"/>
      <c r="Y81" s="787"/>
      <c r="Z81" s="787"/>
      <c r="AA81" s="787"/>
      <c r="AB81" s="787"/>
      <c r="AC81" s="787"/>
      <c r="AD81" s="787"/>
      <c r="AE81" s="787"/>
      <c r="AF81" s="787"/>
      <c r="AG81" s="787"/>
      <c r="AH81" s="787"/>
      <c r="AI81" s="787"/>
      <c r="AJ81" s="787"/>
      <c r="AK81" s="787"/>
      <c r="AL81" s="787"/>
      <c r="AM81" s="11"/>
      <c r="AN81" s="11"/>
      <c r="AO81" s="11"/>
      <c r="AP81" s="685"/>
      <c r="AQ81" s="685"/>
      <c r="AR81" s="685"/>
      <c r="AS81" s="686"/>
      <c r="AT81" s="686"/>
      <c r="AU81" s="686"/>
      <c r="AV81" s="685"/>
      <c r="AW81" s="685"/>
      <c r="AX81" s="685"/>
      <c r="AY81" s="428"/>
      <c r="AZ81" s="686"/>
      <c r="BA81" s="686"/>
      <c r="BB81" s="686"/>
      <c r="BC81" s="688"/>
      <c r="BD81" s="688"/>
      <c r="BE81" s="688"/>
      <c r="BF81" s="409"/>
      <c r="BG81" s="11"/>
      <c r="BH81" s="11"/>
      <c r="BI81" s="11"/>
      <c r="BJ81" s="11"/>
      <c r="BK81" s="11"/>
      <c r="BL81" s="11"/>
      <c r="BM81" s="11"/>
    </row>
    <row r="82" spans="1:65" ht="15" hidden="1" customHeight="1" x14ac:dyDescent="0.2">
      <c r="A82" s="30"/>
      <c r="B82" s="30"/>
      <c r="C82" s="814" t="s">
        <v>69</v>
      </c>
      <c r="D82" s="814"/>
      <c r="E82" s="814"/>
      <c r="F82" s="814"/>
      <c r="G82" s="814"/>
      <c r="H82" s="814"/>
      <c r="I82" s="814"/>
      <c r="J82" s="814"/>
      <c r="K82" s="814"/>
      <c r="L82" s="814"/>
      <c r="M82" s="814"/>
      <c r="N82" s="814"/>
      <c r="O82" s="814"/>
      <c r="P82" s="814"/>
      <c r="Q82" s="814"/>
      <c r="R82" s="30"/>
      <c r="S82" s="409"/>
      <c r="U82" s="11"/>
      <c r="V82" s="712"/>
      <c r="W82" s="712"/>
      <c r="X82" s="712"/>
      <c r="Y82" s="712"/>
      <c r="Z82" s="712"/>
      <c r="AA82" s="712"/>
      <c r="AB82" s="712"/>
      <c r="AC82" s="712"/>
      <c r="AD82" s="712"/>
      <c r="AE82" s="712"/>
      <c r="AF82" s="712"/>
      <c r="AG82" s="712"/>
      <c r="AH82" s="712"/>
      <c r="AI82" s="712"/>
      <c r="AJ82" s="712"/>
      <c r="AK82" s="712"/>
      <c r="AL82" s="712"/>
      <c r="AM82" s="11"/>
      <c r="AN82" s="11"/>
      <c r="AO82" s="11"/>
      <c r="AP82" s="685"/>
      <c r="AQ82" s="685"/>
      <c r="AR82" s="685"/>
      <c r="AS82" s="686"/>
      <c r="AT82" s="686"/>
      <c r="AU82" s="686"/>
      <c r="AV82" s="685"/>
      <c r="AW82" s="685"/>
      <c r="AX82" s="685"/>
      <c r="AY82" s="428"/>
      <c r="AZ82" s="686"/>
      <c r="BA82" s="686"/>
      <c r="BB82" s="686"/>
      <c r="BC82" s="688"/>
      <c r="BD82" s="688"/>
      <c r="BE82" s="688"/>
      <c r="BF82" s="409"/>
      <c r="BG82" s="11"/>
      <c r="BH82" s="11"/>
      <c r="BI82" s="11"/>
      <c r="BJ82" s="11"/>
      <c r="BK82" s="11"/>
      <c r="BL82" s="11"/>
      <c r="BM82" s="11"/>
    </row>
    <row r="83" spans="1:65" ht="15" hidden="1" customHeight="1" x14ac:dyDescent="0.25">
      <c r="A83" s="31"/>
      <c r="B83" s="31"/>
      <c r="C83" s="32" t="s">
        <v>7</v>
      </c>
      <c r="D83" s="33" t="s">
        <v>70</v>
      </c>
      <c r="E83" s="32" t="s">
        <v>71</v>
      </c>
      <c r="F83" s="741" t="s">
        <v>72</v>
      </c>
      <c r="G83" s="741"/>
      <c r="H83" s="32" t="s">
        <v>7</v>
      </c>
      <c r="I83" s="33" t="s">
        <v>70</v>
      </c>
      <c r="J83" s="32" t="s">
        <v>71</v>
      </c>
      <c r="K83" s="32" t="s">
        <v>72</v>
      </c>
      <c r="L83" s="32" t="s">
        <v>7</v>
      </c>
      <c r="M83" s="815" t="s">
        <v>70</v>
      </c>
      <c r="N83" s="816"/>
      <c r="O83" s="742" t="s">
        <v>71</v>
      </c>
      <c r="P83" s="817"/>
      <c r="Q83" s="32" t="s">
        <v>72</v>
      </c>
      <c r="R83" s="34"/>
      <c r="S83" s="409"/>
      <c r="U83" s="11"/>
      <c r="V83" s="774"/>
      <c r="W83" s="774"/>
      <c r="X83" s="774"/>
      <c r="Y83" s="774"/>
      <c r="Z83" s="774"/>
      <c r="AA83" s="774"/>
      <c r="AB83" s="774"/>
      <c r="AC83" s="774"/>
      <c r="AD83" s="774"/>
      <c r="AE83" s="774"/>
      <c r="AF83" s="774"/>
      <c r="AG83" s="774"/>
      <c r="AH83" s="774"/>
      <c r="AI83" s="774"/>
      <c r="AJ83" s="774"/>
      <c r="AK83" s="774"/>
      <c r="AL83" s="774"/>
      <c r="AM83" s="11"/>
      <c r="AN83" s="11"/>
      <c r="AO83" s="11"/>
      <c r="AP83" s="685"/>
      <c r="AQ83" s="685"/>
      <c r="AR83" s="685"/>
      <c r="AS83" s="686"/>
      <c r="AT83" s="686"/>
      <c r="AU83" s="686"/>
      <c r="AV83" s="685"/>
      <c r="AW83" s="685"/>
      <c r="AX83" s="685"/>
      <c r="AY83" s="428"/>
      <c r="AZ83" s="686"/>
      <c r="BA83" s="686"/>
      <c r="BB83" s="686"/>
      <c r="BC83" s="688"/>
      <c r="BD83" s="688"/>
      <c r="BE83" s="688"/>
      <c r="BF83" s="409"/>
      <c r="BG83" s="11"/>
      <c r="BH83" s="11"/>
      <c r="BI83" s="11"/>
      <c r="BJ83" s="11"/>
      <c r="BK83" s="11"/>
      <c r="BL83" s="11"/>
      <c r="BM83" s="11"/>
    </row>
    <row r="84" spans="1:65" ht="15" hidden="1" customHeight="1" x14ac:dyDescent="0.2">
      <c r="A84" s="35"/>
      <c r="B84" s="35"/>
      <c r="C84" s="21">
        <v>1</v>
      </c>
      <c r="D84" s="22">
        <v>2</v>
      </c>
      <c r="E84" s="22">
        <v>3</v>
      </c>
      <c r="F84" s="751">
        <v>4</v>
      </c>
      <c r="G84" s="751"/>
      <c r="H84" s="22">
        <v>1</v>
      </c>
      <c r="I84" s="22">
        <v>2</v>
      </c>
      <c r="J84" s="22">
        <v>3</v>
      </c>
      <c r="K84" s="22">
        <v>4</v>
      </c>
      <c r="L84" s="21">
        <v>1</v>
      </c>
      <c r="M84" s="746">
        <v>2</v>
      </c>
      <c r="N84" s="746"/>
      <c r="O84" s="746">
        <v>3</v>
      </c>
      <c r="P84" s="746"/>
      <c r="Q84" s="22">
        <v>4</v>
      </c>
      <c r="R84" s="36"/>
      <c r="S84" s="409"/>
      <c r="U84" s="11"/>
      <c r="V84" s="774"/>
      <c r="W84" s="774"/>
      <c r="X84" s="774"/>
      <c r="Y84" s="774"/>
      <c r="Z84" s="774"/>
      <c r="AA84" s="774"/>
      <c r="AB84" s="774"/>
      <c r="AC84" s="774"/>
      <c r="AD84" s="774"/>
      <c r="AE84" s="774"/>
      <c r="AF84" s="774"/>
      <c r="AG84" s="774"/>
      <c r="AH84" s="774"/>
      <c r="AI84" s="774"/>
      <c r="AJ84" s="774"/>
      <c r="AK84" s="774"/>
      <c r="AL84" s="774"/>
      <c r="AM84" s="11"/>
      <c r="AN84" s="11"/>
      <c r="AO84" s="11"/>
      <c r="AP84" s="685"/>
      <c r="AQ84" s="685"/>
      <c r="AR84" s="685"/>
      <c r="AS84" s="686"/>
      <c r="AT84" s="686"/>
      <c r="AU84" s="686"/>
      <c r="AV84" s="685"/>
      <c r="AW84" s="685"/>
      <c r="AX84" s="685"/>
      <c r="AY84" s="428"/>
      <c r="AZ84" s="686"/>
      <c r="BA84" s="686"/>
      <c r="BB84" s="686"/>
      <c r="BC84" s="688"/>
      <c r="BD84" s="688"/>
      <c r="BE84" s="688"/>
      <c r="BF84" s="409"/>
      <c r="BG84" s="11"/>
      <c r="BH84" s="11"/>
      <c r="BI84" s="11"/>
      <c r="BJ84" s="11"/>
      <c r="BK84" s="11"/>
      <c r="BL84" s="11"/>
      <c r="BM84" s="11"/>
    </row>
    <row r="85" spans="1:65" ht="15" hidden="1" customHeight="1" x14ac:dyDescent="0.25">
      <c r="A85" s="31"/>
      <c r="B85" s="31"/>
      <c r="C85" s="37">
        <v>1</v>
      </c>
      <c r="D85" s="37">
        <v>1</v>
      </c>
      <c r="E85" s="38"/>
      <c r="F85" s="759"/>
      <c r="G85" s="759"/>
      <c r="H85" s="38">
        <v>6</v>
      </c>
      <c r="I85" s="37">
        <v>6</v>
      </c>
      <c r="J85" s="38"/>
      <c r="K85" s="38"/>
      <c r="L85" s="38">
        <v>11</v>
      </c>
      <c r="M85" s="813">
        <v>11</v>
      </c>
      <c r="N85" s="813"/>
      <c r="O85" s="759"/>
      <c r="P85" s="759"/>
      <c r="Q85" s="38"/>
      <c r="R85" s="39"/>
      <c r="S85" s="409"/>
      <c r="U85" s="11"/>
      <c r="V85" s="797"/>
      <c r="W85" s="797"/>
      <c r="X85" s="797"/>
      <c r="Y85" s="797"/>
      <c r="Z85" s="797"/>
      <c r="AA85" s="797"/>
      <c r="AB85" s="797"/>
      <c r="AC85" s="797"/>
      <c r="AD85" s="797"/>
      <c r="AE85" s="797"/>
      <c r="AF85" s="797"/>
      <c r="AG85" s="797"/>
      <c r="AH85" s="797"/>
      <c r="AI85" s="797"/>
      <c r="AJ85" s="797"/>
      <c r="AK85" s="797"/>
      <c r="AL85" s="797"/>
      <c r="AM85" s="11"/>
      <c r="AN85" s="11"/>
      <c r="AO85" s="11"/>
      <c r="AP85" s="685"/>
      <c r="AQ85" s="685"/>
      <c r="AR85" s="685"/>
      <c r="AS85" s="686"/>
      <c r="AT85" s="686"/>
      <c r="AU85" s="686"/>
      <c r="AV85" s="685"/>
      <c r="AW85" s="685"/>
      <c r="AX85" s="685"/>
      <c r="AY85" s="428"/>
      <c r="AZ85" s="686"/>
      <c r="BA85" s="686"/>
      <c r="BB85" s="686"/>
      <c r="BC85" s="688"/>
      <c r="BD85" s="688"/>
      <c r="BE85" s="688"/>
      <c r="BF85" s="409"/>
      <c r="BG85" s="11"/>
      <c r="BH85" s="11"/>
      <c r="BI85" s="11"/>
      <c r="BJ85" s="11"/>
      <c r="BK85" s="11"/>
      <c r="BL85" s="11"/>
      <c r="BM85" s="11"/>
    </row>
    <row r="86" spans="1:65" ht="15" hidden="1" customHeight="1" x14ac:dyDescent="0.25">
      <c r="A86" s="31"/>
      <c r="B86" s="31"/>
      <c r="C86" s="37">
        <v>2</v>
      </c>
      <c r="D86" s="37">
        <v>2</v>
      </c>
      <c r="E86" s="38"/>
      <c r="F86" s="759"/>
      <c r="G86" s="759"/>
      <c r="H86" s="38">
        <v>7</v>
      </c>
      <c r="I86" s="37">
        <v>7</v>
      </c>
      <c r="J86" s="38"/>
      <c r="K86" s="38"/>
      <c r="L86" s="38">
        <v>12</v>
      </c>
      <c r="M86" s="813">
        <v>12</v>
      </c>
      <c r="N86" s="813"/>
      <c r="O86" s="759"/>
      <c r="P86" s="759"/>
      <c r="Q86" s="38"/>
      <c r="R86" s="39"/>
      <c r="S86" s="409"/>
      <c r="U86" s="11"/>
      <c r="V86" s="810"/>
      <c r="W86" s="810"/>
      <c r="X86" s="810"/>
      <c r="Y86" s="810"/>
      <c r="Z86" s="810"/>
      <c r="AA86" s="810"/>
      <c r="AB86" s="810"/>
      <c r="AC86" s="810"/>
      <c r="AD86" s="810"/>
      <c r="AE86" s="810"/>
      <c r="AF86" s="810"/>
      <c r="AG86" s="810"/>
      <c r="AH86" s="810"/>
      <c r="AI86" s="810"/>
      <c r="AJ86" s="810"/>
      <c r="AK86" s="810"/>
      <c r="AL86" s="810"/>
      <c r="AM86" s="11"/>
      <c r="AN86" s="11"/>
      <c r="AO86" s="11"/>
      <c r="AP86" s="685"/>
      <c r="AQ86" s="685"/>
      <c r="AR86" s="685"/>
      <c r="AS86" s="686"/>
      <c r="AT86" s="686"/>
      <c r="AU86" s="686"/>
      <c r="AV86" s="685"/>
      <c r="AW86" s="685"/>
      <c r="AX86" s="685"/>
      <c r="AY86" s="428"/>
      <c r="AZ86" s="686"/>
      <c r="BA86" s="686"/>
      <c r="BB86" s="686"/>
      <c r="BC86" s="688"/>
      <c r="BD86" s="688"/>
      <c r="BE86" s="688"/>
      <c r="BF86" s="409"/>
      <c r="BG86" s="11"/>
      <c r="BH86" s="11"/>
      <c r="BI86" s="11"/>
      <c r="BJ86" s="11"/>
      <c r="BK86" s="11"/>
      <c r="BL86" s="11"/>
      <c r="BM86" s="11"/>
    </row>
    <row r="87" spans="1:65" ht="15" hidden="1" customHeight="1" x14ac:dyDescent="0.25">
      <c r="A87" s="31"/>
      <c r="B87" s="31"/>
      <c r="C87" s="37">
        <v>3</v>
      </c>
      <c r="D87" s="37">
        <v>3</v>
      </c>
      <c r="E87" s="38"/>
      <c r="F87" s="759"/>
      <c r="G87" s="759"/>
      <c r="H87" s="38">
        <v>8</v>
      </c>
      <c r="I87" s="37">
        <v>8</v>
      </c>
      <c r="J87" s="38"/>
      <c r="K87" s="38"/>
      <c r="L87" s="38">
        <v>13</v>
      </c>
      <c r="M87" s="813">
        <v>13</v>
      </c>
      <c r="N87" s="813"/>
      <c r="O87" s="759"/>
      <c r="P87" s="759"/>
      <c r="Q87" s="38"/>
      <c r="R87" s="39"/>
      <c r="S87" s="409"/>
      <c r="U87" s="11"/>
      <c r="V87" s="466"/>
      <c r="W87" s="466"/>
      <c r="X87" s="466"/>
      <c r="Y87" s="466"/>
      <c r="Z87" s="466"/>
      <c r="AA87" s="466"/>
      <c r="AB87" s="466"/>
      <c r="AC87" s="466"/>
      <c r="AD87" s="466"/>
      <c r="AE87" s="466"/>
      <c r="AF87" s="466"/>
      <c r="AG87" s="466"/>
      <c r="AH87" s="466"/>
      <c r="AI87" s="466"/>
      <c r="AJ87" s="466"/>
      <c r="AK87" s="466"/>
      <c r="AL87" s="466"/>
      <c r="AM87" s="11"/>
      <c r="AN87" s="11"/>
      <c r="AO87" s="11"/>
      <c r="AP87" s="685"/>
      <c r="AQ87" s="685"/>
      <c r="AR87" s="685"/>
      <c r="AS87" s="686"/>
      <c r="AT87" s="686"/>
      <c r="AU87" s="686"/>
      <c r="AV87" s="685"/>
      <c r="AW87" s="685"/>
      <c r="AX87" s="685"/>
      <c r="AY87" s="428"/>
      <c r="AZ87" s="686"/>
      <c r="BA87" s="686"/>
      <c r="BB87" s="686"/>
      <c r="BC87" s="688"/>
      <c r="BD87" s="688"/>
      <c r="BE87" s="688"/>
      <c r="BF87" s="409"/>
      <c r="BG87" s="11"/>
      <c r="BH87" s="11"/>
      <c r="BI87" s="11"/>
      <c r="BJ87" s="11"/>
      <c r="BK87" s="11"/>
      <c r="BL87" s="11"/>
      <c r="BM87" s="11"/>
    </row>
    <row r="88" spans="1:65" ht="15" hidden="1" customHeight="1" x14ac:dyDescent="0.25">
      <c r="A88" s="31"/>
      <c r="B88" s="31"/>
      <c r="C88" s="37">
        <v>4</v>
      </c>
      <c r="D88" s="37">
        <v>4</v>
      </c>
      <c r="E88" s="38"/>
      <c r="F88" s="759"/>
      <c r="G88" s="759"/>
      <c r="H88" s="38">
        <v>9</v>
      </c>
      <c r="I88" s="37">
        <v>9</v>
      </c>
      <c r="J88" s="38"/>
      <c r="K88" s="38"/>
      <c r="L88" s="38">
        <v>14</v>
      </c>
      <c r="M88" s="813">
        <v>14</v>
      </c>
      <c r="N88" s="813"/>
      <c r="O88" s="759"/>
      <c r="P88" s="759"/>
      <c r="Q88" s="38"/>
      <c r="R88" s="39"/>
      <c r="S88" s="409"/>
      <c r="U88" s="11"/>
      <c r="V88" s="11"/>
      <c r="W88" s="11"/>
      <c r="X88" s="11"/>
      <c r="Y88" s="11"/>
      <c r="Z88" s="11"/>
      <c r="AA88" s="11"/>
      <c r="AB88" s="11"/>
      <c r="AC88" s="11"/>
      <c r="AD88" s="11"/>
      <c r="AE88" s="11"/>
      <c r="AF88" s="11"/>
      <c r="AG88" s="11"/>
      <c r="AH88" s="11"/>
      <c r="AI88" s="11"/>
      <c r="AJ88" s="11"/>
      <c r="AK88" s="11"/>
      <c r="AL88" s="11"/>
      <c r="AM88" s="11"/>
      <c r="AN88" s="11"/>
      <c r="AO88" s="11"/>
      <c r="AP88" s="685"/>
      <c r="AQ88" s="685"/>
      <c r="AR88" s="685"/>
      <c r="AS88" s="686"/>
      <c r="AT88" s="686"/>
      <c r="AU88" s="686"/>
      <c r="AV88" s="685"/>
      <c r="AW88" s="685"/>
      <c r="AX88" s="685"/>
      <c r="AY88" s="428"/>
      <c r="AZ88" s="686"/>
      <c r="BA88" s="686"/>
      <c r="BB88" s="686"/>
      <c r="BC88" s="688"/>
      <c r="BD88" s="688"/>
      <c r="BE88" s="688"/>
      <c r="BF88" s="409"/>
      <c r="BG88" s="11"/>
      <c r="BH88" s="11"/>
      <c r="BI88" s="11"/>
      <c r="BJ88" s="11"/>
      <c r="BK88" s="11"/>
      <c r="BL88" s="11"/>
      <c r="BM88" s="11"/>
    </row>
    <row r="89" spans="1:65" ht="15" hidden="1" customHeight="1" x14ac:dyDescent="0.25">
      <c r="A89" s="31"/>
      <c r="B89" s="31"/>
      <c r="C89" s="37">
        <v>5</v>
      </c>
      <c r="D89" s="37">
        <v>5</v>
      </c>
      <c r="E89" s="19"/>
      <c r="F89" s="818"/>
      <c r="G89" s="818"/>
      <c r="H89" s="38">
        <v>10</v>
      </c>
      <c r="I89" s="37">
        <v>10</v>
      </c>
      <c r="J89" s="19"/>
      <c r="K89" s="19"/>
      <c r="L89" s="38">
        <v>15</v>
      </c>
      <c r="M89" s="813" t="s">
        <v>25</v>
      </c>
      <c r="N89" s="813"/>
      <c r="O89" s="741" t="s">
        <v>25</v>
      </c>
      <c r="P89" s="741"/>
      <c r="Q89" s="19" t="s">
        <v>25</v>
      </c>
      <c r="R89" s="39"/>
      <c r="S89" s="409"/>
      <c r="U89" s="11"/>
      <c r="V89" s="11"/>
      <c r="W89" s="11"/>
      <c r="X89" s="11"/>
      <c r="Y89" s="11"/>
      <c r="Z89" s="11"/>
      <c r="AA89" s="11"/>
      <c r="AB89" s="11"/>
      <c r="AC89" s="11"/>
      <c r="AD89" s="11"/>
      <c r="AE89" s="11"/>
      <c r="AF89" s="11"/>
      <c r="AG89" s="11"/>
      <c r="AH89" s="11"/>
      <c r="AI89" s="11"/>
      <c r="AJ89" s="11"/>
      <c r="AK89" s="11"/>
      <c r="AL89" s="11"/>
      <c r="AM89" s="11"/>
      <c r="AN89" s="11"/>
      <c r="AO89" s="11"/>
      <c r="AP89" s="685"/>
      <c r="AQ89" s="685"/>
      <c r="AR89" s="685"/>
      <c r="AS89" s="686"/>
      <c r="AT89" s="686"/>
      <c r="AU89" s="686"/>
      <c r="AV89" s="685"/>
      <c r="AW89" s="685"/>
      <c r="AX89" s="685"/>
      <c r="AY89" s="428"/>
      <c r="AZ89" s="686"/>
      <c r="BA89" s="686"/>
      <c r="BB89" s="686"/>
      <c r="BC89" s="688"/>
      <c r="BD89" s="688"/>
      <c r="BE89" s="688"/>
      <c r="BF89" s="409"/>
      <c r="BG89" s="11"/>
      <c r="BH89" s="11"/>
      <c r="BI89" s="11"/>
      <c r="BJ89" s="11"/>
      <c r="BK89" s="11"/>
      <c r="BL89" s="11"/>
      <c r="BM89" s="11"/>
    </row>
    <row r="90" spans="1:65" ht="15" hidden="1" customHeight="1" x14ac:dyDescent="0.25">
      <c r="A90" s="31"/>
      <c r="B90" s="31"/>
      <c r="C90" s="37"/>
      <c r="D90" s="37"/>
      <c r="E90" s="19"/>
      <c r="F90" s="818"/>
      <c r="G90" s="818"/>
      <c r="H90" s="38"/>
      <c r="I90" s="37"/>
      <c r="J90" s="19"/>
      <c r="K90" s="19"/>
      <c r="L90" s="38"/>
      <c r="M90" s="813" t="s">
        <v>25</v>
      </c>
      <c r="N90" s="813"/>
      <c r="O90" s="741" t="s">
        <v>25</v>
      </c>
      <c r="P90" s="741"/>
      <c r="Q90" s="19" t="s">
        <v>25</v>
      </c>
      <c r="R90" s="39"/>
      <c r="S90" s="409"/>
      <c r="U90" s="11"/>
      <c r="V90" s="11"/>
      <c r="W90" s="11"/>
      <c r="X90" s="11"/>
      <c r="Y90" s="11"/>
      <c r="Z90" s="11"/>
      <c r="AA90" s="11"/>
      <c r="AB90" s="11"/>
      <c r="AC90" s="11"/>
      <c r="AD90" s="11"/>
      <c r="AE90" s="11"/>
      <c r="AF90" s="11"/>
      <c r="AG90" s="11"/>
      <c r="AH90" s="11"/>
      <c r="AI90" s="11"/>
      <c r="AJ90" s="11"/>
      <c r="AK90" s="11"/>
      <c r="AL90" s="11"/>
      <c r="AM90" s="11"/>
      <c r="AN90" s="11"/>
      <c r="AO90" s="11"/>
      <c r="AP90" s="685"/>
      <c r="AQ90" s="685"/>
      <c r="AR90" s="685"/>
      <c r="AS90" s="686"/>
      <c r="AT90" s="686"/>
      <c r="AU90" s="686"/>
      <c r="AV90" s="685"/>
      <c r="AW90" s="685"/>
      <c r="AX90" s="685"/>
      <c r="AY90" s="428"/>
      <c r="AZ90" s="686"/>
      <c r="BA90" s="686"/>
      <c r="BB90" s="686"/>
      <c r="BC90" s="688"/>
      <c r="BD90" s="688"/>
      <c r="BE90" s="688"/>
      <c r="BF90" s="409"/>
      <c r="BG90" s="11"/>
      <c r="BH90" s="11"/>
      <c r="BI90" s="11"/>
      <c r="BJ90" s="11"/>
      <c r="BK90" s="11"/>
      <c r="BL90" s="11"/>
      <c r="BM90" s="11"/>
    </row>
    <row r="91" spans="1:65" ht="9.9499999999999993" hidden="1" customHeight="1" x14ac:dyDescent="0.25">
      <c r="A91" s="31"/>
      <c r="B91" s="31"/>
      <c r="C91" s="37"/>
      <c r="D91" s="37"/>
      <c r="E91" s="19"/>
      <c r="F91" s="818"/>
      <c r="G91" s="818"/>
      <c r="H91" s="38"/>
      <c r="I91" s="37"/>
      <c r="J91" s="19"/>
      <c r="K91" s="19"/>
      <c r="L91" s="38"/>
      <c r="M91" s="813"/>
      <c r="N91" s="813"/>
      <c r="O91" s="741"/>
      <c r="P91" s="741"/>
      <c r="Q91" s="19"/>
      <c r="R91" s="39"/>
      <c r="U91" s="11"/>
      <c r="V91" s="11"/>
      <c r="W91" s="11"/>
      <c r="X91" s="11"/>
      <c r="Y91" s="11"/>
      <c r="Z91" s="11"/>
      <c r="AA91" s="11"/>
      <c r="AB91" s="11"/>
      <c r="AC91" s="11"/>
      <c r="AD91" s="11"/>
      <c r="AE91" s="11"/>
      <c r="AF91" s="11"/>
      <c r="AG91" s="11"/>
      <c r="AH91" s="11"/>
      <c r="AI91" s="11"/>
      <c r="AJ91" s="11"/>
      <c r="AK91" s="11"/>
      <c r="AL91" s="11"/>
      <c r="AM91" s="11"/>
      <c r="AN91" s="11"/>
      <c r="AO91" s="11"/>
      <c r="AP91" s="685"/>
      <c r="AQ91" s="685"/>
      <c r="AR91" s="685"/>
      <c r="AS91" s="686"/>
      <c r="AT91" s="686"/>
      <c r="AU91" s="686"/>
      <c r="AV91" s="685"/>
      <c r="AW91" s="685"/>
      <c r="AX91" s="685"/>
      <c r="AY91" s="428"/>
      <c r="AZ91" s="686"/>
      <c r="BA91" s="686"/>
      <c r="BB91" s="686"/>
      <c r="BC91" s="688"/>
      <c r="BD91" s="688"/>
      <c r="BE91" s="688"/>
      <c r="BF91" s="409"/>
      <c r="BG91" s="11"/>
      <c r="BH91" s="11"/>
      <c r="BI91" s="11"/>
      <c r="BJ91" s="11"/>
      <c r="BK91" s="11"/>
      <c r="BL91" s="11"/>
      <c r="BM91" s="11"/>
    </row>
    <row r="92" spans="1:65" ht="15" hidden="1" customHeight="1" x14ac:dyDescent="0.25">
      <c r="A92" s="31"/>
      <c r="B92" s="31"/>
      <c r="C92" s="37"/>
      <c r="D92" s="37"/>
      <c r="E92" s="19"/>
      <c r="F92" s="818"/>
      <c r="G92" s="818"/>
      <c r="H92" s="38"/>
      <c r="I92" s="37"/>
      <c r="J92" s="19"/>
      <c r="K92" s="19"/>
      <c r="L92" s="38"/>
      <c r="M92" s="813"/>
      <c r="N92" s="813"/>
      <c r="O92" s="741"/>
      <c r="P92" s="741"/>
      <c r="Q92" s="19"/>
      <c r="R92" s="39"/>
      <c r="U92" s="11"/>
      <c r="V92" s="11"/>
      <c r="W92" s="11"/>
      <c r="X92" s="11"/>
      <c r="Y92" s="11"/>
      <c r="Z92" s="11"/>
      <c r="AA92" s="11"/>
      <c r="AB92" s="11"/>
      <c r="AC92" s="11"/>
      <c r="AD92" s="11"/>
      <c r="AE92" s="11"/>
      <c r="AF92" s="11"/>
      <c r="AG92" s="11"/>
      <c r="AH92" s="11"/>
      <c r="AI92" s="11"/>
      <c r="AJ92" s="11"/>
      <c r="AK92" s="11"/>
      <c r="AL92" s="11"/>
      <c r="AM92" s="11"/>
      <c r="AN92" s="11"/>
      <c r="AO92" s="11"/>
      <c r="AP92" s="685"/>
      <c r="AQ92" s="685"/>
      <c r="AR92" s="685"/>
      <c r="AS92" s="686"/>
      <c r="AT92" s="686"/>
      <c r="AU92" s="686"/>
      <c r="AV92" s="685"/>
      <c r="AW92" s="685"/>
      <c r="AX92" s="685"/>
      <c r="AY92" s="428"/>
      <c r="AZ92" s="686"/>
      <c r="BA92" s="686"/>
      <c r="BB92" s="686"/>
      <c r="BC92" s="688"/>
      <c r="BD92" s="688"/>
      <c r="BE92" s="688"/>
      <c r="BF92" s="409"/>
      <c r="BG92" s="11"/>
      <c r="BH92" s="11"/>
      <c r="BI92" s="11"/>
      <c r="BJ92" s="11"/>
      <c r="BK92" s="11"/>
      <c r="BL92" s="11"/>
      <c r="BM92" s="11"/>
    </row>
    <row r="93" spans="1:65" ht="15" hidden="1" customHeight="1" x14ac:dyDescent="0.25">
      <c r="A93" s="31"/>
      <c r="B93" s="31"/>
      <c r="C93" s="37"/>
      <c r="D93" s="37"/>
      <c r="E93" s="19"/>
      <c r="F93" s="818"/>
      <c r="G93" s="818"/>
      <c r="H93" s="38"/>
      <c r="I93" s="37"/>
      <c r="J93" s="19"/>
      <c r="K93" s="19"/>
      <c r="L93" s="38"/>
      <c r="M93" s="813"/>
      <c r="N93" s="813"/>
      <c r="O93" s="741"/>
      <c r="P93" s="741"/>
      <c r="Q93" s="19"/>
      <c r="R93" s="39"/>
      <c r="S93" s="30"/>
      <c r="U93" s="11"/>
      <c r="V93" s="11"/>
      <c r="W93" s="11"/>
      <c r="X93" s="11"/>
      <c r="Y93" s="11"/>
      <c r="Z93" s="11"/>
      <c r="AA93" s="11"/>
      <c r="AB93" s="11"/>
      <c r="AC93" s="11"/>
      <c r="AD93" s="11"/>
      <c r="AE93" s="11"/>
      <c r="AF93" s="11"/>
      <c r="AG93" s="11"/>
      <c r="AH93" s="11"/>
      <c r="AI93" s="11"/>
      <c r="AJ93" s="11"/>
      <c r="AK93" s="11"/>
      <c r="AL93" s="11"/>
      <c r="AM93" s="11"/>
      <c r="AN93" s="11"/>
      <c r="AO93" s="11"/>
      <c r="AP93" s="685"/>
      <c r="AQ93" s="685"/>
      <c r="AR93" s="685"/>
      <c r="AS93" s="686"/>
      <c r="AT93" s="686"/>
      <c r="AU93" s="686"/>
      <c r="AV93" s="685"/>
      <c r="AW93" s="685"/>
      <c r="AX93" s="685"/>
      <c r="AY93" s="428"/>
      <c r="AZ93" s="686"/>
      <c r="BA93" s="686"/>
      <c r="BB93" s="686"/>
      <c r="BC93" s="688"/>
      <c r="BD93" s="688"/>
      <c r="BE93" s="688"/>
      <c r="BF93" s="409"/>
      <c r="BG93" s="11"/>
      <c r="BH93" s="11"/>
      <c r="BI93" s="11"/>
      <c r="BJ93" s="11"/>
      <c r="BK93" s="11"/>
      <c r="BL93" s="11"/>
      <c r="BM93" s="11"/>
    </row>
    <row r="94" spans="1:65" ht="45" hidden="1" customHeight="1" x14ac:dyDescent="0.25">
      <c r="A94" s="31"/>
      <c r="B94" s="31"/>
      <c r="C94" s="37"/>
      <c r="D94" s="37"/>
      <c r="E94" s="19"/>
      <c r="F94" s="818"/>
      <c r="G94" s="818"/>
      <c r="H94" s="38"/>
      <c r="I94" s="37"/>
      <c r="J94" s="19"/>
      <c r="K94" s="19"/>
      <c r="L94" s="38"/>
      <c r="M94" s="813"/>
      <c r="N94" s="813"/>
      <c r="O94" s="741"/>
      <c r="P94" s="741"/>
      <c r="Q94" s="19"/>
      <c r="R94" s="39"/>
      <c r="S94" s="34"/>
      <c r="U94" s="11"/>
      <c r="V94" s="11"/>
      <c r="W94" s="11"/>
      <c r="X94" s="11"/>
      <c r="Y94" s="11"/>
      <c r="Z94" s="11"/>
      <c r="AA94" s="11"/>
      <c r="AB94" s="11"/>
      <c r="AC94" s="11"/>
      <c r="AD94" s="11"/>
      <c r="AE94" s="11"/>
      <c r="AF94" s="11"/>
      <c r="AG94" s="11"/>
      <c r="AH94" s="11"/>
      <c r="AI94" s="11"/>
      <c r="AJ94" s="11"/>
      <c r="AK94" s="11"/>
      <c r="AL94" s="11"/>
      <c r="AM94" s="11"/>
      <c r="AN94" s="11"/>
      <c r="AO94" s="11"/>
      <c r="AP94" s="685"/>
      <c r="AQ94" s="685"/>
      <c r="AR94" s="685"/>
      <c r="AS94" s="686"/>
      <c r="AT94" s="686"/>
      <c r="AU94" s="686"/>
      <c r="AV94" s="685"/>
      <c r="AW94" s="685"/>
      <c r="AX94" s="685"/>
      <c r="AY94" s="428"/>
      <c r="AZ94" s="686"/>
      <c r="BA94" s="686"/>
      <c r="BB94" s="686"/>
      <c r="BC94" s="688"/>
      <c r="BD94" s="688"/>
      <c r="BE94" s="688"/>
      <c r="BF94" s="409"/>
      <c r="BG94" s="11"/>
      <c r="BH94" s="11"/>
      <c r="BI94" s="11"/>
      <c r="BJ94" s="11"/>
      <c r="BK94" s="11"/>
      <c r="BL94" s="11"/>
      <c r="BM94" s="11"/>
    </row>
    <row r="95" spans="1:65" s="23" customFormat="1" ht="11.1" hidden="1" customHeight="1" x14ac:dyDescent="0.25">
      <c r="A95" s="31"/>
      <c r="B95" s="31"/>
      <c r="C95" s="32"/>
      <c r="D95" s="37"/>
      <c r="E95" s="19"/>
      <c r="F95" s="818"/>
      <c r="G95" s="818"/>
      <c r="H95" s="38"/>
      <c r="I95" s="37"/>
      <c r="J95" s="19"/>
      <c r="K95" s="19"/>
      <c r="L95" s="38"/>
      <c r="M95" s="813"/>
      <c r="N95" s="813"/>
      <c r="O95" s="741"/>
      <c r="P95" s="741"/>
      <c r="Q95" s="19"/>
      <c r="R95" s="39"/>
      <c r="S95" s="36"/>
      <c r="U95" s="424"/>
      <c r="V95" s="424"/>
      <c r="W95" s="424"/>
      <c r="X95" s="424"/>
      <c r="Y95" s="424"/>
      <c r="Z95" s="424"/>
      <c r="AA95" s="424"/>
      <c r="AB95" s="424"/>
      <c r="AC95" s="424"/>
      <c r="AD95" s="424"/>
      <c r="AE95" s="424"/>
      <c r="AF95" s="424"/>
      <c r="AG95" s="424"/>
      <c r="AH95" s="424"/>
      <c r="AI95" s="424"/>
      <c r="AJ95" s="424"/>
      <c r="AK95" s="424"/>
      <c r="AL95" s="424"/>
      <c r="AM95" s="424"/>
      <c r="AN95" s="424"/>
      <c r="AO95" s="424"/>
      <c r="AP95" s="685"/>
      <c r="AQ95" s="685"/>
      <c r="AR95" s="685"/>
      <c r="AS95" s="686"/>
      <c r="AT95" s="686"/>
      <c r="AU95" s="686"/>
      <c r="AV95" s="685"/>
      <c r="AW95" s="685"/>
      <c r="AX95" s="685"/>
      <c r="AY95" s="428"/>
      <c r="AZ95" s="686"/>
      <c r="BA95" s="686"/>
      <c r="BB95" s="686"/>
      <c r="BC95" s="688"/>
      <c r="BD95" s="688"/>
      <c r="BE95" s="688"/>
      <c r="BF95" s="409"/>
      <c r="BG95" s="424"/>
      <c r="BH95" s="424"/>
      <c r="BI95" s="424"/>
      <c r="BJ95" s="424"/>
      <c r="BK95" s="424"/>
      <c r="BL95" s="424"/>
      <c r="BM95" s="424"/>
    </row>
    <row r="96" spans="1:65" ht="15" hidden="1" customHeight="1" x14ac:dyDescent="0.25">
      <c r="A96" s="31"/>
      <c r="B96" s="31"/>
      <c r="C96" s="32"/>
      <c r="D96" s="37"/>
      <c r="E96" s="19"/>
      <c r="F96" s="818"/>
      <c r="G96" s="818"/>
      <c r="H96" s="38"/>
      <c r="I96" s="37"/>
      <c r="J96" s="19"/>
      <c r="K96" s="19"/>
      <c r="L96" s="38"/>
      <c r="M96" s="813"/>
      <c r="N96" s="813"/>
      <c r="O96" s="741"/>
      <c r="P96" s="741"/>
      <c r="Q96" s="19"/>
      <c r="R96" s="39"/>
      <c r="S96" s="39"/>
      <c r="U96" s="11"/>
      <c r="V96" s="11"/>
      <c r="W96" s="11"/>
      <c r="X96" s="11"/>
      <c r="Y96" s="11"/>
      <c r="Z96" s="11"/>
      <c r="AA96" s="11"/>
      <c r="AB96" s="11"/>
      <c r="AC96" s="11"/>
      <c r="AD96" s="11"/>
      <c r="AE96" s="11"/>
      <c r="AF96" s="11"/>
      <c r="AG96" s="11"/>
      <c r="AH96" s="11"/>
      <c r="AI96" s="11"/>
      <c r="AJ96" s="11"/>
      <c r="AK96" s="11"/>
      <c r="AL96" s="11"/>
      <c r="AM96" s="11"/>
      <c r="AN96" s="11"/>
      <c r="AO96" s="11"/>
      <c r="AP96" s="685"/>
      <c r="AQ96" s="685"/>
      <c r="AR96" s="685"/>
      <c r="AS96" s="686"/>
      <c r="AT96" s="686"/>
      <c r="AU96" s="686"/>
      <c r="AV96" s="685"/>
      <c r="AW96" s="685"/>
      <c r="AX96" s="685"/>
      <c r="AY96" s="428"/>
      <c r="AZ96" s="686"/>
      <c r="BA96" s="686"/>
      <c r="BB96" s="686"/>
      <c r="BC96" s="688"/>
      <c r="BD96" s="688"/>
      <c r="BE96" s="688"/>
      <c r="BF96" s="409"/>
      <c r="BG96" s="11"/>
      <c r="BH96" s="11"/>
      <c r="BI96" s="11"/>
      <c r="BJ96" s="11"/>
      <c r="BK96" s="11"/>
      <c r="BL96" s="11"/>
      <c r="BM96" s="11"/>
    </row>
    <row r="97" spans="1:65" ht="15" hidden="1" customHeight="1" x14ac:dyDescent="0.25">
      <c r="A97" s="31"/>
      <c r="B97" s="31"/>
      <c r="C97" s="32"/>
      <c r="D97" s="37"/>
      <c r="E97" s="19"/>
      <c r="F97" s="818"/>
      <c r="G97" s="818"/>
      <c r="H97" s="38"/>
      <c r="I97" s="37"/>
      <c r="J97" s="19"/>
      <c r="K97" s="19"/>
      <c r="L97" s="38"/>
      <c r="M97" s="813"/>
      <c r="N97" s="813"/>
      <c r="O97" s="741"/>
      <c r="P97" s="741"/>
      <c r="Q97" s="19"/>
      <c r="R97" s="39"/>
      <c r="S97" s="39"/>
      <c r="U97" s="11"/>
      <c r="V97" s="11"/>
      <c r="W97" s="11"/>
      <c r="X97" s="11"/>
      <c r="Y97" s="11"/>
      <c r="Z97" s="11"/>
      <c r="AA97" s="11"/>
      <c r="AB97" s="11"/>
      <c r="AC97" s="11"/>
      <c r="AD97" s="11"/>
      <c r="AE97" s="11"/>
      <c r="AF97" s="11"/>
      <c r="AG97" s="11"/>
      <c r="AH97" s="11"/>
      <c r="AI97" s="11"/>
      <c r="AJ97" s="11"/>
      <c r="AK97" s="11"/>
      <c r="AL97" s="11"/>
      <c r="AM97" s="11"/>
      <c r="AN97" s="11"/>
      <c r="AO97" s="11"/>
      <c r="AP97" s="685"/>
      <c r="AQ97" s="685"/>
      <c r="AR97" s="685"/>
      <c r="AS97" s="686"/>
      <c r="AT97" s="686"/>
      <c r="AU97" s="686"/>
      <c r="AV97" s="685"/>
      <c r="AW97" s="685"/>
      <c r="AX97" s="685"/>
      <c r="AY97" s="428"/>
      <c r="AZ97" s="686"/>
      <c r="BA97" s="686"/>
      <c r="BB97" s="686"/>
      <c r="BC97" s="688"/>
      <c r="BD97" s="688"/>
      <c r="BE97" s="688"/>
      <c r="BF97" s="409"/>
      <c r="BG97" s="11"/>
      <c r="BH97" s="11"/>
      <c r="BI97" s="11"/>
      <c r="BJ97" s="11"/>
      <c r="BK97" s="11"/>
      <c r="BL97" s="11"/>
      <c r="BM97" s="11"/>
    </row>
    <row r="98" spans="1:65" ht="15" hidden="1" customHeight="1" x14ac:dyDescent="0.25">
      <c r="A98" s="31"/>
      <c r="B98" s="31"/>
      <c r="C98" s="32"/>
      <c r="D98" s="37"/>
      <c r="E98" s="19"/>
      <c r="F98" s="818"/>
      <c r="G98" s="818"/>
      <c r="H98" s="38"/>
      <c r="I98" s="37"/>
      <c r="J98" s="19"/>
      <c r="K98" s="19"/>
      <c r="L98" s="38"/>
      <c r="M98" s="813"/>
      <c r="N98" s="813"/>
      <c r="O98" s="741"/>
      <c r="P98" s="741"/>
      <c r="Q98" s="19"/>
      <c r="R98" s="39"/>
      <c r="S98" s="39"/>
      <c r="U98" s="11"/>
      <c r="V98" s="11"/>
      <c r="W98" s="11"/>
      <c r="X98" s="11"/>
      <c r="Y98" s="11"/>
      <c r="Z98" s="11"/>
      <c r="AA98" s="11"/>
      <c r="AB98" s="11"/>
      <c r="AC98" s="11"/>
      <c r="AD98" s="11"/>
      <c r="AE98" s="11"/>
      <c r="AF98" s="11"/>
      <c r="AG98" s="11"/>
      <c r="AH98" s="11"/>
      <c r="AI98" s="11"/>
      <c r="AJ98" s="11"/>
      <c r="AK98" s="11"/>
      <c r="AL98" s="11"/>
      <c r="AM98" s="11"/>
      <c r="AN98" s="11"/>
      <c r="AO98" s="11"/>
      <c r="AP98" s="685"/>
      <c r="AQ98" s="685"/>
      <c r="AR98" s="685"/>
      <c r="AS98" s="686"/>
      <c r="AT98" s="686"/>
      <c r="AU98" s="686"/>
      <c r="AV98" s="685"/>
      <c r="AW98" s="685"/>
      <c r="AX98" s="685"/>
      <c r="AY98" s="428"/>
      <c r="AZ98" s="686"/>
      <c r="BA98" s="686"/>
      <c r="BB98" s="686"/>
      <c r="BC98" s="688"/>
      <c r="BD98" s="688"/>
      <c r="BE98" s="688"/>
      <c r="BF98" s="409"/>
      <c r="BG98" s="11"/>
      <c r="BH98" s="11"/>
      <c r="BI98" s="11"/>
      <c r="BJ98" s="11"/>
      <c r="BK98" s="11"/>
      <c r="BL98" s="11"/>
      <c r="BM98" s="11"/>
    </row>
    <row r="99" spans="1:65" ht="15" hidden="1" customHeight="1" x14ac:dyDescent="0.25">
      <c r="A99" s="31"/>
      <c r="B99" s="31"/>
      <c r="C99" s="32"/>
      <c r="D99" s="32"/>
      <c r="E99" s="19"/>
      <c r="F99" s="818"/>
      <c r="G99" s="818"/>
      <c r="H99" s="38"/>
      <c r="I99" s="37"/>
      <c r="J99" s="19"/>
      <c r="K99" s="19"/>
      <c r="L99" s="38"/>
      <c r="M99" s="813"/>
      <c r="N99" s="813"/>
      <c r="O99" s="741"/>
      <c r="P99" s="741"/>
      <c r="Q99" s="19"/>
      <c r="R99" s="39"/>
      <c r="S99" s="39"/>
      <c r="U99" s="11"/>
      <c r="V99" s="11"/>
      <c r="W99" s="11"/>
      <c r="X99" s="11"/>
      <c r="Y99" s="11"/>
      <c r="Z99" s="11"/>
      <c r="AA99" s="11"/>
      <c r="AB99" s="11"/>
      <c r="AC99" s="11"/>
      <c r="AD99" s="11"/>
      <c r="AE99" s="11"/>
      <c r="AF99" s="11"/>
      <c r="AG99" s="11"/>
      <c r="AH99" s="11"/>
      <c r="AI99" s="11"/>
      <c r="AJ99" s="11"/>
      <c r="AK99" s="11"/>
      <c r="AL99" s="11"/>
      <c r="AM99" s="11"/>
      <c r="AN99" s="11"/>
      <c r="AO99" s="11"/>
      <c r="AP99" s="685"/>
      <c r="AQ99" s="685"/>
      <c r="AR99" s="685"/>
      <c r="AS99" s="686"/>
      <c r="AT99" s="686"/>
      <c r="AU99" s="686"/>
      <c r="AV99" s="685"/>
      <c r="AW99" s="685"/>
      <c r="AX99" s="685"/>
      <c r="AY99" s="428"/>
      <c r="AZ99" s="686"/>
      <c r="BA99" s="686"/>
      <c r="BB99" s="686"/>
      <c r="BC99" s="688"/>
      <c r="BD99" s="688"/>
      <c r="BE99" s="688"/>
      <c r="BF99" s="409"/>
      <c r="BG99" s="11"/>
      <c r="BH99" s="11"/>
      <c r="BI99" s="11"/>
      <c r="BJ99" s="11"/>
      <c r="BK99" s="11"/>
      <c r="BL99" s="11"/>
      <c r="BM99" s="11"/>
    </row>
    <row r="100" spans="1:65" ht="15" hidden="1" customHeight="1" x14ac:dyDescent="0.25">
      <c r="A100" s="31"/>
      <c r="B100" s="31"/>
      <c r="C100" s="32"/>
      <c r="D100" s="32"/>
      <c r="E100" s="19"/>
      <c r="F100" s="818"/>
      <c r="G100" s="818"/>
      <c r="H100" s="38"/>
      <c r="I100" s="37"/>
      <c r="J100" s="19"/>
      <c r="K100" s="19"/>
      <c r="L100" s="38"/>
      <c r="M100" s="813"/>
      <c r="N100" s="813"/>
      <c r="O100" s="741"/>
      <c r="P100" s="741"/>
      <c r="Q100" s="19"/>
      <c r="R100" s="39"/>
      <c r="S100" s="39"/>
      <c r="U100" s="11"/>
      <c r="V100" s="11"/>
      <c r="W100" s="11"/>
      <c r="X100" s="11"/>
      <c r="Y100" s="11"/>
      <c r="Z100" s="11"/>
      <c r="AA100" s="11"/>
      <c r="AB100" s="11"/>
      <c r="AC100" s="11"/>
      <c r="AD100" s="11"/>
      <c r="AE100" s="11"/>
      <c r="AF100" s="11"/>
      <c r="AG100" s="11"/>
      <c r="AH100" s="11"/>
      <c r="AI100" s="11"/>
      <c r="AJ100" s="11"/>
      <c r="AK100" s="11"/>
      <c r="AL100" s="11"/>
      <c r="AM100" s="11"/>
      <c r="AN100" s="11"/>
      <c r="AO100" s="11"/>
      <c r="AP100" s="685"/>
      <c r="AQ100" s="685"/>
      <c r="AR100" s="685"/>
      <c r="AS100" s="686"/>
      <c r="AT100" s="686"/>
      <c r="AU100" s="686"/>
      <c r="AV100" s="685"/>
      <c r="AW100" s="685"/>
      <c r="AX100" s="685"/>
      <c r="AY100" s="428"/>
      <c r="AZ100" s="686"/>
      <c r="BA100" s="686"/>
      <c r="BB100" s="686"/>
      <c r="BC100" s="688"/>
      <c r="BD100" s="688"/>
      <c r="BE100" s="688"/>
      <c r="BF100" s="409"/>
      <c r="BG100" s="11"/>
      <c r="BH100" s="11"/>
      <c r="BI100" s="11"/>
      <c r="BJ100" s="11"/>
      <c r="BK100" s="11"/>
      <c r="BL100" s="11"/>
      <c r="BM100" s="11"/>
    </row>
    <row r="101" spans="1:65" ht="15" hidden="1" customHeight="1" x14ac:dyDescent="0.25">
      <c r="A101" s="31"/>
      <c r="B101" s="31"/>
      <c r="C101" s="32"/>
      <c r="D101" s="32"/>
      <c r="E101" s="19"/>
      <c r="F101" s="818"/>
      <c r="G101" s="818"/>
      <c r="H101" s="38"/>
      <c r="I101" s="37"/>
      <c r="J101" s="19"/>
      <c r="K101" s="19"/>
      <c r="L101" s="38"/>
      <c r="M101" s="741"/>
      <c r="N101" s="741"/>
      <c r="O101" s="741"/>
      <c r="P101" s="741"/>
      <c r="Q101" s="19"/>
      <c r="R101" s="39"/>
      <c r="S101" s="39"/>
      <c r="U101" s="11"/>
      <c r="V101" s="11"/>
      <c r="W101" s="11"/>
      <c r="X101" s="11"/>
      <c r="Y101" s="11"/>
      <c r="Z101" s="11"/>
      <c r="AA101" s="11"/>
      <c r="AB101" s="11"/>
      <c r="AC101" s="11"/>
      <c r="AD101" s="11"/>
      <c r="AE101" s="11"/>
      <c r="AF101" s="11"/>
      <c r="AG101" s="11"/>
      <c r="AH101" s="11"/>
      <c r="AI101" s="11"/>
      <c r="AJ101" s="11"/>
      <c r="AK101" s="11"/>
      <c r="AL101" s="11"/>
      <c r="AM101" s="11"/>
      <c r="AN101" s="11"/>
      <c r="AO101" s="11"/>
      <c r="AP101" s="685"/>
      <c r="AQ101" s="685"/>
      <c r="AR101" s="685"/>
      <c r="AS101" s="686"/>
      <c r="AT101" s="686"/>
      <c r="AU101" s="686"/>
      <c r="AV101" s="685"/>
      <c r="AW101" s="685"/>
      <c r="AX101" s="685"/>
      <c r="AY101" s="428"/>
      <c r="AZ101" s="686"/>
      <c r="BA101" s="686"/>
      <c r="BB101" s="686"/>
      <c r="BC101" s="688"/>
      <c r="BD101" s="688"/>
      <c r="BE101" s="688"/>
      <c r="BF101" s="409"/>
      <c r="BG101" s="11"/>
      <c r="BH101" s="11"/>
      <c r="BI101" s="11"/>
      <c r="BJ101" s="11"/>
      <c r="BK101" s="11"/>
      <c r="BL101" s="11"/>
      <c r="BM101" s="11"/>
    </row>
    <row r="102" spans="1:65" ht="15" hidden="1" customHeight="1" x14ac:dyDescent="0.25">
      <c r="A102" s="31"/>
      <c r="B102" s="31"/>
      <c r="C102" s="32"/>
      <c r="D102" s="32"/>
      <c r="E102" s="19"/>
      <c r="F102" s="818"/>
      <c r="G102" s="818"/>
      <c r="H102" s="38"/>
      <c r="I102" s="37"/>
      <c r="J102" s="19"/>
      <c r="K102" s="19"/>
      <c r="L102" s="38"/>
      <c r="M102" s="741"/>
      <c r="N102" s="741"/>
      <c r="O102" s="741"/>
      <c r="P102" s="741"/>
      <c r="Q102" s="19"/>
      <c r="R102" s="39"/>
      <c r="S102" s="39"/>
      <c r="U102" s="11"/>
      <c r="V102" s="11"/>
      <c r="W102" s="11"/>
      <c r="X102" s="11"/>
      <c r="Y102" s="11"/>
      <c r="Z102" s="11"/>
      <c r="AA102" s="11"/>
      <c r="AB102" s="11"/>
      <c r="AC102" s="11"/>
      <c r="AD102" s="11"/>
      <c r="AE102" s="11"/>
      <c r="AF102" s="11"/>
      <c r="AG102" s="11"/>
      <c r="AH102" s="11"/>
      <c r="AI102" s="11"/>
      <c r="AJ102" s="11"/>
      <c r="AK102" s="11"/>
      <c r="AL102" s="11"/>
      <c r="AM102" s="11"/>
      <c r="AN102" s="11"/>
      <c r="AO102" s="11"/>
      <c r="AP102" s="685"/>
      <c r="AQ102" s="685"/>
      <c r="AR102" s="685"/>
      <c r="AS102" s="686"/>
      <c r="AT102" s="686"/>
      <c r="AU102" s="686"/>
      <c r="AV102" s="685"/>
      <c r="AW102" s="685"/>
      <c r="AX102" s="685"/>
      <c r="AY102" s="428"/>
      <c r="AZ102" s="686"/>
      <c r="BA102" s="686"/>
      <c r="BB102" s="686"/>
      <c r="BC102" s="688"/>
      <c r="BD102" s="688"/>
      <c r="BE102" s="688"/>
      <c r="BF102" s="409"/>
      <c r="BG102" s="11"/>
      <c r="BH102" s="11"/>
      <c r="BI102" s="11"/>
      <c r="BJ102" s="11"/>
      <c r="BK102" s="11"/>
      <c r="BL102" s="11"/>
      <c r="BM102" s="11"/>
    </row>
    <row r="103" spans="1:65" ht="15" hidden="1" customHeight="1" x14ac:dyDescent="0.25">
      <c r="A103" s="31"/>
      <c r="B103" s="31"/>
      <c r="C103" s="32"/>
      <c r="D103" s="32"/>
      <c r="E103" s="19"/>
      <c r="F103" s="818"/>
      <c r="G103" s="818"/>
      <c r="H103" s="19"/>
      <c r="I103" s="37">
        <v>37</v>
      </c>
      <c r="J103" s="19"/>
      <c r="K103" s="19"/>
      <c r="L103" s="32"/>
      <c r="M103" s="741"/>
      <c r="N103" s="741"/>
      <c r="O103" s="741"/>
      <c r="P103" s="741"/>
      <c r="Q103" s="19"/>
      <c r="R103" s="39"/>
      <c r="S103" s="39"/>
      <c r="U103" s="11"/>
      <c r="V103" s="11"/>
      <c r="W103" s="11"/>
      <c r="X103" s="11"/>
      <c r="Y103" s="11"/>
      <c r="Z103" s="11"/>
      <c r="AA103" s="11"/>
      <c r="AB103" s="11"/>
      <c r="AC103" s="11"/>
      <c r="AD103" s="11"/>
      <c r="AE103" s="11"/>
      <c r="AF103" s="11"/>
      <c r="AG103" s="11"/>
      <c r="AH103" s="11"/>
      <c r="AI103" s="11"/>
      <c r="AJ103" s="11"/>
      <c r="AK103" s="11"/>
      <c r="AL103" s="11"/>
      <c r="AM103" s="11"/>
      <c r="AN103" s="11"/>
      <c r="AO103" s="11"/>
      <c r="AP103" s="685"/>
      <c r="AQ103" s="685"/>
      <c r="AR103" s="685"/>
      <c r="AS103" s="686"/>
      <c r="AT103" s="686"/>
      <c r="AU103" s="686"/>
      <c r="AV103" s="685"/>
      <c r="AW103" s="685"/>
      <c r="AX103" s="685"/>
      <c r="AY103" s="428"/>
      <c r="AZ103" s="686"/>
      <c r="BA103" s="686"/>
      <c r="BB103" s="686"/>
      <c r="BC103" s="688"/>
      <c r="BD103" s="688"/>
      <c r="BE103" s="688"/>
      <c r="BF103" s="409"/>
      <c r="BG103" s="11"/>
      <c r="BH103" s="11"/>
      <c r="BI103" s="11"/>
      <c r="BJ103" s="11"/>
      <c r="BK103" s="11"/>
      <c r="BL103" s="11"/>
      <c r="BM103" s="11"/>
    </row>
    <row r="104" spans="1:65" ht="15" hidden="1" customHeight="1" x14ac:dyDescent="0.25">
      <c r="A104" s="31"/>
      <c r="B104" s="31"/>
      <c r="C104" s="32"/>
      <c r="D104" s="32"/>
      <c r="E104" s="19"/>
      <c r="F104" s="818"/>
      <c r="G104" s="818"/>
      <c r="H104" s="19"/>
      <c r="I104" s="37">
        <v>38</v>
      </c>
      <c r="J104" s="19"/>
      <c r="K104" s="19"/>
      <c r="L104" s="32">
        <v>70</v>
      </c>
      <c r="M104" s="741"/>
      <c r="N104" s="741"/>
      <c r="O104" s="741"/>
      <c r="P104" s="741"/>
      <c r="Q104" s="19"/>
      <c r="R104" s="39"/>
      <c r="S104" s="39"/>
      <c r="U104" s="11"/>
      <c r="V104" s="11"/>
      <c r="W104" s="11"/>
      <c r="X104" s="11"/>
      <c r="Y104" s="11"/>
      <c r="Z104" s="11"/>
      <c r="AA104" s="11"/>
      <c r="AB104" s="11"/>
      <c r="AC104" s="11"/>
      <c r="AD104" s="11"/>
      <c r="AE104" s="11"/>
      <c r="AF104" s="11"/>
      <c r="AG104" s="11"/>
      <c r="AH104" s="11"/>
      <c r="AI104" s="11"/>
      <c r="AJ104" s="11"/>
      <c r="AK104" s="11"/>
      <c r="AL104" s="11"/>
      <c r="AM104" s="11"/>
      <c r="AN104" s="11"/>
      <c r="AO104" s="11"/>
      <c r="AP104" s="685"/>
      <c r="AQ104" s="685"/>
      <c r="AR104" s="685"/>
      <c r="AS104" s="686"/>
      <c r="AT104" s="686"/>
      <c r="AU104" s="686"/>
      <c r="AV104" s="685"/>
      <c r="AW104" s="685"/>
      <c r="AX104" s="685"/>
      <c r="AY104" s="428"/>
      <c r="AZ104" s="686"/>
      <c r="BA104" s="686"/>
      <c r="BB104" s="686"/>
      <c r="BC104" s="687"/>
      <c r="BD104" s="687"/>
      <c r="BE104" s="687"/>
      <c r="BF104" s="411"/>
      <c r="BG104" s="11"/>
      <c r="BH104" s="11"/>
      <c r="BI104" s="11"/>
      <c r="BJ104" s="11"/>
      <c r="BK104" s="11"/>
      <c r="BL104" s="11"/>
      <c r="BM104" s="11"/>
    </row>
    <row r="105" spans="1:65" ht="15" hidden="1" customHeight="1" x14ac:dyDescent="0.25">
      <c r="A105" s="31"/>
      <c r="B105" s="31"/>
      <c r="C105" s="32"/>
      <c r="D105" s="32"/>
      <c r="E105" s="19"/>
      <c r="F105" s="818"/>
      <c r="G105" s="818"/>
      <c r="H105" s="19"/>
      <c r="I105" s="37">
        <v>39</v>
      </c>
      <c r="J105" s="19"/>
      <c r="K105" s="19"/>
      <c r="L105" s="32">
        <v>71</v>
      </c>
      <c r="M105" s="741"/>
      <c r="N105" s="741"/>
      <c r="O105" s="741"/>
      <c r="P105" s="741"/>
      <c r="Q105" s="19"/>
      <c r="R105" s="39"/>
      <c r="S105" s="39"/>
      <c r="U105" s="11"/>
      <c r="V105" s="11"/>
      <c r="W105" s="11"/>
      <c r="X105" s="11"/>
      <c r="Y105" s="11"/>
      <c r="Z105" s="11"/>
      <c r="AA105" s="11"/>
      <c r="AB105" s="11"/>
      <c r="AC105" s="11"/>
      <c r="AD105" s="11"/>
      <c r="AE105" s="11"/>
      <c r="AF105" s="11"/>
      <c r="AG105" s="11"/>
      <c r="AH105" s="11"/>
      <c r="AI105" s="11"/>
      <c r="AJ105" s="11"/>
      <c r="AK105" s="11"/>
      <c r="AL105" s="11"/>
      <c r="AM105" s="11"/>
      <c r="AN105" s="11"/>
      <c r="AO105" s="11"/>
      <c r="AP105" s="685"/>
      <c r="AQ105" s="685"/>
      <c r="AR105" s="685"/>
      <c r="AS105" s="686"/>
      <c r="AT105" s="686"/>
      <c r="AU105" s="686"/>
      <c r="AV105" s="685"/>
      <c r="AW105" s="685"/>
      <c r="AX105" s="685"/>
      <c r="AY105" s="428"/>
      <c r="AZ105" s="686"/>
      <c r="BA105" s="686"/>
      <c r="BB105" s="686"/>
      <c r="BC105" s="687"/>
      <c r="BD105" s="687"/>
      <c r="BE105" s="687"/>
      <c r="BF105" s="411"/>
      <c r="BG105" s="11"/>
      <c r="BH105" s="11"/>
      <c r="BI105" s="11"/>
      <c r="BJ105" s="11"/>
      <c r="BK105" s="11"/>
      <c r="BL105" s="11"/>
      <c r="BM105" s="11"/>
    </row>
    <row r="106" spans="1:65" ht="15" hidden="1" customHeight="1" x14ac:dyDescent="0.25">
      <c r="A106" s="31"/>
      <c r="B106" s="31"/>
      <c r="C106" s="32"/>
      <c r="D106" s="32"/>
      <c r="E106" s="19"/>
      <c r="F106" s="818"/>
      <c r="G106" s="818"/>
      <c r="H106" s="19">
        <v>47</v>
      </c>
      <c r="I106" s="37">
        <v>40</v>
      </c>
      <c r="J106" s="19"/>
      <c r="K106" s="19"/>
      <c r="L106" s="32">
        <v>72</v>
      </c>
      <c r="M106" s="741"/>
      <c r="N106" s="741"/>
      <c r="O106" s="741"/>
      <c r="P106" s="741"/>
      <c r="Q106" s="19"/>
      <c r="R106" s="39"/>
      <c r="S106" s="39"/>
      <c r="U106" s="11"/>
      <c r="V106" s="11"/>
      <c r="W106" s="11"/>
      <c r="X106" s="11"/>
      <c r="Y106" s="11"/>
      <c r="Z106" s="11"/>
      <c r="AA106" s="11"/>
      <c r="AB106" s="11"/>
      <c r="AC106" s="11"/>
      <c r="AD106" s="11"/>
      <c r="AE106" s="11"/>
      <c r="AF106" s="11"/>
      <c r="AG106" s="11"/>
      <c r="AH106" s="11"/>
      <c r="AI106" s="11"/>
      <c r="AJ106" s="11"/>
      <c r="AK106" s="11"/>
      <c r="AL106" s="11"/>
      <c r="AM106" s="11"/>
      <c r="AN106" s="11"/>
      <c r="AO106" s="11"/>
      <c r="AP106" s="685"/>
      <c r="AQ106" s="685"/>
      <c r="AR106" s="685"/>
      <c r="AS106" s="686"/>
      <c r="AT106" s="686"/>
      <c r="AU106" s="686"/>
      <c r="AV106" s="685"/>
      <c r="AW106" s="685"/>
      <c r="AX106" s="685"/>
      <c r="AY106" s="428"/>
      <c r="AZ106" s="686"/>
      <c r="BA106" s="686"/>
      <c r="BB106" s="686"/>
      <c r="BC106" s="687"/>
      <c r="BD106" s="687"/>
      <c r="BE106" s="687"/>
      <c r="BF106" s="411"/>
      <c r="BG106" s="11"/>
      <c r="BH106" s="11"/>
      <c r="BI106" s="11"/>
      <c r="BJ106" s="11"/>
      <c r="BK106" s="11"/>
      <c r="BL106" s="11"/>
      <c r="BM106" s="11"/>
    </row>
    <row r="107" spans="1:65" ht="15" hidden="1" customHeight="1" x14ac:dyDescent="0.25">
      <c r="A107" s="31"/>
      <c r="B107" s="31"/>
      <c r="C107" s="32"/>
      <c r="D107" s="32"/>
      <c r="E107" s="19"/>
      <c r="F107" s="818"/>
      <c r="G107" s="818"/>
      <c r="H107" s="19">
        <v>48</v>
      </c>
      <c r="I107" s="37">
        <v>41</v>
      </c>
      <c r="J107" s="19"/>
      <c r="K107" s="19"/>
      <c r="L107" s="32">
        <v>73</v>
      </c>
      <c r="M107" s="741"/>
      <c r="N107" s="741"/>
      <c r="O107" s="741"/>
      <c r="P107" s="741"/>
      <c r="Q107" s="19"/>
      <c r="R107" s="39"/>
      <c r="S107" s="39"/>
      <c r="U107" s="11"/>
      <c r="V107" s="11"/>
      <c r="W107" s="11"/>
      <c r="X107" s="11"/>
      <c r="Y107" s="11"/>
      <c r="Z107" s="11"/>
      <c r="AA107" s="11"/>
      <c r="AB107" s="11"/>
      <c r="AC107" s="11"/>
      <c r="AD107" s="11"/>
      <c r="AE107" s="11"/>
      <c r="AF107" s="11"/>
      <c r="AG107" s="11"/>
      <c r="AH107" s="11"/>
      <c r="AI107" s="11"/>
      <c r="AJ107" s="11"/>
      <c r="AK107" s="11"/>
      <c r="AL107" s="11"/>
      <c r="AM107" s="11"/>
      <c r="AN107" s="11"/>
      <c r="AO107" s="11"/>
      <c r="AP107" s="685"/>
      <c r="AQ107" s="685"/>
      <c r="AR107" s="685"/>
      <c r="AS107" s="686"/>
      <c r="AT107" s="686"/>
      <c r="AU107" s="686"/>
      <c r="AV107" s="685"/>
      <c r="AW107" s="685"/>
      <c r="AX107" s="685"/>
      <c r="AY107" s="428"/>
      <c r="AZ107" s="686"/>
      <c r="BA107" s="686"/>
      <c r="BB107" s="686"/>
      <c r="BC107" s="687"/>
      <c r="BD107" s="687"/>
      <c r="BE107" s="687"/>
      <c r="BF107" s="411"/>
      <c r="BG107" s="11"/>
      <c r="BH107" s="11"/>
      <c r="BI107" s="11"/>
      <c r="BJ107" s="11"/>
      <c r="BK107" s="11"/>
      <c r="BL107" s="11"/>
      <c r="BM107" s="11"/>
    </row>
    <row r="108" spans="1:65" ht="15" hidden="1" customHeight="1" x14ac:dyDescent="0.25">
      <c r="A108" s="31"/>
      <c r="B108" s="31"/>
      <c r="C108" s="32"/>
      <c r="D108" s="32"/>
      <c r="E108" s="19"/>
      <c r="F108" s="818"/>
      <c r="G108" s="818"/>
      <c r="H108" s="19">
        <v>49</v>
      </c>
      <c r="I108" s="37">
        <v>42</v>
      </c>
      <c r="J108" s="19"/>
      <c r="K108" s="19"/>
      <c r="L108" s="32">
        <v>74</v>
      </c>
      <c r="M108" s="741"/>
      <c r="N108" s="741"/>
      <c r="O108" s="741"/>
      <c r="P108" s="741"/>
      <c r="Q108" s="19"/>
      <c r="R108" s="39"/>
      <c r="S108" s="39"/>
      <c r="U108" s="11"/>
      <c r="V108" s="11"/>
      <c r="W108" s="11"/>
      <c r="X108" s="11"/>
      <c r="Y108" s="11"/>
      <c r="Z108" s="11"/>
      <c r="AA108" s="11"/>
      <c r="AB108" s="11"/>
      <c r="AC108" s="11"/>
      <c r="AD108" s="11"/>
      <c r="AE108" s="11"/>
      <c r="AF108" s="11"/>
      <c r="AG108" s="11"/>
      <c r="AH108" s="11"/>
      <c r="AI108" s="11"/>
      <c r="AJ108" s="11"/>
      <c r="AK108" s="11"/>
      <c r="AL108" s="11"/>
      <c r="AM108" s="11"/>
      <c r="AN108" s="11"/>
      <c r="AO108" s="11"/>
      <c r="AP108" s="685"/>
      <c r="AQ108" s="685"/>
      <c r="AR108" s="685"/>
      <c r="AS108" s="686"/>
      <c r="AT108" s="686"/>
      <c r="AU108" s="686"/>
      <c r="AV108" s="685"/>
      <c r="AW108" s="685"/>
      <c r="AX108" s="685"/>
      <c r="AY108" s="428"/>
      <c r="AZ108" s="686"/>
      <c r="BA108" s="686"/>
      <c r="BB108" s="686"/>
      <c r="BC108" s="687"/>
      <c r="BD108" s="687"/>
      <c r="BE108" s="687"/>
      <c r="BF108" s="411"/>
      <c r="BG108" s="11"/>
      <c r="BH108" s="11"/>
      <c r="BI108" s="11"/>
      <c r="BJ108" s="11"/>
      <c r="BK108" s="11"/>
      <c r="BL108" s="11"/>
      <c r="BM108" s="11"/>
    </row>
    <row r="109" spans="1:65" ht="15" hidden="1" customHeight="1" x14ac:dyDescent="0.25">
      <c r="A109" s="31"/>
      <c r="B109" s="31"/>
      <c r="C109" s="32">
        <v>25</v>
      </c>
      <c r="D109" s="32"/>
      <c r="E109" s="19"/>
      <c r="F109" s="818"/>
      <c r="G109" s="818"/>
      <c r="H109" s="19">
        <v>50</v>
      </c>
      <c r="I109" s="37">
        <v>43</v>
      </c>
      <c r="J109" s="19"/>
      <c r="K109" s="19"/>
      <c r="L109" s="32">
        <v>75</v>
      </c>
      <c r="M109" s="741"/>
      <c r="N109" s="741"/>
      <c r="O109" s="741"/>
      <c r="P109" s="741"/>
      <c r="Q109" s="19"/>
      <c r="R109" s="39"/>
      <c r="S109" s="39"/>
      <c r="U109" s="11"/>
      <c r="V109" s="11"/>
      <c r="W109" s="11"/>
      <c r="X109" s="11"/>
      <c r="Y109" s="11"/>
      <c r="Z109" s="11"/>
      <c r="AA109" s="11"/>
      <c r="AB109" s="11"/>
      <c r="AC109" s="11"/>
      <c r="AD109" s="11"/>
      <c r="AE109" s="11"/>
      <c r="AF109" s="11"/>
      <c r="AG109" s="11"/>
      <c r="AH109" s="11"/>
      <c r="AI109" s="11"/>
      <c r="AJ109" s="11"/>
      <c r="AK109" s="11"/>
      <c r="AL109" s="11"/>
      <c r="AM109" s="11"/>
      <c r="AN109" s="11"/>
      <c r="AO109" s="11"/>
      <c r="AP109" s="685"/>
      <c r="AQ109" s="685"/>
      <c r="AR109" s="685"/>
      <c r="AS109" s="686"/>
      <c r="AT109" s="686"/>
      <c r="AU109" s="686"/>
      <c r="AV109" s="685"/>
      <c r="AW109" s="685"/>
      <c r="AX109" s="685"/>
      <c r="AY109" s="428"/>
      <c r="AZ109" s="686"/>
      <c r="BA109" s="686"/>
      <c r="BB109" s="686"/>
      <c r="BC109" s="687"/>
      <c r="BD109" s="687"/>
      <c r="BE109" s="687"/>
      <c r="BF109" s="411"/>
      <c r="BG109" s="11"/>
      <c r="BH109" s="11"/>
      <c r="BI109" s="11"/>
      <c r="BJ109" s="11"/>
      <c r="BK109" s="11"/>
      <c r="BL109" s="11"/>
      <c r="BM109" s="11"/>
    </row>
    <row r="110" spans="1:65" ht="9" customHeight="1" x14ac:dyDescent="0.25">
      <c r="S110" s="39"/>
      <c r="U110" s="11"/>
      <c r="V110" s="11"/>
      <c r="W110" s="11"/>
      <c r="X110" s="11"/>
      <c r="Y110" s="11"/>
      <c r="Z110" s="11"/>
      <c r="AA110" s="11"/>
      <c r="AB110" s="11"/>
      <c r="AC110" s="11"/>
      <c r="AD110" s="11"/>
      <c r="AE110" s="11"/>
      <c r="AF110" s="11"/>
      <c r="AG110" s="11"/>
      <c r="AH110" s="11"/>
      <c r="AI110" s="11"/>
      <c r="AJ110" s="11"/>
      <c r="AK110" s="11"/>
      <c r="AL110" s="11"/>
      <c r="AM110" s="11"/>
      <c r="AN110" s="11"/>
      <c r="AO110" s="11"/>
      <c r="AP110" s="685"/>
      <c r="AQ110" s="685"/>
      <c r="AR110" s="685"/>
      <c r="AS110" s="686"/>
      <c r="AT110" s="686"/>
      <c r="AU110" s="686"/>
      <c r="AV110" s="685"/>
      <c r="AW110" s="685"/>
      <c r="AX110" s="685"/>
      <c r="AY110" s="428"/>
      <c r="AZ110" s="686"/>
      <c r="BA110" s="686"/>
      <c r="BB110" s="686"/>
      <c r="BC110" s="687"/>
      <c r="BD110" s="687"/>
      <c r="BE110" s="687"/>
      <c r="BF110" s="411"/>
      <c r="BG110" s="11"/>
      <c r="BH110" s="11"/>
      <c r="BI110" s="11"/>
      <c r="BJ110" s="11"/>
      <c r="BK110" s="11"/>
      <c r="BL110" s="11"/>
      <c r="BM110" s="11"/>
    </row>
    <row r="111" spans="1:65" ht="15" customHeight="1" x14ac:dyDescent="0.25">
      <c r="A111" s="713" t="s">
        <v>799</v>
      </c>
      <c r="B111" s="713"/>
      <c r="C111" s="713"/>
      <c r="D111" s="713"/>
      <c r="E111" s="713"/>
      <c r="F111" s="412"/>
      <c r="G111" s="412"/>
      <c r="H111" s="412"/>
      <c r="I111" s="412"/>
      <c r="J111" s="412"/>
      <c r="K111" s="412"/>
      <c r="L111" s="412"/>
      <c r="M111" s="714" t="s">
        <v>800</v>
      </c>
      <c r="N111" s="714"/>
      <c r="O111" s="714"/>
      <c r="P111" s="714"/>
      <c r="Q111" s="714"/>
      <c r="R111" s="1"/>
      <c r="S111" s="39"/>
      <c r="U111" s="11"/>
      <c r="V111" s="11"/>
      <c r="W111" s="11"/>
      <c r="X111" s="11"/>
      <c r="Y111" s="11"/>
      <c r="Z111" s="11"/>
      <c r="AA111" s="11"/>
      <c r="AB111" s="11"/>
      <c r="AC111" s="11"/>
      <c r="AD111" s="11"/>
      <c r="AE111" s="11"/>
      <c r="AF111" s="11"/>
      <c r="AG111" s="11"/>
      <c r="AH111" s="11"/>
      <c r="AI111" s="11"/>
      <c r="AJ111" s="11"/>
      <c r="AK111" s="11"/>
      <c r="AL111" s="11"/>
      <c r="AM111" s="11"/>
      <c r="AN111" s="11"/>
      <c r="AO111" s="11"/>
      <c r="AP111" s="685"/>
      <c r="AQ111" s="685"/>
      <c r="AR111" s="685"/>
      <c r="AS111" s="686"/>
      <c r="AT111" s="686"/>
      <c r="AU111" s="686"/>
      <c r="AV111" s="685"/>
      <c r="AW111" s="685"/>
      <c r="AX111" s="685"/>
      <c r="AY111" s="428"/>
      <c r="AZ111" s="686"/>
      <c r="BA111" s="686"/>
      <c r="BB111" s="686"/>
      <c r="BC111" s="687"/>
      <c r="BD111" s="687"/>
      <c r="BE111" s="687"/>
      <c r="BF111" s="411"/>
      <c r="BG111" s="11"/>
      <c r="BH111" s="11"/>
      <c r="BI111" s="11"/>
      <c r="BJ111" s="11"/>
      <c r="BK111" s="11"/>
      <c r="BL111" s="11"/>
      <c r="BM111" s="11"/>
    </row>
    <row r="112" spans="1:65" ht="30" customHeight="1" x14ac:dyDescent="0.25">
      <c r="A112" s="735" t="s">
        <v>677</v>
      </c>
      <c r="B112" s="735"/>
      <c r="C112" s="735"/>
      <c r="D112" s="735"/>
      <c r="E112" s="735"/>
      <c r="F112" s="735"/>
      <c r="G112" s="735"/>
      <c r="H112" s="735"/>
      <c r="I112" s="735"/>
      <c r="J112" s="735"/>
      <c r="K112" s="18" t="s">
        <v>805</v>
      </c>
      <c r="L112" s="412"/>
      <c r="M112" s="715" t="s">
        <v>801</v>
      </c>
      <c r="N112" s="716"/>
      <c r="O112" s="716"/>
      <c r="P112" s="716"/>
      <c r="Q112" s="717"/>
      <c r="R112" s="413" t="s">
        <v>805</v>
      </c>
      <c r="S112" s="39"/>
      <c r="U112" s="11"/>
      <c r="V112" s="11"/>
      <c r="W112" s="11"/>
      <c r="X112" s="11"/>
      <c r="Y112" s="11"/>
      <c r="Z112" s="11"/>
      <c r="AA112" s="11"/>
      <c r="AB112" s="11"/>
      <c r="AC112" s="11"/>
      <c r="AD112" s="11"/>
      <c r="AE112" s="11"/>
      <c r="AF112" s="11"/>
      <c r="AG112" s="11"/>
      <c r="AH112" s="11"/>
      <c r="AI112" s="11"/>
      <c r="AJ112" s="11"/>
      <c r="AK112" s="11"/>
      <c r="AL112" s="11"/>
      <c r="AM112" s="11"/>
      <c r="AN112" s="11"/>
      <c r="AO112" s="11"/>
      <c r="AP112" s="685"/>
      <c r="AQ112" s="685"/>
      <c r="AR112" s="685"/>
      <c r="AS112" s="686"/>
      <c r="AT112" s="686"/>
      <c r="AU112" s="686"/>
      <c r="AV112" s="685"/>
      <c r="AW112" s="685"/>
      <c r="AX112" s="685"/>
      <c r="AY112" s="428"/>
      <c r="AZ112" s="686"/>
      <c r="BA112" s="686"/>
      <c r="BB112" s="686"/>
      <c r="BC112" s="687"/>
      <c r="BD112" s="687"/>
      <c r="BE112" s="687"/>
      <c r="BF112" s="411"/>
      <c r="BG112" s="11"/>
      <c r="BH112" s="11"/>
      <c r="BI112" s="11"/>
      <c r="BJ112" s="11"/>
      <c r="BK112" s="11"/>
      <c r="BL112" s="11"/>
      <c r="BM112" s="11"/>
    </row>
    <row r="113" spans="1:65" ht="34.5" customHeight="1" x14ac:dyDescent="0.25">
      <c r="A113" s="735" t="s">
        <v>678</v>
      </c>
      <c r="B113" s="735"/>
      <c r="C113" s="735"/>
      <c r="D113" s="735"/>
      <c r="E113" s="735"/>
      <c r="F113" s="735"/>
      <c r="G113" s="735"/>
      <c r="H113" s="735"/>
      <c r="I113" s="735"/>
      <c r="J113" s="735"/>
      <c r="K113" s="18" t="s">
        <v>805</v>
      </c>
      <c r="L113" s="412"/>
      <c r="M113" s="705" t="s">
        <v>803</v>
      </c>
      <c r="N113" s="706"/>
      <c r="O113" s="706"/>
      <c r="P113" s="706"/>
      <c r="Q113" s="707"/>
      <c r="R113" s="20" t="s">
        <v>805</v>
      </c>
      <c r="S113" s="39"/>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468"/>
      <c r="AT113" s="694"/>
      <c r="AU113" s="694"/>
      <c r="AV113" s="469"/>
      <c r="AW113" s="470"/>
      <c r="AX113" s="470"/>
      <c r="AY113" s="11"/>
      <c r="AZ113" s="11"/>
      <c r="BA113" s="11"/>
      <c r="BB113" s="11"/>
      <c r="BC113" s="11"/>
      <c r="BD113" s="11"/>
      <c r="BE113" s="11"/>
      <c r="BF113" s="11"/>
      <c r="BG113" s="11"/>
      <c r="BH113" s="11"/>
      <c r="BI113" s="11"/>
      <c r="BJ113" s="11"/>
      <c r="BK113" s="11"/>
      <c r="BL113" s="11"/>
      <c r="BM113" s="11"/>
    </row>
    <row r="114" spans="1:65" ht="49.5" customHeight="1" x14ac:dyDescent="0.25">
      <c r="A114" s="735" t="s">
        <v>83</v>
      </c>
      <c r="B114" s="735"/>
      <c r="C114" s="735"/>
      <c r="D114" s="735"/>
      <c r="E114" s="735"/>
      <c r="F114" s="735"/>
      <c r="G114" s="735"/>
      <c r="H114" s="735"/>
      <c r="I114" s="735"/>
      <c r="J114" s="735"/>
      <c r="K114" s="18" t="s">
        <v>805</v>
      </c>
      <c r="L114" s="412"/>
      <c r="M114" s="705" t="s">
        <v>802</v>
      </c>
      <c r="N114" s="706"/>
      <c r="O114" s="706"/>
      <c r="P114" s="706"/>
      <c r="Q114" s="707"/>
      <c r="R114" s="20" t="s">
        <v>805</v>
      </c>
      <c r="S114" s="39"/>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row>
    <row r="115" spans="1:65" ht="15" x14ac:dyDescent="0.25">
      <c r="A115" s="412"/>
      <c r="B115" s="412"/>
      <c r="C115" s="412"/>
      <c r="D115" s="412"/>
      <c r="E115" s="412"/>
      <c r="F115" s="412"/>
      <c r="G115" s="412"/>
      <c r="H115" s="412"/>
      <c r="I115" s="412"/>
      <c r="J115" s="412"/>
      <c r="K115" s="412"/>
      <c r="L115" s="412"/>
      <c r="M115" s="412"/>
      <c r="N115" s="412"/>
      <c r="O115" s="412"/>
      <c r="P115" s="412"/>
      <c r="Q115" s="412"/>
      <c r="R115" s="412"/>
      <c r="S115" s="39"/>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row>
    <row r="116" spans="1:65" ht="6.75" customHeight="1" x14ac:dyDescent="0.25">
      <c r="A116" s="412"/>
      <c r="B116" s="412"/>
      <c r="C116" s="412"/>
      <c r="D116" s="412"/>
      <c r="E116" s="412"/>
      <c r="F116" s="412"/>
      <c r="G116" s="412"/>
      <c r="H116" s="412"/>
      <c r="I116" s="412"/>
      <c r="J116" s="412"/>
      <c r="K116" s="412"/>
      <c r="L116" s="412"/>
      <c r="M116" s="412"/>
      <c r="N116" s="412"/>
      <c r="O116" s="412"/>
      <c r="P116" s="412"/>
      <c r="Q116" s="412"/>
      <c r="R116" s="412"/>
      <c r="S116" s="39"/>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row>
    <row r="117" spans="1:65" ht="15" customHeight="1" x14ac:dyDescent="0.25">
      <c r="A117" s="719" t="s">
        <v>811</v>
      </c>
      <c r="B117" s="719"/>
      <c r="C117" s="719"/>
      <c r="D117" s="719"/>
      <c r="E117" s="414" t="s">
        <v>812</v>
      </c>
      <c r="F117" s="412"/>
      <c r="G117" s="412"/>
      <c r="H117" s="412"/>
      <c r="I117" s="412"/>
      <c r="J117" s="412"/>
      <c r="K117" s="412"/>
      <c r="L117" s="412"/>
      <c r="M117" s="412"/>
      <c r="N117" s="412"/>
      <c r="O117" s="412"/>
      <c r="P117" s="412"/>
      <c r="Q117" s="412"/>
      <c r="R117" s="412"/>
      <c r="S117" s="39"/>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row>
    <row r="118" spans="1:65" ht="15" customHeight="1" x14ac:dyDescent="0.25">
      <c r="A118" s="412"/>
      <c r="B118" s="412"/>
      <c r="C118" s="412"/>
      <c r="D118" s="412"/>
      <c r="E118" s="412"/>
      <c r="F118" s="412"/>
      <c r="G118" s="412"/>
      <c r="H118" s="412"/>
      <c r="I118" s="412"/>
      <c r="J118" s="412"/>
      <c r="K118" s="412"/>
      <c r="L118" s="412"/>
      <c r="M118" s="412"/>
      <c r="N118" s="412"/>
      <c r="O118" s="412"/>
      <c r="P118" s="412"/>
      <c r="Q118" s="412"/>
      <c r="R118" s="412"/>
      <c r="S118" s="39"/>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row>
    <row r="119" spans="1:65" ht="15" customHeight="1" x14ac:dyDescent="0.25">
      <c r="A119" s="719" t="s">
        <v>806</v>
      </c>
      <c r="B119" s="719"/>
      <c r="C119" s="719"/>
      <c r="D119" s="719"/>
      <c r="E119" s="415">
        <v>60</v>
      </c>
      <c r="F119" s="416"/>
      <c r="G119" s="416"/>
      <c r="H119" s="416"/>
      <c r="I119" s="416"/>
      <c r="J119" s="416"/>
      <c r="K119" s="416"/>
      <c r="L119" s="416"/>
      <c r="M119" s="416"/>
      <c r="N119" s="416"/>
      <c r="O119" s="416"/>
      <c r="P119" s="416"/>
      <c r="Q119" s="416"/>
      <c r="R119" s="416"/>
      <c r="S119" s="39"/>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row>
    <row r="120" spans="1:65" ht="9" customHeight="1" x14ac:dyDescent="0.25">
      <c r="A120" s="412"/>
      <c r="B120" s="412"/>
      <c r="C120" s="412"/>
      <c r="D120" s="412"/>
      <c r="E120" s="412"/>
      <c r="F120" s="412"/>
      <c r="G120" s="412"/>
      <c r="H120" s="412"/>
      <c r="I120" s="412"/>
      <c r="J120" s="412"/>
      <c r="K120" s="412"/>
      <c r="L120" s="412"/>
      <c r="M120" s="412"/>
      <c r="N120" s="412"/>
      <c r="O120" s="412"/>
      <c r="P120" s="412"/>
      <c r="Q120" s="412"/>
      <c r="R120" s="412"/>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row>
    <row r="121" spans="1:65" ht="15.75" customHeight="1" x14ac:dyDescent="0.25">
      <c r="A121" s="723" t="s">
        <v>807</v>
      </c>
      <c r="B121" s="724"/>
      <c r="C121" s="724"/>
      <c r="D121" s="725"/>
      <c r="E121" s="729" t="s">
        <v>809</v>
      </c>
      <c r="F121" s="730"/>
      <c r="G121" s="730"/>
      <c r="H121" s="730"/>
      <c r="I121" s="730"/>
      <c r="J121" s="730"/>
      <c r="K121" s="730"/>
      <c r="L121" s="731"/>
      <c r="M121" s="711" t="s">
        <v>808</v>
      </c>
      <c r="N121" s="711"/>
      <c r="O121" s="711"/>
      <c r="P121" s="711"/>
      <c r="Q121" s="711"/>
      <c r="R121" s="711"/>
      <c r="S121" s="1"/>
    </row>
    <row r="122" spans="1:65" ht="15.75" customHeight="1" x14ac:dyDescent="0.2">
      <c r="A122" s="726"/>
      <c r="B122" s="727"/>
      <c r="C122" s="727"/>
      <c r="D122" s="728"/>
      <c r="E122" s="732"/>
      <c r="F122" s="733"/>
      <c r="G122" s="733"/>
      <c r="H122" s="733"/>
      <c r="I122" s="733"/>
      <c r="J122" s="733"/>
      <c r="K122" s="733"/>
      <c r="L122" s="734"/>
      <c r="M122" s="720" t="s">
        <v>25</v>
      </c>
      <c r="N122" s="721"/>
      <c r="O122" s="721"/>
      <c r="P122" s="721"/>
      <c r="Q122" s="721"/>
      <c r="R122" s="722"/>
      <c r="S122" s="1"/>
    </row>
    <row r="123" spans="1:65" ht="9" customHeight="1" x14ac:dyDescent="0.25">
      <c r="A123" s="412"/>
      <c r="B123" s="412"/>
      <c r="C123" s="412"/>
      <c r="D123" s="412"/>
      <c r="E123" s="412"/>
      <c r="F123" s="412"/>
      <c r="G123" s="412"/>
      <c r="H123" s="412"/>
      <c r="I123" s="412"/>
      <c r="J123" s="412"/>
      <c r="K123" s="412"/>
      <c r="L123" s="412"/>
      <c r="M123" s="412"/>
      <c r="N123" s="412"/>
      <c r="O123" s="412"/>
      <c r="P123" s="412"/>
      <c r="Q123" s="412"/>
      <c r="R123" s="412"/>
      <c r="S123" s="1"/>
    </row>
    <row r="124" spans="1:65" s="47" customFormat="1" ht="27" customHeight="1" x14ac:dyDescent="0.25">
      <c r="A124" s="708" t="s">
        <v>810</v>
      </c>
      <c r="B124" s="709"/>
      <c r="C124" s="709"/>
      <c r="D124" s="710"/>
      <c r="E124" s="711"/>
      <c r="F124" s="711"/>
      <c r="G124" s="711"/>
      <c r="H124" s="711"/>
      <c r="I124" s="711"/>
      <c r="J124" s="711"/>
      <c r="K124" s="711"/>
      <c r="L124" s="711"/>
      <c r="M124" s="412"/>
      <c r="N124" s="412"/>
      <c r="O124" s="412"/>
      <c r="P124" s="412"/>
      <c r="Q124" s="412"/>
      <c r="R124" s="412"/>
      <c r="S124" s="46"/>
    </row>
    <row r="125" spans="1:65" s="47" customFormat="1" ht="13.5" customHeight="1" x14ac:dyDescent="0.25">
      <c r="A125" s="412"/>
      <c r="B125" s="412"/>
      <c r="C125" s="412"/>
      <c r="D125" s="412"/>
      <c r="E125" s="718" t="s">
        <v>845</v>
      </c>
      <c r="F125" s="718"/>
      <c r="G125" s="718"/>
      <c r="H125" s="718"/>
      <c r="I125" s="718"/>
      <c r="J125" s="718"/>
      <c r="K125" s="718"/>
      <c r="L125" s="718"/>
      <c r="M125" s="412"/>
      <c r="N125" s="412"/>
      <c r="O125" s="412"/>
      <c r="P125" s="412"/>
      <c r="Q125" s="412"/>
      <c r="R125" s="412"/>
      <c r="S125" s="46"/>
    </row>
    <row r="126" spans="1:65" s="47" customFormat="1" ht="6" customHeight="1" x14ac:dyDescent="0.2">
      <c r="A126" s="5"/>
      <c r="B126" s="5"/>
      <c r="C126" s="5"/>
      <c r="D126" s="5"/>
      <c r="E126" s="11" t="s">
        <v>846</v>
      </c>
      <c r="F126" s="11"/>
      <c r="G126" s="11"/>
      <c r="H126" s="11"/>
      <c r="I126" s="11"/>
      <c r="J126" s="11"/>
      <c r="K126" s="11"/>
      <c r="L126" s="11"/>
      <c r="M126" s="5"/>
      <c r="N126" s="5"/>
      <c r="O126" s="5"/>
      <c r="P126" s="5"/>
      <c r="Q126" s="5"/>
      <c r="R126" s="5"/>
      <c r="S126" s="48"/>
      <c r="T126" s="430"/>
      <c r="U126" s="430"/>
      <c r="V126" s="430"/>
      <c r="W126" s="430"/>
      <c r="X126" s="430"/>
      <c r="Y126" s="430"/>
      <c r="Z126" s="430"/>
      <c r="AA126" s="430"/>
      <c r="AB126" s="430"/>
      <c r="AC126" s="430"/>
      <c r="AD126" s="430"/>
      <c r="AE126" s="430"/>
      <c r="AF126" s="430"/>
      <c r="AG126" s="430"/>
      <c r="AH126" s="430"/>
    </row>
    <row r="127" spans="1:65" s="47" customFormat="1" ht="6.75" customHeight="1" x14ac:dyDescent="0.2">
      <c r="A127" s="5"/>
      <c r="B127" s="5"/>
      <c r="C127" s="5"/>
      <c r="D127" s="5"/>
      <c r="E127" s="5"/>
      <c r="F127" s="5"/>
      <c r="G127" s="5"/>
      <c r="H127" s="5"/>
      <c r="I127" s="5"/>
      <c r="J127" s="5"/>
      <c r="K127" s="5"/>
      <c r="L127" s="5"/>
      <c r="M127" s="5"/>
      <c r="N127" s="5"/>
      <c r="O127" s="5"/>
      <c r="P127" s="5"/>
      <c r="Q127" s="5"/>
      <c r="R127" s="5"/>
      <c r="S127" s="399"/>
      <c r="T127" s="820"/>
      <c r="U127" s="820"/>
      <c r="V127" s="820"/>
      <c r="W127" s="820"/>
      <c r="X127" s="820"/>
      <c r="Y127" s="820"/>
      <c r="Z127" s="820"/>
      <c r="AA127" s="820"/>
      <c r="AB127" s="820"/>
      <c r="AC127" s="820"/>
      <c r="AD127" s="820"/>
      <c r="AE127" s="430"/>
      <c r="AF127" s="430"/>
      <c r="AG127" s="430"/>
      <c r="AH127" s="430"/>
    </row>
    <row r="128" spans="1:65" s="47" customFormat="1" ht="15" customHeight="1" x14ac:dyDescent="0.2">
      <c r="A128" s="5"/>
      <c r="B128" s="5"/>
      <c r="C128" s="5"/>
      <c r="D128" s="5"/>
      <c r="E128" s="5"/>
      <c r="F128" s="5"/>
      <c r="G128" s="5"/>
      <c r="H128" s="5"/>
      <c r="I128" s="5"/>
      <c r="J128" s="5"/>
      <c r="K128" s="5"/>
      <c r="L128" s="5"/>
      <c r="M128" s="5"/>
      <c r="N128" s="5"/>
      <c r="O128" s="5"/>
      <c r="P128" s="5"/>
      <c r="Q128" s="5"/>
      <c r="R128" s="5"/>
      <c r="S128" s="399"/>
      <c r="T128" s="398"/>
      <c r="U128" s="398"/>
      <c r="V128" s="398"/>
      <c r="W128" s="398"/>
      <c r="X128" s="398"/>
      <c r="Y128" s="398"/>
      <c r="Z128" s="398"/>
      <c r="AA128" s="398"/>
      <c r="AB128" s="398"/>
      <c r="AC128" s="398"/>
      <c r="AD128" s="398"/>
      <c r="AE128" s="430"/>
      <c r="AF128" s="430"/>
      <c r="AG128" s="430"/>
      <c r="AH128" s="430"/>
    </row>
    <row r="129" spans="1:34" s="47" customFormat="1" ht="6.75" customHeight="1" x14ac:dyDescent="0.2">
      <c r="A129" s="5"/>
      <c r="B129" s="5"/>
      <c r="C129" s="5"/>
      <c r="D129" s="5"/>
      <c r="E129" s="5"/>
      <c r="F129" s="5"/>
      <c r="G129" s="5"/>
      <c r="H129" s="5"/>
      <c r="I129" s="5"/>
      <c r="J129" s="5"/>
      <c r="K129" s="5"/>
      <c r="L129" s="5"/>
      <c r="M129" s="5"/>
      <c r="N129" s="5"/>
      <c r="O129" s="5"/>
      <c r="P129" s="5"/>
      <c r="Q129" s="5"/>
      <c r="R129" s="5"/>
      <c r="S129" s="399"/>
      <c r="T129" s="398"/>
      <c r="U129" s="398"/>
      <c r="V129" s="398"/>
      <c r="W129" s="398"/>
      <c r="X129" s="398"/>
      <c r="Y129" s="398"/>
      <c r="Z129" s="398"/>
      <c r="AA129" s="398"/>
      <c r="AB129" s="398"/>
      <c r="AC129" s="398"/>
      <c r="AD129" s="398"/>
      <c r="AE129" s="430"/>
      <c r="AF129" s="430"/>
      <c r="AG129" s="430"/>
      <c r="AH129" s="430"/>
    </row>
    <row r="130" spans="1:34" s="47" customFormat="1" ht="14.25" customHeight="1" x14ac:dyDescent="0.2">
      <c r="A130" s="5"/>
      <c r="B130" s="5"/>
      <c r="C130" s="5"/>
      <c r="D130" s="5"/>
      <c r="E130" s="5"/>
      <c r="F130" s="5"/>
      <c r="G130" s="5"/>
      <c r="H130" s="5"/>
      <c r="I130" s="5"/>
      <c r="J130" s="5"/>
      <c r="K130" s="5"/>
      <c r="L130" s="5"/>
      <c r="M130" s="5"/>
      <c r="N130" s="5"/>
      <c r="O130" s="5"/>
      <c r="P130" s="5"/>
      <c r="Q130" s="5"/>
      <c r="R130" s="5"/>
      <c r="S130" s="399"/>
      <c r="T130" s="54"/>
      <c r="U130" s="54"/>
      <c r="V130" s="54"/>
      <c r="W130" s="54"/>
      <c r="X130" s="54"/>
      <c r="Y130" s="54"/>
      <c r="Z130" s="54"/>
      <c r="AA130" s="54"/>
      <c r="AB130" s="54"/>
      <c r="AC130" s="54"/>
      <c r="AD130" s="54"/>
      <c r="AE130" s="54"/>
      <c r="AF130" s="430"/>
      <c r="AG130" s="430"/>
      <c r="AH130" s="430"/>
    </row>
    <row r="131" spans="1:34" s="47" customFormat="1" ht="8.25" customHeight="1" x14ac:dyDescent="0.2">
      <c r="A131" s="5"/>
      <c r="B131" s="5"/>
      <c r="C131" s="5"/>
      <c r="D131" s="5"/>
      <c r="E131" s="5"/>
      <c r="F131" s="5"/>
      <c r="G131" s="5"/>
      <c r="H131" s="5"/>
      <c r="I131" s="5"/>
      <c r="J131" s="5"/>
      <c r="K131" s="5"/>
      <c r="L131" s="5"/>
      <c r="M131" s="5"/>
      <c r="N131" s="5"/>
      <c r="O131" s="5"/>
      <c r="P131" s="5"/>
      <c r="Q131" s="5"/>
      <c r="R131" s="5"/>
      <c r="S131" s="399"/>
      <c r="T131" s="54"/>
      <c r="U131" s="54"/>
      <c r="V131" s="54"/>
      <c r="W131" s="54"/>
      <c r="X131" s="54"/>
      <c r="Y131" s="54"/>
      <c r="Z131" s="54"/>
      <c r="AA131" s="54"/>
      <c r="AB131" s="54"/>
      <c r="AC131" s="54"/>
      <c r="AD131" s="54"/>
      <c r="AE131" s="54"/>
      <c r="AF131" s="430"/>
      <c r="AG131" s="430"/>
      <c r="AH131" s="430"/>
    </row>
    <row r="132" spans="1:34" ht="14.25" customHeight="1" x14ac:dyDescent="0.2">
      <c r="S132" s="400"/>
      <c r="T132" s="712"/>
      <c r="U132" s="712"/>
      <c r="V132" s="712"/>
      <c r="W132" s="712"/>
      <c r="X132" s="712"/>
      <c r="Y132" s="712"/>
      <c r="Z132" s="712"/>
      <c r="AA132" s="712"/>
      <c r="AB132" s="712"/>
      <c r="AC132" s="712"/>
      <c r="AD132" s="712"/>
      <c r="AE132" s="712"/>
      <c r="AF132" s="11"/>
      <c r="AG132" s="11"/>
      <c r="AH132" s="11"/>
    </row>
    <row r="133" spans="1:34" ht="14.25" customHeight="1" x14ac:dyDescent="0.2">
      <c r="S133" s="400"/>
      <c r="T133" s="712"/>
      <c r="U133" s="712"/>
      <c r="V133" s="712"/>
      <c r="W133" s="712"/>
      <c r="X133" s="712"/>
      <c r="Y133" s="712"/>
      <c r="Z133" s="712"/>
      <c r="AA133" s="712"/>
      <c r="AB133" s="712"/>
      <c r="AC133" s="712"/>
      <c r="AD133" s="712"/>
      <c r="AE133" s="712"/>
      <c r="AF133" s="11"/>
      <c r="AG133" s="11"/>
      <c r="AH133" s="11"/>
    </row>
    <row r="134" spans="1:34" ht="8.25" customHeight="1" x14ac:dyDescent="0.25">
      <c r="S134" s="401"/>
      <c r="T134" s="42"/>
      <c r="U134" s="42"/>
      <c r="V134" s="42"/>
      <c r="W134" s="42"/>
      <c r="X134" s="40"/>
      <c r="Y134" s="40"/>
      <c r="Z134" s="42"/>
      <c r="AA134" s="42"/>
      <c r="AB134" s="42"/>
      <c r="AC134" s="42"/>
      <c r="AD134" s="40"/>
      <c r="AE134" s="40"/>
      <c r="AF134" s="11"/>
      <c r="AG134" s="11"/>
      <c r="AH134" s="11"/>
    </row>
    <row r="135" spans="1:34" ht="21.75" customHeight="1" x14ac:dyDescent="0.2">
      <c r="S135" s="55"/>
      <c r="T135" s="703"/>
      <c r="U135" s="703"/>
      <c r="V135" s="703"/>
      <c r="W135" s="703"/>
      <c r="X135" s="704"/>
      <c r="Y135" s="704"/>
      <c r="Z135" s="703"/>
      <c r="AA135" s="703"/>
      <c r="AB135" s="703"/>
      <c r="AC135" s="703"/>
      <c r="AD135" s="704"/>
      <c r="AE135" s="704"/>
      <c r="AF135" s="11"/>
      <c r="AG135" s="11"/>
      <c r="AH135" s="11"/>
    </row>
    <row r="136" spans="1:34" ht="11.25" customHeight="1" x14ac:dyDescent="0.2">
      <c r="S136" s="55"/>
      <c r="T136" s="11"/>
      <c r="U136" s="11"/>
      <c r="V136" s="11"/>
      <c r="W136" s="11"/>
      <c r="X136" s="11"/>
      <c r="Y136" s="11"/>
      <c r="Z136" s="11"/>
      <c r="AA136" s="11"/>
      <c r="AB136" s="11"/>
      <c r="AC136" s="11"/>
      <c r="AD136" s="11"/>
      <c r="AE136" s="11"/>
      <c r="AF136" s="11"/>
      <c r="AG136" s="11"/>
      <c r="AH136" s="11"/>
    </row>
    <row r="137" spans="1:34" ht="14.25" customHeight="1" x14ac:dyDescent="0.2">
      <c r="T137" s="11"/>
      <c r="U137" s="11"/>
      <c r="V137" s="11"/>
      <c r="W137" s="11"/>
      <c r="X137" s="11"/>
      <c r="Y137" s="11"/>
      <c r="Z137" s="11"/>
      <c r="AA137" s="11"/>
      <c r="AB137" s="11"/>
      <c r="AC137" s="11"/>
      <c r="AD137" s="11"/>
      <c r="AE137" s="11"/>
      <c r="AF137" s="11"/>
      <c r="AG137" s="11"/>
      <c r="AH137" s="11"/>
    </row>
    <row r="138" spans="1:34" x14ac:dyDescent="0.2">
      <c r="T138" s="11"/>
      <c r="U138" s="11"/>
      <c r="V138" s="11"/>
      <c r="W138" s="11"/>
      <c r="X138" s="11"/>
      <c r="Y138" s="11"/>
      <c r="Z138" s="11"/>
      <c r="AA138" s="11"/>
      <c r="AB138" s="11"/>
      <c r="AC138" s="11"/>
      <c r="AD138" s="11"/>
      <c r="AE138" s="11"/>
      <c r="AF138" s="11"/>
      <c r="AG138" s="11"/>
      <c r="AH138" s="11"/>
    </row>
    <row r="139" spans="1:34" x14ac:dyDescent="0.2">
      <c r="T139" s="11"/>
      <c r="U139" s="11"/>
      <c r="V139" s="11"/>
      <c r="W139" s="11"/>
      <c r="X139" s="11"/>
      <c r="Y139" s="11"/>
      <c r="Z139" s="11"/>
      <c r="AA139" s="11"/>
      <c r="AB139" s="11"/>
      <c r="AC139" s="11"/>
      <c r="AD139" s="11"/>
      <c r="AE139" s="11"/>
      <c r="AF139" s="11"/>
      <c r="AG139" s="11"/>
      <c r="AH139" s="11"/>
    </row>
    <row r="140" spans="1:34" x14ac:dyDescent="0.2">
      <c r="T140" s="11"/>
      <c r="U140" s="11"/>
      <c r="V140" s="11"/>
      <c r="W140" s="11"/>
      <c r="X140" s="11"/>
      <c r="Y140" s="11"/>
      <c r="Z140" s="11"/>
      <c r="AA140" s="11"/>
      <c r="AB140" s="11"/>
      <c r="AC140" s="11"/>
      <c r="AD140" s="11"/>
      <c r="AE140" s="11"/>
      <c r="AF140" s="11"/>
      <c r="AG140" s="11"/>
      <c r="AH140" s="11"/>
    </row>
    <row r="141" spans="1:34" x14ac:dyDescent="0.2">
      <c r="T141" s="11"/>
      <c r="U141" s="11"/>
      <c r="V141" s="11"/>
      <c r="W141" s="11"/>
      <c r="X141" s="11"/>
      <c r="Y141" s="11"/>
      <c r="Z141" s="11"/>
      <c r="AA141" s="11"/>
      <c r="AB141" s="11"/>
      <c r="AC141" s="11"/>
      <c r="AD141" s="11"/>
      <c r="AE141" s="11"/>
      <c r="AF141" s="11"/>
      <c r="AG141" s="11"/>
      <c r="AH141" s="11"/>
    </row>
    <row r="142" spans="1:34" x14ac:dyDescent="0.2">
      <c r="T142" s="11"/>
      <c r="U142" s="11"/>
      <c r="V142" s="11"/>
      <c r="W142" s="11"/>
      <c r="X142" s="11"/>
      <c r="Y142" s="11"/>
      <c r="Z142" s="11"/>
      <c r="AA142" s="11"/>
      <c r="AB142" s="11"/>
      <c r="AC142" s="11"/>
      <c r="AD142" s="11"/>
      <c r="AE142" s="11"/>
      <c r="AF142" s="11"/>
      <c r="AG142" s="11"/>
      <c r="AH142" s="11"/>
    </row>
    <row r="143" spans="1:34" x14ac:dyDescent="0.2">
      <c r="T143" s="11"/>
      <c r="U143" s="11"/>
      <c r="V143" s="11"/>
      <c r="W143" s="11"/>
      <c r="X143" s="11"/>
      <c r="Y143" s="11"/>
      <c r="Z143" s="11"/>
      <c r="AA143" s="11"/>
      <c r="AB143" s="11"/>
      <c r="AC143" s="11"/>
      <c r="AD143" s="11"/>
      <c r="AE143" s="11"/>
      <c r="AF143" s="11"/>
      <c r="AG143" s="11"/>
      <c r="AH143" s="11"/>
    </row>
    <row r="144" spans="1:34" x14ac:dyDescent="0.2">
      <c r="T144" s="11"/>
      <c r="U144" s="11"/>
      <c r="V144" s="11"/>
      <c r="W144" s="11"/>
      <c r="X144" s="11"/>
      <c r="Y144" s="11"/>
      <c r="Z144" s="11"/>
      <c r="AA144" s="11"/>
      <c r="AB144" s="11"/>
      <c r="AC144" s="11"/>
      <c r="AD144" s="11"/>
      <c r="AE144" s="11"/>
      <c r="AF144" s="11"/>
      <c r="AG144" s="11"/>
      <c r="AH144" s="11"/>
    </row>
    <row r="145" spans="20:34" x14ac:dyDescent="0.2">
      <c r="T145" s="11"/>
      <c r="U145" s="11"/>
      <c r="V145" s="11"/>
      <c r="W145" s="11"/>
      <c r="X145" s="11"/>
      <c r="Y145" s="11"/>
      <c r="Z145" s="11"/>
      <c r="AA145" s="11"/>
      <c r="AB145" s="11"/>
      <c r="AC145" s="11"/>
      <c r="AD145" s="11"/>
      <c r="AE145" s="11"/>
      <c r="AF145" s="11"/>
      <c r="AG145" s="11"/>
      <c r="AH145" s="11"/>
    </row>
    <row r="146" spans="20:34" x14ac:dyDescent="0.2">
      <c r="T146" s="11"/>
      <c r="U146" s="11"/>
      <c r="V146" s="11"/>
      <c r="W146" s="11"/>
      <c r="X146" s="11"/>
      <c r="Y146" s="11"/>
      <c r="Z146" s="11"/>
      <c r="AA146" s="11"/>
      <c r="AB146" s="11"/>
      <c r="AC146" s="11"/>
      <c r="AD146" s="11"/>
      <c r="AE146" s="11"/>
      <c r="AF146" s="11"/>
      <c r="AG146" s="11"/>
      <c r="AH146" s="11"/>
    </row>
    <row r="147" spans="20:34" x14ac:dyDescent="0.2">
      <c r="T147" s="11"/>
      <c r="U147" s="11"/>
      <c r="V147" s="11"/>
      <c r="W147" s="11"/>
      <c r="X147" s="11"/>
      <c r="Y147" s="11"/>
      <c r="Z147" s="11"/>
      <c r="AA147" s="11"/>
      <c r="AB147" s="11"/>
      <c r="AC147" s="11"/>
      <c r="AD147" s="11"/>
      <c r="AE147" s="11"/>
      <c r="AF147" s="11"/>
      <c r="AG147" s="11"/>
      <c r="AH147" s="11"/>
    </row>
    <row r="148" spans="20:34" x14ac:dyDescent="0.2">
      <c r="T148" s="11"/>
      <c r="U148" s="11"/>
      <c r="V148" s="11"/>
      <c r="W148" s="11"/>
      <c r="X148" s="11"/>
      <c r="Y148" s="11"/>
      <c r="Z148" s="11"/>
      <c r="AA148" s="11"/>
      <c r="AB148" s="11"/>
      <c r="AC148" s="11"/>
      <c r="AD148" s="11"/>
      <c r="AE148" s="11"/>
      <c r="AF148" s="11"/>
      <c r="AG148" s="11"/>
      <c r="AH148" s="11"/>
    </row>
  </sheetData>
  <mergeCells count="846">
    <mergeCell ref="E12:G12"/>
    <mergeCell ref="A12:D12"/>
    <mergeCell ref="E13:G13"/>
    <mergeCell ref="A13:D13"/>
    <mergeCell ref="F107:G107"/>
    <mergeCell ref="T133:AE133"/>
    <mergeCell ref="F108:G108"/>
    <mergeCell ref="M108:N108"/>
    <mergeCell ref="O108:P108"/>
    <mergeCell ref="F109:G109"/>
    <mergeCell ref="M109:N109"/>
    <mergeCell ref="O109:P109"/>
    <mergeCell ref="A112:J112"/>
    <mergeCell ref="A113:J113"/>
    <mergeCell ref="T127:AD127"/>
    <mergeCell ref="M107:N107"/>
    <mergeCell ref="O107:P107"/>
    <mergeCell ref="F102:G102"/>
    <mergeCell ref="M102:N102"/>
    <mergeCell ref="O102:P102"/>
    <mergeCell ref="F103:G103"/>
    <mergeCell ref="M103:N103"/>
    <mergeCell ref="O103:P103"/>
    <mergeCell ref="O106:P106"/>
    <mergeCell ref="F105:G105"/>
    <mergeCell ref="M105:N105"/>
    <mergeCell ref="O105:P105"/>
    <mergeCell ref="F106:G106"/>
    <mergeCell ref="M106:N106"/>
    <mergeCell ref="F98:G98"/>
    <mergeCell ref="M98:N98"/>
    <mergeCell ref="O98:P98"/>
    <mergeCell ref="F99:G99"/>
    <mergeCell ref="M99:N99"/>
    <mergeCell ref="O99:P99"/>
    <mergeCell ref="F100:G100"/>
    <mergeCell ref="M100:N100"/>
    <mergeCell ref="O100:P100"/>
    <mergeCell ref="F101:G101"/>
    <mergeCell ref="M101:N101"/>
    <mergeCell ref="O101:P101"/>
    <mergeCell ref="F104:G104"/>
    <mergeCell ref="M104:N104"/>
    <mergeCell ref="O104:P104"/>
    <mergeCell ref="F96:G96"/>
    <mergeCell ref="M96:N96"/>
    <mergeCell ref="O96:P96"/>
    <mergeCell ref="F97:G97"/>
    <mergeCell ref="M97:N97"/>
    <mergeCell ref="O97:P97"/>
    <mergeCell ref="F94:G94"/>
    <mergeCell ref="M94:N94"/>
    <mergeCell ref="O94:P94"/>
    <mergeCell ref="F95:G95"/>
    <mergeCell ref="M95:N95"/>
    <mergeCell ref="O95:P95"/>
    <mergeCell ref="F92:G92"/>
    <mergeCell ref="M92:N92"/>
    <mergeCell ref="O92:P92"/>
    <mergeCell ref="F93:G93"/>
    <mergeCell ref="M93:N93"/>
    <mergeCell ref="O93:P93"/>
    <mergeCell ref="F90:G90"/>
    <mergeCell ref="M90:N90"/>
    <mergeCell ref="O90:P90"/>
    <mergeCell ref="F91:G91"/>
    <mergeCell ref="M91:N91"/>
    <mergeCell ref="O91:P91"/>
    <mergeCell ref="F88:G88"/>
    <mergeCell ref="M88:N88"/>
    <mergeCell ref="O88:P88"/>
    <mergeCell ref="F89:G89"/>
    <mergeCell ref="M89:N89"/>
    <mergeCell ref="O89:P89"/>
    <mergeCell ref="F86:G86"/>
    <mergeCell ref="M86:N86"/>
    <mergeCell ref="O86:P86"/>
    <mergeCell ref="F87:G87"/>
    <mergeCell ref="M87:N87"/>
    <mergeCell ref="O87:P87"/>
    <mergeCell ref="F84:G84"/>
    <mergeCell ref="M84:N84"/>
    <mergeCell ref="O84:P84"/>
    <mergeCell ref="F85:G85"/>
    <mergeCell ref="M85:N85"/>
    <mergeCell ref="O85:P85"/>
    <mergeCell ref="C82:Q82"/>
    <mergeCell ref="F83:G83"/>
    <mergeCell ref="M83:N83"/>
    <mergeCell ref="O83:P83"/>
    <mergeCell ref="K45:L45"/>
    <mergeCell ref="K46:L46"/>
    <mergeCell ref="K49:L49"/>
    <mergeCell ref="K47:L47"/>
    <mergeCell ref="K48:L48"/>
    <mergeCell ref="C61:D61"/>
    <mergeCell ref="C62:D62"/>
    <mergeCell ref="C56:D56"/>
    <mergeCell ref="C58:D58"/>
    <mergeCell ref="C51:D51"/>
    <mergeCell ref="C53:D53"/>
    <mergeCell ref="C55:D55"/>
    <mergeCell ref="F52:G52"/>
    <mergeCell ref="F51:G51"/>
    <mergeCell ref="F62:G62"/>
    <mergeCell ref="H62:I62"/>
    <mergeCell ref="K62:L62"/>
    <mergeCell ref="C77:D77"/>
    <mergeCell ref="C79:D79"/>
    <mergeCell ref="C68:D68"/>
    <mergeCell ref="C69:D69"/>
    <mergeCell ref="C78:D78"/>
    <mergeCell ref="F54:G54"/>
    <mergeCell ref="F55:G55"/>
    <mergeCell ref="F56:G56"/>
    <mergeCell ref="V86:AL86"/>
    <mergeCell ref="AC69:AD69"/>
    <mergeCell ref="AC70:AD70"/>
    <mergeCell ref="AF70:AH70"/>
    <mergeCell ref="AI70:AL70"/>
    <mergeCell ref="V65:Y67"/>
    <mergeCell ref="Z65:AB67"/>
    <mergeCell ref="AC65:AD67"/>
    <mergeCell ref="AE65:AE67"/>
    <mergeCell ref="AF65:AH67"/>
    <mergeCell ref="AI65:AL65"/>
    <mergeCell ref="AI66:AL67"/>
    <mergeCell ref="V68:Y68"/>
    <mergeCell ref="Z68:AB68"/>
    <mergeCell ref="AC68:AD68"/>
    <mergeCell ref="AF68:AH68"/>
    <mergeCell ref="K38:L38"/>
    <mergeCell ref="K39:L39"/>
    <mergeCell ref="K42:L42"/>
    <mergeCell ref="P12:R12"/>
    <mergeCell ref="H13:K13"/>
    <mergeCell ref="L13:O13"/>
    <mergeCell ref="P13:R13"/>
    <mergeCell ref="A15:R15"/>
    <mergeCell ref="V84:AL84"/>
    <mergeCell ref="Z62:AB62"/>
    <mergeCell ref="AC62:AD62"/>
    <mergeCell ref="AF62:AH62"/>
    <mergeCell ref="AI62:AL62"/>
    <mergeCell ref="V63:Y63"/>
    <mergeCell ref="Z63:AB63"/>
    <mergeCell ref="AC63:AD63"/>
    <mergeCell ref="AF63:AH63"/>
    <mergeCell ref="AI63:AL63"/>
    <mergeCell ref="Z64:AB64"/>
    <mergeCell ref="AC64:AD64"/>
    <mergeCell ref="AF64:AH64"/>
    <mergeCell ref="AI64:AL64"/>
    <mergeCell ref="U65:U67"/>
    <mergeCell ref="Z69:AB69"/>
    <mergeCell ref="A11:R11"/>
    <mergeCell ref="H12:K12"/>
    <mergeCell ref="V85:AL85"/>
    <mergeCell ref="A16:A18"/>
    <mergeCell ref="L12:O12"/>
    <mergeCell ref="V59:Y59"/>
    <mergeCell ref="Z59:AB59"/>
    <mergeCell ref="AC59:AD59"/>
    <mergeCell ref="AF59:AH59"/>
    <mergeCell ref="AI59:AL59"/>
    <mergeCell ref="V76:AL76"/>
    <mergeCell ref="Z60:AB60"/>
    <mergeCell ref="AC60:AD60"/>
    <mergeCell ref="AF60:AH60"/>
    <mergeCell ref="AI60:AL60"/>
    <mergeCell ref="V61:Y61"/>
    <mergeCell ref="Z61:AB61"/>
    <mergeCell ref="AC61:AD61"/>
    <mergeCell ref="AF61:AH61"/>
    <mergeCell ref="AI61:AL61"/>
    <mergeCell ref="AF69:AH69"/>
    <mergeCell ref="AI69:AL69"/>
    <mergeCell ref="V70:Y70"/>
    <mergeCell ref="Z70:AB70"/>
    <mergeCell ref="C1:R1"/>
    <mergeCell ref="A1:B1"/>
    <mergeCell ref="K9:M9"/>
    <mergeCell ref="N9:R9"/>
    <mergeCell ref="V83:AL83"/>
    <mergeCell ref="K43:L43"/>
    <mergeCell ref="K44:L44"/>
    <mergeCell ref="E8:R8"/>
    <mergeCell ref="A9:D9"/>
    <mergeCell ref="E9:J9"/>
    <mergeCell ref="A6:D6"/>
    <mergeCell ref="E6:R6"/>
    <mergeCell ref="A7:D7"/>
    <mergeCell ref="E7:R7"/>
    <mergeCell ref="V77:AL77"/>
    <mergeCell ref="V78:AL79"/>
    <mergeCell ref="V80:AL80"/>
    <mergeCell ref="V81:AL81"/>
    <mergeCell ref="V82:AL82"/>
    <mergeCell ref="A4:D4"/>
    <mergeCell ref="E4:R4"/>
    <mergeCell ref="A5:D5"/>
    <mergeCell ref="E5:R5"/>
    <mergeCell ref="A8:D8"/>
    <mergeCell ref="AI68:AL68"/>
    <mergeCell ref="H38:I38"/>
    <mergeCell ref="H39:I39"/>
    <mergeCell ref="H42:I42"/>
    <mergeCell ref="H40:I40"/>
    <mergeCell ref="H68:I68"/>
    <mergeCell ref="H61:I61"/>
    <mergeCell ref="H44:I44"/>
    <mergeCell ref="H45:I45"/>
    <mergeCell ref="H46:I46"/>
    <mergeCell ref="H49:I49"/>
    <mergeCell ref="H47:I47"/>
    <mergeCell ref="H48:I48"/>
    <mergeCell ref="H52:I52"/>
    <mergeCell ref="H54:I54"/>
    <mergeCell ref="N44:O44"/>
    <mergeCell ref="N45:O45"/>
    <mergeCell ref="N46:O46"/>
    <mergeCell ref="N49:O49"/>
    <mergeCell ref="N47:O47"/>
    <mergeCell ref="N48:O48"/>
    <mergeCell ref="H50:I50"/>
    <mergeCell ref="K50:L50"/>
    <mergeCell ref="K54:L54"/>
    <mergeCell ref="H28:I28"/>
    <mergeCell ref="K28:L28"/>
    <mergeCell ref="H29:I29"/>
    <mergeCell ref="K29:L29"/>
    <mergeCell ref="H25:I25"/>
    <mergeCell ref="K25:L25"/>
    <mergeCell ref="C29:D29"/>
    <mergeCell ref="F25:G25"/>
    <mergeCell ref="F27:G27"/>
    <mergeCell ref="F26:G26"/>
    <mergeCell ref="K26:L26"/>
    <mergeCell ref="K27:L27"/>
    <mergeCell ref="H26:I26"/>
    <mergeCell ref="H27:I27"/>
    <mergeCell ref="C30:D30"/>
    <mergeCell ref="C31:D31"/>
    <mergeCell ref="C32:D32"/>
    <mergeCell ref="C23:D23"/>
    <mergeCell ref="C24:D24"/>
    <mergeCell ref="C25:D25"/>
    <mergeCell ref="C26:D26"/>
    <mergeCell ref="C20:D20"/>
    <mergeCell ref="B17:B18"/>
    <mergeCell ref="C17:D18"/>
    <mergeCell ref="C21:D21"/>
    <mergeCell ref="C27:D27"/>
    <mergeCell ref="C28:D28"/>
    <mergeCell ref="C22:D22"/>
    <mergeCell ref="AT113:AU113"/>
    <mergeCell ref="H30:I30"/>
    <mergeCell ref="K30:L30"/>
    <mergeCell ref="N25:O25"/>
    <mergeCell ref="N28:O28"/>
    <mergeCell ref="N29:O29"/>
    <mergeCell ref="N30:O30"/>
    <mergeCell ref="H31:I31"/>
    <mergeCell ref="K31:L31"/>
    <mergeCell ref="N31:O31"/>
    <mergeCell ref="V69:Y69"/>
    <mergeCell ref="V64:Y64"/>
    <mergeCell ref="V62:Y62"/>
    <mergeCell ref="V60:Y60"/>
    <mergeCell ref="U58:AL58"/>
    <mergeCell ref="H43:I43"/>
    <mergeCell ref="N50:O50"/>
    <mergeCell ref="AK25:AM25"/>
    <mergeCell ref="AN25:AO25"/>
    <mergeCell ref="AB26:AC26"/>
    <mergeCell ref="AE26:AF26"/>
    <mergeCell ref="AK26:AM26"/>
    <mergeCell ref="AN26:AO26"/>
    <mergeCell ref="AP56:AR56"/>
    <mergeCell ref="H22:I22"/>
    <mergeCell ref="K22:L22"/>
    <mergeCell ref="H23:I23"/>
    <mergeCell ref="K23:L23"/>
    <mergeCell ref="H24:I24"/>
    <mergeCell ref="K24:L24"/>
    <mergeCell ref="F22:G22"/>
    <mergeCell ref="F23:G23"/>
    <mergeCell ref="F24:G24"/>
    <mergeCell ref="B16:I16"/>
    <mergeCell ref="Q16:R17"/>
    <mergeCell ref="J16:P16"/>
    <mergeCell ref="N17:O18"/>
    <mergeCell ref="P17:P18"/>
    <mergeCell ref="N19:O19"/>
    <mergeCell ref="K21:L21"/>
    <mergeCell ref="F19:G19"/>
    <mergeCell ref="H17:I18"/>
    <mergeCell ref="H19:I19"/>
    <mergeCell ref="F21:G21"/>
    <mergeCell ref="E17:E18"/>
    <mergeCell ref="C19:D19"/>
    <mergeCell ref="F17:G18"/>
    <mergeCell ref="J17:J18"/>
    <mergeCell ref="K17:L18"/>
    <mergeCell ref="M17:M18"/>
    <mergeCell ref="K19:L19"/>
    <mergeCell ref="F20:G20"/>
    <mergeCell ref="H20:I20"/>
    <mergeCell ref="K20:L20"/>
    <mergeCell ref="H21:I21"/>
    <mergeCell ref="F43:G43"/>
    <mergeCell ref="F44:G44"/>
    <mergeCell ref="F39:G39"/>
    <mergeCell ref="F53:G53"/>
    <mergeCell ref="C57:D57"/>
    <mergeCell ref="F57:G57"/>
    <mergeCell ref="C50:D50"/>
    <mergeCell ref="C52:D52"/>
    <mergeCell ref="C41:D41"/>
    <mergeCell ref="C54:D54"/>
    <mergeCell ref="C39:D39"/>
    <mergeCell ref="C40:D40"/>
    <mergeCell ref="C49:D49"/>
    <mergeCell ref="C43:D43"/>
    <mergeCell ref="C44:D44"/>
    <mergeCell ref="C45:D45"/>
    <mergeCell ref="C46:D46"/>
    <mergeCell ref="C47:D47"/>
    <mergeCell ref="C48:D48"/>
    <mergeCell ref="F45:G45"/>
    <mergeCell ref="F46:G46"/>
    <mergeCell ref="F49:G49"/>
    <mergeCell ref="F50:G50"/>
    <mergeCell ref="F47:G47"/>
    <mergeCell ref="C42:D42"/>
    <mergeCell ref="C36:D36"/>
    <mergeCell ref="C33:D33"/>
    <mergeCell ref="C34:D34"/>
    <mergeCell ref="C35:D35"/>
    <mergeCell ref="C37:D37"/>
    <mergeCell ref="N20:O20"/>
    <mergeCell ref="N21:O21"/>
    <mergeCell ref="N22:O22"/>
    <mergeCell ref="N23:O23"/>
    <mergeCell ref="N24:O24"/>
    <mergeCell ref="N38:O38"/>
    <mergeCell ref="N39:O39"/>
    <mergeCell ref="N42:O42"/>
    <mergeCell ref="N27:O27"/>
    <mergeCell ref="F28:G28"/>
    <mergeCell ref="F29:G29"/>
    <mergeCell ref="F30:G30"/>
    <mergeCell ref="F38:G38"/>
    <mergeCell ref="C38:D38"/>
    <mergeCell ref="F42:G42"/>
    <mergeCell ref="F40:G40"/>
    <mergeCell ref="F31:G31"/>
    <mergeCell ref="N26:O26"/>
    <mergeCell ref="Z135:AC135"/>
    <mergeCell ref="AD135:AE135"/>
    <mergeCell ref="M114:Q114"/>
    <mergeCell ref="A124:D124"/>
    <mergeCell ref="T135:W135"/>
    <mergeCell ref="X135:Y135"/>
    <mergeCell ref="E124:L124"/>
    <mergeCell ref="T132:AE132"/>
    <mergeCell ref="A111:E111"/>
    <mergeCell ref="M111:Q111"/>
    <mergeCell ref="M112:Q112"/>
    <mergeCell ref="M113:Q113"/>
    <mergeCell ref="E125:L125"/>
    <mergeCell ref="A117:D117"/>
    <mergeCell ref="A119:D119"/>
    <mergeCell ref="M121:R121"/>
    <mergeCell ref="M122:R122"/>
    <mergeCell ref="A121:D122"/>
    <mergeCell ref="E121:L122"/>
    <mergeCell ref="A114:J114"/>
    <mergeCell ref="Z20:AQ20"/>
    <mergeCell ref="Z21:Z23"/>
    <mergeCell ref="AA21:AA23"/>
    <mergeCell ref="AB21:AH21"/>
    <mergeCell ref="AI21:AO21"/>
    <mergeCell ref="AP21:AQ22"/>
    <mergeCell ref="AB22:AC23"/>
    <mergeCell ref="AD22:AD23"/>
    <mergeCell ref="AE22:AF23"/>
    <mergeCell ref="AG22:AG23"/>
    <mergeCell ref="AH22:AH23"/>
    <mergeCell ref="AI22:AI23"/>
    <mergeCell ref="AJ22:AJ23"/>
    <mergeCell ref="AK22:AM23"/>
    <mergeCell ref="AN22:AO23"/>
    <mergeCell ref="AB24:AC24"/>
    <mergeCell ref="AE24:AF24"/>
    <mergeCell ref="AK24:AM24"/>
    <mergeCell ref="AN24:AO24"/>
    <mergeCell ref="AB25:AC25"/>
    <mergeCell ref="AE25:AF25"/>
    <mergeCell ref="F48:G48"/>
    <mergeCell ref="N43:O43"/>
    <mergeCell ref="AV53:AX53"/>
    <mergeCell ref="K52:L52"/>
    <mergeCell ref="N52:O52"/>
    <mergeCell ref="H53:I53"/>
    <mergeCell ref="K53:L53"/>
    <mergeCell ref="N53:O53"/>
    <mergeCell ref="F37:G37"/>
    <mergeCell ref="H37:I37"/>
    <mergeCell ref="K37:L37"/>
    <mergeCell ref="N37:O37"/>
    <mergeCell ref="K40:L40"/>
    <mergeCell ref="N40:O40"/>
    <mergeCell ref="F41:G41"/>
    <mergeCell ref="H41:I41"/>
    <mergeCell ref="K41:L41"/>
    <mergeCell ref="N41:O41"/>
    <mergeCell ref="AZ53:BB53"/>
    <mergeCell ref="BC53:BE53"/>
    <mergeCell ref="AP54:AR54"/>
    <mergeCell ref="AS54:AU54"/>
    <mergeCell ref="AV54:AX54"/>
    <mergeCell ref="AZ54:BB54"/>
    <mergeCell ref="BC54:BE54"/>
    <mergeCell ref="AP55:AR55"/>
    <mergeCell ref="AS55:AU55"/>
    <mergeCell ref="AV55:AX55"/>
    <mergeCell ref="AZ55:BB55"/>
    <mergeCell ref="BC55:BE55"/>
    <mergeCell ref="AS53:AU53"/>
    <mergeCell ref="AP53:AR53"/>
    <mergeCell ref="AS56:AU56"/>
    <mergeCell ref="AV56:AX56"/>
    <mergeCell ref="AZ56:BB56"/>
    <mergeCell ref="BC56:BE56"/>
    <mergeCell ref="AP57:AR57"/>
    <mergeCell ref="AS57:AU57"/>
    <mergeCell ref="AV57:AX57"/>
    <mergeCell ref="AZ57:BB57"/>
    <mergeCell ref="BC57:BE57"/>
    <mergeCell ref="AP58:AR58"/>
    <mergeCell ref="AS58:AU58"/>
    <mergeCell ref="AV58:AX58"/>
    <mergeCell ref="AZ58:BB58"/>
    <mergeCell ref="BC58:BE58"/>
    <mergeCell ref="AP59:AR59"/>
    <mergeCell ref="AS59:AU59"/>
    <mergeCell ref="AV59:AX59"/>
    <mergeCell ref="AZ59:BB59"/>
    <mergeCell ref="BC59:BE59"/>
    <mergeCell ref="AP60:AR60"/>
    <mergeCell ref="AS60:AU60"/>
    <mergeCell ref="AV60:AX60"/>
    <mergeCell ref="AZ60:BB60"/>
    <mergeCell ref="BC60:BE60"/>
    <mergeCell ref="AP61:AR61"/>
    <mergeCell ref="AS61:AU61"/>
    <mergeCell ref="AV61:AX61"/>
    <mergeCell ref="AZ61:BB61"/>
    <mergeCell ref="BC61:BE61"/>
    <mergeCell ref="AP62:AR62"/>
    <mergeCell ref="AS62:AU62"/>
    <mergeCell ref="AV62:AX62"/>
    <mergeCell ref="AZ62:BB62"/>
    <mergeCell ref="BC62:BE62"/>
    <mergeCell ref="AP63:AR63"/>
    <mergeCell ref="AS63:AU63"/>
    <mergeCell ref="AV63:AX63"/>
    <mergeCell ref="AZ63:BB63"/>
    <mergeCell ref="BC63:BE63"/>
    <mergeCell ref="AP64:AR64"/>
    <mergeCell ref="AS64:AU64"/>
    <mergeCell ref="AV64:AX64"/>
    <mergeCell ref="AZ64:BB64"/>
    <mergeCell ref="BC64:BE64"/>
    <mergeCell ref="AP65:AR65"/>
    <mergeCell ref="AS65:AU65"/>
    <mergeCell ref="AV65:AX65"/>
    <mergeCell ref="AZ65:BB65"/>
    <mergeCell ref="BC65:BE65"/>
    <mergeCell ref="AP66:AR66"/>
    <mergeCell ref="AS66:AU66"/>
    <mergeCell ref="AV66:AX66"/>
    <mergeCell ref="AZ66:BB66"/>
    <mergeCell ref="BC66:BE66"/>
    <mergeCell ref="AP67:AR67"/>
    <mergeCell ref="AS67:AU67"/>
    <mergeCell ref="AV67:AX67"/>
    <mergeCell ref="AZ67:BB67"/>
    <mergeCell ref="BC67:BE67"/>
    <mergeCell ref="AP68:AR68"/>
    <mergeCell ref="AS68:AU68"/>
    <mergeCell ref="AV68:AX68"/>
    <mergeCell ref="AZ68:BB68"/>
    <mergeCell ref="BC68:BE68"/>
    <mergeCell ref="AP69:AR69"/>
    <mergeCell ref="AS69:AU69"/>
    <mergeCell ref="AV69:AX69"/>
    <mergeCell ref="AZ69:BB69"/>
    <mergeCell ref="BC69:BE69"/>
    <mergeCell ref="AP70:AR70"/>
    <mergeCell ref="AS70:AU70"/>
    <mergeCell ref="AV70:AX70"/>
    <mergeCell ref="AZ70:BB70"/>
    <mergeCell ref="BC70:BE70"/>
    <mergeCell ref="AP71:AR71"/>
    <mergeCell ref="AS71:AU71"/>
    <mergeCell ref="AV71:AX71"/>
    <mergeCell ref="AZ71:BB71"/>
    <mergeCell ref="BC71:BE71"/>
    <mergeCell ref="AP72:AR72"/>
    <mergeCell ref="AS72:AU72"/>
    <mergeCell ref="AV72:AX72"/>
    <mergeCell ref="AZ72:BB72"/>
    <mergeCell ref="BC72:BE72"/>
    <mergeCell ref="AP73:AR73"/>
    <mergeCell ref="AS73:AU73"/>
    <mergeCell ref="AV73:AX73"/>
    <mergeCell ref="AZ73:BB73"/>
    <mergeCell ref="BC73:BE73"/>
    <mergeCell ref="AP74:AR74"/>
    <mergeCell ref="AS74:AU74"/>
    <mergeCell ref="AV74:AX74"/>
    <mergeCell ref="AZ74:BB74"/>
    <mergeCell ref="BC74:BE74"/>
    <mergeCell ref="AP75:AR75"/>
    <mergeCell ref="AS75:AU75"/>
    <mergeCell ref="AV75:AX75"/>
    <mergeCell ref="AZ75:BB75"/>
    <mergeCell ref="BC75:BE75"/>
    <mergeCell ref="AP76:AR76"/>
    <mergeCell ref="AS76:AU76"/>
    <mergeCell ref="AV76:AX76"/>
    <mergeCell ref="AZ76:BB76"/>
    <mergeCell ref="BC76:BE76"/>
    <mergeCell ref="AP77:AR77"/>
    <mergeCell ref="AS77:AU77"/>
    <mergeCell ref="AV77:AX77"/>
    <mergeCell ref="AZ77:BB77"/>
    <mergeCell ref="BC77:BE77"/>
    <mergeCell ref="AP78:AR78"/>
    <mergeCell ref="AS78:AU78"/>
    <mergeCell ref="AV78:AX78"/>
    <mergeCell ref="AZ78:BB78"/>
    <mergeCell ref="BC78:BE78"/>
    <mergeCell ref="AP79:AR79"/>
    <mergeCell ref="AS79:AU79"/>
    <mergeCell ref="AV79:AX79"/>
    <mergeCell ref="AZ79:BB79"/>
    <mergeCell ref="BC79:BE79"/>
    <mergeCell ref="AP80:AR80"/>
    <mergeCell ref="AS80:AU80"/>
    <mergeCell ref="AV80:AX80"/>
    <mergeCell ref="AZ80:BB80"/>
    <mergeCell ref="BC80:BE80"/>
    <mergeCell ref="AP81:AR81"/>
    <mergeCell ref="AS81:AU81"/>
    <mergeCell ref="AV81:AX81"/>
    <mergeCell ref="AZ81:BB81"/>
    <mergeCell ref="BC81:BE81"/>
    <mergeCell ref="AP82:AR82"/>
    <mergeCell ref="AS82:AU82"/>
    <mergeCell ref="AV82:AX82"/>
    <mergeCell ref="AZ82:BB82"/>
    <mergeCell ref="BC82:BE82"/>
    <mergeCell ref="AP83:AR83"/>
    <mergeCell ref="AS83:AU83"/>
    <mergeCell ref="AV83:AX83"/>
    <mergeCell ref="AZ83:BB83"/>
    <mergeCell ref="BC83:BE83"/>
    <mergeCell ref="AP84:AR84"/>
    <mergeCell ref="AS84:AU84"/>
    <mergeCell ref="AV84:AX84"/>
    <mergeCell ref="AZ84:BB84"/>
    <mergeCell ref="BC84:BE84"/>
    <mergeCell ref="AP85:AR85"/>
    <mergeCell ref="AS85:AU85"/>
    <mergeCell ref="AV85:AX85"/>
    <mergeCell ref="AZ85:BB85"/>
    <mergeCell ref="BC85:BE85"/>
    <mergeCell ref="AP86:AR86"/>
    <mergeCell ref="AS86:AU86"/>
    <mergeCell ref="AV86:AX86"/>
    <mergeCell ref="AZ86:BB86"/>
    <mergeCell ref="BC86:BE86"/>
    <mergeCell ref="AP87:AR87"/>
    <mergeCell ref="AS87:AU87"/>
    <mergeCell ref="AV87:AX87"/>
    <mergeCell ref="AZ87:BB87"/>
    <mergeCell ref="BC87:BE87"/>
    <mergeCell ref="AP88:AR88"/>
    <mergeCell ref="AS88:AU88"/>
    <mergeCell ref="AV88:AX88"/>
    <mergeCell ref="AZ88:BB88"/>
    <mergeCell ref="BC88:BE88"/>
    <mergeCell ref="AP89:AR89"/>
    <mergeCell ref="AS89:AU89"/>
    <mergeCell ref="AV89:AX89"/>
    <mergeCell ref="AZ89:BB89"/>
    <mergeCell ref="BC89:BE89"/>
    <mergeCell ref="AP90:AR90"/>
    <mergeCell ref="AS90:AU90"/>
    <mergeCell ref="AV90:AX90"/>
    <mergeCell ref="AZ90:BB90"/>
    <mergeCell ref="BC90:BE90"/>
    <mergeCell ref="AP91:AR91"/>
    <mergeCell ref="AS91:AU91"/>
    <mergeCell ref="AV91:AX91"/>
    <mergeCell ref="AZ91:BB91"/>
    <mergeCell ref="BC91:BE91"/>
    <mergeCell ref="AP92:AR92"/>
    <mergeCell ref="AS92:AU92"/>
    <mergeCell ref="AV92:AX92"/>
    <mergeCell ref="AZ92:BB92"/>
    <mergeCell ref="BC92:BE92"/>
    <mergeCell ref="AP93:AR93"/>
    <mergeCell ref="AS93:AU93"/>
    <mergeCell ref="AV93:AX93"/>
    <mergeCell ref="AZ93:BB93"/>
    <mergeCell ref="BC93:BE93"/>
    <mergeCell ref="AP94:AR94"/>
    <mergeCell ref="AS94:AU94"/>
    <mergeCell ref="AV94:AX94"/>
    <mergeCell ref="AZ94:BB94"/>
    <mergeCell ref="BC94:BE94"/>
    <mergeCell ref="AP95:AR95"/>
    <mergeCell ref="AS95:AU95"/>
    <mergeCell ref="AV95:AX95"/>
    <mergeCell ref="AZ95:BB95"/>
    <mergeCell ref="BC95:BE95"/>
    <mergeCell ref="AP96:AR96"/>
    <mergeCell ref="AS96:AU96"/>
    <mergeCell ref="AV96:AX96"/>
    <mergeCell ref="AZ96:BB96"/>
    <mergeCell ref="BC96:BE96"/>
    <mergeCell ref="AP97:AR97"/>
    <mergeCell ref="AS97:AU97"/>
    <mergeCell ref="AV97:AX97"/>
    <mergeCell ref="AZ97:BB97"/>
    <mergeCell ref="BC97:BE97"/>
    <mergeCell ref="AP98:AR98"/>
    <mergeCell ref="AS98:AU98"/>
    <mergeCell ref="AV98:AX98"/>
    <mergeCell ref="AZ98:BB98"/>
    <mergeCell ref="BC98:BE98"/>
    <mergeCell ref="AP99:AR99"/>
    <mergeCell ref="AS99:AU99"/>
    <mergeCell ref="AV99:AX99"/>
    <mergeCell ref="AZ99:BB99"/>
    <mergeCell ref="BC99:BE99"/>
    <mergeCell ref="AP100:AR100"/>
    <mergeCell ref="AS100:AU100"/>
    <mergeCell ref="AV100:AX100"/>
    <mergeCell ref="AZ100:BB100"/>
    <mergeCell ref="BC100:BE100"/>
    <mergeCell ref="AP101:AR101"/>
    <mergeCell ref="AS101:AU101"/>
    <mergeCell ref="AV101:AX101"/>
    <mergeCell ref="AZ101:BB101"/>
    <mergeCell ref="BC101:BE101"/>
    <mergeCell ref="AP102:AR102"/>
    <mergeCell ref="AS102:AU102"/>
    <mergeCell ref="AV102:AX102"/>
    <mergeCell ref="AZ102:BB102"/>
    <mergeCell ref="BC102:BE102"/>
    <mergeCell ref="AP103:AR103"/>
    <mergeCell ref="AS103:AU103"/>
    <mergeCell ref="AV103:AX103"/>
    <mergeCell ref="AZ103:BB103"/>
    <mergeCell ref="BC103:BE103"/>
    <mergeCell ref="AP104:AR104"/>
    <mergeCell ref="AS104:AU104"/>
    <mergeCell ref="AV104:AX104"/>
    <mergeCell ref="AZ104:BB104"/>
    <mergeCell ref="BC104:BE104"/>
    <mergeCell ref="AP105:AR105"/>
    <mergeCell ref="AS105:AU105"/>
    <mergeCell ref="AV105:AX105"/>
    <mergeCell ref="AZ105:BB105"/>
    <mergeCell ref="BC105:BE105"/>
    <mergeCell ref="AP106:AR106"/>
    <mergeCell ref="AS106:AU106"/>
    <mergeCell ref="AV106:AX106"/>
    <mergeCell ref="AZ106:BB106"/>
    <mergeCell ref="BC106:BE106"/>
    <mergeCell ref="AP107:AR107"/>
    <mergeCell ref="AS107:AU107"/>
    <mergeCell ref="AV107:AX107"/>
    <mergeCell ref="AZ107:BB107"/>
    <mergeCell ref="BC107:BE107"/>
    <mergeCell ref="AP108:AR108"/>
    <mergeCell ref="AS108:AU108"/>
    <mergeCell ref="AV108:AX108"/>
    <mergeCell ref="AZ108:BB108"/>
    <mergeCell ref="BC108:BE108"/>
    <mergeCell ref="AP109:AR109"/>
    <mergeCell ref="AS109:AU109"/>
    <mergeCell ref="AV109:AX109"/>
    <mergeCell ref="AZ109:BB109"/>
    <mergeCell ref="BC109:BE109"/>
    <mergeCell ref="AP110:AR110"/>
    <mergeCell ref="AS110:AU110"/>
    <mergeCell ref="AV110:AX110"/>
    <mergeCell ref="AZ110:BB110"/>
    <mergeCell ref="BC110:BE110"/>
    <mergeCell ref="AP111:AR111"/>
    <mergeCell ref="AS111:AU111"/>
    <mergeCell ref="AV111:AX111"/>
    <mergeCell ref="AZ111:BB111"/>
    <mergeCell ref="BC111:BE111"/>
    <mergeCell ref="AP112:AR112"/>
    <mergeCell ref="AS112:AU112"/>
    <mergeCell ref="AV112:AX112"/>
    <mergeCell ref="AZ112:BB112"/>
    <mergeCell ref="BC112:BE112"/>
    <mergeCell ref="F32:G32"/>
    <mergeCell ref="H32:I32"/>
    <mergeCell ref="K32:L32"/>
    <mergeCell ref="N32:O32"/>
    <mergeCell ref="F33:G33"/>
    <mergeCell ref="H33:I33"/>
    <mergeCell ref="K33:L33"/>
    <mergeCell ref="N33:O33"/>
    <mergeCell ref="F34:G34"/>
    <mergeCell ref="H34:I34"/>
    <mergeCell ref="K34:L34"/>
    <mergeCell ref="N34:O34"/>
    <mergeCell ref="F35:G35"/>
    <mergeCell ref="H35:I35"/>
    <mergeCell ref="K35:L35"/>
    <mergeCell ref="N35:O35"/>
    <mergeCell ref="H36:I36"/>
    <mergeCell ref="K36:L36"/>
    <mergeCell ref="N36:O36"/>
    <mergeCell ref="N54:O54"/>
    <mergeCell ref="H55:I55"/>
    <mergeCell ref="K55:L55"/>
    <mergeCell ref="N55:O55"/>
    <mergeCell ref="H56:I56"/>
    <mergeCell ref="K56:L56"/>
    <mergeCell ref="N56:O56"/>
    <mergeCell ref="C60:D60"/>
    <mergeCell ref="F60:G60"/>
    <mergeCell ref="H60:I60"/>
    <mergeCell ref="K60:L60"/>
    <mergeCell ref="N60:O60"/>
    <mergeCell ref="C59:D59"/>
    <mergeCell ref="F58:G58"/>
    <mergeCell ref="N62:O62"/>
    <mergeCell ref="F59:G59"/>
    <mergeCell ref="H59:I59"/>
    <mergeCell ref="K59:L59"/>
    <mergeCell ref="N59:O59"/>
    <mergeCell ref="F61:G61"/>
    <mergeCell ref="K61:L61"/>
    <mergeCell ref="N61:O61"/>
    <mergeCell ref="C63:D63"/>
    <mergeCell ref="F63:G63"/>
    <mergeCell ref="H63:I63"/>
    <mergeCell ref="K63:L63"/>
    <mergeCell ref="N63:O63"/>
    <mergeCell ref="C64:D64"/>
    <mergeCell ref="F64:G64"/>
    <mergeCell ref="H64:I64"/>
    <mergeCell ref="K64:L64"/>
    <mergeCell ref="N64:O64"/>
    <mergeCell ref="C65:D65"/>
    <mergeCell ref="F65:G65"/>
    <mergeCell ref="H65:I65"/>
    <mergeCell ref="K65:L65"/>
    <mergeCell ref="N65:O65"/>
    <mergeCell ref="C66:D66"/>
    <mergeCell ref="F66:G66"/>
    <mergeCell ref="H66:I66"/>
    <mergeCell ref="K66:L66"/>
    <mergeCell ref="N66:O66"/>
    <mergeCell ref="C67:D67"/>
    <mergeCell ref="F67:G67"/>
    <mergeCell ref="H67:I67"/>
    <mergeCell ref="K67:L67"/>
    <mergeCell ref="N67:O67"/>
    <mergeCell ref="F69:G69"/>
    <mergeCell ref="H69:I69"/>
    <mergeCell ref="K69:L69"/>
    <mergeCell ref="N69:O69"/>
    <mergeCell ref="N68:O68"/>
    <mergeCell ref="F68:G68"/>
    <mergeCell ref="K68:L68"/>
    <mergeCell ref="C70:D70"/>
    <mergeCell ref="F70:G70"/>
    <mergeCell ref="H70:I70"/>
    <mergeCell ref="K70:L70"/>
    <mergeCell ref="N70:O70"/>
    <mergeCell ref="F71:G71"/>
    <mergeCell ref="H71:I71"/>
    <mergeCell ref="K71:L71"/>
    <mergeCell ref="N71:O71"/>
    <mergeCell ref="C71:D71"/>
    <mergeCell ref="C72:D72"/>
    <mergeCell ref="F72:G72"/>
    <mergeCell ref="H72:I72"/>
    <mergeCell ref="K72:L72"/>
    <mergeCell ref="N72:O72"/>
    <mergeCell ref="F73:G73"/>
    <mergeCell ref="H73:I73"/>
    <mergeCell ref="K73:L73"/>
    <mergeCell ref="N73:O73"/>
    <mergeCell ref="C73:D73"/>
    <mergeCell ref="C74:D74"/>
    <mergeCell ref="F74:G74"/>
    <mergeCell ref="H74:I74"/>
    <mergeCell ref="K74:L74"/>
    <mergeCell ref="N74:O74"/>
    <mergeCell ref="H75:I75"/>
    <mergeCell ref="K75:L75"/>
    <mergeCell ref="N75:O75"/>
    <mergeCell ref="C76:D76"/>
    <mergeCell ref="H76:I76"/>
    <mergeCell ref="K76:L76"/>
    <mergeCell ref="N76:O76"/>
    <mergeCell ref="F76:G76"/>
    <mergeCell ref="C75:D75"/>
    <mergeCell ref="H77:I77"/>
    <mergeCell ref="K77:L77"/>
    <mergeCell ref="N77:O77"/>
    <mergeCell ref="F77:G77"/>
    <mergeCell ref="J2:L2"/>
    <mergeCell ref="F79:G79"/>
    <mergeCell ref="H79:I79"/>
    <mergeCell ref="K79:L79"/>
    <mergeCell ref="N79:O79"/>
    <mergeCell ref="F78:G78"/>
    <mergeCell ref="H78:I78"/>
    <mergeCell ref="K78:L78"/>
    <mergeCell ref="N78:O78"/>
    <mergeCell ref="F75:G75"/>
    <mergeCell ref="H57:I57"/>
    <mergeCell ref="K57:L57"/>
    <mergeCell ref="N57:O57"/>
    <mergeCell ref="H58:I58"/>
    <mergeCell ref="K58:L58"/>
    <mergeCell ref="N58:O58"/>
    <mergeCell ref="H51:I51"/>
    <mergeCell ref="K51:L51"/>
    <mergeCell ref="N51:O51"/>
    <mergeCell ref="F36:G36"/>
  </mergeCells>
  <printOptions horizontalCentered="1"/>
  <pageMargins left="0.35433070866141736" right="0.35433070866141736" top="0.6692913385826772" bottom="0.35433070866141736" header="0.35433070866141736" footer="0.15748031496062992"/>
  <pageSetup paperSize="9" scale="90" fitToHeight="0" orientation="landscape" r:id="rId1"/>
  <headerFooter alignWithMargins="0">
    <oddFooter>&amp;R&amp;"Times New Roman,обычный"&amp;8&amp;U&amp;A&amp;U стр.&amp;P из &amp;N</oddFooter>
  </headerFooter>
  <rowBreaks count="1" manualBreakCount="1">
    <brk id="23" min="1" max="17"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5">
    <pageSetUpPr fitToPage="1"/>
  </sheetPr>
  <dimension ref="A1:AO119"/>
  <sheetViews>
    <sheetView view="pageBreakPreview" topLeftCell="A2" zoomScale="85" zoomScaleNormal="100" zoomScaleSheetLayoutView="85" workbookViewId="0">
      <selection activeCell="J4" sqref="J4"/>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8.42578125" style="5" customWidth="1"/>
    <col min="10" max="10" width="11.28515625" style="5" customWidth="1"/>
    <col min="11" max="11" width="13.28515625" style="5" customWidth="1"/>
    <col min="12" max="12" width="4.85546875" style="5" customWidth="1"/>
    <col min="13" max="13" width="7.140625" style="5" customWidth="1"/>
    <col min="14" max="14" width="4.7109375" style="5" customWidth="1"/>
    <col min="15" max="15" width="9.28515625" style="5" customWidth="1"/>
    <col min="16" max="16" width="11.85546875" style="5" customWidth="1"/>
    <col min="17" max="18" width="13.7109375" style="5" customWidth="1"/>
    <col min="19" max="16384" width="8" style="5"/>
  </cols>
  <sheetData>
    <row r="1" spans="1:21" hidden="1" x14ac:dyDescent="0.2"/>
    <row r="2" spans="1:21" ht="72" customHeight="1" x14ac:dyDescent="0.2">
      <c r="A2" s="423"/>
      <c r="B2" s="423"/>
      <c r="C2" s="768" t="s">
        <v>1037</v>
      </c>
      <c r="D2" s="768"/>
      <c r="E2" s="768"/>
      <c r="F2" s="768"/>
      <c r="G2" s="768"/>
      <c r="H2" s="768"/>
      <c r="I2" s="768"/>
      <c r="J2" s="768"/>
      <c r="K2" s="768"/>
      <c r="L2" s="768"/>
      <c r="M2" s="768"/>
      <c r="N2" s="768"/>
      <c r="O2" s="768"/>
      <c r="P2" s="768"/>
      <c r="Q2" s="768"/>
      <c r="R2" s="768"/>
    </row>
    <row r="3" spans="1:21" ht="15" customHeight="1" x14ac:dyDescent="0.2">
      <c r="A3" s="1"/>
      <c r="B3" s="1"/>
      <c r="C3" s="1"/>
      <c r="D3" s="1"/>
      <c r="E3" s="2"/>
      <c r="F3" s="2"/>
      <c r="G3" s="3"/>
      <c r="H3" s="3"/>
      <c r="I3" s="3" t="s">
        <v>11</v>
      </c>
      <c r="J3" s="681" t="s">
        <v>1044</v>
      </c>
      <c r="K3" s="681"/>
      <c r="L3" s="4"/>
      <c r="M3" s="4"/>
      <c r="N3" s="4"/>
      <c r="O3" s="4"/>
      <c r="P3" s="4"/>
      <c r="Q3" s="1"/>
      <c r="R3" s="1"/>
    </row>
    <row r="4" spans="1:21" ht="15" customHeight="1" x14ac:dyDescent="0.2">
      <c r="A4" s="1"/>
      <c r="B4" s="1"/>
      <c r="C4" s="1"/>
      <c r="D4" s="1"/>
      <c r="E4" s="1"/>
      <c r="F4" s="1"/>
      <c r="G4" s="358"/>
      <c r="H4" s="1"/>
      <c r="I4" s="1"/>
      <c r="L4" s="1"/>
      <c r="M4" s="1"/>
      <c r="N4" s="1"/>
      <c r="O4" s="1"/>
      <c r="P4" s="1"/>
      <c r="Q4" s="1"/>
      <c r="R4" s="1"/>
    </row>
    <row r="5" spans="1:21" ht="24.95" customHeight="1" x14ac:dyDescent="0.2">
      <c r="A5" s="788" t="s">
        <v>12</v>
      </c>
      <c r="B5" s="789"/>
      <c r="C5" s="789"/>
      <c r="D5" s="790"/>
      <c r="E5" s="821">
        <f>'Акт отбора проб Почва'!E4:R4</f>
        <v>45739</v>
      </c>
      <c r="F5" s="821"/>
      <c r="G5" s="821"/>
      <c r="H5" s="821"/>
      <c r="I5" s="821"/>
      <c r="J5" s="821"/>
      <c r="K5" s="821"/>
      <c r="L5" s="821"/>
      <c r="M5" s="821"/>
      <c r="N5" s="821"/>
      <c r="O5" s="821"/>
      <c r="P5" s="821"/>
      <c r="Q5" s="821"/>
      <c r="R5" s="821"/>
    </row>
    <row r="6" spans="1:21" ht="43.9" customHeight="1" x14ac:dyDescent="0.2">
      <c r="A6" s="792" t="s">
        <v>967</v>
      </c>
      <c r="B6" s="793"/>
      <c r="C6" s="793"/>
      <c r="D6" s="794"/>
      <c r="E6" s="785" t="str">
        <f>'Акт отбора проб Почва'!E5:R5</f>
        <v xml:space="preserve"> по адресу:</v>
      </c>
      <c r="F6" s="785"/>
      <c r="G6" s="785"/>
      <c r="H6" s="785"/>
      <c r="I6" s="785"/>
      <c r="J6" s="785"/>
      <c r="K6" s="785"/>
      <c r="L6" s="785"/>
      <c r="M6" s="785"/>
      <c r="N6" s="785"/>
      <c r="O6" s="785"/>
      <c r="P6" s="785"/>
      <c r="Q6" s="785"/>
      <c r="R6" s="785"/>
    </row>
    <row r="7" spans="1:21" ht="28.5" customHeight="1" x14ac:dyDescent="0.3">
      <c r="A7" s="778" t="s">
        <v>791</v>
      </c>
      <c r="B7" s="779"/>
      <c r="C7" s="779"/>
      <c r="D7" s="780"/>
      <c r="E7" s="785" t="str">
        <f>'Акт отбора проб Почва'!E6:R6</f>
        <v>Из Тз</v>
      </c>
      <c r="F7" s="785"/>
      <c r="G7" s="785"/>
      <c r="H7" s="785"/>
      <c r="I7" s="785"/>
      <c r="J7" s="785"/>
      <c r="K7" s="785"/>
      <c r="L7" s="785"/>
      <c r="M7" s="785"/>
      <c r="N7" s="785"/>
      <c r="O7" s="785"/>
      <c r="P7" s="785"/>
      <c r="Q7" s="785"/>
      <c r="R7" s="785"/>
      <c r="S7" s="7"/>
      <c r="T7" s="7"/>
      <c r="U7" s="7"/>
    </row>
    <row r="8" spans="1:21" ht="24.95" customHeight="1" x14ac:dyDescent="0.3">
      <c r="A8" s="778" t="s">
        <v>792</v>
      </c>
      <c r="B8" s="779"/>
      <c r="C8" s="779"/>
      <c r="D8" s="780"/>
      <c r="E8" s="785" t="s">
        <v>962</v>
      </c>
      <c r="F8" s="785"/>
      <c r="G8" s="785"/>
      <c r="H8" s="785"/>
      <c r="I8" s="785"/>
      <c r="J8" s="785"/>
      <c r="K8" s="785"/>
      <c r="L8" s="785"/>
      <c r="M8" s="785"/>
      <c r="N8" s="785"/>
      <c r="O8" s="785"/>
      <c r="P8" s="785"/>
      <c r="Q8" s="785"/>
      <c r="R8" s="785"/>
      <c r="S8" s="7"/>
      <c r="T8" s="7"/>
      <c r="U8" s="7"/>
    </row>
    <row r="9" spans="1:21" ht="43.5" customHeight="1" x14ac:dyDescent="0.3">
      <c r="A9" s="778" t="s">
        <v>793</v>
      </c>
      <c r="B9" s="779"/>
      <c r="C9" s="779"/>
      <c r="D9" s="780"/>
      <c r="E9" s="775" t="s">
        <v>1041</v>
      </c>
      <c r="F9" s="776"/>
      <c r="G9" s="776"/>
      <c r="H9" s="776"/>
      <c r="I9" s="776"/>
      <c r="J9" s="776"/>
      <c r="K9" s="776"/>
      <c r="L9" s="776"/>
      <c r="M9" s="776"/>
      <c r="N9" s="776"/>
      <c r="O9" s="776"/>
      <c r="P9" s="776"/>
      <c r="Q9" s="776"/>
      <c r="R9" s="777"/>
      <c r="S9" s="7"/>
    </row>
    <row r="10" spans="1:21" ht="24.95" customHeight="1" x14ac:dyDescent="0.2">
      <c r="A10" s="822" t="s">
        <v>14</v>
      </c>
      <c r="B10" s="822"/>
      <c r="C10" s="822"/>
      <c r="D10" s="822"/>
      <c r="E10" s="781">
        <f>E5</f>
        <v>45739</v>
      </c>
      <c r="F10" s="782"/>
      <c r="G10" s="782"/>
      <c r="H10" s="782"/>
      <c r="I10" s="782"/>
      <c r="J10" s="783"/>
      <c r="K10" s="770" t="s">
        <v>15</v>
      </c>
      <c r="L10" s="770"/>
      <c r="M10" s="770"/>
      <c r="N10" s="771" t="s">
        <v>16</v>
      </c>
      <c r="O10" s="772"/>
      <c r="P10" s="772"/>
      <c r="Q10" s="772"/>
      <c r="R10" s="773"/>
      <c r="S10" s="8"/>
    </row>
    <row r="11" spans="1:21" customFormat="1" ht="22.5" customHeight="1" x14ac:dyDescent="0.25">
      <c r="A11" s="795" t="s">
        <v>1032</v>
      </c>
      <c r="B11" s="795"/>
      <c r="C11" s="795"/>
      <c r="D11" s="795"/>
      <c r="E11" s="795"/>
      <c r="F11" s="795"/>
      <c r="G11" s="795"/>
      <c r="H11" s="795"/>
      <c r="I11" s="795"/>
      <c r="J11" s="795"/>
      <c r="K11" s="795"/>
      <c r="L11" s="795"/>
      <c r="M11" s="795"/>
      <c r="N11" s="795"/>
      <c r="O11" s="795"/>
      <c r="P11" s="795"/>
      <c r="Q11" s="795"/>
      <c r="R11" s="795"/>
    </row>
    <row r="12" spans="1:21" customFormat="1" ht="30" customHeight="1" x14ac:dyDescent="0.2">
      <c r="A12" s="796" t="s">
        <v>27</v>
      </c>
      <c r="B12" s="796"/>
      <c r="C12" s="796"/>
      <c r="D12" s="796"/>
      <c r="E12" s="796" t="s">
        <v>28</v>
      </c>
      <c r="F12" s="796"/>
      <c r="G12" s="796"/>
      <c r="H12" s="796" t="s">
        <v>29</v>
      </c>
      <c r="I12" s="796"/>
      <c r="J12" s="796"/>
      <c r="K12" s="796"/>
      <c r="L12" s="798" t="s">
        <v>642</v>
      </c>
      <c r="M12" s="798"/>
      <c r="N12" s="798"/>
      <c r="O12" s="798"/>
      <c r="P12" s="801" t="s">
        <v>31</v>
      </c>
      <c r="Q12" s="802"/>
      <c r="R12" s="803"/>
    </row>
    <row r="13" spans="1:21" ht="23.25" customHeight="1" x14ac:dyDescent="0.2">
      <c r="A13" s="819"/>
      <c r="B13" s="819"/>
      <c r="C13" s="819"/>
      <c r="D13" s="819"/>
      <c r="E13" s="819"/>
      <c r="F13" s="819"/>
      <c r="G13" s="819"/>
      <c r="H13" s="804"/>
      <c r="I13" s="804"/>
      <c r="J13" s="804"/>
      <c r="K13" s="804"/>
      <c r="L13" s="804"/>
      <c r="M13" s="804"/>
      <c r="N13" s="804"/>
      <c r="O13" s="804"/>
      <c r="P13" s="805"/>
      <c r="Q13" s="806"/>
      <c r="R13" s="807"/>
      <c r="S13" s="8"/>
    </row>
    <row r="14" spans="1:21" ht="6.75" customHeight="1" x14ac:dyDescent="0.2">
      <c r="A14" s="15"/>
      <c r="B14" s="15"/>
      <c r="C14" s="15"/>
      <c r="D14" s="15"/>
      <c r="E14" s="16"/>
      <c r="F14" s="16"/>
      <c r="G14" s="16"/>
      <c r="H14" s="16"/>
      <c r="I14" s="16"/>
      <c r="J14" s="16"/>
      <c r="K14" s="17"/>
      <c r="L14" s="17"/>
      <c r="M14" s="17"/>
      <c r="N14" s="16"/>
      <c r="O14" s="16"/>
      <c r="P14" s="16"/>
      <c r="Q14" s="16"/>
      <c r="R14" s="16"/>
    </row>
    <row r="15" spans="1:21" ht="17.25" customHeight="1" x14ac:dyDescent="0.2">
      <c r="A15" s="808" t="s">
        <v>794</v>
      </c>
      <c r="B15" s="808"/>
      <c r="C15" s="808"/>
      <c r="D15" s="808"/>
      <c r="E15" s="808"/>
      <c r="F15" s="808"/>
      <c r="G15" s="808"/>
      <c r="H15" s="808"/>
      <c r="I15" s="808"/>
      <c r="J15" s="808"/>
      <c r="K15" s="808"/>
      <c r="L15" s="808"/>
      <c r="M15" s="808"/>
      <c r="N15" s="808"/>
      <c r="O15" s="808"/>
      <c r="P15" s="808"/>
      <c r="Q15" s="808"/>
      <c r="R15" s="808"/>
    </row>
    <row r="16" spans="1:21" ht="19.5" customHeight="1" x14ac:dyDescent="0.2">
      <c r="A16" s="739" t="s">
        <v>7</v>
      </c>
      <c r="B16" s="740" t="s">
        <v>680</v>
      </c>
      <c r="C16" s="740"/>
      <c r="D16" s="740"/>
      <c r="E16" s="740"/>
      <c r="F16" s="740"/>
      <c r="G16" s="740"/>
      <c r="H16" s="740"/>
      <c r="I16" s="740"/>
      <c r="J16" s="741" t="s">
        <v>679</v>
      </c>
      <c r="K16" s="741"/>
      <c r="L16" s="741"/>
      <c r="M16" s="741"/>
      <c r="N16" s="741"/>
      <c r="O16" s="741"/>
      <c r="P16" s="742"/>
      <c r="Q16" s="739" t="s">
        <v>797</v>
      </c>
      <c r="R16" s="739"/>
    </row>
    <row r="17" spans="1:41" ht="20.25" customHeight="1" x14ac:dyDescent="0.2">
      <c r="A17" s="739"/>
      <c r="B17" s="740" t="s">
        <v>796</v>
      </c>
      <c r="C17" s="740" t="s">
        <v>847</v>
      </c>
      <c r="D17" s="740"/>
      <c r="E17" s="741" t="s">
        <v>813</v>
      </c>
      <c r="F17" s="741" t="s">
        <v>848</v>
      </c>
      <c r="G17" s="741"/>
      <c r="H17" s="741" t="s">
        <v>795</v>
      </c>
      <c r="I17" s="741"/>
      <c r="J17" s="754" t="s">
        <v>796</v>
      </c>
      <c r="K17" s="741" t="s">
        <v>847</v>
      </c>
      <c r="L17" s="744" t="s">
        <v>813</v>
      </c>
      <c r="M17" s="756"/>
      <c r="N17" s="743" t="s">
        <v>848</v>
      </c>
      <c r="O17" s="744"/>
      <c r="P17" s="741" t="s">
        <v>795</v>
      </c>
      <c r="Q17" s="739"/>
      <c r="R17" s="739"/>
    </row>
    <row r="18" spans="1:41" s="23" customFormat="1" ht="66" customHeight="1" x14ac:dyDescent="0.2">
      <c r="A18" s="739"/>
      <c r="B18" s="740"/>
      <c r="C18" s="740"/>
      <c r="D18" s="740"/>
      <c r="E18" s="741"/>
      <c r="F18" s="741"/>
      <c r="G18" s="741"/>
      <c r="H18" s="741"/>
      <c r="I18" s="741"/>
      <c r="J18" s="755"/>
      <c r="K18" s="741"/>
      <c r="L18" s="824"/>
      <c r="M18" s="758"/>
      <c r="N18" s="745"/>
      <c r="O18" s="700"/>
      <c r="P18" s="741"/>
      <c r="Q18" s="25" t="s">
        <v>38</v>
      </c>
      <c r="R18" s="25" t="s">
        <v>39</v>
      </c>
      <c r="X18" s="846"/>
      <c r="Y18" s="846"/>
      <c r="Z18" s="846"/>
      <c r="AA18" s="846"/>
      <c r="AB18" s="847"/>
      <c r="AC18" s="847"/>
      <c r="AD18" s="847"/>
      <c r="AE18" s="847"/>
      <c r="AF18" s="847"/>
      <c r="AG18" s="847"/>
      <c r="AH18" s="847"/>
      <c r="AI18" s="847"/>
      <c r="AJ18" s="847"/>
      <c r="AK18" s="847"/>
      <c r="AL18" s="847"/>
      <c r="AM18" s="847"/>
      <c r="AN18" s="847"/>
      <c r="AO18" s="847"/>
    </row>
    <row r="19" spans="1:41" ht="15.75" x14ac:dyDescent="0.2">
      <c r="A19" s="21">
        <v>1</v>
      </c>
      <c r="B19" s="21">
        <v>2</v>
      </c>
      <c r="C19" s="752">
        <v>3</v>
      </c>
      <c r="D19" s="753"/>
      <c r="E19" s="22">
        <v>4</v>
      </c>
      <c r="F19" s="749">
        <v>5</v>
      </c>
      <c r="G19" s="750"/>
      <c r="H19" s="751">
        <v>6</v>
      </c>
      <c r="I19" s="751"/>
      <c r="J19" s="377">
        <v>7</v>
      </c>
      <c r="K19" s="22">
        <v>8</v>
      </c>
      <c r="L19" s="752">
        <v>9</v>
      </c>
      <c r="M19" s="753"/>
      <c r="N19" s="746">
        <v>10</v>
      </c>
      <c r="O19" s="746"/>
      <c r="P19" s="21">
        <v>11</v>
      </c>
      <c r="Q19" s="21">
        <v>12</v>
      </c>
      <c r="R19" s="22">
        <v>13</v>
      </c>
      <c r="X19" s="845"/>
      <c r="Y19" s="845"/>
      <c r="Z19" s="845"/>
      <c r="AA19" s="845"/>
      <c r="AB19" s="848"/>
      <c r="AC19" s="848"/>
      <c r="AD19" s="848"/>
      <c r="AE19" s="848"/>
      <c r="AF19" s="848"/>
      <c r="AG19" s="848"/>
      <c r="AH19" s="848"/>
      <c r="AI19" s="848"/>
      <c r="AJ19" s="848"/>
      <c r="AK19" s="848"/>
      <c r="AL19" s="848"/>
      <c r="AM19" s="848"/>
      <c r="AN19" s="848"/>
      <c r="AO19" s="848"/>
    </row>
    <row r="20" spans="1:41" ht="15" customHeight="1" x14ac:dyDescent="0.2">
      <c r="A20" s="18">
        <v>1</v>
      </c>
      <c r="B20" s="19" t="s">
        <v>40</v>
      </c>
      <c r="C20" s="765" t="s">
        <v>694</v>
      </c>
      <c r="D20" s="765"/>
      <c r="E20" s="316" t="s">
        <v>42</v>
      </c>
      <c r="F20" s="739" t="s">
        <v>43</v>
      </c>
      <c r="G20" s="739"/>
      <c r="H20" s="737" t="s">
        <v>886</v>
      </c>
      <c r="I20" s="738"/>
      <c r="J20" s="18" t="s">
        <v>786</v>
      </c>
      <c r="K20" s="24" t="s">
        <v>775</v>
      </c>
      <c r="L20" s="823" t="s">
        <v>42</v>
      </c>
      <c r="M20" s="823"/>
      <c r="N20" s="739" t="s">
        <v>43</v>
      </c>
      <c r="O20" s="739"/>
      <c r="P20" s="18" t="s">
        <v>885</v>
      </c>
      <c r="Q20" s="317" t="s">
        <v>643</v>
      </c>
      <c r="R20" s="317" t="s">
        <v>644</v>
      </c>
      <c r="X20" s="845"/>
      <c r="Y20" s="845"/>
      <c r="Z20" s="845"/>
      <c r="AA20" s="845"/>
      <c r="AB20" s="848"/>
      <c r="AC20" s="848"/>
      <c r="AD20" s="848"/>
      <c r="AE20" s="848"/>
      <c r="AF20" s="848"/>
      <c r="AG20" s="848"/>
      <c r="AH20" s="848"/>
      <c r="AI20" s="848"/>
      <c r="AJ20" s="848"/>
      <c r="AK20" s="848"/>
      <c r="AL20" s="848"/>
      <c r="AM20" s="848"/>
      <c r="AN20" s="848"/>
      <c r="AO20" s="848"/>
    </row>
    <row r="21" spans="1:41" ht="15" customHeight="1" x14ac:dyDescent="0.2">
      <c r="A21" s="18">
        <v>2</v>
      </c>
      <c r="B21" s="19" t="s">
        <v>40</v>
      </c>
      <c r="C21" s="765" t="s">
        <v>695</v>
      </c>
      <c r="D21" s="765"/>
      <c r="E21" s="316" t="s">
        <v>42</v>
      </c>
      <c r="F21" s="739" t="s">
        <v>45</v>
      </c>
      <c r="G21" s="739"/>
      <c r="H21" s="737" t="s">
        <v>886</v>
      </c>
      <c r="I21" s="738"/>
      <c r="J21" s="18" t="s">
        <v>786</v>
      </c>
      <c r="K21" s="24" t="s">
        <v>776</v>
      </c>
      <c r="L21" s="823" t="s">
        <v>42</v>
      </c>
      <c r="M21" s="823"/>
      <c r="N21" s="739" t="s">
        <v>45</v>
      </c>
      <c r="O21" s="739"/>
      <c r="P21" s="18" t="s">
        <v>885</v>
      </c>
      <c r="Q21" s="317" t="s">
        <v>643</v>
      </c>
      <c r="R21" s="317" t="s">
        <v>644</v>
      </c>
      <c r="X21" s="845"/>
      <c r="Y21" s="845"/>
      <c r="Z21" s="845"/>
      <c r="AA21" s="845"/>
      <c r="AB21" s="848"/>
      <c r="AC21" s="848"/>
      <c r="AD21" s="848"/>
      <c r="AE21" s="848"/>
      <c r="AF21" s="848"/>
      <c r="AG21" s="848"/>
      <c r="AH21" s="848"/>
      <c r="AI21" s="848"/>
      <c r="AJ21" s="848"/>
      <c r="AK21" s="848"/>
      <c r="AL21" s="848"/>
      <c r="AM21" s="848"/>
      <c r="AN21" s="848"/>
      <c r="AO21" s="848"/>
    </row>
    <row r="22" spans="1:41" ht="15" customHeight="1" x14ac:dyDescent="0.2">
      <c r="A22" s="18">
        <v>3</v>
      </c>
      <c r="B22" s="19" t="s">
        <v>40</v>
      </c>
      <c r="C22" s="765" t="s">
        <v>696</v>
      </c>
      <c r="D22" s="765"/>
      <c r="E22" s="316" t="s">
        <v>42</v>
      </c>
      <c r="F22" s="739" t="s">
        <v>47</v>
      </c>
      <c r="G22" s="739"/>
      <c r="H22" s="737" t="s">
        <v>886</v>
      </c>
      <c r="I22" s="738"/>
      <c r="J22" s="18" t="s">
        <v>786</v>
      </c>
      <c r="K22" s="24" t="s">
        <v>777</v>
      </c>
      <c r="L22" s="823" t="s">
        <v>42</v>
      </c>
      <c r="M22" s="823"/>
      <c r="N22" s="739" t="s">
        <v>47</v>
      </c>
      <c r="O22" s="739"/>
      <c r="P22" s="18" t="s">
        <v>885</v>
      </c>
      <c r="Q22" s="317" t="s">
        <v>643</v>
      </c>
      <c r="R22" s="317" t="s">
        <v>644</v>
      </c>
      <c r="X22" s="845"/>
      <c r="Y22" s="845"/>
      <c r="Z22" s="845"/>
      <c r="AA22" s="845"/>
      <c r="AB22" s="848"/>
      <c r="AC22" s="848"/>
      <c r="AD22" s="848"/>
      <c r="AE22" s="848"/>
      <c r="AF22" s="848"/>
      <c r="AG22" s="848"/>
      <c r="AH22" s="848"/>
      <c r="AI22" s="848"/>
      <c r="AJ22" s="848"/>
      <c r="AK22" s="848"/>
      <c r="AL22" s="848"/>
      <c r="AM22" s="848"/>
      <c r="AN22" s="848"/>
      <c r="AO22" s="848"/>
    </row>
    <row r="23" spans="1:41" ht="15" customHeight="1" x14ac:dyDescent="0.2">
      <c r="A23" s="18">
        <v>4</v>
      </c>
      <c r="B23" s="19" t="s">
        <v>40</v>
      </c>
      <c r="C23" s="765" t="s">
        <v>697</v>
      </c>
      <c r="D23" s="765"/>
      <c r="E23" s="316" t="s">
        <v>42</v>
      </c>
      <c r="F23" s="739" t="s">
        <v>49</v>
      </c>
      <c r="G23" s="739"/>
      <c r="H23" s="737" t="s">
        <v>886</v>
      </c>
      <c r="I23" s="738"/>
      <c r="J23" s="18" t="s">
        <v>786</v>
      </c>
      <c r="K23" s="24" t="s">
        <v>778</v>
      </c>
      <c r="L23" s="823" t="s">
        <v>42</v>
      </c>
      <c r="M23" s="823"/>
      <c r="N23" s="739" t="s">
        <v>49</v>
      </c>
      <c r="O23" s="739"/>
      <c r="P23" s="18" t="s">
        <v>885</v>
      </c>
      <c r="Q23" s="317" t="s">
        <v>643</v>
      </c>
      <c r="R23" s="317" t="s">
        <v>644</v>
      </c>
      <c r="X23" s="845"/>
      <c r="Y23" s="845"/>
      <c r="Z23" s="845"/>
      <c r="AA23" s="845"/>
      <c r="AB23" s="848"/>
      <c r="AC23" s="848"/>
      <c r="AD23" s="848"/>
      <c r="AE23" s="848"/>
      <c r="AF23" s="848"/>
      <c r="AG23" s="848"/>
      <c r="AH23" s="848"/>
      <c r="AI23" s="848"/>
      <c r="AJ23" s="848"/>
      <c r="AK23" s="848"/>
      <c r="AL23" s="848"/>
      <c r="AM23" s="848"/>
      <c r="AN23" s="848"/>
      <c r="AO23" s="848"/>
    </row>
    <row r="24" spans="1:41" ht="15" customHeight="1" x14ac:dyDescent="0.2">
      <c r="A24" s="18">
        <v>5</v>
      </c>
      <c r="B24" s="19" t="s">
        <v>40</v>
      </c>
      <c r="C24" s="765" t="s">
        <v>698</v>
      </c>
      <c r="D24" s="765"/>
      <c r="E24" s="316" t="s">
        <v>42</v>
      </c>
      <c r="F24" s="739" t="s">
        <v>646</v>
      </c>
      <c r="G24" s="739"/>
      <c r="H24" s="737" t="s">
        <v>886</v>
      </c>
      <c r="I24" s="738"/>
      <c r="J24" s="18" t="s">
        <v>786</v>
      </c>
      <c r="K24" s="24" t="s">
        <v>779</v>
      </c>
      <c r="L24" s="823" t="s">
        <v>42</v>
      </c>
      <c r="M24" s="823"/>
      <c r="N24" s="739" t="s">
        <v>646</v>
      </c>
      <c r="O24" s="739"/>
      <c r="P24" s="18" t="s">
        <v>885</v>
      </c>
      <c r="Q24" s="317" t="s">
        <v>643</v>
      </c>
      <c r="R24" s="317" t="s">
        <v>644</v>
      </c>
      <c r="X24" s="845"/>
      <c r="Y24" s="845"/>
      <c r="Z24" s="845"/>
      <c r="AA24" s="845"/>
      <c r="AB24" s="848"/>
      <c r="AC24" s="848"/>
      <c r="AD24" s="848"/>
      <c r="AE24" s="848"/>
      <c r="AF24" s="848"/>
      <c r="AG24" s="848"/>
      <c r="AH24" s="848"/>
      <c r="AI24" s="848"/>
      <c r="AJ24" s="848"/>
      <c r="AK24" s="848"/>
      <c r="AL24" s="848"/>
      <c r="AM24" s="848"/>
      <c r="AN24" s="848"/>
      <c r="AO24" s="848"/>
    </row>
    <row r="25" spans="1:41" ht="15" customHeight="1" x14ac:dyDescent="0.2">
      <c r="A25" s="18">
        <v>6</v>
      </c>
      <c r="B25" s="19" t="s">
        <v>40</v>
      </c>
      <c r="C25" s="765" t="s">
        <v>699</v>
      </c>
      <c r="D25" s="765"/>
      <c r="E25" s="445" t="s">
        <v>42</v>
      </c>
      <c r="F25" s="739" t="s">
        <v>648</v>
      </c>
      <c r="G25" s="739"/>
      <c r="H25" s="737" t="s">
        <v>886</v>
      </c>
      <c r="I25" s="738"/>
      <c r="J25" s="18" t="s">
        <v>786</v>
      </c>
      <c r="K25" s="24" t="s">
        <v>780</v>
      </c>
      <c r="L25" s="823" t="s">
        <v>42</v>
      </c>
      <c r="M25" s="823"/>
      <c r="N25" s="739" t="s">
        <v>648</v>
      </c>
      <c r="O25" s="739"/>
      <c r="P25" s="18" t="s">
        <v>885</v>
      </c>
      <c r="Q25" s="317" t="s">
        <v>643</v>
      </c>
      <c r="R25" s="317" t="s">
        <v>644</v>
      </c>
      <c r="X25" s="845"/>
      <c r="Y25" s="845"/>
      <c r="Z25" s="845"/>
      <c r="AA25" s="845"/>
      <c r="AB25" s="842"/>
      <c r="AC25" s="842"/>
      <c r="AD25" s="842"/>
      <c r="AE25" s="842"/>
      <c r="AF25" s="842"/>
      <c r="AG25" s="842"/>
      <c r="AH25" s="843"/>
      <c r="AI25" s="843"/>
      <c r="AJ25" s="843"/>
      <c r="AK25" s="844"/>
      <c r="AL25" s="844"/>
      <c r="AM25" s="844"/>
      <c r="AN25" s="844"/>
      <c r="AO25" s="844"/>
    </row>
    <row r="26" spans="1:41" ht="15" customHeight="1" x14ac:dyDescent="0.2">
      <c r="A26" s="18">
        <v>7</v>
      </c>
      <c r="B26" s="19" t="s">
        <v>40</v>
      </c>
      <c r="C26" s="765" t="s">
        <v>700</v>
      </c>
      <c r="D26" s="765"/>
      <c r="E26" s="445" t="s">
        <v>42</v>
      </c>
      <c r="F26" s="739" t="s">
        <v>649</v>
      </c>
      <c r="G26" s="739"/>
      <c r="H26" s="737" t="s">
        <v>886</v>
      </c>
      <c r="I26" s="738"/>
      <c r="J26" s="18" t="s">
        <v>786</v>
      </c>
      <c r="K26" s="24" t="s">
        <v>781</v>
      </c>
      <c r="L26" s="823" t="s">
        <v>42</v>
      </c>
      <c r="M26" s="823"/>
      <c r="N26" s="739" t="s">
        <v>649</v>
      </c>
      <c r="O26" s="739"/>
      <c r="P26" s="18" t="s">
        <v>885</v>
      </c>
      <c r="Q26" s="317" t="s">
        <v>643</v>
      </c>
      <c r="R26" s="317" t="s">
        <v>644</v>
      </c>
    </row>
    <row r="27" spans="1:41" ht="15" customHeight="1" x14ac:dyDescent="0.2">
      <c r="A27" s="18">
        <v>8</v>
      </c>
      <c r="B27" s="19" t="s">
        <v>40</v>
      </c>
      <c r="C27" s="765" t="s">
        <v>701</v>
      </c>
      <c r="D27" s="765"/>
      <c r="E27" s="445" t="s">
        <v>42</v>
      </c>
      <c r="F27" s="739" t="s">
        <v>650</v>
      </c>
      <c r="G27" s="739"/>
      <c r="H27" s="737" t="s">
        <v>886</v>
      </c>
      <c r="I27" s="738"/>
      <c r="J27" s="18" t="s">
        <v>786</v>
      </c>
      <c r="K27" s="24" t="s">
        <v>782</v>
      </c>
      <c r="L27" s="823" t="s">
        <v>42</v>
      </c>
      <c r="M27" s="823"/>
      <c r="N27" s="739" t="s">
        <v>650</v>
      </c>
      <c r="O27" s="739"/>
      <c r="P27" s="18" t="s">
        <v>885</v>
      </c>
      <c r="Q27" s="317" t="s">
        <v>643</v>
      </c>
      <c r="R27" s="317" t="s">
        <v>644</v>
      </c>
    </row>
    <row r="28" spans="1:41" ht="15" customHeight="1" x14ac:dyDescent="0.2">
      <c r="A28" s="18">
        <v>9</v>
      </c>
      <c r="B28" s="19" t="s">
        <v>40</v>
      </c>
      <c r="C28" s="765" t="s">
        <v>702</v>
      </c>
      <c r="D28" s="765"/>
      <c r="E28" s="445" t="s">
        <v>42</v>
      </c>
      <c r="F28" s="739" t="s">
        <v>651</v>
      </c>
      <c r="G28" s="739"/>
      <c r="H28" s="737" t="s">
        <v>886</v>
      </c>
      <c r="I28" s="738"/>
      <c r="J28" s="18" t="s">
        <v>786</v>
      </c>
      <c r="K28" s="24" t="s">
        <v>783</v>
      </c>
      <c r="L28" s="823" t="s">
        <v>42</v>
      </c>
      <c r="M28" s="823"/>
      <c r="N28" s="739" t="s">
        <v>651</v>
      </c>
      <c r="O28" s="739"/>
      <c r="P28" s="18" t="s">
        <v>885</v>
      </c>
      <c r="Q28" s="317" t="s">
        <v>643</v>
      </c>
      <c r="R28" s="317" t="s">
        <v>644</v>
      </c>
    </row>
    <row r="29" spans="1:41" ht="15" customHeight="1" x14ac:dyDescent="0.2">
      <c r="A29" s="18">
        <v>10</v>
      </c>
      <c r="B29" s="19" t="s">
        <v>40</v>
      </c>
      <c r="C29" s="765" t="s">
        <v>703</v>
      </c>
      <c r="D29" s="765"/>
      <c r="E29" s="445" t="s">
        <v>42</v>
      </c>
      <c r="F29" s="739" t="s">
        <v>652</v>
      </c>
      <c r="G29" s="739"/>
      <c r="H29" s="737" t="s">
        <v>886</v>
      </c>
      <c r="I29" s="738"/>
      <c r="J29" s="18" t="s">
        <v>786</v>
      </c>
      <c r="K29" s="24" t="s">
        <v>784</v>
      </c>
      <c r="L29" s="823" t="s">
        <v>42</v>
      </c>
      <c r="M29" s="823"/>
      <c r="N29" s="739" t="s">
        <v>652</v>
      </c>
      <c r="O29" s="739"/>
      <c r="P29" s="18" t="s">
        <v>885</v>
      </c>
      <c r="Q29" s="317" t="s">
        <v>643</v>
      </c>
      <c r="R29" s="317" t="s">
        <v>644</v>
      </c>
    </row>
    <row r="30" spans="1:41" ht="15" customHeight="1" x14ac:dyDescent="0.2">
      <c r="A30" s="18">
        <v>11</v>
      </c>
      <c r="B30" s="19" t="s">
        <v>40</v>
      </c>
      <c r="C30" s="765" t="s">
        <v>704</v>
      </c>
      <c r="D30" s="765"/>
      <c r="E30" s="445" t="s">
        <v>42</v>
      </c>
      <c r="F30" s="739" t="s">
        <v>653</v>
      </c>
      <c r="G30" s="739"/>
      <c r="H30" s="737" t="s">
        <v>886</v>
      </c>
      <c r="I30" s="738"/>
      <c r="J30" s="18" t="s">
        <v>786</v>
      </c>
      <c r="K30" s="24" t="s">
        <v>785</v>
      </c>
      <c r="L30" s="823" t="s">
        <v>42</v>
      </c>
      <c r="M30" s="823"/>
      <c r="N30" s="739" t="s">
        <v>653</v>
      </c>
      <c r="O30" s="739"/>
      <c r="P30" s="18" t="s">
        <v>885</v>
      </c>
      <c r="Q30" s="317" t="s">
        <v>643</v>
      </c>
      <c r="R30" s="317" t="s">
        <v>644</v>
      </c>
    </row>
    <row r="31" spans="1:41" ht="15" x14ac:dyDescent="0.2">
      <c r="A31" s="18">
        <v>12</v>
      </c>
      <c r="B31" s="19" t="s">
        <v>40</v>
      </c>
      <c r="C31" s="765" t="s">
        <v>757</v>
      </c>
      <c r="D31" s="765"/>
      <c r="E31" s="445" t="s">
        <v>42</v>
      </c>
      <c r="F31" s="739" t="s">
        <v>654</v>
      </c>
      <c r="G31" s="739"/>
      <c r="H31" s="737" t="s">
        <v>886</v>
      </c>
      <c r="I31" s="738"/>
      <c r="J31" s="18" t="s">
        <v>786</v>
      </c>
      <c r="K31" s="24" t="s">
        <v>995</v>
      </c>
      <c r="L31" s="823" t="s">
        <v>42</v>
      </c>
      <c r="M31" s="823"/>
      <c r="N31" s="739" t="s">
        <v>654</v>
      </c>
      <c r="O31" s="739"/>
      <c r="P31" s="18" t="s">
        <v>885</v>
      </c>
      <c r="Q31" s="317" t="s">
        <v>1010</v>
      </c>
      <c r="R31" s="317" t="s">
        <v>1011</v>
      </c>
    </row>
    <row r="32" spans="1:41" ht="15" x14ac:dyDescent="0.2">
      <c r="A32" s="18">
        <v>13</v>
      </c>
      <c r="B32" s="19" t="s">
        <v>40</v>
      </c>
      <c r="C32" s="765" t="s">
        <v>758</v>
      </c>
      <c r="D32" s="765"/>
      <c r="E32" s="445" t="s">
        <v>42</v>
      </c>
      <c r="F32" s="739" t="s">
        <v>682</v>
      </c>
      <c r="G32" s="739"/>
      <c r="H32" s="737" t="s">
        <v>886</v>
      </c>
      <c r="I32" s="738"/>
      <c r="J32" s="18" t="s">
        <v>786</v>
      </c>
      <c r="K32" s="24" t="s">
        <v>996</v>
      </c>
      <c r="L32" s="823" t="s">
        <v>42</v>
      </c>
      <c r="M32" s="823"/>
      <c r="N32" s="739" t="s">
        <v>682</v>
      </c>
      <c r="O32" s="739"/>
      <c r="P32" s="18" t="s">
        <v>885</v>
      </c>
      <c r="Q32" s="317" t="s">
        <v>1012</v>
      </c>
      <c r="R32" s="317" t="s">
        <v>1013</v>
      </c>
    </row>
    <row r="33" spans="1:18" ht="15" customHeight="1" x14ac:dyDescent="0.2">
      <c r="A33" s="18">
        <v>14</v>
      </c>
      <c r="B33" s="19" t="s">
        <v>40</v>
      </c>
      <c r="C33" s="765" t="s">
        <v>759</v>
      </c>
      <c r="D33" s="765"/>
      <c r="E33" s="445" t="s">
        <v>42</v>
      </c>
      <c r="F33" s="739" t="s">
        <v>683</v>
      </c>
      <c r="G33" s="739"/>
      <c r="H33" s="737" t="s">
        <v>886</v>
      </c>
      <c r="I33" s="738"/>
      <c r="J33" s="18" t="s">
        <v>786</v>
      </c>
      <c r="K33" s="24" t="s">
        <v>997</v>
      </c>
      <c r="L33" s="823" t="s">
        <v>42</v>
      </c>
      <c r="M33" s="823"/>
      <c r="N33" s="739" t="s">
        <v>683</v>
      </c>
      <c r="O33" s="739"/>
      <c r="P33" s="18" t="s">
        <v>885</v>
      </c>
      <c r="Q33" s="317" t="s">
        <v>1014</v>
      </c>
      <c r="R33" s="317" t="s">
        <v>1015</v>
      </c>
    </row>
    <row r="34" spans="1:18" ht="15" customHeight="1" x14ac:dyDescent="0.2">
      <c r="A34" s="18">
        <v>15</v>
      </c>
      <c r="B34" s="19" t="s">
        <v>40</v>
      </c>
      <c r="C34" s="765" t="s">
        <v>760</v>
      </c>
      <c r="D34" s="765"/>
      <c r="E34" s="445" t="s">
        <v>42</v>
      </c>
      <c r="F34" s="739" t="s">
        <v>684</v>
      </c>
      <c r="G34" s="739"/>
      <c r="H34" s="737" t="s">
        <v>886</v>
      </c>
      <c r="I34" s="738"/>
      <c r="J34" s="18" t="s">
        <v>786</v>
      </c>
      <c r="K34" s="24" t="s">
        <v>998</v>
      </c>
      <c r="L34" s="823" t="s">
        <v>42</v>
      </c>
      <c r="M34" s="823"/>
      <c r="N34" s="739" t="s">
        <v>684</v>
      </c>
      <c r="O34" s="739"/>
      <c r="P34" s="18" t="s">
        <v>885</v>
      </c>
      <c r="Q34" s="317" t="s">
        <v>1016</v>
      </c>
      <c r="R34" s="317" t="s">
        <v>1017</v>
      </c>
    </row>
    <row r="35" spans="1:18" ht="15" customHeight="1" x14ac:dyDescent="0.2">
      <c r="A35" s="18">
        <v>16</v>
      </c>
      <c r="B35" s="19" t="s">
        <v>40</v>
      </c>
      <c r="C35" s="765" t="s">
        <v>761</v>
      </c>
      <c r="D35" s="765"/>
      <c r="E35" s="445" t="s">
        <v>42</v>
      </c>
      <c r="F35" s="739" t="s">
        <v>766</v>
      </c>
      <c r="G35" s="739"/>
      <c r="H35" s="737" t="s">
        <v>886</v>
      </c>
      <c r="I35" s="738"/>
      <c r="J35" s="18" t="s">
        <v>786</v>
      </c>
      <c r="K35" s="24" t="s">
        <v>999</v>
      </c>
      <c r="L35" s="823" t="s">
        <v>42</v>
      </c>
      <c r="M35" s="823"/>
      <c r="N35" s="739" t="s">
        <v>766</v>
      </c>
      <c r="O35" s="739"/>
      <c r="P35" s="18" t="s">
        <v>885</v>
      </c>
      <c r="Q35" s="317" t="s">
        <v>1018</v>
      </c>
      <c r="R35" s="317" t="s">
        <v>1019</v>
      </c>
    </row>
    <row r="36" spans="1:18" ht="15" customHeight="1" x14ac:dyDescent="0.2">
      <c r="A36" s="18">
        <v>17</v>
      </c>
      <c r="B36" s="19" t="s">
        <v>40</v>
      </c>
      <c r="C36" s="765" t="s">
        <v>762</v>
      </c>
      <c r="D36" s="765"/>
      <c r="E36" s="445" t="s">
        <v>42</v>
      </c>
      <c r="F36" s="739" t="s">
        <v>767</v>
      </c>
      <c r="G36" s="739"/>
      <c r="H36" s="737" t="s">
        <v>886</v>
      </c>
      <c r="I36" s="738"/>
      <c r="J36" s="18" t="s">
        <v>786</v>
      </c>
      <c r="K36" s="24" t="s">
        <v>1000</v>
      </c>
      <c r="L36" s="823" t="s">
        <v>42</v>
      </c>
      <c r="M36" s="823"/>
      <c r="N36" s="739" t="s">
        <v>767</v>
      </c>
      <c r="O36" s="739"/>
      <c r="P36" s="18" t="s">
        <v>885</v>
      </c>
      <c r="Q36" s="317" t="s">
        <v>1020</v>
      </c>
      <c r="R36" s="317" t="s">
        <v>1021</v>
      </c>
    </row>
    <row r="37" spans="1:18" ht="15" customHeight="1" x14ac:dyDescent="0.2">
      <c r="A37" s="18">
        <v>18</v>
      </c>
      <c r="B37" s="19" t="s">
        <v>40</v>
      </c>
      <c r="C37" s="765" t="s">
        <v>763</v>
      </c>
      <c r="D37" s="765"/>
      <c r="E37" s="445" t="s">
        <v>42</v>
      </c>
      <c r="F37" s="739" t="s">
        <v>768</v>
      </c>
      <c r="G37" s="739"/>
      <c r="H37" s="737" t="s">
        <v>886</v>
      </c>
      <c r="I37" s="738"/>
      <c r="J37" s="18" t="s">
        <v>786</v>
      </c>
      <c r="K37" s="24" t="s">
        <v>1001</v>
      </c>
      <c r="L37" s="823" t="s">
        <v>42</v>
      </c>
      <c r="M37" s="823"/>
      <c r="N37" s="739" t="s">
        <v>768</v>
      </c>
      <c r="O37" s="739"/>
      <c r="P37" s="18" t="s">
        <v>885</v>
      </c>
      <c r="Q37" s="317" t="s">
        <v>1022</v>
      </c>
      <c r="R37" s="317" t="s">
        <v>1023</v>
      </c>
    </row>
    <row r="38" spans="1:18" ht="15" customHeight="1" x14ac:dyDescent="0.2">
      <c r="A38" s="18">
        <v>19</v>
      </c>
      <c r="B38" s="19" t="s">
        <v>40</v>
      </c>
      <c r="C38" s="765" t="s">
        <v>764</v>
      </c>
      <c r="D38" s="765"/>
      <c r="E38" s="445" t="s">
        <v>42</v>
      </c>
      <c r="F38" s="739" t="s">
        <v>769</v>
      </c>
      <c r="G38" s="739"/>
      <c r="H38" s="737" t="s">
        <v>886</v>
      </c>
      <c r="I38" s="738"/>
      <c r="J38" s="18" t="s">
        <v>786</v>
      </c>
      <c r="K38" s="24" t="s">
        <v>1002</v>
      </c>
      <c r="L38" s="823" t="s">
        <v>42</v>
      </c>
      <c r="M38" s="823"/>
      <c r="N38" s="739" t="s">
        <v>769</v>
      </c>
      <c r="O38" s="739"/>
      <c r="P38" s="18" t="s">
        <v>885</v>
      </c>
      <c r="Q38" s="317" t="s">
        <v>1024</v>
      </c>
      <c r="R38" s="317" t="s">
        <v>1025</v>
      </c>
    </row>
    <row r="39" spans="1:18" ht="15" customHeight="1" x14ac:dyDescent="0.2">
      <c r="A39" s="18">
        <v>20</v>
      </c>
      <c r="B39" s="19" t="s">
        <v>40</v>
      </c>
      <c r="C39" s="765" t="s">
        <v>765</v>
      </c>
      <c r="D39" s="765"/>
      <c r="E39" s="445" t="s">
        <v>42</v>
      </c>
      <c r="F39" s="739" t="s">
        <v>770</v>
      </c>
      <c r="G39" s="739"/>
      <c r="H39" s="737" t="s">
        <v>886</v>
      </c>
      <c r="I39" s="738"/>
      <c r="J39" s="18" t="s">
        <v>786</v>
      </c>
      <c r="K39" s="24" t="s">
        <v>1003</v>
      </c>
      <c r="L39" s="823" t="s">
        <v>42</v>
      </c>
      <c r="M39" s="823"/>
      <c r="N39" s="739" t="s">
        <v>770</v>
      </c>
      <c r="O39" s="739"/>
      <c r="P39" s="18" t="s">
        <v>885</v>
      </c>
      <c r="Q39" s="317" t="s">
        <v>1026</v>
      </c>
      <c r="R39" s="317" t="s">
        <v>1027</v>
      </c>
    </row>
    <row r="40" spans="1:18" ht="15" hidden="1" customHeight="1" x14ac:dyDescent="0.2">
      <c r="A40" s="18">
        <v>21</v>
      </c>
      <c r="B40" s="19"/>
      <c r="C40" s="765"/>
      <c r="D40" s="765"/>
      <c r="E40" s="316"/>
      <c r="F40" s="739"/>
      <c r="G40" s="739"/>
      <c r="H40" s="737"/>
      <c r="I40" s="738"/>
      <c r="J40" s="390"/>
      <c r="K40" s="24"/>
      <c r="L40" s="823"/>
      <c r="M40" s="823"/>
      <c r="N40" s="823"/>
      <c r="O40" s="823"/>
      <c r="P40" s="390"/>
      <c r="Q40" s="317"/>
      <c r="R40" s="317"/>
    </row>
    <row r="41" spans="1:18" ht="15" hidden="1" customHeight="1" x14ac:dyDescent="0.2">
      <c r="A41" s="18">
        <v>22</v>
      </c>
      <c r="B41" s="19"/>
      <c r="C41" s="765"/>
      <c r="D41" s="765"/>
      <c r="E41" s="316"/>
      <c r="F41" s="739"/>
      <c r="G41" s="739"/>
      <c r="H41" s="737"/>
      <c r="I41" s="738"/>
      <c r="J41" s="390"/>
      <c r="K41" s="24"/>
      <c r="L41" s="823"/>
      <c r="M41" s="823"/>
      <c r="N41" s="823"/>
      <c r="O41" s="823"/>
      <c r="P41" s="390"/>
      <c r="Q41" s="317"/>
      <c r="R41" s="317"/>
    </row>
    <row r="42" spans="1:18" ht="15" hidden="1" customHeight="1" x14ac:dyDescent="0.2">
      <c r="A42" s="18">
        <v>23</v>
      </c>
      <c r="B42" s="19"/>
      <c r="C42" s="765"/>
      <c r="D42" s="765"/>
      <c r="E42" s="316"/>
      <c r="F42" s="739"/>
      <c r="G42" s="739"/>
      <c r="H42" s="737"/>
      <c r="I42" s="738"/>
      <c r="J42" s="390"/>
      <c r="K42" s="24"/>
      <c r="L42" s="823"/>
      <c r="M42" s="823"/>
      <c r="N42" s="823"/>
      <c r="O42" s="823"/>
      <c r="P42" s="390"/>
      <c r="Q42" s="317"/>
      <c r="R42" s="317"/>
    </row>
    <row r="43" spans="1:18" ht="15" hidden="1" customHeight="1" x14ac:dyDescent="0.2">
      <c r="A43" s="18">
        <v>24</v>
      </c>
      <c r="B43" s="19"/>
      <c r="C43" s="765"/>
      <c r="D43" s="765"/>
      <c r="E43" s="316"/>
      <c r="F43" s="739"/>
      <c r="G43" s="739"/>
      <c r="H43" s="737"/>
      <c r="I43" s="738"/>
      <c r="J43" s="390"/>
      <c r="K43" s="24"/>
      <c r="L43" s="823"/>
      <c r="M43" s="823"/>
      <c r="N43" s="823"/>
      <c r="O43" s="823"/>
      <c r="P43" s="390"/>
      <c r="Q43" s="317"/>
      <c r="R43" s="317"/>
    </row>
    <row r="44" spans="1:18" ht="15" hidden="1" customHeight="1" x14ac:dyDescent="0.2">
      <c r="A44" s="18">
        <v>25</v>
      </c>
      <c r="B44" s="19"/>
      <c r="C44" s="765"/>
      <c r="D44" s="765"/>
      <c r="E44" s="316"/>
      <c r="F44" s="737"/>
      <c r="G44" s="738"/>
      <c r="H44" s="737"/>
      <c r="I44" s="738"/>
      <c r="J44" s="390"/>
      <c r="K44" s="24"/>
      <c r="L44" s="823"/>
      <c r="M44" s="823"/>
      <c r="N44" s="823"/>
      <c r="O44" s="823"/>
      <c r="P44" s="390"/>
      <c r="Q44" s="317"/>
      <c r="R44" s="317"/>
    </row>
    <row r="45" spans="1:18" ht="15" hidden="1" customHeight="1" x14ac:dyDescent="0.2">
      <c r="A45" s="18">
        <v>26</v>
      </c>
      <c r="B45" s="19"/>
      <c r="C45" s="765"/>
      <c r="D45" s="765"/>
      <c r="E45" s="316"/>
      <c r="F45" s="737"/>
      <c r="G45" s="738"/>
      <c r="H45" s="737"/>
      <c r="I45" s="738"/>
      <c r="J45" s="390"/>
      <c r="K45" s="24"/>
      <c r="L45" s="823"/>
      <c r="M45" s="823"/>
      <c r="N45" s="823"/>
      <c r="O45" s="823"/>
      <c r="P45" s="390"/>
      <c r="Q45" s="317"/>
      <c r="R45" s="317"/>
    </row>
    <row r="46" spans="1:18" ht="15" hidden="1" customHeight="1" x14ac:dyDescent="0.2">
      <c r="A46" s="18">
        <v>27</v>
      </c>
      <c r="B46" s="19"/>
      <c r="C46" s="765"/>
      <c r="D46" s="765"/>
      <c r="E46" s="316"/>
      <c r="F46" s="737"/>
      <c r="G46" s="738"/>
      <c r="H46" s="737"/>
      <c r="I46" s="738"/>
      <c r="J46" s="390"/>
      <c r="K46" s="24"/>
      <c r="L46" s="823"/>
      <c r="M46" s="823"/>
      <c r="N46" s="823"/>
      <c r="O46" s="823"/>
      <c r="P46" s="390"/>
      <c r="Q46" s="317"/>
      <c r="R46" s="317"/>
    </row>
    <row r="47" spans="1:18" ht="15" hidden="1" customHeight="1" x14ac:dyDescent="0.2">
      <c r="A47" s="18">
        <v>28</v>
      </c>
      <c r="B47" s="19"/>
      <c r="C47" s="765"/>
      <c r="D47" s="765"/>
      <c r="E47" s="316"/>
      <c r="F47" s="737"/>
      <c r="G47" s="738"/>
      <c r="H47" s="737"/>
      <c r="I47" s="738"/>
      <c r="J47" s="390"/>
      <c r="K47" s="24"/>
      <c r="L47" s="823"/>
      <c r="M47" s="823"/>
      <c r="N47" s="823"/>
      <c r="O47" s="823"/>
      <c r="P47" s="390"/>
      <c r="Q47" s="317"/>
      <c r="R47" s="317"/>
    </row>
    <row r="48" spans="1:18" ht="15" hidden="1" customHeight="1" x14ac:dyDescent="0.2">
      <c r="A48" s="18">
        <v>29</v>
      </c>
      <c r="B48" s="19"/>
      <c r="C48" s="765"/>
      <c r="D48" s="765"/>
      <c r="E48" s="316"/>
      <c r="F48" s="737"/>
      <c r="G48" s="738"/>
      <c r="H48" s="737"/>
      <c r="I48" s="738"/>
      <c r="J48" s="390"/>
      <c r="K48" s="24"/>
      <c r="L48" s="823"/>
      <c r="M48" s="823"/>
      <c r="N48" s="823"/>
      <c r="O48" s="823"/>
      <c r="P48" s="390"/>
      <c r="Q48" s="317"/>
      <c r="R48" s="317"/>
    </row>
    <row r="49" spans="1:18" ht="15" hidden="1" customHeight="1" x14ac:dyDescent="0.2">
      <c r="A49" s="18">
        <v>30</v>
      </c>
      <c r="B49" s="19"/>
      <c r="C49" s="765"/>
      <c r="D49" s="765"/>
      <c r="E49" s="316"/>
      <c r="F49" s="737"/>
      <c r="G49" s="738"/>
      <c r="H49" s="737"/>
      <c r="I49" s="738"/>
      <c r="J49" s="390"/>
      <c r="K49" s="24"/>
      <c r="L49" s="823"/>
      <c r="M49" s="823"/>
      <c r="N49" s="823"/>
      <c r="O49" s="823"/>
      <c r="P49" s="390"/>
      <c r="Q49" s="317"/>
      <c r="R49" s="317"/>
    </row>
    <row r="50" spans="1:18" ht="15" hidden="1" customHeight="1" x14ac:dyDescent="0.2">
      <c r="A50" s="18">
        <v>31</v>
      </c>
      <c r="B50" s="19"/>
      <c r="C50" s="765"/>
      <c r="D50" s="765"/>
      <c r="E50" s="316"/>
      <c r="F50" s="737"/>
      <c r="G50" s="738"/>
      <c r="H50" s="737"/>
      <c r="I50" s="738"/>
      <c r="J50" s="390"/>
      <c r="K50" s="24"/>
      <c r="L50" s="823"/>
      <c r="M50" s="823"/>
      <c r="N50" s="823"/>
      <c r="O50" s="823"/>
      <c r="P50" s="390"/>
      <c r="Q50" s="317"/>
      <c r="R50" s="317"/>
    </row>
    <row r="51" spans="1:18" ht="15" hidden="1" customHeight="1" x14ac:dyDescent="0.2">
      <c r="A51" s="18">
        <v>32</v>
      </c>
      <c r="B51" s="19"/>
      <c r="C51" s="765"/>
      <c r="D51" s="765"/>
      <c r="E51" s="316"/>
      <c r="F51" s="737"/>
      <c r="G51" s="738"/>
      <c r="H51" s="737"/>
      <c r="I51" s="738"/>
      <c r="J51" s="390"/>
      <c r="K51" s="24"/>
      <c r="L51" s="823"/>
      <c r="M51" s="823"/>
      <c r="N51" s="823"/>
      <c r="O51" s="823"/>
      <c r="P51" s="390"/>
      <c r="Q51" s="317"/>
      <c r="R51" s="317"/>
    </row>
    <row r="52" spans="1:18" ht="15" hidden="1" customHeight="1" x14ac:dyDescent="0.2">
      <c r="A52" s="18">
        <v>33</v>
      </c>
      <c r="B52" s="19"/>
      <c r="C52" s="765"/>
      <c r="D52" s="765"/>
      <c r="E52" s="316"/>
      <c r="F52" s="737"/>
      <c r="G52" s="738"/>
      <c r="H52" s="737"/>
      <c r="I52" s="738"/>
      <c r="J52" s="390"/>
      <c r="K52" s="24"/>
      <c r="L52" s="823"/>
      <c r="M52" s="823"/>
      <c r="N52" s="823"/>
      <c r="O52" s="823"/>
      <c r="P52" s="390"/>
      <c r="Q52" s="317"/>
      <c r="R52" s="317"/>
    </row>
    <row r="53" spans="1:18" ht="15" hidden="1" customHeight="1" x14ac:dyDescent="0.2">
      <c r="A53" s="18">
        <v>34</v>
      </c>
      <c r="B53" s="19"/>
      <c r="C53" s="765"/>
      <c r="D53" s="765"/>
      <c r="E53" s="316"/>
      <c r="F53" s="737"/>
      <c r="G53" s="738"/>
      <c r="H53" s="737"/>
      <c r="I53" s="738"/>
      <c r="J53" s="390"/>
      <c r="K53" s="24"/>
      <c r="L53" s="823"/>
      <c r="M53" s="823"/>
      <c r="N53" s="823"/>
      <c r="O53" s="823"/>
      <c r="P53" s="390"/>
      <c r="Q53" s="317"/>
      <c r="R53" s="317"/>
    </row>
    <row r="54" spans="1:18" ht="15" hidden="1" customHeight="1" x14ac:dyDescent="0.2">
      <c r="A54" s="18">
        <v>35</v>
      </c>
      <c r="B54" s="19"/>
      <c r="C54" s="765"/>
      <c r="D54" s="765"/>
      <c r="E54" s="316"/>
      <c r="F54" s="737"/>
      <c r="G54" s="738"/>
      <c r="H54" s="737"/>
      <c r="I54" s="738"/>
      <c r="J54" s="390"/>
      <c r="K54" s="24"/>
      <c r="L54" s="823"/>
      <c r="M54" s="823"/>
      <c r="N54" s="823"/>
      <c r="O54" s="823"/>
      <c r="P54" s="390"/>
      <c r="Q54" s="317"/>
      <c r="R54" s="317"/>
    </row>
    <row r="55" spans="1:18" ht="15" hidden="1" customHeight="1" x14ac:dyDescent="0.2">
      <c r="A55" s="18">
        <v>36</v>
      </c>
      <c r="B55" s="19"/>
      <c r="C55" s="765"/>
      <c r="D55" s="765"/>
      <c r="E55" s="316"/>
      <c r="F55" s="737"/>
      <c r="G55" s="738"/>
      <c r="H55" s="737"/>
      <c r="I55" s="738"/>
      <c r="J55" s="390"/>
      <c r="K55" s="24"/>
      <c r="L55" s="823"/>
      <c r="M55" s="823"/>
      <c r="N55" s="823"/>
      <c r="O55" s="823"/>
      <c r="P55" s="390"/>
      <c r="Q55" s="317"/>
      <c r="R55" s="317"/>
    </row>
    <row r="56" spans="1:18" ht="15" hidden="1" customHeight="1" x14ac:dyDescent="0.2">
      <c r="A56" s="18">
        <v>37</v>
      </c>
      <c r="B56" s="19"/>
      <c r="C56" s="765"/>
      <c r="D56" s="765"/>
      <c r="E56" s="316"/>
      <c r="F56" s="737"/>
      <c r="G56" s="738"/>
      <c r="H56" s="737"/>
      <c r="I56" s="738"/>
      <c r="J56" s="390"/>
      <c r="K56" s="24"/>
      <c r="L56" s="823"/>
      <c r="M56" s="823"/>
      <c r="N56" s="823"/>
      <c r="O56" s="823"/>
      <c r="P56" s="390"/>
      <c r="Q56" s="317"/>
      <c r="R56" s="317"/>
    </row>
    <row r="57" spans="1:18" ht="15" hidden="1" customHeight="1" x14ac:dyDescent="0.2">
      <c r="A57" s="18">
        <v>38</v>
      </c>
      <c r="B57" s="19"/>
      <c r="C57" s="765"/>
      <c r="D57" s="765"/>
      <c r="E57" s="316"/>
      <c r="F57" s="737"/>
      <c r="G57" s="738"/>
      <c r="H57" s="737"/>
      <c r="I57" s="738"/>
      <c r="J57" s="390"/>
      <c r="K57" s="24"/>
      <c r="L57" s="823"/>
      <c r="M57" s="823"/>
      <c r="N57" s="823"/>
      <c r="O57" s="823"/>
      <c r="P57" s="390"/>
      <c r="Q57" s="317"/>
      <c r="R57" s="317"/>
    </row>
    <row r="58" spans="1:18" ht="15" hidden="1" customHeight="1" x14ac:dyDescent="0.2">
      <c r="A58" s="18">
        <v>39</v>
      </c>
      <c r="B58" s="19"/>
      <c r="C58" s="765"/>
      <c r="D58" s="765"/>
      <c r="E58" s="316"/>
      <c r="F58" s="737"/>
      <c r="G58" s="738"/>
      <c r="H58" s="737"/>
      <c r="I58" s="738"/>
      <c r="J58" s="390"/>
      <c r="K58" s="24"/>
      <c r="L58" s="823"/>
      <c r="M58" s="823"/>
      <c r="N58" s="823"/>
      <c r="O58" s="823"/>
      <c r="P58" s="390"/>
      <c r="Q58" s="317"/>
      <c r="R58" s="317"/>
    </row>
    <row r="59" spans="1:18" ht="15" hidden="1" customHeight="1" x14ac:dyDescent="0.2">
      <c r="A59" s="18">
        <v>40</v>
      </c>
      <c r="B59" s="19"/>
      <c r="C59" s="765"/>
      <c r="D59" s="765"/>
      <c r="E59" s="316"/>
      <c r="F59" s="737"/>
      <c r="G59" s="738"/>
      <c r="H59" s="737"/>
      <c r="I59" s="738"/>
      <c r="J59" s="390"/>
      <c r="K59" s="24"/>
      <c r="L59" s="823"/>
      <c r="M59" s="823"/>
      <c r="N59" s="823"/>
      <c r="O59" s="823"/>
      <c r="P59" s="390"/>
      <c r="Q59" s="317"/>
      <c r="R59" s="317"/>
    </row>
    <row r="60" spans="1:18" ht="15" hidden="1" customHeight="1" x14ac:dyDescent="0.2">
      <c r="A60" s="18">
        <v>41</v>
      </c>
      <c r="B60" s="19"/>
      <c r="C60" s="765"/>
      <c r="D60" s="765"/>
      <c r="E60" s="316"/>
      <c r="F60" s="737"/>
      <c r="G60" s="738"/>
      <c r="H60" s="737"/>
      <c r="I60" s="738"/>
      <c r="J60" s="390"/>
      <c r="K60" s="24"/>
      <c r="L60" s="823"/>
      <c r="M60" s="823"/>
      <c r="N60" s="823"/>
      <c r="O60" s="823"/>
      <c r="P60" s="390"/>
      <c r="Q60" s="317"/>
      <c r="R60" s="317"/>
    </row>
    <row r="61" spans="1:18" ht="15" hidden="1" customHeight="1" x14ac:dyDescent="0.2">
      <c r="A61" s="18">
        <v>42</v>
      </c>
      <c r="B61" s="19"/>
      <c r="C61" s="765"/>
      <c r="D61" s="765"/>
      <c r="E61" s="316"/>
      <c r="F61" s="737"/>
      <c r="G61" s="738"/>
      <c r="H61" s="737"/>
      <c r="I61" s="738"/>
      <c r="J61" s="390"/>
      <c r="K61" s="24"/>
      <c r="L61" s="823"/>
      <c r="M61" s="823"/>
      <c r="N61" s="823"/>
      <c r="O61" s="823"/>
      <c r="P61" s="390"/>
      <c r="Q61" s="317"/>
      <c r="R61" s="317"/>
    </row>
    <row r="62" spans="1:18" ht="15" hidden="1" customHeight="1" x14ac:dyDescent="0.2">
      <c r="A62" s="18">
        <v>43</v>
      </c>
      <c r="B62" s="19"/>
      <c r="C62" s="765"/>
      <c r="D62" s="765"/>
      <c r="E62" s="316"/>
      <c r="F62" s="737"/>
      <c r="G62" s="738"/>
      <c r="H62" s="737"/>
      <c r="I62" s="738"/>
      <c r="J62" s="390"/>
      <c r="K62" s="24"/>
      <c r="L62" s="823"/>
      <c r="M62" s="823"/>
      <c r="N62" s="823"/>
      <c r="O62" s="823"/>
      <c r="P62" s="390"/>
      <c r="Q62" s="317"/>
      <c r="R62" s="317"/>
    </row>
    <row r="63" spans="1:18" ht="15" hidden="1" customHeight="1" x14ac:dyDescent="0.2">
      <c r="A63" s="18">
        <v>44</v>
      </c>
      <c r="B63" s="19"/>
      <c r="C63" s="765"/>
      <c r="D63" s="765"/>
      <c r="E63" s="316"/>
      <c r="F63" s="737"/>
      <c r="G63" s="738"/>
      <c r="H63" s="737"/>
      <c r="I63" s="738"/>
      <c r="J63" s="390"/>
      <c r="K63" s="24"/>
      <c r="L63" s="823"/>
      <c r="M63" s="823"/>
      <c r="N63" s="823"/>
      <c r="O63" s="823"/>
      <c r="P63" s="390"/>
      <c r="Q63" s="317"/>
      <c r="R63" s="317"/>
    </row>
    <row r="64" spans="1:18" ht="15" hidden="1" customHeight="1" x14ac:dyDescent="0.2">
      <c r="A64" s="18">
        <v>45</v>
      </c>
      <c r="B64" s="19"/>
      <c r="C64" s="765"/>
      <c r="D64" s="765"/>
      <c r="E64" s="316"/>
      <c r="F64" s="737"/>
      <c r="G64" s="738"/>
      <c r="H64" s="737"/>
      <c r="I64" s="738"/>
      <c r="J64" s="390"/>
      <c r="K64" s="24"/>
      <c r="L64" s="823"/>
      <c r="M64" s="823"/>
      <c r="N64" s="823"/>
      <c r="O64" s="823"/>
      <c r="P64" s="390"/>
      <c r="Q64" s="317"/>
      <c r="R64" s="317"/>
    </row>
    <row r="65" spans="1:18" ht="15" hidden="1" customHeight="1" x14ac:dyDescent="0.2">
      <c r="A65" s="18">
        <v>46</v>
      </c>
      <c r="B65" s="19"/>
      <c r="C65" s="765"/>
      <c r="D65" s="765"/>
      <c r="E65" s="316"/>
      <c r="F65" s="737"/>
      <c r="G65" s="738"/>
      <c r="H65" s="737"/>
      <c r="I65" s="738"/>
      <c r="J65" s="390"/>
      <c r="K65" s="24"/>
      <c r="L65" s="823"/>
      <c r="M65" s="823"/>
      <c r="N65" s="823"/>
      <c r="O65" s="823"/>
      <c r="P65" s="390"/>
      <c r="Q65" s="317"/>
      <c r="R65" s="317"/>
    </row>
    <row r="66" spans="1:18" ht="15" hidden="1" customHeight="1" x14ac:dyDescent="0.2">
      <c r="A66" s="18">
        <v>47</v>
      </c>
      <c r="B66" s="19"/>
      <c r="C66" s="765"/>
      <c r="D66" s="765"/>
      <c r="E66" s="316"/>
      <c r="F66" s="737"/>
      <c r="G66" s="738"/>
      <c r="H66" s="737"/>
      <c r="I66" s="738"/>
      <c r="J66" s="390"/>
      <c r="K66" s="24"/>
      <c r="L66" s="823"/>
      <c r="M66" s="823"/>
      <c r="N66" s="823"/>
      <c r="O66" s="823"/>
      <c r="P66" s="390"/>
      <c r="Q66" s="317"/>
      <c r="R66" s="317"/>
    </row>
    <row r="67" spans="1:18" ht="15" hidden="1" customHeight="1" x14ac:dyDescent="0.2">
      <c r="A67" s="18">
        <v>48</v>
      </c>
      <c r="B67" s="19"/>
      <c r="C67" s="765"/>
      <c r="D67" s="765"/>
      <c r="E67" s="316"/>
      <c r="F67" s="737"/>
      <c r="G67" s="738"/>
      <c r="H67" s="737"/>
      <c r="I67" s="738"/>
      <c r="J67" s="390"/>
      <c r="K67" s="24"/>
      <c r="L67" s="823"/>
      <c r="M67" s="823"/>
      <c r="N67" s="823"/>
      <c r="O67" s="823"/>
      <c r="P67" s="390"/>
      <c r="Q67" s="317"/>
      <c r="R67" s="317"/>
    </row>
    <row r="68" spans="1:18" ht="15" hidden="1" customHeight="1" x14ac:dyDescent="0.2">
      <c r="A68" s="18">
        <v>49</v>
      </c>
      <c r="B68" s="19"/>
      <c r="C68" s="765"/>
      <c r="D68" s="765"/>
      <c r="E68" s="316"/>
      <c r="F68" s="737"/>
      <c r="G68" s="738"/>
      <c r="H68" s="737"/>
      <c r="I68" s="738"/>
      <c r="J68" s="390"/>
      <c r="K68" s="24"/>
      <c r="L68" s="823"/>
      <c r="M68" s="823"/>
      <c r="N68" s="823"/>
      <c r="O68" s="823"/>
      <c r="P68" s="390"/>
      <c r="Q68" s="317"/>
      <c r="R68" s="317"/>
    </row>
    <row r="69" spans="1:18" ht="15" hidden="1" customHeight="1" x14ac:dyDescent="0.2">
      <c r="A69" s="18">
        <v>50</v>
      </c>
      <c r="B69" s="19"/>
      <c r="C69" s="765"/>
      <c r="D69" s="765"/>
      <c r="E69" s="316"/>
      <c r="F69" s="737"/>
      <c r="G69" s="738"/>
      <c r="H69" s="737"/>
      <c r="I69" s="738"/>
      <c r="J69" s="390"/>
      <c r="K69" s="24"/>
      <c r="L69" s="823"/>
      <c r="M69" s="823"/>
      <c r="N69" s="823"/>
      <c r="O69" s="823"/>
      <c r="P69" s="390"/>
      <c r="Q69" s="317"/>
      <c r="R69" s="317"/>
    </row>
    <row r="70" spans="1:18" ht="15" hidden="1" customHeight="1" x14ac:dyDescent="0.2">
      <c r="A70" s="18">
        <v>51</v>
      </c>
      <c r="B70" s="19"/>
      <c r="C70" s="765"/>
      <c r="D70" s="765"/>
      <c r="E70" s="316"/>
      <c r="F70" s="737"/>
      <c r="G70" s="738"/>
      <c r="H70" s="737"/>
      <c r="I70" s="738"/>
      <c r="J70" s="390"/>
      <c r="K70" s="24"/>
      <c r="L70" s="823"/>
      <c r="M70" s="823"/>
      <c r="N70" s="823"/>
      <c r="O70" s="823"/>
      <c r="P70" s="390"/>
      <c r="Q70" s="317"/>
      <c r="R70" s="317"/>
    </row>
    <row r="71" spans="1:18" ht="15" hidden="1" customHeight="1" x14ac:dyDescent="0.2">
      <c r="A71" s="18">
        <v>52</v>
      </c>
      <c r="B71" s="19"/>
      <c r="C71" s="765"/>
      <c r="D71" s="765"/>
      <c r="E71" s="316"/>
      <c r="F71" s="737"/>
      <c r="G71" s="738"/>
      <c r="H71" s="737"/>
      <c r="I71" s="738"/>
      <c r="J71" s="390"/>
      <c r="K71" s="24"/>
      <c r="L71" s="823"/>
      <c r="M71" s="823"/>
      <c r="N71" s="823"/>
      <c r="O71" s="823"/>
      <c r="P71" s="390"/>
      <c r="Q71" s="317"/>
      <c r="R71" s="317"/>
    </row>
    <row r="72" spans="1:18" ht="15" hidden="1" customHeight="1" x14ac:dyDescent="0.2">
      <c r="A72" s="18">
        <v>53</v>
      </c>
      <c r="B72" s="19"/>
      <c r="C72" s="765"/>
      <c r="D72" s="765"/>
      <c r="E72" s="316"/>
      <c r="F72" s="737"/>
      <c r="G72" s="738"/>
      <c r="H72" s="737"/>
      <c r="I72" s="738"/>
      <c r="J72" s="390"/>
      <c r="K72" s="24"/>
      <c r="L72" s="823"/>
      <c r="M72" s="823"/>
      <c r="N72" s="823"/>
      <c r="O72" s="823"/>
      <c r="P72" s="390"/>
      <c r="Q72" s="317"/>
      <c r="R72" s="317"/>
    </row>
    <row r="73" spans="1:18" ht="15" hidden="1" customHeight="1" x14ac:dyDescent="0.2">
      <c r="A73" s="18">
        <v>54</v>
      </c>
      <c r="B73" s="19"/>
      <c r="C73" s="765"/>
      <c r="D73" s="765"/>
      <c r="E73" s="316"/>
      <c r="F73" s="737"/>
      <c r="G73" s="738"/>
      <c r="H73" s="737"/>
      <c r="I73" s="738"/>
      <c r="J73" s="390"/>
      <c r="K73" s="24"/>
      <c r="L73" s="823"/>
      <c r="M73" s="823"/>
      <c r="N73" s="823"/>
      <c r="O73" s="823"/>
      <c r="P73" s="390"/>
      <c r="Q73" s="317"/>
      <c r="R73" s="317"/>
    </row>
    <row r="74" spans="1:18" ht="15" hidden="1" customHeight="1" x14ac:dyDescent="0.2">
      <c r="A74" s="18">
        <v>55</v>
      </c>
      <c r="B74" s="19"/>
      <c r="C74" s="765"/>
      <c r="D74" s="765"/>
      <c r="E74" s="316"/>
      <c r="F74" s="737"/>
      <c r="G74" s="738"/>
      <c r="H74" s="737"/>
      <c r="I74" s="738"/>
      <c r="J74" s="390"/>
      <c r="K74" s="24"/>
      <c r="L74" s="823"/>
      <c r="M74" s="823"/>
      <c r="N74" s="823"/>
      <c r="O74" s="823"/>
      <c r="P74" s="390"/>
      <c r="Q74" s="317"/>
      <c r="R74" s="317"/>
    </row>
    <row r="75" spans="1:18" ht="15" hidden="1" customHeight="1" x14ac:dyDescent="0.2">
      <c r="A75" s="18">
        <v>56</v>
      </c>
      <c r="B75" s="19"/>
      <c r="C75" s="765"/>
      <c r="D75" s="765"/>
      <c r="E75" s="316"/>
      <c r="F75" s="737"/>
      <c r="G75" s="738"/>
      <c r="H75" s="737"/>
      <c r="I75" s="738"/>
      <c r="J75" s="390"/>
      <c r="K75" s="24"/>
      <c r="L75" s="823"/>
      <c r="M75" s="823"/>
      <c r="N75" s="823"/>
      <c r="O75" s="823"/>
      <c r="P75" s="390"/>
      <c r="Q75" s="317"/>
      <c r="R75" s="317"/>
    </row>
    <row r="76" spans="1:18" ht="15" hidden="1" customHeight="1" x14ac:dyDescent="0.2">
      <c r="A76" s="18">
        <v>57</v>
      </c>
      <c r="B76" s="19"/>
      <c r="C76" s="765"/>
      <c r="D76" s="765"/>
      <c r="E76" s="316"/>
      <c r="F76" s="737"/>
      <c r="G76" s="738"/>
      <c r="H76" s="737"/>
      <c r="I76" s="738"/>
      <c r="J76" s="390"/>
      <c r="K76" s="24"/>
      <c r="L76" s="823"/>
      <c r="M76" s="823"/>
      <c r="N76" s="823"/>
      <c r="O76" s="823"/>
      <c r="P76" s="390"/>
      <c r="Q76" s="317"/>
      <c r="R76" s="317"/>
    </row>
    <row r="77" spans="1:18" ht="15" hidden="1" customHeight="1" x14ac:dyDescent="0.2">
      <c r="A77" s="18">
        <v>58</v>
      </c>
      <c r="B77" s="19"/>
      <c r="C77" s="765"/>
      <c r="D77" s="765"/>
      <c r="E77" s="316"/>
      <c r="F77" s="737"/>
      <c r="G77" s="738"/>
      <c r="H77" s="737"/>
      <c r="I77" s="738"/>
      <c r="J77" s="390"/>
      <c r="K77" s="24"/>
      <c r="L77" s="823"/>
      <c r="M77" s="823"/>
      <c r="N77" s="823"/>
      <c r="O77" s="823"/>
      <c r="P77" s="390"/>
      <c r="Q77" s="317"/>
      <c r="R77" s="317"/>
    </row>
    <row r="78" spans="1:18" ht="15" hidden="1" customHeight="1" x14ac:dyDescent="0.2">
      <c r="A78" s="18">
        <v>59</v>
      </c>
      <c r="B78" s="19"/>
      <c r="C78" s="765"/>
      <c r="D78" s="765"/>
      <c r="E78" s="316"/>
      <c r="F78" s="737"/>
      <c r="G78" s="738"/>
      <c r="H78" s="737"/>
      <c r="I78" s="738"/>
      <c r="J78" s="390"/>
      <c r="K78" s="24"/>
      <c r="L78" s="823"/>
      <c r="M78" s="823"/>
      <c r="N78" s="823"/>
      <c r="O78" s="823"/>
      <c r="P78" s="390"/>
      <c r="Q78" s="317"/>
      <c r="R78" s="317"/>
    </row>
    <row r="79" spans="1:18" ht="15" hidden="1" customHeight="1" x14ac:dyDescent="0.2">
      <c r="A79" s="18">
        <v>60</v>
      </c>
      <c r="B79" s="19"/>
      <c r="C79" s="765"/>
      <c r="D79" s="765"/>
      <c r="E79" s="316"/>
      <c r="F79" s="737"/>
      <c r="G79" s="738"/>
      <c r="H79" s="737"/>
      <c r="I79" s="738"/>
      <c r="J79" s="390"/>
      <c r="K79" s="24"/>
      <c r="L79" s="823"/>
      <c r="M79" s="823"/>
      <c r="N79" s="823"/>
      <c r="O79" s="823"/>
      <c r="P79" s="390"/>
      <c r="Q79" s="317"/>
      <c r="R79" s="317"/>
    </row>
    <row r="80" spans="1:18" ht="15" hidden="1" customHeight="1" x14ac:dyDescent="0.2">
      <c r="A80" s="18">
        <v>61</v>
      </c>
      <c r="B80" s="19"/>
      <c r="C80" s="765"/>
      <c r="D80" s="765"/>
      <c r="E80" s="316"/>
      <c r="F80" s="737"/>
      <c r="G80" s="738"/>
      <c r="H80" s="737"/>
      <c r="I80" s="738"/>
      <c r="J80" s="390"/>
      <c r="K80" s="24"/>
      <c r="L80" s="823"/>
      <c r="M80" s="823"/>
      <c r="N80" s="823"/>
      <c r="O80" s="823"/>
      <c r="P80" s="390"/>
      <c r="Q80" s="317"/>
      <c r="R80" s="317"/>
    </row>
    <row r="81" spans="1:36" ht="15" hidden="1" customHeight="1" x14ac:dyDescent="0.2">
      <c r="A81" s="18">
        <v>62</v>
      </c>
      <c r="B81" s="19"/>
      <c r="C81" s="765"/>
      <c r="D81" s="765"/>
      <c r="E81" s="316"/>
      <c r="F81" s="737"/>
      <c r="G81" s="738"/>
      <c r="H81" s="737"/>
      <c r="I81" s="738"/>
      <c r="J81" s="390"/>
      <c r="K81" s="24"/>
      <c r="L81" s="823"/>
      <c r="M81" s="823"/>
      <c r="N81" s="823"/>
      <c r="O81" s="823"/>
      <c r="P81" s="390"/>
      <c r="Q81" s="317"/>
      <c r="R81" s="317"/>
    </row>
    <row r="82" spans="1:36" ht="15" hidden="1" customHeight="1" x14ac:dyDescent="0.2">
      <c r="A82" s="18">
        <v>63</v>
      </c>
      <c r="B82" s="19"/>
      <c r="C82" s="765"/>
      <c r="D82" s="765"/>
      <c r="E82" s="316"/>
      <c r="F82" s="737"/>
      <c r="G82" s="738"/>
      <c r="H82" s="737"/>
      <c r="I82" s="738"/>
      <c r="J82" s="390"/>
      <c r="K82" s="24"/>
      <c r="L82" s="823"/>
      <c r="M82" s="823"/>
      <c r="N82" s="823"/>
      <c r="O82" s="823"/>
      <c r="P82" s="390"/>
      <c r="Q82" s="317"/>
      <c r="R82" s="317"/>
    </row>
    <row r="83" spans="1:36" ht="15" hidden="1" customHeight="1" x14ac:dyDescent="0.2">
      <c r="A83" s="18">
        <v>64</v>
      </c>
      <c r="B83" s="19"/>
      <c r="C83" s="765"/>
      <c r="D83" s="765"/>
      <c r="E83" s="316"/>
      <c r="F83" s="737"/>
      <c r="G83" s="738"/>
      <c r="H83" s="737"/>
      <c r="I83" s="738"/>
      <c r="J83" s="390"/>
      <c r="K83" s="24"/>
      <c r="L83" s="823"/>
      <c r="M83" s="823"/>
      <c r="N83" s="823"/>
      <c r="O83" s="823"/>
      <c r="P83" s="390"/>
      <c r="Q83" s="317"/>
      <c r="R83" s="317"/>
    </row>
    <row r="84" spans="1:36" ht="15" hidden="1" customHeight="1" x14ac:dyDescent="0.2">
      <c r="A84" s="18">
        <v>65</v>
      </c>
      <c r="B84" s="19"/>
      <c r="C84" s="765"/>
      <c r="D84" s="765"/>
      <c r="E84" s="26"/>
      <c r="F84" s="739"/>
      <c r="G84" s="739"/>
      <c r="H84" s="737"/>
      <c r="I84" s="738"/>
      <c r="J84" s="390"/>
      <c r="K84" s="24" t="s">
        <v>25</v>
      </c>
      <c r="L84" s="823"/>
      <c r="M84" s="823"/>
      <c r="N84" s="823"/>
      <c r="O84" s="823"/>
      <c r="P84" s="390"/>
      <c r="Q84" s="25"/>
      <c r="R84" s="25"/>
    </row>
    <row r="85" spans="1:36" ht="15" hidden="1" customHeight="1" x14ac:dyDescent="0.2">
      <c r="A85" s="18">
        <v>66</v>
      </c>
      <c r="B85" s="19"/>
      <c r="C85" s="765"/>
      <c r="D85" s="765"/>
      <c r="E85" s="26"/>
      <c r="F85" s="739"/>
      <c r="G85" s="739"/>
      <c r="H85" s="737"/>
      <c r="I85" s="738"/>
      <c r="J85" s="390"/>
      <c r="K85" s="24" t="s">
        <v>25</v>
      </c>
      <c r="L85" s="823"/>
      <c r="M85" s="823"/>
      <c r="N85" s="823"/>
      <c r="O85" s="823"/>
      <c r="P85" s="390"/>
      <c r="Q85" s="25"/>
      <c r="R85" s="25"/>
    </row>
    <row r="86" spans="1:36" ht="15" hidden="1" customHeight="1" x14ac:dyDescent="0.2">
      <c r="A86" s="18">
        <v>67</v>
      </c>
      <c r="B86" s="19"/>
      <c r="C86" s="765"/>
      <c r="D86" s="765"/>
      <c r="E86" s="26"/>
      <c r="F86" s="739"/>
      <c r="G86" s="739"/>
      <c r="H86" s="737"/>
      <c r="I86" s="738"/>
      <c r="J86" s="390"/>
      <c r="K86" s="24" t="s">
        <v>25</v>
      </c>
      <c r="L86" s="823"/>
      <c r="M86" s="823"/>
      <c r="N86" s="823"/>
      <c r="O86" s="823"/>
      <c r="P86" s="390"/>
      <c r="Q86" s="25"/>
      <c r="R86" s="25"/>
    </row>
    <row r="87" spans="1:36" ht="15" hidden="1" customHeight="1" x14ac:dyDescent="0.2">
      <c r="A87" s="18">
        <v>68</v>
      </c>
      <c r="B87" s="19"/>
      <c r="C87" s="765"/>
      <c r="D87" s="765"/>
      <c r="E87" s="26"/>
      <c r="F87" s="739"/>
      <c r="G87" s="739"/>
      <c r="H87" s="737"/>
      <c r="I87" s="738"/>
      <c r="J87" s="390"/>
      <c r="K87" s="24" t="s">
        <v>25</v>
      </c>
      <c r="L87" s="823"/>
      <c r="M87" s="823"/>
      <c r="N87" s="823"/>
      <c r="O87" s="823"/>
      <c r="P87" s="390"/>
      <c r="Q87" s="25"/>
      <c r="R87" s="25"/>
    </row>
    <row r="88" spans="1:36" ht="15" hidden="1" x14ac:dyDescent="0.2">
      <c r="A88" s="18">
        <v>20</v>
      </c>
      <c r="B88" s="19"/>
      <c r="C88" s="765"/>
      <c r="D88" s="765"/>
      <c r="E88" s="26"/>
      <c r="F88" s="739"/>
      <c r="G88" s="739"/>
      <c r="H88" s="737"/>
      <c r="I88" s="738"/>
      <c r="J88" s="390"/>
      <c r="K88" s="24"/>
      <c r="L88" s="823"/>
      <c r="M88" s="823"/>
      <c r="N88" s="833"/>
      <c r="O88" s="834"/>
      <c r="P88" s="390"/>
      <c r="Q88" s="25"/>
      <c r="R88" s="25"/>
    </row>
    <row r="89" spans="1:36" ht="12.75" customHeight="1" x14ac:dyDescent="0.2">
      <c r="A89" s="825" t="s">
        <v>67</v>
      </c>
      <c r="B89" s="826"/>
      <c r="C89" s="827">
        <f>COUNTA(C20:C88)</f>
        <v>20</v>
      </c>
      <c r="D89" s="828"/>
      <c r="E89" s="831"/>
      <c r="F89" s="831"/>
      <c r="G89" s="831"/>
      <c r="H89" s="831"/>
      <c r="I89" s="832"/>
      <c r="J89" s="477" t="s">
        <v>67</v>
      </c>
      <c r="K89" s="458">
        <v>20</v>
      </c>
      <c r="L89" s="829"/>
      <c r="M89" s="829"/>
      <c r="N89" s="829"/>
      <c r="O89" s="829"/>
      <c r="P89" s="829"/>
      <c r="Q89" s="829"/>
      <c r="R89" s="830"/>
    </row>
    <row r="90" spans="1:36" ht="14.25" x14ac:dyDescent="0.2">
      <c r="A90" s="28" t="s">
        <v>890</v>
      </c>
      <c r="B90" s="29"/>
      <c r="C90" s="29"/>
    </row>
    <row r="91" spans="1:36" ht="7.5" customHeight="1" x14ac:dyDescent="0.2">
      <c r="A91" s="1"/>
      <c r="B91" s="1"/>
      <c r="C91" s="1"/>
    </row>
    <row r="92" spans="1:36" s="47" customFormat="1" ht="15" x14ac:dyDescent="0.25">
      <c r="A92" s="713" t="s">
        <v>799</v>
      </c>
      <c r="B92" s="713"/>
      <c r="C92" s="713"/>
      <c r="D92" s="713"/>
      <c r="E92" s="713"/>
      <c r="F92" s="412"/>
      <c r="G92" s="412"/>
      <c r="H92" s="412"/>
      <c r="I92" s="412"/>
      <c r="J92" s="412"/>
      <c r="K92" s="412"/>
      <c r="L92" s="412"/>
      <c r="M92" s="714" t="s">
        <v>800</v>
      </c>
      <c r="N92" s="714"/>
      <c r="O92" s="714"/>
      <c r="P92" s="714"/>
      <c r="Q92" s="714"/>
      <c r="R92" s="1"/>
      <c r="T92" s="820"/>
      <c r="U92" s="820"/>
      <c r="V92" s="820"/>
      <c r="W92" s="820"/>
      <c r="X92" s="820"/>
      <c r="Y92" s="820"/>
      <c r="Z92" s="820"/>
      <c r="AA92" s="820"/>
      <c r="AB92" s="820"/>
      <c r="AC92" s="820"/>
      <c r="AD92" s="820"/>
      <c r="AE92" s="820"/>
      <c r="AF92" s="820"/>
      <c r="AG92" s="820"/>
      <c r="AH92" s="820"/>
      <c r="AI92" s="820"/>
    </row>
    <row r="93" spans="1:36" s="47" customFormat="1" ht="30.75" customHeight="1" x14ac:dyDescent="0.25">
      <c r="A93" s="735" t="s">
        <v>677</v>
      </c>
      <c r="B93" s="735"/>
      <c r="C93" s="735"/>
      <c r="D93" s="735"/>
      <c r="E93" s="735"/>
      <c r="F93" s="735"/>
      <c r="G93" s="735"/>
      <c r="H93" s="735"/>
      <c r="I93" s="735"/>
      <c r="J93" s="735"/>
      <c r="K93" s="18" t="s">
        <v>805</v>
      </c>
      <c r="L93" s="412"/>
      <c r="M93" s="715" t="s">
        <v>801</v>
      </c>
      <c r="N93" s="716"/>
      <c r="O93" s="716"/>
      <c r="P93" s="716"/>
      <c r="Q93" s="717"/>
      <c r="R93" s="413" t="s">
        <v>805</v>
      </c>
      <c r="T93" s="54"/>
      <c r="U93" s="54"/>
      <c r="V93" s="54"/>
      <c r="W93" s="54"/>
      <c r="X93" s="54"/>
      <c r="Y93" s="54"/>
      <c r="Z93" s="54"/>
      <c r="AA93" s="54"/>
      <c r="AB93" s="54"/>
      <c r="AC93" s="54"/>
      <c r="AD93" s="54"/>
      <c r="AE93" s="54"/>
      <c r="AF93" s="54"/>
      <c r="AG93" s="54"/>
      <c r="AH93" s="54"/>
      <c r="AI93" s="54"/>
      <c r="AJ93" s="54"/>
    </row>
    <row r="94" spans="1:36" s="47" customFormat="1" ht="30.75" customHeight="1" x14ac:dyDescent="0.25">
      <c r="A94" s="735" t="s">
        <v>678</v>
      </c>
      <c r="B94" s="735"/>
      <c r="C94" s="735"/>
      <c r="D94" s="735"/>
      <c r="E94" s="735"/>
      <c r="F94" s="735"/>
      <c r="G94" s="735"/>
      <c r="H94" s="735"/>
      <c r="I94" s="735"/>
      <c r="J94" s="735"/>
      <c r="K94" s="18" t="s">
        <v>805</v>
      </c>
      <c r="L94" s="412"/>
      <c r="M94" s="735" t="s">
        <v>803</v>
      </c>
      <c r="N94" s="735"/>
      <c r="O94" s="735"/>
      <c r="P94" s="735"/>
      <c r="Q94" s="735"/>
      <c r="R94" s="20" t="s">
        <v>805</v>
      </c>
      <c r="T94" s="54"/>
      <c r="U94" s="54"/>
      <c r="V94" s="54"/>
      <c r="W94" s="54"/>
      <c r="X94" s="54"/>
      <c r="Y94" s="54"/>
      <c r="Z94" s="54"/>
      <c r="AA94" s="54"/>
      <c r="AB94" s="54"/>
      <c r="AC94" s="54"/>
      <c r="AD94" s="54"/>
      <c r="AE94" s="54"/>
      <c r="AF94" s="54"/>
      <c r="AG94" s="54"/>
      <c r="AH94" s="54"/>
      <c r="AI94" s="54"/>
      <c r="AJ94" s="54"/>
    </row>
    <row r="95" spans="1:36" ht="48" customHeight="1" x14ac:dyDescent="0.25">
      <c r="A95" s="735" t="s">
        <v>83</v>
      </c>
      <c r="B95" s="735"/>
      <c r="C95" s="735"/>
      <c r="D95" s="735"/>
      <c r="E95" s="735"/>
      <c r="F95" s="735"/>
      <c r="G95" s="735"/>
      <c r="H95" s="735"/>
      <c r="I95" s="735"/>
      <c r="J95" s="735"/>
      <c r="K95" s="18" t="s">
        <v>805</v>
      </c>
      <c r="L95" s="412"/>
      <c r="M95" s="11"/>
      <c r="N95" s="11"/>
      <c r="O95" s="11"/>
      <c r="P95" s="11"/>
      <c r="Q95" s="11"/>
      <c r="R95" s="409"/>
      <c r="T95" s="712"/>
      <c r="U95" s="712"/>
      <c r="V95" s="712"/>
      <c r="W95" s="712"/>
      <c r="X95" s="712"/>
      <c r="Y95" s="712"/>
      <c r="Z95" s="712"/>
      <c r="AA95" s="712"/>
      <c r="AB95" s="712"/>
      <c r="AC95" s="712"/>
      <c r="AD95" s="712"/>
      <c r="AE95" s="712"/>
      <c r="AF95" s="712"/>
      <c r="AG95" s="712"/>
      <c r="AH95" s="712"/>
      <c r="AI95" s="712"/>
      <c r="AJ95" s="712"/>
    </row>
    <row r="96" spans="1:36" ht="9" customHeight="1" x14ac:dyDescent="0.2">
      <c r="B96" s="787"/>
      <c r="C96" s="787"/>
      <c r="D96" s="787"/>
      <c r="E96" s="787"/>
      <c r="F96" s="787"/>
      <c r="G96" s="787"/>
      <c r="H96" s="787"/>
      <c r="I96" s="787"/>
      <c r="J96" s="787"/>
      <c r="K96" s="787"/>
      <c r="L96" s="787"/>
      <c r="M96" s="787"/>
      <c r="N96" s="787"/>
      <c r="O96" s="787"/>
      <c r="P96" s="787"/>
      <c r="Q96" s="787"/>
      <c r="R96" s="787"/>
      <c r="T96" s="835"/>
      <c r="U96" s="835"/>
      <c r="V96" s="835"/>
      <c r="W96" s="835"/>
      <c r="X96" s="835"/>
      <c r="Y96" s="835"/>
      <c r="Z96" s="835"/>
      <c r="AA96" s="835"/>
      <c r="AB96" s="835"/>
      <c r="AC96" s="835"/>
      <c r="AD96" s="835"/>
      <c r="AE96" s="835"/>
      <c r="AF96" s="835"/>
      <c r="AG96" s="835"/>
      <c r="AH96" s="835"/>
      <c r="AI96" s="835"/>
      <c r="AJ96" s="835"/>
    </row>
    <row r="97" spans="1:41" ht="7.5" customHeight="1" x14ac:dyDescent="0.25">
      <c r="A97" s="412"/>
      <c r="B97" s="412"/>
      <c r="C97" s="412"/>
      <c r="D97" s="412"/>
      <c r="E97" s="412"/>
      <c r="F97" s="412"/>
      <c r="G97" s="412"/>
      <c r="H97" s="412"/>
      <c r="I97" s="412"/>
      <c r="J97" s="412"/>
      <c r="K97" s="412"/>
      <c r="L97" s="412"/>
      <c r="M97" s="412"/>
      <c r="N97" s="412"/>
      <c r="O97" s="412"/>
      <c r="P97" s="412"/>
      <c r="Q97" s="412"/>
      <c r="R97" s="412"/>
    </row>
    <row r="98" spans="1:41" ht="15.75" customHeight="1" x14ac:dyDescent="0.25">
      <c r="A98" s="723" t="s">
        <v>807</v>
      </c>
      <c r="B98" s="724"/>
      <c r="C98" s="724"/>
      <c r="D98" s="725"/>
      <c r="E98" s="729" t="s">
        <v>891</v>
      </c>
      <c r="F98" s="730"/>
      <c r="G98" s="730"/>
      <c r="H98" s="730"/>
      <c r="I98" s="730"/>
      <c r="J98" s="730"/>
      <c r="K98" s="730"/>
      <c r="L98" s="731"/>
      <c r="M98" s="711" t="s">
        <v>808</v>
      </c>
      <c r="N98" s="711"/>
      <c r="O98" s="711"/>
      <c r="P98" s="711"/>
      <c r="Q98" s="711"/>
      <c r="R98" s="711"/>
    </row>
    <row r="99" spans="1:41" ht="15.75" customHeight="1" x14ac:dyDescent="0.25">
      <c r="A99" s="726"/>
      <c r="B99" s="727"/>
      <c r="C99" s="727"/>
      <c r="D99" s="728"/>
      <c r="E99" s="732"/>
      <c r="F99" s="733"/>
      <c r="G99" s="733"/>
      <c r="H99" s="733"/>
      <c r="I99" s="733"/>
      <c r="J99" s="733"/>
      <c r="K99" s="733"/>
      <c r="L99" s="734"/>
      <c r="M99" s="841" t="s">
        <v>945</v>
      </c>
      <c r="N99" s="841"/>
      <c r="O99" s="841"/>
      <c r="P99" s="841"/>
      <c r="Q99" s="841"/>
      <c r="R99" s="841"/>
    </row>
    <row r="100" spans="1:41" ht="7.5" customHeight="1" x14ac:dyDescent="0.25">
      <c r="A100" s="412"/>
      <c r="B100" s="412"/>
      <c r="C100" s="412"/>
      <c r="D100" s="412"/>
      <c r="E100" s="412"/>
      <c r="F100" s="412"/>
      <c r="G100" s="412"/>
      <c r="H100" s="412"/>
      <c r="I100" s="412"/>
      <c r="J100" s="412"/>
      <c r="K100" s="412"/>
      <c r="L100" s="412"/>
      <c r="M100" s="412"/>
      <c r="N100" s="412"/>
      <c r="O100" s="412"/>
      <c r="P100" s="412"/>
      <c r="Q100" s="412"/>
      <c r="R100" s="412"/>
    </row>
    <row r="101" spans="1:41" ht="26.25" customHeight="1" x14ac:dyDescent="0.25">
      <c r="A101" s="708" t="s">
        <v>810</v>
      </c>
      <c r="B101" s="709"/>
      <c r="C101" s="709"/>
      <c r="D101" s="710"/>
      <c r="E101" s="711"/>
      <c r="F101" s="711"/>
      <c r="G101" s="711"/>
      <c r="H101" s="711"/>
      <c r="I101" s="711"/>
      <c r="J101" s="711"/>
      <c r="K101" s="711"/>
      <c r="L101" s="711"/>
      <c r="M101" s="412"/>
      <c r="N101" s="412"/>
      <c r="O101" s="412"/>
      <c r="P101" s="412"/>
      <c r="Q101" s="412"/>
      <c r="R101" s="412"/>
    </row>
    <row r="102" spans="1:41" ht="10.5" customHeight="1" x14ac:dyDescent="0.25">
      <c r="A102" s="412"/>
      <c r="B102" s="412"/>
      <c r="C102" s="412"/>
      <c r="D102" s="412"/>
      <c r="E102" s="718" t="s">
        <v>845</v>
      </c>
      <c r="F102" s="718"/>
      <c r="G102" s="718"/>
      <c r="H102" s="718"/>
      <c r="I102" s="718"/>
      <c r="J102" s="718"/>
      <c r="K102" s="718"/>
      <c r="L102" s="718"/>
      <c r="M102" s="412"/>
      <c r="N102" s="412"/>
      <c r="O102" s="412"/>
      <c r="P102" s="412"/>
      <c r="Q102" s="412"/>
      <c r="R102" s="412"/>
    </row>
    <row r="103" spans="1:41" x14ac:dyDescent="0.2">
      <c r="E103" s="11"/>
      <c r="F103" s="11"/>
      <c r="G103" s="11"/>
      <c r="H103" s="11"/>
      <c r="I103" s="11"/>
      <c r="J103" s="11"/>
      <c r="K103" s="11"/>
      <c r="L103" s="11"/>
    </row>
    <row r="107" spans="1:41" x14ac:dyDescent="0.2">
      <c r="L107" s="11"/>
      <c r="M107" s="11"/>
      <c r="N107" s="11"/>
      <c r="O107" s="11"/>
      <c r="P107" s="11"/>
      <c r="Q107" s="11"/>
      <c r="R107" s="11"/>
    </row>
    <row r="108" spans="1:41" x14ac:dyDescent="0.2">
      <c r="L108" s="11"/>
      <c r="M108" s="11"/>
      <c r="N108" s="11"/>
      <c r="O108" s="11"/>
      <c r="P108" s="11"/>
      <c r="Q108" s="11"/>
      <c r="R108" s="11"/>
    </row>
    <row r="109" spans="1:41" ht="15" x14ac:dyDescent="0.2">
      <c r="L109" s="11"/>
      <c r="M109" s="11"/>
      <c r="N109" s="11"/>
      <c r="O109" s="11"/>
      <c r="P109" s="11"/>
      <c r="Q109" s="11"/>
      <c r="R109" s="11"/>
      <c r="Y109" s="836"/>
      <c r="Z109" s="836"/>
      <c r="AA109" s="836"/>
      <c r="AB109" s="836"/>
      <c r="AC109" s="836"/>
      <c r="AD109" s="836"/>
      <c r="AE109" s="836"/>
      <c r="AF109" s="836"/>
      <c r="AG109" s="836"/>
      <c r="AH109" s="836"/>
      <c r="AI109" s="836"/>
      <c r="AJ109" s="836"/>
      <c r="AK109" s="836"/>
      <c r="AL109" s="836"/>
      <c r="AM109" s="836"/>
      <c r="AN109" s="836"/>
      <c r="AO109" s="836"/>
    </row>
    <row r="110" spans="1:41" ht="15" customHeight="1" x14ac:dyDescent="0.2">
      <c r="L110" s="11"/>
      <c r="M110" s="11"/>
      <c r="N110" s="11"/>
      <c r="O110" s="11"/>
      <c r="P110" s="11"/>
      <c r="Q110" s="11"/>
      <c r="R110" s="11"/>
      <c r="Y110" s="837"/>
      <c r="Z110" s="837"/>
      <c r="AA110" s="837"/>
      <c r="AB110" s="837"/>
      <c r="AC110" s="837"/>
      <c r="AD110" s="837"/>
      <c r="AE110" s="837"/>
      <c r="AF110" s="837"/>
      <c r="AG110" s="837"/>
      <c r="AH110" s="837"/>
      <c r="AI110" s="837"/>
      <c r="AJ110" s="837"/>
      <c r="AK110" s="837"/>
      <c r="AL110" s="837"/>
      <c r="AM110" s="837"/>
      <c r="AN110" s="837"/>
      <c r="AO110" s="837"/>
    </row>
    <row r="111" spans="1:41" ht="12.75" customHeight="1" x14ac:dyDescent="0.2">
      <c r="L111" s="11"/>
      <c r="M111" s="11"/>
      <c r="N111" s="11"/>
      <c r="O111" s="11"/>
      <c r="P111" s="11"/>
      <c r="Q111" s="11"/>
      <c r="R111" s="11"/>
      <c r="Y111" s="837"/>
      <c r="Z111" s="837"/>
      <c r="AA111" s="837"/>
      <c r="AB111" s="837"/>
      <c r="AC111" s="837"/>
      <c r="AD111" s="837"/>
      <c r="AE111" s="837"/>
      <c r="AF111" s="837"/>
      <c r="AG111" s="837"/>
      <c r="AH111" s="837"/>
      <c r="AI111" s="837"/>
      <c r="AJ111" s="837"/>
      <c r="AK111" s="837"/>
      <c r="AL111" s="837"/>
      <c r="AM111" s="837"/>
      <c r="AN111" s="837"/>
      <c r="AO111" s="837"/>
    </row>
    <row r="112" spans="1:41" ht="12.75" customHeight="1" x14ac:dyDescent="0.2">
      <c r="L112" s="11"/>
      <c r="M112" s="840"/>
      <c r="N112" s="840"/>
      <c r="O112" s="840"/>
      <c r="P112" s="840"/>
      <c r="Q112" s="11"/>
      <c r="R112" s="11"/>
      <c r="Y112" s="837"/>
      <c r="Z112" s="837"/>
      <c r="AA112" s="837"/>
      <c r="AB112" s="837"/>
      <c r="AC112" s="837"/>
      <c r="AD112" s="837"/>
      <c r="AE112" s="837"/>
      <c r="AF112" s="837"/>
      <c r="AG112" s="837"/>
      <c r="AH112" s="837"/>
      <c r="AI112" s="837"/>
      <c r="AJ112" s="837"/>
      <c r="AK112" s="837"/>
      <c r="AL112" s="837"/>
      <c r="AM112" s="837"/>
      <c r="AN112" s="837"/>
      <c r="AO112" s="837"/>
    </row>
    <row r="113" spans="12:41" ht="15" customHeight="1" x14ac:dyDescent="0.2">
      <c r="L113" s="11"/>
      <c r="M113" s="839"/>
      <c r="N113" s="839"/>
      <c r="O113" s="839"/>
      <c r="P113" s="839"/>
      <c r="Q113" s="11"/>
      <c r="R113" s="11"/>
      <c r="Y113" s="787"/>
      <c r="Z113" s="787"/>
      <c r="AA113" s="787"/>
      <c r="AB113" s="787"/>
      <c r="AC113" s="787"/>
      <c r="AD113" s="787"/>
      <c r="AE113" s="787"/>
      <c r="AF113" s="787"/>
      <c r="AG113" s="787"/>
      <c r="AH113" s="787"/>
      <c r="AI113" s="787"/>
      <c r="AJ113" s="787"/>
      <c r="AK113" s="787"/>
      <c r="AL113" s="787"/>
      <c r="AM113" s="787"/>
      <c r="AN113" s="787"/>
      <c r="AO113" s="787"/>
    </row>
    <row r="114" spans="12:41" ht="15" customHeight="1" x14ac:dyDescent="0.2">
      <c r="L114" s="11"/>
      <c r="M114" s="839"/>
      <c r="N114" s="839"/>
      <c r="O114" s="839"/>
      <c r="P114" s="839"/>
      <c r="Q114" s="11"/>
      <c r="R114" s="11"/>
      <c r="Y114" s="787"/>
      <c r="Z114" s="787"/>
      <c r="AA114" s="787"/>
      <c r="AB114" s="787"/>
      <c r="AC114" s="787"/>
      <c r="AD114" s="787"/>
      <c r="AE114" s="787"/>
      <c r="AF114" s="787"/>
      <c r="AG114" s="787"/>
      <c r="AH114" s="787"/>
      <c r="AI114" s="787"/>
      <c r="AJ114" s="787"/>
      <c r="AK114" s="787"/>
      <c r="AL114" s="787"/>
      <c r="AM114" s="787"/>
      <c r="AN114" s="787"/>
      <c r="AO114" s="787"/>
    </row>
    <row r="115" spans="12:41" ht="15" customHeight="1" x14ac:dyDescent="0.2">
      <c r="L115" s="11"/>
      <c r="M115" s="838"/>
      <c r="N115" s="838"/>
      <c r="O115" s="838"/>
      <c r="P115" s="838"/>
      <c r="Q115" s="11"/>
      <c r="R115" s="11"/>
      <c r="Y115" s="712"/>
      <c r="Z115" s="712"/>
      <c r="AA115" s="712"/>
      <c r="AB115" s="712"/>
      <c r="AC115" s="712"/>
      <c r="AD115" s="712"/>
      <c r="AE115" s="712"/>
      <c r="AF115" s="712"/>
      <c r="AG115" s="712"/>
      <c r="AH115" s="712"/>
      <c r="AI115" s="712"/>
      <c r="AJ115" s="712"/>
      <c r="AK115" s="712"/>
      <c r="AL115" s="712"/>
      <c r="AM115" s="712"/>
      <c r="AN115" s="712"/>
      <c r="AO115" s="712"/>
    </row>
    <row r="116" spans="12:41" ht="15" x14ac:dyDescent="0.2">
      <c r="L116" s="11"/>
      <c r="M116" s="11"/>
      <c r="N116" s="11"/>
      <c r="O116" s="11"/>
      <c r="P116" s="11"/>
      <c r="Q116" s="11"/>
      <c r="R116" s="11"/>
      <c r="Y116" s="835"/>
      <c r="Z116" s="835"/>
      <c r="AA116" s="835"/>
      <c r="AB116" s="835"/>
      <c r="AC116" s="835"/>
      <c r="AD116" s="835"/>
      <c r="AE116" s="835"/>
      <c r="AF116" s="835"/>
      <c r="AG116" s="835"/>
      <c r="AH116" s="835"/>
      <c r="AI116" s="835"/>
      <c r="AJ116" s="835"/>
      <c r="AK116" s="835"/>
      <c r="AL116" s="835"/>
      <c r="AM116" s="835"/>
      <c r="AN116" s="835"/>
      <c r="AO116" s="835"/>
    </row>
    <row r="117" spans="12:41" ht="15" x14ac:dyDescent="0.2">
      <c r="L117" s="11"/>
      <c r="M117" s="11"/>
      <c r="N117" s="11"/>
      <c r="O117" s="11"/>
      <c r="P117" s="11"/>
      <c r="Q117" s="11"/>
      <c r="R117" s="11"/>
      <c r="Y117" s="835"/>
      <c r="Z117" s="835"/>
      <c r="AA117" s="835"/>
      <c r="AB117" s="835"/>
      <c r="AC117" s="835"/>
      <c r="AD117" s="835"/>
      <c r="AE117" s="835"/>
      <c r="AF117" s="835"/>
      <c r="AG117" s="835"/>
      <c r="AH117" s="835"/>
      <c r="AI117" s="835"/>
      <c r="AJ117" s="835"/>
      <c r="AK117" s="835"/>
      <c r="AL117" s="835"/>
      <c r="AM117" s="835"/>
      <c r="AN117" s="835"/>
      <c r="AO117" s="835"/>
    </row>
    <row r="118" spans="12:41" ht="15" customHeight="1" x14ac:dyDescent="0.2">
      <c r="Y118" s="797"/>
      <c r="Z118" s="797"/>
      <c r="AA118" s="797"/>
      <c r="AB118" s="797"/>
      <c r="AC118" s="797"/>
      <c r="AD118" s="797"/>
      <c r="AE118" s="797"/>
      <c r="AF118" s="797"/>
      <c r="AG118" s="797"/>
      <c r="AH118" s="797"/>
      <c r="AI118" s="797"/>
      <c r="AJ118" s="797"/>
      <c r="AK118" s="797"/>
      <c r="AL118" s="797"/>
      <c r="AM118" s="797"/>
      <c r="AN118" s="797"/>
      <c r="AO118" s="797"/>
    </row>
    <row r="119" spans="12:41" ht="15" customHeight="1" x14ac:dyDescent="0.2">
      <c r="Y119" s="810"/>
      <c r="Z119" s="810"/>
      <c r="AA119" s="810"/>
      <c r="AB119" s="810"/>
      <c r="AC119" s="810"/>
      <c r="AD119" s="810"/>
      <c r="AE119" s="810"/>
      <c r="AF119" s="810"/>
      <c r="AG119" s="810"/>
      <c r="AH119" s="810"/>
      <c r="AI119" s="810"/>
      <c r="AJ119" s="810"/>
      <c r="AK119" s="810"/>
      <c r="AL119" s="810"/>
      <c r="AM119" s="810"/>
      <c r="AN119" s="810"/>
      <c r="AO119" s="810"/>
    </row>
  </sheetData>
  <mergeCells count="444">
    <mergeCell ref="AB18:AO18"/>
    <mergeCell ref="AB22:AO22"/>
    <mergeCell ref="X23:AA23"/>
    <mergeCell ref="AB23:AO23"/>
    <mergeCell ref="X24:AA24"/>
    <mergeCell ref="L20:M20"/>
    <mergeCell ref="C22:D22"/>
    <mergeCell ref="F22:G22"/>
    <mergeCell ref="C23:D23"/>
    <mergeCell ref="F23:G23"/>
    <mergeCell ref="H22:I22"/>
    <mergeCell ref="H23:I23"/>
    <mergeCell ref="C20:D20"/>
    <mergeCell ref="F20:G20"/>
    <mergeCell ref="C21:D21"/>
    <mergeCell ref="F21:G21"/>
    <mergeCell ref="H20:I20"/>
    <mergeCell ref="H21:I21"/>
    <mergeCell ref="AB24:AO24"/>
    <mergeCell ref="AB19:AO19"/>
    <mergeCell ref="AB20:AO21"/>
    <mergeCell ref="N20:O20"/>
    <mergeCell ref="N21:O21"/>
    <mergeCell ref="N22:O22"/>
    <mergeCell ref="C2:R2"/>
    <mergeCell ref="X22:AA22"/>
    <mergeCell ref="C19:D19"/>
    <mergeCell ref="F19:G19"/>
    <mergeCell ref="X18:AA18"/>
    <mergeCell ref="X19:AA19"/>
    <mergeCell ref="X20:AA21"/>
    <mergeCell ref="X25:AA25"/>
    <mergeCell ref="N76:O76"/>
    <mergeCell ref="N64:O64"/>
    <mergeCell ref="N65:O65"/>
    <mergeCell ref="L74:M74"/>
    <mergeCell ref="L75:M75"/>
    <mergeCell ref="L68:M68"/>
    <mergeCell ref="L70:M70"/>
    <mergeCell ref="L71:M71"/>
    <mergeCell ref="L72:M72"/>
    <mergeCell ref="L73:M73"/>
    <mergeCell ref="L76:M76"/>
    <mergeCell ref="L44:M44"/>
    <mergeCell ref="L45:M45"/>
    <mergeCell ref="N34:O34"/>
    <mergeCell ref="N35:O35"/>
    <mergeCell ref="N36:O36"/>
    <mergeCell ref="AB25:AG25"/>
    <mergeCell ref="AH25:AJ25"/>
    <mergeCell ref="AK25:AO25"/>
    <mergeCell ref="N67:O67"/>
    <mergeCell ref="N68:O68"/>
    <mergeCell ref="N69:O69"/>
    <mergeCell ref="N58:O58"/>
    <mergeCell ref="N59:O59"/>
    <mergeCell ref="N60:O60"/>
    <mergeCell ref="N61:O61"/>
    <mergeCell ref="N62:O62"/>
    <mergeCell ref="N63:O63"/>
    <mergeCell ref="N56:O56"/>
    <mergeCell ref="N57:O57"/>
    <mergeCell ref="N46:O46"/>
    <mergeCell ref="N47:O47"/>
    <mergeCell ref="N40:O40"/>
    <mergeCell ref="N43:O43"/>
    <mergeCell ref="N44:O44"/>
    <mergeCell ref="N45:O45"/>
    <mergeCell ref="N50:O50"/>
    <mergeCell ref="N51:O51"/>
    <mergeCell ref="N66:O66"/>
    <mergeCell ref="N33:O33"/>
    <mergeCell ref="A98:D99"/>
    <mergeCell ref="E98:L99"/>
    <mergeCell ref="M98:R98"/>
    <mergeCell ref="M99:R99"/>
    <mergeCell ref="A101:D101"/>
    <mergeCell ref="E101:L101"/>
    <mergeCell ref="E102:L102"/>
    <mergeCell ref="Y114:AO114"/>
    <mergeCell ref="Y115:AO115"/>
    <mergeCell ref="Y117:AO117"/>
    <mergeCell ref="Y118:AO118"/>
    <mergeCell ref="Y119:AO119"/>
    <mergeCell ref="Y109:AO109"/>
    <mergeCell ref="Y110:AO110"/>
    <mergeCell ref="Y111:AO112"/>
    <mergeCell ref="Y113:AO113"/>
    <mergeCell ref="M115:P115"/>
    <mergeCell ref="M113:P113"/>
    <mergeCell ref="M114:P114"/>
    <mergeCell ref="M112:P112"/>
    <mergeCell ref="Y116:AO116"/>
    <mergeCell ref="C86:D86"/>
    <mergeCell ref="F86:G86"/>
    <mergeCell ref="C87:D87"/>
    <mergeCell ref="F87:G87"/>
    <mergeCell ref="H86:I86"/>
    <mergeCell ref="H87:I87"/>
    <mergeCell ref="C84:D84"/>
    <mergeCell ref="N86:O86"/>
    <mergeCell ref="N87:O87"/>
    <mergeCell ref="L86:M86"/>
    <mergeCell ref="L87:M87"/>
    <mergeCell ref="T95:AJ95"/>
    <mergeCell ref="B96:R96"/>
    <mergeCell ref="C88:D88"/>
    <mergeCell ref="F88:G88"/>
    <mergeCell ref="A89:B89"/>
    <mergeCell ref="H88:I88"/>
    <mergeCell ref="C89:D89"/>
    <mergeCell ref="L89:R89"/>
    <mergeCell ref="E89:I89"/>
    <mergeCell ref="A92:E92"/>
    <mergeCell ref="L88:M88"/>
    <mergeCell ref="M92:Q92"/>
    <mergeCell ref="A93:J93"/>
    <mergeCell ref="A95:J95"/>
    <mergeCell ref="N88:O88"/>
    <mergeCell ref="M94:Q94"/>
    <mergeCell ref="A94:J94"/>
    <mergeCell ref="M93:Q93"/>
    <mergeCell ref="T96:AJ96"/>
    <mergeCell ref="N79:O79"/>
    <mergeCell ref="T92:AI92"/>
    <mergeCell ref="N81:O81"/>
    <mergeCell ref="N70:O70"/>
    <mergeCell ref="N71:O71"/>
    <mergeCell ref="N72:O72"/>
    <mergeCell ref="N73:O73"/>
    <mergeCell ref="N74:O74"/>
    <mergeCell ref="N75:O75"/>
    <mergeCell ref="L50:M50"/>
    <mergeCell ref="L51:M51"/>
    <mergeCell ref="L52:M52"/>
    <mergeCell ref="L53:M53"/>
    <mergeCell ref="L54:M54"/>
    <mergeCell ref="L55:M55"/>
    <mergeCell ref="L69:M69"/>
    <mergeCell ref="L62:M62"/>
    <mergeCell ref="L63:M63"/>
    <mergeCell ref="L64:M64"/>
    <mergeCell ref="L65:M65"/>
    <mergeCell ref="L66:M66"/>
    <mergeCell ref="N41:O41"/>
    <mergeCell ref="N42:O42"/>
    <mergeCell ref="L46:M46"/>
    <mergeCell ref="L47:M47"/>
    <mergeCell ref="L48:M48"/>
    <mergeCell ref="L40:M40"/>
    <mergeCell ref="L41:M41"/>
    <mergeCell ref="L43:M43"/>
    <mergeCell ref="N48:O48"/>
    <mergeCell ref="N52:O52"/>
    <mergeCell ref="N53:O53"/>
    <mergeCell ref="N54:O54"/>
    <mergeCell ref="N55:O55"/>
    <mergeCell ref="L67:M67"/>
    <mergeCell ref="L56:M56"/>
    <mergeCell ref="L57:M57"/>
    <mergeCell ref="L58:M58"/>
    <mergeCell ref="L59:M59"/>
    <mergeCell ref="L60:M60"/>
    <mergeCell ref="L61:M61"/>
    <mergeCell ref="N49:O49"/>
    <mergeCell ref="L42:M42"/>
    <mergeCell ref="L49:M49"/>
    <mergeCell ref="L26:M26"/>
    <mergeCell ref="L27:M27"/>
    <mergeCell ref="L28:M28"/>
    <mergeCell ref="L29:M29"/>
    <mergeCell ref="L30:M30"/>
    <mergeCell ref="L31:M31"/>
    <mergeCell ref="N37:O37"/>
    <mergeCell ref="N38:O38"/>
    <mergeCell ref="N39:O39"/>
    <mergeCell ref="L38:M38"/>
    <mergeCell ref="L39:M39"/>
    <mergeCell ref="L32:M32"/>
    <mergeCell ref="L33:M33"/>
    <mergeCell ref="L34:M34"/>
    <mergeCell ref="L35:M35"/>
    <mergeCell ref="L36:M36"/>
    <mergeCell ref="L37:M37"/>
    <mergeCell ref="N26:O26"/>
    <mergeCell ref="N27:O27"/>
    <mergeCell ref="N28:O28"/>
    <mergeCell ref="N29:O29"/>
    <mergeCell ref="N30:O30"/>
    <mergeCell ref="N31:O31"/>
    <mergeCell ref="N32:O32"/>
    <mergeCell ref="N82:O82"/>
    <mergeCell ref="C85:D85"/>
    <mergeCell ref="F85:G85"/>
    <mergeCell ref="H84:I84"/>
    <mergeCell ref="H85:I85"/>
    <mergeCell ref="C82:D82"/>
    <mergeCell ref="F82:G82"/>
    <mergeCell ref="C83:D83"/>
    <mergeCell ref="C78:D78"/>
    <mergeCell ref="F78:G78"/>
    <mergeCell ref="C79:D79"/>
    <mergeCell ref="F79:G79"/>
    <mergeCell ref="H78:I78"/>
    <mergeCell ref="H79:I79"/>
    <mergeCell ref="F83:G83"/>
    <mergeCell ref="H82:I82"/>
    <mergeCell ref="H83:I83"/>
    <mergeCell ref="C80:D80"/>
    <mergeCell ref="F80:G80"/>
    <mergeCell ref="C81:D81"/>
    <mergeCell ref="F81:G81"/>
    <mergeCell ref="H80:I80"/>
    <mergeCell ref="H81:I81"/>
    <mergeCell ref="N85:O85"/>
    <mergeCell ref="C76:D76"/>
    <mergeCell ref="F76:G76"/>
    <mergeCell ref="C77:D77"/>
    <mergeCell ref="F77:G77"/>
    <mergeCell ref="H76:I76"/>
    <mergeCell ref="H77:I77"/>
    <mergeCell ref="L81:M81"/>
    <mergeCell ref="L82:M82"/>
    <mergeCell ref="L83:M83"/>
    <mergeCell ref="L84:M84"/>
    <mergeCell ref="L85:M85"/>
    <mergeCell ref="N83:O83"/>
    <mergeCell ref="N84:O84"/>
    <mergeCell ref="L77:M77"/>
    <mergeCell ref="N80:O80"/>
    <mergeCell ref="F84:G84"/>
    <mergeCell ref="L80:M80"/>
    <mergeCell ref="L78:M78"/>
    <mergeCell ref="L79:M79"/>
    <mergeCell ref="N77:O77"/>
    <mergeCell ref="N78:O78"/>
    <mergeCell ref="C74:D74"/>
    <mergeCell ref="F74:G74"/>
    <mergeCell ref="C75:D75"/>
    <mergeCell ref="F75:G75"/>
    <mergeCell ref="H74:I74"/>
    <mergeCell ref="H75:I75"/>
    <mergeCell ref="C72:D72"/>
    <mergeCell ref="F72:G72"/>
    <mergeCell ref="C73:D73"/>
    <mergeCell ref="F73:G73"/>
    <mergeCell ref="H72:I72"/>
    <mergeCell ref="H73:I73"/>
    <mergeCell ref="C70:D70"/>
    <mergeCell ref="F70:G70"/>
    <mergeCell ref="C71:D71"/>
    <mergeCell ref="F71:G71"/>
    <mergeCell ref="H70:I70"/>
    <mergeCell ref="H71:I71"/>
    <mergeCell ref="C68:D68"/>
    <mergeCell ref="F68:G68"/>
    <mergeCell ref="C69:D69"/>
    <mergeCell ref="F69:G69"/>
    <mergeCell ref="H68:I68"/>
    <mergeCell ref="H69:I69"/>
    <mergeCell ref="C66:D66"/>
    <mergeCell ref="F66:G66"/>
    <mergeCell ref="C67:D67"/>
    <mergeCell ref="F67:G67"/>
    <mergeCell ref="H66:I66"/>
    <mergeCell ref="H67:I67"/>
    <mergeCell ref="C64:D64"/>
    <mergeCell ref="F64:G64"/>
    <mergeCell ref="C65:D65"/>
    <mergeCell ref="F65:G65"/>
    <mergeCell ref="H64:I64"/>
    <mergeCell ref="H65:I65"/>
    <mergeCell ref="C62:D62"/>
    <mergeCell ref="F62:G62"/>
    <mergeCell ref="C63:D63"/>
    <mergeCell ref="F63:G63"/>
    <mergeCell ref="H62:I62"/>
    <mergeCell ref="H63:I63"/>
    <mergeCell ref="C60:D60"/>
    <mergeCell ref="F60:G60"/>
    <mergeCell ref="C61:D61"/>
    <mergeCell ref="F61:G61"/>
    <mergeCell ref="H60:I60"/>
    <mergeCell ref="H61:I61"/>
    <mergeCell ref="C58:D58"/>
    <mergeCell ref="F58:G58"/>
    <mergeCell ref="C59:D59"/>
    <mergeCell ref="F59:G59"/>
    <mergeCell ref="H58:I58"/>
    <mergeCell ref="H59:I59"/>
    <mergeCell ref="C56:D56"/>
    <mergeCell ref="F56:G56"/>
    <mergeCell ref="C57:D57"/>
    <mergeCell ref="F57:G57"/>
    <mergeCell ref="H56:I56"/>
    <mergeCell ref="H57:I57"/>
    <mergeCell ref="C54:D54"/>
    <mergeCell ref="F54:G54"/>
    <mergeCell ref="C55:D55"/>
    <mergeCell ref="F55:G55"/>
    <mergeCell ref="H54:I54"/>
    <mergeCell ref="H55:I55"/>
    <mergeCell ref="C52:D52"/>
    <mergeCell ref="F52:G52"/>
    <mergeCell ref="C53:D53"/>
    <mergeCell ref="F53:G53"/>
    <mergeCell ref="H52:I52"/>
    <mergeCell ref="H53:I53"/>
    <mergeCell ref="C50:D50"/>
    <mergeCell ref="F50:G50"/>
    <mergeCell ref="C51:D51"/>
    <mergeCell ref="F51:G51"/>
    <mergeCell ref="H50:I50"/>
    <mergeCell ref="H51:I51"/>
    <mergeCell ref="C48:D48"/>
    <mergeCell ref="F48:G48"/>
    <mergeCell ref="C49:D49"/>
    <mergeCell ref="F49:G49"/>
    <mergeCell ref="H48:I48"/>
    <mergeCell ref="H49:I49"/>
    <mergeCell ref="C46:D46"/>
    <mergeCell ref="F46:G46"/>
    <mergeCell ref="C47:D47"/>
    <mergeCell ref="F47:G47"/>
    <mergeCell ref="H46:I46"/>
    <mergeCell ref="H47:I47"/>
    <mergeCell ref="C44:D44"/>
    <mergeCell ref="F44:G44"/>
    <mergeCell ref="C45:D45"/>
    <mergeCell ref="F45:G45"/>
    <mergeCell ref="H44:I44"/>
    <mergeCell ref="H45:I45"/>
    <mergeCell ref="C42:D42"/>
    <mergeCell ref="F42:G42"/>
    <mergeCell ref="C43:D43"/>
    <mergeCell ref="F43:G43"/>
    <mergeCell ref="H42:I42"/>
    <mergeCell ref="H43:I43"/>
    <mergeCell ref="C40:D40"/>
    <mergeCell ref="F40:G40"/>
    <mergeCell ref="C41:D41"/>
    <mergeCell ref="F41:G41"/>
    <mergeCell ref="H40:I40"/>
    <mergeCell ref="H41:I41"/>
    <mergeCell ref="C38:D38"/>
    <mergeCell ref="F38:G38"/>
    <mergeCell ref="C39:D39"/>
    <mergeCell ref="F39:G39"/>
    <mergeCell ref="H38:I38"/>
    <mergeCell ref="H39:I39"/>
    <mergeCell ref="C36:D36"/>
    <mergeCell ref="F36:G36"/>
    <mergeCell ref="C37:D37"/>
    <mergeCell ref="F37:G37"/>
    <mergeCell ref="H36:I36"/>
    <mergeCell ref="H37:I37"/>
    <mergeCell ref="C34:D34"/>
    <mergeCell ref="F34:G34"/>
    <mergeCell ref="C35:D35"/>
    <mergeCell ref="F35:G35"/>
    <mergeCell ref="H34:I34"/>
    <mergeCell ref="H35:I35"/>
    <mergeCell ref="C32:D32"/>
    <mergeCell ref="F32:G32"/>
    <mergeCell ref="C33:D33"/>
    <mergeCell ref="F33:G33"/>
    <mergeCell ref="H32:I32"/>
    <mergeCell ref="H33:I33"/>
    <mergeCell ref="L24:M24"/>
    <mergeCell ref="L25:M25"/>
    <mergeCell ref="C30:D30"/>
    <mergeCell ref="F30:G30"/>
    <mergeCell ref="C31:D31"/>
    <mergeCell ref="F31:G31"/>
    <mergeCell ref="H30:I30"/>
    <mergeCell ref="H31:I31"/>
    <mergeCell ref="C28:D28"/>
    <mergeCell ref="F28:G28"/>
    <mergeCell ref="C29:D29"/>
    <mergeCell ref="F29:G29"/>
    <mergeCell ref="H28:I28"/>
    <mergeCell ref="H29:I29"/>
    <mergeCell ref="C26:D26"/>
    <mergeCell ref="F26:G26"/>
    <mergeCell ref="C27:D27"/>
    <mergeCell ref="F27:G27"/>
    <mergeCell ref="H26:I26"/>
    <mergeCell ref="H27:I27"/>
    <mergeCell ref="F25:G25"/>
    <mergeCell ref="H24:I24"/>
    <mergeCell ref="H25:I25"/>
    <mergeCell ref="C24:D24"/>
    <mergeCell ref="F24:G24"/>
    <mergeCell ref="C25:D25"/>
    <mergeCell ref="N23:O23"/>
    <mergeCell ref="N24:O24"/>
    <mergeCell ref="N25:O25"/>
    <mergeCell ref="A15:R15"/>
    <mergeCell ref="A16:A18"/>
    <mergeCell ref="Q16:R17"/>
    <mergeCell ref="C17:D18"/>
    <mergeCell ref="E17:E18"/>
    <mergeCell ref="F17:G18"/>
    <mergeCell ref="J16:P16"/>
    <mergeCell ref="J17:J18"/>
    <mergeCell ref="L17:M18"/>
    <mergeCell ref="B16:I16"/>
    <mergeCell ref="B17:B18"/>
    <mergeCell ref="H17:I18"/>
    <mergeCell ref="N17:O18"/>
    <mergeCell ref="P17:P18"/>
    <mergeCell ref="H19:I19"/>
    <mergeCell ref="N19:O19"/>
    <mergeCell ref="K17:K18"/>
    <mergeCell ref="L19:M19"/>
    <mergeCell ref="L21:M21"/>
    <mergeCell ref="L22:M22"/>
    <mergeCell ref="L23:M23"/>
    <mergeCell ref="H13:K13"/>
    <mergeCell ref="L13:O13"/>
    <mergeCell ref="P13:R13"/>
    <mergeCell ref="A11:R11"/>
    <mergeCell ref="H12:K12"/>
    <mergeCell ref="L12:O12"/>
    <mergeCell ref="P12:R12"/>
    <mergeCell ref="E12:G12"/>
    <mergeCell ref="A12:D12"/>
    <mergeCell ref="A13:D13"/>
    <mergeCell ref="E13:G13"/>
    <mergeCell ref="J3:K3"/>
    <mergeCell ref="A5:D5"/>
    <mergeCell ref="E5:R5"/>
    <mergeCell ref="A6:D6"/>
    <mergeCell ref="E6:R6"/>
    <mergeCell ref="A10:D10"/>
    <mergeCell ref="E10:J10"/>
    <mergeCell ref="K10:M10"/>
    <mergeCell ref="N10:R10"/>
    <mergeCell ref="A7:D7"/>
    <mergeCell ref="E7:R7"/>
    <mergeCell ref="A8:D8"/>
    <mergeCell ref="E8:R8"/>
    <mergeCell ref="A9:D9"/>
    <mergeCell ref="E9:R9"/>
  </mergeCells>
  <printOptions horizontalCentered="1"/>
  <pageMargins left="0.35433070866141736" right="0.35433070866141736" top="0.6692913385826772" bottom="0.35433070866141736" header="0.35433070866141736" footer="0.15748031496062992"/>
  <pageSetup paperSize="9" scale="92" fitToHeight="0" orientation="landscape" r:id="rId1"/>
  <headerFooter alignWithMargins="0">
    <oddFooter>&amp;R&amp;"Times New Roman,обычный"&amp;8&amp;U&amp;A&amp;U стр.&amp;P из &amp;N</oddFooter>
  </headerFooter>
  <rowBreaks count="1" manualBreakCount="1">
    <brk id="23" max="17"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22"/>
  <sheetViews>
    <sheetView view="pageBreakPreview" zoomScale="85" zoomScaleNormal="100" zoomScaleSheetLayoutView="85" workbookViewId="0">
      <selection activeCell="J3" sqref="J3"/>
    </sheetView>
  </sheetViews>
  <sheetFormatPr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10.28515625" style="5" customWidth="1"/>
    <col min="8" max="8" width="4.140625" style="5" customWidth="1"/>
    <col min="9" max="10" width="10.85546875" style="5" customWidth="1"/>
    <col min="11" max="11" width="12.140625" style="5" customWidth="1"/>
    <col min="12" max="12" width="12.7109375" style="5" customWidth="1"/>
    <col min="13" max="13" width="4.140625" style="5" customWidth="1"/>
    <col min="14" max="14" width="5.85546875" style="5" customWidth="1"/>
    <col min="15" max="15" width="4.7109375" style="5" customWidth="1"/>
    <col min="16" max="16" width="9.28515625" style="5" customWidth="1"/>
    <col min="17" max="17" width="4.140625" style="5" customWidth="1"/>
    <col min="18" max="19" width="13.7109375" style="5" customWidth="1"/>
  </cols>
  <sheetData>
    <row r="1" spans="1:19" ht="45" customHeight="1" x14ac:dyDescent="0.2">
      <c r="A1" s="768" t="s">
        <v>1035</v>
      </c>
      <c r="B1" s="768"/>
      <c r="C1" s="768"/>
      <c r="D1" s="768"/>
      <c r="E1" s="768"/>
      <c r="F1" s="768"/>
      <c r="G1" s="768"/>
      <c r="H1" s="768"/>
      <c r="I1" s="768"/>
      <c r="J1" s="768"/>
      <c r="K1" s="768"/>
      <c r="L1" s="768"/>
      <c r="M1" s="768"/>
      <c r="N1" s="768"/>
      <c r="O1" s="768"/>
      <c r="P1" s="768"/>
      <c r="Q1" s="768"/>
      <c r="R1" s="768"/>
      <c r="S1" s="768"/>
    </row>
    <row r="2" spans="1:19" ht="15.75" x14ac:dyDescent="0.2">
      <c r="A2" s="1"/>
      <c r="B2" s="1"/>
      <c r="C2" s="1"/>
      <c r="D2" s="1"/>
      <c r="E2" s="2"/>
      <c r="F2" s="2"/>
      <c r="G2" s="3"/>
      <c r="H2" s="3"/>
      <c r="I2" s="3" t="s">
        <v>11</v>
      </c>
      <c r="J2" s="681" t="s">
        <v>1044</v>
      </c>
      <c r="K2" s="681"/>
      <c r="L2" s="681"/>
      <c r="M2" s="4"/>
      <c r="N2" s="4"/>
      <c r="O2" s="4"/>
      <c r="P2" s="4"/>
      <c r="Q2" s="4"/>
      <c r="R2" s="1"/>
      <c r="S2" s="1"/>
    </row>
    <row r="3" spans="1:19" x14ac:dyDescent="0.2">
      <c r="A3" s="1"/>
      <c r="B3" s="1"/>
      <c r="C3" s="1"/>
      <c r="D3" s="1"/>
      <c r="E3" s="1"/>
      <c r="F3" s="1"/>
      <c r="G3" s="358"/>
      <c r="H3" s="1"/>
      <c r="I3" s="1"/>
      <c r="J3" s="1"/>
      <c r="M3" s="1"/>
      <c r="N3" s="1"/>
      <c r="O3" s="1"/>
      <c r="P3" s="1"/>
      <c r="Q3" s="1"/>
      <c r="R3" s="1"/>
      <c r="S3" s="1"/>
    </row>
    <row r="4" spans="1:19" ht="29.25" customHeight="1" x14ac:dyDescent="0.2">
      <c r="A4" s="788" t="s">
        <v>12</v>
      </c>
      <c r="B4" s="789"/>
      <c r="C4" s="789"/>
      <c r="D4" s="790"/>
      <c r="E4" s="821">
        <f>'Акт отбора проб Почва'!E4:R4</f>
        <v>45739</v>
      </c>
      <c r="F4" s="821"/>
      <c r="G4" s="821"/>
      <c r="H4" s="821"/>
      <c r="I4" s="821"/>
      <c r="J4" s="821"/>
      <c r="K4" s="821"/>
      <c r="L4" s="821"/>
      <c r="M4" s="821"/>
      <c r="N4" s="821"/>
      <c r="O4" s="821"/>
      <c r="P4" s="821"/>
      <c r="Q4" s="821"/>
      <c r="R4" s="821"/>
      <c r="S4" s="821"/>
    </row>
    <row r="5" spans="1:19" ht="43.9" customHeight="1" x14ac:dyDescent="0.2">
      <c r="A5" s="792" t="s">
        <v>967</v>
      </c>
      <c r="B5" s="793"/>
      <c r="C5" s="793"/>
      <c r="D5" s="794"/>
      <c r="E5" s="785" t="str">
        <f>'Акт отбора проб Почва'!E5:R5</f>
        <v xml:space="preserve"> по адресу:</v>
      </c>
      <c r="F5" s="785"/>
      <c r="G5" s="785"/>
      <c r="H5" s="785"/>
      <c r="I5" s="785"/>
      <c r="J5" s="785"/>
      <c r="K5" s="785"/>
      <c r="L5" s="785"/>
      <c r="M5" s="785"/>
      <c r="N5" s="785"/>
      <c r="O5" s="785"/>
      <c r="P5" s="785"/>
      <c r="Q5" s="785"/>
      <c r="R5" s="785"/>
      <c r="S5" s="785"/>
    </row>
    <row r="6" spans="1:19" ht="38.25" customHeight="1" x14ac:dyDescent="0.2">
      <c r="A6" s="778" t="s">
        <v>2</v>
      </c>
      <c r="B6" s="779"/>
      <c r="C6" s="779"/>
      <c r="D6" s="780"/>
      <c r="E6" s="855" t="s">
        <v>1036</v>
      </c>
      <c r="F6" s="855"/>
      <c r="G6" s="855"/>
      <c r="H6" s="855"/>
      <c r="I6" s="855"/>
      <c r="J6" s="855"/>
      <c r="K6" s="855"/>
      <c r="L6" s="855"/>
      <c r="M6" s="855"/>
      <c r="N6" s="855"/>
      <c r="O6" s="855"/>
      <c r="P6" s="855"/>
      <c r="Q6" s="855"/>
      <c r="R6" s="855"/>
      <c r="S6" s="855"/>
    </row>
    <row r="7" spans="1:19" ht="29.25" customHeight="1" x14ac:dyDescent="0.2">
      <c r="A7" s="778" t="s">
        <v>744</v>
      </c>
      <c r="B7" s="779"/>
      <c r="C7" s="779"/>
      <c r="D7" s="780"/>
      <c r="E7" s="785" t="s">
        <v>745</v>
      </c>
      <c r="F7" s="785"/>
      <c r="G7" s="785"/>
      <c r="H7" s="785"/>
      <c r="I7" s="785"/>
      <c r="J7" s="785"/>
      <c r="K7" s="785"/>
      <c r="L7" s="785"/>
      <c r="M7" s="785"/>
      <c r="N7" s="785"/>
      <c r="O7" s="785"/>
      <c r="P7" s="785"/>
      <c r="Q7" s="785"/>
      <c r="R7" s="785"/>
      <c r="S7" s="785"/>
    </row>
    <row r="8" spans="1:19" ht="29.25" customHeight="1" x14ac:dyDescent="0.2">
      <c r="A8" s="778" t="s">
        <v>13</v>
      </c>
      <c r="B8" s="779"/>
      <c r="C8" s="779"/>
      <c r="D8" s="780"/>
      <c r="E8" s="775" t="s">
        <v>1041</v>
      </c>
      <c r="F8" s="776"/>
      <c r="G8" s="776"/>
      <c r="H8" s="776"/>
      <c r="I8" s="776"/>
      <c r="J8" s="776"/>
      <c r="K8" s="776"/>
      <c r="L8" s="776"/>
      <c r="M8" s="776"/>
      <c r="N8" s="776"/>
      <c r="O8" s="776"/>
      <c r="P8" s="776"/>
      <c r="Q8" s="776"/>
      <c r="R8" s="776"/>
      <c r="S8" s="777"/>
    </row>
    <row r="9" spans="1:19" ht="29.25" customHeight="1" x14ac:dyDescent="0.2">
      <c r="A9" s="822" t="s">
        <v>14</v>
      </c>
      <c r="B9" s="822"/>
      <c r="C9" s="822"/>
      <c r="D9" s="822"/>
      <c r="E9" s="781">
        <f>E4</f>
        <v>45739</v>
      </c>
      <c r="F9" s="782"/>
      <c r="G9" s="782"/>
      <c r="H9" s="782"/>
      <c r="I9" s="782"/>
      <c r="J9" s="782"/>
      <c r="K9" s="783"/>
      <c r="L9" s="770" t="s">
        <v>15</v>
      </c>
      <c r="M9" s="770"/>
      <c r="N9" s="770"/>
      <c r="O9" s="771" t="s">
        <v>16</v>
      </c>
      <c r="P9" s="772"/>
      <c r="Q9" s="772"/>
      <c r="R9" s="772"/>
      <c r="S9" s="773"/>
    </row>
    <row r="10" spans="1:19" ht="15.75" x14ac:dyDescent="0.25">
      <c r="A10" s="856" t="s">
        <v>17</v>
      </c>
      <c r="B10" s="856"/>
      <c r="C10" s="856"/>
      <c r="D10" s="856"/>
      <c r="E10" s="856"/>
      <c r="F10" s="856"/>
      <c r="G10" s="856"/>
      <c r="H10" s="856"/>
      <c r="I10" s="856"/>
      <c r="J10" s="856"/>
      <c r="K10" s="856"/>
      <c r="L10" s="856"/>
      <c r="M10" s="856"/>
      <c r="N10" s="856"/>
      <c r="O10" s="856"/>
      <c r="P10" s="856"/>
      <c r="Q10" s="856"/>
      <c r="R10" s="856"/>
      <c r="S10" s="856"/>
    </row>
    <row r="11" spans="1:19" ht="31.5" x14ac:dyDescent="0.2">
      <c r="A11" s="9" t="s">
        <v>18</v>
      </c>
      <c r="B11" s="796" t="s">
        <v>19</v>
      </c>
      <c r="C11" s="796"/>
      <c r="D11" s="796"/>
      <c r="E11" s="796"/>
      <c r="F11" s="796" t="s">
        <v>20</v>
      </c>
      <c r="G11" s="796"/>
      <c r="H11" s="796"/>
      <c r="I11" s="796" t="s">
        <v>21</v>
      </c>
      <c r="J11" s="796"/>
      <c r="K11" s="796"/>
      <c r="L11" s="10" t="s">
        <v>22</v>
      </c>
      <c r="M11" s="796" t="s">
        <v>23</v>
      </c>
      <c r="N11" s="796"/>
      <c r="O11" s="796"/>
      <c r="P11" s="796" t="s">
        <v>24</v>
      </c>
      <c r="Q11" s="796"/>
      <c r="R11" s="796"/>
      <c r="S11" s="796"/>
    </row>
    <row r="12" spans="1:19" ht="80.25" customHeight="1" x14ac:dyDescent="0.2">
      <c r="A12" s="9">
        <v>1</v>
      </c>
      <c r="B12" s="796" t="s">
        <v>641</v>
      </c>
      <c r="C12" s="796"/>
      <c r="D12" s="796"/>
      <c r="E12" s="796"/>
      <c r="F12" s="857">
        <v>296818</v>
      </c>
      <c r="G12" s="857"/>
      <c r="H12" s="857"/>
      <c r="I12" s="857" t="s">
        <v>790</v>
      </c>
      <c r="J12" s="857"/>
      <c r="K12" s="857"/>
      <c r="L12" s="315">
        <v>46093</v>
      </c>
      <c r="M12" s="858" t="s">
        <v>788</v>
      </c>
      <c r="N12" s="859"/>
      <c r="O12" s="860"/>
      <c r="P12" s="857" t="s">
        <v>772</v>
      </c>
      <c r="Q12" s="857"/>
      <c r="R12" s="857"/>
      <c r="S12" s="857"/>
    </row>
    <row r="13" spans="1:19" ht="80.25" customHeight="1" x14ac:dyDescent="0.2">
      <c r="A13" s="13">
        <v>1</v>
      </c>
      <c r="B13" s="861" t="s">
        <v>641</v>
      </c>
      <c r="C13" s="862"/>
      <c r="D13" s="862"/>
      <c r="E13" s="862"/>
      <c r="F13" s="863">
        <v>664823</v>
      </c>
      <c r="G13" s="863"/>
      <c r="H13" s="863"/>
      <c r="I13" s="863" t="s">
        <v>787</v>
      </c>
      <c r="J13" s="863"/>
      <c r="K13" s="863"/>
      <c r="L13" s="396">
        <v>45770</v>
      </c>
      <c r="M13" s="861" t="s">
        <v>788</v>
      </c>
      <c r="N13" s="862"/>
      <c r="O13" s="864"/>
      <c r="P13" s="863" t="s">
        <v>772</v>
      </c>
      <c r="Q13" s="863"/>
      <c r="R13" s="863"/>
      <c r="S13" s="863"/>
    </row>
    <row r="14" spans="1:19" ht="6" customHeight="1" x14ac:dyDescent="0.2">
      <c r="A14" s="13"/>
      <c r="B14" s="13"/>
      <c r="C14" s="13"/>
      <c r="D14" s="13"/>
      <c r="E14" s="13"/>
      <c r="F14" s="13"/>
      <c r="G14" s="13"/>
      <c r="H14" s="13"/>
      <c r="I14" s="13"/>
      <c r="J14" s="13"/>
      <c r="K14" s="13"/>
      <c r="L14" s="14"/>
      <c r="M14" s="13"/>
      <c r="N14" s="13"/>
      <c r="O14" s="13"/>
      <c r="P14" s="13"/>
      <c r="Q14" s="13"/>
      <c r="R14" s="13"/>
      <c r="S14" s="13"/>
    </row>
    <row r="15" spans="1:19" ht="15.75" x14ac:dyDescent="0.25">
      <c r="A15" s="795" t="s">
        <v>26</v>
      </c>
      <c r="B15" s="795"/>
      <c r="C15" s="795"/>
      <c r="D15" s="795"/>
      <c r="E15" s="795"/>
      <c r="F15" s="795"/>
      <c r="G15" s="795"/>
      <c r="H15" s="795"/>
      <c r="I15" s="795"/>
      <c r="J15" s="795"/>
      <c r="K15" s="795"/>
      <c r="L15" s="795"/>
      <c r="M15" s="795"/>
      <c r="N15" s="795"/>
      <c r="O15" s="795"/>
      <c r="P15" s="795"/>
      <c r="Q15" s="795"/>
      <c r="R15" s="795"/>
      <c r="S15" s="795"/>
    </row>
    <row r="16" spans="1:19" ht="15.75" x14ac:dyDescent="0.2">
      <c r="A16" s="796" t="s">
        <v>27</v>
      </c>
      <c r="B16" s="796"/>
      <c r="C16" s="796"/>
      <c r="D16" s="796" t="s">
        <v>28</v>
      </c>
      <c r="E16" s="796"/>
      <c r="F16" s="796"/>
      <c r="G16" s="796"/>
      <c r="H16" s="796" t="s">
        <v>29</v>
      </c>
      <c r="I16" s="796"/>
      <c r="J16" s="796"/>
      <c r="K16" s="796"/>
      <c r="L16" s="796"/>
      <c r="M16" s="798" t="s">
        <v>642</v>
      </c>
      <c r="N16" s="798"/>
      <c r="O16" s="798"/>
      <c r="P16" s="798"/>
      <c r="Q16" s="801" t="s">
        <v>31</v>
      </c>
      <c r="R16" s="802"/>
      <c r="S16" s="803"/>
    </row>
    <row r="17" spans="1:19" ht="26.25" customHeight="1" x14ac:dyDescent="0.2">
      <c r="A17" s="819" t="s">
        <v>746</v>
      </c>
      <c r="B17" s="819"/>
      <c r="C17" s="819"/>
      <c r="D17" s="819" t="s">
        <v>747</v>
      </c>
      <c r="E17" s="819"/>
      <c r="F17" s="819"/>
      <c r="G17" s="819"/>
      <c r="H17" s="804" t="s">
        <v>748</v>
      </c>
      <c r="I17" s="804"/>
      <c r="J17" s="804"/>
      <c r="K17" s="804"/>
      <c r="L17" s="804"/>
      <c r="M17" s="804" t="s">
        <v>749</v>
      </c>
      <c r="N17" s="804"/>
      <c r="O17" s="804"/>
      <c r="P17" s="804"/>
      <c r="Q17" s="805" t="s">
        <v>750</v>
      </c>
      <c r="R17" s="806"/>
      <c r="S17" s="807"/>
    </row>
    <row r="18" spans="1:19" ht="9.75" customHeight="1" x14ac:dyDescent="0.2">
      <c r="A18" s="15"/>
      <c r="B18" s="15"/>
      <c r="C18" s="15"/>
      <c r="D18" s="15"/>
      <c r="E18" s="16"/>
      <c r="F18" s="16"/>
      <c r="G18" s="16"/>
      <c r="H18" s="16"/>
      <c r="I18" s="16"/>
      <c r="J18" s="16"/>
      <c r="K18" s="16"/>
      <c r="L18" s="17"/>
      <c r="M18" s="17"/>
      <c r="N18" s="17"/>
      <c r="O18" s="16"/>
      <c r="P18" s="16"/>
      <c r="Q18" s="16"/>
      <c r="R18" s="16"/>
      <c r="S18" s="16"/>
    </row>
    <row r="19" spans="1:19" ht="14.25" x14ac:dyDescent="0.2">
      <c r="A19" s="808" t="s">
        <v>32</v>
      </c>
      <c r="B19" s="808"/>
      <c r="C19" s="808"/>
      <c r="D19" s="808"/>
      <c r="E19" s="808"/>
      <c r="F19" s="808"/>
      <c r="G19" s="808"/>
      <c r="H19" s="808"/>
      <c r="I19" s="808"/>
      <c r="J19" s="808"/>
      <c r="K19" s="808"/>
      <c r="L19" s="808"/>
      <c r="M19" s="808"/>
      <c r="N19" s="808"/>
      <c r="O19" s="808"/>
      <c r="P19" s="808"/>
      <c r="Q19" s="808"/>
      <c r="R19" s="808"/>
      <c r="S19" s="808"/>
    </row>
    <row r="20" spans="1:19" ht="15" customHeight="1" x14ac:dyDescent="0.2">
      <c r="A20" s="739" t="s">
        <v>7</v>
      </c>
      <c r="B20" s="866" t="s">
        <v>33</v>
      </c>
      <c r="C20" s="742" t="s">
        <v>680</v>
      </c>
      <c r="D20" s="890"/>
      <c r="E20" s="890"/>
      <c r="F20" s="890"/>
      <c r="G20" s="890"/>
      <c r="H20" s="890"/>
      <c r="I20" s="890"/>
      <c r="J20" s="874" t="s">
        <v>679</v>
      </c>
      <c r="K20" s="875"/>
      <c r="L20" s="875"/>
      <c r="M20" s="875"/>
      <c r="N20" s="875"/>
      <c r="O20" s="875"/>
      <c r="P20" s="875"/>
      <c r="Q20" s="876"/>
      <c r="R20" s="849" t="s">
        <v>34</v>
      </c>
      <c r="S20" s="850"/>
    </row>
    <row r="21" spans="1:19" x14ac:dyDescent="0.2">
      <c r="A21" s="739"/>
      <c r="B21" s="866"/>
      <c r="C21" s="866" t="s">
        <v>35</v>
      </c>
      <c r="D21" s="866"/>
      <c r="E21" s="866" t="s">
        <v>36</v>
      </c>
      <c r="F21" s="865" t="s">
        <v>751</v>
      </c>
      <c r="G21" s="865"/>
      <c r="H21" s="867" t="s">
        <v>752</v>
      </c>
      <c r="I21" s="868"/>
      <c r="J21" s="872" t="s">
        <v>33</v>
      </c>
      <c r="K21" s="865" t="s">
        <v>37</v>
      </c>
      <c r="L21" s="865" t="s">
        <v>36</v>
      </c>
      <c r="M21" s="866" t="s">
        <v>751</v>
      </c>
      <c r="N21" s="866"/>
      <c r="O21" s="866"/>
      <c r="P21" s="867" t="s">
        <v>752</v>
      </c>
      <c r="Q21" s="868"/>
      <c r="R21" s="853"/>
      <c r="S21" s="854"/>
    </row>
    <row r="22" spans="1:19" ht="73.5" customHeight="1" x14ac:dyDescent="0.2">
      <c r="A22" s="739"/>
      <c r="B22" s="866"/>
      <c r="C22" s="866"/>
      <c r="D22" s="866"/>
      <c r="E22" s="866"/>
      <c r="F22" s="865"/>
      <c r="G22" s="865"/>
      <c r="H22" s="869"/>
      <c r="I22" s="870"/>
      <c r="J22" s="873"/>
      <c r="K22" s="865"/>
      <c r="L22" s="865"/>
      <c r="M22" s="866"/>
      <c r="N22" s="866"/>
      <c r="O22" s="866"/>
      <c r="P22" s="869"/>
      <c r="Q22" s="870"/>
      <c r="R22" s="20" t="s">
        <v>38</v>
      </c>
      <c r="S22" s="20" t="s">
        <v>39</v>
      </c>
    </row>
    <row r="23" spans="1:19" x14ac:dyDescent="0.2">
      <c r="A23" s="21">
        <v>1</v>
      </c>
      <c r="B23" s="21">
        <v>2</v>
      </c>
      <c r="C23" s="746">
        <v>3</v>
      </c>
      <c r="D23" s="746"/>
      <c r="E23" s="22">
        <v>4</v>
      </c>
      <c r="F23" s="751">
        <v>5</v>
      </c>
      <c r="G23" s="751"/>
      <c r="H23" s="749">
        <v>6</v>
      </c>
      <c r="I23" s="871"/>
      <c r="J23" s="387"/>
      <c r="K23" s="377">
        <v>7</v>
      </c>
      <c r="L23" s="22">
        <v>7</v>
      </c>
      <c r="M23" s="746">
        <v>8</v>
      </c>
      <c r="N23" s="746"/>
      <c r="O23" s="746"/>
      <c r="P23" s="746">
        <v>9</v>
      </c>
      <c r="Q23" s="746"/>
      <c r="R23" s="21">
        <v>10</v>
      </c>
      <c r="S23" s="22">
        <v>11</v>
      </c>
    </row>
    <row r="24" spans="1:19" ht="15" customHeight="1" x14ac:dyDescent="0.2">
      <c r="A24" s="18">
        <v>1</v>
      </c>
      <c r="B24" s="19" t="s">
        <v>40</v>
      </c>
      <c r="C24" s="765" t="s">
        <v>694</v>
      </c>
      <c r="D24" s="765"/>
      <c r="E24" s="445" t="s">
        <v>42</v>
      </c>
      <c r="F24" s="739" t="s">
        <v>43</v>
      </c>
      <c r="G24" s="739"/>
      <c r="H24" s="849" t="s">
        <v>753</v>
      </c>
      <c r="I24" s="850"/>
      <c r="J24" s="18" t="s">
        <v>786</v>
      </c>
      <c r="K24" s="24" t="s">
        <v>775</v>
      </c>
      <c r="L24" s="24" t="s">
        <v>42</v>
      </c>
      <c r="M24" s="833" t="s">
        <v>43</v>
      </c>
      <c r="N24" s="877"/>
      <c r="O24" s="834"/>
      <c r="P24" s="849" t="s">
        <v>968</v>
      </c>
      <c r="Q24" s="850"/>
      <c r="R24" s="20" t="s">
        <v>25</v>
      </c>
      <c r="S24" s="20" t="s">
        <v>25</v>
      </c>
    </row>
    <row r="25" spans="1:19" ht="15" x14ac:dyDescent="0.2">
      <c r="A25" s="18">
        <v>2</v>
      </c>
      <c r="B25" s="19" t="s">
        <v>40</v>
      </c>
      <c r="C25" s="765" t="s">
        <v>695</v>
      </c>
      <c r="D25" s="765"/>
      <c r="E25" s="445" t="s">
        <v>42</v>
      </c>
      <c r="F25" s="739" t="s">
        <v>45</v>
      </c>
      <c r="G25" s="739"/>
      <c r="H25" s="851"/>
      <c r="I25" s="852"/>
      <c r="J25" s="18" t="s">
        <v>786</v>
      </c>
      <c r="K25" s="24" t="s">
        <v>776</v>
      </c>
      <c r="L25" s="24" t="s">
        <v>42</v>
      </c>
      <c r="M25" s="833" t="s">
        <v>45</v>
      </c>
      <c r="N25" s="877"/>
      <c r="O25" s="834"/>
      <c r="P25" s="851"/>
      <c r="Q25" s="852"/>
      <c r="R25" s="20" t="s">
        <v>25</v>
      </c>
      <c r="S25" s="20" t="s">
        <v>25</v>
      </c>
    </row>
    <row r="26" spans="1:19" ht="15" x14ac:dyDescent="0.2">
      <c r="A26" s="18">
        <v>3</v>
      </c>
      <c r="B26" s="19" t="s">
        <v>40</v>
      </c>
      <c r="C26" s="765" t="s">
        <v>696</v>
      </c>
      <c r="D26" s="765"/>
      <c r="E26" s="445" t="s">
        <v>42</v>
      </c>
      <c r="F26" s="739" t="s">
        <v>47</v>
      </c>
      <c r="G26" s="739"/>
      <c r="H26" s="851"/>
      <c r="I26" s="852"/>
      <c r="J26" s="18" t="s">
        <v>786</v>
      </c>
      <c r="K26" s="24" t="s">
        <v>777</v>
      </c>
      <c r="L26" s="24" t="s">
        <v>42</v>
      </c>
      <c r="M26" s="833" t="s">
        <v>47</v>
      </c>
      <c r="N26" s="877"/>
      <c r="O26" s="834"/>
      <c r="P26" s="851"/>
      <c r="Q26" s="852"/>
      <c r="R26" s="20" t="s">
        <v>25</v>
      </c>
      <c r="S26" s="20" t="s">
        <v>25</v>
      </c>
    </row>
    <row r="27" spans="1:19" ht="15" x14ac:dyDescent="0.2">
      <c r="A27" s="18">
        <v>4</v>
      </c>
      <c r="B27" s="19" t="s">
        <v>40</v>
      </c>
      <c r="C27" s="765" t="s">
        <v>697</v>
      </c>
      <c r="D27" s="765"/>
      <c r="E27" s="445" t="s">
        <v>42</v>
      </c>
      <c r="F27" s="739" t="s">
        <v>49</v>
      </c>
      <c r="G27" s="739"/>
      <c r="H27" s="851"/>
      <c r="I27" s="852"/>
      <c r="J27" s="18" t="s">
        <v>786</v>
      </c>
      <c r="K27" s="24" t="s">
        <v>778</v>
      </c>
      <c r="L27" s="24" t="s">
        <v>42</v>
      </c>
      <c r="M27" s="833" t="s">
        <v>49</v>
      </c>
      <c r="N27" s="877"/>
      <c r="O27" s="834"/>
      <c r="P27" s="851"/>
      <c r="Q27" s="852"/>
      <c r="R27" s="20" t="s">
        <v>25</v>
      </c>
      <c r="S27" s="20" t="s">
        <v>25</v>
      </c>
    </row>
    <row r="28" spans="1:19" ht="15" customHeight="1" x14ac:dyDescent="0.2">
      <c r="A28" s="18">
        <v>5</v>
      </c>
      <c r="B28" s="19" t="s">
        <v>40</v>
      </c>
      <c r="C28" s="765" t="s">
        <v>698</v>
      </c>
      <c r="D28" s="765"/>
      <c r="E28" s="316" t="s">
        <v>42</v>
      </c>
      <c r="F28" s="739" t="s">
        <v>646</v>
      </c>
      <c r="G28" s="739"/>
      <c r="H28" s="851"/>
      <c r="I28" s="852"/>
      <c r="J28" s="18" t="s">
        <v>786</v>
      </c>
      <c r="K28" s="24" t="s">
        <v>779</v>
      </c>
      <c r="L28" s="24" t="s">
        <v>42</v>
      </c>
      <c r="M28" s="833" t="s">
        <v>646</v>
      </c>
      <c r="N28" s="877"/>
      <c r="O28" s="834"/>
      <c r="P28" s="851"/>
      <c r="Q28" s="852"/>
      <c r="R28" s="20" t="s">
        <v>25</v>
      </c>
      <c r="S28" s="20" t="s">
        <v>25</v>
      </c>
    </row>
    <row r="29" spans="1:19" ht="15" x14ac:dyDescent="0.2">
      <c r="A29" s="18">
        <v>6</v>
      </c>
      <c r="B29" s="19" t="s">
        <v>40</v>
      </c>
      <c r="C29" s="765" t="s">
        <v>699</v>
      </c>
      <c r="D29" s="765"/>
      <c r="E29" s="445" t="s">
        <v>42</v>
      </c>
      <c r="F29" s="739" t="s">
        <v>648</v>
      </c>
      <c r="G29" s="739"/>
      <c r="H29" s="851"/>
      <c r="I29" s="852"/>
      <c r="J29" s="18" t="s">
        <v>786</v>
      </c>
      <c r="K29" s="24" t="s">
        <v>780</v>
      </c>
      <c r="L29" s="24" t="s">
        <v>42</v>
      </c>
      <c r="M29" s="833" t="s">
        <v>648</v>
      </c>
      <c r="N29" s="877"/>
      <c r="O29" s="834"/>
      <c r="P29" s="851"/>
      <c r="Q29" s="852"/>
      <c r="R29" s="20" t="s">
        <v>25</v>
      </c>
      <c r="S29" s="20" t="s">
        <v>25</v>
      </c>
    </row>
    <row r="30" spans="1:19" ht="15" x14ac:dyDescent="0.2">
      <c r="A30" s="18">
        <v>7</v>
      </c>
      <c r="B30" s="19" t="s">
        <v>40</v>
      </c>
      <c r="C30" s="765" t="s">
        <v>700</v>
      </c>
      <c r="D30" s="765"/>
      <c r="E30" s="445" t="s">
        <v>42</v>
      </c>
      <c r="F30" s="739" t="s">
        <v>649</v>
      </c>
      <c r="G30" s="739"/>
      <c r="H30" s="851"/>
      <c r="I30" s="852"/>
      <c r="J30" s="18" t="s">
        <v>786</v>
      </c>
      <c r="K30" s="24" t="s">
        <v>781</v>
      </c>
      <c r="L30" s="24" t="s">
        <v>42</v>
      </c>
      <c r="M30" s="833" t="s">
        <v>649</v>
      </c>
      <c r="N30" s="877"/>
      <c r="O30" s="834"/>
      <c r="P30" s="851"/>
      <c r="Q30" s="852"/>
      <c r="R30" s="20" t="s">
        <v>25</v>
      </c>
      <c r="S30" s="20" t="s">
        <v>25</v>
      </c>
    </row>
    <row r="31" spans="1:19" ht="15" x14ac:dyDescent="0.2">
      <c r="A31" s="18">
        <v>8</v>
      </c>
      <c r="B31" s="19" t="s">
        <v>40</v>
      </c>
      <c r="C31" s="765" t="s">
        <v>701</v>
      </c>
      <c r="D31" s="765"/>
      <c r="E31" s="445" t="s">
        <v>42</v>
      </c>
      <c r="F31" s="739" t="s">
        <v>650</v>
      </c>
      <c r="G31" s="739"/>
      <c r="H31" s="851"/>
      <c r="I31" s="852"/>
      <c r="J31" s="18" t="s">
        <v>786</v>
      </c>
      <c r="K31" s="24" t="s">
        <v>782</v>
      </c>
      <c r="L31" s="24" t="s">
        <v>42</v>
      </c>
      <c r="M31" s="833" t="s">
        <v>650</v>
      </c>
      <c r="N31" s="877"/>
      <c r="O31" s="834"/>
      <c r="P31" s="851"/>
      <c r="Q31" s="852"/>
      <c r="R31" s="20" t="s">
        <v>25</v>
      </c>
      <c r="S31" s="20" t="s">
        <v>25</v>
      </c>
    </row>
    <row r="32" spans="1:19" ht="15" customHeight="1" x14ac:dyDescent="0.2">
      <c r="A32" s="18">
        <v>9</v>
      </c>
      <c r="B32" s="19" t="s">
        <v>40</v>
      </c>
      <c r="C32" s="765" t="s">
        <v>702</v>
      </c>
      <c r="D32" s="765"/>
      <c r="E32" s="445" t="s">
        <v>42</v>
      </c>
      <c r="F32" s="739" t="s">
        <v>651</v>
      </c>
      <c r="G32" s="739"/>
      <c r="H32" s="851"/>
      <c r="I32" s="852"/>
      <c r="J32" s="18" t="s">
        <v>786</v>
      </c>
      <c r="K32" s="24" t="s">
        <v>783</v>
      </c>
      <c r="L32" s="24" t="s">
        <v>42</v>
      </c>
      <c r="M32" s="833" t="s">
        <v>651</v>
      </c>
      <c r="N32" s="877"/>
      <c r="O32" s="834"/>
      <c r="P32" s="851"/>
      <c r="Q32" s="852"/>
      <c r="R32" s="20" t="s">
        <v>25</v>
      </c>
      <c r="S32" s="20" t="s">
        <v>25</v>
      </c>
    </row>
    <row r="33" spans="1:19" ht="15" x14ac:dyDescent="0.2">
      <c r="A33" s="18">
        <v>10</v>
      </c>
      <c r="B33" s="19" t="s">
        <v>40</v>
      </c>
      <c r="C33" s="765" t="s">
        <v>703</v>
      </c>
      <c r="D33" s="765"/>
      <c r="E33" s="445" t="s">
        <v>42</v>
      </c>
      <c r="F33" s="739" t="s">
        <v>652</v>
      </c>
      <c r="G33" s="739"/>
      <c r="H33" s="851"/>
      <c r="I33" s="852"/>
      <c r="J33" s="18" t="s">
        <v>786</v>
      </c>
      <c r="K33" s="24" t="s">
        <v>784</v>
      </c>
      <c r="L33" s="24" t="s">
        <v>42</v>
      </c>
      <c r="M33" s="833" t="s">
        <v>652</v>
      </c>
      <c r="N33" s="877"/>
      <c r="O33" s="834"/>
      <c r="P33" s="851"/>
      <c r="Q33" s="852"/>
      <c r="R33" s="20" t="s">
        <v>25</v>
      </c>
      <c r="S33" s="20" t="s">
        <v>25</v>
      </c>
    </row>
    <row r="34" spans="1:19" ht="15" x14ac:dyDescent="0.2">
      <c r="A34" s="18">
        <v>11</v>
      </c>
      <c r="B34" s="19" t="s">
        <v>40</v>
      </c>
      <c r="C34" s="765" t="s">
        <v>704</v>
      </c>
      <c r="D34" s="765"/>
      <c r="E34" s="445" t="s">
        <v>42</v>
      </c>
      <c r="F34" s="739" t="s">
        <v>653</v>
      </c>
      <c r="G34" s="739"/>
      <c r="H34" s="851"/>
      <c r="I34" s="852"/>
      <c r="J34" s="18" t="s">
        <v>786</v>
      </c>
      <c r="K34" s="24" t="s">
        <v>785</v>
      </c>
      <c r="L34" s="24" t="s">
        <v>42</v>
      </c>
      <c r="M34" s="833" t="s">
        <v>653</v>
      </c>
      <c r="N34" s="877"/>
      <c r="O34" s="834"/>
      <c r="P34" s="851"/>
      <c r="Q34" s="852"/>
      <c r="R34" s="20" t="s">
        <v>25</v>
      </c>
      <c r="S34" s="20" t="s">
        <v>25</v>
      </c>
    </row>
    <row r="35" spans="1:19" ht="15" x14ac:dyDescent="0.2">
      <c r="A35" s="18">
        <v>12</v>
      </c>
      <c r="B35" s="19" t="s">
        <v>40</v>
      </c>
      <c r="C35" s="765" t="s">
        <v>757</v>
      </c>
      <c r="D35" s="765"/>
      <c r="E35" s="445" t="s">
        <v>42</v>
      </c>
      <c r="F35" s="739" t="s">
        <v>654</v>
      </c>
      <c r="G35" s="739"/>
      <c r="H35" s="851"/>
      <c r="I35" s="852"/>
      <c r="J35" s="18" t="s">
        <v>786</v>
      </c>
      <c r="K35" s="24" t="s">
        <v>995</v>
      </c>
      <c r="L35" s="24" t="s">
        <v>42</v>
      </c>
      <c r="M35" s="833" t="s">
        <v>654</v>
      </c>
      <c r="N35" s="877"/>
      <c r="O35" s="834"/>
      <c r="P35" s="851"/>
      <c r="Q35" s="852"/>
      <c r="R35" s="20" t="s">
        <v>25</v>
      </c>
      <c r="S35" s="20" t="s">
        <v>25</v>
      </c>
    </row>
    <row r="36" spans="1:19" ht="15" x14ac:dyDescent="0.2">
      <c r="A36" s="18">
        <v>13</v>
      </c>
      <c r="B36" s="19" t="s">
        <v>40</v>
      </c>
      <c r="C36" s="765" t="s">
        <v>758</v>
      </c>
      <c r="D36" s="765"/>
      <c r="E36" s="445" t="s">
        <v>42</v>
      </c>
      <c r="F36" s="739" t="s">
        <v>682</v>
      </c>
      <c r="G36" s="739"/>
      <c r="H36" s="851"/>
      <c r="I36" s="852"/>
      <c r="J36" s="18" t="s">
        <v>786</v>
      </c>
      <c r="K36" s="24" t="s">
        <v>996</v>
      </c>
      <c r="L36" s="24" t="s">
        <v>42</v>
      </c>
      <c r="M36" s="833" t="s">
        <v>682</v>
      </c>
      <c r="N36" s="877"/>
      <c r="O36" s="834"/>
      <c r="P36" s="851"/>
      <c r="Q36" s="852"/>
      <c r="R36" s="20" t="s">
        <v>25</v>
      </c>
      <c r="S36" s="20" t="s">
        <v>25</v>
      </c>
    </row>
    <row r="37" spans="1:19" ht="15" x14ac:dyDescent="0.2">
      <c r="A37" s="18">
        <v>14</v>
      </c>
      <c r="B37" s="19" t="s">
        <v>40</v>
      </c>
      <c r="C37" s="765" t="s">
        <v>759</v>
      </c>
      <c r="D37" s="765"/>
      <c r="E37" s="445" t="s">
        <v>42</v>
      </c>
      <c r="F37" s="739" t="s">
        <v>683</v>
      </c>
      <c r="G37" s="739"/>
      <c r="H37" s="851"/>
      <c r="I37" s="852"/>
      <c r="J37" s="18" t="s">
        <v>786</v>
      </c>
      <c r="K37" s="24" t="s">
        <v>997</v>
      </c>
      <c r="L37" s="24" t="s">
        <v>42</v>
      </c>
      <c r="M37" s="833" t="s">
        <v>683</v>
      </c>
      <c r="N37" s="877"/>
      <c r="O37" s="834"/>
      <c r="P37" s="851"/>
      <c r="Q37" s="852"/>
      <c r="R37" s="20" t="s">
        <v>25</v>
      </c>
      <c r="S37" s="20" t="s">
        <v>25</v>
      </c>
    </row>
    <row r="38" spans="1:19" ht="15" x14ac:dyDescent="0.2">
      <c r="A38" s="18">
        <v>15</v>
      </c>
      <c r="B38" s="19" t="s">
        <v>40</v>
      </c>
      <c r="C38" s="765" t="s">
        <v>760</v>
      </c>
      <c r="D38" s="765"/>
      <c r="E38" s="445" t="s">
        <v>42</v>
      </c>
      <c r="F38" s="739" t="s">
        <v>684</v>
      </c>
      <c r="G38" s="739"/>
      <c r="H38" s="851"/>
      <c r="I38" s="852"/>
      <c r="J38" s="18" t="s">
        <v>786</v>
      </c>
      <c r="K38" s="24" t="s">
        <v>998</v>
      </c>
      <c r="L38" s="24" t="s">
        <v>42</v>
      </c>
      <c r="M38" s="833" t="s">
        <v>684</v>
      </c>
      <c r="N38" s="877"/>
      <c r="O38" s="834"/>
      <c r="P38" s="851"/>
      <c r="Q38" s="852"/>
      <c r="R38" s="20" t="s">
        <v>25</v>
      </c>
      <c r="S38" s="20" t="s">
        <v>25</v>
      </c>
    </row>
    <row r="39" spans="1:19" ht="15" x14ac:dyDescent="0.2">
      <c r="A39" s="18">
        <v>16</v>
      </c>
      <c r="B39" s="19" t="s">
        <v>40</v>
      </c>
      <c r="C39" s="765" t="s">
        <v>761</v>
      </c>
      <c r="D39" s="765"/>
      <c r="E39" s="445" t="s">
        <v>42</v>
      </c>
      <c r="F39" s="739" t="s">
        <v>766</v>
      </c>
      <c r="G39" s="739"/>
      <c r="H39" s="851"/>
      <c r="I39" s="852"/>
      <c r="J39" s="18" t="s">
        <v>786</v>
      </c>
      <c r="K39" s="24" t="s">
        <v>999</v>
      </c>
      <c r="L39" s="24" t="s">
        <v>42</v>
      </c>
      <c r="M39" s="833" t="s">
        <v>766</v>
      </c>
      <c r="N39" s="877"/>
      <c r="O39" s="834"/>
      <c r="P39" s="851"/>
      <c r="Q39" s="852"/>
      <c r="R39" s="20" t="s">
        <v>25</v>
      </c>
      <c r="S39" s="20" t="s">
        <v>25</v>
      </c>
    </row>
    <row r="40" spans="1:19" ht="15" x14ac:dyDescent="0.2">
      <c r="A40" s="18">
        <v>17</v>
      </c>
      <c r="B40" s="19" t="s">
        <v>40</v>
      </c>
      <c r="C40" s="765" t="s">
        <v>762</v>
      </c>
      <c r="D40" s="765"/>
      <c r="E40" s="445" t="s">
        <v>42</v>
      </c>
      <c r="F40" s="739" t="s">
        <v>767</v>
      </c>
      <c r="G40" s="739"/>
      <c r="H40" s="851"/>
      <c r="I40" s="852"/>
      <c r="J40" s="18" t="s">
        <v>786</v>
      </c>
      <c r="K40" s="24" t="s">
        <v>1000</v>
      </c>
      <c r="L40" s="24" t="s">
        <v>42</v>
      </c>
      <c r="M40" s="833" t="s">
        <v>767</v>
      </c>
      <c r="N40" s="877"/>
      <c r="O40" s="834"/>
      <c r="P40" s="851"/>
      <c r="Q40" s="852"/>
      <c r="R40" s="20" t="s">
        <v>25</v>
      </c>
      <c r="S40" s="20" t="s">
        <v>25</v>
      </c>
    </row>
    <row r="41" spans="1:19" ht="15" x14ac:dyDescent="0.2">
      <c r="A41" s="18">
        <v>18</v>
      </c>
      <c r="B41" s="19" t="s">
        <v>40</v>
      </c>
      <c r="C41" s="765" t="s">
        <v>763</v>
      </c>
      <c r="D41" s="765"/>
      <c r="E41" s="445" t="s">
        <v>42</v>
      </c>
      <c r="F41" s="739" t="s">
        <v>768</v>
      </c>
      <c r="G41" s="739"/>
      <c r="H41" s="851"/>
      <c r="I41" s="852"/>
      <c r="J41" s="18" t="s">
        <v>786</v>
      </c>
      <c r="K41" s="24" t="s">
        <v>1001</v>
      </c>
      <c r="L41" s="24" t="s">
        <v>42</v>
      </c>
      <c r="M41" s="833" t="s">
        <v>768</v>
      </c>
      <c r="N41" s="877"/>
      <c r="O41" s="834"/>
      <c r="P41" s="851"/>
      <c r="Q41" s="852"/>
      <c r="R41" s="20" t="s">
        <v>25</v>
      </c>
      <c r="S41" s="20" t="s">
        <v>25</v>
      </c>
    </row>
    <row r="42" spans="1:19" ht="15" x14ac:dyDescent="0.2">
      <c r="A42" s="18">
        <v>19</v>
      </c>
      <c r="B42" s="19" t="s">
        <v>40</v>
      </c>
      <c r="C42" s="765" t="s">
        <v>764</v>
      </c>
      <c r="D42" s="765"/>
      <c r="E42" s="445" t="s">
        <v>42</v>
      </c>
      <c r="F42" s="739" t="s">
        <v>769</v>
      </c>
      <c r="G42" s="739"/>
      <c r="H42" s="851"/>
      <c r="I42" s="852"/>
      <c r="J42" s="18" t="s">
        <v>786</v>
      </c>
      <c r="K42" s="24" t="s">
        <v>1002</v>
      </c>
      <c r="L42" s="24" t="s">
        <v>42</v>
      </c>
      <c r="M42" s="833" t="s">
        <v>769</v>
      </c>
      <c r="N42" s="877"/>
      <c r="O42" s="834"/>
      <c r="P42" s="851"/>
      <c r="Q42" s="852"/>
      <c r="R42" s="20" t="s">
        <v>25</v>
      </c>
      <c r="S42" s="20" t="s">
        <v>25</v>
      </c>
    </row>
    <row r="43" spans="1:19" ht="15" x14ac:dyDescent="0.2">
      <c r="A43" s="18">
        <v>20</v>
      </c>
      <c r="B43" s="19" t="s">
        <v>40</v>
      </c>
      <c r="C43" s="765" t="s">
        <v>765</v>
      </c>
      <c r="D43" s="765"/>
      <c r="E43" s="445" t="s">
        <v>42</v>
      </c>
      <c r="F43" s="739" t="s">
        <v>770</v>
      </c>
      <c r="G43" s="739"/>
      <c r="H43" s="853"/>
      <c r="I43" s="854"/>
      <c r="J43" s="18" t="s">
        <v>786</v>
      </c>
      <c r="K43" s="24" t="s">
        <v>1003</v>
      </c>
      <c r="L43" s="24" t="s">
        <v>42</v>
      </c>
      <c r="M43" s="833" t="s">
        <v>770</v>
      </c>
      <c r="N43" s="877"/>
      <c r="O43" s="834"/>
      <c r="P43" s="853"/>
      <c r="Q43" s="854"/>
      <c r="R43" s="20" t="s">
        <v>25</v>
      </c>
      <c r="S43" s="20" t="s">
        <v>25</v>
      </c>
    </row>
    <row r="44" spans="1:19" ht="15" hidden="1" x14ac:dyDescent="0.2">
      <c r="A44" s="18">
        <v>21</v>
      </c>
      <c r="B44" s="19"/>
      <c r="C44" s="765"/>
      <c r="D44" s="765"/>
      <c r="E44" s="316"/>
      <c r="F44" s="739"/>
      <c r="G44" s="739"/>
      <c r="H44" s="18"/>
      <c r="I44" s="739"/>
      <c r="J44" s="739"/>
      <c r="K44" s="739"/>
      <c r="L44" s="24" t="s">
        <v>42</v>
      </c>
      <c r="M44" s="833"/>
      <c r="N44" s="877"/>
      <c r="O44" s="834"/>
      <c r="P44" s="739"/>
      <c r="Q44" s="739"/>
      <c r="R44" s="317"/>
      <c r="S44" s="317"/>
    </row>
    <row r="45" spans="1:19" ht="15" hidden="1" x14ac:dyDescent="0.2">
      <c r="A45" s="18">
        <v>22</v>
      </c>
      <c r="B45" s="19"/>
      <c r="C45" s="765"/>
      <c r="D45" s="765"/>
      <c r="E45" s="316"/>
      <c r="F45" s="739"/>
      <c r="G45" s="739"/>
      <c r="H45" s="18"/>
      <c r="I45" s="739"/>
      <c r="J45" s="739"/>
      <c r="K45" s="739"/>
      <c r="L45" s="24" t="s">
        <v>42</v>
      </c>
      <c r="M45" s="833"/>
      <c r="N45" s="877"/>
      <c r="O45" s="834"/>
      <c r="P45" s="739"/>
      <c r="Q45" s="739"/>
      <c r="R45" s="317"/>
      <c r="S45" s="317"/>
    </row>
    <row r="46" spans="1:19" ht="15" hidden="1" x14ac:dyDescent="0.2">
      <c r="A46" s="18">
        <v>23</v>
      </c>
      <c r="B46" s="19"/>
      <c r="C46" s="765"/>
      <c r="D46" s="765"/>
      <c r="E46" s="316"/>
      <c r="F46" s="739"/>
      <c r="G46" s="739"/>
      <c r="H46" s="18"/>
      <c r="I46" s="739"/>
      <c r="J46" s="739"/>
      <c r="K46" s="739"/>
      <c r="L46" s="24" t="s">
        <v>42</v>
      </c>
      <c r="M46" s="833"/>
      <c r="N46" s="877"/>
      <c r="O46" s="834"/>
      <c r="P46" s="739"/>
      <c r="Q46" s="739"/>
      <c r="R46" s="317"/>
      <c r="S46" s="317"/>
    </row>
    <row r="47" spans="1:19" ht="15" hidden="1" x14ac:dyDescent="0.2">
      <c r="A47" s="18">
        <v>24</v>
      </c>
      <c r="B47" s="19"/>
      <c r="C47" s="765"/>
      <c r="D47" s="765"/>
      <c r="E47" s="316"/>
      <c r="F47" s="739"/>
      <c r="G47" s="739"/>
      <c r="H47" s="18"/>
      <c r="I47" s="739"/>
      <c r="J47" s="739"/>
      <c r="K47" s="739"/>
      <c r="L47" s="24" t="s">
        <v>42</v>
      </c>
      <c r="M47" s="833"/>
      <c r="N47" s="877"/>
      <c r="O47" s="834"/>
      <c r="P47" s="739"/>
      <c r="Q47" s="739"/>
      <c r="R47" s="317"/>
      <c r="S47" s="317"/>
    </row>
    <row r="48" spans="1:19" ht="15" hidden="1" x14ac:dyDescent="0.2">
      <c r="A48" s="18">
        <v>25</v>
      </c>
      <c r="B48" s="19"/>
      <c r="C48" s="765"/>
      <c r="D48" s="765"/>
      <c r="E48" s="316"/>
      <c r="F48" s="737"/>
      <c r="G48" s="738"/>
      <c r="H48" s="18"/>
      <c r="I48" s="739"/>
      <c r="J48" s="739"/>
      <c r="K48" s="739"/>
      <c r="L48" s="24" t="s">
        <v>42</v>
      </c>
      <c r="M48" s="833"/>
      <c r="N48" s="877"/>
      <c r="O48" s="834"/>
      <c r="P48" s="739"/>
      <c r="Q48" s="739"/>
      <c r="R48" s="317"/>
      <c r="S48" s="317"/>
    </row>
    <row r="49" spans="1:19" ht="15" hidden="1" x14ac:dyDescent="0.2">
      <c r="A49" s="18">
        <v>26</v>
      </c>
      <c r="B49" s="19"/>
      <c r="C49" s="765"/>
      <c r="D49" s="765"/>
      <c r="E49" s="316"/>
      <c r="F49" s="737"/>
      <c r="G49" s="738"/>
      <c r="H49" s="18"/>
      <c r="I49" s="739"/>
      <c r="J49" s="739"/>
      <c r="K49" s="739"/>
      <c r="L49" s="24" t="s">
        <v>42</v>
      </c>
      <c r="M49" s="833"/>
      <c r="N49" s="877"/>
      <c r="O49" s="834"/>
      <c r="P49" s="739"/>
      <c r="Q49" s="739"/>
      <c r="R49" s="317"/>
      <c r="S49" s="317"/>
    </row>
    <row r="50" spans="1:19" ht="15" hidden="1" x14ac:dyDescent="0.2">
      <c r="A50" s="18">
        <v>27</v>
      </c>
      <c r="B50" s="19"/>
      <c r="C50" s="765"/>
      <c r="D50" s="765"/>
      <c r="E50" s="316"/>
      <c r="F50" s="737"/>
      <c r="G50" s="738"/>
      <c r="H50" s="18"/>
      <c r="I50" s="739"/>
      <c r="J50" s="739"/>
      <c r="K50" s="739"/>
      <c r="L50" s="24" t="s">
        <v>42</v>
      </c>
      <c r="M50" s="833"/>
      <c r="N50" s="877"/>
      <c r="O50" s="834"/>
      <c r="P50" s="739"/>
      <c r="Q50" s="739"/>
      <c r="R50" s="317"/>
      <c r="S50" s="317"/>
    </row>
    <row r="51" spans="1:19" ht="15" hidden="1" x14ac:dyDescent="0.2">
      <c r="A51" s="18">
        <v>28</v>
      </c>
      <c r="B51" s="19"/>
      <c r="C51" s="765"/>
      <c r="D51" s="765"/>
      <c r="E51" s="316"/>
      <c r="F51" s="737"/>
      <c r="G51" s="738"/>
      <c r="H51" s="18"/>
      <c r="I51" s="739"/>
      <c r="J51" s="739"/>
      <c r="K51" s="739"/>
      <c r="L51" s="24" t="s">
        <v>42</v>
      </c>
      <c r="M51" s="833"/>
      <c r="N51" s="877"/>
      <c r="O51" s="834"/>
      <c r="P51" s="739"/>
      <c r="Q51" s="739"/>
      <c r="R51" s="317"/>
      <c r="S51" s="317"/>
    </row>
    <row r="52" spans="1:19" ht="15" hidden="1" x14ac:dyDescent="0.2">
      <c r="A52" s="18">
        <v>29</v>
      </c>
      <c r="B52" s="19"/>
      <c r="C52" s="765"/>
      <c r="D52" s="765"/>
      <c r="E52" s="316"/>
      <c r="F52" s="737"/>
      <c r="G52" s="738"/>
      <c r="H52" s="18"/>
      <c r="I52" s="739"/>
      <c r="J52" s="739"/>
      <c r="K52" s="739"/>
      <c r="L52" s="24" t="s">
        <v>42</v>
      </c>
      <c r="M52" s="833"/>
      <c r="N52" s="877"/>
      <c r="O52" s="834"/>
      <c r="P52" s="739"/>
      <c r="Q52" s="739"/>
      <c r="R52" s="317"/>
      <c r="S52" s="317"/>
    </row>
    <row r="53" spans="1:19" ht="15" hidden="1" x14ac:dyDescent="0.2">
      <c r="A53" s="18">
        <v>30</v>
      </c>
      <c r="B53" s="19"/>
      <c r="C53" s="765"/>
      <c r="D53" s="765"/>
      <c r="E53" s="316"/>
      <c r="F53" s="737"/>
      <c r="G53" s="738"/>
      <c r="H53" s="18"/>
      <c r="I53" s="739"/>
      <c r="J53" s="739"/>
      <c r="K53" s="739"/>
      <c r="L53" s="24" t="s">
        <v>42</v>
      </c>
      <c r="M53" s="833"/>
      <c r="N53" s="877"/>
      <c r="O53" s="834"/>
      <c r="P53" s="739"/>
      <c r="Q53" s="739"/>
      <c r="R53" s="317"/>
      <c r="S53" s="317"/>
    </row>
    <row r="54" spans="1:19" ht="15" hidden="1" x14ac:dyDescent="0.2">
      <c r="A54" s="18">
        <v>31</v>
      </c>
      <c r="B54" s="19"/>
      <c r="C54" s="765"/>
      <c r="D54" s="765"/>
      <c r="E54" s="316"/>
      <c r="F54" s="737"/>
      <c r="G54" s="738"/>
      <c r="H54" s="18"/>
      <c r="I54" s="739"/>
      <c r="J54" s="739"/>
      <c r="K54" s="739"/>
      <c r="L54" s="24" t="s">
        <v>42</v>
      </c>
      <c r="M54" s="833"/>
      <c r="N54" s="877"/>
      <c r="O54" s="834"/>
      <c r="P54" s="739"/>
      <c r="Q54" s="739"/>
      <c r="R54" s="317"/>
      <c r="S54" s="317"/>
    </row>
    <row r="55" spans="1:19" ht="15" hidden="1" x14ac:dyDescent="0.2">
      <c r="A55" s="18">
        <v>32</v>
      </c>
      <c r="B55" s="19"/>
      <c r="C55" s="765"/>
      <c r="D55" s="765"/>
      <c r="E55" s="316"/>
      <c r="F55" s="737"/>
      <c r="G55" s="738"/>
      <c r="H55" s="18"/>
      <c r="I55" s="739"/>
      <c r="J55" s="739"/>
      <c r="K55" s="739"/>
      <c r="L55" s="24" t="s">
        <v>42</v>
      </c>
      <c r="M55" s="833"/>
      <c r="N55" s="877"/>
      <c r="O55" s="834"/>
      <c r="P55" s="739"/>
      <c r="Q55" s="739"/>
      <c r="R55" s="317"/>
      <c r="S55" s="317"/>
    </row>
    <row r="56" spans="1:19" ht="15" hidden="1" x14ac:dyDescent="0.2">
      <c r="A56" s="18">
        <v>33</v>
      </c>
      <c r="B56" s="19"/>
      <c r="C56" s="765"/>
      <c r="D56" s="765"/>
      <c r="E56" s="316"/>
      <c r="F56" s="737"/>
      <c r="G56" s="738"/>
      <c r="H56" s="18"/>
      <c r="I56" s="739"/>
      <c r="J56" s="739"/>
      <c r="K56" s="739"/>
      <c r="L56" s="24" t="s">
        <v>42</v>
      </c>
      <c r="M56" s="833"/>
      <c r="N56" s="877"/>
      <c r="O56" s="834"/>
      <c r="P56" s="739"/>
      <c r="Q56" s="739"/>
      <c r="R56" s="317"/>
      <c r="S56" s="317"/>
    </row>
    <row r="57" spans="1:19" ht="15" hidden="1" x14ac:dyDescent="0.2">
      <c r="A57" s="18">
        <v>34</v>
      </c>
      <c r="B57" s="19"/>
      <c r="C57" s="765"/>
      <c r="D57" s="765"/>
      <c r="E57" s="316"/>
      <c r="F57" s="737"/>
      <c r="G57" s="738"/>
      <c r="H57" s="18"/>
      <c r="I57" s="739"/>
      <c r="J57" s="739"/>
      <c r="K57" s="739"/>
      <c r="L57" s="24" t="s">
        <v>42</v>
      </c>
      <c r="M57" s="833"/>
      <c r="N57" s="877"/>
      <c r="O57" s="834"/>
      <c r="P57" s="739"/>
      <c r="Q57" s="739"/>
      <c r="R57" s="317"/>
      <c r="S57" s="317"/>
    </row>
    <row r="58" spans="1:19" ht="15" hidden="1" x14ac:dyDescent="0.2">
      <c r="A58" s="18">
        <v>35</v>
      </c>
      <c r="B58" s="19"/>
      <c r="C58" s="765"/>
      <c r="D58" s="765"/>
      <c r="E58" s="316"/>
      <c r="F58" s="737"/>
      <c r="G58" s="738"/>
      <c r="H58" s="18"/>
      <c r="I58" s="739"/>
      <c r="J58" s="739"/>
      <c r="K58" s="739"/>
      <c r="L58" s="24" t="s">
        <v>42</v>
      </c>
      <c r="M58" s="833"/>
      <c r="N58" s="877"/>
      <c r="O58" s="834"/>
      <c r="P58" s="739"/>
      <c r="Q58" s="739"/>
      <c r="R58" s="317"/>
      <c r="S58" s="317"/>
    </row>
    <row r="59" spans="1:19" ht="15" hidden="1" x14ac:dyDescent="0.2">
      <c r="A59" s="18">
        <v>36</v>
      </c>
      <c r="B59" s="19"/>
      <c r="C59" s="765"/>
      <c r="D59" s="765"/>
      <c r="E59" s="316"/>
      <c r="F59" s="737"/>
      <c r="G59" s="738"/>
      <c r="H59" s="18"/>
      <c r="I59" s="739"/>
      <c r="J59" s="739"/>
      <c r="K59" s="739"/>
      <c r="L59" s="24" t="s">
        <v>42</v>
      </c>
      <c r="M59" s="833"/>
      <c r="N59" s="877"/>
      <c r="O59" s="834"/>
      <c r="P59" s="739"/>
      <c r="Q59" s="739"/>
      <c r="R59" s="317"/>
      <c r="S59" s="317"/>
    </row>
    <row r="60" spans="1:19" ht="15" hidden="1" x14ac:dyDescent="0.2">
      <c r="A60" s="18">
        <v>37</v>
      </c>
      <c r="B60" s="19"/>
      <c r="C60" s="765"/>
      <c r="D60" s="765"/>
      <c r="E60" s="316"/>
      <c r="F60" s="737"/>
      <c r="G60" s="738"/>
      <c r="H60" s="18"/>
      <c r="I60" s="739"/>
      <c r="J60" s="739"/>
      <c r="K60" s="739"/>
      <c r="L60" s="24" t="s">
        <v>42</v>
      </c>
      <c r="M60" s="833"/>
      <c r="N60" s="877"/>
      <c r="O60" s="834"/>
      <c r="P60" s="739"/>
      <c r="Q60" s="739"/>
      <c r="R60" s="317"/>
      <c r="S60" s="317"/>
    </row>
    <row r="61" spans="1:19" ht="15" hidden="1" x14ac:dyDescent="0.2">
      <c r="A61" s="18">
        <v>38</v>
      </c>
      <c r="B61" s="19"/>
      <c r="C61" s="765"/>
      <c r="D61" s="765"/>
      <c r="E61" s="316"/>
      <c r="F61" s="737"/>
      <c r="G61" s="738"/>
      <c r="H61" s="18"/>
      <c r="I61" s="739"/>
      <c r="J61" s="739"/>
      <c r="K61" s="739"/>
      <c r="L61" s="24" t="s">
        <v>42</v>
      </c>
      <c r="M61" s="833"/>
      <c r="N61" s="877"/>
      <c r="O61" s="834"/>
      <c r="P61" s="739"/>
      <c r="Q61" s="739"/>
      <c r="R61" s="317"/>
      <c r="S61" s="317"/>
    </row>
    <row r="62" spans="1:19" ht="15" hidden="1" x14ac:dyDescent="0.2">
      <c r="A62" s="18">
        <v>39</v>
      </c>
      <c r="B62" s="19"/>
      <c r="C62" s="765"/>
      <c r="D62" s="765"/>
      <c r="E62" s="316"/>
      <c r="F62" s="737"/>
      <c r="G62" s="738"/>
      <c r="H62" s="18"/>
      <c r="I62" s="739"/>
      <c r="J62" s="739"/>
      <c r="K62" s="739"/>
      <c r="L62" s="24" t="s">
        <v>42</v>
      </c>
      <c r="M62" s="833"/>
      <c r="N62" s="877"/>
      <c r="O62" s="834"/>
      <c r="P62" s="739"/>
      <c r="Q62" s="739"/>
      <c r="R62" s="317"/>
      <c r="S62" s="317"/>
    </row>
    <row r="63" spans="1:19" ht="15" hidden="1" x14ac:dyDescent="0.2">
      <c r="A63" s="18">
        <v>40</v>
      </c>
      <c r="B63" s="19"/>
      <c r="C63" s="765"/>
      <c r="D63" s="765"/>
      <c r="E63" s="316"/>
      <c r="F63" s="737"/>
      <c r="G63" s="738"/>
      <c r="H63" s="18"/>
      <c r="I63" s="739"/>
      <c r="J63" s="739"/>
      <c r="K63" s="739"/>
      <c r="L63" s="24" t="s">
        <v>42</v>
      </c>
      <c r="M63" s="833"/>
      <c r="N63" s="877"/>
      <c r="O63" s="834"/>
      <c r="P63" s="739"/>
      <c r="Q63" s="739"/>
      <c r="R63" s="317"/>
      <c r="S63" s="317"/>
    </row>
    <row r="64" spans="1:19" ht="15" hidden="1" x14ac:dyDescent="0.2">
      <c r="A64" s="18">
        <v>41</v>
      </c>
      <c r="B64" s="19"/>
      <c r="C64" s="765"/>
      <c r="D64" s="765"/>
      <c r="E64" s="316"/>
      <c r="F64" s="737"/>
      <c r="G64" s="738"/>
      <c r="H64" s="18"/>
      <c r="I64" s="739"/>
      <c r="J64" s="739"/>
      <c r="K64" s="739"/>
      <c r="L64" s="24" t="s">
        <v>42</v>
      </c>
      <c r="M64" s="833"/>
      <c r="N64" s="877"/>
      <c r="O64" s="834"/>
      <c r="P64" s="739"/>
      <c r="Q64" s="739"/>
      <c r="R64" s="317"/>
      <c r="S64" s="317"/>
    </row>
    <row r="65" spans="1:19" ht="15" hidden="1" x14ac:dyDescent="0.2">
      <c r="A65" s="18">
        <v>42</v>
      </c>
      <c r="B65" s="19"/>
      <c r="C65" s="765"/>
      <c r="D65" s="765"/>
      <c r="E65" s="316"/>
      <c r="F65" s="737"/>
      <c r="G65" s="738"/>
      <c r="H65" s="18"/>
      <c r="I65" s="739"/>
      <c r="J65" s="739"/>
      <c r="K65" s="739"/>
      <c r="L65" s="24" t="s">
        <v>42</v>
      </c>
      <c r="M65" s="833"/>
      <c r="N65" s="877"/>
      <c r="O65" s="834"/>
      <c r="P65" s="739"/>
      <c r="Q65" s="739"/>
      <c r="R65" s="317"/>
      <c r="S65" s="317"/>
    </row>
    <row r="66" spans="1:19" ht="15" hidden="1" x14ac:dyDescent="0.2">
      <c r="A66" s="18">
        <v>43</v>
      </c>
      <c r="B66" s="19"/>
      <c r="C66" s="765"/>
      <c r="D66" s="765"/>
      <c r="E66" s="316"/>
      <c r="F66" s="737"/>
      <c r="G66" s="738"/>
      <c r="H66" s="18"/>
      <c r="I66" s="739"/>
      <c r="J66" s="739"/>
      <c r="K66" s="739"/>
      <c r="L66" s="24" t="s">
        <v>42</v>
      </c>
      <c r="M66" s="833"/>
      <c r="N66" s="877"/>
      <c r="O66" s="834"/>
      <c r="P66" s="739"/>
      <c r="Q66" s="739"/>
      <c r="R66" s="317"/>
      <c r="S66" s="317"/>
    </row>
    <row r="67" spans="1:19" ht="15" hidden="1" x14ac:dyDescent="0.2">
      <c r="A67" s="18">
        <v>44</v>
      </c>
      <c r="B67" s="19"/>
      <c r="C67" s="765"/>
      <c r="D67" s="765"/>
      <c r="E67" s="316"/>
      <c r="F67" s="737"/>
      <c r="G67" s="738"/>
      <c r="H67" s="18"/>
      <c r="I67" s="739"/>
      <c r="J67" s="739"/>
      <c r="K67" s="739"/>
      <c r="L67" s="24" t="s">
        <v>42</v>
      </c>
      <c r="M67" s="833"/>
      <c r="N67" s="877"/>
      <c r="O67" s="834"/>
      <c r="P67" s="739"/>
      <c r="Q67" s="739"/>
      <c r="R67" s="317"/>
      <c r="S67" s="317"/>
    </row>
    <row r="68" spans="1:19" ht="15" hidden="1" x14ac:dyDescent="0.2">
      <c r="A68" s="18">
        <v>45</v>
      </c>
      <c r="B68" s="19"/>
      <c r="C68" s="765"/>
      <c r="D68" s="765"/>
      <c r="E68" s="316"/>
      <c r="F68" s="737"/>
      <c r="G68" s="738"/>
      <c r="H68" s="18"/>
      <c r="I68" s="739"/>
      <c r="J68" s="739"/>
      <c r="K68" s="739"/>
      <c r="L68" s="24" t="s">
        <v>42</v>
      </c>
      <c r="M68" s="833"/>
      <c r="N68" s="877"/>
      <c r="O68" s="834"/>
      <c r="P68" s="739"/>
      <c r="Q68" s="739"/>
      <c r="R68" s="317"/>
      <c r="S68" s="317"/>
    </row>
    <row r="69" spans="1:19" ht="15" hidden="1" x14ac:dyDescent="0.2">
      <c r="A69" s="18">
        <v>46</v>
      </c>
      <c r="B69" s="19"/>
      <c r="C69" s="765"/>
      <c r="D69" s="765"/>
      <c r="E69" s="316"/>
      <c r="F69" s="737"/>
      <c r="G69" s="738"/>
      <c r="H69" s="18"/>
      <c r="I69" s="739"/>
      <c r="J69" s="739"/>
      <c r="K69" s="739"/>
      <c r="L69" s="24" t="s">
        <v>42</v>
      </c>
      <c r="M69" s="833"/>
      <c r="N69" s="877"/>
      <c r="O69" s="834"/>
      <c r="P69" s="739"/>
      <c r="Q69" s="739"/>
      <c r="R69" s="317"/>
      <c r="S69" s="317"/>
    </row>
    <row r="70" spans="1:19" ht="15" hidden="1" x14ac:dyDescent="0.2">
      <c r="A70" s="18">
        <v>47</v>
      </c>
      <c r="B70" s="19"/>
      <c r="C70" s="765"/>
      <c r="D70" s="765"/>
      <c r="E70" s="316"/>
      <c r="F70" s="737"/>
      <c r="G70" s="738"/>
      <c r="H70" s="18"/>
      <c r="I70" s="739"/>
      <c r="J70" s="739"/>
      <c r="K70" s="739"/>
      <c r="L70" s="24" t="s">
        <v>42</v>
      </c>
      <c r="M70" s="833"/>
      <c r="N70" s="877"/>
      <c r="O70" s="834"/>
      <c r="P70" s="739"/>
      <c r="Q70" s="739"/>
      <c r="R70" s="317"/>
      <c r="S70" s="317"/>
    </row>
    <row r="71" spans="1:19" ht="15" hidden="1" x14ac:dyDescent="0.2">
      <c r="A71" s="18">
        <v>48</v>
      </c>
      <c r="B71" s="19"/>
      <c r="C71" s="765"/>
      <c r="D71" s="765"/>
      <c r="E71" s="316"/>
      <c r="F71" s="737"/>
      <c r="G71" s="738"/>
      <c r="H71" s="18"/>
      <c r="I71" s="739"/>
      <c r="J71" s="739"/>
      <c r="K71" s="739"/>
      <c r="L71" s="24" t="s">
        <v>42</v>
      </c>
      <c r="M71" s="833"/>
      <c r="N71" s="877"/>
      <c r="O71" s="834"/>
      <c r="P71" s="739"/>
      <c r="Q71" s="739"/>
      <c r="R71" s="317"/>
      <c r="S71" s="317"/>
    </row>
    <row r="72" spans="1:19" ht="15" hidden="1" x14ac:dyDescent="0.2">
      <c r="A72" s="18">
        <v>49</v>
      </c>
      <c r="B72" s="19"/>
      <c r="C72" s="765"/>
      <c r="D72" s="765"/>
      <c r="E72" s="316"/>
      <c r="F72" s="737"/>
      <c r="G72" s="738"/>
      <c r="H72" s="18"/>
      <c r="I72" s="739"/>
      <c r="J72" s="739"/>
      <c r="K72" s="739"/>
      <c r="L72" s="24" t="s">
        <v>42</v>
      </c>
      <c r="M72" s="833"/>
      <c r="N72" s="877"/>
      <c r="O72" s="834"/>
      <c r="P72" s="739"/>
      <c r="Q72" s="739"/>
      <c r="R72" s="317"/>
      <c r="S72" s="317"/>
    </row>
    <row r="73" spans="1:19" ht="15" hidden="1" x14ac:dyDescent="0.2">
      <c r="A73" s="18">
        <v>50</v>
      </c>
      <c r="B73" s="19"/>
      <c r="C73" s="765"/>
      <c r="D73" s="765"/>
      <c r="E73" s="316"/>
      <c r="F73" s="737"/>
      <c r="G73" s="738"/>
      <c r="H73" s="18"/>
      <c r="I73" s="739"/>
      <c r="J73" s="739"/>
      <c r="K73" s="739"/>
      <c r="L73" s="24" t="s">
        <v>42</v>
      </c>
      <c r="M73" s="833"/>
      <c r="N73" s="877"/>
      <c r="O73" s="834"/>
      <c r="P73" s="739"/>
      <c r="Q73" s="739"/>
      <c r="R73" s="317"/>
      <c r="S73" s="317"/>
    </row>
    <row r="74" spans="1:19" ht="15" hidden="1" x14ac:dyDescent="0.2">
      <c r="A74" s="18">
        <v>51</v>
      </c>
      <c r="B74" s="19"/>
      <c r="C74" s="765"/>
      <c r="D74" s="765"/>
      <c r="E74" s="316"/>
      <c r="F74" s="737"/>
      <c r="G74" s="738"/>
      <c r="H74" s="18"/>
      <c r="I74" s="739"/>
      <c r="J74" s="739"/>
      <c r="K74" s="739"/>
      <c r="L74" s="24" t="s">
        <v>42</v>
      </c>
      <c r="M74" s="833"/>
      <c r="N74" s="877"/>
      <c r="O74" s="834"/>
      <c r="P74" s="739"/>
      <c r="Q74" s="739"/>
      <c r="R74" s="317"/>
      <c r="S74" s="317"/>
    </row>
    <row r="75" spans="1:19" ht="15" hidden="1" x14ac:dyDescent="0.2">
      <c r="A75" s="18">
        <v>52</v>
      </c>
      <c r="B75" s="19"/>
      <c r="C75" s="765"/>
      <c r="D75" s="765"/>
      <c r="E75" s="316"/>
      <c r="F75" s="737"/>
      <c r="G75" s="738"/>
      <c r="H75" s="18"/>
      <c r="I75" s="739"/>
      <c r="J75" s="739"/>
      <c r="K75" s="739"/>
      <c r="L75" s="24" t="s">
        <v>42</v>
      </c>
      <c r="M75" s="833"/>
      <c r="N75" s="877"/>
      <c r="O75" s="834"/>
      <c r="P75" s="739"/>
      <c r="Q75" s="739"/>
      <c r="R75" s="317"/>
      <c r="S75" s="317"/>
    </row>
    <row r="76" spans="1:19" ht="15" hidden="1" x14ac:dyDescent="0.2">
      <c r="A76" s="18">
        <v>53</v>
      </c>
      <c r="B76" s="19"/>
      <c r="C76" s="765"/>
      <c r="D76" s="765"/>
      <c r="E76" s="316"/>
      <c r="F76" s="737"/>
      <c r="G76" s="738"/>
      <c r="H76" s="18"/>
      <c r="I76" s="739"/>
      <c r="J76" s="739"/>
      <c r="K76" s="739"/>
      <c r="L76" s="24" t="s">
        <v>42</v>
      </c>
      <c r="M76" s="833"/>
      <c r="N76" s="877"/>
      <c r="O76" s="834"/>
      <c r="P76" s="739"/>
      <c r="Q76" s="739"/>
      <c r="R76" s="317"/>
      <c r="S76" s="317"/>
    </row>
    <row r="77" spans="1:19" ht="15" hidden="1" x14ac:dyDescent="0.2">
      <c r="A77" s="18">
        <v>54</v>
      </c>
      <c r="B77" s="19"/>
      <c r="C77" s="765"/>
      <c r="D77" s="765"/>
      <c r="E77" s="316"/>
      <c r="F77" s="737"/>
      <c r="G77" s="738"/>
      <c r="H77" s="18"/>
      <c r="I77" s="739"/>
      <c r="J77" s="739"/>
      <c r="K77" s="739"/>
      <c r="L77" s="24" t="s">
        <v>42</v>
      </c>
      <c r="M77" s="833"/>
      <c r="N77" s="877"/>
      <c r="O77" s="834"/>
      <c r="P77" s="739"/>
      <c r="Q77" s="739"/>
      <c r="R77" s="317"/>
      <c r="S77" s="317"/>
    </row>
    <row r="78" spans="1:19" ht="15" hidden="1" x14ac:dyDescent="0.2">
      <c r="A78" s="18">
        <v>55</v>
      </c>
      <c r="B78" s="19"/>
      <c r="C78" s="765"/>
      <c r="D78" s="765"/>
      <c r="E78" s="316"/>
      <c r="F78" s="737"/>
      <c r="G78" s="738"/>
      <c r="H78" s="18"/>
      <c r="I78" s="739"/>
      <c r="J78" s="739"/>
      <c r="K78" s="739"/>
      <c r="L78" s="24" t="s">
        <v>42</v>
      </c>
      <c r="M78" s="833"/>
      <c r="N78" s="877"/>
      <c r="O78" s="834"/>
      <c r="P78" s="739"/>
      <c r="Q78" s="739"/>
      <c r="R78" s="317"/>
      <c r="S78" s="317"/>
    </row>
    <row r="79" spans="1:19" ht="15" hidden="1" x14ac:dyDescent="0.2">
      <c r="A79" s="18">
        <v>56</v>
      </c>
      <c r="B79" s="19"/>
      <c r="C79" s="765"/>
      <c r="D79" s="765"/>
      <c r="E79" s="316"/>
      <c r="F79" s="737"/>
      <c r="G79" s="738"/>
      <c r="H79" s="18"/>
      <c r="I79" s="739"/>
      <c r="J79" s="739"/>
      <c r="K79" s="739"/>
      <c r="L79" s="24" t="s">
        <v>42</v>
      </c>
      <c r="M79" s="833"/>
      <c r="N79" s="877"/>
      <c r="O79" s="834"/>
      <c r="P79" s="739"/>
      <c r="Q79" s="739"/>
      <c r="R79" s="317"/>
      <c r="S79" s="317"/>
    </row>
    <row r="80" spans="1:19" ht="15" hidden="1" x14ac:dyDescent="0.2">
      <c r="A80" s="18">
        <v>57</v>
      </c>
      <c r="B80" s="19"/>
      <c r="C80" s="765"/>
      <c r="D80" s="765"/>
      <c r="E80" s="316"/>
      <c r="F80" s="737"/>
      <c r="G80" s="738"/>
      <c r="H80" s="18"/>
      <c r="I80" s="739"/>
      <c r="J80" s="739"/>
      <c r="K80" s="739"/>
      <c r="L80" s="24" t="s">
        <v>42</v>
      </c>
      <c r="M80" s="833"/>
      <c r="N80" s="877"/>
      <c r="O80" s="834"/>
      <c r="P80" s="739"/>
      <c r="Q80" s="739"/>
      <c r="R80" s="317"/>
      <c r="S80" s="317"/>
    </row>
    <row r="81" spans="1:19" ht="15" hidden="1" x14ac:dyDescent="0.2">
      <c r="A81" s="18">
        <v>58</v>
      </c>
      <c r="B81" s="19"/>
      <c r="C81" s="765"/>
      <c r="D81" s="765"/>
      <c r="E81" s="316"/>
      <c r="F81" s="737"/>
      <c r="G81" s="738"/>
      <c r="H81" s="18"/>
      <c r="I81" s="739"/>
      <c r="J81" s="739"/>
      <c r="K81" s="739"/>
      <c r="L81" s="24" t="s">
        <v>42</v>
      </c>
      <c r="M81" s="833"/>
      <c r="N81" s="877"/>
      <c r="O81" s="834"/>
      <c r="P81" s="739"/>
      <c r="Q81" s="739"/>
      <c r="R81" s="317"/>
      <c r="S81" s="317"/>
    </row>
    <row r="82" spans="1:19" ht="15" hidden="1" x14ac:dyDescent="0.2">
      <c r="A82" s="18">
        <v>59</v>
      </c>
      <c r="B82" s="19"/>
      <c r="C82" s="765"/>
      <c r="D82" s="765"/>
      <c r="E82" s="316"/>
      <c r="F82" s="737"/>
      <c r="G82" s="738"/>
      <c r="H82" s="18"/>
      <c r="I82" s="739"/>
      <c r="J82" s="739"/>
      <c r="K82" s="739"/>
      <c r="L82" s="24" t="s">
        <v>42</v>
      </c>
      <c r="M82" s="833"/>
      <c r="N82" s="877"/>
      <c r="O82" s="834"/>
      <c r="P82" s="739"/>
      <c r="Q82" s="739"/>
      <c r="R82" s="317"/>
      <c r="S82" s="317"/>
    </row>
    <row r="83" spans="1:19" ht="15" hidden="1" x14ac:dyDescent="0.2">
      <c r="A83" s="18">
        <v>60</v>
      </c>
      <c r="B83" s="19"/>
      <c r="C83" s="765"/>
      <c r="D83" s="765"/>
      <c r="E83" s="316"/>
      <c r="F83" s="737"/>
      <c r="G83" s="738"/>
      <c r="H83" s="18"/>
      <c r="I83" s="739"/>
      <c r="J83" s="739"/>
      <c r="K83" s="739"/>
      <c r="L83" s="24" t="s">
        <v>42</v>
      </c>
      <c r="M83" s="833"/>
      <c r="N83" s="877"/>
      <c r="O83" s="834"/>
      <c r="P83" s="739"/>
      <c r="Q83" s="739"/>
      <c r="R83" s="317"/>
      <c r="S83" s="317"/>
    </row>
    <row r="84" spans="1:19" ht="15" hidden="1" x14ac:dyDescent="0.2">
      <c r="A84" s="18">
        <v>61</v>
      </c>
      <c r="B84" s="19"/>
      <c r="C84" s="765"/>
      <c r="D84" s="765"/>
      <c r="E84" s="316"/>
      <c r="F84" s="737"/>
      <c r="G84" s="738"/>
      <c r="H84" s="18"/>
      <c r="I84" s="739"/>
      <c r="J84" s="739"/>
      <c r="K84" s="739"/>
      <c r="L84" s="24" t="s">
        <v>42</v>
      </c>
      <c r="M84" s="833"/>
      <c r="N84" s="877"/>
      <c r="O84" s="834"/>
      <c r="P84" s="739"/>
      <c r="Q84" s="739"/>
      <c r="R84" s="317"/>
      <c r="S84" s="317"/>
    </row>
    <row r="85" spans="1:19" ht="15" hidden="1" x14ac:dyDescent="0.2">
      <c r="A85" s="18">
        <v>62</v>
      </c>
      <c r="B85" s="19"/>
      <c r="C85" s="765"/>
      <c r="D85" s="765"/>
      <c r="E85" s="316"/>
      <c r="F85" s="737"/>
      <c r="G85" s="738"/>
      <c r="H85" s="18"/>
      <c r="I85" s="739"/>
      <c r="J85" s="739"/>
      <c r="K85" s="739"/>
      <c r="L85" s="24" t="s">
        <v>42</v>
      </c>
      <c r="M85" s="833"/>
      <c r="N85" s="877"/>
      <c r="O85" s="834"/>
      <c r="P85" s="739"/>
      <c r="Q85" s="739"/>
      <c r="R85" s="317"/>
      <c r="S85" s="317"/>
    </row>
    <row r="86" spans="1:19" ht="15" hidden="1" x14ac:dyDescent="0.2">
      <c r="A86" s="18">
        <v>63</v>
      </c>
      <c r="B86" s="19"/>
      <c r="C86" s="765"/>
      <c r="D86" s="765"/>
      <c r="E86" s="316"/>
      <c r="F86" s="737"/>
      <c r="G86" s="738"/>
      <c r="H86" s="18"/>
      <c r="I86" s="739"/>
      <c r="J86" s="739"/>
      <c r="K86" s="739"/>
      <c r="L86" s="24" t="s">
        <v>42</v>
      </c>
      <c r="M86" s="833"/>
      <c r="N86" s="877"/>
      <c r="O86" s="834"/>
      <c r="P86" s="739"/>
      <c r="Q86" s="739"/>
      <c r="R86" s="317"/>
      <c r="S86" s="317"/>
    </row>
    <row r="87" spans="1:19" ht="15" hidden="1" x14ac:dyDescent="0.2">
      <c r="A87" s="18">
        <v>64</v>
      </c>
      <c r="B87" s="19"/>
      <c r="C87" s="765"/>
      <c r="D87" s="765"/>
      <c r="E87" s="316"/>
      <c r="F87" s="737"/>
      <c r="G87" s="738"/>
      <c r="H87" s="18"/>
      <c r="I87" s="739"/>
      <c r="J87" s="739"/>
      <c r="K87" s="739"/>
      <c r="L87" s="24" t="s">
        <v>42</v>
      </c>
      <c r="M87" s="833"/>
      <c r="N87" s="877"/>
      <c r="O87" s="834"/>
      <c r="P87" s="739"/>
      <c r="Q87" s="739"/>
      <c r="R87" s="317"/>
      <c r="S87" s="317"/>
    </row>
    <row r="88" spans="1:19" ht="15" hidden="1" x14ac:dyDescent="0.2">
      <c r="A88" s="18">
        <v>66</v>
      </c>
      <c r="B88" s="19"/>
      <c r="C88" s="765"/>
      <c r="D88" s="765"/>
      <c r="E88" s="26"/>
      <c r="F88" s="739"/>
      <c r="G88" s="739"/>
      <c r="H88" s="18" t="s">
        <v>25</v>
      </c>
      <c r="I88" s="739" t="s">
        <v>25</v>
      </c>
      <c r="J88" s="739"/>
      <c r="K88" s="739"/>
      <c r="L88" s="24" t="s">
        <v>42</v>
      </c>
      <c r="M88" s="833" t="s">
        <v>25</v>
      </c>
      <c r="N88" s="877"/>
      <c r="O88" s="834"/>
      <c r="P88" s="739" t="s">
        <v>25</v>
      </c>
      <c r="Q88" s="739"/>
      <c r="R88" s="25"/>
      <c r="S88" s="25"/>
    </row>
    <row r="89" spans="1:19" ht="15" hidden="1" x14ac:dyDescent="0.2">
      <c r="A89" s="18">
        <v>67</v>
      </c>
      <c r="B89" s="19"/>
      <c r="C89" s="765"/>
      <c r="D89" s="765"/>
      <c r="E89" s="26"/>
      <c r="F89" s="739"/>
      <c r="G89" s="739"/>
      <c r="H89" s="18" t="s">
        <v>25</v>
      </c>
      <c r="I89" s="739" t="s">
        <v>25</v>
      </c>
      <c r="J89" s="739"/>
      <c r="K89" s="739"/>
      <c r="L89" s="24" t="s">
        <v>42</v>
      </c>
      <c r="M89" s="833" t="s">
        <v>25</v>
      </c>
      <c r="N89" s="877"/>
      <c r="O89" s="834"/>
      <c r="P89" s="739" t="s">
        <v>25</v>
      </c>
      <c r="Q89" s="739"/>
      <c r="R89" s="25"/>
      <c r="S89" s="25"/>
    </row>
    <row r="90" spans="1:19" ht="15" hidden="1" x14ac:dyDescent="0.2">
      <c r="A90" s="18">
        <v>68</v>
      </c>
      <c r="B90" s="19"/>
      <c r="C90" s="765"/>
      <c r="D90" s="765"/>
      <c r="E90" s="26"/>
      <c r="F90" s="739"/>
      <c r="G90" s="739"/>
      <c r="H90" s="18" t="s">
        <v>25</v>
      </c>
      <c r="I90" s="739" t="s">
        <v>25</v>
      </c>
      <c r="J90" s="739"/>
      <c r="K90" s="739"/>
      <c r="L90" s="24" t="s">
        <v>42</v>
      </c>
      <c r="M90" s="833" t="s">
        <v>25</v>
      </c>
      <c r="N90" s="877"/>
      <c r="O90" s="834"/>
      <c r="P90" s="739" t="s">
        <v>25</v>
      </c>
      <c r="Q90" s="739"/>
      <c r="R90" s="25"/>
      <c r="S90" s="25"/>
    </row>
    <row r="91" spans="1:19" ht="15" hidden="1" x14ac:dyDescent="0.2">
      <c r="A91" s="18">
        <v>69</v>
      </c>
      <c r="B91" s="19"/>
      <c r="C91" s="765"/>
      <c r="D91" s="765"/>
      <c r="E91" s="26"/>
      <c r="F91" s="739"/>
      <c r="G91" s="739"/>
      <c r="H91" s="18" t="s">
        <v>25</v>
      </c>
      <c r="I91" s="739" t="s">
        <v>25</v>
      </c>
      <c r="J91" s="739"/>
      <c r="K91" s="739"/>
      <c r="L91" s="24" t="s">
        <v>42</v>
      </c>
      <c r="M91" s="833" t="s">
        <v>25</v>
      </c>
      <c r="N91" s="877"/>
      <c r="O91" s="834"/>
      <c r="P91" s="739" t="s">
        <v>25</v>
      </c>
      <c r="Q91" s="739"/>
      <c r="R91" s="25"/>
      <c r="S91" s="25"/>
    </row>
    <row r="92" spans="1:19" ht="15" hidden="1" x14ac:dyDescent="0.2">
      <c r="A92" s="18">
        <v>70</v>
      </c>
      <c r="B92" s="19"/>
      <c r="C92" s="765"/>
      <c r="D92" s="765"/>
      <c r="E92" s="26"/>
      <c r="F92" s="739"/>
      <c r="G92" s="739"/>
      <c r="H92" s="18" t="s">
        <v>25</v>
      </c>
      <c r="I92" s="739" t="s">
        <v>25</v>
      </c>
      <c r="J92" s="739"/>
      <c r="K92" s="739"/>
      <c r="L92" s="24" t="s">
        <v>42</v>
      </c>
      <c r="M92" s="833" t="s">
        <v>25</v>
      </c>
      <c r="N92" s="877"/>
      <c r="O92" s="834"/>
      <c r="P92" s="739" t="s">
        <v>25</v>
      </c>
      <c r="Q92" s="739"/>
      <c r="R92" s="25"/>
      <c r="S92" s="25"/>
    </row>
    <row r="93" spans="1:19" ht="15" x14ac:dyDescent="0.2">
      <c r="A93" s="825" t="s">
        <v>67</v>
      </c>
      <c r="B93" s="826"/>
      <c r="C93" s="827">
        <v>20</v>
      </c>
      <c r="D93" s="828"/>
      <c r="E93" s="831"/>
      <c r="F93" s="831"/>
      <c r="G93" s="831"/>
      <c r="H93" s="831"/>
      <c r="I93" s="831"/>
      <c r="J93" s="388"/>
      <c r="K93" s="463" t="s">
        <v>67</v>
      </c>
      <c r="L93" s="464">
        <v>20</v>
      </c>
      <c r="M93" s="307"/>
      <c r="N93" s="307"/>
      <c r="O93" s="307"/>
      <c r="P93" s="307"/>
      <c r="Q93" s="307"/>
      <c r="R93" s="307"/>
      <c r="S93" s="389"/>
    </row>
    <row r="94" spans="1:19" ht="14.25" x14ac:dyDescent="0.2">
      <c r="A94" s="28" t="s">
        <v>68</v>
      </c>
      <c r="B94" s="29"/>
      <c r="C94" s="29"/>
    </row>
    <row r="95" spans="1:19" ht="2.25" customHeight="1" x14ac:dyDescent="0.2">
      <c r="A95" s="1"/>
      <c r="B95" s="1"/>
      <c r="C95" s="1"/>
    </row>
    <row r="96" spans="1:19" ht="2.25" customHeight="1" x14ac:dyDescent="0.2"/>
    <row r="97" spans="1:19" ht="15" x14ac:dyDescent="0.25">
      <c r="A97" s="891" t="s">
        <v>73</v>
      </c>
      <c r="B97" s="892"/>
      <c r="C97" s="892"/>
      <c r="D97" s="893"/>
      <c r="E97" s="894"/>
      <c r="F97" s="895"/>
      <c r="G97" s="40"/>
      <c r="H97" s="40"/>
      <c r="I97" s="40"/>
      <c r="J97" s="40"/>
      <c r="M97" s="41"/>
      <c r="N97" s="41"/>
      <c r="O97" s="41"/>
      <c r="P97" s="41"/>
      <c r="Q97" s="41"/>
      <c r="R97" s="41"/>
      <c r="S97" s="1"/>
    </row>
    <row r="98" spans="1:19" ht="6.75" customHeight="1" x14ac:dyDescent="0.25">
      <c r="A98" s="373"/>
      <c r="B98" s="374"/>
      <c r="C98" s="374"/>
      <c r="D98" s="374"/>
      <c r="E98" s="378"/>
      <c r="F98" s="378"/>
      <c r="G98" s="40"/>
      <c r="H98" s="40"/>
      <c r="I98" s="40"/>
      <c r="J98" s="40"/>
      <c r="M98" s="41"/>
      <c r="N98" s="41"/>
      <c r="O98" s="41"/>
      <c r="P98" s="41"/>
      <c r="Q98" s="41"/>
      <c r="R98" s="41"/>
      <c r="S98" s="1"/>
    </row>
    <row r="99" spans="1:19" ht="15" x14ac:dyDescent="0.25">
      <c r="A99" s="891" t="s">
        <v>754</v>
      </c>
      <c r="B99" s="892"/>
      <c r="C99" s="892"/>
      <c r="D99" s="893"/>
      <c r="E99" s="894" t="s">
        <v>25</v>
      </c>
      <c r="F99" s="895"/>
      <c r="G99" s="40"/>
      <c r="H99" s="40"/>
      <c r="I99" s="40"/>
      <c r="J99" s="40"/>
      <c r="M99" s="41"/>
      <c r="N99" s="41"/>
      <c r="O99" s="41"/>
      <c r="P99" s="41"/>
      <c r="Q99" s="41"/>
      <c r="R99" s="41"/>
      <c r="S99" s="1"/>
    </row>
    <row r="100" spans="1:19" ht="4.5" customHeight="1" x14ac:dyDescent="0.25">
      <c r="A100" s="42"/>
      <c r="B100" s="42"/>
      <c r="C100" s="42"/>
      <c r="D100" s="42"/>
      <c r="E100" s="40"/>
      <c r="F100" s="40"/>
      <c r="G100" s="40"/>
      <c r="H100" s="40"/>
      <c r="I100" s="40"/>
      <c r="J100" s="40"/>
      <c r="K100" s="11"/>
      <c r="L100" s="11"/>
      <c r="M100" s="41"/>
      <c r="N100" s="41"/>
      <c r="O100" s="41"/>
      <c r="P100" s="41"/>
      <c r="Q100" s="41"/>
      <c r="R100" s="41"/>
      <c r="S100" s="1"/>
    </row>
    <row r="101" spans="1:19" ht="15" x14ac:dyDescent="0.25">
      <c r="A101" s="879" t="s">
        <v>75</v>
      </c>
      <c r="B101" s="880"/>
      <c r="C101" s="880"/>
      <c r="D101" s="881"/>
      <c r="E101" s="882" t="s">
        <v>76</v>
      </c>
      <c r="F101" s="882"/>
      <c r="G101" s="44"/>
      <c r="H101" s="44"/>
      <c r="I101" s="44"/>
      <c r="J101" s="44"/>
      <c r="K101" s="44"/>
      <c r="L101" s="44"/>
      <c r="M101" s="41"/>
      <c r="N101" s="41"/>
      <c r="O101" s="41"/>
      <c r="P101" s="41"/>
      <c r="Q101" s="41"/>
      <c r="R101" s="41"/>
      <c r="S101" s="1"/>
    </row>
    <row r="102" spans="1:19" ht="6" customHeight="1" x14ac:dyDescent="0.25">
      <c r="A102" s="375"/>
      <c r="B102" s="376"/>
      <c r="C102" s="376"/>
      <c r="D102" s="376"/>
      <c r="E102" s="379"/>
      <c r="F102" s="379"/>
      <c r="G102" s="44"/>
      <c r="H102" s="44"/>
      <c r="I102" s="44"/>
      <c r="J102" s="44"/>
      <c r="K102" s="44"/>
      <c r="L102" s="44"/>
      <c r="M102" s="41"/>
      <c r="N102" s="41"/>
      <c r="O102" s="41"/>
      <c r="P102" s="41"/>
      <c r="Q102" s="41"/>
      <c r="R102" s="41"/>
      <c r="S102" s="1"/>
    </row>
    <row r="103" spans="1:19" ht="15" x14ac:dyDescent="0.25">
      <c r="A103" s="380" t="s">
        <v>755</v>
      </c>
      <c r="B103" s="381"/>
      <c r="C103" s="381"/>
      <c r="D103" s="381"/>
      <c r="E103" s="381"/>
      <c r="F103" s="381"/>
      <c r="G103" s="381"/>
      <c r="H103" s="883" t="s">
        <v>756</v>
      </c>
      <c r="I103" s="884"/>
      <c r="J103" s="884"/>
      <c r="K103" s="884"/>
      <c r="L103" s="884"/>
      <c r="M103" s="382"/>
      <c r="N103" s="45"/>
      <c r="O103" s="45"/>
      <c r="P103" s="46"/>
      <c r="Q103" s="46"/>
      <c r="R103" s="46"/>
      <c r="S103" s="46"/>
    </row>
    <row r="104" spans="1:19" ht="15" hidden="1" x14ac:dyDescent="0.25">
      <c r="A104" s="883" t="s">
        <v>77</v>
      </c>
      <c r="B104" s="884"/>
      <c r="C104" s="884"/>
      <c r="D104" s="884"/>
      <c r="E104" s="884"/>
      <c r="F104" s="884"/>
      <c r="G104" s="884"/>
      <c r="H104" s="884"/>
      <c r="I104" s="884"/>
      <c r="J104" s="885"/>
      <c r="K104" s="885"/>
      <c r="L104" s="886"/>
      <c r="M104" s="887" t="s">
        <v>76</v>
      </c>
      <c r="N104" s="888"/>
      <c r="O104" s="46"/>
      <c r="P104" s="46"/>
      <c r="Q104" s="46"/>
      <c r="R104" s="46"/>
      <c r="S104" s="46"/>
    </row>
    <row r="105" spans="1:19" ht="15" hidden="1" x14ac:dyDescent="0.2">
      <c r="A105" s="889" t="s">
        <v>78</v>
      </c>
      <c r="B105" s="889"/>
      <c r="C105" s="820" t="s">
        <v>79</v>
      </c>
      <c r="D105" s="820"/>
      <c r="E105" s="820"/>
      <c r="F105" s="820"/>
      <c r="G105" s="820"/>
      <c r="H105" s="820"/>
      <c r="I105" s="820"/>
      <c r="J105" s="820"/>
      <c r="K105" s="820"/>
      <c r="L105" s="820"/>
      <c r="M105" s="820"/>
      <c r="N105" s="820"/>
      <c r="O105" s="820"/>
      <c r="P105" s="820"/>
      <c r="Q105" s="820"/>
      <c r="R105" s="820"/>
      <c r="S105" s="820"/>
    </row>
    <row r="106" spans="1:19" ht="15.75" hidden="1" x14ac:dyDescent="0.2">
      <c r="A106" s="878" t="s">
        <v>80</v>
      </c>
      <c r="B106" s="878"/>
      <c r="C106" s="878"/>
      <c r="D106" s="878"/>
      <c r="E106" s="878"/>
      <c r="F106" s="878"/>
      <c r="G106" s="878"/>
      <c r="H106" s="878"/>
      <c r="I106" s="878"/>
      <c r="J106" s="386"/>
      <c r="K106" s="48"/>
      <c r="L106" s="48"/>
      <c r="M106" s="48"/>
      <c r="N106" s="48"/>
      <c r="O106" s="48"/>
      <c r="P106" s="48"/>
      <c r="Q106" s="48"/>
      <c r="R106" s="48"/>
      <c r="S106" s="48"/>
    </row>
    <row r="107" spans="1:19" ht="6.75" customHeight="1" x14ac:dyDescent="0.25">
      <c r="A107" s="49"/>
      <c r="B107" s="49"/>
      <c r="C107" s="49"/>
      <c r="D107" s="49"/>
      <c r="E107" s="49"/>
      <c r="F107" s="49"/>
      <c r="G107" s="49"/>
      <c r="H107" s="49"/>
      <c r="I107" s="50"/>
      <c r="J107" s="50"/>
      <c r="K107" s="50"/>
      <c r="L107" s="50"/>
      <c r="M107" s="50"/>
      <c r="N107" s="50"/>
      <c r="O107" s="50"/>
      <c r="P107" s="50"/>
      <c r="Q107" s="50"/>
      <c r="R107" s="50"/>
      <c r="S107" s="50"/>
    </row>
    <row r="108" spans="1:19" ht="15" x14ac:dyDescent="0.25">
      <c r="A108" s="51" t="s">
        <v>82</v>
      </c>
      <c r="B108" s="51"/>
      <c r="C108" s="51"/>
      <c r="D108" s="51"/>
      <c r="E108" s="51"/>
      <c r="F108" s="51"/>
      <c r="G108" s="51"/>
      <c r="H108" s="51"/>
      <c r="I108" s="51"/>
      <c r="J108" s="51"/>
      <c r="K108" s="47"/>
      <c r="L108" s="47"/>
      <c r="M108" s="51"/>
      <c r="N108" s="51"/>
      <c r="O108" s="51"/>
      <c r="P108" s="51"/>
      <c r="Q108" s="51"/>
      <c r="R108" s="51"/>
      <c r="S108" s="52"/>
    </row>
    <row r="109" spans="1:19" ht="15" x14ac:dyDescent="0.2">
      <c r="A109" s="53"/>
      <c r="B109" s="836" t="s">
        <v>677</v>
      </c>
      <c r="C109" s="836"/>
      <c r="D109" s="836"/>
      <c r="E109" s="836"/>
      <c r="F109" s="836"/>
      <c r="G109" s="836"/>
      <c r="H109" s="836"/>
      <c r="I109" s="836"/>
      <c r="J109" s="836"/>
      <c r="K109" s="836"/>
      <c r="L109" s="836"/>
      <c r="M109" s="836"/>
      <c r="N109" s="836"/>
      <c r="O109" s="836"/>
      <c r="P109" s="836"/>
      <c r="Q109" s="836"/>
      <c r="R109" s="836"/>
      <c r="S109" s="836"/>
    </row>
    <row r="110" spans="1:19" ht="15" x14ac:dyDescent="0.2">
      <c r="A110" s="53"/>
      <c r="B110" s="837" t="s">
        <v>678</v>
      </c>
      <c r="C110" s="837"/>
      <c r="D110" s="837"/>
      <c r="E110" s="837"/>
      <c r="F110" s="837"/>
      <c r="G110" s="837"/>
      <c r="H110" s="837"/>
      <c r="I110" s="837"/>
      <c r="J110" s="837"/>
      <c r="K110" s="837"/>
      <c r="L110" s="837"/>
      <c r="M110" s="837"/>
      <c r="N110" s="837"/>
      <c r="O110" s="837"/>
      <c r="P110" s="837"/>
      <c r="Q110" s="837"/>
      <c r="R110" s="837"/>
      <c r="S110" s="837"/>
    </row>
    <row r="111" spans="1:19" x14ac:dyDescent="0.2">
      <c r="A111" s="53"/>
      <c r="B111" s="837" t="s">
        <v>83</v>
      </c>
      <c r="C111" s="837"/>
      <c r="D111" s="837"/>
      <c r="E111" s="837"/>
      <c r="F111" s="837"/>
      <c r="G111" s="837"/>
      <c r="H111" s="837"/>
      <c r="I111" s="837"/>
      <c r="J111" s="837"/>
      <c r="K111" s="837"/>
      <c r="L111" s="837"/>
      <c r="M111" s="837"/>
      <c r="N111" s="837"/>
      <c r="O111" s="837"/>
      <c r="P111" s="837"/>
      <c r="Q111" s="837"/>
      <c r="R111" s="837"/>
      <c r="S111" s="837"/>
    </row>
    <row r="112" spans="1:19" x14ac:dyDescent="0.2">
      <c r="A112" s="47"/>
      <c r="B112" s="837"/>
      <c r="C112" s="837"/>
      <c r="D112" s="837"/>
      <c r="E112" s="837"/>
      <c r="F112" s="837"/>
      <c r="G112" s="837"/>
      <c r="H112" s="837"/>
      <c r="I112" s="837"/>
      <c r="J112" s="837"/>
      <c r="K112" s="837"/>
      <c r="L112" s="837"/>
      <c r="M112" s="837"/>
      <c r="N112" s="837"/>
      <c r="O112" s="837"/>
      <c r="P112" s="837"/>
      <c r="Q112" s="837"/>
      <c r="R112" s="837"/>
      <c r="S112" s="837"/>
    </row>
    <row r="113" spans="2:19" ht="15" hidden="1" x14ac:dyDescent="0.2">
      <c r="B113" s="787" t="s">
        <v>789</v>
      </c>
      <c r="C113" s="787"/>
      <c r="D113" s="787"/>
      <c r="E113" s="787"/>
      <c r="F113" s="787"/>
      <c r="G113" s="787"/>
      <c r="H113" s="787"/>
      <c r="I113" s="787"/>
      <c r="J113" s="787"/>
      <c r="K113" s="787"/>
      <c r="L113" s="787"/>
      <c r="M113" s="787"/>
      <c r="N113" s="787"/>
      <c r="O113" s="787"/>
      <c r="P113" s="787"/>
      <c r="Q113" s="787"/>
      <c r="R113" s="787"/>
      <c r="S113" s="787"/>
    </row>
    <row r="114" spans="2:19" ht="15" hidden="1" x14ac:dyDescent="0.2">
      <c r="B114" s="787" t="s">
        <v>961</v>
      </c>
      <c r="C114" s="787"/>
      <c r="D114" s="787"/>
      <c r="E114" s="787"/>
      <c r="F114" s="787"/>
      <c r="G114" s="787"/>
      <c r="H114" s="787"/>
      <c r="I114" s="787"/>
      <c r="J114" s="787"/>
      <c r="K114" s="787"/>
      <c r="L114" s="787"/>
      <c r="M114" s="787"/>
      <c r="N114" s="787"/>
      <c r="O114" s="787"/>
      <c r="P114" s="787"/>
      <c r="Q114" s="787"/>
      <c r="R114" s="787"/>
      <c r="S114" s="787"/>
    </row>
    <row r="115" spans="2:19" ht="29.25" customHeight="1" x14ac:dyDescent="0.2">
      <c r="B115" s="712" t="s">
        <v>84</v>
      </c>
      <c r="C115" s="712"/>
      <c r="D115" s="712"/>
      <c r="E115" s="712"/>
      <c r="F115" s="712"/>
      <c r="G115" s="712"/>
      <c r="H115" s="712"/>
      <c r="I115" s="712"/>
      <c r="J115" s="712"/>
      <c r="K115" s="712"/>
      <c r="L115" s="712"/>
      <c r="M115" s="712"/>
      <c r="N115" s="712"/>
      <c r="O115" s="712"/>
      <c r="P115" s="712"/>
      <c r="Q115" s="712"/>
      <c r="R115" s="712"/>
      <c r="S115" s="712"/>
    </row>
    <row r="116" spans="2:19" ht="15" hidden="1" customHeight="1" x14ac:dyDescent="0.2">
      <c r="B116" s="835" t="s">
        <v>85</v>
      </c>
      <c r="C116" s="835"/>
      <c r="D116" s="835"/>
      <c r="E116" s="835"/>
      <c r="F116" s="835"/>
      <c r="G116" s="835"/>
      <c r="H116" s="835"/>
      <c r="I116" s="835"/>
      <c r="J116" s="835"/>
      <c r="K116" s="835"/>
      <c r="L116" s="835"/>
      <c r="M116" s="835"/>
      <c r="N116" s="835"/>
      <c r="O116" s="835"/>
      <c r="P116" s="835"/>
      <c r="Q116" s="835"/>
      <c r="R116" s="835"/>
      <c r="S116" s="835"/>
    </row>
    <row r="117" spans="2:19" ht="15" hidden="1" customHeight="1" x14ac:dyDescent="0.2">
      <c r="B117" s="835"/>
      <c r="C117" s="835"/>
      <c r="D117" s="835"/>
      <c r="E117" s="835"/>
      <c r="F117" s="835"/>
      <c r="G117" s="835"/>
      <c r="H117" s="835"/>
      <c r="I117" s="835"/>
      <c r="J117" s="835"/>
      <c r="K117" s="835"/>
      <c r="L117" s="835"/>
      <c r="M117" s="835"/>
      <c r="N117" s="835"/>
      <c r="O117" s="835"/>
      <c r="P117" s="835"/>
      <c r="Q117" s="835"/>
      <c r="R117" s="835"/>
      <c r="S117" s="835"/>
    </row>
    <row r="118" spans="2:19" ht="15" hidden="1" customHeight="1" x14ac:dyDescent="0.2">
      <c r="B118" s="797" t="s">
        <v>86</v>
      </c>
      <c r="C118" s="797"/>
      <c r="D118" s="797"/>
      <c r="E118" s="797"/>
      <c r="F118" s="797"/>
      <c r="G118" s="797"/>
      <c r="H118" s="797"/>
      <c r="I118" s="797"/>
      <c r="J118" s="797"/>
      <c r="K118" s="797"/>
      <c r="L118" s="797"/>
      <c r="M118" s="797"/>
      <c r="N118" s="797"/>
      <c r="O118" s="797"/>
      <c r="P118" s="797"/>
      <c r="Q118" s="797"/>
      <c r="R118" s="797"/>
      <c r="S118" s="797"/>
    </row>
    <row r="119" spans="2:19" ht="15" hidden="1" customHeight="1" x14ac:dyDescent="0.2">
      <c r="B119" s="810" t="s">
        <v>87</v>
      </c>
      <c r="C119" s="810"/>
      <c r="D119" s="810"/>
      <c r="E119" s="810"/>
      <c r="F119" s="810"/>
      <c r="G119" s="810"/>
      <c r="H119" s="810"/>
      <c r="I119" s="810"/>
      <c r="J119" s="810"/>
      <c r="K119" s="810"/>
      <c r="L119" s="810"/>
      <c r="M119" s="810"/>
      <c r="N119" s="810"/>
      <c r="O119" s="810"/>
      <c r="P119" s="810"/>
      <c r="Q119" s="810"/>
      <c r="R119" s="810"/>
      <c r="S119" s="810"/>
    </row>
    <row r="120" spans="2:19" ht="15" x14ac:dyDescent="0.2">
      <c r="B120" s="55"/>
      <c r="C120" s="55"/>
      <c r="D120" s="55"/>
      <c r="E120" s="55"/>
      <c r="F120" s="55"/>
      <c r="G120" s="55"/>
      <c r="H120" s="55"/>
      <c r="I120" s="55"/>
      <c r="J120" s="55"/>
      <c r="K120" s="55"/>
      <c r="L120" s="55"/>
      <c r="M120" s="55"/>
      <c r="N120" s="55"/>
      <c r="O120" s="55"/>
      <c r="P120" s="55"/>
      <c r="Q120" s="55"/>
      <c r="R120" s="55"/>
      <c r="S120" s="55"/>
    </row>
    <row r="122" spans="2:19" ht="15" x14ac:dyDescent="0.25">
      <c r="D122" s="51"/>
      <c r="E122" s="51"/>
      <c r="F122" s="51"/>
      <c r="G122" s="51"/>
      <c r="H122" s="51"/>
      <c r="I122" s="51"/>
      <c r="J122" s="51"/>
      <c r="L122" s="56"/>
      <c r="M122" s="51"/>
      <c r="N122" s="51"/>
      <c r="O122" s="51"/>
    </row>
  </sheetData>
  <mergeCells count="395">
    <mergeCell ref="C20:I20"/>
    <mergeCell ref="E93:I93"/>
    <mergeCell ref="B115:S115"/>
    <mergeCell ref="A97:D97"/>
    <mergeCell ref="E97:F97"/>
    <mergeCell ref="A99:D99"/>
    <mergeCell ref="E99:F99"/>
    <mergeCell ref="C92:D92"/>
    <mergeCell ref="F92:G92"/>
    <mergeCell ref="C88:D88"/>
    <mergeCell ref="F88:G88"/>
    <mergeCell ref="I88:K88"/>
    <mergeCell ref="M88:O88"/>
    <mergeCell ref="P88:Q88"/>
    <mergeCell ref="C89:D89"/>
    <mergeCell ref="F89:G89"/>
    <mergeCell ref="I89:K89"/>
    <mergeCell ref="M89:O89"/>
    <mergeCell ref="P89:Q89"/>
    <mergeCell ref="C86:D86"/>
    <mergeCell ref="F86:G86"/>
    <mergeCell ref="I86:K86"/>
    <mergeCell ref="M86:O86"/>
    <mergeCell ref="P86:Q86"/>
    <mergeCell ref="B116:S116"/>
    <mergeCell ref="B117:S117"/>
    <mergeCell ref="E101:F101"/>
    <mergeCell ref="H103:L103"/>
    <mergeCell ref="A104:L104"/>
    <mergeCell ref="M104:N104"/>
    <mergeCell ref="A105:B105"/>
    <mergeCell ref="C105:S105"/>
    <mergeCell ref="B118:S118"/>
    <mergeCell ref="B119:S119"/>
    <mergeCell ref="A1:S1"/>
    <mergeCell ref="A106:I106"/>
    <mergeCell ref="B109:S109"/>
    <mergeCell ref="B110:S110"/>
    <mergeCell ref="B111:S112"/>
    <mergeCell ref="B113:S113"/>
    <mergeCell ref="B114:S114"/>
    <mergeCell ref="A101:D101"/>
    <mergeCell ref="I92:K92"/>
    <mergeCell ref="M92:O92"/>
    <mergeCell ref="P92:Q92"/>
    <mergeCell ref="A93:B93"/>
    <mergeCell ref="C93:D93"/>
    <mergeCell ref="C90:D90"/>
    <mergeCell ref="F90:G90"/>
    <mergeCell ref="I90:K90"/>
    <mergeCell ref="M90:O90"/>
    <mergeCell ref="P90:Q90"/>
    <mergeCell ref="C91:D91"/>
    <mergeCell ref="F91:G91"/>
    <mergeCell ref="I91:K91"/>
    <mergeCell ref="M91:O91"/>
    <mergeCell ref="P91:Q91"/>
    <mergeCell ref="C87:D87"/>
    <mergeCell ref="F87:G87"/>
    <mergeCell ref="I87:K87"/>
    <mergeCell ref="M87:O87"/>
    <mergeCell ref="P87:Q87"/>
    <mergeCell ref="C84:D84"/>
    <mergeCell ref="F84:G84"/>
    <mergeCell ref="I84:K84"/>
    <mergeCell ref="M84:O84"/>
    <mergeCell ref="P84:Q84"/>
    <mergeCell ref="C85:D85"/>
    <mergeCell ref="F85:G85"/>
    <mergeCell ref="I85:K85"/>
    <mergeCell ref="M85:O85"/>
    <mergeCell ref="P85:Q85"/>
    <mergeCell ref="C82:D82"/>
    <mergeCell ref="F82:G82"/>
    <mergeCell ref="I82:K82"/>
    <mergeCell ref="M82:O82"/>
    <mergeCell ref="P82:Q82"/>
    <mergeCell ref="C83:D83"/>
    <mergeCell ref="F83:G83"/>
    <mergeCell ref="I83:K83"/>
    <mergeCell ref="M83:O83"/>
    <mergeCell ref="P83:Q83"/>
    <mergeCell ref="C80:D80"/>
    <mergeCell ref="F80:G80"/>
    <mergeCell ref="I80:K80"/>
    <mergeCell ref="M80:O80"/>
    <mergeCell ref="P80:Q80"/>
    <mergeCell ref="C81:D81"/>
    <mergeCell ref="F81:G81"/>
    <mergeCell ref="I81:K81"/>
    <mergeCell ref="M81:O81"/>
    <mergeCell ref="P81:Q81"/>
    <mergeCell ref="C78:D78"/>
    <mergeCell ref="F78:G78"/>
    <mergeCell ref="I78:K78"/>
    <mergeCell ref="M78:O78"/>
    <mergeCell ref="P78:Q78"/>
    <mergeCell ref="C79:D79"/>
    <mergeCell ref="F79:G79"/>
    <mergeCell ref="I79:K79"/>
    <mergeCell ref="M79:O79"/>
    <mergeCell ref="P79:Q79"/>
    <mergeCell ref="C76:D76"/>
    <mergeCell ref="F76:G76"/>
    <mergeCell ref="I76:K76"/>
    <mergeCell ref="M76:O76"/>
    <mergeCell ref="P76:Q76"/>
    <mergeCell ref="C77:D77"/>
    <mergeCell ref="F77:G77"/>
    <mergeCell ref="I77:K77"/>
    <mergeCell ref="M77:O77"/>
    <mergeCell ref="P77:Q77"/>
    <mergeCell ref="C74:D74"/>
    <mergeCell ref="F74:G74"/>
    <mergeCell ref="I74:K74"/>
    <mergeCell ref="M74:O74"/>
    <mergeCell ref="P74:Q74"/>
    <mergeCell ref="C75:D75"/>
    <mergeCell ref="F75:G75"/>
    <mergeCell ref="I75:K75"/>
    <mergeCell ref="M75:O75"/>
    <mergeCell ref="P75:Q75"/>
    <mergeCell ref="C72:D72"/>
    <mergeCell ref="F72:G72"/>
    <mergeCell ref="I72:K72"/>
    <mergeCell ref="M72:O72"/>
    <mergeCell ref="P72:Q72"/>
    <mergeCell ref="C73:D73"/>
    <mergeCell ref="F73:G73"/>
    <mergeCell ref="I73:K73"/>
    <mergeCell ref="M73:O73"/>
    <mergeCell ref="P73:Q73"/>
    <mergeCell ref="C70:D70"/>
    <mergeCell ref="F70:G70"/>
    <mergeCell ref="I70:K70"/>
    <mergeCell ref="M70:O70"/>
    <mergeCell ref="P70:Q70"/>
    <mergeCell ref="C71:D71"/>
    <mergeCell ref="F71:G71"/>
    <mergeCell ref="I71:K71"/>
    <mergeCell ref="M71:O71"/>
    <mergeCell ref="P71:Q71"/>
    <mergeCell ref="C68:D68"/>
    <mergeCell ref="F68:G68"/>
    <mergeCell ref="I68:K68"/>
    <mergeCell ref="M68:O68"/>
    <mergeCell ref="P68:Q68"/>
    <mergeCell ref="C69:D69"/>
    <mergeCell ref="F69:G69"/>
    <mergeCell ref="I69:K69"/>
    <mergeCell ref="M69:O69"/>
    <mergeCell ref="P69:Q69"/>
    <mergeCell ref="C66:D66"/>
    <mergeCell ref="F66:G66"/>
    <mergeCell ref="I66:K66"/>
    <mergeCell ref="M66:O66"/>
    <mergeCell ref="P66:Q66"/>
    <mergeCell ref="C67:D67"/>
    <mergeCell ref="F67:G67"/>
    <mergeCell ref="I67:K67"/>
    <mergeCell ref="M67:O67"/>
    <mergeCell ref="P67:Q67"/>
    <mergeCell ref="C64:D64"/>
    <mergeCell ref="F64:G64"/>
    <mergeCell ref="I64:K64"/>
    <mergeCell ref="M64:O64"/>
    <mergeCell ref="P64:Q64"/>
    <mergeCell ref="C65:D65"/>
    <mergeCell ref="F65:G65"/>
    <mergeCell ref="I65:K65"/>
    <mergeCell ref="M65:O65"/>
    <mergeCell ref="P65:Q65"/>
    <mergeCell ref="C62:D62"/>
    <mergeCell ref="F62:G62"/>
    <mergeCell ref="I62:K62"/>
    <mergeCell ref="M62:O62"/>
    <mergeCell ref="P62:Q62"/>
    <mergeCell ref="C63:D63"/>
    <mergeCell ref="F63:G63"/>
    <mergeCell ref="I63:K63"/>
    <mergeCell ref="M63:O63"/>
    <mergeCell ref="P63:Q63"/>
    <mergeCell ref="C60:D60"/>
    <mergeCell ref="F60:G60"/>
    <mergeCell ref="I60:K60"/>
    <mergeCell ref="M60:O60"/>
    <mergeCell ref="P60:Q60"/>
    <mergeCell ref="C61:D61"/>
    <mergeCell ref="F61:G61"/>
    <mergeCell ref="I61:K61"/>
    <mergeCell ref="M61:O61"/>
    <mergeCell ref="P61:Q61"/>
    <mergeCell ref="C58:D58"/>
    <mergeCell ref="F58:G58"/>
    <mergeCell ref="I58:K58"/>
    <mergeCell ref="M58:O58"/>
    <mergeCell ref="P58:Q58"/>
    <mergeCell ref="C59:D59"/>
    <mergeCell ref="F59:G59"/>
    <mergeCell ref="I59:K59"/>
    <mergeCell ref="M59:O59"/>
    <mergeCell ref="P59:Q59"/>
    <mergeCell ref="C56:D56"/>
    <mergeCell ref="F56:G56"/>
    <mergeCell ref="I56:K56"/>
    <mergeCell ref="M56:O56"/>
    <mergeCell ref="P56:Q56"/>
    <mergeCell ref="C57:D57"/>
    <mergeCell ref="F57:G57"/>
    <mergeCell ref="I57:K57"/>
    <mergeCell ref="M57:O57"/>
    <mergeCell ref="P57:Q57"/>
    <mergeCell ref="C54:D54"/>
    <mergeCell ref="F54:G54"/>
    <mergeCell ref="I54:K54"/>
    <mergeCell ref="M54:O54"/>
    <mergeCell ref="P54:Q54"/>
    <mergeCell ref="C55:D55"/>
    <mergeCell ref="F55:G55"/>
    <mergeCell ref="I55:K55"/>
    <mergeCell ref="M55:O55"/>
    <mergeCell ref="P55:Q55"/>
    <mergeCell ref="C52:D52"/>
    <mergeCell ref="F52:G52"/>
    <mergeCell ref="I52:K52"/>
    <mergeCell ref="M52:O52"/>
    <mergeCell ref="P52:Q52"/>
    <mergeCell ref="C53:D53"/>
    <mergeCell ref="F53:G53"/>
    <mergeCell ref="I53:K53"/>
    <mergeCell ref="M53:O53"/>
    <mergeCell ref="P53:Q53"/>
    <mergeCell ref="C50:D50"/>
    <mergeCell ref="F50:G50"/>
    <mergeCell ref="I50:K50"/>
    <mergeCell ref="M50:O50"/>
    <mergeCell ref="P50:Q50"/>
    <mergeCell ref="C51:D51"/>
    <mergeCell ref="F51:G51"/>
    <mergeCell ref="I51:K51"/>
    <mergeCell ref="M51:O51"/>
    <mergeCell ref="P51:Q51"/>
    <mergeCell ref="C48:D48"/>
    <mergeCell ref="F48:G48"/>
    <mergeCell ref="I48:K48"/>
    <mergeCell ref="M48:O48"/>
    <mergeCell ref="P48:Q48"/>
    <mergeCell ref="C49:D49"/>
    <mergeCell ref="F49:G49"/>
    <mergeCell ref="I49:K49"/>
    <mergeCell ref="M49:O49"/>
    <mergeCell ref="P49:Q49"/>
    <mergeCell ref="C46:D46"/>
    <mergeCell ref="F46:G46"/>
    <mergeCell ref="I46:K46"/>
    <mergeCell ref="M46:O46"/>
    <mergeCell ref="P46:Q46"/>
    <mergeCell ref="C47:D47"/>
    <mergeCell ref="F47:G47"/>
    <mergeCell ref="I47:K47"/>
    <mergeCell ref="M47:O47"/>
    <mergeCell ref="P47:Q47"/>
    <mergeCell ref="C44:D44"/>
    <mergeCell ref="F44:G44"/>
    <mergeCell ref="I44:K44"/>
    <mergeCell ref="M44:O44"/>
    <mergeCell ref="P44:Q44"/>
    <mergeCell ref="C45:D45"/>
    <mergeCell ref="F45:G45"/>
    <mergeCell ref="I45:K45"/>
    <mergeCell ref="M45:O45"/>
    <mergeCell ref="P45:Q45"/>
    <mergeCell ref="M37:O37"/>
    <mergeCell ref="C42:D42"/>
    <mergeCell ref="F42:G42"/>
    <mergeCell ref="M42:O42"/>
    <mergeCell ref="C43:D43"/>
    <mergeCell ref="F43:G43"/>
    <mergeCell ref="M43:O43"/>
    <mergeCell ref="C40:D40"/>
    <mergeCell ref="F40:G40"/>
    <mergeCell ref="M40:O40"/>
    <mergeCell ref="C41:D41"/>
    <mergeCell ref="F41:G41"/>
    <mergeCell ref="M41:O41"/>
    <mergeCell ref="C34:D34"/>
    <mergeCell ref="F34:G34"/>
    <mergeCell ref="M34:O34"/>
    <mergeCell ref="C35:D35"/>
    <mergeCell ref="F35:G35"/>
    <mergeCell ref="M35:O35"/>
    <mergeCell ref="C32:D32"/>
    <mergeCell ref="F32:G32"/>
    <mergeCell ref="M32:O32"/>
    <mergeCell ref="C33:D33"/>
    <mergeCell ref="F33:G33"/>
    <mergeCell ref="M33:O33"/>
    <mergeCell ref="H24:I43"/>
    <mergeCell ref="C38:D38"/>
    <mergeCell ref="F38:G38"/>
    <mergeCell ref="M38:O38"/>
    <mergeCell ref="C39:D39"/>
    <mergeCell ref="F39:G39"/>
    <mergeCell ref="M39:O39"/>
    <mergeCell ref="C36:D36"/>
    <mergeCell ref="F36:G36"/>
    <mergeCell ref="M36:O36"/>
    <mergeCell ref="C37:D37"/>
    <mergeCell ref="F37:G37"/>
    <mergeCell ref="C30:D30"/>
    <mergeCell ref="F30:G30"/>
    <mergeCell ref="M30:O30"/>
    <mergeCell ref="C31:D31"/>
    <mergeCell ref="F31:G31"/>
    <mergeCell ref="M31:O31"/>
    <mergeCell ref="C24:D24"/>
    <mergeCell ref="F24:G24"/>
    <mergeCell ref="M24:O24"/>
    <mergeCell ref="C29:D29"/>
    <mergeCell ref="F29:G29"/>
    <mergeCell ref="M29:O29"/>
    <mergeCell ref="M26:O26"/>
    <mergeCell ref="C27:D27"/>
    <mergeCell ref="F27:G27"/>
    <mergeCell ref="M27:O27"/>
    <mergeCell ref="C25:D25"/>
    <mergeCell ref="F25:G25"/>
    <mergeCell ref="M25:O25"/>
    <mergeCell ref="C26:D26"/>
    <mergeCell ref="F26:G26"/>
    <mergeCell ref="F28:G28"/>
    <mergeCell ref="M28:O28"/>
    <mergeCell ref="C28:D28"/>
    <mergeCell ref="A17:C17"/>
    <mergeCell ref="D17:G17"/>
    <mergeCell ref="H17:L17"/>
    <mergeCell ref="M17:P17"/>
    <mergeCell ref="Q17:S17"/>
    <mergeCell ref="L21:L22"/>
    <mergeCell ref="M21:O22"/>
    <mergeCell ref="P21:Q22"/>
    <mergeCell ref="C23:D23"/>
    <mergeCell ref="F23:G23"/>
    <mergeCell ref="H23:I23"/>
    <mergeCell ref="M23:O23"/>
    <mergeCell ref="P23:Q23"/>
    <mergeCell ref="A19:S19"/>
    <mergeCell ref="A20:A22"/>
    <mergeCell ref="B20:B22"/>
    <mergeCell ref="R20:S21"/>
    <mergeCell ref="C21:D22"/>
    <mergeCell ref="E21:E22"/>
    <mergeCell ref="F21:G22"/>
    <mergeCell ref="H21:I22"/>
    <mergeCell ref="J21:J22"/>
    <mergeCell ref="K21:K22"/>
    <mergeCell ref="J20:Q20"/>
    <mergeCell ref="I12:K12"/>
    <mergeCell ref="M12:O12"/>
    <mergeCell ref="P12:S12"/>
    <mergeCell ref="A15:S15"/>
    <mergeCell ref="B13:E13"/>
    <mergeCell ref="F13:H13"/>
    <mergeCell ref="M13:O13"/>
    <mergeCell ref="P13:S13"/>
    <mergeCell ref="A16:C16"/>
    <mergeCell ref="D16:G16"/>
    <mergeCell ref="H16:L16"/>
    <mergeCell ref="M16:P16"/>
    <mergeCell ref="Q16:S16"/>
    <mergeCell ref="I13:K13"/>
    <mergeCell ref="P24:Q43"/>
    <mergeCell ref="J2:L2"/>
    <mergeCell ref="A4:D4"/>
    <mergeCell ref="E4:S4"/>
    <mergeCell ref="A5:D5"/>
    <mergeCell ref="E5:S5"/>
    <mergeCell ref="A6:D6"/>
    <mergeCell ref="E6:S6"/>
    <mergeCell ref="A10:S10"/>
    <mergeCell ref="B11:E11"/>
    <mergeCell ref="F11:H11"/>
    <mergeCell ref="I11:K11"/>
    <mergeCell ref="M11:O11"/>
    <mergeCell ref="P11:S11"/>
    <mergeCell ref="A7:D7"/>
    <mergeCell ref="E7:S7"/>
    <mergeCell ref="A8:D8"/>
    <mergeCell ref="E8:S8"/>
    <mergeCell ref="A9:D9"/>
    <mergeCell ref="E9:K9"/>
    <mergeCell ref="L9:N9"/>
    <mergeCell ref="O9:S9"/>
    <mergeCell ref="B12:E12"/>
    <mergeCell ref="F12:H12"/>
  </mergeCells>
  <pageMargins left="0.7" right="0.7" top="0.75" bottom="0.75" header="0.3" footer="0.3"/>
  <pageSetup paperSize="9" scale="83" fitToHeight="0" orientation="landscape" r:id="rId1"/>
  <rowBreaks count="2" manualBreakCount="2">
    <brk id="13" max="16383" man="1"/>
    <brk id="18"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
    <pageSetUpPr fitToPage="1"/>
  </sheetPr>
  <dimension ref="A1:BG56"/>
  <sheetViews>
    <sheetView view="pageBreakPreview" zoomScale="85" zoomScaleNormal="100" zoomScaleSheetLayoutView="85" workbookViewId="0">
      <selection activeCell="J3" sqref="J3"/>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9" style="5" customWidth="1"/>
    <col min="10" max="10" width="13" style="5" customWidth="1"/>
    <col min="11" max="11" width="9.7109375" style="5" customWidth="1"/>
    <col min="12" max="12" width="3.5703125" style="5" customWidth="1"/>
    <col min="13" max="13" width="12.7109375" style="5" customWidth="1"/>
    <col min="14" max="14" width="4.28515625" style="5" customWidth="1"/>
    <col min="15" max="15" width="9.140625" style="5" customWidth="1"/>
    <col min="16" max="16" width="12.28515625" style="5" customWidth="1"/>
    <col min="17" max="18" width="13.7109375" style="5" customWidth="1"/>
    <col min="19" max="19" width="12.7109375" style="5" customWidth="1"/>
    <col min="20" max="29" width="8" style="5"/>
    <col min="30" max="30" width="3.28515625" style="5" customWidth="1"/>
    <col min="31" max="31" width="13" style="5" customWidth="1"/>
    <col min="32" max="16384" width="8" style="5"/>
  </cols>
  <sheetData>
    <row r="1" spans="1:43" ht="71.25" customHeight="1" x14ac:dyDescent="0.2">
      <c r="A1" s="769"/>
      <c r="B1" s="769"/>
      <c r="C1" s="768" t="s">
        <v>1034</v>
      </c>
      <c r="D1" s="768"/>
      <c r="E1" s="768"/>
      <c r="F1" s="768"/>
      <c r="G1" s="768"/>
      <c r="H1" s="768"/>
      <c r="I1" s="768"/>
      <c r="J1" s="768"/>
      <c r="K1" s="768"/>
      <c r="L1" s="768"/>
      <c r="M1" s="768"/>
      <c r="N1" s="768"/>
      <c r="O1" s="768"/>
      <c r="P1" s="768"/>
      <c r="Q1" s="768"/>
      <c r="R1" s="768"/>
      <c r="S1" s="397"/>
    </row>
    <row r="2" spans="1:43" ht="15" customHeight="1" x14ac:dyDescent="0.2">
      <c r="A2" s="1"/>
      <c r="B2" s="1"/>
      <c r="C2" s="1"/>
      <c r="D2" s="1"/>
      <c r="E2" s="2"/>
      <c r="F2" s="2"/>
      <c r="G2" s="3"/>
      <c r="H2" s="3"/>
      <c r="I2" s="3" t="s">
        <v>11</v>
      </c>
      <c r="J2" s="908" t="s">
        <v>1045</v>
      </c>
      <c r="K2" s="908"/>
      <c r="L2" s="908"/>
      <c r="M2" s="4"/>
      <c r="N2" s="4"/>
      <c r="O2" s="4"/>
      <c r="P2" s="4"/>
      <c r="Q2" s="1"/>
      <c r="R2" s="1"/>
      <c r="S2" s="1"/>
    </row>
    <row r="3" spans="1:43" ht="15" customHeight="1" x14ac:dyDescent="0.2">
      <c r="A3" s="1"/>
      <c r="B3" s="1"/>
      <c r="C3" s="1"/>
      <c r="D3" s="1"/>
      <c r="E3" s="1"/>
      <c r="F3" s="1"/>
      <c r="G3" s="1"/>
      <c r="H3" s="1"/>
      <c r="I3" s="1"/>
      <c r="L3" s="1"/>
      <c r="M3" s="1"/>
      <c r="N3" s="1"/>
      <c r="O3" s="1"/>
      <c r="P3" s="1"/>
      <c r="Q3" s="1"/>
      <c r="R3" s="1"/>
      <c r="S3" s="1"/>
    </row>
    <row r="4" spans="1:43" ht="24.95" customHeight="1" x14ac:dyDescent="0.2">
      <c r="A4" s="788" t="s">
        <v>12</v>
      </c>
      <c r="B4" s="789"/>
      <c r="C4" s="789"/>
      <c r="D4" s="790"/>
      <c r="E4" s="821">
        <f>'Акт отбора проб Почва'!E4:R4</f>
        <v>45739</v>
      </c>
      <c r="F4" s="821"/>
      <c r="G4" s="821"/>
      <c r="H4" s="821"/>
      <c r="I4" s="821"/>
      <c r="J4" s="821"/>
      <c r="K4" s="821"/>
      <c r="L4" s="821"/>
      <c r="M4" s="821"/>
      <c r="N4" s="821"/>
      <c r="O4" s="821"/>
      <c r="P4" s="821"/>
      <c r="Q4" s="821"/>
      <c r="R4" s="821"/>
      <c r="S4" s="403"/>
    </row>
    <row r="5" spans="1:43" ht="44.45" customHeight="1" x14ac:dyDescent="0.2">
      <c r="A5" s="792" t="s">
        <v>967</v>
      </c>
      <c r="B5" s="793"/>
      <c r="C5" s="793"/>
      <c r="D5" s="794"/>
      <c r="E5" s="785" t="str">
        <f>'Акт отбора проб Почва'!E5:R5</f>
        <v xml:space="preserve"> по адресу:</v>
      </c>
      <c r="F5" s="785"/>
      <c r="G5" s="785"/>
      <c r="H5" s="785"/>
      <c r="I5" s="785"/>
      <c r="J5" s="785"/>
      <c r="K5" s="785"/>
      <c r="L5" s="785"/>
      <c r="M5" s="785"/>
      <c r="N5" s="785"/>
      <c r="O5" s="785"/>
      <c r="P5" s="785"/>
      <c r="Q5" s="785"/>
      <c r="R5" s="785"/>
      <c r="S5" s="404"/>
    </row>
    <row r="6" spans="1:43" ht="27.75" customHeight="1" x14ac:dyDescent="0.2">
      <c r="A6" s="778" t="s">
        <v>791</v>
      </c>
      <c r="B6" s="779"/>
      <c r="C6" s="779"/>
      <c r="D6" s="780"/>
      <c r="E6" s="785" t="str">
        <f>'Акт отбора проб Почва'!E6:R6</f>
        <v>Из Тз</v>
      </c>
      <c r="F6" s="785"/>
      <c r="G6" s="785"/>
      <c r="H6" s="785"/>
      <c r="I6" s="785"/>
      <c r="J6" s="785"/>
      <c r="K6" s="785"/>
      <c r="L6" s="785"/>
      <c r="M6" s="785"/>
      <c r="N6" s="785"/>
      <c r="O6" s="785"/>
      <c r="P6" s="785"/>
      <c r="Q6" s="785"/>
      <c r="R6" s="785"/>
      <c r="S6" s="404"/>
    </row>
    <row r="7" spans="1:43" ht="24.95" customHeight="1" x14ac:dyDescent="0.2">
      <c r="A7" s="778" t="s">
        <v>792</v>
      </c>
      <c r="B7" s="779"/>
      <c r="C7" s="779"/>
      <c r="D7" s="780"/>
      <c r="E7" s="785" t="s">
        <v>962</v>
      </c>
      <c r="F7" s="785"/>
      <c r="G7" s="785"/>
      <c r="H7" s="785"/>
      <c r="I7" s="785"/>
      <c r="J7" s="785"/>
      <c r="K7" s="785"/>
      <c r="L7" s="785"/>
      <c r="M7" s="785"/>
      <c r="N7" s="785"/>
      <c r="O7" s="785"/>
      <c r="P7" s="785"/>
      <c r="Q7" s="785"/>
      <c r="R7" s="785"/>
      <c r="S7" s="404"/>
    </row>
    <row r="8" spans="1:43" ht="45.75" customHeight="1" x14ac:dyDescent="0.2">
      <c r="A8" s="778" t="s">
        <v>793</v>
      </c>
      <c r="B8" s="779"/>
      <c r="C8" s="779"/>
      <c r="D8" s="780"/>
      <c r="E8" s="775" t="s">
        <v>10</v>
      </c>
      <c r="F8" s="776"/>
      <c r="G8" s="776"/>
      <c r="H8" s="776"/>
      <c r="I8" s="776"/>
      <c r="J8" s="776"/>
      <c r="K8" s="776"/>
      <c r="L8" s="776"/>
      <c r="M8" s="776"/>
      <c r="N8" s="776"/>
      <c r="O8" s="776"/>
      <c r="P8" s="776"/>
      <c r="Q8" s="776"/>
      <c r="R8" s="777"/>
      <c r="S8" s="404"/>
    </row>
    <row r="9" spans="1:43" ht="24.95" customHeight="1" x14ac:dyDescent="0.2">
      <c r="A9" s="778" t="s">
        <v>14</v>
      </c>
      <c r="B9" s="779"/>
      <c r="C9" s="779"/>
      <c r="D9" s="780"/>
      <c r="E9" s="781">
        <f>E4</f>
        <v>45739</v>
      </c>
      <c r="F9" s="782"/>
      <c r="G9" s="782"/>
      <c r="H9" s="782"/>
      <c r="I9" s="782"/>
      <c r="J9" s="783"/>
      <c r="K9" s="770" t="s">
        <v>15</v>
      </c>
      <c r="L9" s="770"/>
      <c r="M9" s="770"/>
      <c r="N9" s="771" t="s">
        <v>16</v>
      </c>
      <c r="O9" s="772"/>
      <c r="P9" s="772"/>
      <c r="Q9" s="772"/>
      <c r="R9" s="773"/>
      <c r="S9" s="405"/>
      <c r="Z9" s="11"/>
      <c r="AA9" s="11"/>
      <c r="AB9" s="11"/>
      <c r="AC9" s="11"/>
      <c r="AD9" s="11"/>
      <c r="AE9" s="11"/>
      <c r="AF9" s="11"/>
      <c r="AG9" s="11"/>
      <c r="AH9" s="11"/>
      <c r="AI9" s="11"/>
      <c r="AJ9" s="11"/>
      <c r="AK9" s="11"/>
      <c r="AL9" s="11"/>
      <c r="AM9" s="11"/>
      <c r="AN9" s="11"/>
      <c r="AO9" s="11"/>
      <c r="AP9" s="11"/>
      <c r="AQ9" s="11"/>
    </row>
    <row r="10" spans="1:43" ht="9.75" customHeight="1" x14ac:dyDescent="0.2">
      <c r="A10" s="13"/>
      <c r="B10" s="13"/>
      <c r="C10" s="13"/>
      <c r="D10" s="13"/>
      <c r="E10" s="13"/>
      <c r="F10" s="13"/>
      <c r="G10" s="13"/>
      <c r="H10" s="13"/>
      <c r="I10" s="13"/>
      <c r="J10" s="13"/>
      <c r="K10" s="14"/>
      <c r="L10" s="13"/>
      <c r="M10" s="13"/>
      <c r="N10" s="13"/>
      <c r="O10" s="13"/>
      <c r="P10" s="13"/>
      <c r="Q10" s="13"/>
      <c r="R10" s="13"/>
      <c r="S10" s="13"/>
      <c r="U10" s="11"/>
      <c r="V10" s="11"/>
      <c r="W10" s="11"/>
      <c r="X10" s="11"/>
      <c r="Y10" s="11"/>
      <c r="Z10" s="11"/>
      <c r="AA10" s="11"/>
      <c r="AB10" s="11"/>
      <c r="AC10" s="11"/>
      <c r="AD10" s="11"/>
      <c r="AE10" s="11"/>
      <c r="AF10" s="11"/>
      <c r="AG10" s="11"/>
      <c r="AH10" s="11"/>
      <c r="AI10" s="11"/>
      <c r="AJ10" s="11"/>
      <c r="AK10" s="11"/>
      <c r="AL10" s="11"/>
      <c r="AM10" s="11"/>
      <c r="AN10" s="11"/>
      <c r="AO10" s="11"/>
      <c r="AP10" s="11"/>
      <c r="AQ10" s="11"/>
    </row>
    <row r="11" spans="1:43" ht="12" customHeight="1" x14ac:dyDescent="0.25">
      <c r="A11" s="795" t="s">
        <v>1032</v>
      </c>
      <c r="B11" s="795"/>
      <c r="C11" s="795"/>
      <c r="D11" s="795"/>
      <c r="E11" s="795"/>
      <c r="F11" s="795"/>
      <c r="G11" s="795"/>
      <c r="H11" s="795"/>
      <c r="I11" s="795"/>
      <c r="J11" s="795"/>
      <c r="K11" s="795"/>
      <c r="L11" s="795"/>
      <c r="M11" s="795"/>
      <c r="N11" s="795"/>
      <c r="O11" s="795"/>
      <c r="P11" s="795"/>
      <c r="Q11" s="795"/>
      <c r="R11" s="795"/>
      <c r="S11" s="406"/>
      <c r="Z11" s="11"/>
      <c r="AA11" s="11"/>
      <c r="AB11" s="11"/>
      <c r="AC11" s="11"/>
      <c r="AD11" s="11"/>
      <c r="AE11" s="11"/>
      <c r="AF11" s="11"/>
      <c r="AG11" s="11"/>
      <c r="AH11" s="11"/>
      <c r="AI11" s="11"/>
      <c r="AJ11" s="11"/>
      <c r="AK11" s="11"/>
      <c r="AL11" s="11"/>
      <c r="AM11" s="11"/>
      <c r="AN11" s="11"/>
      <c r="AO11" s="11"/>
      <c r="AP11" s="11"/>
      <c r="AQ11" s="11"/>
    </row>
    <row r="12" spans="1:43" customFormat="1" ht="30" customHeight="1" x14ac:dyDescent="0.2">
      <c r="A12" s="796" t="s">
        <v>27</v>
      </c>
      <c r="B12" s="796"/>
      <c r="C12" s="796"/>
      <c r="D12" s="796"/>
      <c r="E12" s="796" t="s">
        <v>28</v>
      </c>
      <c r="F12" s="796"/>
      <c r="G12" s="796"/>
      <c r="H12" s="796" t="s">
        <v>29</v>
      </c>
      <c r="I12" s="796"/>
      <c r="J12" s="796"/>
      <c r="K12" s="796"/>
      <c r="L12" s="798" t="s">
        <v>642</v>
      </c>
      <c r="M12" s="798"/>
      <c r="N12" s="798"/>
      <c r="O12" s="798"/>
      <c r="P12" s="801" t="s">
        <v>31</v>
      </c>
      <c r="Q12" s="802"/>
      <c r="R12" s="803"/>
      <c r="S12" s="13"/>
      <c r="Z12" s="112"/>
      <c r="AA12" s="112"/>
      <c r="AB12" s="112"/>
      <c r="AC12" s="112"/>
      <c r="AD12" s="112"/>
      <c r="AE12" s="112"/>
      <c r="AF12" s="112"/>
      <c r="AG12" s="112"/>
      <c r="AH12" s="112"/>
      <c r="AI12" s="112"/>
      <c r="AJ12" s="112"/>
      <c r="AK12" s="112"/>
      <c r="AL12" s="112"/>
      <c r="AM12" s="112"/>
      <c r="AN12" s="112"/>
      <c r="AO12" s="112"/>
      <c r="AP12" s="112"/>
      <c r="AQ12" s="112"/>
    </row>
    <row r="13" spans="1:43" customFormat="1" ht="30" customHeight="1" x14ac:dyDescent="0.2">
      <c r="A13" s="819"/>
      <c r="B13" s="819"/>
      <c r="C13" s="819"/>
      <c r="D13" s="819"/>
      <c r="E13" s="819"/>
      <c r="F13" s="819"/>
      <c r="G13" s="819"/>
      <c r="H13" s="804"/>
      <c r="I13" s="804"/>
      <c r="J13" s="804"/>
      <c r="K13" s="804"/>
      <c r="L13" s="804"/>
      <c r="M13" s="804"/>
      <c r="N13" s="804"/>
      <c r="O13" s="804"/>
      <c r="P13" s="805"/>
      <c r="Q13" s="806"/>
      <c r="R13" s="807"/>
      <c r="S13" s="407"/>
      <c r="Z13" s="112"/>
      <c r="AA13" s="112"/>
      <c r="AB13" s="112"/>
      <c r="AC13" s="112"/>
      <c r="AD13" s="112"/>
      <c r="AE13" s="112"/>
      <c r="AF13" s="112"/>
      <c r="AG13" s="112"/>
      <c r="AH13" s="112"/>
      <c r="AI13" s="112"/>
      <c r="AJ13" s="112"/>
      <c r="AK13" s="112"/>
      <c r="AL13" s="112"/>
      <c r="AM13" s="112"/>
      <c r="AN13" s="112"/>
      <c r="AO13" s="112"/>
      <c r="AP13" s="112"/>
      <c r="AQ13" s="112"/>
    </row>
    <row r="14" spans="1:43" ht="7.5" customHeight="1" x14ac:dyDescent="0.2">
      <c r="A14" s="15"/>
      <c r="B14" s="15"/>
      <c r="C14" s="15"/>
      <c r="D14" s="15"/>
      <c r="E14" s="16"/>
      <c r="F14" s="16"/>
      <c r="G14" s="16"/>
      <c r="H14" s="16"/>
      <c r="I14" s="16"/>
      <c r="J14" s="16"/>
      <c r="K14" s="17"/>
      <c r="L14" s="17"/>
      <c r="M14" s="17"/>
      <c r="N14" s="16"/>
      <c r="O14" s="16"/>
      <c r="P14" s="16"/>
      <c r="Q14" s="16"/>
      <c r="R14" s="16"/>
      <c r="S14" s="16"/>
      <c r="T14" s="5" t="s">
        <v>337</v>
      </c>
      <c r="Z14" s="11"/>
      <c r="AA14" s="11"/>
      <c r="AB14" s="11"/>
      <c r="AC14" s="11"/>
      <c r="AD14" s="11"/>
      <c r="AE14" s="700"/>
      <c r="AF14" s="700"/>
      <c r="AG14" s="700"/>
      <c r="AH14" s="11"/>
      <c r="AI14" s="11"/>
      <c r="AJ14" s="11"/>
      <c r="AK14" s="11"/>
      <c r="AL14" s="11"/>
      <c r="AM14" s="11"/>
      <c r="AN14" s="11"/>
      <c r="AO14" s="11"/>
      <c r="AP14" s="11"/>
      <c r="AQ14" s="11"/>
    </row>
    <row r="15" spans="1:43" ht="15" customHeight="1" x14ac:dyDescent="0.2">
      <c r="A15" s="808" t="s">
        <v>794</v>
      </c>
      <c r="B15" s="808"/>
      <c r="C15" s="808"/>
      <c r="D15" s="808"/>
      <c r="E15" s="808"/>
      <c r="F15" s="808"/>
      <c r="G15" s="808"/>
      <c r="H15" s="808"/>
      <c r="I15" s="808"/>
      <c r="J15" s="808"/>
      <c r="K15" s="808"/>
      <c r="L15" s="808"/>
      <c r="M15" s="808"/>
      <c r="N15" s="808"/>
      <c r="O15" s="808"/>
      <c r="P15" s="808"/>
      <c r="Q15" s="808"/>
      <c r="R15" s="808"/>
      <c r="S15" s="408"/>
      <c r="Z15" s="11"/>
      <c r="AA15" s="11"/>
      <c r="AB15" s="11"/>
      <c r="AC15" s="11"/>
      <c r="AD15" s="11"/>
      <c r="AE15" s="700"/>
      <c r="AF15" s="700"/>
      <c r="AG15" s="700"/>
      <c r="AH15" s="11"/>
      <c r="AI15" s="11"/>
      <c r="AJ15" s="11"/>
      <c r="AK15" s="11"/>
      <c r="AL15" s="11"/>
      <c r="AM15" s="11"/>
      <c r="AN15" s="11"/>
      <c r="AO15" s="11"/>
      <c r="AP15" s="11"/>
      <c r="AQ15" s="11"/>
    </row>
    <row r="16" spans="1:43" ht="21" customHeight="1" x14ac:dyDescent="0.2">
      <c r="A16" s="739" t="s">
        <v>7</v>
      </c>
      <c r="B16" s="896" t="s">
        <v>815</v>
      </c>
      <c r="C16" s="897"/>
      <c r="D16" s="897"/>
      <c r="E16" s="897"/>
      <c r="F16" s="897"/>
      <c r="G16" s="897"/>
      <c r="H16" s="897"/>
      <c r="I16" s="897"/>
      <c r="J16" s="897"/>
      <c r="K16" s="897"/>
      <c r="L16" s="897"/>
      <c r="M16" s="897"/>
      <c r="N16" s="897"/>
      <c r="O16" s="897"/>
      <c r="P16" s="898"/>
      <c r="Q16" s="739" t="s">
        <v>797</v>
      </c>
      <c r="R16" s="739"/>
      <c r="S16" s="402"/>
      <c r="Z16" s="11"/>
      <c r="AA16" s="11"/>
      <c r="AB16" s="11"/>
      <c r="AC16" s="11"/>
      <c r="AD16" s="11"/>
      <c r="AE16" s="11"/>
      <c r="AF16" s="11"/>
      <c r="AG16" s="11"/>
      <c r="AH16" s="11"/>
      <c r="AI16" s="11"/>
      <c r="AJ16" s="11"/>
      <c r="AK16" s="11"/>
      <c r="AL16" s="11"/>
      <c r="AM16" s="11"/>
      <c r="AN16" s="11"/>
      <c r="AO16" s="11"/>
      <c r="AP16" s="11"/>
      <c r="AQ16" s="11"/>
    </row>
    <row r="17" spans="1:59" ht="36" customHeight="1" x14ac:dyDescent="0.2">
      <c r="A17" s="739"/>
      <c r="B17" s="740" t="s">
        <v>796</v>
      </c>
      <c r="C17" s="740" t="s">
        <v>35</v>
      </c>
      <c r="D17" s="740"/>
      <c r="E17" s="741" t="s">
        <v>813</v>
      </c>
      <c r="F17" s="741" t="s">
        <v>865</v>
      </c>
      <c r="G17" s="741"/>
      <c r="H17" s="741" t="s">
        <v>795</v>
      </c>
      <c r="I17" s="741"/>
      <c r="J17" s="743" t="s">
        <v>884</v>
      </c>
      <c r="K17" s="744"/>
      <c r="L17" s="756"/>
      <c r="M17" s="743" t="s">
        <v>849</v>
      </c>
      <c r="N17" s="744"/>
      <c r="O17" s="744"/>
      <c r="P17" s="756"/>
      <c r="Q17" s="739"/>
      <c r="R17" s="739"/>
      <c r="S17" s="402"/>
      <c r="Z17" s="11"/>
      <c r="AA17" s="11"/>
      <c r="AB17" s="11"/>
      <c r="AC17" s="11"/>
      <c r="AD17" s="11"/>
      <c r="AE17" s="11"/>
      <c r="AF17" s="11"/>
      <c r="AG17" s="11"/>
      <c r="AH17" s="11"/>
      <c r="AI17" s="11"/>
      <c r="AJ17" s="11"/>
      <c r="AK17" s="11"/>
      <c r="AL17" s="11"/>
      <c r="AM17" s="11"/>
      <c r="AN17" s="11"/>
      <c r="AO17" s="11"/>
      <c r="AP17" s="11"/>
      <c r="AQ17" s="11"/>
    </row>
    <row r="18" spans="1:59" ht="15.75" customHeight="1" x14ac:dyDescent="0.2">
      <c r="A18" s="739"/>
      <c r="B18" s="740"/>
      <c r="C18" s="740"/>
      <c r="D18" s="740"/>
      <c r="E18" s="741"/>
      <c r="F18" s="741"/>
      <c r="G18" s="741"/>
      <c r="H18" s="741"/>
      <c r="I18" s="741"/>
      <c r="J18" s="757"/>
      <c r="K18" s="824"/>
      <c r="L18" s="758"/>
      <c r="M18" s="757"/>
      <c r="N18" s="824"/>
      <c r="O18" s="824"/>
      <c r="P18" s="758"/>
      <c r="Q18" s="25" t="s">
        <v>38</v>
      </c>
      <c r="R18" s="25" t="s">
        <v>39</v>
      </c>
      <c r="S18" s="409"/>
      <c r="Z18" s="11"/>
      <c r="AA18" s="11"/>
      <c r="AB18" s="11"/>
      <c r="AC18" s="11"/>
      <c r="AD18" s="11"/>
      <c r="AE18" s="11"/>
      <c r="AF18" s="11"/>
      <c r="AG18" s="11"/>
      <c r="AH18" s="11"/>
      <c r="AI18" s="11"/>
      <c r="AJ18" s="11"/>
      <c r="AK18" s="11"/>
      <c r="AL18" s="11"/>
      <c r="AM18" s="11"/>
      <c r="AN18" s="11"/>
      <c r="AO18" s="11"/>
      <c r="AP18" s="11"/>
      <c r="AQ18" s="11"/>
    </row>
    <row r="19" spans="1:59" s="23" customFormat="1" ht="11.1" customHeight="1" x14ac:dyDescent="0.2">
      <c r="A19" s="21">
        <v>1</v>
      </c>
      <c r="B19" s="21">
        <v>2</v>
      </c>
      <c r="C19" s="752">
        <v>3</v>
      </c>
      <c r="D19" s="753"/>
      <c r="E19" s="22">
        <v>4</v>
      </c>
      <c r="F19" s="749">
        <v>5</v>
      </c>
      <c r="G19" s="750"/>
      <c r="H19" s="751">
        <v>6</v>
      </c>
      <c r="I19" s="751"/>
      <c r="J19" s="749">
        <v>7</v>
      </c>
      <c r="K19" s="871"/>
      <c r="L19" s="750"/>
      <c r="M19" s="752">
        <v>8</v>
      </c>
      <c r="N19" s="909"/>
      <c r="O19" s="909"/>
      <c r="P19" s="753"/>
      <c r="Q19" s="21">
        <v>9</v>
      </c>
      <c r="R19" s="22">
        <v>10</v>
      </c>
      <c r="S19" s="410"/>
      <c r="Z19" s="424"/>
      <c r="AA19" s="424"/>
      <c r="AB19" s="424"/>
      <c r="AC19" s="424"/>
      <c r="AD19" s="424"/>
      <c r="AE19" s="424"/>
      <c r="AF19" s="424"/>
      <c r="AG19" s="424"/>
      <c r="AH19" s="424"/>
      <c r="AI19" s="424"/>
      <c r="AJ19" s="424"/>
      <c r="AK19" s="424"/>
      <c r="AL19" s="424"/>
      <c r="AM19" s="424"/>
      <c r="AN19" s="424"/>
      <c r="AO19" s="424"/>
      <c r="AP19" s="424"/>
      <c r="AQ19" s="424"/>
    </row>
    <row r="20" spans="1:59" ht="15" customHeight="1" x14ac:dyDescent="0.2">
      <c r="A20" s="18">
        <v>1</v>
      </c>
      <c r="B20" s="19" t="s">
        <v>40</v>
      </c>
      <c r="C20" s="766" t="s">
        <v>850</v>
      </c>
      <c r="D20" s="767"/>
      <c r="E20" s="316" t="s">
        <v>42</v>
      </c>
      <c r="F20" s="737" t="s">
        <v>866</v>
      </c>
      <c r="G20" s="738"/>
      <c r="H20" s="759" t="s">
        <v>844</v>
      </c>
      <c r="I20" s="759"/>
      <c r="J20" s="905">
        <v>0.2</v>
      </c>
      <c r="K20" s="906"/>
      <c r="L20" s="907"/>
      <c r="M20" s="902" t="s">
        <v>1028</v>
      </c>
      <c r="N20" s="903"/>
      <c r="O20" s="903"/>
      <c r="P20" s="904"/>
      <c r="Q20" s="317" t="s">
        <v>643</v>
      </c>
      <c r="R20" s="317" t="s">
        <v>644</v>
      </c>
      <c r="S20" s="411"/>
      <c r="Z20" s="698"/>
      <c r="AA20" s="698"/>
      <c r="AB20" s="698"/>
      <c r="AC20" s="698"/>
      <c r="AD20" s="698"/>
      <c r="AE20" s="698"/>
      <c r="AF20" s="698"/>
      <c r="AG20" s="698"/>
      <c r="AH20" s="698"/>
      <c r="AI20" s="698"/>
      <c r="AJ20" s="698"/>
      <c r="AK20" s="698"/>
      <c r="AL20" s="698"/>
      <c r="AM20" s="698"/>
      <c r="AN20" s="698"/>
      <c r="AO20" s="698"/>
      <c r="AP20" s="698"/>
      <c r="AQ20" s="698"/>
    </row>
    <row r="21" spans="1:59" ht="15" customHeight="1" x14ac:dyDescent="0.2">
      <c r="A21" s="18">
        <v>2</v>
      </c>
      <c r="B21" s="19" t="s">
        <v>40</v>
      </c>
      <c r="C21" s="766" t="s">
        <v>851</v>
      </c>
      <c r="D21" s="767"/>
      <c r="E21" s="316" t="s">
        <v>42</v>
      </c>
      <c r="F21" s="737" t="s">
        <v>867</v>
      </c>
      <c r="G21" s="738"/>
      <c r="H21" s="759" t="s">
        <v>844</v>
      </c>
      <c r="I21" s="759"/>
      <c r="J21" s="905">
        <v>3.5</v>
      </c>
      <c r="K21" s="906"/>
      <c r="L21" s="907"/>
      <c r="M21" s="902" t="s">
        <v>1028</v>
      </c>
      <c r="N21" s="903"/>
      <c r="O21" s="903"/>
      <c r="P21" s="904"/>
      <c r="Q21" s="317" t="s">
        <v>643</v>
      </c>
      <c r="R21" s="317" t="s">
        <v>644</v>
      </c>
      <c r="S21" s="411"/>
      <c r="Z21" s="687"/>
      <c r="AA21" s="699"/>
      <c r="AB21" s="700"/>
      <c r="AC21" s="700"/>
      <c r="AD21" s="700"/>
      <c r="AE21" s="700"/>
      <c r="AF21" s="700"/>
      <c r="AG21" s="700"/>
      <c r="AH21" s="700"/>
      <c r="AI21" s="685"/>
      <c r="AJ21" s="685"/>
      <c r="AK21" s="685"/>
      <c r="AL21" s="685"/>
      <c r="AM21" s="685"/>
      <c r="AN21" s="685"/>
      <c r="AO21" s="685"/>
      <c r="AP21" s="687"/>
      <c r="AQ21" s="687"/>
    </row>
    <row r="22" spans="1:59" ht="15" customHeight="1" x14ac:dyDescent="0.2">
      <c r="A22" s="18">
        <v>3</v>
      </c>
      <c r="B22" s="19" t="s">
        <v>40</v>
      </c>
      <c r="C22" s="765" t="s">
        <v>852</v>
      </c>
      <c r="D22" s="765"/>
      <c r="E22" s="316" t="s">
        <v>42</v>
      </c>
      <c r="F22" s="737" t="s">
        <v>868</v>
      </c>
      <c r="G22" s="738"/>
      <c r="H22" s="759" t="s">
        <v>844</v>
      </c>
      <c r="I22" s="759"/>
      <c r="J22" s="874"/>
      <c r="K22" s="875"/>
      <c r="L22" s="876"/>
      <c r="M22" s="902"/>
      <c r="N22" s="903"/>
      <c r="O22" s="903"/>
      <c r="P22" s="904"/>
      <c r="Q22" s="317" t="s">
        <v>643</v>
      </c>
      <c r="R22" s="317" t="s">
        <v>644</v>
      </c>
      <c r="S22" s="411"/>
      <c r="Z22" s="687"/>
      <c r="AA22" s="699"/>
      <c r="AB22" s="699"/>
      <c r="AC22" s="699"/>
      <c r="AD22" s="699"/>
      <c r="AE22" s="701"/>
      <c r="AF22" s="701"/>
      <c r="AG22" s="702"/>
      <c r="AH22" s="702"/>
      <c r="AI22" s="702"/>
      <c r="AJ22" s="701"/>
      <c r="AK22" s="699"/>
      <c r="AL22" s="699"/>
      <c r="AM22" s="699"/>
      <c r="AN22" s="701"/>
      <c r="AO22" s="701"/>
      <c r="AP22" s="687"/>
      <c r="AQ22" s="687"/>
    </row>
    <row r="23" spans="1:59" ht="15" customHeight="1" x14ac:dyDescent="0.2">
      <c r="A23" s="18">
        <v>4</v>
      </c>
      <c r="B23" s="19" t="s">
        <v>40</v>
      </c>
      <c r="C23" s="765" t="s">
        <v>853</v>
      </c>
      <c r="D23" s="765"/>
      <c r="E23" s="316" t="s">
        <v>42</v>
      </c>
      <c r="F23" s="737" t="s">
        <v>869</v>
      </c>
      <c r="G23" s="738"/>
      <c r="H23" s="759" t="s">
        <v>844</v>
      </c>
      <c r="I23" s="759"/>
      <c r="J23" s="874"/>
      <c r="K23" s="875"/>
      <c r="L23" s="876"/>
      <c r="M23" s="902"/>
      <c r="N23" s="903"/>
      <c r="O23" s="903"/>
      <c r="P23" s="904"/>
      <c r="Q23" s="317" t="s">
        <v>643</v>
      </c>
      <c r="R23" s="317" t="s">
        <v>644</v>
      </c>
      <c r="S23" s="411"/>
      <c r="Z23" s="687"/>
      <c r="AA23" s="699"/>
      <c r="AB23" s="699"/>
      <c r="AC23" s="699"/>
      <c r="AD23" s="699"/>
      <c r="AE23" s="701"/>
      <c r="AF23" s="701"/>
      <c r="AG23" s="702"/>
      <c r="AH23" s="702"/>
      <c r="AI23" s="702"/>
      <c r="AJ23" s="701"/>
      <c r="AK23" s="699"/>
      <c r="AL23" s="699"/>
      <c r="AM23" s="699"/>
      <c r="AN23" s="701"/>
      <c r="AO23" s="701"/>
      <c r="AP23" s="409"/>
      <c r="AQ23" s="409"/>
    </row>
    <row r="24" spans="1:59" ht="15" customHeight="1" x14ac:dyDescent="0.2">
      <c r="A24" s="18">
        <v>5</v>
      </c>
      <c r="B24" s="19" t="s">
        <v>40</v>
      </c>
      <c r="C24" s="765" t="s">
        <v>854</v>
      </c>
      <c r="D24" s="765"/>
      <c r="E24" s="316" t="s">
        <v>42</v>
      </c>
      <c r="F24" s="737" t="s">
        <v>870</v>
      </c>
      <c r="G24" s="738"/>
      <c r="H24" s="759" t="s">
        <v>844</v>
      </c>
      <c r="I24" s="759"/>
      <c r="J24" s="874"/>
      <c r="K24" s="875"/>
      <c r="L24" s="876"/>
      <c r="M24" s="902"/>
      <c r="N24" s="903"/>
      <c r="O24" s="903"/>
      <c r="P24" s="904"/>
      <c r="Q24" s="317" t="s">
        <v>643</v>
      </c>
      <c r="R24" s="317" t="s">
        <v>644</v>
      </c>
      <c r="S24" s="411"/>
      <c r="Z24" s="426"/>
      <c r="AA24" s="426"/>
      <c r="AB24" s="692"/>
      <c r="AC24" s="692"/>
      <c r="AD24" s="410"/>
      <c r="AE24" s="693"/>
      <c r="AF24" s="693"/>
      <c r="AG24" s="410"/>
      <c r="AH24" s="410"/>
      <c r="AI24" s="410"/>
      <c r="AJ24" s="410"/>
      <c r="AK24" s="692"/>
      <c r="AL24" s="692"/>
      <c r="AM24" s="692"/>
      <c r="AN24" s="692"/>
      <c r="AO24" s="692"/>
      <c r="AP24" s="426"/>
      <c r="AQ24" s="410"/>
    </row>
    <row r="25" spans="1:59" ht="15" customHeight="1" x14ac:dyDescent="0.2">
      <c r="A25" s="18">
        <v>6</v>
      </c>
      <c r="B25" s="19" t="s">
        <v>40</v>
      </c>
      <c r="C25" s="765" t="s">
        <v>855</v>
      </c>
      <c r="D25" s="765"/>
      <c r="E25" s="316" t="s">
        <v>51</v>
      </c>
      <c r="F25" s="737" t="s">
        <v>871</v>
      </c>
      <c r="G25" s="738"/>
      <c r="H25" s="759" t="s">
        <v>844</v>
      </c>
      <c r="I25" s="759"/>
      <c r="J25" s="874"/>
      <c r="K25" s="875"/>
      <c r="L25" s="876"/>
      <c r="M25" s="902"/>
      <c r="N25" s="903"/>
      <c r="O25" s="903"/>
      <c r="P25" s="904"/>
      <c r="Q25" s="317" t="s">
        <v>643</v>
      </c>
      <c r="R25" s="317" t="s">
        <v>644</v>
      </c>
      <c r="S25" s="411"/>
      <c r="Z25" s="425"/>
      <c r="AA25" s="34"/>
      <c r="AB25" s="694"/>
      <c r="AC25" s="694"/>
      <c r="AD25" s="427"/>
      <c r="AE25" s="687"/>
      <c r="AF25" s="687"/>
      <c r="AG25" s="425"/>
      <c r="AH25" s="425"/>
      <c r="AI25" s="425"/>
      <c r="AJ25" s="428"/>
      <c r="AK25" s="688"/>
      <c r="AL25" s="688"/>
      <c r="AM25" s="688"/>
      <c r="AN25" s="687"/>
      <c r="AO25" s="687"/>
      <c r="AP25" s="411"/>
      <c r="AQ25" s="411"/>
      <c r="AR25" s="11"/>
      <c r="AS25" s="11"/>
      <c r="AT25" s="11"/>
      <c r="AU25" s="11"/>
      <c r="AV25" s="11"/>
      <c r="AW25" s="11"/>
      <c r="AX25" s="11"/>
      <c r="AY25" s="11"/>
      <c r="AZ25" s="11"/>
      <c r="BA25" s="11"/>
      <c r="BB25" s="11"/>
      <c r="BC25" s="11"/>
      <c r="BD25" s="11"/>
      <c r="BE25" s="11"/>
      <c r="BF25" s="11"/>
      <c r="BG25" s="11"/>
    </row>
    <row r="26" spans="1:59" ht="15" customHeight="1" x14ac:dyDescent="0.2">
      <c r="A26" s="18">
        <v>7</v>
      </c>
      <c r="B26" s="19" t="s">
        <v>40</v>
      </c>
      <c r="C26" s="765" t="s">
        <v>856</v>
      </c>
      <c r="D26" s="765"/>
      <c r="E26" s="316" t="s">
        <v>51</v>
      </c>
      <c r="F26" s="737" t="s">
        <v>872</v>
      </c>
      <c r="G26" s="738"/>
      <c r="H26" s="759" t="s">
        <v>844</v>
      </c>
      <c r="I26" s="759"/>
      <c r="J26" s="874"/>
      <c r="K26" s="875"/>
      <c r="L26" s="876"/>
      <c r="M26" s="902"/>
      <c r="N26" s="903"/>
      <c r="O26" s="903"/>
      <c r="P26" s="904"/>
      <c r="Q26" s="317" t="s">
        <v>643</v>
      </c>
      <c r="R26" s="317" t="s">
        <v>644</v>
      </c>
      <c r="S26" s="411"/>
      <c r="Z26" s="425"/>
      <c r="AA26" s="34"/>
      <c r="AB26" s="694"/>
      <c r="AC26" s="694"/>
      <c r="AD26" s="427"/>
      <c r="AE26" s="687"/>
      <c r="AF26" s="687"/>
      <c r="AG26" s="425"/>
      <c r="AH26" s="425"/>
      <c r="AI26" s="425"/>
      <c r="AJ26" s="428"/>
      <c r="AK26" s="688"/>
      <c r="AL26" s="688"/>
      <c r="AM26" s="688"/>
      <c r="AN26" s="687"/>
      <c r="AO26" s="687"/>
      <c r="AP26" s="411"/>
      <c r="AQ26" s="411"/>
      <c r="AR26" s="11"/>
      <c r="AS26" s="11"/>
      <c r="AT26" s="11"/>
      <c r="AU26" s="11"/>
      <c r="AV26" s="11"/>
      <c r="AW26" s="11"/>
      <c r="AX26" s="11"/>
      <c r="AY26" s="11"/>
      <c r="AZ26" s="11"/>
      <c r="BA26" s="11"/>
      <c r="BB26" s="11"/>
      <c r="BC26" s="11"/>
      <c r="BD26" s="11"/>
      <c r="BE26" s="11"/>
      <c r="BF26" s="11"/>
      <c r="BG26" s="11"/>
    </row>
    <row r="27" spans="1:59" ht="15" customHeight="1" x14ac:dyDescent="0.2">
      <c r="A27" s="18">
        <v>8</v>
      </c>
      <c r="B27" s="19" t="s">
        <v>40</v>
      </c>
      <c r="C27" s="765" t="s">
        <v>857</v>
      </c>
      <c r="D27" s="765"/>
      <c r="E27" s="316" t="s">
        <v>51</v>
      </c>
      <c r="F27" s="737" t="s">
        <v>873</v>
      </c>
      <c r="G27" s="738"/>
      <c r="H27" s="759" t="s">
        <v>844</v>
      </c>
      <c r="I27" s="759"/>
      <c r="J27" s="874"/>
      <c r="K27" s="875"/>
      <c r="L27" s="876"/>
      <c r="M27" s="902"/>
      <c r="N27" s="903"/>
      <c r="O27" s="903"/>
      <c r="P27" s="904"/>
      <c r="Q27" s="317" t="s">
        <v>643</v>
      </c>
      <c r="R27" s="317" t="s">
        <v>644</v>
      </c>
      <c r="S27" s="4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row>
    <row r="28" spans="1:59" ht="15" customHeight="1" x14ac:dyDescent="0.2">
      <c r="A28" s="18">
        <v>9</v>
      </c>
      <c r="B28" s="19" t="s">
        <v>40</v>
      </c>
      <c r="C28" s="765" t="s">
        <v>858</v>
      </c>
      <c r="D28" s="765"/>
      <c r="E28" s="316" t="s">
        <v>51</v>
      </c>
      <c r="F28" s="737" t="s">
        <v>874</v>
      </c>
      <c r="G28" s="738"/>
      <c r="H28" s="759" t="s">
        <v>844</v>
      </c>
      <c r="I28" s="759"/>
      <c r="J28" s="874"/>
      <c r="K28" s="875"/>
      <c r="L28" s="876"/>
      <c r="M28" s="902"/>
      <c r="N28" s="903"/>
      <c r="O28" s="903"/>
      <c r="P28" s="904"/>
      <c r="Q28" s="317" t="s">
        <v>643</v>
      </c>
      <c r="R28" s="317" t="s">
        <v>644</v>
      </c>
      <c r="S28" s="4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row>
    <row r="29" spans="1:59" ht="15" customHeight="1" x14ac:dyDescent="0.2">
      <c r="A29" s="18">
        <v>10</v>
      </c>
      <c r="B29" s="19" t="s">
        <v>40</v>
      </c>
      <c r="C29" s="765" t="s">
        <v>859</v>
      </c>
      <c r="D29" s="765"/>
      <c r="E29" s="316" t="s">
        <v>51</v>
      </c>
      <c r="F29" s="737" t="s">
        <v>875</v>
      </c>
      <c r="G29" s="738"/>
      <c r="H29" s="759" t="s">
        <v>844</v>
      </c>
      <c r="I29" s="759"/>
      <c r="J29" s="874"/>
      <c r="K29" s="875"/>
      <c r="L29" s="876"/>
      <c r="M29" s="902"/>
      <c r="N29" s="903"/>
      <c r="O29" s="903"/>
      <c r="P29" s="904"/>
      <c r="Q29" s="317" t="s">
        <v>643</v>
      </c>
      <c r="R29" s="317" t="s">
        <v>644</v>
      </c>
      <c r="S29" s="411"/>
      <c r="AP29" s="11"/>
      <c r="AQ29" s="11"/>
      <c r="AR29" s="11"/>
      <c r="AS29" s="11"/>
      <c r="AT29" s="11"/>
      <c r="AU29" s="11"/>
      <c r="AV29" s="11"/>
      <c r="AW29" s="11"/>
      <c r="AX29" s="11"/>
      <c r="AY29" s="11"/>
      <c r="AZ29" s="11"/>
      <c r="BA29" s="11"/>
      <c r="BB29" s="11"/>
      <c r="BC29" s="11"/>
      <c r="BD29" s="11"/>
      <c r="BE29" s="11"/>
      <c r="BF29" s="11"/>
      <c r="BG29" s="11"/>
    </row>
    <row r="30" spans="1:59" ht="15" customHeight="1" x14ac:dyDescent="0.2">
      <c r="A30" s="18">
        <v>11</v>
      </c>
      <c r="B30" s="19" t="s">
        <v>40</v>
      </c>
      <c r="C30" s="765" t="s">
        <v>860</v>
      </c>
      <c r="D30" s="765"/>
      <c r="E30" s="316" t="s">
        <v>51</v>
      </c>
      <c r="F30" s="737" t="s">
        <v>876</v>
      </c>
      <c r="G30" s="738"/>
      <c r="H30" s="759" t="s">
        <v>844</v>
      </c>
      <c r="I30" s="759"/>
      <c r="J30" s="874"/>
      <c r="K30" s="875"/>
      <c r="L30" s="876"/>
      <c r="M30" s="902"/>
      <c r="N30" s="903"/>
      <c r="O30" s="903"/>
      <c r="P30" s="904"/>
      <c r="Q30" s="317" t="s">
        <v>643</v>
      </c>
      <c r="R30" s="317" t="s">
        <v>644</v>
      </c>
      <c r="S30" s="411"/>
      <c r="AP30" s="11"/>
      <c r="AQ30" s="11"/>
      <c r="AR30" s="11"/>
      <c r="AS30" s="11"/>
      <c r="AT30" s="11"/>
      <c r="AU30" s="11"/>
      <c r="AV30" s="11"/>
      <c r="AW30" s="11"/>
      <c r="AX30" s="11"/>
      <c r="AY30" s="11"/>
      <c r="AZ30" s="11"/>
      <c r="BA30" s="11"/>
      <c r="BB30" s="11"/>
      <c r="BC30" s="11"/>
      <c r="BD30" s="11"/>
      <c r="BE30" s="11"/>
      <c r="BF30" s="11"/>
      <c r="BG30" s="11"/>
    </row>
    <row r="31" spans="1:59" ht="15" customHeight="1" x14ac:dyDescent="0.2">
      <c r="A31" s="18">
        <v>12</v>
      </c>
      <c r="B31" s="19" t="s">
        <v>40</v>
      </c>
      <c r="C31" s="765" t="s">
        <v>861</v>
      </c>
      <c r="D31" s="765"/>
      <c r="E31" s="316" t="s">
        <v>51</v>
      </c>
      <c r="F31" s="737" t="s">
        <v>877</v>
      </c>
      <c r="G31" s="738"/>
      <c r="H31" s="759" t="s">
        <v>844</v>
      </c>
      <c r="I31" s="759"/>
      <c r="J31" s="874"/>
      <c r="K31" s="875"/>
      <c r="L31" s="876"/>
      <c r="M31" s="902"/>
      <c r="N31" s="903"/>
      <c r="O31" s="903"/>
      <c r="P31" s="904"/>
      <c r="Q31" s="317" t="s">
        <v>643</v>
      </c>
      <c r="R31" s="317" t="s">
        <v>644</v>
      </c>
      <c r="S31" s="411"/>
      <c r="AP31" s="11"/>
      <c r="AQ31" s="11"/>
      <c r="AR31" s="11"/>
      <c r="AS31" s="11"/>
      <c r="AT31" s="11"/>
      <c r="AU31" s="11"/>
      <c r="AV31" s="11"/>
      <c r="AW31" s="11"/>
      <c r="AX31" s="11"/>
      <c r="AY31" s="11"/>
      <c r="AZ31" s="11"/>
      <c r="BA31" s="11"/>
      <c r="BB31" s="11"/>
      <c r="BC31" s="11"/>
      <c r="BD31" s="11"/>
      <c r="BE31" s="11"/>
      <c r="BF31" s="11"/>
      <c r="BG31" s="11"/>
    </row>
    <row r="32" spans="1:59" ht="15" customHeight="1" x14ac:dyDescent="0.2">
      <c r="A32" s="18">
        <v>13</v>
      </c>
      <c r="B32" s="19" t="s">
        <v>40</v>
      </c>
      <c r="C32" s="765" t="s">
        <v>862</v>
      </c>
      <c r="D32" s="765"/>
      <c r="E32" s="316" t="s">
        <v>51</v>
      </c>
      <c r="F32" s="737" t="s">
        <v>878</v>
      </c>
      <c r="G32" s="738"/>
      <c r="H32" s="759" t="s">
        <v>844</v>
      </c>
      <c r="I32" s="759"/>
      <c r="J32" s="874"/>
      <c r="K32" s="875"/>
      <c r="L32" s="876"/>
      <c r="M32" s="902"/>
      <c r="N32" s="903"/>
      <c r="O32" s="903"/>
      <c r="P32" s="904"/>
      <c r="Q32" s="317" t="s">
        <v>643</v>
      </c>
      <c r="R32" s="317" t="s">
        <v>644</v>
      </c>
      <c r="S32" s="411"/>
      <c r="AP32" s="11"/>
      <c r="AQ32" s="11"/>
      <c r="AR32" s="11"/>
      <c r="AS32" s="11"/>
      <c r="AT32" s="11"/>
      <c r="AU32" s="11"/>
      <c r="AV32" s="11"/>
      <c r="AW32" s="11"/>
      <c r="AX32" s="11"/>
      <c r="AY32" s="11"/>
      <c r="AZ32" s="11"/>
      <c r="BA32" s="11"/>
      <c r="BB32" s="11"/>
      <c r="BC32" s="11"/>
      <c r="BD32" s="11"/>
      <c r="BE32" s="11"/>
      <c r="BF32" s="11"/>
      <c r="BG32" s="11"/>
    </row>
    <row r="33" spans="1:59" ht="15" customHeight="1" x14ac:dyDescent="0.2">
      <c r="A33" s="18">
        <v>14</v>
      </c>
      <c r="B33" s="19" t="s">
        <v>40</v>
      </c>
      <c r="C33" s="765" t="s">
        <v>863</v>
      </c>
      <c r="D33" s="765"/>
      <c r="E33" s="316" t="s">
        <v>51</v>
      </c>
      <c r="F33" s="737" t="s">
        <v>879</v>
      </c>
      <c r="G33" s="738"/>
      <c r="H33" s="759" t="s">
        <v>844</v>
      </c>
      <c r="I33" s="759"/>
      <c r="J33" s="874"/>
      <c r="K33" s="875"/>
      <c r="L33" s="876"/>
      <c r="M33" s="902"/>
      <c r="N33" s="903"/>
      <c r="O33" s="903"/>
      <c r="P33" s="904"/>
      <c r="Q33" s="317" t="s">
        <v>643</v>
      </c>
      <c r="R33" s="317" t="s">
        <v>644</v>
      </c>
      <c r="S33" s="411"/>
      <c r="AP33" s="11"/>
      <c r="AQ33" s="11"/>
      <c r="AR33" s="11"/>
      <c r="AS33" s="11"/>
      <c r="AT33" s="11"/>
      <c r="AU33" s="11"/>
      <c r="AV33" s="11"/>
      <c r="AW33" s="11"/>
      <c r="AX33" s="11"/>
      <c r="AY33" s="11"/>
      <c r="AZ33" s="11"/>
      <c r="BA33" s="11"/>
      <c r="BB33" s="11"/>
      <c r="BC33" s="11"/>
      <c r="BD33" s="11"/>
      <c r="BE33" s="11"/>
      <c r="BF33" s="11"/>
      <c r="BG33" s="11"/>
    </row>
    <row r="34" spans="1:59" ht="15" customHeight="1" x14ac:dyDescent="0.2">
      <c r="A34" s="18">
        <v>15</v>
      </c>
      <c r="B34" s="19" t="s">
        <v>40</v>
      </c>
      <c r="C34" s="765" t="s">
        <v>864</v>
      </c>
      <c r="D34" s="765"/>
      <c r="E34" s="316" t="s">
        <v>51</v>
      </c>
      <c r="F34" s="737" t="s">
        <v>880</v>
      </c>
      <c r="G34" s="738"/>
      <c r="H34" s="759" t="s">
        <v>844</v>
      </c>
      <c r="I34" s="759"/>
      <c r="J34" s="874"/>
      <c r="K34" s="875"/>
      <c r="L34" s="876"/>
      <c r="M34" s="902"/>
      <c r="N34" s="903"/>
      <c r="O34" s="903"/>
      <c r="P34" s="904"/>
      <c r="Q34" s="317" t="s">
        <v>643</v>
      </c>
      <c r="R34" s="317" t="s">
        <v>644</v>
      </c>
      <c r="S34" s="411"/>
      <c r="AP34" s="11"/>
      <c r="AQ34" s="11"/>
      <c r="AR34" s="11"/>
      <c r="AS34" s="11"/>
      <c r="AT34" s="11"/>
      <c r="AU34" s="11"/>
      <c r="AV34" s="11"/>
      <c r="AW34" s="11"/>
      <c r="AX34" s="11"/>
      <c r="AY34" s="11"/>
      <c r="AZ34" s="11"/>
      <c r="BA34" s="11"/>
      <c r="BB34" s="11"/>
      <c r="BC34" s="11"/>
      <c r="BD34" s="11"/>
      <c r="BE34" s="11"/>
      <c r="BF34" s="11"/>
      <c r="BG34" s="11"/>
    </row>
    <row r="35" spans="1:59" ht="12.75" customHeight="1" x14ac:dyDescent="0.2">
      <c r="A35" s="28" t="s">
        <v>883</v>
      </c>
      <c r="B35" s="29"/>
      <c r="C35" s="29"/>
      <c r="AP35" s="685"/>
      <c r="AQ35" s="685"/>
      <c r="AR35" s="685"/>
      <c r="AS35" s="686"/>
      <c r="AT35" s="686"/>
      <c r="AU35" s="686"/>
      <c r="AV35" s="685"/>
      <c r="AW35" s="685"/>
      <c r="AX35" s="685"/>
      <c r="AY35" s="428"/>
      <c r="AZ35" s="686"/>
      <c r="BA35" s="686"/>
      <c r="BB35" s="686"/>
      <c r="BC35" s="688"/>
      <c r="BD35" s="688"/>
      <c r="BE35" s="688"/>
      <c r="BF35" s="409"/>
      <c r="BG35" s="11"/>
    </row>
    <row r="36" spans="1:59" ht="6.75" customHeight="1" x14ac:dyDescent="0.2">
      <c r="A36" s="1"/>
      <c r="B36" s="1"/>
      <c r="C36" s="1"/>
      <c r="AP36" s="685"/>
      <c r="AQ36" s="685"/>
      <c r="AR36" s="685"/>
      <c r="AS36" s="686"/>
      <c r="AT36" s="686"/>
      <c r="AU36" s="686"/>
      <c r="AV36" s="685"/>
      <c r="AW36" s="685"/>
      <c r="AX36" s="685"/>
      <c r="AY36" s="428"/>
      <c r="AZ36" s="686"/>
      <c r="BA36" s="686"/>
      <c r="BB36" s="686"/>
      <c r="BC36" s="688"/>
      <c r="BD36" s="688"/>
      <c r="BE36" s="688"/>
      <c r="BF36" s="409"/>
      <c r="BG36" s="11"/>
    </row>
    <row r="37" spans="1:59" ht="14.25" customHeight="1" x14ac:dyDescent="0.25">
      <c r="A37" s="713" t="s">
        <v>799</v>
      </c>
      <c r="B37" s="713"/>
      <c r="C37" s="713"/>
      <c r="D37" s="713"/>
      <c r="E37" s="713"/>
      <c r="F37" s="412"/>
      <c r="G37" s="412"/>
      <c r="H37" s="412"/>
      <c r="I37" s="412"/>
      <c r="J37" s="412"/>
      <c r="K37" s="412"/>
      <c r="L37" s="412"/>
      <c r="M37" s="714" t="s">
        <v>800</v>
      </c>
      <c r="N37" s="714"/>
      <c r="O37" s="714"/>
      <c r="P37" s="714"/>
      <c r="Q37" s="714"/>
      <c r="R37" s="1"/>
      <c r="S37" s="1"/>
      <c r="AP37" s="11"/>
      <c r="AQ37" s="11"/>
      <c r="AR37" s="11"/>
      <c r="AS37" s="11"/>
      <c r="AT37" s="11"/>
      <c r="AU37" s="11"/>
      <c r="AV37" s="11"/>
      <c r="AW37" s="11"/>
      <c r="AX37" s="11"/>
      <c r="AY37" s="11"/>
      <c r="AZ37" s="11"/>
      <c r="BA37" s="11"/>
      <c r="BB37" s="11"/>
      <c r="BC37" s="11"/>
      <c r="BD37" s="11"/>
      <c r="BE37" s="11"/>
      <c r="BF37" s="11"/>
      <c r="BG37" s="11"/>
    </row>
    <row r="38" spans="1:59" ht="30" customHeight="1" x14ac:dyDescent="0.25">
      <c r="A38" s="705" t="s">
        <v>881</v>
      </c>
      <c r="B38" s="706"/>
      <c r="C38" s="706"/>
      <c r="D38" s="706"/>
      <c r="E38" s="706"/>
      <c r="F38" s="706"/>
      <c r="G38" s="706"/>
      <c r="H38" s="706"/>
      <c r="I38" s="706"/>
      <c r="J38" s="707"/>
      <c r="K38" s="421" t="s">
        <v>805</v>
      </c>
      <c r="L38" s="412"/>
      <c r="M38" s="526" t="s">
        <v>804</v>
      </c>
      <c r="N38" s="527"/>
      <c r="O38" s="527"/>
      <c r="P38" s="527"/>
      <c r="Q38" s="528"/>
      <c r="R38" s="413" t="s">
        <v>805</v>
      </c>
      <c r="S38" s="1"/>
      <c r="AP38" s="11"/>
      <c r="AQ38" s="11"/>
      <c r="AR38" s="11"/>
      <c r="AS38" s="11"/>
      <c r="AT38" s="11"/>
      <c r="AU38" s="11"/>
      <c r="AV38" s="11"/>
      <c r="AW38" s="11"/>
      <c r="AX38" s="11"/>
      <c r="AY38" s="11"/>
      <c r="AZ38" s="11"/>
      <c r="BA38" s="11"/>
      <c r="BB38" s="11"/>
      <c r="BC38" s="11"/>
      <c r="BD38" s="11"/>
      <c r="BE38" s="11"/>
      <c r="BF38" s="11"/>
      <c r="BG38" s="11"/>
    </row>
    <row r="39" spans="1:59" ht="15" x14ac:dyDescent="0.25">
      <c r="A39" s="901"/>
      <c r="B39" s="901"/>
      <c r="C39" s="901"/>
      <c r="D39" s="901"/>
      <c r="E39" s="901"/>
      <c r="F39" s="901"/>
      <c r="G39" s="901"/>
      <c r="H39" s="901"/>
      <c r="I39" s="901"/>
      <c r="J39" s="901"/>
      <c r="K39" s="422"/>
      <c r="L39" s="412"/>
      <c r="M39" s="899" t="s">
        <v>882</v>
      </c>
      <c r="N39" s="899"/>
      <c r="O39" s="899"/>
      <c r="P39" s="899"/>
      <c r="Q39" s="899"/>
      <c r="R39" s="20" t="s">
        <v>805</v>
      </c>
      <c r="S39" s="1"/>
      <c r="AP39" s="11"/>
      <c r="AQ39" s="11"/>
      <c r="AR39" s="11"/>
      <c r="AS39" s="11"/>
      <c r="AT39" s="11"/>
      <c r="AU39" s="11"/>
      <c r="AV39" s="11"/>
      <c r="AW39" s="11"/>
      <c r="AX39" s="11"/>
      <c r="AY39" s="11"/>
      <c r="AZ39" s="11"/>
      <c r="BA39" s="11"/>
      <c r="BB39" s="11"/>
      <c r="BC39" s="11"/>
      <c r="BD39" s="11"/>
      <c r="BE39" s="11"/>
      <c r="BF39" s="11"/>
      <c r="BG39" s="11"/>
    </row>
    <row r="40" spans="1:59" s="47" customFormat="1" ht="15.75" x14ac:dyDescent="0.25">
      <c r="A40" s="412"/>
      <c r="B40" s="412"/>
      <c r="C40" s="412"/>
      <c r="D40" s="412"/>
      <c r="E40" s="412"/>
      <c r="F40" s="412"/>
      <c r="G40" s="412"/>
      <c r="H40" s="412"/>
      <c r="I40" s="412"/>
      <c r="J40" s="412"/>
      <c r="K40" s="412"/>
      <c r="L40" s="412"/>
      <c r="R40" s="409"/>
      <c r="S40" s="48"/>
      <c r="AP40" s="430"/>
      <c r="AQ40" s="430"/>
      <c r="AR40" s="430"/>
      <c r="AS40" s="430"/>
      <c r="AT40" s="430"/>
      <c r="AU40" s="430"/>
      <c r="AV40" s="430"/>
      <c r="AW40" s="430"/>
      <c r="AX40" s="430"/>
      <c r="AY40" s="430"/>
      <c r="AZ40" s="430"/>
      <c r="BA40" s="430"/>
      <c r="BB40" s="430"/>
      <c r="BC40" s="430"/>
      <c r="BD40" s="430"/>
      <c r="BE40" s="430"/>
      <c r="BF40" s="430"/>
      <c r="BG40" s="430"/>
    </row>
    <row r="41" spans="1:59" s="47" customFormat="1" ht="6" customHeight="1" x14ac:dyDescent="0.25">
      <c r="A41" s="412"/>
      <c r="B41" s="412"/>
      <c r="C41" s="412"/>
      <c r="D41" s="412"/>
      <c r="E41" s="412"/>
      <c r="F41" s="412"/>
      <c r="G41" s="412"/>
      <c r="H41" s="412"/>
      <c r="I41" s="412"/>
      <c r="J41" s="412"/>
      <c r="K41" s="412"/>
      <c r="L41" s="412"/>
      <c r="M41" s="412"/>
      <c r="N41" s="412"/>
      <c r="O41" s="412"/>
      <c r="P41" s="412"/>
      <c r="Q41" s="412"/>
      <c r="R41" s="412"/>
      <c r="S41" s="399"/>
      <c r="T41" s="398"/>
      <c r="U41" s="398"/>
      <c r="V41" s="398"/>
      <c r="W41" s="398"/>
      <c r="X41" s="398"/>
      <c r="Y41" s="398"/>
      <c r="Z41" s="398"/>
      <c r="AA41" s="398"/>
      <c r="AB41" s="398"/>
      <c r="AC41" s="398"/>
      <c r="AD41" s="398"/>
      <c r="AP41" s="430"/>
      <c r="AQ41" s="430"/>
      <c r="AR41" s="430"/>
      <c r="AS41" s="430"/>
      <c r="AT41" s="430"/>
      <c r="AU41" s="430"/>
      <c r="AV41" s="430"/>
      <c r="AW41" s="430"/>
      <c r="AX41" s="430"/>
      <c r="AY41" s="430"/>
      <c r="AZ41" s="430"/>
      <c r="BA41" s="430"/>
      <c r="BB41" s="430"/>
      <c r="BC41" s="430"/>
      <c r="BD41" s="430"/>
      <c r="BE41" s="430"/>
      <c r="BF41" s="430"/>
      <c r="BG41" s="430"/>
    </row>
    <row r="42" spans="1:59" s="47" customFormat="1" ht="14.25" customHeight="1" x14ac:dyDescent="0.25">
      <c r="A42" s="719" t="s">
        <v>806</v>
      </c>
      <c r="B42" s="719"/>
      <c r="C42" s="719"/>
      <c r="D42" s="719"/>
      <c r="E42" s="415">
        <v>15</v>
      </c>
      <c r="F42" s="416"/>
      <c r="G42" s="416"/>
      <c r="H42" s="416"/>
      <c r="I42" s="416"/>
      <c r="J42" s="416"/>
      <c r="K42" s="416"/>
      <c r="L42" s="416"/>
      <c r="M42" s="416"/>
      <c r="N42" s="416"/>
      <c r="O42" s="416"/>
      <c r="P42" s="416"/>
      <c r="Q42" s="416"/>
      <c r="R42" s="416"/>
      <c r="S42" s="399"/>
      <c r="T42" s="54"/>
      <c r="U42" s="54"/>
      <c r="V42" s="54"/>
      <c r="W42" s="54"/>
      <c r="X42" s="54"/>
      <c r="Y42" s="54"/>
      <c r="Z42" s="54"/>
      <c r="AA42" s="54"/>
      <c r="AB42" s="54"/>
      <c r="AC42" s="54"/>
      <c r="AD42" s="54"/>
      <c r="AE42" s="54"/>
      <c r="AP42" s="430"/>
      <c r="AQ42" s="430"/>
      <c r="AR42" s="430"/>
      <c r="AS42" s="430"/>
      <c r="AT42" s="430"/>
      <c r="AU42" s="430"/>
      <c r="AV42" s="430"/>
      <c r="AW42" s="430"/>
      <c r="AX42" s="430"/>
      <c r="AY42" s="430"/>
      <c r="AZ42" s="430"/>
      <c r="BA42" s="430"/>
      <c r="BB42" s="430"/>
      <c r="BC42" s="430"/>
      <c r="BD42" s="430"/>
      <c r="BE42" s="430"/>
      <c r="BF42" s="430"/>
      <c r="BG42" s="430"/>
    </row>
    <row r="43" spans="1:59" s="47" customFormat="1" ht="8.25" customHeight="1" x14ac:dyDescent="0.25">
      <c r="A43" s="412"/>
      <c r="B43" s="412"/>
      <c r="C43" s="412"/>
      <c r="D43" s="412"/>
      <c r="E43" s="412"/>
      <c r="F43" s="412"/>
      <c r="G43" s="412"/>
      <c r="H43" s="412"/>
      <c r="I43" s="412"/>
      <c r="J43" s="412"/>
      <c r="K43" s="412"/>
      <c r="L43" s="412"/>
      <c r="M43" s="412"/>
      <c r="N43" s="412"/>
      <c r="O43" s="412"/>
      <c r="P43" s="412"/>
      <c r="Q43" s="412"/>
      <c r="R43" s="412"/>
      <c r="S43" s="399"/>
      <c r="T43" s="54"/>
      <c r="U43" s="54"/>
      <c r="V43" s="54"/>
      <c r="W43" s="54"/>
      <c r="X43" s="54"/>
      <c r="Y43" s="54"/>
      <c r="Z43" s="54"/>
      <c r="AA43" s="54"/>
      <c r="AB43" s="54"/>
      <c r="AC43" s="54"/>
      <c r="AD43" s="54"/>
      <c r="AE43" s="54"/>
      <c r="AP43" s="430"/>
      <c r="AQ43" s="430"/>
      <c r="AR43" s="430"/>
      <c r="AS43" s="430"/>
      <c r="AT43" s="430"/>
      <c r="AU43" s="430"/>
      <c r="AV43" s="430"/>
      <c r="AW43" s="430"/>
      <c r="AX43" s="430"/>
      <c r="AY43" s="430"/>
      <c r="AZ43" s="430"/>
      <c r="BA43" s="430"/>
      <c r="BB43" s="430"/>
      <c r="BC43" s="430"/>
      <c r="BD43" s="430"/>
      <c r="BE43" s="430"/>
      <c r="BF43" s="430"/>
      <c r="BG43" s="430"/>
    </row>
    <row r="44" spans="1:59" ht="15.75" customHeight="1" x14ac:dyDescent="0.25">
      <c r="A44" s="723" t="s">
        <v>807</v>
      </c>
      <c r="B44" s="724"/>
      <c r="C44" s="724"/>
      <c r="D44" s="725"/>
      <c r="E44" s="729" t="s">
        <v>809</v>
      </c>
      <c r="F44" s="730"/>
      <c r="G44" s="730"/>
      <c r="H44" s="730"/>
      <c r="I44" s="730"/>
      <c r="J44" s="730"/>
      <c r="K44" s="730"/>
      <c r="L44" s="731"/>
      <c r="M44" s="711" t="s">
        <v>808</v>
      </c>
      <c r="N44" s="711"/>
      <c r="O44" s="711"/>
      <c r="P44" s="711"/>
      <c r="Q44" s="711"/>
      <c r="R44" s="711"/>
      <c r="S44" s="400"/>
      <c r="T44" s="712"/>
      <c r="U44" s="712"/>
      <c r="V44" s="712"/>
      <c r="W44" s="712"/>
      <c r="X44" s="712"/>
      <c r="Y44" s="712"/>
      <c r="Z44" s="712"/>
      <c r="AA44" s="712"/>
      <c r="AB44" s="712"/>
      <c r="AC44" s="712"/>
      <c r="AD44" s="712"/>
      <c r="AE44" s="712"/>
      <c r="AP44" s="11"/>
      <c r="AQ44" s="11"/>
      <c r="AR44" s="11"/>
      <c r="AS44" s="11"/>
      <c r="AT44" s="11"/>
      <c r="AU44" s="11"/>
      <c r="AV44" s="11"/>
      <c r="AW44" s="11"/>
      <c r="AX44" s="11"/>
      <c r="AY44" s="11"/>
      <c r="AZ44" s="11"/>
      <c r="BA44" s="11"/>
      <c r="BB44" s="11"/>
      <c r="BC44" s="11"/>
      <c r="BD44" s="11"/>
      <c r="BE44" s="11"/>
      <c r="BF44" s="11"/>
      <c r="BG44" s="11"/>
    </row>
    <row r="45" spans="1:59" ht="15.75" customHeight="1" x14ac:dyDescent="0.25">
      <c r="A45" s="726"/>
      <c r="B45" s="727"/>
      <c r="C45" s="727"/>
      <c r="D45" s="728"/>
      <c r="E45" s="732"/>
      <c r="F45" s="733"/>
      <c r="G45" s="733"/>
      <c r="H45" s="733"/>
      <c r="I45" s="733"/>
      <c r="J45" s="733"/>
      <c r="K45" s="733"/>
      <c r="L45" s="734"/>
      <c r="M45" s="900" t="s">
        <v>945</v>
      </c>
      <c r="N45" s="900"/>
      <c r="O45" s="900"/>
      <c r="P45" s="900"/>
      <c r="Q45" s="900"/>
      <c r="R45" s="900"/>
      <c r="S45" s="400"/>
      <c r="T45" s="712"/>
      <c r="U45" s="712"/>
      <c r="V45" s="712"/>
      <c r="W45" s="712"/>
      <c r="X45" s="712"/>
      <c r="Y45" s="712"/>
      <c r="Z45" s="712"/>
      <c r="AA45" s="712"/>
      <c r="AB45" s="712"/>
      <c r="AC45" s="712"/>
      <c r="AD45" s="712"/>
      <c r="AE45" s="712"/>
      <c r="AF45" s="11"/>
      <c r="AG45" s="11"/>
      <c r="AH45" s="11"/>
      <c r="AP45" s="11"/>
      <c r="AQ45" s="11"/>
      <c r="AR45" s="11"/>
      <c r="AS45" s="11"/>
      <c r="AT45" s="11"/>
      <c r="AU45" s="11"/>
      <c r="AV45" s="11"/>
      <c r="AW45" s="11"/>
      <c r="AX45" s="11"/>
      <c r="AY45" s="11"/>
      <c r="AZ45" s="11"/>
      <c r="BA45" s="11"/>
      <c r="BB45" s="11"/>
      <c r="BC45" s="11"/>
      <c r="BD45" s="11"/>
      <c r="BE45" s="11"/>
      <c r="BF45" s="11"/>
      <c r="BG45" s="11"/>
    </row>
    <row r="46" spans="1:59" ht="8.25" customHeight="1" x14ac:dyDescent="0.25">
      <c r="A46" s="412"/>
      <c r="B46" s="412"/>
      <c r="C46" s="412"/>
      <c r="D46" s="412"/>
      <c r="E46" s="412"/>
      <c r="F46" s="412"/>
      <c r="G46" s="412"/>
      <c r="H46" s="412"/>
      <c r="I46" s="412"/>
      <c r="J46" s="412"/>
      <c r="K46" s="412"/>
      <c r="L46" s="412"/>
      <c r="M46" s="412"/>
      <c r="N46" s="412"/>
      <c r="O46" s="412"/>
      <c r="P46" s="412"/>
      <c r="Q46" s="412"/>
      <c r="R46" s="412"/>
      <c r="S46" s="401"/>
      <c r="T46" s="42"/>
      <c r="U46" s="42"/>
      <c r="V46" s="42"/>
      <c r="W46" s="42"/>
      <c r="X46" s="40"/>
      <c r="Y46" s="40"/>
      <c r="Z46" s="42"/>
      <c r="AA46" s="42"/>
      <c r="AB46" s="42"/>
      <c r="AC46" s="42"/>
      <c r="AD46" s="40"/>
      <c r="AE46" s="40"/>
      <c r="AF46" s="11"/>
      <c r="AG46" s="11"/>
      <c r="AH46" s="11"/>
    </row>
    <row r="47" spans="1:59" ht="26.25" customHeight="1" x14ac:dyDescent="0.25">
      <c r="A47" s="708" t="s">
        <v>810</v>
      </c>
      <c r="B47" s="709"/>
      <c r="C47" s="709"/>
      <c r="D47" s="710"/>
      <c r="E47" s="711"/>
      <c r="F47" s="711"/>
      <c r="G47" s="711"/>
      <c r="H47" s="711"/>
      <c r="I47" s="711"/>
      <c r="J47" s="711"/>
      <c r="K47" s="711"/>
      <c r="L47" s="711"/>
      <c r="M47" s="412"/>
      <c r="N47" s="412"/>
      <c r="O47" s="412"/>
      <c r="P47" s="412"/>
      <c r="Q47" s="412"/>
      <c r="R47" s="412"/>
      <c r="S47" s="55"/>
      <c r="T47" s="703"/>
      <c r="U47" s="703"/>
      <c r="V47" s="703"/>
      <c r="W47" s="703"/>
      <c r="X47" s="704"/>
      <c r="Y47" s="704"/>
      <c r="Z47" s="703"/>
      <c r="AA47" s="703"/>
      <c r="AB47" s="703"/>
      <c r="AC47" s="703"/>
      <c r="AD47" s="704"/>
      <c r="AE47" s="704"/>
      <c r="AF47" s="11"/>
      <c r="AG47" s="11"/>
      <c r="AH47" s="11"/>
    </row>
    <row r="48" spans="1:59" ht="11.25" customHeight="1" x14ac:dyDescent="0.25">
      <c r="A48" s="412"/>
      <c r="B48" s="412"/>
      <c r="C48" s="412"/>
      <c r="D48" s="412"/>
      <c r="E48" s="718" t="s">
        <v>845</v>
      </c>
      <c r="F48" s="718"/>
      <c r="G48" s="718"/>
      <c r="H48" s="718"/>
      <c r="I48" s="718"/>
      <c r="J48" s="718"/>
      <c r="K48" s="718"/>
      <c r="L48" s="718"/>
      <c r="M48" s="412"/>
      <c r="N48" s="412"/>
      <c r="O48" s="412"/>
      <c r="P48" s="412"/>
      <c r="Q48" s="412"/>
      <c r="R48" s="412"/>
      <c r="S48" s="55"/>
      <c r="T48" s="11"/>
      <c r="U48" s="11"/>
      <c r="V48" s="11"/>
      <c r="W48" s="11"/>
      <c r="X48" s="11"/>
      <c r="Y48" s="11"/>
      <c r="Z48" s="11"/>
      <c r="AA48" s="11"/>
      <c r="AB48" s="11"/>
      <c r="AC48" s="11"/>
      <c r="AD48" s="11"/>
      <c r="AE48" s="11"/>
      <c r="AF48" s="11"/>
      <c r="AG48" s="11"/>
      <c r="AH48" s="11"/>
    </row>
    <row r="49" spans="5:34" ht="14.25" customHeight="1" x14ac:dyDescent="0.2">
      <c r="E49" s="11"/>
      <c r="F49" s="11"/>
      <c r="G49" s="11"/>
      <c r="H49" s="11"/>
      <c r="I49" s="11"/>
      <c r="J49" s="11"/>
      <c r="K49" s="11"/>
      <c r="L49" s="11"/>
      <c r="T49" s="11"/>
      <c r="U49" s="11"/>
      <c r="V49" s="11"/>
      <c r="W49" s="11"/>
      <c r="X49" s="11"/>
      <c r="Y49" s="11"/>
      <c r="Z49" s="11"/>
      <c r="AA49" s="11"/>
      <c r="AB49" s="11"/>
      <c r="AC49" s="11"/>
      <c r="AD49" s="11"/>
      <c r="AE49" s="11"/>
      <c r="AF49" s="11"/>
      <c r="AG49" s="11"/>
      <c r="AH49" s="11"/>
    </row>
    <row r="50" spans="5:34" x14ac:dyDescent="0.2">
      <c r="T50" s="11"/>
      <c r="U50" s="11"/>
      <c r="V50" s="11"/>
      <c r="W50" s="11"/>
      <c r="X50" s="11"/>
      <c r="Y50" s="11"/>
      <c r="Z50" s="11"/>
      <c r="AA50" s="11"/>
      <c r="AB50" s="11"/>
      <c r="AC50" s="11"/>
      <c r="AD50" s="11"/>
      <c r="AE50" s="11"/>
      <c r="AF50" s="11"/>
      <c r="AG50" s="11"/>
      <c r="AH50" s="11"/>
    </row>
    <row r="51" spans="5:34" x14ac:dyDescent="0.2">
      <c r="T51" s="11"/>
      <c r="U51" s="11"/>
      <c r="V51" s="11"/>
      <c r="W51" s="11"/>
      <c r="X51" s="11"/>
      <c r="Y51" s="11"/>
      <c r="Z51" s="11"/>
      <c r="AA51" s="11"/>
      <c r="AB51" s="11"/>
      <c r="AC51" s="11"/>
      <c r="AD51" s="11"/>
      <c r="AE51" s="11"/>
      <c r="AF51" s="11"/>
      <c r="AG51" s="11"/>
      <c r="AH51" s="11"/>
    </row>
    <row r="52" spans="5:34" x14ac:dyDescent="0.2">
      <c r="T52" s="11"/>
      <c r="U52" s="11"/>
      <c r="V52" s="11"/>
      <c r="W52" s="11"/>
      <c r="X52" s="11"/>
      <c r="Y52" s="11"/>
      <c r="Z52" s="11"/>
      <c r="AA52" s="11"/>
      <c r="AB52" s="11"/>
      <c r="AC52" s="11"/>
      <c r="AD52" s="11"/>
      <c r="AE52" s="11"/>
      <c r="AF52" s="11"/>
      <c r="AG52" s="11"/>
      <c r="AH52" s="11"/>
    </row>
    <row r="53" spans="5:34" x14ac:dyDescent="0.2">
      <c r="T53" s="11"/>
      <c r="U53" s="11"/>
      <c r="V53" s="11"/>
      <c r="W53" s="11"/>
      <c r="X53" s="11"/>
      <c r="Y53" s="11"/>
      <c r="Z53" s="11"/>
      <c r="AA53" s="11"/>
      <c r="AB53" s="11"/>
      <c r="AC53" s="11"/>
      <c r="AD53" s="11"/>
      <c r="AE53" s="11"/>
      <c r="AF53" s="11"/>
      <c r="AG53" s="11"/>
      <c r="AH53" s="11"/>
    </row>
    <row r="54" spans="5:34" x14ac:dyDescent="0.2">
      <c r="T54" s="11"/>
      <c r="U54" s="11"/>
      <c r="V54" s="11"/>
      <c r="W54" s="11"/>
      <c r="X54" s="11"/>
      <c r="Y54" s="11"/>
      <c r="Z54" s="11"/>
      <c r="AA54" s="11"/>
      <c r="AB54" s="11"/>
      <c r="AC54" s="11"/>
      <c r="AD54" s="11"/>
      <c r="AE54" s="11"/>
      <c r="AF54" s="11"/>
      <c r="AG54" s="11"/>
      <c r="AH54" s="11"/>
    </row>
    <row r="55" spans="5:34" x14ac:dyDescent="0.2">
      <c r="T55" s="11"/>
      <c r="U55" s="11"/>
      <c r="V55" s="11"/>
      <c r="W55" s="11"/>
      <c r="X55" s="11"/>
      <c r="Y55" s="11"/>
      <c r="Z55" s="11"/>
      <c r="AA55" s="11"/>
      <c r="AB55" s="11"/>
      <c r="AC55" s="11"/>
      <c r="AD55" s="11"/>
      <c r="AE55" s="11"/>
      <c r="AF55" s="11"/>
      <c r="AG55" s="11"/>
      <c r="AH55" s="11"/>
    </row>
    <row r="56" spans="5:34" x14ac:dyDescent="0.2">
      <c r="T56" s="11"/>
      <c r="U56" s="11"/>
      <c r="V56" s="11"/>
      <c r="W56" s="11"/>
      <c r="X56" s="11"/>
      <c r="Y56" s="11"/>
      <c r="Z56" s="11"/>
      <c r="AA56" s="11"/>
      <c r="AB56" s="11"/>
      <c r="AC56" s="11"/>
      <c r="AD56" s="11"/>
      <c r="AE56" s="11"/>
      <c r="AF56" s="11"/>
      <c r="AG56" s="11"/>
      <c r="AH56" s="11"/>
    </row>
  </sheetData>
  <mergeCells count="176">
    <mergeCell ref="M32:P32"/>
    <mergeCell ref="M25:P25"/>
    <mergeCell ref="M26:P26"/>
    <mergeCell ref="M33:P33"/>
    <mergeCell ref="M34:P34"/>
    <mergeCell ref="J19:L19"/>
    <mergeCell ref="M19:P19"/>
    <mergeCell ref="M27:P27"/>
    <mergeCell ref="M28:P28"/>
    <mergeCell ref="M29:P29"/>
    <mergeCell ref="M30:P30"/>
    <mergeCell ref="J30:L30"/>
    <mergeCell ref="J22:L22"/>
    <mergeCell ref="J23:L23"/>
    <mergeCell ref="J24:L24"/>
    <mergeCell ref="J31:L31"/>
    <mergeCell ref="J32:L32"/>
    <mergeCell ref="J33:L33"/>
    <mergeCell ref="J34:L34"/>
    <mergeCell ref="AE14:AG15"/>
    <mergeCell ref="M20:P20"/>
    <mergeCell ref="M21:P21"/>
    <mergeCell ref="M22:P22"/>
    <mergeCell ref="M23:P23"/>
    <mergeCell ref="J21:L21"/>
    <mergeCell ref="J25:L25"/>
    <mergeCell ref="J26:L26"/>
    <mergeCell ref="A1:B1"/>
    <mergeCell ref="C1:R1"/>
    <mergeCell ref="J2:L2"/>
    <mergeCell ref="A4:D4"/>
    <mergeCell ref="E4:R4"/>
    <mergeCell ref="A5:D5"/>
    <mergeCell ref="E5:R5"/>
    <mergeCell ref="A6:D6"/>
    <mergeCell ref="E6:R6"/>
    <mergeCell ref="A7:D7"/>
    <mergeCell ref="E7:R7"/>
    <mergeCell ref="A8:D8"/>
    <mergeCell ref="E8:R8"/>
    <mergeCell ref="A9:D9"/>
    <mergeCell ref="E9:J9"/>
    <mergeCell ref="K9:M9"/>
    <mergeCell ref="N9:R9"/>
    <mergeCell ref="A11:R11"/>
    <mergeCell ref="H12:K12"/>
    <mergeCell ref="L12:O12"/>
    <mergeCell ref="P12:R12"/>
    <mergeCell ref="H13:K13"/>
    <mergeCell ref="L13:O13"/>
    <mergeCell ref="P13:R13"/>
    <mergeCell ref="E12:G12"/>
    <mergeCell ref="A12:D12"/>
    <mergeCell ref="E13:G13"/>
    <mergeCell ref="A13:D13"/>
    <mergeCell ref="A15:R15"/>
    <mergeCell ref="A16:A18"/>
    <mergeCell ref="Q16:R17"/>
    <mergeCell ref="B17:B18"/>
    <mergeCell ref="C17:D18"/>
    <mergeCell ref="E17:E18"/>
    <mergeCell ref="F17:G18"/>
    <mergeCell ref="H17:I18"/>
    <mergeCell ref="J17:L18"/>
    <mergeCell ref="M17:P18"/>
    <mergeCell ref="C19:D19"/>
    <mergeCell ref="F19:G19"/>
    <mergeCell ref="H19:I19"/>
    <mergeCell ref="Z21:Z23"/>
    <mergeCell ref="C20:D20"/>
    <mergeCell ref="F20:G20"/>
    <mergeCell ref="H20:I20"/>
    <mergeCell ref="Z20:AQ20"/>
    <mergeCell ref="J20:L20"/>
    <mergeCell ref="AP21:AQ22"/>
    <mergeCell ref="C21:D21"/>
    <mergeCell ref="F21:G21"/>
    <mergeCell ref="H21:I21"/>
    <mergeCell ref="C23:D23"/>
    <mergeCell ref="F23:G23"/>
    <mergeCell ref="H23:I23"/>
    <mergeCell ref="AH22:AH23"/>
    <mergeCell ref="AI22:AI23"/>
    <mergeCell ref="AJ22:AJ23"/>
    <mergeCell ref="AA21:AA23"/>
    <mergeCell ref="AB21:AH21"/>
    <mergeCell ref="AI21:AO21"/>
    <mergeCell ref="AK22:AM23"/>
    <mergeCell ref="AN22:AO23"/>
    <mergeCell ref="AN24:AO24"/>
    <mergeCell ref="C25:D25"/>
    <mergeCell ref="F25:G25"/>
    <mergeCell ref="H25:I25"/>
    <mergeCell ref="AB25:AC25"/>
    <mergeCell ref="AK25:AM25"/>
    <mergeCell ref="AN25:AO25"/>
    <mergeCell ref="M24:P24"/>
    <mergeCell ref="AD22:AD23"/>
    <mergeCell ref="AE22:AF23"/>
    <mergeCell ref="AG22:AG23"/>
    <mergeCell ref="AE25:AF25"/>
    <mergeCell ref="C24:D24"/>
    <mergeCell ref="F24:G24"/>
    <mergeCell ref="H24:I24"/>
    <mergeCell ref="AB24:AC24"/>
    <mergeCell ref="C22:D22"/>
    <mergeCell ref="F22:G22"/>
    <mergeCell ref="H22:I22"/>
    <mergeCell ref="AB22:AC23"/>
    <mergeCell ref="AE24:AF24"/>
    <mergeCell ref="H31:I31"/>
    <mergeCell ref="C28:D28"/>
    <mergeCell ref="F28:G28"/>
    <mergeCell ref="H28:I28"/>
    <mergeCell ref="C30:D30"/>
    <mergeCell ref="F30:G30"/>
    <mergeCell ref="H30:I30"/>
    <mergeCell ref="C29:D29"/>
    <mergeCell ref="AK24:AM24"/>
    <mergeCell ref="M31:P31"/>
    <mergeCell ref="AN26:AO26"/>
    <mergeCell ref="C27:D27"/>
    <mergeCell ref="F27:G27"/>
    <mergeCell ref="H27:I27"/>
    <mergeCell ref="C26:D26"/>
    <mergeCell ref="F26:G26"/>
    <mergeCell ref="H26:I26"/>
    <mergeCell ref="AB26:AC26"/>
    <mergeCell ref="AE26:AF26"/>
    <mergeCell ref="AK26:AM26"/>
    <mergeCell ref="J27:L27"/>
    <mergeCell ref="BC36:BE36"/>
    <mergeCell ref="AP35:AR35"/>
    <mergeCell ref="AS35:AU35"/>
    <mergeCell ref="AV35:AX35"/>
    <mergeCell ref="AZ35:BB35"/>
    <mergeCell ref="BC35:BE35"/>
    <mergeCell ref="A39:J39"/>
    <mergeCell ref="AP36:AR36"/>
    <mergeCell ref="AS36:AU36"/>
    <mergeCell ref="AV36:AX36"/>
    <mergeCell ref="AZ36:BB36"/>
    <mergeCell ref="X47:Y47"/>
    <mergeCell ref="Z47:AC47"/>
    <mergeCell ref="AD47:AE47"/>
    <mergeCell ref="A42:D42"/>
    <mergeCell ref="A44:D45"/>
    <mergeCell ref="E44:L45"/>
    <mergeCell ref="M44:R44"/>
    <mergeCell ref="T44:AE44"/>
    <mergeCell ref="M45:R45"/>
    <mergeCell ref="T45:AE45"/>
    <mergeCell ref="E48:L48"/>
    <mergeCell ref="B16:P16"/>
    <mergeCell ref="M39:Q39"/>
    <mergeCell ref="A47:D47"/>
    <mergeCell ref="E47:L47"/>
    <mergeCell ref="T47:W47"/>
    <mergeCell ref="A37:E37"/>
    <mergeCell ref="M37:Q37"/>
    <mergeCell ref="A38:J38"/>
    <mergeCell ref="C34:D34"/>
    <mergeCell ref="F34:G34"/>
    <mergeCell ref="H34:I34"/>
    <mergeCell ref="C32:D32"/>
    <mergeCell ref="F32:G32"/>
    <mergeCell ref="H32:I32"/>
    <mergeCell ref="C33:D33"/>
    <mergeCell ref="F33:G33"/>
    <mergeCell ref="H33:I33"/>
    <mergeCell ref="F29:G29"/>
    <mergeCell ref="H29:I29"/>
    <mergeCell ref="J28:L28"/>
    <mergeCell ref="J29:L29"/>
    <mergeCell ref="C31:D31"/>
    <mergeCell ref="F31:G31"/>
  </mergeCells>
  <printOptions horizontalCentered="1"/>
  <pageMargins left="0.35433070866141736" right="0.35433070866141736" top="0.6692913385826772" bottom="0.35433070866141736" header="0.35433070866141736" footer="0.15748031496062992"/>
  <pageSetup paperSize="9" scale="90" fitToHeight="0" orientation="landscape" r:id="rId1"/>
  <headerFooter alignWithMargins="0">
    <oddFooter>&amp;R&amp;"Times New Roman,обычный"&amp;8&amp;U&amp;A&amp;U стр.&amp;P из &amp;N</oddFooter>
  </headerFooter>
  <rowBreaks count="1" manualBreakCount="1">
    <brk id="23" max="17"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
    <pageSetUpPr fitToPage="1"/>
  </sheetPr>
  <dimension ref="A1:BF166"/>
  <sheetViews>
    <sheetView view="pageBreakPreview" zoomScale="85" zoomScaleNormal="100" zoomScaleSheetLayoutView="85" workbookViewId="0">
      <selection activeCell="J3" sqref="J3"/>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9" style="5" customWidth="1"/>
    <col min="10" max="10" width="10.140625" style="5" customWidth="1"/>
    <col min="11" max="11" width="9.7109375" style="5" customWidth="1"/>
    <col min="12" max="12" width="3.5703125" style="5" customWidth="1"/>
    <col min="13" max="13" width="12.7109375" style="5" customWidth="1"/>
    <col min="14" max="14" width="4.28515625" style="5" customWidth="1"/>
    <col min="15" max="15" width="9.140625" style="5" customWidth="1"/>
    <col min="16" max="16" width="12.28515625" style="5" customWidth="1"/>
    <col min="17" max="18" width="13.7109375" style="5" customWidth="1"/>
    <col min="19" max="19" width="12.7109375" style="5" customWidth="1"/>
    <col min="20" max="29" width="8" style="5"/>
    <col min="30" max="30" width="3.28515625" style="5" customWidth="1"/>
    <col min="31" max="31" width="13" style="5" customWidth="1"/>
    <col min="32" max="16384" width="8" style="5"/>
  </cols>
  <sheetData>
    <row r="1" spans="1:46" ht="72" customHeight="1" x14ac:dyDescent="0.2">
      <c r="A1" s="769"/>
      <c r="B1" s="769"/>
      <c r="C1" s="768" t="s">
        <v>1034</v>
      </c>
      <c r="D1" s="768"/>
      <c r="E1" s="768"/>
      <c r="F1" s="768"/>
      <c r="G1" s="768"/>
      <c r="H1" s="768"/>
      <c r="I1" s="768"/>
      <c r="J1" s="768"/>
      <c r="K1" s="768"/>
      <c r="L1" s="768"/>
      <c r="M1" s="768"/>
      <c r="N1" s="768"/>
      <c r="O1" s="768"/>
      <c r="P1" s="768"/>
      <c r="Q1" s="768"/>
      <c r="R1" s="768"/>
      <c r="S1" s="397"/>
    </row>
    <row r="2" spans="1:46" ht="15" customHeight="1" x14ac:dyDescent="0.2">
      <c r="A2" s="1"/>
      <c r="B2" s="1"/>
      <c r="C2" s="1"/>
      <c r="D2" s="1"/>
      <c r="E2" s="2"/>
      <c r="F2" s="2"/>
      <c r="G2" s="3"/>
      <c r="H2" s="3"/>
      <c r="I2" s="3" t="s">
        <v>11</v>
      </c>
      <c r="J2" s="908" t="s">
        <v>1046</v>
      </c>
      <c r="K2" s="908"/>
      <c r="L2" s="908"/>
      <c r="M2" s="4"/>
      <c r="N2" s="4"/>
      <c r="O2" s="4"/>
      <c r="P2" s="4"/>
      <c r="Q2" s="1"/>
      <c r="R2" s="1"/>
      <c r="S2" s="1"/>
    </row>
    <row r="3" spans="1:46" ht="15" customHeight="1" x14ac:dyDescent="0.2">
      <c r="A3" s="1"/>
      <c r="B3" s="1"/>
      <c r="C3" s="1"/>
      <c r="D3" s="1"/>
      <c r="E3" s="1"/>
      <c r="F3" s="1"/>
      <c r="G3" s="1"/>
      <c r="H3" s="1"/>
      <c r="I3" s="1"/>
      <c r="L3" s="1"/>
      <c r="M3" s="1"/>
      <c r="N3" s="1"/>
      <c r="O3" s="1"/>
      <c r="P3" s="1"/>
      <c r="Q3" s="1"/>
      <c r="R3" s="1"/>
      <c r="S3" s="1"/>
    </row>
    <row r="4" spans="1:46" ht="24.95" customHeight="1" x14ac:dyDescent="0.2">
      <c r="A4" s="788" t="s">
        <v>12</v>
      </c>
      <c r="B4" s="789"/>
      <c r="C4" s="789"/>
      <c r="D4" s="790"/>
      <c r="E4" s="821">
        <f>'Акт отбора проб Почва'!$E$4:$R$4</f>
        <v>45739</v>
      </c>
      <c r="F4" s="821"/>
      <c r="G4" s="821"/>
      <c r="H4" s="821"/>
      <c r="I4" s="821"/>
      <c r="J4" s="821"/>
      <c r="K4" s="821"/>
      <c r="L4" s="821"/>
      <c r="M4" s="821"/>
      <c r="N4" s="821"/>
      <c r="O4" s="821"/>
      <c r="P4" s="821"/>
      <c r="Q4" s="821"/>
      <c r="R4" s="821"/>
      <c r="S4" s="403"/>
    </row>
    <row r="5" spans="1:46" ht="48.6" customHeight="1" x14ac:dyDescent="0.2">
      <c r="A5" s="792" t="s">
        <v>967</v>
      </c>
      <c r="B5" s="793"/>
      <c r="C5" s="793"/>
      <c r="D5" s="794"/>
      <c r="E5" s="785" t="str">
        <f>'Акт отбора проб Почва'!$E$5:$R$5</f>
        <v xml:space="preserve"> по адресу:</v>
      </c>
      <c r="F5" s="785"/>
      <c r="G5" s="785"/>
      <c r="H5" s="785"/>
      <c r="I5" s="785"/>
      <c r="J5" s="785"/>
      <c r="K5" s="785"/>
      <c r="L5" s="785"/>
      <c r="M5" s="785"/>
      <c r="N5" s="785"/>
      <c r="O5" s="785"/>
      <c r="P5" s="785"/>
      <c r="Q5" s="785"/>
      <c r="R5" s="785"/>
      <c r="S5" s="404"/>
    </row>
    <row r="6" spans="1:46" ht="27.75" customHeight="1" x14ac:dyDescent="0.2">
      <c r="A6" s="778" t="s">
        <v>791</v>
      </c>
      <c r="B6" s="779"/>
      <c r="C6" s="779"/>
      <c r="D6" s="780"/>
      <c r="E6" s="785" t="str">
        <f>'Акт отбора проб Почва'!$E$6:$R$6</f>
        <v>Из Тз</v>
      </c>
      <c r="F6" s="785"/>
      <c r="G6" s="785"/>
      <c r="H6" s="785"/>
      <c r="I6" s="785"/>
      <c r="J6" s="785"/>
      <c r="K6" s="785"/>
      <c r="L6" s="785"/>
      <c r="M6" s="785"/>
      <c r="N6" s="785"/>
      <c r="O6" s="785"/>
      <c r="P6" s="785"/>
      <c r="Q6" s="785"/>
      <c r="R6" s="785"/>
      <c r="S6" s="404"/>
    </row>
    <row r="7" spans="1:46" ht="24.95" customHeight="1" x14ac:dyDescent="0.2">
      <c r="A7" s="778" t="s">
        <v>792</v>
      </c>
      <c r="B7" s="779"/>
      <c r="C7" s="779"/>
      <c r="D7" s="780"/>
      <c r="E7" s="785" t="s">
        <v>962</v>
      </c>
      <c r="F7" s="785"/>
      <c r="G7" s="785"/>
      <c r="H7" s="785"/>
      <c r="I7" s="785"/>
      <c r="J7" s="785"/>
      <c r="K7" s="785"/>
      <c r="L7" s="785"/>
      <c r="M7" s="785"/>
      <c r="N7" s="785"/>
      <c r="O7" s="785"/>
      <c r="P7" s="785"/>
      <c r="Q7" s="785"/>
      <c r="R7" s="785"/>
      <c r="S7" s="404"/>
    </row>
    <row r="8" spans="1:46" ht="45.75" customHeight="1" x14ac:dyDescent="0.2">
      <c r="A8" s="778" t="s">
        <v>793</v>
      </c>
      <c r="B8" s="779"/>
      <c r="C8" s="779"/>
      <c r="D8" s="780"/>
      <c r="E8" s="775" t="s">
        <v>894</v>
      </c>
      <c r="F8" s="776"/>
      <c r="G8" s="776"/>
      <c r="H8" s="776"/>
      <c r="I8" s="776"/>
      <c r="J8" s="776"/>
      <c r="K8" s="776"/>
      <c r="L8" s="776"/>
      <c r="M8" s="776"/>
      <c r="N8" s="776"/>
      <c r="O8" s="776"/>
      <c r="P8" s="776"/>
      <c r="Q8" s="776"/>
      <c r="R8" s="777"/>
      <c r="S8" s="404"/>
    </row>
    <row r="9" spans="1:46" ht="24.95" customHeight="1" x14ac:dyDescent="0.2">
      <c r="A9" s="778" t="s">
        <v>14</v>
      </c>
      <c r="B9" s="779"/>
      <c r="C9" s="779"/>
      <c r="D9" s="780"/>
      <c r="E9" s="781">
        <f>E4</f>
        <v>45739</v>
      </c>
      <c r="F9" s="782"/>
      <c r="G9" s="782"/>
      <c r="H9" s="782"/>
      <c r="I9" s="782"/>
      <c r="J9" s="783"/>
      <c r="K9" s="770" t="s">
        <v>15</v>
      </c>
      <c r="L9" s="770"/>
      <c r="M9" s="770"/>
      <c r="N9" s="771" t="s">
        <v>16</v>
      </c>
      <c r="O9" s="772"/>
      <c r="P9" s="772"/>
      <c r="Q9" s="772"/>
      <c r="R9" s="773"/>
      <c r="S9" s="405"/>
    </row>
    <row r="10" spans="1:46" ht="9.75" customHeight="1" x14ac:dyDescent="0.2">
      <c r="A10" s="13"/>
      <c r="B10" s="13"/>
      <c r="C10" s="13"/>
      <c r="D10" s="13"/>
      <c r="E10" s="13"/>
      <c r="F10" s="13"/>
      <c r="G10" s="13"/>
      <c r="H10" s="13"/>
      <c r="I10" s="13"/>
      <c r="J10" s="13"/>
      <c r="K10" s="14"/>
      <c r="L10" s="13"/>
      <c r="M10" s="13"/>
      <c r="N10" s="13"/>
      <c r="O10" s="13"/>
      <c r="P10" s="13"/>
      <c r="Q10" s="13"/>
      <c r="R10" s="13"/>
      <c r="S10" s="13"/>
      <c r="U10" s="11"/>
      <c r="V10" s="11"/>
      <c r="W10" s="11"/>
      <c r="X10" s="11"/>
      <c r="Y10" s="11"/>
      <c r="Z10" s="11"/>
      <c r="AA10" s="11"/>
      <c r="AB10" s="11"/>
      <c r="AC10" s="11"/>
      <c r="AD10" s="11"/>
    </row>
    <row r="11" spans="1:46" ht="12" customHeight="1" x14ac:dyDescent="0.25">
      <c r="A11" s="795" t="s">
        <v>1032</v>
      </c>
      <c r="B11" s="795"/>
      <c r="C11" s="795"/>
      <c r="D11" s="795"/>
      <c r="E11" s="795"/>
      <c r="F11" s="795"/>
      <c r="G11" s="795"/>
      <c r="H11" s="795"/>
      <c r="I11" s="795"/>
      <c r="J11" s="795"/>
      <c r="K11" s="795"/>
      <c r="L11" s="795"/>
      <c r="M11" s="795"/>
      <c r="N11" s="795"/>
      <c r="O11" s="795"/>
      <c r="P11" s="795"/>
      <c r="Q11" s="795"/>
      <c r="R11" s="795"/>
      <c r="S11" s="406"/>
    </row>
    <row r="12" spans="1:46" customFormat="1" ht="30" customHeight="1" x14ac:dyDescent="0.2">
      <c r="A12" s="796" t="s">
        <v>27</v>
      </c>
      <c r="B12" s="796"/>
      <c r="C12" s="796"/>
      <c r="D12" s="796"/>
      <c r="E12" s="796" t="s">
        <v>28</v>
      </c>
      <c r="F12" s="796"/>
      <c r="G12" s="796"/>
      <c r="H12" s="796" t="s">
        <v>29</v>
      </c>
      <c r="I12" s="796"/>
      <c r="J12" s="796"/>
      <c r="K12" s="796"/>
      <c r="L12" s="798" t="s">
        <v>642</v>
      </c>
      <c r="M12" s="798"/>
      <c r="N12" s="798"/>
      <c r="O12" s="798"/>
      <c r="P12" s="801" t="s">
        <v>31</v>
      </c>
      <c r="Q12" s="802"/>
      <c r="R12" s="803"/>
      <c r="S12" s="13"/>
    </row>
    <row r="13" spans="1:46" customFormat="1" ht="30" customHeight="1" x14ac:dyDescent="0.2">
      <c r="A13" s="819"/>
      <c r="B13" s="819"/>
      <c r="C13" s="819"/>
      <c r="D13" s="819"/>
      <c r="E13" s="819"/>
      <c r="F13" s="819"/>
      <c r="G13" s="819"/>
      <c r="H13" s="804"/>
      <c r="I13" s="804"/>
      <c r="J13" s="804"/>
      <c r="K13" s="804"/>
      <c r="L13" s="804"/>
      <c r="M13" s="804"/>
      <c r="N13" s="804"/>
      <c r="O13" s="804"/>
      <c r="P13" s="805"/>
      <c r="Q13" s="806"/>
      <c r="R13" s="807"/>
      <c r="S13" s="407"/>
    </row>
    <row r="14" spans="1:46" ht="7.5" customHeight="1" x14ac:dyDescent="0.2">
      <c r="A14" s="15"/>
      <c r="B14" s="15"/>
      <c r="C14" s="15"/>
      <c r="D14" s="15"/>
      <c r="E14" s="16"/>
      <c r="F14" s="16"/>
      <c r="G14" s="16"/>
      <c r="H14" s="16"/>
      <c r="I14" s="16"/>
      <c r="J14" s="16"/>
      <c r="K14" s="17"/>
      <c r="L14" s="17"/>
      <c r="M14" s="17"/>
      <c r="N14" s="16"/>
      <c r="O14" s="16"/>
      <c r="P14" s="16"/>
      <c r="Q14" s="16"/>
      <c r="R14" s="16"/>
      <c r="S14" s="16"/>
      <c r="T14" s="5" t="s">
        <v>337</v>
      </c>
    </row>
    <row r="15" spans="1:46" ht="15" customHeight="1" x14ac:dyDescent="0.2">
      <c r="A15" s="808" t="s">
        <v>794</v>
      </c>
      <c r="B15" s="808"/>
      <c r="C15" s="808"/>
      <c r="D15" s="808"/>
      <c r="E15" s="808"/>
      <c r="F15" s="808"/>
      <c r="G15" s="808"/>
      <c r="H15" s="698"/>
      <c r="I15" s="698"/>
      <c r="J15" s="698"/>
      <c r="K15" s="698"/>
      <c r="L15" s="698"/>
      <c r="M15" s="698"/>
      <c r="N15" s="698"/>
      <c r="O15" s="698"/>
      <c r="P15" s="698"/>
      <c r="Q15" s="808"/>
      <c r="R15" s="808"/>
      <c r="S15" s="408"/>
    </row>
    <row r="16" spans="1:46" ht="36" customHeight="1" x14ac:dyDescent="0.2">
      <c r="A16" s="912" t="s">
        <v>7</v>
      </c>
      <c r="B16" s="740" t="s">
        <v>796</v>
      </c>
      <c r="C16" s="740" t="s">
        <v>617</v>
      </c>
      <c r="D16" s="740"/>
      <c r="E16" s="741" t="s">
        <v>813</v>
      </c>
      <c r="F16" s="741" t="s">
        <v>896</v>
      </c>
      <c r="G16" s="741"/>
      <c r="H16" s="741" t="s">
        <v>795</v>
      </c>
      <c r="I16" s="741"/>
      <c r="J16" s="741"/>
      <c r="K16" s="741" t="s">
        <v>944</v>
      </c>
      <c r="L16" s="741"/>
      <c r="M16" s="741" t="s">
        <v>928</v>
      </c>
      <c r="N16" s="741"/>
      <c r="O16" s="741" t="s">
        <v>849</v>
      </c>
      <c r="P16" s="741"/>
      <c r="Q16" s="932" t="s">
        <v>797</v>
      </c>
      <c r="R16" s="854"/>
      <c r="S16" s="402"/>
      <c r="X16" s="11"/>
      <c r="Y16" s="11"/>
      <c r="Z16" s="11"/>
      <c r="AA16" s="11"/>
      <c r="AB16" s="11"/>
      <c r="AC16" s="11"/>
      <c r="AD16" s="11"/>
      <c r="AE16" s="11"/>
      <c r="AF16" s="11"/>
      <c r="AG16" s="11"/>
      <c r="AH16" s="11"/>
      <c r="AI16" s="11"/>
      <c r="AJ16" s="11"/>
      <c r="AK16" s="11"/>
      <c r="AL16" s="11"/>
      <c r="AM16" s="11"/>
      <c r="AN16" s="11"/>
      <c r="AO16" s="11"/>
      <c r="AP16" s="11"/>
      <c r="AQ16" s="11"/>
      <c r="AR16" s="11"/>
      <c r="AS16" s="11"/>
      <c r="AT16" s="11"/>
    </row>
    <row r="17" spans="1:46" ht="57" customHeight="1" x14ac:dyDescent="0.2">
      <c r="A17" s="913"/>
      <c r="B17" s="740"/>
      <c r="C17" s="740"/>
      <c r="D17" s="740"/>
      <c r="E17" s="741"/>
      <c r="F17" s="741"/>
      <c r="G17" s="741"/>
      <c r="H17" s="741"/>
      <c r="I17" s="741"/>
      <c r="J17" s="741"/>
      <c r="K17" s="741"/>
      <c r="L17" s="741"/>
      <c r="M17" s="741"/>
      <c r="N17" s="741"/>
      <c r="O17" s="741"/>
      <c r="P17" s="741"/>
      <c r="Q17" s="435" t="s">
        <v>38</v>
      </c>
      <c r="R17" s="25" t="s">
        <v>39</v>
      </c>
      <c r="S17" s="409"/>
      <c r="X17" s="11"/>
      <c r="Y17" s="11"/>
      <c r="Z17" s="11"/>
      <c r="AA17" s="11"/>
      <c r="AB17" s="11" t="s">
        <v>927</v>
      </c>
      <c r="AC17" s="11"/>
      <c r="AD17" s="11"/>
      <c r="AE17" s="11"/>
      <c r="AF17" s="11"/>
      <c r="AG17" s="11"/>
      <c r="AH17" s="11"/>
      <c r="AI17" s="11"/>
      <c r="AJ17" s="11"/>
      <c r="AK17" s="11"/>
      <c r="AL17" s="11"/>
      <c r="AM17" s="11"/>
      <c r="AN17" s="11"/>
      <c r="AO17" s="11"/>
      <c r="AP17" s="11"/>
      <c r="AQ17" s="11"/>
      <c r="AR17" s="11"/>
      <c r="AS17" s="11"/>
      <c r="AT17" s="11"/>
    </row>
    <row r="18" spans="1:46" s="23" customFormat="1" ht="11.1" customHeight="1" x14ac:dyDescent="0.2">
      <c r="A18" s="21">
        <v>1</v>
      </c>
      <c r="B18" s="21">
        <v>2</v>
      </c>
      <c r="C18" s="752">
        <v>3</v>
      </c>
      <c r="D18" s="753"/>
      <c r="E18" s="22">
        <v>4</v>
      </c>
      <c r="F18" s="749">
        <v>5</v>
      </c>
      <c r="G18" s="750"/>
      <c r="H18" s="920">
        <v>6</v>
      </c>
      <c r="I18" s="921"/>
      <c r="J18" s="922"/>
      <c r="K18" s="916">
        <v>7</v>
      </c>
      <c r="L18" s="916"/>
      <c r="M18" s="746">
        <v>8</v>
      </c>
      <c r="N18" s="746"/>
      <c r="O18" s="746">
        <v>9</v>
      </c>
      <c r="P18" s="746"/>
      <c r="Q18" s="21">
        <v>10</v>
      </c>
      <c r="R18" s="22">
        <v>11</v>
      </c>
      <c r="S18" s="410"/>
      <c r="X18" s="424"/>
      <c r="Y18" s="424"/>
      <c r="Z18" s="424"/>
      <c r="AA18" s="424"/>
      <c r="AB18" s="424"/>
      <c r="AC18" s="424"/>
      <c r="AD18" s="424"/>
      <c r="AE18" s="424"/>
      <c r="AF18" s="424"/>
      <c r="AG18" s="424"/>
      <c r="AH18" s="424"/>
      <c r="AI18" s="424"/>
      <c r="AJ18" s="424"/>
      <c r="AK18" s="424"/>
      <c r="AL18" s="424"/>
      <c r="AM18" s="424"/>
      <c r="AN18" s="424"/>
      <c r="AO18" s="424"/>
      <c r="AP18" s="424"/>
      <c r="AQ18" s="424"/>
      <c r="AR18" s="424"/>
      <c r="AS18" s="424"/>
      <c r="AT18" s="424"/>
    </row>
    <row r="19" spans="1:46" ht="15" customHeight="1" x14ac:dyDescent="0.2">
      <c r="A19" s="18">
        <v>1</v>
      </c>
      <c r="B19" s="19" t="s">
        <v>40</v>
      </c>
      <c r="C19" s="766" t="s">
        <v>929</v>
      </c>
      <c r="D19" s="767"/>
      <c r="E19" s="316"/>
      <c r="F19" s="737" t="s">
        <v>897</v>
      </c>
      <c r="G19" s="738"/>
      <c r="H19" s="917" t="s">
        <v>927</v>
      </c>
      <c r="I19" s="918"/>
      <c r="J19" s="919"/>
      <c r="K19" s="914">
        <v>2</v>
      </c>
      <c r="L19" s="915"/>
      <c r="M19" s="823"/>
      <c r="N19" s="823"/>
      <c r="O19" s="737"/>
      <c r="P19" s="738"/>
      <c r="Q19" s="317" t="s">
        <v>643</v>
      </c>
      <c r="R19" s="317" t="s">
        <v>644</v>
      </c>
      <c r="S19" s="411"/>
      <c r="X19" s="11"/>
      <c r="Y19" s="11"/>
      <c r="Z19" s="698"/>
      <c r="AA19" s="698"/>
      <c r="AB19" s="698"/>
      <c r="AC19" s="698"/>
      <c r="AD19" s="698"/>
      <c r="AE19" s="698"/>
      <c r="AF19" s="698"/>
      <c r="AG19" s="698"/>
      <c r="AH19" s="698"/>
      <c r="AI19" s="698"/>
      <c r="AJ19" s="698"/>
      <c r="AK19" s="698"/>
      <c r="AL19" s="698"/>
      <c r="AM19" s="698"/>
      <c r="AN19" s="698"/>
      <c r="AO19" s="698"/>
      <c r="AP19" s="698"/>
      <c r="AQ19" s="698"/>
      <c r="AR19" s="11"/>
      <c r="AS19" s="11"/>
      <c r="AT19" s="11"/>
    </row>
    <row r="20" spans="1:46" ht="15" customHeight="1" x14ac:dyDescent="0.2">
      <c r="A20" s="18">
        <v>2</v>
      </c>
      <c r="B20" s="19" t="s">
        <v>40</v>
      </c>
      <c r="C20" s="766" t="s">
        <v>930</v>
      </c>
      <c r="D20" s="767"/>
      <c r="E20" s="316"/>
      <c r="F20" s="737" t="s">
        <v>898</v>
      </c>
      <c r="G20" s="738"/>
      <c r="H20" s="917" t="s">
        <v>927</v>
      </c>
      <c r="I20" s="918"/>
      <c r="J20" s="919"/>
      <c r="K20" s="914">
        <v>2</v>
      </c>
      <c r="L20" s="915"/>
      <c r="M20" s="823"/>
      <c r="N20" s="823"/>
      <c r="O20" s="737"/>
      <c r="P20" s="738"/>
      <c r="Q20" s="317" t="s">
        <v>643</v>
      </c>
      <c r="R20" s="317" t="s">
        <v>644</v>
      </c>
      <c r="S20" s="411"/>
      <c r="X20" s="11"/>
      <c r="Y20" s="11"/>
      <c r="Z20" s="687"/>
      <c r="AA20" s="699"/>
      <c r="AB20" s="700"/>
      <c r="AC20" s="700"/>
      <c r="AD20" s="700"/>
      <c r="AE20" s="700"/>
      <c r="AF20" s="700"/>
      <c r="AG20" s="700"/>
      <c r="AH20" s="700"/>
      <c r="AI20" s="685"/>
      <c r="AJ20" s="685"/>
      <c r="AK20" s="685"/>
      <c r="AL20" s="685"/>
      <c r="AM20" s="685"/>
      <c r="AN20" s="685"/>
      <c r="AO20" s="685"/>
      <c r="AP20" s="687"/>
      <c r="AQ20" s="687"/>
      <c r="AR20" s="11"/>
      <c r="AS20" s="11"/>
      <c r="AT20" s="11"/>
    </row>
    <row r="21" spans="1:46" ht="15" customHeight="1" x14ac:dyDescent="0.2">
      <c r="A21" s="18">
        <v>3</v>
      </c>
      <c r="B21" s="19" t="s">
        <v>40</v>
      </c>
      <c r="C21" s="765" t="s">
        <v>931</v>
      </c>
      <c r="D21" s="765"/>
      <c r="E21" s="316"/>
      <c r="F21" s="737" t="s">
        <v>899</v>
      </c>
      <c r="G21" s="738"/>
      <c r="H21" s="917" t="s">
        <v>927</v>
      </c>
      <c r="I21" s="918"/>
      <c r="J21" s="919"/>
      <c r="K21" s="914">
        <v>2</v>
      </c>
      <c r="L21" s="915"/>
      <c r="M21" s="823"/>
      <c r="N21" s="823"/>
      <c r="O21" s="737"/>
      <c r="P21" s="738"/>
      <c r="Q21" s="317" t="s">
        <v>643</v>
      </c>
      <c r="R21" s="317" t="s">
        <v>644</v>
      </c>
      <c r="S21" s="411"/>
      <c r="X21" s="11"/>
      <c r="Y21" s="11"/>
      <c r="Z21" s="687"/>
      <c r="AA21" s="699"/>
      <c r="AB21" s="699"/>
      <c r="AC21" s="699"/>
      <c r="AD21" s="699"/>
      <c r="AE21" s="701"/>
      <c r="AF21" s="701"/>
      <c r="AG21" s="702"/>
      <c r="AH21" s="702"/>
      <c r="AI21" s="702"/>
      <c r="AJ21" s="701"/>
      <c r="AK21" s="699"/>
      <c r="AL21" s="699"/>
      <c r="AM21" s="699"/>
      <c r="AN21" s="701"/>
      <c r="AO21" s="701"/>
      <c r="AP21" s="687"/>
      <c r="AQ21" s="687"/>
      <c r="AR21" s="11"/>
      <c r="AS21" s="11"/>
      <c r="AT21" s="11"/>
    </row>
    <row r="22" spans="1:46" ht="15" customHeight="1" x14ac:dyDescent="0.2">
      <c r="A22" s="18">
        <v>4</v>
      </c>
      <c r="B22" s="19" t="s">
        <v>40</v>
      </c>
      <c r="C22" s="765" t="s">
        <v>932</v>
      </c>
      <c r="D22" s="765"/>
      <c r="E22" s="316"/>
      <c r="F22" s="737" t="s">
        <v>900</v>
      </c>
      <c r="G22" s="738"/>
      <c r="H22" s="917" t="s">
        <v>927</v>
      </c>
      <c r="I22" s="918"/>
      <c r="J22" s="919"/>
      <c r="K22" s="914">
        <v>2</v>
      </c>
      <c r="L22" s="915"/>
      <c r="M22" s="823"/>
      <c r="N22" s="823"/>
      <c r="O22" s="737"/>
      <c r="P22" s="738"/>
      <c r="Q22" s="317" t="s">
        <v>643</v>
      </c>
      <c r="R22" s="317" t="s">
        <v>644</v>
      </c>
      <c r="S22" s="411"/>
      <c r="X22" s="11"/>
      <c r="Y22" s="11"/>
      <c r="Z22" s="687"/>
      <c r="AA22" s="699"/>
      <c r="AB22" s="699"/>
      <c r="AC22" s="699"/>
      <c r="AD22" s="699"/>
      <c r="AE22" s="701"/>
      <c r="AF22" s="701"/>
      <c r="AG22" s="702"/>
      <c r="AH22" s="702"/>
      <c r="AI22" s="702"/>
      <c r="AJ22" s="701"/>
      <c r="AK22" s="699"/>
      <c r="AL22" s="699"/>
      <c r="AM22" s="699"/>
      <c r="AN22" s="701"/>
      <c r="AO22" s="701"/>
      <c r="AP22" s="409"/>
      <c r="AQ22" s="409"/>
      <c r="AR22" s="11"/>
      <c r="AS22" s="11"/>
      <c r="AT22" s="11"/>
    </row>
    <row r="23" spans="1:46" ht="15" customHeight="1" x14ac:dyDescent="0.2">
      <c r="A23" s="18">
        <v>5</v>
      </c>
      <c r="B23" s="19" t="s">
        <v>40</v>
      </c>
      <c r="C23" s="765" t="s">
        <v>933</v>
      </c>
      <c r="D23" s="765"/>
      <c r="E23" s="316"/>
      <c r="F23" s="737" t="s">
        <v>901</v>
      </c>
      <c r="G23" s="738"/>
      <c r="H23" s="917" t="s">
        <v>927</v>
      </c>
      <c r="I23" s="918"/>
      <c r="J23" s="919"/>
      <c r="K23" s="914">
        <v>2</v>
      </c>
      <c r="L23" s="915"/>
      <c r="M23" s="823"/>
      <c r="N23" s="823"/>
      <c r="O23" s="737"/>
      <c r="P23" s="738"/>
      <c r="Q23" s="317" t="s">
        <v>643</v>
      </c>
      <c r="R23" s="317" t="s">
        <v>644</v>
      </c>
      <c r="S23" s="411"/>
      <c r="X23" s="11"/>
      <c r="Y23" s="11"/>
      <c r="Z23" s="426"/>
      <c r="AA23" s="426"/>
      <c r="AB23" s="692"/>
      <c r="AC23" s="692"/>
      <c r="AD23" s="410"/>
      <c r="AE23" s="693"/>
      <c r="AF23" s="693"/>
      <c r="AG23" s="410"/>
      <c r="AH23" s="410"/>
      <c r="AI23" s="410"/>
      <c r="AJ23" s="410"/>
      <c r="AK23" s="692"/>
      <c r="AL23" s="692"/>
      <c r="AM23" s="692"/>
      <c r="AN23" s="692"/>
      <c r="AO23" s="692"/>
      <c r="AP23" s="426"/>
      <c r="AQ23" s="410"/>
      <c r="AR23" s="11"/>
      <c r="AS23" s="11"/>
      <c r="AT23" s="11"/>
    </row>
    <row r="24" spans="1:46" ht="15" customHeight="1" x14ac:dyDescent="0.2">
      <c r="A24" s="18">
        <v>6</v>
      </c>
      <c r="B24" s="19" t="s">
        <v>40</v>
      </c>
      <c r="C24" s="765" t="s">
        <v>934</v>
      </c>
      <c r="D24" s="765"/>
      <c r="E24" s="316"/>
      <c r="F24" s="737" t="s">
        <v>902</v>
      </c>
      <c r="G24" s="738"/>
      <c r="H24" s="917" t="s">
        <v>927</v>
      </c>
      <c r="I24" s="918"/>
      <c r="J24" s="919"/>
      <c r="K24" s="914">
        <v>2</v>
      </c>
      <c r="L24" s="915"/>
      <c r="M24" s="823"/>
      <c r="N24" s="823"/>
      <c r="O24" s="737"/>
      <c r="P24" s="738"/>
      <c r="Q24" s="317" t="s">
        <v>643</v>
      </c>
      <c r="R24" s="317" t="s">
        <v>644</v>
      </c>
      <c r="S24" s="411"/>
      <c r="X24" s="11"/>
      <c r="Y24" s="11"/>
      <c r="Z24" s="425"/>
      <c r="AA24" s="34"/>
      <c r="AB24" s="694"/>
      <c r="AC24" s="694"/>
      <c r="AD24" s="427"/>
      <c r="AE24" s="687"/>
      <c r="AF24" s="687"/>
      <c r="AG24" s="425"/>
      <c r="AH24" s="425"/>
      <c r="AI24" s="425"/>
      <c r="AJ24" s="428"/>
      <c r="AK24" s="688"/>
      <c r="AL24" s="688"/>
      <c r="AM24" s="688"/>
      <c r="AN24" s="687"/>
      <c r="AO24" s="687"/>
      <c r="AP24" s="411"/>
      <c r="AQ24" s="411"/>
      <c r="AR24" s="11"/>
      <c r="AS24" s="11"/>
      <c r="AT24" s="11"/>
    </row>
    <row r="25" spans="1:46" ht="15" customHeight="1" x14ac:dyDescent="0.2">
      <c r="A25" s="18">
        <v>7</v>
      </c>
      <c r="B25" s="19" t="s">
        <v>40</v>
      </c>
      <c r="C25" s="765" t="s">
        <v>935</v>
      </c>
      <c r="D25" s="765"/>
      <c r="E25" s="316"/>
      <c r="F25" s="737" t="s">
        <v>903</v>
      </c>
      <c r="G25" s="738"/>
      <c r="H25" s="917" t="s">
        <v>927</v>
      </c>
      <c r="I25" s="918"/>
      <c r="J25" s="919"/>
      <c r="K25" s="914">
        <v>2</v>
      </c>
      <c r="L25" s="915"/>
      <c r="M25" s="823"/>
      <c r="N25" s="823"/>
      <c r="O25" s="737"/>
      <c r="P25" s="738"/>
      <c r="Q25" s="317" t="s">
        <v>643</v>
      </c>
      <c r="R25" s="317" t="s">
        <v>644</v>
      </c>
      <c r="S25" s="411"/>
      <c r="X25" s="11"/>
      <c r="Y25" s="11"/>
      <c r="Z25" s="425"/>
      <c r="AA25" s="34"/>
      <c r="AB25" s="694"/>
      <c r="AC25" s="694"/>
      <c r="AD25" s="427"/>
      <c r="AE25" s="687"/>
      <c r="AF25" s="687"/>
      <c r="AG25" s="425"/>
      <c r="AH25" s="425"/>
      <c r="AI25" s="425"/>
      <c r="AJ25" s="428"/>
      <c r="AK25" s="688"/>
      <c r="AL25" s="688"/>
      <c r="AM25" s="688"/>
      <c r="AN25" s="687"/>
      <c r="AO25" s="687"/>
      <c r="AP25" s="411"/>
      <c r="AQ25" s="411"/>
      <c r="AR25" s="11"/>
      <c r="AS25" s="11"/>
      <c r="AT25" s="11"/>
    </row>
    <row r="26" spans="1:46" ht="15" customHeight="1" x14ac:dyDescent="0.2">
      <c r="A26" s="18">
        <v>8</v>
      </c>
      <c r="B26" s="19" t="s">
        <v>40</v>
      </c>
      <c r="C26" s="765" t="s">
        <v>936</v>
      </c>
      <c r="D26" s="765"/>
      <c r="E26" s="316"/>
      <c r="F26" s="737" t="s">
        <v>904</v>
      </c>
      <c r="G26" s="738"/>
      <c r="H26" s="917" t="s">
        <v>927</v>
      </c>
      <c r="I26" s="918"/>
      <c r="J26" s="919"/>
      <c r="K26" s="914">
        <v>2</v>
      </c>
      <c r="L26" s="915"/>
      <c r="M26" s="823"/>
      <c r="N26" s="823"/>
      <c r="O26" s="737"/>
      <c r="P26" s="738"/>
      <c r="Q26" s="317" t="s">
        <v>643</v>
      </c>
      <c r="R26" s="317" t="s">
        <v>644</v>
      </c>
      <c r="S26" s="411"/>
      <c r="X26" s="11"/>
      <c r="Y26" s="11"/>
      <c r="Z26" s="11"/>
      <c r="AA26" s="11"/>
      <c r="AB26" s="11"/>
      <c r="AC26" s="11"/>
      <c r="AD26" s="11"/>
      <c r="AE26" s="11"/>
      <c r="AF26" s="11"/>
      <c r="AG26" s="11"/>
      <c r="AH26" s="11"/>
      <c r="AI26" s="11"/>
      <c r="AJ26" s="11"/>
      <c r="AK26" s="11"/>
      <c r="AL26" s="11"/>
      <c r="AM26" s="11"/>
      <c r="AN26" s="11"/>
      <c r="AO26" s="11"/>
      <c r="AP26" s="11"/>
      <c r="AQ26" s="11"/>
      <c r="AR26" s="11"/>
      <c r="AS26" s="11"/>
      <c r="AT26" s="11"/>
    </row>
    <row r="27" spans="1:46" ht="15" customHeight="1" x14ac:dyDescent="0.2">
      <c r="A27" s="18">
        <v>9</v>
      </c>
      <c r="B27" s="19" t="s">
        <v>40</v>
      </c>
      <c r="C27" s="765" t="s">
        <v>937</v>
      </c>
      <c r="D27" s="765"/>
      <c r="E27" s="316"/>
      <c r="F27" s="737" t="s">
        <v>905</v>
      </c>
      <c r="G27" s="738"/>
      <c r="H27" s="917" t="s">
        <v>927</v>
      </c>
      <c r="I27" s="918"/>
      <c r="J27" s="919"/>
      <c r="K27" s="914">
        <v>2</v>
      </c>
      <c r="L27" s="915"/>
      <c r="M27" s="823"/>
      <c r="N27" s="823"/>
      <c r="O27" s="737"/>
      <c r="P27" s="738"/>
      <c r="Q27" s="317" t="s">
        <v>643</v>
      </c>
      <c r="R27" s="317" t="s">
        <v>644</v>
      </c>
      <c r="S27" s="411"/>
      <c r="X27" s="11"/>
      <c r="Y27" s="11"/>
      <c r="Z27" s="11"/>
      <c r="AA27" s="11"/>
      <c r="AB27" s="11"/>
      <c r="AC27" s="11"/>
      <c r="AD27" s="11"/>
      <c r="AE27" s="11"/>
      <c r="AF27" s="11"/>
      <c r="AG27" s="11"/>
      <c r="AH27" s="11"/>
      <c r="AI27" s="11"/>
      <c r="AJ27" s="11"/>
      <c r="AK27" s="11"/>
      <c r="AL27" s="11"/>
      <c r="AM27" s="11"/>
      <c r="AN27" s="11"/>
      <c r="AO27" s="11"/>
      <c r="AP27" s="11"/>
      <c r="AQ27" s="11"/>
      <c r="AR27" s="11"/>
      <c r="AS27" s="11"/>
      <c r="AT27" s="11"/>
    </row>
    <row r="28" spans="1:46" ht="15" customHeight="1" x14ac:dyDescent="0.2">
      <c r="A28" s="18">
        <v>10</v>
      </c>
      <c r="B28" s="19" t="s">
        <v>40</v>
      </c>
      <c r="C28" s="765" t="s">
        <v>938</v>
      </c>
      <c r="D28" s="765"/>
      <c r="E28" s="316"/>
      <c r="F28" s="737" t="s">
        <v>906</v>
      </c>
      <c r="G28" s="738"/>
      <c r="H28" s="917" t="s">
        <v>927</v>
      </c>
      <c r="I28" s="918"/>
      <c r="J28" s="919"/>
      <c r="K28" s="914">
        <v>2</v>
      </c>
      <c r="L28" s="915"/>
      <c r="M28" s="823"/>
      <c r="N28" s="823"/>
      <c r="O28" s="737"/>
      <c r="P28" s="738"/>
      <c r="Q28" s="317" t="s">
        <v>643</v>
      </c>
      <c r="R28" s="317" t="s">
        <v>644</v>
      </c>
      <c r="S28" s="411"/>
      <c r="X28" s="11"/>
      <c r="Y28" s="11"/>
      <c r="Z28" s="11"/>
      <c r="AA28" s="11"/>
      <c r="AB28" s="11"/>
      <c r="AC28" s="11"/>
      <c r="AD28" s="11"/>
      <c r="AE28" s="11"/>
      <c r="AF28" s="11"/>
      <c r="AG28" s="11"/>
      <c r="AH28" s="11"/>
      <c r="AI28" s="11"/>
      <c r="AJ28" s="11"/>
      <c r="AK28" s="11"/>
      <c r="AL28" s="11"/>
      <c r="AM28" s="11"/>
      <c r="AN28" s="11"/>
      <c r="AO28" s="11"/>
      <c r="AP28" s="11"/>
      <c r="AQ28" s="11"/>
      <c r="AR28" s="11"/>
      <c r="AS28" s="11"/>
      <c r="AT28" s="11"/>
    </row>
    <row r="29" spans="1:46" ht="15" customHeight="1" x14ac:dyDescent="0.2">
      <c r="A29" s="18">
        <v>11</v>
      </c>
      <c r="B29" s="19" t="s">
        <v>40</v>
      </c>
      <c r="C29" s="765" t="s">
        <v>939</v>
      </c>
      <c r="D29" s="765"/>
      <c r="E29" s="316"/>
      <c r="F29" s="737" t="s">
        <v>907</v>
      </c>
      <c r="G29" s="738"/>
      <c r="H29" s="917" t="s">
        <v>927</v>
      </c>
      <c r="I29" s="918"/>
      <c r="J29" s="919"/>
      <c r="K29" s="914">
        <v>2</v>
      </c>
      <c r="L29" s="915"/>
      <c r="M29" s="823"/>
      <c r="N29" s="823"/>
      <c r="O29" s="737"/>
      <c r="P29" s="738"/>
      <c r="Q29" s="317" t="s">
        <v>643</v>
      </c>
      <c r="R29" s="317" t="s">
        <v>644</v>
      </c>
      <c r="S29" s="411"/>
      <c r="X29" s="11"/>
      <c r="Y29" s="11"/>
      <c r="Z29" s="11"/>
      <c r="AA29" s="11"/>
      <c r="AB29" s="11"/>
      <c r="AC29" s="11"/>
      <c r="AD29" s="11"/>
      <c r="AE29" s="11"/>
      <c r="AF29" s="11"/>
      <c r="AG29" s="11"/>
      <c r="AH29" s="11"/>
      <c r="AI29" s="11"/>
      <c r="AJ29" s="11"/>
      <c r="AK29" s="11"/>
      <c r="AL29" s="11"/>
      <c r="AM29" s="11"/>
      <c r="AN29" s="11"/>
      <c r="AO29" s="11"/>
      <c r="AP29" s="11"/>
      <c r="AQ29" s="11"/>
      <c r="AR29" s="11"/>
      <c r="AS29" s="11"/>
      <c r="AT29" s="11"/>
    </row>
    <row r="30" spans="1:46" ht="15" customHeight="1" x14ac:dyDescent="0.2">
      <c r="A30" s="18">
        <v>12</v>
      </c>
      <c r="B30" s="19" t="s">
        <v>40</v>
      </c>
      <c r="C30" s="765" t="s">
        <v>940</v>
      </c>
      <c r="D30" s="765"/>
      <c r="E30" s="316"/>
      <c r="F30" s="737" t="s">
        <v>908</v>
      </c>
      <c r="G30" s="738"/>
      <c r="H30" s="917" t="s">
        <v>927</v>
      </c>
      <c r="I30" s="918"/>
      <c r="J30" s="919"/>
      <c r="K30" s="914">
        <v>2</v>
      </c>
      <c r="L30" s="915"/>
      <c r="M30" s="823"/>
      <c r="N30" s="823"/>
      <c r="O30" s="737"/>
      <c r="P30" s="738"/>
      <c r="Q30" s="317" t="s">
        <v>643</v>
      </c>
      <c r="R30" s="317" t="s">
        <v>644</v>
      </c>
      <c r="S30" s="411"/>
      <c r="X30" s="11"/>
      <c r="Y30" s="11"/>
      <c r="Z30" s="11"/>
      <c r="AA30" s="11"/>
      <c r="AB30" s="11"/>
      <c r="AC30" s="11"/>
      <c r="AD30" s="11"/>
      <c r="AE30" s="11"/>
      <c r="AF30" s="11"/>
      <c r="AG30" s="11"/>
      <c r="AH30" s="11"/>
      <c r="AI30" s="11"/>
      <c r="AJ30" s="11"/>
      <c r="AK30" s="11"/>
      <c r="AL30" s="11"/>
      <c r="AM30" s="11"/>
      <c r="AN30" s="11"/>
      <c r="AO30" s="11"/>
      <c r="AP30" s="11"/>
      <c r="AQ30" s="11"/>
      <c r="AR30" s="11"/>
      <c r="AS30" s="11"/>
      <c r="AT30" s="11"/>
    </row>
    <row r="31" spans="1:46" ht="15" customHeight="1" x14ac:dyDescent="0.2">
      <c r="A31" s="18">
        <v>13</v>
      </c>
      <c r="B31" s="19" t="s">
        <v>40</v>
      </c>
      <c r="C31" s="765" t="s">
        <v>941</v>
      </c>
      <c r="D31" s="765"/>
      <c r="E31" s="316"/>
      <c r="F31" s="737" t="s">
        <v>909</v>
      </c>
      <c r="G31" s="738"/>
      <c r="H31" s="917" t="s">
        <v>927</v>
      </c>
      <c r="I31" s="918"/>
      <c r="J31" s="919"/>
      <c r="K31" s="914">
        <v>2</v>
      </c>
      <c r="L31" s="915"/>
      <c r="M31" s="823"/>
      <c r="N31" s="823"/>
      <c r="O31" s="737"/>
      <c r="P31" s="738"/>
      <c r="Q31" s="317" t="s">
        <v>643</v>
      </c>
      <c r="R31" s="317" t="s">
        <v>644</v>
      </c>
      <c r="S31" s="411"/>
      <c r="X31" s="11"/>
      <c r="Y31" s="11"/>
      <c r="Z31" s="11"/>
      <c r="AA31" s="11"/>
      <c r="AB31" s="11"/>
      <c r="AC31" s="11"/>
      <c r="AD31" s="11"/>
      <c r="AE31" s="11"/>
      <c r="AF31" s="11"/>
      <c r="AG31" s="11"/>
      <c r="AH31" s="11"/>
      <c r="AI31" s="11"/>
      <c r="AJ31" s="11"/>
      <c r="AK31" s="11"/>
      <c r="AL31" s="11"/>
      <c r="AM31" s="11"/>
      <c r="AN31" s="11"/>
      <c r="AO31" s="11"/>
      <c r="AP31" s="11"/>
      <c r="AQ31" s="11"/>
      <c r="AR31" s="11"/>
      <c r="AS31" s="11"/>
      <c r="AT31" s="11"/>
    </row>
    <row r="32" spans="1:46" ht="15" customHeight="1" x14ac:dyDescent="0.2">
      <c r="A32" s="18">
        <v>14</v>
      </c>
      <c r="B32" s="19" t="s">
        <v>40</v>
      </c>
      <c r="C32" s="765" t="s">
        <v>942</v>
      </c>
      <c r="D32" s="765"/>
      <c r="E32" s="316"/>
      <c r="F32" s="737" t="s">
        <v>910</v>
      </c>
      <c r="G32" s="738"/>
      <c r="H32" s="917" t="s">
        <v>927</v>
      </c>
      <c r="I32" s="918"/>
      <c r="J32" s="919"/>
      <c r="K32" s="914">
        <v>2</v>
      </c>
      <c r="L32" s="915"/>
      <c r="M32" s="823"/>
      <c r="N32" s="823"/>
      <c r="O32" s="737"/>
      <c r="P32" s="738"/>
      <c r="Q32" s="317" t="s">
        <v>643</v>
      </c>
      <c r="R32" s="317" t="s">
        <v>644</v>
      </c>
      <c r="S32" s="411"/>
      <c r="X32" s="11"/>
      <c r="Y32" s="11"/>
      <c r="Z32" s="11"/>
      <c r="AA32" s="11"/>
      <c r="AB32" s="11"/>
      <c r="AC32" s="11"/>
      <c r="AD32" s="11"/>
      <c r="AE32" s="11"/>
      <c r="AF32" s="11"/>
      <c r="AG32" s="11"/>
      <c r="AH32" s="11"/>
      <c r="AI32" s="11"/>
      <c r="AJ32" s="11"/>
      <c r="AK32" s="11"/>
      <c r="AL32" s="11"/>
      <c r="AM32" s="11"/>
      <c r="AN32" s="11"/>
      <c r="AO32" s="11"/>
      <c r="AP32" s="11"/>
      <c r="AQ32" s="11"/>
      <c r="AR32" s="11"/>
      <c r="AS32" s="11"/>
      <c r="AT32" s="11"/>
    </row>
    <row r="33" spans="1:46" ht="15" customHeight="1" x14ac:dyDescent="0.2">
      <c r="A33" s="18">
        <v>15</v>
      </c>
      <c r="B33" s="19" t="s">
        <v>40</v>
      </c>
      <c r="C33" s="765" t="s">
        <v>943</v>
      </c>
      <c r="D33" s="765"/>
      <c r="E33" s="316"/>
      <c r="F33" s="737" t="s">
        <v>911</v>
      </c>
      <c r="G33" s="738"/>
      <c r="H33" s="917" t="s">
        <v>927</v>
      </c>
      <c r="I33" s="918"/>
      <c r="J33" s="919"/>
      <c r="K33" s="914">
        <v>2</v>
      </c>
      <c r="L33" s="915"/>
      <c r="M33" s="823"/>
      <c r="N33" s="823"/>
      <c r="O33" s="737"/>
      <c r="P33" s="738"/>
      <c r="Q33" s="317" t="s">
        <v>643</v>
      </c>
      <c r="R33" s="317" t="s">
        <v>644</v>
      </c>
      <c r="S33" s="411"/>
      <c r="X33" s="11"/>
      <c r="Y33" s="11"/>
      <c r="Z33" s="11"/>
      <c r="AA33" s="11"/>
      <c r="AB33" s="11"/>
      <c r="AC33" s="11"/>
      <c r="AD33" s="11"/>
      <c r="AE33" s="11"/>
      <c r="AF33" s="11"/>
      <c r="AG33" s="11"/>
      <c r="AH33" s="11"/>
      <c r="AI33" s="11"/>
      <c r="AJ33" s="11"/>
      <c r="AK33" s="11"/>
      <c r="AL33" s="11"/>
      <c r="AM33" s="11"/>
      <c r="AN33" s="11"/>
      <c r="AO33" s="11"/>
      <c r="AP33" s="11"/>
      <c r="AQ33" s="11"/>
      <c r="AR33" s="11"/>
      <c r="AS33" s="11"/>
      <c r="AT33" s="11"/>
    </row>
    <row r="34" spans="1:46" ht="15" customHeight="1" x14ac:dyDescent="0.2">
      <c r="A34" s="18">
        <v>16</v>
      </c>
      <c r="B34" s="19" t="s">
        <v>40</v>
      </c>
      <c r="C34" s="765" t="s">
        <v>946</v>
      </c>
      <c r="D34" s="765"/>
      <c r="E34" s="316"/>
      <c r="F34" s="737" t="s">
        <v>912</v>
      </c>
      <c r="G34" s="738"/>
      <c r="H34" s="917" t="s">
        <v>927</v>
      </c>
      <c r="I34" s="918"/>
      <c r="J34" s="919"/>
      <c r="K34" s="914">
        <v>2</v>
      </c>
      <c r="L34" s="915"/>
      <c r="M34" s="823"/>
      <c r="N34" s="823"/>
      <c r="O34" s="737"/>
      <c r="P34" s="738"/>
      <c r="Q34" s="317" t="s">
        <v>643</v>
      </c>
      <c r="R34" s="317" t="s">
        <v>644</v>
      </c>
      <c r="S34" s="411"/>
      <c r="X34" s="11"/>
      <c r="Y34" s="11"/>
      <c r="Z34" s="11"/>
      <c r="AA34" s="11"/>
      <c r="AB34" s="11"/>
      <c r="AC34" s="11"/>
      <c r="AD34" s="11"/>
      <c r="AE34" s="11"/>
      <c r="AF34" s="11"/>
      <c r="AG34" s="11"/>
      <c r="AH34" s="11"/>
      <c r="AI34" s="11"/>
      <c r="AJ34" s="11"/>
      <c r="AK34" s="11"/>
      <c r="AL34" s="11"/>
      <c r="AM34" s="11"/>
      <c r="AN34" s="11"/>
      <c r="AO34" s="11"/>
      <c r="AP34" s="11"/>
      <c r="AQ34" s="11"/>
      <c r="AR34" s="11"/>
      <c r="AS34" s="11"/>
      <c r="AT34" s="11"/>
    </row>
    <row r="35" spans="1:46" ht="15" customHeight="1" x14ac:dyDescent="0.2">
      <c r="A35" s="18">
        <v>17</v>
      </c>
      <c r="B35" s="19" t="s">
        <v>40</v>
      </c>
      <c r="C35" s="766" t="s">
        <v>947</v>
      </c>
      <c r="D35" s="767"/>
      <c r="E35" s="316"/>
      <c r="F35" s="737" t="s">
        <v>913</v>
      </c>
      <c r="G35" s="738"/>
      <c r="H35" s="917" t="s">
        <v>927</v>
      </c>
      <c r="I35" s="918"/>
      <c r="J35" s="919"/>
      <c r="K35" s="914">
        <v>2</v>
      </c>
      <c r="L35" s="915"/>
      <c r="M35" s="823"/>
      <c r="N35" s="823"/>
      <c r="O35" s="737"/>
      <c r="P35" s="738"/>
      <c r="Q35" s="317" t="s">
        <v>643</v>
      </c>
      <c r="R35" s="317" t="s">
        <v>644</v>
      </c>
      <c r="S35" s="411"/>
      <c r="X35" s="11"/>
      <c r="Y35" s="11"/>
      <c r="Z35" s="11"/>
      <c r="AA35" s="11"/>
      <c r="AB35" s="11"/>
      <c r="AC35" s="11"/>
      <c r="AD35" s="11"/>
      <c r="AE35" s="11"/>
      <c r="AF35" s="11"/>
      <c r="AG35" s="11"/>
      <c r="AH35" s="11"/>
      <c r="AI35" s="11"/>
      <c r="AJ35" s="11"/>
      <c r="AK35" s="11"/>
      <c r="AL35" s="11"/>
      <c r="AM35" s="11"/>
      <c r="AN35" s="11"/>
      <c r="AO35" s="11"/>
      <c r="AP35" s="11"/>
      <c r="AQ35" s="11"/>
      <c r="AR35" s="11"/>
      <c r="AS35" s="11"/>
      <c r="AT35" s="11"/>
    </row>
    <row r="36" spans="1:46" ht="15" customHeight="1" x14ac:dyDescent="0.2">
      <c r="A36" s="18">
        <v>18</v>
      </c>
      <c r="B36" s="19" t="s">
        <v>40</v>
      </c>
      <c r="C36" s="766" t="s">
        <v>948</v>
      </c>
      <c r="D36" s="767"/>
      <c r="E36" s="316"/>
      <c r="F36" s="737" t="s">
        <v>914</v>
      </c>
      <c r="G36" s="738"/>
      <c r="H36" s="917" t="s">
        <v>927</v>
      </c>
      <c r="I36" s="918"/>
      <c r="J36" s="919"/>
      <c r="K36" s="914">
        <v>2</v>
      </c>
      <c r="L36" s="915"/>
      <c r="M36" s="823"/>
      <c r="N36" s="823"/>
      <c r="O36" s="737"/>
      <c r="P36" s="738"/>
      <c r="Q36" s="317" t="s">
        <v>643</v>
      </c>
      <c r="R36" s="317" t="s">
        <v>644</v>
      </c>
      <c r="S36" s="411"/>
      <c r="X36" s="11"/>
      <c r="Y36" s="11"/>
      <c r="Z36" s="11"/>
      <c r="AA36" s="11"/>
      <c r="AB36" s="11"/>
      <c r="AC36" s="11"/>
      <c r="AD36" s="11"/>
      <c r="AE36" s="11"/>
      <c r="AF36" s="11"/>
      <c r="AG36" s="11"/>
      <c r="AH36" s="11"/>
      <c r="AI36" s="11"/>
      <c r="AJ36" s="11"/>
      <c r="AK36" s="11"/>
      <c r="AL36" s="11"/>
      <c r="AM36" s="11"/>
      <c r="AN36" s="11"/>
      <c r="AO36" s="11"/>
      <c r="AP36" s="11"/>
      <c r="AQ36" s="11"/>
      <c r="AR36" s="11"/>
      <c r="AS36" s="11"/>
      <c r="AT36" s="11"/>
    </row>
    <row r="37" spans="1:46" ht="15" customHeight="1" x14ac:dyDescent="0.2">
      <c r="A37" s="18">
        <v>19</v>
      </c>
      <c r="B37" s="19" t="s">
        <v>40</v>
      </c>
      <c r="C37" s="766" t="s">
        <v>949</v>
      </c>
      <c r="D37" s="767"/>
      <c r="E37" s="316"/>
      <c r="F37" s="737" t="s">
        <v>915</v>
      </c>
      <c r="G37" s="738"/>
      <c r="H37" s="917" t="s">
        <v>927</v>
      </c>
      <c r="I37" s="918"/>
      <c r="J37" s="919"/>
      <c r="K37" s="914">
        <v>2</v>
      </c>
      <c r="L37" s="915"/>
      <c r="M37" s="823"/>
      <c r="N37" s="823"/>
      <c r="O37" s="737"/>
      <c r="P37" s="738"/>
      <c r="Q37" s="317" t="s">
        <v>643</v>
      </c>
      <c r="R37" s="317" t="s">
        <v>644</v>
      </c>
      <c r="S37" s="411"/>
      <c r="X37" s="11"/>
      <c r="Y37" s="11"/>
      <c r="Z37" s="11"/>
      <c r="AA37" s="11"/>
      <c r="AB37" s="11"/>
      <c r="AC37" s="11"/>
      <c r="AD37" s="11"/>
      <c r="AE37" s="11"/>
      <c r="AF37" s="11"/>
      <c r="AG37" s="11"/>
      <c r="AH37" s="11"/>
      <c r="AI37" s="11"/>
      <c r="AJ37" s="11"/>
      <c r="AK37" s="11"/>
      <c r="AL37" s="11"/>
      <c r="AM37" s="11"/>
      <c r="AN37" s="11"/>
      <c r="AO37" s="11"/>
      <c r="AP37" s="11"/>
      <c r="AQ37" s="11"/>
      <c r="AR37" s="11"/>
      <c r="AS37" s="11"/>
      <c r="AT37" s="11"/>
    </row>
    <row r="38" spans="1:46" ht="15" customHeight="1" x14ac:dyDescent="0.2">
      <c r="A38" s="18">
        <v>20</v>
      </c>
      <c r="B38" s="19" t="s">
        <v>40</v>
      </c>
      <c r="C38" s="766" t="s">
        <v>950</v>
      </c>
      <c r="D38" s="767"/>
      <c r="E38" s="316"/>
      <c r="F38" s="737" t="s">
        <v>916</v>
      </c>
      <c r="G38" s="738"/>
      <c r="H38" s="917" t="s">
        <v>927</v>
      </c>
      <c r="I38" s="918"/>
      <c r="J38" s="919"/>
      <c r="K38" s="914">
        <v>2</v>
      </c>
      <c r="L38" s="915"/>
      <c r="M38" s="823"/>
      <c r="N38" s="823"/>
      <c r="O38" s="737"/>
      <c r="P38" s="738"/>
      <c r="Q38" s="317" t="s">
        <v>643</v>
      </c>
      <c r="R38" s="317" t="s">
        <v>644</v>
      </c>
      <c r="S38" s="411"/>
      <c r="X38" s="11"/>
      <c r="Y38" s="11"/>
      <c r="Z38" s="11"/>
      <c r="AA38" s="11"/>
      <c r="AB38" s="11"/>
      <c r="AC38" s="11"/>
      <c r="AD38" s="11"/>
      <c r="AE38" s="11"/>
      <c r="AF38" s="11"/>
      <c r="AG38" s="11"/>
      <c r="AH38" s="11"/>
      <c r="AI38" s="11"/>
      <c r="AJ38" s="11"/>
      <c r="AK38" s="11"/>
      <c r="AL38" s="11"/>
      <c r="AM38" s="11"/>
      <c r="AN38" s="11"/>
      <c r="AO38" s="11"/>
      <c r="AP38" s="11"/>
      <c r="AQ38" s="11"/>
      <c r="AR38" s="11"/>
      <c r="AS38" s="11"/>
      <c r="AT38" s="11"/>
    </row>
    <row r="39" spans="1:46" ht="15" customHeight="1" x14ac:dyDescent="0.2">
      <c r="A39" s="18">
        <v>21</v>
      </c>
      <c r="B39" s="19" t="s">
        <v>40</v>
      </c>
      <c r="C39" s="766" t="s">
        <v>951</v>
      </c>
      <c r="D39" s="767"/>
      <c r="E39" s="316"/>
      <c r="F39" s="737" t="s">
        <v>917</v>
      </c>
      <c r="G39" s="738"/>
      <c r="H39" s="917" t="s">
        <v>927</v>
      </c>
      <c r="I39" s="918"/>
      <c r="J39" s="919"/>
      <c r="K39" s="914">
        <v>2</v>
      </c>
      <c r="L39" s="915"/>
      <c r="M39" s="823"/>
      <c r="N39" s="823"/>
      <c r="O39" s="737"/>
      <c r="P39" s="738"/>
      <c r="Q39" s="317" t="s">
        <v>643</v>
      </c>
      <c r="R39" s="317" t="s">
        <v>644</v>
      </c>
      <c r="S39" s="411"/>
      <c r="X39" s="11"/>
      <c r="Y39" s="11"/>
      <c r="Z39" s="11"/>
      <c r="AA39" s="11"/>
      <c r="AB39" s="11"/>
      <c r="AC39" s="11"/>
      <c r="AD39" s="11"/>
      <c r="AE39" s="11"/>
      <c r="AF39" s="11"/>
      <c r="AG39" s="11"/>
      <c r="AH39" s="11"/>
      <c r="AI39" s="11"/>
      <c r="AJ39" s="11"/>
      <c r="AK39" s="11"/>
      <c r="AL39" s="11"/>
      <c r="AM39" s="11"/>
      <c r="AN39" s="11"/>
      <c r="AO39" s="11"/>
      <c r="AP39" s="11"/>
      <c r="AQ39" s="11"/>
      <c r="AR39" s="11"/>
      <c r="AS39" s="11"/>
      <c r="AT39" s="11"/>
    </row>
    <row r="40" spans="1:46" ht="15" customHeight="1" x14ac:dyDescent="0.2">
      <c r="A40" s="18">
        <v>22</v>
      </c>
      <c r="B40" s="19" t="s">
        <v>40</v>
      </c>
      <c r="C40" s="766" t="s">
        <v>952</v>
      </c>
      <c r="D40" s="767"/>
      <c r="E40" s="316"/>
      <c r="F40" s="737" t="s">
        <v>918</v>
      </c>
      <c r="G40" s="738"/>
      <c r="H40" s="917" t="s">
        <v>927</v>
      </c>
      <c r="I40" s="918"/>
      <c r="J40" s="919"/>
      <c r="K40" s="914">
        <v>2</v>
      </c>
      <c r="L40" s="915"/>
      <c r="M40" s="823"/>
      <c r="N40" s="823"/>
      <c r="O40" s="737"/>
      <c r="P40" s="738"/>
      <c r="Q40" s="317" t="s">
        <v>643</v>
      </c>
      <c r="R40" s="317" t="s">
        <v>644</v>
      </c>
      <c r="S40" s="411"/>
      <c r="X40" s="11"/>
      <c r="Y40" s="11"/>
      <c r="Z40" s="11"/>
      <c r="AA40" s="11"/>
      <c r="AB40" s="11"/>
      <c r="AC40" s="11"/>
      <c r="AD40" s="11"/>
      <c r="AE40" s="11"/>
      <c r="AF40" s="11"/>
      <c r="AG40" s="11"/>
      <c r="AH40" s="11"/>
      <c r="AI40" s="11"/>
      <c r="AJ40" s="11"/>
      <c r="AK40" s="11"/>
      <c r="AL40" s="11"/>
      <c r="AM40" s="11"/>
      <c r="AN40" s="11"/>
      <c r="AO40" s="11"/>
      <c r="AP40" s="11"/>
      <c r="AQ40" s="11"/>
      <c r="AR40" s="11"/>
      <c r="AS40" s="11"/>
      <c r="AT40" s="11"/>
    </row>
    <row r="41" spans="1:46" ht="15" customHeight="1" x14ac:dyDescent="0.2">
      <c r="A41" s="18">
        <v>23</v>
      </c>
      <c r="B41" s="19" t="s">
        <v>40</v>
      </c>
      <c r="C41" s="766" t="s">
        <v>953</v>
      </c>
      <c r="D41" s="767"/>
      <c r="E41" s="316"/>
      <c r="F41" s="737" t="s">
        <v>919</v>
      </c>
      <c r="G41" s="738"/>
      <c r="H41" s="917" t="s">
        <v>927</v>
      </c>
      <c r="I41" s="918"/>
      <c r="J41" s="919"/>
      <c r="K41" s="914">
        <v>2</v>
      </c>
      <c r="L41" s="915"/>
      <c r="M41" s="823"/>
      <c r="N41" s="823"/>
      <c r="O41" s="737"/>
      <c r="P41" s="738"/>
      <c r="Q41" s="317" t="s">
        <v>643</v>
      </c>
      <c r="R41" s="317" t="s">
        <v>644</v>
      </c>
      <c r="S41" s="411"/>
    </row>
    <row r="42" spans="1:46" ht="15" customHeight="1" x14ac:dyDescent="0.2">
      <c r="A42" s="18">
        <v>24</v>
      </c>
      <c r="B42" s="19" t="s">
        <v>40</v>
      </c>
      <c r="C42" s="766" t="s">
        <v>954</v>
      </c>
      <c r="D42" s="767"/>
      <c r="E42" s="316"/>
      <c r="F42" s="737" t="s">
        <v>920</v>
      </c>
      <c r="G42" s="738"/>
      <c r="H42" s="917" t="s">
        <v>927</v>
      </c>
      <c r="I42" s="918"/>
      <c r="J42" s="919"/>
      <c r="K42" s="914">
        <v>2</v>
      </c>
      <c r="L42" s="915"/>
      <c r="M42" s="823"/>
      <c r="N42" s="823"/>
      <c r="O42" s="737"/>
      <c r="P42" s="738"/>
      <c r="Q42" s="317" t="s">
        <v>643</v>
      </c>
      <c r="R42" s="317" t="s">
        <v>644</v>
      </c>
      <c r="S42" s="411"/>
    </row>
    <row r="43" spans="1:46" ht="15" customHeight="1" x14ac:dyDescent="0.2">
      <c r="A43" s="18">
        <v>25</v>
      </c>
      <c r="B43" s="19" t="s">
        <v>40</v>
      </c>
      <c r="C43" s="766" t="s">
        <v>955</v>
      </c>
      <c r="D43" s="767"/>
      <c r="E43" s="316"/>
      <c r="F43" s="737" t="s">
        <v>921</v>
      </c>
      <c r="G43" s="738"/>
      <c r="H43" s="917" t="s">
        <v>927</v>
      </c>
      <c r="I43" s="918"/>
      <c r="J43" s="919"/>
      <c r="K43" s="914">
        <v>2</v>
      </c>
      <c r="L43" s="915"/>
      <c r="M43" s="823"/>
      <c r="N43" s="823"/>
      <c r="O43" s="737"/>
      <c r="P43" s="738"/>
      <c r="Q43" s="317" t="s">
        <v>643</v>
      </c>
      <c r="R43" s="317" t="s">
        <v>644</v>
      </c>
      <c r="S43" s="411"/>
    </row>
    <row r="44" spans="1:46" ht="15" customHeight="1" x14ac:dyDescent="0.2">
      <c r="A44" s="18">
        <v>26</v>
      </c>
      <c r="B44" s="19" t="s">
        <v>40</v>
      </c>
      <c r="C44" s="766" t="s">
        <v>956</v>
      </c>
      <c r="D44" s="767"/>
      <c r="E44" s="316"/>
      <c r="F44" s="737" t="s">
        <v>922</v>
      </c>
      <c r="G44" s="738"/>
      <c r="H44" s="917" t="s">
        <v>927</v>
      </c>
      <c r="I44" s="918"/>
      <c r="J44" s="919"/>
      <c r="K44" s="914">
        <v>2</v>
      </c>
      <c r="L44" s="915"/>
      <c r="M44" s="823"/>
      <c r="N44" s="823"/>
      <c r="O44" s="737"/>
      <c r="P44" s="738"/>
      <c r="Q44" s="317" t="s">
        <v>643</v>
      </c>
      <c r="R44" s="317" t="s">
        <v>644</v>
      </c>
      <c r="S44" s="411"/>
    </row>
    <row r="45" spans="1:46" ht="15" customHeight="1" x14ac:dyDescent="0.2">
      <c r="A45" s="18">
        <v>27</v>
      </c>
      <c r="B45" s="19" t="s">
        <v>40</v>
      </c>
      <c r="C45" s="766" t="s">
        <v>957</v>
      </c>
      <c r="D45" s="767"/>
      <c r="E45" s="316"/>
      <c r="F45" s="737" t="s">
        <v>923</v>
      </c>
      <c r="G45" s="738"/>
      <c r="H45" s="917" t="s">
        <v>927</v>
      </c>
      <c r="I45" s="918"/>
      <c r="J45" s="919"/>
      <c r="K45" s="914">
        <v>2</v>
      </c>
      <c r="L45" s="915"/>
      <c r="M45" s="823"/>
      <c r="N45" s="823"/>
      <c r="O45" s="737"/>
      <c r="P45" s="738"/>
      <c r="Q45" s="317" t="s">
        <v>643</v>
      </c>
      <c r="R45" s="317" t="s">
        <v>644</v>
      </c>
      <c r="S45" s="411"/>
    </row>
    <row r="46" spans="1:46" ht="15" customHeight="1" x14ac:dyDescent="0.2">
      <c r="A46" s="18">
        <v>28</v>
      </c>
      <c r="B46" s="19" t="s">
        <v>40</v>
      </c>
      <c r="C46" s="766" t="s">
        <v>958</v>
      </c>
      <c r="D46" s="767"/>
      <c r="E46" s="316"/>
      <c r="F46" s="737" t="s">
        <v>924</v>
      </c>
      <c r="G46" s="738"/>
      <c r="H46" s="917" t="s">
        <v>927</v>
      </c>
      <c r="I46" s="918"/>
      <c r="J46" s="919"/>
      <c r="K46" s="914">
        <v>2</v>
      </c>
      <c r="L46" s="915"/>
      <c r="M46" s="823"/>
      <c r="N46" s="823"/>
      <c r="O46" s="737"/>
      <c r="P46" s="738"/>
      <c r="Q46" s="317" t="s">
        <v>643</v>
      </c>
      <c r="R46" s="317" t="s">
        <v>644</v>
      </c>
      <c r="S46" s="411"/>
    </row>
    <row r="47" spans="1:46" ht="15" customHeight="1" x14ac:dyDescent="0.2">
      <c r="A47" s="18">
        <v>29</v>
      </c>
      <c r="B47" s="19" t="s">
        <v>40</v>
      </c>
      <c r="C47" s="766" t="s">
        <v>959</v>
      </c>
      <c r="D47" s="767"/>
      <c r="E47" s="316"/>
      <c r="F47" s="737" t="s">
        <v>925</v>
      </c>
      <c r="G47" s="738"/>
      <c r="H47" s="917" t="s">
        <v>927</v>
      </c>
      <c r="I47" s="918"/>
      <c r="J47" s="919"/>
      <c r="K47" s="914">
        <v>2</v>
      </c>
      <c r="L47" s="915"/>
      <c r="M47" s="823"/>
      <c r="N47" s="823"/>
      <c r="O47" s="737"/>
      <c r="P47" s="738"/>
      <c r="Q47" s="317" t="s">
        <v>643</v>
      </c>
      <c r="R47" s="317" t="s">
        <v>644</v>
      </c>
      <c r="S47" s="411"/>
    </row>
    <row r="48" spans="1:46" ht="15" customHeight="1" x14ac:dyDescent="0.2">
      <c r="A48" s="18">
        <v>30</v>
      </c>
      <c r="B48" s="19" t="s">
        <v>40</v>
      </c>
      <c r="C48" s="766" t="s">
        <v>960</v>
      </c>
      <c r="D48" s="767"/>
      <c r="E48" s="316"/>
      <c r="F48" s="737" t="s">
        <v>926</v>
      </c>
      <c r="G48" s="738"/>
      <c r="H48" s="917" t="s">
        <v>927</v>
      </c>
      <c r="I48" s="918"/>
      <c r="J48" s="919"/>
      <c r="K48" s="914">
        <v>2</v>
      </c>
      <c r="L48" s="915"/>
      <c r="M48" s="823"/>
      <c r="N48" s="823"/>
      <c r="O48" s="910"/>
      <c r="P48" s="911"/>
      <c r="Q48" s="317" t="s">
        <v>643</v>
      </c>
      <c r="R48" s="317" t="s">
        <v>644</v>
      </c>
      <c r="S48" s="411"/>
    </row>
    <row r="49" spans="1:58" ht="15" hidden="1" customHeight="1" x14ac:dyDescent="0.2">
      <c r="A49" s="18">
        <v>31</v>
      </c>
      <c r="B49" s="19" t="s">
        <v>689</v>
      </c>
      <c r="C49" s="765" t="s">
        <v>59</v>
      </c>
      <c r="D49" s="765"/>
      <c r="E49" s="316" t="s">
        <v>42</v>
      </c>
      <c r="F49" s="737" t="s">
        <v>52</v>
      </c>
      <c r="G49" s="738"/>
      <c r="H49" s="759" t="s">
        <v>844</v>
      </c>
      <c r="I49" s="759"/>
      <c r="J49" s="419"/>
      <c r="K49" s="923"/>
      <c r="L49" s="923"/>
      <c r="M49" s="420"/>
      <c r="N49" s="924"/>
      <c r="O49" s="924"/>
      <c r="P49" s="420"/>
      <c r="Q49" s="420"/>
      <c r="R49" s="418"/>
      <c r="S49" s="411"/>
    </row>
    <row r="50" spans="1:58" ht="15" hidden="1" customHeight="1" x14ac:dyDescent="0.2">
      <c r="A50" s="18">
        <v>32</v>
      </c>
      <c r="B50" s="19" t="s">
        <v>689</v>
      </c>
      <c r="C50" s="765" t="s">
        <v>60</v>
      </c>
      <c r="D50" s="765"/>
      <c r="E50" s="316" t="s">
        <v>42</v>
      </c>
      <c r="F50" s="737" t="s">
        <v>54</v>
      </c>
      <c r="G50" s="738"/>
      <c r="H50" s="759" t="s">
        <v>844</v>
      </c>
      <c r="I50" s="759"/>
      <c r="J50" s="419"/>
      <c r="K50" s="923"/>
      <c r="L50" s="923"/>
      <c r="M50" s="420"/>
      <c r="N50" s="924"/>
      <c r="O50" s="924"/>
      <c r="P50" s="420"/>
      <c r="Q50" s="420"/>
      <c r="R50" s="418"/>
      <c r="S50" s="411"/>
    </row>
    <row r="51" spans="1:58" ht="15" hidden="1" customHeight="1" x14ac:dyDescent="0.2">
      <c r="A51" s="18">
        <v>33</v>
      </c>
      <c r="B51" s="19" t="s">
        <v>689</v>
      </c>
      <c r="C51" s="765" t="s">
        <v>61</v>
      </c>
      <c r="D51" s="765"/>
      <c r="E51" s="316" t="s">
        <v>42</v>
      </c>
      <c r="F51" s="737" t="s">
        <v>56</v>
      </c>
      <c r="G51" s="738"/>
      <c r="H51" s="759" t="s">
        <v>844</v>
      </c>
      <c r="I51" s="759"/>
      <c r="J51" s="419"/>
      <c r="K51" s="923"/>
      <c r="L51" s="923"/>
      <c r="M51" s="420"/>
      <c r="N51" s="924"/>
      <c r="O51" s="924"/>
      <c r="P51" s="420"/>
      <c r="Q51" s="420"/>
      <c r="R51" s="418"/>
      <c r="S51" s="411"/>
    </row>
    <row r="52" spans="1:58" ht="15" hidden="1" customHeight="1" x14ac:dyDescent="0.2">
      <c r="A52" s="18">
        <v>34</v>
      </c>
      <c r="B52" s="19" t="s">
        <v>689</v>
      </c>
      <c r="C52" s="766" t="s">
        <v>62</v>
      </c>
      <c r="D52" s="767"/>
      <c r="E52" s="316" t="s">
        <v>42</v>
      </c>
      <c r="F52" s="737" t="s">
        <v>58</v>
      </c>
      <c r="G52" s="738"/>
      <c r="H52" s="759" t="s">
        <v>844</v>
      </c>
      <c r="I52" s="759"/>
      <c r="J52" s="419"/>
      <c r="K52" s="923"/>
      <c r="L52" s="923"/>
      <c r="M52" s="420"/>
      <c r="N52" s="924"/>
      <c r="O52" s="924"/>
      <c r="P52" s="420"/>
      <c r="Q52" s="420"/>
      <c r="R52" s="418"/>
      <c r="S52" s="411"/>
    </row>
    <row r="53" spans="1:58" ht="15" hidden="1" customHeight="1" x14ac:dyDescent="0.2">
      <c r="A53" s="18">
        <v>35</v>
      </c>
      <c r="B53" s="19" t="s">
        <v>689</v>
      </c>
      <c r="C53" s="766" t="s">
        <v>665</v>
      </c>
      <c r="D53" s="767"/>
      <c r="E53" s="316" t="s">
        <v>42</v>
      </c>
      <c r="F53" s="737" t="s">
        <v>656</v>
      </c>
      <c r="G53" s="738"/>
      <c r="H53" s="759" t="s">
        <v>844</v>
      </c>
      <c r="I53" s="759"/>
      <c r="J53" s="419"/>
      <c r="K53" s="923"/>
      <c r="L53" s="923"/>
      <c r="M53" s="420"/>
      <c r="N53" s="924"/>
      <c r="O53" s="924"/>
      <c r="P53" s="420"/>
      <c r="Q53" s="420"/>
      <c r="R53" s="418"/>
      <c r="S53" s="411"/>
    </row>
    <row r="54" spans="1:58" ht="15" hidden="1" customHeight="1" x14ac:dyDescent="0.2">
      <c r="A54" s="18">
        <v>36</v>
      </c>
      <c r="B54" s="19" t="s">
        <v>689</v>
      </c>
      <c r="C54" s="766" t="s">
        <v>666</v>
      </c>
      <c r="D54" s="767"/>
      <c r="E54" s="316" t="s">
        <v>42</v>
      </c>
      <c r="F54" s="737" t="s">
        <v>658</v>
      </c>
      <c r="G54" s="738"/>
      <c r="H54" s="759" t="s">
        <v>844</v>
      </c>
      <c r="I54" s="759"/>
      <c r="J54" s="419"/>
      <c r="K54" s="923"/>
      <c r="L54" s="923"/>
      <c r="M54" s="420"/>
      <c r="N54" s="924"/>
      <c r="O54" s="924"/>
      <c r="P54" s="420"/>
      <c r="Q54" s="420"/>
      <c r="R54" s="418"/>
      <c r="S54" s="411"/>
    </row>
    <row r="55" spans="1:58" ht="15" hidden="1" customHeight="1" x14ac:dyDescent="0.2">
      <c r="A55" s="18">
        <v>37</v>
      </c>
      <c r="B55" s="19" t="s">
        <v>689</v>
      </c>
      <c r="C55" s="766" t="s">
        <v>667</v>
      </c>
      <c r="D55" s="767"/>
      <c r="E55" s="316" t="s">
        <v>42</v>
      </c>
      <c r="F55" s="737" t="s">
        <v>659</v>
      </c>
      <c r="G55" s="738"/>
      <c r="H55" s="759" t="s">
        <v>844</v>
      </c>
      <c r="I55" s="759"/>
      <c r="J55" s="419"/>
      <c r="K55" s="923"/>
      <c r="L55" s="923"/>
      <c r="M55" s="420"/>
      <c r="N55" s="924"/>
      <c r="O55" s="924"/>
      <c r="P55" s="420"/>
      <c r="Q55" s="420"/>
      <c r="R55" s="418"/>
      <c r="S55" s="411"/>
    </row>
    <row r="56" spans="1:58" ht="15" hidden="1" customHeight="1" x14ac:dyDescent="0.2">
      <c r="A56" s="18">
        <v>38</v>
      </c>
      <c r="B56" s="19" t="s">
        <v>689</v>
      </c>
      <c r="C56" s="766" t="s">
        <v>668</v>
      </c>
      <c r="D56" s="767"/>
      <c r="E56" s="316" t="s">
        <v>42</v>
      </c>
      <c r="F56" s="737" t="s">
        <v>660</v>
      </c>
      <c r="G56" s="738"/>
      <c r="H56" s="759" t="s">
        <v>844</v>
      </c>
      <c r="I56" s="759"/>
      <c r="J56" s="419"/>
      <c r="K56" s="923"/>
      <c r="L56" s="923"/>
      <c r="M56" s="420"/>
      <c r="N56" s="924"/>
      <c r="O56" s="924"/>
      <c r="P56" s="420"/>
      <c r="Q56" s="420"/>
      <c r="R56" s="418"/>
      <c r="S56" s="411"/>
      <c r="AO56" s="11"/>
      <c r="AP56" s="11"/>
      <c r="AQ56" s="11"/>
      <c r="AR56" s="11"/>
      <c r="AS56" s="11"/>
      <c r="AT56" s="11"/>
      <c r="AU56" s="11"/>
      <c r="AV56" s="11"/>
      <c r="AW56" s="11"/>
      <c r="AX56" s="11"/>
      <c r="AY56" s="11"/>
      <c r="AZ56" s="11"/>
      <c r="BA56" s="11"/>
      <c r="BB56" s="11"/>
      <c r="BC56" s="11"/>
      <c r="BD56" s="11"/>
      <c r="BE56" s="11"/>
      <c r="BF56" s="11"/>
    </row>
    <row r="57" spans="1:58" ht="15" hidden="1" customHeight="1" x14ac:dyDescent="0.2">
      <c r="A57" s="18">
        <v>39</v>
      </c>
      <c r="B57" s="19" t="s">
        <v>689</v>
      </c>
      <c r="C57" s="766" t="s">
        <v>669</v>
      </c>
      <c r="D57" s="767"/>
      <c r="E57" s="316" t="s">
        <v>42</v>
      </c>
      <c r="F57" s="737" t="s">
        <v>661</v>
      </c>
      <c r="G57" s="738"/>
      <c r="H57" s="759" t="s">
        <v>844</v>
      </c>
      <c r="I57" s="759"/>
      <c r="J57" s="419"/>
      <c r="K57" s="923"/>
      <c r="L57" s="923"/>
      <c r="M57" s="420"/>
      <c r="N57" s="924"/>
      <c r="O57" s="924"/>
      <c r="P57" s="420"/>
      <c r="Q57" s="420"/>
      <c r="R57" s="418"/>
      <c r="S57" s="411"/>
      <c r="AO57" s="11"/>
      <c r="AP57" s="11"/>
      <c r="AQ57" s="11"/>
      <c r="AR57" s="11"/>
      <c r="AS57" s="11"/>
      <c r="AT57" s="11"/>
      <c r="AU57" s="11"/>
      <c r="AV57" s="11"/>
      <c r="AW57" s="11"/>
      <c r="AX57" s="11"/>
      <c r="AY57" s="11"/>
      <c r="AZ57" s="11"/>
      <c r="BA57" s="11"/>
      <c r="BB57" s="11"/>
      <c r="BC57" s="11"/>
      <c r="BD57" s="11"/>
      <c r="BE57" s="11"/>
      <c r="BF57" s="11"/>
    </row>
    <row r="58" spans="1:58" ht="15" hidden="1" customHeight="1" x14ac:dyDescent="0.2">
      <c r="A58" s="18">
        <v>40</v>
      </c>
      <c r="B58" s="19" t="s">
        <v>689</v>
      </c>
      <c r="C58" s="766" t="s">
        <v>670</v>
      </c>
      <c r="D58" s="767"/>
      <c r="E58" s="316" t="s">
        <v>42</v>
      </c>
      <c r="F58" s="737" t="s">
        <v>662</v>
      </c>
      <c r="G58" s="738"/>
      <c r="H58" s="759" t="s">
        <v>844</v>
      </c>
      <c r="I58" s="759"/>
      <c r="J58" s="419"/>
      <c r="K58" s="923"/>
      <c r="L58" s="923"/>
      <c r="M58" s="420"/>
      <c r="N58" s="924"/>
      <c r="O58" s="924"/>
      <c r="P58" s="420"/>
      <c r="Q58" s="420"/>
      <c r="R58" s="418"/>
      <c r="S58" s="411"/>
      <c r="AO58" s="11"/>
      <c r="AP58" s="685"/>
      <c r="AQ58" s="685"/>
      <c r="AR58" s="685"/>
      <c r="AS58" s="686"/>
      <c r="AT58" s="686"/>
      <c r="AU58" s="686"/>
      <c r="AV58" s="685"/>
      <c r="AW58" s="685"/>
      <c r="AX58" s="685"/>
      <c r="AY58" s="428"/>
      <c r="AZ58" s="686"/>
      <c r="BA58" s="686"/>
      <c r="BB58" s="686"/>
      <c r="BC58" s="688"/>
      <c r="BD58" s="688"/>
      <c r="BE58" s="688"/>
      <c r="BF58" s="409"/>
    </row>
    <row r="59" spans="1:58" ht="15" hidden="1" customHeight="1" x14ac:dyDescent="0.2">
      <c r="A59" s="18">
        <v>41</v>
      </c>
      <c r="B59" s="19" t="s">
        <v>689</v>
      </c>
      <c r="C59" s="766" t="s">
        <v>671</v>
      </c>
      <c r="D59" s="767"/>
      <c r="E59" s="316" t="s">
        <v>42</v>
      </c>
      <c r="F59" s="737" t="s">
        <v>663</v>
      </c>
      <c r="G59" s="738"/>
      <c r="H59" s="759" t="s">
        <v>844</v>
      </c>
      <c r="I59" s="759"/>
      <c r="J59" s="419"/>
      <c r="K59" s="923"/>
      <c r="L59" s="923"/>
      <c r="M59" s="420"/>
      <c r="N59" s="924"/>
      <c r="O59" s="924"/>
      <c r="P59" s="420"/>
      <c r="Q59" s="420"/>
      <c r="R59" s="418"/>
      <c r="S59" s="411"/>
      <c r="AO59" s="11"/>
      <c r="AP59" s="685"/>
      <c r="AQ59" s="685"/>
      <c r="AR59" s="685"/>
      <c r="AS59" s="686"/>
      <c r="AT59" s="686"/>
      <c r="AU59" s="686"/>
      <c r="AV59" s="685"/>
      <c r="AW59" s="685"/>
      <c r="AX59" s="685"/>
      <c r="AY59" s="428"/>
      <c r="AZ59" s="686"/>
      <c r="BA59" s="686"/>
      <c r="BB59" s="686"/>
      <c r="BC59" s="688"/>
      <c r="BD59" s="688"/>
      <c r="BE59" s="688"/>
      <c r="BF59" s="409"/>
    </row>
    <row r="60" spans="1:58" ht="15" hidden="1" customHeight="1" x14ac:dyDescent="0.2">
      <c r="A60" s="18">
        <v>42</v>
      </c>
      <c r="B60" s="19" t="s">
        <v>689</v>
      </c>
      <c r="C60" s="766" t="s">
        <v>672</v>
      </c>
      <c r="D60" s="767"/>
      <c r="E60" s="316" t="s">
        <v>42</v>
      </c>
      <c r="F60" s="737" t="s">
        <v>664</v>
      </c>
      <c r="G60" s="738"/>
      <c r="H60" s="759" t="s">
        <v>844</v>
      </c>
      <c r="I60" s="759"/>
      <c r="J60" s="419"/>
      <c r="K60" s="923"/>
      <c r="L60" s="923"/>
      <c r="M60" s="420"/>
      <c r="N60" s="924"/>
      <c r="O60" s="924"/>
      <c r="P60" s="420"/>
      <c r="Q60" s="420"/>
      <c r="R60" s="418"/>
      <c r="S60" s="411"/>
      <c r="U60" s="11"/>
      <c r="V60" s="11"/>
      <c r="W60" s="11"/>
      <c r="X60" s="11"/>
      <c r="Y60" s="11"/>
      <c r="Z60" s="11"/>
      <c r="AA60" s="11"/>
      <c r="AB60" s="11"/>
      <c r="AC60" s="11"/>
      <c r="AD60" s="11"/>
      <c r="AE60" s="11"/>
      <c r="AF60" s="11"/>
      <c r="AG60" s="11"/>
      <c r="AH60" s="11"/>
      <c r="AI60" s="11"/>
      <c r="AJ60" s="11"/>
      <c r="AK60" s="11"/>
      <c r="AL60" s="11"/>
      <c r="AM60" s="11"/>
      <c r="AN60" s="11"/>
      <c r="AO60" s="11"/>
      <c r="AP60" s="685"/>
      <c r="AQ60" s="685"/>
      <c r="AR60" s="685"/>
      <c r="AS60" s="686"/>
      <c r="AT60" s="686"/>
      <c r="AU60" s="686"/>
      <c r="AV60" s="685"/>
      <c r="AW60" s="685"/>
      <c r="AX60" s="685"/>
      <c r="AY60" s="428"/>
      <c r="AZ60" s="686"/>
      <c r="BA60" s="686"/>
      <c r="BB60" s="686"/>
      <c r="BC60" s="688"/>
      <c r="BD60" s="688"/>
      <c r="BE60" s="688"/>
      <c r="BF60" s="409"/>
    </row>
    <row r="61" spans="1:58" ht="15" hidden="1" customHeight="1" x14ac:dyDescent="0.2">
      <c r="A61" s="18">
        <v>43</v>
      </c>
      <c r="B61" s="19" t="s">
        <v>689</v>
      </c>
      <c r="C61" s="766" t="s">
        <v>690</v>
      </c>
      <c r="D61" s="767"/>
      <c r="E61" s="316" t="s">
        <v>42</v>
      </c>
      <c r="F61" s="737" t="s">
        <v>686</v>
      </c>
      <c r="G61" s="738"/>
      <c r="H61" s="759" t="s">
        <v>844</v>
      </c>
      <c r="I61" s="759"/>
      <c r="J61" s="419"/>
      <c r="K61" s="923"/>
      <c r="L61" s="923"/>
      <c r="M61" s="420"/>
      <c r="N61" s="924"/>
      <c r="O61" s="924"/>
      <c r="P61" s="420"/>
      <c r="Q61" s="420"/>
      <c r="R61" s="418"/>
      <c r="S61" s="411"/>
      <c r="U61" s="11"/>
      <c r="V61" s="11"/>
      <c r="W61" s="11"/>
      <c r="X61" s="11"/>
      <c r="Y61" s="11"/>
      <c r="Z61" s="11"/>
      <c r="AA61" s="11"/>
      <c r="AB61" s="11"/>
      <c r="AC61" s="11"/>
      <c r="AD61" s="11"/>
      <c r="AE61" s="11"/>
      <c r="AF61" s="11"/>
      <c r="AG61" s="11"/>
      <c r="AH61" s="11"/>
      <c r="AI61" s="11"/>
      <c r="AJ61" s="11"/>
      <c r="AK61" s="11"/>
      <c r="AL61" s="11"/>
      <c r="AM61" s="11"/>
      <c r="AN61" s="11"/>
      <c r="AO61" s="11"/>
      <c r="AP61" s="685"/>
      <c r="AQ61" s="685"/>
      <c r="AR61" s="685"/>
      <c r="AS61" s="686"/>
      <c r="AT61" s="686"/>
      <c r="AU61" s="686"/>
      <c r="AV61" s="685"/>
      <c r="AW61" s="685"/>
      <c r="AX61" s="685"/>
      <c r="AY61" s="428"/>
      <c r="AZ61" s="686"/>
      <c r="BA61" s="686"/>
      <c r="BB61" s="686"/>
      <c r="BC61" s="688"/>
      <c r="BD61" s="688"/>
      <c r="BE61" s="688"/>
      <c r="BF61" s="409"/>
    </row>
    <row r="62" spans="1:58" ht="15" hidden="1" customHeight="1" x14ac:dyDescent="0.2">
      <c r="A62" s="18">
        <v>44</v>
      </c>
      <c r="B62" s="19" t="s">
        <v>689</v>
      </c>
      <c r="C62" s="766" t="s">
        <v>691</v>
      </c>
      <c r="D62" s="767"/>
      <c r="E62" s="316" t="s">
        <v>42</v>
      </c>
      <c r="F62" s="737" t="s">
        <v>687</v>
      </c>
      <c r="G62" s="738"/>
      <c r="H62" s="759" t="s">
        <v>844</v>
      </c>
      <c r="I62" s="759"/>
      <c r="J62" s="419"/>
      <c r="K62" s="923"/>
      <c r="L62" s="923"/>
      <c r="M62" s="420"/>
      <c r="N62" s="924"/>
      <c r="O62" s="924"/>
      <c r="P62" s="420"/>
      <c r="Q62" s="420"/>
      <c r="R62" s="418"/>
      <c r="S62" s="411"/>
      <c r="U62" s="11"/>
      <c r="V62" s="11"/>
      <c r="W62" s="11"/>
      <c r="X62" s="11"/>
      <c r="Y62" s="11"/>
      <c r="Z62" s="11"/>
      <c r="AA62" s="11"/>
      <c r="AB62" s="11"/>
      <c r="AC62" s="11"/>
      <c r="AD62" s="11"/>
      <c r="AE62" s="11"/>
      <c r="AF62" s="11"/>
      <c r="AG62" s="11"/>
      <c r="AH62" s="11"/>
      <c r="AI62" s="11"/>
      <c r="AJ62" s="11"/>
      <c r="AK62" s="11"/>
      <c r="AL62" s="11"/>
      <c r="AM62" s="11"/>
      <c r="AN62" s="11"/>
      <c r="AO62" s="11"/>
      <c r="AP62" s="685"/>
      <c r="AQ62" s="685"/>
      <c r="AR62" s="685"/>
      <c r="AS62" s="686"/>
      <c r="AT62" s="686"/>
      <c r="AU62" s="686"/>
      <c r="AV62" s="685"/>
      <c r="AW62" s="685"/>
      <c r="AX62" s="685"/>
      <c r="AY62" s="428"/>
      <c r="AZ62" s="686"/>
      <c r="BA62" s="686"/>
      <c r="BB62" s="686"/>
      <c r="BC62" s="688"/>
      <c r="BD62" s="688"/>
      <c r="BE62" s="688"/>
      <c r="BF62" s="409"/>
    </row>
    <row r="63" spans="1:58" ht="15" hidden="1" customHeight="1" x14ac:dyDescent="0.25">
      <c r="A63" s="18">
        <v>45</v>
      </c>
      <c r="B63" s="19" t="s">
        <v>689</v>
      </c>
      <c r="C63" s="766" t="s">
        <v>692</v>
      </c>
      <c r="D63" s="767"/>
      <c r="E63" s="316" t="s">
        <v>42</v>
      </c>
      <c r="F63" s="737" t="s">
        <v>688</v>
      </c>
      <c r="G63" s="738"/>
      <c r="H63" s="759" t="s">
        <v>844</v>
      </c>
      <c r="I63" s="759"/>
      <c r="J63" s="419"/>
      <c r="K63" s="923"/>
      <c r="L63" s="923"/>
      <c r="M63" s="420"/>
      <c r="N63" s="924"/>
      <c r="O63" s="924"/>
      <c r="P63" s="420"/>
      <c r="Q63" s="420"/>
      <c r="R63" s="418"/>
      <c r="S63" s="411"/>
      <c r="U63" s="762"/>
      <c r="V63" s="762"/>
      <c r="W63" s="762"/>
      <c r="X63" s="762"/>
      <c r="Y63" s="762"/>
      <c r="Z63" s="762"/>
      <c r="AA63" s="762"/>
      <c r="AB63" s="762"/>
      <c r="AC63" s="762"/>
      <c r="AD63" s="762"/>
      <c r="AE63" s="762"/>
      <c r="AF63" s="762"/>
      <c r="AG63" s="762"/>
      <c r="AH63" s="762"/>
      <c r="AI63" s="762"/>
      <c r="AJ63" s="762"/>
      <c r="AK63" s="762"/>
      <c r="AL63" s="762"/>
      <c r="AM63" s="11"/>
      <c r="AN63" s="11"/>
      <c r="AO63" s="11"/>
      <c r="AP63" s="685"/>
      <c r="AQ63" s="685"/>
      <c r="AR63" s="685"/>
      <c r="AS63" s="686"/>
      <c r="AT63" s="686"/>
      <c r="AU63" s="686"/>
      <c r="AV63" s="685"/>
      <c r="AW63" s="685"/>
      <c r="AX63" s="685"/>
      <c r="AY63" s="428"/>
      <c r="AZ63" s="686"/>
      <c r="BA63" s="686"/>
      <c r="BB63" s="686"/>
      <c r="BC63" s="688"/>
      <c r="BD63" s="688"/>
      <c r="BE63" s="688"/>
      <c r="BF63" s="409"/>
    </row>
    <row r="64" spans="1:58" ht="15" hidden="1" customHeight="1" x14ac:dyDescent="0.2">
      <c r="A64" s="18">
        <v>46</v>
      </c>
      <c r="B64" s="19" t="s">
        <v>693</v>
      </c>
      <c r="C64" s="766" t="s">
        <v>63</v>
      </c>
      <c r="D64" s="767"/>
      <c r="E64" s="316" t="s">
        <v>42</v>
      </c>
      <c r="F64" s="737" t="s">
        <v>52</v>
      </c>
      <c r="G64" s="738"/>
      <c r="H64" s="759" t="s">
        <v>844</v>
      </c>
      <c r="I64" s="759"/>
      <c r="J64" s="419"/>
      <c r="K64" s="923"/>
      <c r="L64" s="923"/>
      <c r="M64" s="420"/>
      <c r="N64" s="924"/>
      <c r="O64" s="924"/>
      <c r="P64" s="420"/>
      <c r="Q64" s="420"/>
      <c r="R64" s="418"/>
      <c r="S64" s="411"/>
      <c r="U64" s="13"/>
      <c r="V64" s="760"/>
      <c r="W64" s="760"/>
      <c r="X64" s="760"/>
      <c r="Y64" s="760"/>
      <c r="Z64" s="760"/>
      <c r="AA64" s="760"/>
      <c r="AB64" s="760"/>
      <c r="AC64" s="760"/>
      <c r="AD64" s="760"/>
      <c r="AE64" s="13"/>
      <c r="AF64" s="760"/>
      <c r="AG64" s="760"/>
      <c r="AH64" s="760"/>
      <c r="AI64" s="760"/>
      <c r="AJ64" s="760"/>
      <c r="AK64" s="760"/>
      <c r="AL64" s="760"/>
      <c r="AM64" s="11"/>
      <c r="AN64" s="11"/>
      <c r="AO64" s="11"/>
      <c r="AP64" s="685"/>
      <c r="AQ64" s="685"/>
      <c r="AR64" s="685"/>
      <c r="AS64" s="686"/>
      <c r="AT64" s="686"/>
      <c r="AU64" s="686"/>
      <c r="AV64" s="685"/>
      <c r="AW64" s="685"/>
      <c r="AX64" s="685"/>
      <c r="AY64" s="428"/>
      <c r="AZ64" s="686"/>
      <c r="BA64" s="686"/>
      <c r="BB64" s="686"/>
      <c r="BC64" s="688"/>
      <c r="BD64" s="688"/>
      <c r="BE64" s="688"/>
      <c r="BF64" s="409"/>
    </row>
    <row r="65" spans="1:58" ht="15" hidden="1" customHeight="1" x14ac:dyDescent="0.2">
      <c r="A65" s="18">
        <v>47</v>
      </c>
      <c r="B65" s="19" t="s">
        <v>693</v>
      </c>
      <c r="C65" s="766" t="s">
        <v>64</v>
      </c>
      <c r="D65" s="767"/>
      <c r="E65" s="316" t="s">
        <v>42</v>
      </c>
      <c r="F65" s="737" t="s">
        <v>54</v>
      </c>
      <c r="G65" s="738"/>
      <c r="H65" s="759" t="s">
        <v>844</v>
      </c>
      <c r="I65" s="759"/>
      <c r="J65" s="419"/>
      <c r="K65" s="923"/>
      <c r="L65" s="923"/>
      <c r="M65" s="420"/>
      <c r="N65" s="924"/>
      <c r="O65" s="924"/>
      <c r="P65" s="420"/>
      <c r="Q65" s="420"/>
      <c r="R65" s="418"/>
      <c r="S65" s="411"/>
      <c r="U65" s="13"/>
      <c r="V65" s="760"/>
      <c r="W65" s="760"/>
      <c r="X65" s="760"/>
      <c r="Y65" s="760"/>
      <c r="Z65" s="800"/>
      <c r="AA65" s="800"/>
      <c r="AB65" s="800"/>
      <c r="AC65" s="800"/>
      <c r="AD65" s="800"/>
      <c r="AE65" s="431"/>
      <c r="AF65" s="800"/>
      <c r="AG65" s="800"/>
      <c r="AH65" s="800"/>
      <c r="AI65" s="800"/>
      <c r="AJ65" s="800"/>
      <c r="AK65" s="800"/>
      <c r="AL65" s="800"/>
      <c r="AM65" s="11"/>
      <c r="AN65" s="11"/>
      <c r="AO65" s="11"/>
      <c r="AP65" s="685"/>
      <c r="AQ65" s="685"/>
      <c r="AR65" s="685"/>
      <c r="AS65" s="686"/>
      <c r="AT65" s="686"/>
      <c r="AU65" s="686"/>
      <c r="AV65" s="685"/>
      <c r="AW65" s="685"/>
      <c r="AX65" s="685"/>
      <c r="AY65" s="428"/>
      <c r="AZ65" s="686"/>
      <c r="BA65" s="686"/>
      <c r="BB65" s="686"/>
      <c r="BC65" s="688"/>
      <c r="BD65" s="688"/>
      <c r="BE65" s="688"/>
      <c r="BF65" s="409"/>
    </row>
    <row r="66" spans="1:58" ht="15" hidden="1" customHeight="1" x14ac:dyDescent="0.2">
      <c r="A66" s="18">
        <v>48</v>
      </c>
      <c r="B66" s="19" t="s">
        <v>693</v>
      </c>
      <c r="C66" s="766" t="s">
        <v>65</v>
      </c>
      <c r="D66" s="767"/>
      <c r="E66" s="316" t="s">
        <v>42</v>
      </c>
      <c r="F66" s="737" t="s">
        <v>56</v>
      </c>
      <c r="G66" s="738"/>
      <c r="H66" s="759" t="s">
        <v>844</v>
      </c>
      <c r="I66" s="759"/>
      <c r="J66" s="419"/>
      <c r="K66" s="923"/>
      <c r="L66" s="923"/>
      <c r="M66" s="420"/>
      <c r="N66" s="924"/>
      <c r="O66" s="924"/>
      <c r="P66" s="420"/>
      <c r="Q66" s="420"/>
      <c r="R66" s="418"/>
      <c r="S66" s="411"/>
      <c r="U66" s="13"/>
      <c r="V66" s="760"/>
      <c r="W66" s="760"/>
      <c r="X66" s="760"/>
      <c r="Y66" s="760"/>
      <c r="Z66" s="800"/>
      <c r="AA66" s="800"/>
      <c r="AB66" s="800"/>
      <c r="AC66" s="800"/>
      <c r="AD66" s="800"/>
      <c r="AE66" s="431"/>
      <c r="AF66" s="800"/>
      <c r="AG66" s="800"/>
      <c r="AH66" s="800"/>
      <c r="AI66" s="800"/>
      <c r="AJ66" s="800"/>
      <c r="AK66" s="800"/>
      <c r="AL66" s="800"/>
      <c r="AM66" s="11"/>
      <c r="AN66" s="11"/>
      <c r="AO66" s="11"/>
      <c r="AP66" s="685"/>
      <c r="AQ66" s="685"/>
      <c r="AR66" s="685"/>
      <c r="AS66" s="686"/>
      <c r="AT66" s="686"/>
      <c r="AU66" s="686"/>
      <c r="AV66" s="685"/>
      <c r="AW66" s="685"/>
      <c r="AX66" s="685"/>
      <c r="AY66" s="428"/>
      <c r="AZ66" s="686"/>
      <c r="BA66" s="686"/>
      <c r="BB66" s="686"/>
      <c r="BC66" s="688"/>
      <c r="BD66" s="688"/>
      <c r="BE66" s="688"/>
      <c r="BF66" s="409"/>
    </row>
    <row r="67" spans="1:58" ht="15" hidden="1" customHeight="1" x14ac:dyDescent="0.2">
      <c r="A67" s="18">
        <v>49</v>
      </c>
      <c r="B67" s="19" t="s">
        <v>693</v>
      </c>
      <c r="C67" s="766" t="s">
        <v>66</v>
      </c>
      <c r="D67" s="767"/>
      <c r="E67" s="316" t="s">
        <v>42</v>
      </c>
      <c r="F67" s="737" t="s">
        <v>58</v>
      </c>
      <c r="G67" s="738"/>
      <c r="H67" s="759" t="s">
        <v>844</v>
      </c>
      <c r="I67" s="759"/>
      <c r="J67" s="419"/>
      <c r="K67" s="923"/>
      <c r="L67" s="923"/>
      <c r="M67" s="420"/>
      <c r="N67" s="924"/>
      <c r="O67" s="924"/>
      <c r="P67" s="420"/>
      <c r="Q67" s="420"/>
      <c r="R67" s="418"/>
      <c r="S67" s="411"/>
      <c r="U67" s="13"/>
      <c r="V67" s="760"/>
      <c r="W67" s="760"/>
      <c r="X67" s="760"/>
      <c r="Y67" s="760"/>
      <c r="Z67" s="925"/>
      <c r="AA67" s="925"/>
      <c r="AB67" s="925"/>
      <c r="AC67" s="760"/>
      <c r="AD67" s="760"/>
      <c r="AE67" s="14"/>
      <c r="AF67" s="760"/>
      <c r="AG67" s="760"/>
      <c r="AH67" s="760"/>
      <c r="AI67" s="760"/>
      <c r="AJ67" s="760"/>
      <c r="AK67" s="760"/>
      <c r="AL67" s="760"/>
      <c r="AM67" s="11"/>
      <c r="AN67" s="11"/>
      <c r="AO67" s="11"/>
      <c r="AP67" s="685"/>
      <c r="AQ67" s="685"/>
      <c r="AR67" s="685"/>
      <c r="AS67" s="686"/>
      <c r="AT67" s="686"/>
      <c r="AU67" s="686"/>
      <c r="AV67" s="685"/>
      <c r="AW67" s="685"/>
      <c r="AX67" s="685"/>
      <c r="AY67" s="428"/>
      <c r="AZ67" s="686"/>
      <c r="BA67" s="686"/>
      <c r="BB67" s="686"/>
      <c r="BC67" s="688"/>
      <c r="BD67" s="688"/>
      <c r="BE67" s="688"/>
      <c r="BF67" s="409"/>
    </row>
    <row r="68" spans="1:58" ht="15" hidden="1" customHeight="1" x14ac:dyDescent="0.2">
      <c r="A68" s="18">
        <v>50</v>
      </c>
      <c r="B68" s="19" t="s">
        <v>693</v>
      </c>
      <c r="C68" s="766" t="s">
        <v>673</v>
      </c>
      <c r="D68" s="767"/>
      <c r="E68" s="316" t="s">
        <v>42</v>
      </c>
      <c r="F68" s="737" t="s">
        <v>656</v>
      </c>
      <c r="G68" s="738"/>
      <c r="H68" s="759" t="s">
        <v>844</v>
      </c>
      <c r="I68" s="759"/>
      <c r="J68" s="419"/>
      <c r="K68" s="923"/>
      <c r="L68" s="923"/>
      <c r="M68" s="420"/>
      <c r="N68" s="924"/>
      <c r="O68" s="924"/>
      <c r="P68" s="420"/>
      <c r="Q68" s="420"/>
      <c r="R68" s="418"/>
      <c r="S68" s="411"/>
      <c r="U68" s="13"/>
      <c r="V68" s="760"/>
      <c r="W68" s="760"/>
      <c r="X68" s="760"/>
      <c r="Y68" s="760"/>
      <c r="Z68" s="760"/>
      <c r="AA68" s="760"/>
      <c r="AB68" s="760"/>
      <c r="AC68" s="760"/>
      <c r="AD68" s="760"/>
      <c r="AE68" s="14"/>
      <c r="AF68" s="760"/>
      <c r="AG68" s="760"/>
      <c r="AH68" s="760"/>
      <c r="AI68" s="760"/>
      <c r="AJ68" s="760"/>
      <c r="AK68" s="760"/>
      <c r="AL68" s="760"/>
      <c r="AM68" s="11"/>
      <c r="AN68" s="11"/>
      <c r="AO68" s="11"/>
      <c r="AP68" s="685"/>
      <c r="AQ68" s="685"/>
      <c r="AR68" s="685"/>
      <c r="AS68" s="686"/>
      <c r="AT68" s="686"/>
      <c r="AU68" s="686"/>
      <c r="AV68" s="685"/>
      <c r="AW68" s="685"/>
      <c r="AX68" s="685"/>
      <c r="AY68" s="428"/>
      <c r="AZ68" s="686"/>
      <c r="BA68" s="686"/>
      <c r="BB68" s="686"/>
      <c r="BC68" s="688"/>
      <c r="BD68" s="688"/>
      <c r="BE68" s="688"/>
      <c r="BF68" s="409"/>
    </row>
    <row r="69" spans="1:58" ht="15" hidden="1" customHeight="1" x14ac:dyDescent="0.2">
      <c r="A69" s="18">
        <v>51</v>
      </c>
      <c r="B69" s="19" t="s">
        <v>693</v>
      </c>
      <c r="C69" s="766" t="s">
        <v>674</v>
      </c>
      <c r="D69" s="767"/>
      <c r="E69" s="316" t="s">
        <v>42</v>
      </c>
      <c r="F69" s="737" t="s">
        <v>658</v>
      </c>
      <c r="G69" s="738"/>
      <c r="H69" s="759" t="s">
        <v>844</v>
      </c>
      <c r="I69" s="759"/>
      <c r="J69" s="419"/>
      <c r="K69" s="923"/>
      <c r="L69" s="923"/>
      <c r="M69" s="420"/>
      <c r="N69" s="924"/>
      <c r="O69" s="924"/>
      <c r="P69" s="420"/>
      <c r="Q69" s="420"/>
      <c r="R69" s="418"/>
      <c r="S69" s="411"/>
      <c r="U69" s="13"/>
      <c r="V69" s="760"/>
      <c r="W69" s="760"/>
      <c r="X69" s="760"/>
      <c r="Y69" s="760"/>
      <c r="Z69" s="760"/>
      <c r="AA69" s="760"/>
      <c r="AB69" s="760"/>
      <c r="AC69" s="760"/>
      <c r="AD69" s="760"/>
      <c r="AE69" s="14"/>
      <c r="AF69" s="760"/>
      <c r="AG69" s="760"/>
      <c r="AH69" s="760"/>
      <c r="AI69" s="760"/>
      <c r="AJ69" s="760"/>
      <c r="AK69" s="760"/>
      <c r="AL69" s="760"/>
      <c r="AM69" s="11"/>
      <c r="AN69" s="11"/>
      <c r="AO69" s="11"/>
      <c r="AP69" s="685"/>
      <c r="AQ69" s="685"/>
      <c r="AR69" s="685"/>
      <c r="AS69" s="686"/>
      <c r="AT69" s="686"/>
      <c r="AU69" s="686"/>
      <c r="AV69" s="685"/>
      <c r="AW69" s="685"/>
      <c r="AX69" s="685"/>
      <c r="AY69" s="428"/>
      <c r="AZ69" s="686"/>
      <c r="BA69" s="686"/>
      <c r="BB69" s="686"/>
      <c r="BC69" s="688"/>
      <c r="BD69" s="688"/>
      <c r="BE69" s="688"/>
      <c r="BF69" s="409"/>
    </row>
    <row r="70" spans="1:58" ht="15" hidden="1" customHeight="1" x14ac:dyDescent="0.2">
      <c r="A70" s="18">
        <v>52</v>
      </c>
      <c r="B70" s="19" t="s">
        <v>693</v>
      </c>
      <c r="C70" s="766" t="s">
        <v>817</v>
      </c>
      <c r="D70" s="767"/>
      <c r="E70" s="316" t="s">
        <v>42</v>
      </c>
      <c r="F70" s="737" t="s">
        <v>659</v>
      </c>
      <c r="G70" s="738"/>
      <c r="H70" s="759" t="s">
        <v>844</v>
      </c>
      <c r="I70" s="759"/>
      <c r="J70" s="419"/>
      <c r="K70" s="923"/>
      <c r="L70" s="923"/>
      <c r="M70" s="420"/>
      <c r="N70" s="924"/>
      <c r="O70" s="924"/>
      <c r="P70" s="420"/>
      <c r="Q70" s="420"/>
      <c r="R70" s="418"/>
      <c r="S70" s="411"/>
      <c r="U70" s="760"/>
      <c r="V70" s="760"/>
      <c r="W70" s="760"/>
      <c r="X70" s="760"/>
      <c r="Y70" s="760"/>
      <c r="Z70" s="760"/>
      <c r="AA70" s="760"/>
      <c r="AB70" s="760"/>
      <c r="AC70" s="760"/>
      <c r="AD70" s="760"/>
      <c r="AE70" s="927"/>
      <c r="AF70" s="760"/>
      <c r="AG70" s="760"/>
      <c r="AH70" s="760"/>
      <c r="AI70" s="926"/>
      <c r="AJ70" s="926"/>
      <c r="AK70" s="926"/>
      <c r="AL70" s="926"/>
      <c r="AM70" s="11"/>
      <c r="AN70" s="11"/>
      <c r="AO70" s="11"/>
      <c r="AP70" s="685"/>
      <c r="AQ70" s="685"/>
      <c r="AR70" s="685"/>
      <c r="AS70" s="686"/>
      <c r="AT70" s="686"/>
      <c r="AU70" s="686"/>
      <c r="AV70" s="685"/>
      <c r="AW70" s="685"/>
      <c r="AX70" s="685"/>
      <c r="AY70" s="428"/>
      <c r="AZ70" s="686"/>
      <c r="BA70" s="686"/>
      <c r="BB70" s="686"/>
      <c r="BC70" s="688"/>
      <c r="BD70" s="688"/>
      <c r="BE70" s="688"/>
      <c r="BF70" s="409"/>
    </row>
    <row r="71" spans="1:58" ht="15" hidden="1" customHeight="1" x14ac:dyDescent="0.2">
      <c r="A71" s="18">
        <v>53</v>
      </c>
      <c r="B71" s="19" t="s">
        <v>693</v>
      </c>
      <c r="C71" s="766" t="s">
        <v>818</v>
      </c>
      <c r="D71" s="767"/>
      <c r="E71" s="316" t="s">
        <v>42</v>
      </c>
      <c r="F71" s="737" t="s">
        <v>660</v>
      </c>
      <c r="G71" s="738"/>
      <c r="H71" s="759" t="s">
        <v>844</v>
      </c>
      <c r="I71" s="759"/>
      <c r="J71" s="419"/>
      <c r="K71" s="923"/>
      <c r="L71" s="923"/>
      <c r="M71" s="420"/>
      <c r="N71" s="924"/>
      <c r="O71" s="924"/>
      <c r="P71" s="420"/>
      <c r="Q71" s="420"/>
      <c r="R71" s="418"/>
      <c r="S71" s="411"/>
      <c r="U71" s="760"/>
      <c r="V71" s="760"/>
      <c r="W71" s="760"/>
      <c r="X71" s="760"/>
      <c r="Y71" s="760"/>
      <c r="Z71" s="760"/>
      <c r="AA71" s="760"/>
      <c r="AB71" s="760"/>
      <c r="AC71" s="760"/>
      <c r="AD71" s="760"/>
      <c r="AE71" s="927"/>
      <c r="AF71" s="760"/>
      <c r="AG71" s="760"/>
      <c r="AH71" s="760"/>
      <c r="AI71" s="926"/>
      <c r="AJ71" s="926"/>
      <c r="AK71" s="926"/>
      <c r="AL71" s="926"/>
      <c r="AM71" s="11"/>
      <c r="AN71" s="11"/>
      <c r="AO71" s="11"/>
      <c r="AP71" s="685"/>
      <c r="AQ71" s="685"/>
      <c r="AR71" s="685"/>
      <c r="AS71" s="686"/>
      <c r="AT71" s="686"/>
      <c r="AU71" s="686"/>
      <c r="AV71" s="685"/>
      <c r="AW71" s="685"/>
      <c r="AX71" s="685"/>
      <c r="AY71" s="428"/>
      <c r="AZ71" s="686"/>
      <c r="BA71" s="686"/>
      <c r="BB71" s="686"/>
      <c r="BC71" s="688"/>
      <c r="BD71" s="688"/>
      <c r="BE71" s="688"/>
      <c r="BF71" s="409"/>
    </row>
    <row r="72" spans="1:58" ht="15" hidden="1" customHeight="1" x14ac:dyDescent="0.2">
      <c r="A72" s="18">
        <v>54</v>
      </c>
      <c r="B72" s="19" t="s">
        <v>693</v>
      </c>
      <c r="C72" s="766" t="s">
        <v>819</v>
      </c>
      <c r="D72" s="767"/>
      <c r="E72" s="316" t="s">
        <v>42</v>
      </c>
      <c r="F72" s="737" t="s">
        <v>661</v>
      </c>
      <c r="G72" s="738"/>
      <c r="H72" s="759" t="s">
        <v>844</v>
      </c>
      <c r="I72" s="759"/>
      <c r="J72" s="419"/>
      <c r="K72" s="923"/>
      <c r="L72" s="923"/>
      <c r="M72" s="420"/>
      <c r="N72" s="924"/>
      <c r="O72" s="924"/>
      <c r="P72" s="420"/>
      <c r="Q72" s="420"/>
      <c r="R72" s="418"/>
      <c r="S72" s="411"/>
      <c r="U72" s="760"/>
      <c r="V72" s="760"/>
      <c r="W72" s="760"/>
      <c r="X72" s="760"/>
      <c r="Y72" s="760"/>
      <c r="Z72" s="760"/>
      <c r="AA72" s="760"/>
      <c r="AB72" s="760"/>
      <c r="AC72" s="760"/>
      <c r="AD72" s="760"/>
      <c r="AE72" s="927"/>
      <c r="AF72" s="760"/>
      <c r="AG72" s="760"/>
      <c r="AH72" s="760"/>
      <c r="AI72" s="926"/>
      <c r="AJ72" s="926"/>
      <c r="AK72" s="926"/>
      <c r="AL72" s="926"/>
      <c r="AM72" s="11"/>
      <c r="AN72" s="11"/>
      <c r="AO72" s="11"/>
      <c r="AP72" s="685"/>
      <c r="AQ72" s="685"/>
      <c r="AR72" s="685"/>
      <c r="AS72" s="686"/>
      <c r="AT72" s="686"/>
      <c r="AU72" s="686"/>
      <c r="AV72" s="685"/>
      <c r="AW72" s="685"/>
      <c r="AX72" s="685"/>
      <c r="AY72" s="428"/>
      <c r="AZ72" s="686"/>
      <c r="BA72" s="686"/>
      <c r="BB72" s="686"/>
      <c r="BC72" s="688"/>
      <c r="BD72" s="688"/>
      <c r="BE72" s="688"/>
      <c r="BF72" s="409"/>
    </row>
    <row r="73" spans="1:58" ht="15" hidden="1" customHeight="1" x14ac:dyDescent="0.2">
      <c r="A73" s="18">
        <v>55</v>
      </c>
      <c r="B73" s="19" t="s">
        <v>693</v>
      </c>
      <c r="C73" s="766" t="s">
        <v>820</v>
      </c>
      <c r="D73" s="767"/>
      <c r="E73" s="316" t="s">
        <v>42</v>
      </c>
      <c r="F73" s="737" t="s">
        <v>662</v>
      </c>
      <c r="G73" s="738"/>
      <c r="H73" s="759" t="s">
        <v>844</v>
      </c>
      <c r="I73" s="759"/>
      <c r="J73" s="419"/>
      <c r="K73" s="923"/>
      <c r="L73" s="923"/>
      <c r="M73" s="420"/>
      <c r="N73" s="924"/>
      <c r="O73" s="924"/>
      <c r="P73" s="420"/>
      <c r="Q73" s="420"/>
      <c r="R73" s="418"/>
      <c r="S73" s="411"/>
      <c r="U73" s="13"/>
      <c r="V73" s="760"/>
      <c r="W73" s="760"/>
      <c r="X73" s="760"/>
      <c r="Y73" s="760"/>
      <c r="Z73" s="760"/>
      <c r="AA73" s="760"/>
      <c r="AB73" s="760"/>
      <c r="AC73" s="760"/>
      <c r="AD73" s="760"/>
      <c r="AE73" s="14"/>
      <c r="AF73" s="760"/>
      <c r="AG73" s="760"/>
      <c r="AH73" s="760"/>
      <c r="AI73" s="760"/>
      <c r="AJ73" s="760"/>
      <c r="AK73" s="760"/>
      <c r="AL73" s="760"/>
      <c r="AM73" s="11"/>
      <c r="AN73" s="11"/>
      <c r="AO73" s="11"/>
      <c r="AP73" s="685"/>
      <c r="AQ73" s="685"/>
      <c r="AR73" s="685"/>
      <c r="AS73" s="686"/>
      <c r="AT73" s="686"/>
      <c r="AU73" s="686"/>
      <c r="AV73" s="685"/>
      <c r="AW73" s="685"/>
      <c r="AX73" s="685"/>
      <c r="AY73" s="428"/>
      <c r="AZ73" s="686"/>
      <c r="BA73" s="686"/>
      <c r="BB73" s="686"/>
      <c r="BC73" s="688"/>
      <c r="BD73" s="688"/>
      <c r="BE73" s="688"/>
      <c r="BF73" s="409"/>
    </row>
    <row r="74" spans="1:58" ht="15" hidden="1" customHeight="1" x14ac:dyDescent="0.2">
      <c r="A74" s="18">
        <v>56</v>
      </c>
      <c r="B74" s="19" t="s">
        <v>693</v>
      </c>
      <c r="C74" s="766" t="s">
        <v>821</v>
      </c>
      <c r="D74" s="767"/>
      <c r="E74" s="316" t="s">
        <v>42</v>
      </c>
      <c r="F74" s="737" t="s">
        <v>663</v>
      </c>
      <c r="G74" s="738"/>
      <c r="H74" s="759" t="s">
        <v>844</v>
      </c>
      <c r="I74" s="759"/>
      <c r="J74" s="419"/>
      <c r="K74" s="923"/>
      <c r="L74" s="923"/>
      <c r="M74" s="420"/>
      <c r="N74" s="924"/>
      <c r="O74" s="924"/>
      <c r="P74" s="420"/>
      <c r="Q74" s="420"/>
      <c r="R74" s="418"/>
      <c r="S74" s="411"/>
      <c r="U74" s="13"/>
      <c r="V74" s="760"/>
      <c r="W74" s="760"/>
      <c r="X74" s="760"/>
      <c r="Y74" s="760"/>
      <c r="Z74" s="760"/>
      <c r="AA74" s="760"/>
      <c r="AB74" s="760"/>
      <c r="AC74" s="760"/>
      <c r="AD74" s="760"/>
      <c r="AE74" s="14"/>
      <c r="AF74" s="760"/>
      <c r="AG74" s="760"/>
      <c r="AH74" s="760"/>
      <c r="AI74" s="760"/>
      <c r="AJ74" s="760"/>
      <c r="AK74" s="760"/>
      <c r="AL74" s="760"/>
      <c r="AM74" s="11"/>
      <c r="AN74" s="11"/>
      <c r="AO74" s="11"/>
      <c r="AP74" s="685"/>
      <c r="AQ74" s="685"/>
      <c r="AR74" s="685"/>
      <c r="AS74" s="686"/>
      <c r="AT74" s="686"/>
      <c r="AU74" s="686"/>
      <c r="AV74" s="685"/>
      <c r="AW74" s="685"/>
      <c r="AX74" s="685"/>
      <c r="AY74" s="428"/>
      <c r="AZ74" s="686"/>
      <c r="BA74" s="686"/>
      <c r="BB74" s="686"/>
      <c r="BC74" s="688"/>
      <c r="BD74" s="688"/>
      <c r="BE74" s="688"/>
      <c r="BF74" s="409"/>
    </row>
    <row r="75" spans="1:58" ht="15" hidden="1" customHeight="1" x14ac:dyDescent="0.2">
      <c r="A75" s="18">
        <v>57</v>
      </c>
      <c r="B75" s="19" t="s">
        <v>693</v>
      </c>
      <c r="C75" s="766" t="s">
        <v>822</v>
      </c>
      <c r="D75" s="767"/>
      <c r="E75" s="316" t="s">
        <v>42</v>
      </c>
      <c r="F75" s="737" t="s">
        <v>664</v>
      </c>
      <c r="G75" s="738"/>
      <c r="H75" s="759" t="s">
        <v>844</v>
      </c>
      <c r="I75" s="759"/>
      <c r="J75" s="419"/>
      <c r="K75" s="923"/>
      <c r="L75" s="923"/>
      <c r="M75" s="420"/>
      <c r="N75" s="924"/>
      <c r="O75" s="924"/>
      <c r="P75" s="420"/>
      <c r="Q75" s="420"/>
      <c r="R75" s="418"/>
      <c r="S75" s="411"/>
      <c r="U75" s="13"/>
      <c r="V75" s="760"/>
      <c r="W75" s="760"/>
      <c r="X75" s="760"/>
      <c r="Y75" s="760"/>
      <c r="Z75" s="760"/>
      <c r="AA75" s="760"/>
      <c r="AB75" s="760"/>
      <c r="AC75" s="760"/>
      <c r="AD75" s="760"/>
      <c r="AE75" s="14"/>
      <c r="AF75" s="760"/>
      <c r="AG75" s="760"/>
      <c r="AH75" s="760"/>
      <c r="AI75" s="760"/>
      <c r="AJ75" s="760"/>
      <c r="AK75" s="760"/>
      <c r="AL75" s="760"/>
      <c r="AM75" s="11"/>
      <c r="AN75" s="11"/>
      <c r="AO75" s="11"/>
      <c r="AP75" s="685"/>
      <c r="AQ75" s="685"/>
      <c r="AR75" s="685"/>
      <c r="AS75" s="686"/>
      <c r="AT75" s="686"/>
      <c r="AU75" s="686"/>
      <c r="AV75" s="685"/>
      <c r="AW75" s="685"/>
      <c r="AX75" s="685"/>
      <c r="AY75" s="428"/>
      <c r="AZ75" s="686"/>
      <c r="BA75" s="686"/>
      <c r="BB75" s="686"/>
      <c r="BC75" s="688"/>
      <c r="BD75" s="688"/>
      <c r="BE75" s="688"/>
      <c r="BF75" s="409"/>
    </row>
    <row r="76" spans="1:58" ht="15" hidden="1" customHeight="1" x14ac:dyDescent="0.2">
      <c r="A76" s="18">
        <v>58</v>
      </c>
      <c r="B76" s="19" t="s">
        <v>693</v>
      </c>
      <c r="C76" s="766" t="s">
        <v>823</v>
      </c>
      <c r="D76" s="767"/>
      <c r="E76" s="316" t="s">
        <v>42</v>
      </c>
      <c r="F76" s="737" t="s">
        <v>686</v>
      </c>
      <c r="G76" s="738"/>
      <c r="H76" s="759" t="s">
        <v>844</v>
      </c>
      <c r="I76" s="759"/>
      <c r="J76" s="419"/>
      <c r="K76" s="923"/>
      <c r="L76" s="923"/>
      <c r="M76" s="420"/>
      <c r="N76" s="924"/>
      <c r="O76" s="924"/>
      <c r="P76" s="420"/>
      <c r="Q76" s="420"/>
      <c r="R76" s="418"/>
      <c r="S76" s="411"/>
      <c r="U76" s="11"/>
      <c r="V76" s="11"/>
      <c r="W76" s="11"/>
      <c r="X76" s="11"/>
      <c r="Y76" s="11"/>
      <c r="Z76" s="11"/>
      <c r="AA76" s="11"/>
      <c r="AB76" s="11"/>
      <c r="AC76" s="11"/>
      <c r="AD76" s="11"/>
      <c r="AE76" s="11"/>
      <c r="AF76" s="11"/>
      <c r="AG76" s="11"/>
      <c r="AH76" s="11"/>
      <c r="AI76" s="11"/>
      <c r="AJ76" s="11"/>
      <c r="AK76" s="11"/>
      <c r="AL76" s="11"/>
      <c r="AM76" s="11"/>
      <c r="AN76" s="11"/>
      <c r="AO76" s="11"/>
      <c r="AP76" s="685"/>
      <c r="AQ76" s="685"/>
      <c r="AR76" s="685"/>
      <c r="AS76" s="686"/>
      <c r="AT76" s="686"/>
      <c r="AU76" s="686"/>
      <c r="AV76" s="685"/>
      <c r="AW76" s="685"/>
      <c r="AX76" s="685"/>
      <c r="AY76" s="428"/>
      <c r="AZ76" s="686"/>
      <c r="BA76" s="686"/>
      <c r="BB76" s="686"/>
      <c r="BC76" s="688"/>
      <c r="BD76" s="688"/>
      <c r="BE76" s="688"/>
      <c r="BF76" s="409"/>
    </row>
    <row r="77" spans="1:58" ht="15" hidden="1" customHeight="1" x14ac:dyDescent="0.2">
      <c r="A77" s="18">
        <v>59</v>
      </c>
      <c r="B77" s="19" t="s">
        <v>693</v>
      </c>
      <c r="C77" s="766" t="s">
        <v>824</v>
      </c>
      <c r="D77" s="767"/>
      <c r="E77" s="316" t="s">
        <v>42</v>
      </c>
      <c r="F77" s="737" t="s">
        <v>687</v>
      </c>
      <c r="G77" s="738"/>
      <c r="H77" s="759" t="s">
        <v>844</v>
      </c>
      <c r="I77" s="759"/>
      <c r="J77" s="419"/>
      <c r="K77" s="923"/>
      <c r="L77" s="923"/>
      <c r="M77" s="420"/>
      <c r="N77" s="924"/>
      <c r="O77" s="924"/>
      <c r="P77" s="420"/>
      <c r="Q77" s="420"/>
      <c r="R77" s="418"/>
      <c r="S77" s="411"/>
      <c r="U77" s="11"/>
      <c r="V77" s="11"/>
      <c r="W77" s="11"/>
      <c r="X77" s="11"/>
      <c r="Y77" s="11"/>
      <c r="Z77" s="11"/>
      <c r="AA77" s="11"/>
      <c r="AB77" s="11"/>
      <c r="AC77" s="11"/>
      <c r="AD77" s="11"/>
      <c r="AE77" s="11"/>
      <c r="AF77" s="11"/>
      <c r="AG77" s="11"/>
      <c r="AH77" s="11"/>
      <c r="AI77" s="11"/>
      <c r="AJ77" s="11"/>
      <c r="AK77" s="11"/>
      <c r="AL77" s="11"/>
      <c r="AM77" s="11"/>
      <c r="AN77" s="11"/>
      <c r="AO77" s="11"/>
      <c r="AP77" s="685"/>
      <c r="AQ77" s="685"/>
      <c r="AR77" s="685"/>
      <c r="AS77" s="686"/>
      <c r="AT77" s="686"/>
      <c r="AU77" s="686"/>
      <c r="AV77" s="685"/>
      <c r="AW77" s="685"/>
      <c r="AX77" s="685"/>
      <c r="AY77" s="428"/>
      <c r="AZ77" s="686"/>
      <c r="BA77" s="686"/>
      <c r="BB77" s="686"/>
      <c r="BC77" s="688"/>
      <c r="BD77" s="688"/>
      <c r="BE77" s="688"/>
      <c r="BF77" s="409"/>
    </row>
    <row r="78" spans="1:58" ht="15" hidden="1" customHeight="1" x14ac:dyDescent="0.2">
      <c r="A78" s="18">
        <v>60</v>
      </c>
      <c r="B78" s="19" t="s">
        <v>693</v>
      </c>
      <c r="C78" s="766" t="s">
        <v>825</v>
      </c>
      <c r="D78" s="767"/>
      <c r="E78" s="316" t="s">
        <v>42</v>
      </c>
      <c r="F78" s="737" t="s">
        <v>688</v>
      </c>
      <c r="G78" s="738"/>
      <c r="H78" s="759" t="s">
        <v>844</v>
      </c>
      <c r="I78" s="759"/>
      <c r="J78" s="419"/>
      <c r="K78" s="923"/>
      <c r="L78" s="923"/>
      <c r="M78" s="420"/>
      <c r="N78" s="924"/>
      <c r="O78" s="924"/>
      <c r="P78" s="420"/>
      <c r="Q78" s="420"/>
      <c r="R78" s="418"/>
      <c r="S78" s="411"/>
      <c r="U78" s="11"/>
      <c r="V78" s="11"/>
      <c r="W78" s="11"/>
      <c r="X78" s="11"/>
      <c r="Y78" s="11"/>
      <c r="Z78" s="11"/>
      <c r="AA78" s="11"/>
      <c r="AB78" s="11"/>
      <c r="AC78" s="11"/>
      <c r="AD78" s="11"/>
      <c r="AE78" s="11"/>
      <c r="AF78" s="11"/>
      <c r="AG78" s="11"/>
      <c r="AH78" s="11"/>
      <c r="AI78" s="11"/>
      <c r="AJ78" s="11"/>
      <c r="AK78" s="11"/>
      <c r="AL78" s="11"/>
      <c r="AM78" s="11"/>
      <c r="AN78" s="11"/>
      <c r="AO78" s="11"/>
      <c r="AP78" s="685"/>
      <c r="AQ78" s="685"/>
      <c r="AR78" s="685"/>
      <c r="AS78" s="686"/>
      <c r="AT78" s="686"/>
      <c r="AU78" s="686"/>
      <c r="AV78" s="685"/>
      <c r="AW78" s="685"/>
      <c r="AX78" s="685"/>
      <c r="AY78" s="428"/>
      <c r="AZ78" s="686"/>
      <c r="BA78" s="686"/>
      <c r="BB78" s="686"/>
      <c r="BC78" s="688"/>
      <c r="BD78" s="688"/>
      <c r="BE78" s="688"/>
      <c r="BF78" s="409"/>
    </row>
    <row r="79" spans="1:58" ht="15" hidden="1" customHeight="1" x14ac:dyDescent="0.2">
      <c r="A79" s="18">
        <v>61</v>
      </c>
      <c r="B79" s="19" t="s">
        <v>675</v>
      </c>
      <c r="C79" s="766" t="s">
        <v>826</v>
      </c>
      <c r="D79" s="767"/>
      <c r="E79" s="316" t="s">
        <v>42</v>
      </c>
      <c r="F79" s="737"/>
      <c r="G79" s="738"/>
      <c r="H79" s="759" t="s">
        <v>844</v>
      </c>
      <c r="I79" s="759"/>
      <c r="J79" s="419"/>
      <c r="K79" s="923"/>
      <c r="L79" s="923"/>
      <c r="M79" s="420"/>
      <c r="N79" s="924"/>
      <c r="O79" s="924"/>
      <c r="P79" s="420"/>
      <c r="Q79" s="420"/>
      <c r="R79" s="418"/>
      <c r="S79" s="411"/>
      <c r="U79" s="11"/>
      <c r="V79" s="11"/>
      <c r="W79" s="11"/>
      <c r="X79" s="11"/>
      <c r="Y79" s="11"/>
      <c r="Z79" s="11"/>
      <c r="AA79" s="11"/>
      <c r="AB79" s="11"/>
      <c r="AC79" s="11"/>
      <c r="AD79" s="11"/>
      <c r="AE79" s="11"/>
      <c r="AF79" s="11"/>
      <c r="AG79" s="11"/>
      <c r="AH79" s="11"/>
      <c r="AI79" s="11"/>
      <c r="AJ79" s="11"/>
      <c r="AK79" s="11"/>
      <c r="AL79" s="11"/>
      <c r="AM79" s="11"/>
      <c r="AN79" s="11"/>
      <c r="AO79" s="11"/>
      <c r="AP79" s="685"/>
      <c r="AQ79" s="685"/>
      <c r="AR79" s="685"/>
      <c r="AS79" s="686"/>
      <c r="AT79" s="686"/>
      <c r="AU79" s="686"/>
      <c r="AV79" s="685"/>
      <c r="AW79" s="685"/>
      <c r="AX79" s="685"/>
      <c r="AY79" s="428"/>
      <c r="AZ79" s="686"/>
      <c r="BA79" s="686"/>
      <c r="BB79" s="686"/>
      <c r="BC79" s="688"/>
      <c r="BD79" s="688"/>
      <c r="BE79" s="688"/>
      <c r="BF79" s="409"/>
    </row>
    <row r="80" spans="1:58" ht="15" hidden="1" customHeight="1" x14ac:dyDescent="0.25">
      <c r="A80" s="18">
        <v>62</v>
      </c>
      <c r="B80" s="19" t="s">
        <v>675</v>
      </c>
      <c r="C80" s="766" t="s">
        <v>827</v>
      </c>
      <c r="D80" s="767"/>
      <c r="E80" s="316" t="s">
        <v>42</v>
      </c>
      <c r="F80" s="737"/>
      <c r="G80" s="738"/>
      <c r="H80" s="759" t="s">
        <v>844</v>
      </c>
      <c r="I80" s="759"/>
      <c r="J80" s="419"/>
      <c r="K80" s="923"/>
      <c r="L80" s="923"/>
      <c r="M80" s="420"/>
      <c r="N80" s="924"/>
      <c r="O80" s="924"/>
      <c r="P80" s="420"/>
      <c r="Q80" s="420"/>
      <c r="R80" s="418"/>
      <c r="S80" s="411"/>
      <c r="U80" s="432"/>
      <c r="V80" s="432"/>
      <c r="W80" s="432"/>
      <c r="X80" s="432"/>
      <c r="Y80" s="432"/>
      <c r="Z80" s="432"/>
      <c r="AA80" s="432"/>
      <c r="AB80" s="432"/>
      <c r="AC80" s="432"/>
      <c r="AD80" s="430"/>
      <c r="AE80" s="430"/>
      <c r="AF80" s="432"/>
      <c r="AG80" s="432"/>
      <c r="AH80" s="432"/>
      <c r="AI80" s="432"/>
      <c r="AJ80" s="432"/>
      <c r="AK80" s="432"/>
      <c r="AL80" s="433"/>
      <c r="AM80" s="11"/>
      <c r="AN80" s="11"/>
      <c r="AO80" s="11"/>
      <c r="AP80" s="685"/>
      <c r="AQ80" s="685"/>
      <c r="AR80" s="685"/>
      <c r="AS80" s="686"/>
      <c r="AT80" s="686"/>
      <c r="AU80" s="686"/>
      <c r="AV80" s="685"/>
      <c r="AW80" s="685"/>
      <c r="AX80" s="685"/>
      <c r="AY80" s="428"/>
      <c r="AZ80" s="686"/>
      <c r="BA80" s="686"/>
      <c r="BB80" s="686"/>
      <c r="BC80" s="688"/>
      <c r="BD80" s="688"/>
      <c r="BE80" s="688"/>
      <c r="BF80" s="409"/>
    </row>
    <row r="81" spans="1:58" ht="15" hidden="1" customHeight="1" x14ac:dyDescent="0.2">
      <c r="A81" s="18">
        <v>63</v>
      </c>
      <c r="B81" s="19" t="s">
        <v>675</v>
      </c>
      <c r="C81" s="766" t="s">
        <v>828</v>
      </c>
      <c r="D81" s="767"/>
      <c r="E81" s="316" t="s">
        <v>42</v>
      </c>
      <c r="F81" s="737"/>
      <c r="G81" s="738"/>
      <c r="H81" s="759" t="s">
        <v>844</v>
      </c>
      <c r="I81" s="759"/>
      <c r="J81" s="419"/>
      <c r="K81" s="923"/>
      <c r="L81" s="923"/>
      <c r="M81" s="420"/>
      <c r="N81" s="924"/>
      <c r="O81" s="924"/>
      <c r="P81" s="420"/>
      <c r="Q81" s="420"/>
      <c r="R81" s="418"/>
      <c r="S81" s="411"/>
      <c r="U81" s="434"/>
      <c r="V81" s="714"/>
      <c r="W81" s="714"/>
      <c r="X81" s="714"/>
      <c r="Y81" s="714"/>
      <c r="Z81" s="714"/>
      <c r="AA81" s="714"/>
      <c r="AB81" s="714"/>
      <c r="AC81" s="714"/>
      <c r="AD81" s="714"/>
      <c r="AE81" s="714"/>
      <c r="AF81" s="714"/>
      <c r="AG81" s="714"/>
      <c r="AH81" s="714"/>
      <c r="AI81" s="714"/>
      <c r="AJ81" s="714"/>
      <c r="AK81" s="714"/>
      <c r="AL81" s="714"/>
      <c r="AM81" s="11"/>
      <c r="AN81" s="11"/>
      <c r="AO81" s="11"/>
      <c r="AP81" s="685"/>
      <c r="AQ81" s="685"/>
      <c r="AR81" s="685"/>
      <c r="AS81" s="686"/>
      <c r="AT81" s="686"/>
      <c r="AU81" s="686"/>
      <c r="AV81" s="685"/>
      <c r="AW81" s="685"/>
      <c r="AX81" s="685"/>
      <c r="AY81" s="428"/>
      <c r="AZ81" s="686"/>
      <c r="BA81" s="686"/>
      <c r="BB81" s="686"/>
      <c r="BC81" s="688"/>
      <c r="BD81" s="688"/>
      <c r="BE81" s="688"/>
      <c r="BF81" s="409"/>
    </row>
    <row r="82" spans="1:58" ht="15" hidden="1" customHeight="1" x14ac:dyDescent="0.2">
      <c r="A82" s="18">
        <v>64</v>
      </c>
      <c r="B82" s="19" t="s">
        <v>675</v>
      </c>
      <c r="C82" s="766" t="s">
        <v>829</v>
      </c>
      <c r="D82" s="767"/>
      <c r="E82" s="316" t="s">
        <v>42</v>
      </c>
      <c r="F82" s="737"/>
      <c r="G82" s="738"/>
      <c r="H82" s="759" t="s">
        <v>844</v>
      </c>
      <c r="I82" s="759"/>
      <c r="J82" s="419"/>
      <c r="K82" s="923"/>
      <c r="L82" s="923"/>
      <c r="M82" s="420"/>
      <c r="N82" s="924"/>
      <c r="O82" s="924"/>
      <c r="P82" s="420"/>
      <c r="Q82" s="420"/>
      <c r="R82" s="418"/>
      <c r="S82" s="411"/>
      <c r="U82" s="434"/>
      <c r="V82" s="928"/>
      <c r="W82" s="928"/>
      <c r="X82" s="928"/>
      <c r="Y82" s="928"/>
      <c r="Z82" s="928"/>
      <c r="AA82" s="928"/>
      <c r="AB82" s="928"/>
      <c r="AC82" s="928"/>
      <c r="AD82" s="928"/>
      <c r="AE82" s="928"/>
      <c r="AF82" s="928"/>
      <c r="AG82" s="928"/>
      <c r="AH82" s="928"/>
      <c r="AI82" s="928"/>
      <c r="AJ82" s="928"/>
      <c r="AK82" s="928"/>
      <c r="AL82" s="928"/>
      <c r="AM82" s="11"/>
      <c r="AN82" s="11"/>
      <c r="AO82" s="11"/>
      <c r="AP82" s="685"/>
      <c r="AQ82" s="685"/>
      <c r="AR82" s="685"/>
      <c r="AS82" s="686"/>
      <c r="AT82" s="686"/>
      <c r="AU82" s="686"/>
      <c r="AV82" s="685"/>
      <c r="AW82" s="685"/>
      <c r="AX82" s="685"/>
      <c r="AY82" s="428"/>
      <c r="AZ82" s="686"/>
      <c r="BA82" s="686"/>
      <c r="BB82" s="686"/>
      <c r="BC82" s="688"/>
      <c r="BD82" s="688"/>
      <c r="BE82" s="688"/>
      <c r="BF82" s="409"/>
    </row>
    <row r="83" spans="1:58" ht="15" hidden="1" customHeight="1" x14ac:dyDescent="0.2">
      <c r="A83" s="18">
        <v>65</v>
      </c>
      <c r="B83" s="19" t="s">
        <v>675</v>
      </c>
      <c r="C83" s="766" t="s">
        <v>830</v>
      </c>
      <c r="D83" s="767"/>
      <c r="E83" s="316" t="s">
        <v>42</v>
      </c>
      <c r="F83" s="737"/>
      <c r="G83" s="738"/>
      <c r="H83" s="759" t="s">
        <v>844</v>
      </c>
      <c r="I83" s="759"/>
      <c r="J83" s="419"/>
      <c r="K83" s="923"/>
      <c r="L83" s="923"/>
      <c r="M83" s="420"/>
      <c r="N83" s="924"/>
      <c r="O83" s="924"/>
      <c r="P83" s="420"/>
      <c r="Q83" s="420"/>
      <c r="R83" s="418"/>
      <c r="S83" s="411"/>
      <c r="U83" s="434"/>
      <c r="V83" s="928"/>
      <c r="W83" s="928"/>
      <c r="X83" s="928"/>
      <c r="Y83" s="928"/>
      <c r="Z83" s="928"/>
      <c r="AA83" s="928"/>
      <c r="AB83" s="928"/>
      <c r="AC83" s="928"/>
      <c r="AD83" s="928"/>
      <c r="AE83" s="928"/>
      <c r="AF83" s="928"/>
      <c r="AG83" s="928"/>
      <c r="AH83" s="928"/>
      <c r="AI83" s="928"/>
      <c r="AJ83" s="928"/>
      <c r="AK83" s="928"/>
      <c r="AL83" s="928"/>
      <c r="AM83" s="11"/>
      <c r="AN83" s="11"/>
      <c r="AO83" s="11"/>
      <c r="AP83" s="685"/>
      <c r="AQ83" s="685"/>
      <c r="AR83" s="685"/>
      <c r="AS83" s="686"/>
      <c r="AT83" s="686"/>
      <c r="AU83" s="686"/>
      <c r="AV83" s="685"/>
      <c r="AW83" s="685"/>
      <c r="AX83" s="685"/>
      <c r="AY83" s="428"/>
      <c r="AZ83" s="686"/>
      <c r="BA83" s="686"/>
      <c r="BB83" s="686"/>
      <c r="BC83" s="688"/>
      <c r="BD83" s="688"/>
      <c r="BE83" s="688"/>
      <c r="BF83" s="409"/>
    </row>
    <row r="84" spans="1:58" ht="15" hidden="1" customHeight="1" x14ac:dyDescent="0.2">
      <c r="A84" s="18">
        <v>66</v>
      </c>
      <c r="B84" s="19" t="s">
        <v>675</v>
      </c>
      <c r="C84" s="766" t="s">
        <v>831</v>
      </c>
      <c r="D84" s="767"/>
      <c r="E84" s="316" t="s">
        <v>42</v>
      </c>
      <c r="F84" s="737"/>
      <c r="G84" s="738"/>
      <c r="H84" s="759" t="s">
        <v>844</v>
      </c>
      <c r="I84" s="759"/>
      <c r="J84" s="419"/>
      <c r="K84" s="923"/>
      <c r="L84" s="923"/>
      <c r="M84" s="420"/>
      <c r="N84" s="924"/>
      <c r="O84" s="924"/>
      <c r="P84" s="420"/>
      <c r="Q84" s="420"/>
      <c r="R84" s="418"/>
      <c r="S84" s="411"/>
      <c r="U84" s="430"/>
      <c r="V84" s="928"/>
      <c r="W84" s="928"/>
      <c r="X84" s="928"/>
      <c r="Y84" s="928"/>
      <c r="Z84" s="928"/>
      <c r="AA84" s="928"/>
      <c r="AB84" s="928"/>
      <c r="AC84" s="928"/>
      <c r="AD84" s="928"/>
      <c r="AE84" s="928"/>
      <c r="AF84" s="928"/>
      <c r="AG84" s="928"/>
      <c r="AH84" s="928"/>
      <c r="AI84" s="928"/>
      <c r="AJ84" s="928"/>
      <c r="AK84" s="928"/>
      <c r="AL84" s="928"/>
      <c r="AM84" s="11"/>
      <c r="AN84" s="11"/>
      <c r="AO84" s="11"/>
      <c r="AP84" s="685"/>
      <c r="AQ84" s="685"/>
      <c r="AR84" s="685"/>
      <c r="AS84" s="686"/>
      <c r="AT84" s="686"/>
      <c r="AU84" s="686"/>
      <c r="AV84" s="685"/>
      <c r="AW84" s="685"/>
      <c r="AX84" s="685"/>
      <c r="AY84" s="428"/>
      <c r="AZ84" s="686"/>
      <c r="BA84" s="686"/>
      <c r="BB84" s="686"/>
      <c r="BC84" s="688"/>
      <c r="BD84" s="688"/>
      <c r="BE84" s="688"/>
      <c r="BF84" s="409"/>
    </row>
    <row r="85" spans="1:58" ht="15" hidden="1" customHeight="1" x14ac:dyDescent="0.2">
      <c r="A85" s="18">
        <v>67</v>
      </c>
      <c r="B85" s="19" t="s">
        <v>675</v>
      </c>
      <c r="C85" s="766" t="s">
        <v>832</v>
      </c>
      <c r="D85" s="767"/>
      <c r="E85" s="316" t="s">
        <v>42</v>
      </c>
      <c r="F85" s="737"/>
      <c r="G85" s="738"/>
      <c r="H85" s="759" t="s">
        <v>844</v>
      </c>
      <c r="I85" s="759"/>
      <c r="J85" s="419"/>
      <c r="K85" s="923"/>
      <c r="L85" s="923"/>
      <c r="M85" s="420"/>
      <c r="N85" s="924"/>
      <c r="O85" s="924"/>
      <c r="P85" s="420"/>
      <c r="Q85" s="420"/>
      <c r="R85" s="418"/>
      <c r="S85" s="411"/>
      <c r="U85" s="11"/>
      <c r="V85" s="787"/>
      <c r="W85" s="787"/>
      <c r="X85" s="787"/>
      <c r="Y85" s="787"/>
      <c r="Z85" s="787"/>
      <c r="AA85" s="787"/>
      <c r="AB85" s="787"/>
      <c r="AC85" s="787"/>
      <c r="AD85" s="787"/>
      <c r="AE85" s="787"/>
      <c r="AF85" s="787"/>
      <c r="AG85" s="787"/>
      <c r="AH85" s="787"/>
      <c r="AI85" s="787"/>
      <c r="AJ85" s="787"/>
      <c r="AK85" s="787"/>
      <c r="AL85" s="787"/>
      <c r="AM85" s="11"/>
      <c r="AN85" s="11"/>
      <c r="AO85" s="11"/>
      <c r="AP85" s="685"/>
      <c r="AQ85" s="685"/>
      <c r="AR85" s="685"/>
      <c r="AS85" s="686"/>
      <c r="AT85" s="686"/>
      <c r="AU85" s="686"/>
      <c r="AV85" s="685"/>
      <c r="AW85" s="685"/>
      <c r="AX85" s="685"/>
      <c r="AY85" s="428"/>
      <c r="AZ85" s="686"/>
      <c r="BA85" s="686"/>
      <c r="BB85" s="686"/>
      <c r="BC85" s="688"/>
      <c r="BD85" s="688"/>
      <c r="BE85" s="688"/>
      <c r="BF85" s="409"/>
    </row>
    <row r="86" spans="1:58" ht="15" hidden="1" customHeight="1" x14ac:dyDescent="0.2">
      <c r="A86" s="18">
        <v>68</v>
      </c>
      <c r="B86" s="19" t="s">
        <v>675</v>
      </c>
      <c r="C86" s="766" t="s">
        <v>833</v>
      </c>
      <c r="D86" s="767"/>
      <c r="E86" s="26"/>
      <c r="F86" s="737"/>
      <c r="G86" s="738"/>
      <c r="H86" s="759" t="s">
        <v>844</v>
      </c>
      <c r="I86" s="759"/>
      <c r="J86" s="419"/>
      <c r="K86" s="923"/>
      <c r="L86" s="923"/>
      <c r="M86" s="420"/>
      <c r="N86" s="924"/>
      <c r="O86" s="924"/>
      <c r="P86" s="420"/>
      <c r="Q86" s="420"/>
      <c r="R86" s="418"/>
      <c r="S86" s="409"/>
      <c r="U86" s="11"/>
      <c r="V86" s="787"/>
      <c r="W86" s="787"/>
      <c r="X86" s="787"/>
      <c r="Y86" s="787"/>
      <c r="Z86" s="787"/>
      <c r="AA86" s="787"/>
      <c r="AB86" s="787"/>
      <c r="AC86" s="787"/>
      <c r="AD86" s="787"/>
      <c r="AE86" s="787"/>
      <c r="AF86" s="787"/>
      <c r="AG86" s="787"/>
      <c r="AH86" s="787"/>
      <c r="AI86" s="787"/>
      <c r="AJ86" s="787"/>
      <c r="AK86" s="787"/>
      <c r="AL86" s="787"/>
      <c r="AM86" s="11"/>
      <c r="AN86" s="11"/>
      <c r="AO86" s="11"/>
      <c r="AP86" s="685"/>
      <c r="AQ86" s="685"/>
      <c r="AR86" s="685"/>
      <c r="AS86" s="686"/>
      <c r="AT86" s="686"/>
      <c r="AU86" s="686"/>
      <c r="AV86" s="685"/>
      <c r="AW86" s="685"/>
      <c r="AX86" s="685"/>
      <c r="AY86" s="428"/>
      <c r="AZ86" s="686"/>
      <c r="BA86" s="686"/>
      <c r="BB86" s="686"/>
      <c r="BC86" s="688"/>
      <c r="BD86" s="688"/>
      <c r="BE86" s="688"/>
      <c r="BF86" s="409"/>
    </row>
    <row r="87" spans="1:58" ht="15" hidden="1" customHeight="1" x14ac:dyDescent="0.2">
      <c r="A87" s="18">
        <v>69</v>
      </c>
      <c r="B87" s="19" t="s">
        <v>675</v>
      </c>
      <c r="C87" s="766" t="s">
        <v>834</v>
      </c>
      <c r="D87" s="767"/>
      <c r="E87" s="26"/>
      <c r="F87" s="737"/>
      <c r="G87" s="738"/>
      <c r="H87" s="759" t="s">
        <v>844</v>
      </c>
      <c r="I87" s="759"/>
      <c r="J87" s="419"/>
      <c r="K87" s="923"/>
      <c r="L87" s="923"/>
      <c r="M87" s="420"/>
      <c r="N87" s="924"/>
      <c r="O87" s="924"/>
      <c r="P87" s="420"/>
      <c r="Q87" s="420"/>
      <c r="R87" s="418"/>
      <c r="S87" s="409"/>
      <c r="U87" s="11"/>
      <c r="V87" s="712"/>
      <c r="W87" s="712"/>
      <c r="X87" s="712"/>
      <c r="Y87" s="712"/>
      <c r="Z87" s="712"/>
      <c r="AA87" s="712"/>
      <c r="AB87" s="712"/>
      <c r="AC87" s="712"/>
      <c r="AD87" s="712"/>
      <c r="AE87" s="712"/>
      <c r="AF87" s="712"/>
      <c r="AG87" s="712"/>
      <c r="AH87" s="712"/>
      <c r="AI87" s="712"/>
      <c r="AJ87" s="712"/>
      <c r="AK87" s="712"/>
      <c r="AL87" s="712"/>
      <c r="AM87" s="11"/>
      <c r="AN87" s="11"/>
      <c r="AO87" s="11"/>
      <c r="AP87" s="685"/>
      <c r="AQ87" s="685"/>
      <c r="AR87" s="685"/>
      <c r="AS87" s="686"/>
      <c r="AT87" s="686"/>
      <c r="AU87" s="686"/>
      <c r="AV87" s="685"/>
      <c r="AW87" s="685"/>
      <c r="AX87" s="685"/>
      <c r="AY87" s="428"/>
      <c r="AZ87" s="686"/>
      <c r="BA87" s="686"/>
      <c r="BB87" s="686"/>
      <c r="BC87" s="688"/>
      <c r="BD87" s="688"/>
      <c r="BE87" s="688"/>
      <c r="BF87" s="409"/>
    </row>
    <row r="88" spans="1:58" ht="15" hidden="1" customHeight="1" x14ac:dyDescent="0.2">
      <c r="A88" s="18">
        <v>70</v>
      </c>
      <c r="B88" s="19" t="s">
        <v>675</v>
      </c>
      <c r="C88" s="766" t="s">
        <v>835</v>
      </c>
      <c r="D88" s="767"/>
      <c r="E88" s="26"/>
      <c r="F88" s="737"/>
      <c r="G88" s="738"/>
      <c r="H88" s="759" t="s">
        <v>844</v>
      </c>
      <c r="I88" s="759"/>
      <c r="J88" s="419"/>
      <c r="K88" s="923"/>
      <c r="L88" s="923"/>
      <c r="M88" s="420"/>
      <c r="N88" s="924"/>
      <c r="O88" s="924"/>
      <c r="P88" s="420"/>
      <c r="Q88" s="420"/>
      <c r="R88" s="418"/>
      <c r="S88" s="409"/>
      <c r="U88" s="11"/>
      <c r="V88" s="774"/>
      <c r="W88" s="774"/>
      <c r="X88" s="774"/>
      <c r="Y88" s="774"/>
      <c r="Z88" s="774"/>
      <c r="AA88" s="774"/>
      <c r="AB88" s="774"/>
      <c r="AC88" s="774"/>
      <c r="AD88" s="774"/>
      <c r="AE88" s="774"/>
      <c r="AF88" s="774"/>
      <c r="AG88" s="774"/>
      <c r="AH88" s="774"/>
      <c r="AI88" s="774"/>
      <c r="AJ88" s="774"/>
      <c r="AK88" s="774"/>
      <c r="AL88" s="774"/>
      <c r="AM88" s="11"/>
      <c r="AN88" s="11"/>
      <c r="AO88" s="11"/>
      <c r="AP88" s="685"/>
      <c r="AQ88" s="685"/>
      <c r="AR88" s="685"/>
      <c r="AS88" s="686"/>
      <c r="AT88" s="686"/>
      <c r="AU88" s="686"/>
      <c r="AV88" s="685"/>
      <c r="AW88" s="685"/>
      <c r="AX88" s="685"/>
      <c r="AY88" s="428"/>
      <c r="AZ88" s="686"/>
      <c r="BA88" s="686"/>
      <c r="BB88" s="686"/>
      <c r="BC88" s="688"/>
      <c r="BD88" s="688"/>
      <c r="BE88" s="688"/>
      <c r="BF88" s="409"/>
    </row>
    <row r="89" spans="1:58" ht="15" hidden="1" customHeight="1" x14ac:dyDescent="0.2">
      <c r="A89" s="18">
        <v>71</v>
      </c>
      <c r="B89" s="19" t="s">
        <v>675</v>
      </c>
      <c r="C89" s="766" t="s">
        <v>836</v>
      </c>
      <c r="D89" s="767"/>
      <c r="E89" s="26"/>
      <c r="F89" s="737"/>
      <c r="G89" s="738"/>
      <c r="H89" s="759" t="s">
        <v>844</v>
      </c>
      <c r="I89" s="759"/>
      <c r="J89" s="419"/>
      <c r="K89" s="923"/>
      <c r="L89" s="923"/>
      <c r="M89" s="420"/>
      <c r="N89" s="924"/>
      <c r="O89" s="924"/>
      <c r="P89" s="420"/>
      <c r="Q89" s="420"/>
      <c r="R89" s="418"/>
      <c r="S89" s="409"/>
      <c r="U89" s="11"/>
      <c r="V89" s="774"/>
      <c r="W89" s="774"/>
      <c r="X89" s="774"/>
      <c r="Y89" s="774"/>
      <c r="Z89" s="774"/>
      <c r="AA89" s="774"/>
      <c r="AB89" s="774"/>
      <c r="AC89" s="774"/>
      <c r="AD89" s="774"/>
      <c r="AE89" s="774"/>
      <c r="AF89" s="774"/>
      <c r="AG89" s="774"/>
      <c r="AH89" s="774"/>
      <c r="AI89" s="774"/>
      <c r="AJ89" s="774"/>
      <c r="AK89" s="774"/>
      <c r="AL89" s="774"/>
      <c r="AM89" s="11"/>
      <c r="AN89" s="11"/>
      <c r="AO89" s="11"/>
      <c r="AP89" s="685"/>
      <c r="AQ89" s="685"/>
      <c r="AR89" s="685"/>
      <c r="AS89" s="686"/>
      <c r="AT89" s="686"/>
      <c r="AU89" s="686"/>
      <c r="AV89" s="685"/>
      <c r="AW89" s="685"/>
      <c r="AX89" s="685"/>
      <c r="AY89" s="428"/>
      <c r="AZ89" s="686"/>
      <c r="BA89" s="686"/>
      <c r="BB89" s="686"/>
      <c r="BC89" s="688"/>
      <c r="BD89" s="688"/>
      <c r="BE89" s="688"/>
      <c r="BF89" s="409"/>
    </row>
    <row r="90" spans="1:58" ht="15" hidden="1" customHeight="1" x14ac:dyDescent="0.2">
      <c r="A90" s="18">
        <v>72</v>
      </c>
      <c r="B90" s="19" t="s">
        <v>675</v>
      </c>
      <c r="C90" s="766" t="s">
        <v>837</v>
      </c>
      <c r="D90" s="767"/>
      <c r="E90" s="26"/>
      <c r="F90" s="318"/>
      <c r="G90" s="319"/>
      <c r="H90" s="759" t="s">
        <v>844</v>
      </c>
      <c r="I90" s="759"/>
      <c r="J90" s="419"/>
      <c r="K90" s="923"/>
      <c r="L90" s="923"/>
      <c r="M90" s="420"/>
      <c r="N90" s="924"/>
      <c r="O90" s="924"/>
      <c r="P90" s="420"/>
      <c r="Q90" s="420"/>
      <c r="R90" s="418"/>
      <c r="S90" s="409"/>
      <c r="U90" s="11"/>
      <c r="V90" s="797"/>
      <c r="W90" s="797"/>
      <c r="X90" s="797"/>
      <c r="Y90" s="797"/>
      <c r="Z90" s="797"/>
      <c r="AA90" s="797"/>
      <c r="AB90" s="797"/>
      <c r="AC90" s="797"/>
      <c r="AD90" s="797"/>
      <c r="AE90" s="797"/>
      <c r="AF90" s="797"/>
      <c r="AG90" s="797"/>
      <c r="AH90" s="797"/>
      <c r="AI90" s="797"/>
      <c r="AJ90" s="797"/>
      <c r="AK90" s="797"/>
      <c r="AL90" s="797"/>
      <c r="AM90" s="11"/>
      <c r="AN90" s="11"/>
      <c r="AO90" s="11"/>
      <c r="AP90" s="685"/>
      <c r="AQ90" s="685"/>
      <c r="AR90" s="685"/>
      <c r="AS90" s="686"/>
      <c r="AT90" s="686"/>
      <c r="AU90" s="686"/>
      <c r="AV90" s="685"/>
      <c r="AW90" s="685"/>
      <c r="AX90" s="685"/>
      <c r="AY90" s="428"/>
      <c r="AZ90" s="686"/>
      <c r="BA90" s="686"/>
      <c r="BB90" s="686"/>
      <c r="BC90" s="688"/>
      <c r="BD90" s="688"/>
      <c r="BE90" s="688"/>
      <c r="BF90" s="409"/>
    </row>
    <row r="91" spans="1:58" ht="15" hidden="1" customHeight="1" x14ac:dyDescent="0.2">
      <c r="A91" s="18">
        <v>73</v>
      </c>
      <c r="B91" s="19" t="s">
        <v>675</v>
      </c>
      <c r="C91" s="766" t="s">
        <v>676</v>
      </c>
      <c r="D91" s="767"/>
      <c r="E91" s="26"/>
      <c r="F91" s="318"/>
      <c r="G91" s="319"/>
      <c r="H91" s="759" t="s">
        <v>844</v>
      </c>
      <c r="I91" s="759"/>
      <c r="J91" s="419"/>
      <c r="K91" s="923"/>
      <c r="L91" s="923"/>
      <c r="M91" s="420"/>
      <c r="N91" s="924"/>
      <c r="O91" s="924"/>
      <c r="P91" s="420"/>
      <c r="Q91" s="420"/>
      <c r="R91" s="418"/>
      <c r="S91" s="409"/>
      <c r="U91" s="11"/>
      <c r="V91" s="810"/>
      <c r="W91" s="810"/>
      <c r="X91" s="810"/>
      <c r="Y91" s="810"/>
      <c r="Z91" s="810"/>
      <c r="AA91" s="810"/>
      <c r="AB91" s="810"/>
      <c r="AC91" s="810"/>
      <c r="AD91" s="810"/>
      <c r="AE91" s="810"/>
      <c r="AF91" s="810"/>
      <c r="AG91" s="810"/>
      <c r="AH91" s="810"/>
      <c r="AI91" s="810"/>
      <c r="AJ91" s="810"/>
      <c r="AK91" s="810"/>
      <c r="AL91" s="810"/>
      <c r="AM91" s="11"/>
      <c r="AN91" s="11"/>
      <c r="AO91" s="11"/>
      <c r="AP91" s="685"/>
      <c r="AQ91" s="685"/>
      <c r="AR91" s="685"/>
      <c r="AS91" s="686"/>
      <c r="AT91" s="686"/>
      <c r="AU91" s="686"/>
      <c r="AV91" s="685"/>
      <c r="AW91" s="685"/>
      <c r="AX91" s="685"/>
      <c r="AY91" s="428"/>
      <c r="AZ91" s="686"/>
      <c r="BA91" s="686"/>
      <c r="BB91" s="686"/>
      <c r="BC91" s="688"/>
      <c r="BD91" s="688"/>
      <c r="BE91" s="688"/>
      <c r="BF91" s="409"/>
    </row>
    <row r="92" spans="1:58" ht="15" hidden="1" customHeight="1" x14ac:dyDescent="0.2">
      <c r="A92" s="18">
        <v>74</v>
      </c>
      <c r="B92" s="420"/>
      <c r="C92" s="910"/>
      <c r="D92" s="911"/>
      <c r="E92" s="418"/>
      <c r="F92" s="929"/>
      <c r="G92" s="930"/>
      <c r="H92" s="759" t="s">
        <v>844</v>
      </c>
      <c r="I92" s="759"/>
      <c r="J92" s="419"/>
      <c r="K92" s="923"/>
      <c r="L92" s="923"/>
      <c r="M92" s="420"/>
      <c r="N92" s="924"/>
      <c r="O92" s="924"/>
      <c r="P92" s="420"/>
      <c r="Q92" s="420"/>
      <c r="R92" s="418"/>
      <c r="S92" s="409"/>
      <c r="U92" s="11"/>
      <c r="V92" s="55"/>
      <c r="W92" s="55"/>
      <c r="X92" s="55"/>
      <c r="Y92" s="55"/>
      <c r="Z92" s="55"/>
      <c r="AA92" s="55"/>
      <c r="AB92" s="55"/>
      <c r="AC92" s="55"/>
      <c r="AD92" s="55"/>
      <c r="AE92" s="55"/>
      <c r="AF92" s="55"/>
      <c r="AG92" s="55"/>
      <c r="AH92" s="55"/>
      <c r="AI92" s="55"/>
      <c r="AJ92" s="55"/>
      <c r="AK92" s="55"/>
      <c r="AL92" s="55"/>
      <c r="AM92" s="11"/>
      <c r="AN92" s="11"/>
      <c r="AO92" s="11"/>
      <c r="AP92" s="685"/>
      <c r="AQ92" s="685"/>
      <c r="AR92" s="685"/>
      <c r="AS92" s="686"/>
      <c r="AT92" s="686"/>
      <c r="AU92" s="686"/>
      <c r="AV92" s="685"/>
      <c r="AW92" s="685"/>
      <c r="AX92" s="685"/>
      <c r="AY92" s="428"/>
      <c r="AZ92" s="686"/>
      <c r="BA92" s="686"/>
      <c r="BB92" s="686"/>
      <c r="BC92" s="688"/>
      <c r="BD92" s="688"/>
      <c r="BE92" s="688"/>
      <c r="BF92" s="409"/>
    </row>
    <row r="93" spans="1:58" ht="15" hidden="1" customHeight="1" x14ac:dyDescent="0.2">
      <c r="A93" s="18">
        <v>75</v>
      </c>
      <c r="B93" s="420"/>
      <c r="C93" s="910"/>
      <c r="D93" s="911"/>
      <c r="E93" s="418"/>
      <c r="F93" s="929"/>
      <c r="G93" s="930"/>
      <c r="H93" s="759" t="s">
        <v>844</v>
      </c>
      <c r="I93" s="759"/>
      <c r="J93" s="419"/>
      <c r="K93" s="923"/>
      <c r="L93" s="923"/>
      <c r="M93" s="420"/>
      <c r="N93" s="924"/>
      <c r="O93" s="924"/>
      <c r="P93" s="420"/>
      <c r="Q93" s="420"/>
      <c r="R93" s="418"/>
      <c r="S93" s="409"/>
      <c r="U93" s="11"/>
      <c r="V93" s="11"/>
      <c r="W93" s="11"/>
      <c r="X93" s="11"/>
      <c r="Y93" s="11"/>
      <c r="Z93" s="11"/>
      <c r="AA93" s="11"/>
      <c r="AB93" s="11"/>
      <c r="AC93" s="11"/>
      <c r="AD93" s="11"/>
      <c r="AE93" s="11"/>
      <c r="AF93" s="11"/>
      <c r="AG93" s="11"/>
      <c r="AH93" s="11"/>
      <c r="AI93" s="11"/>
      <c r="AJ93" s="11"/>
      <c r="AK93" s="11"/>
      <c r="AL93" s="11"/>
      <c r="AM93" s="11"/>
      <c r="AN93" s="11"/>
      <c r="AO93" s="11"/>
      <c r="AP93" s="685"/>
      <c r="AQ93" s="685"/>
      <c r="AR93" s="685"/>
      <c r="AS93" s="686"/>
      <c r="AT93" s="686"/>
      <c r="AU93" s="686"/>
      <c r="AV93" s="685"/>
      <c r="AW93" s="685"/>
      <c r="AX93" s="685"/>
      <c r="AY93" s="428"/>
      <c r="AZ93" s="686"/>
      <c r="BA93" s="686"/>
      <c r="BB93" s="686"/>
      <c r="BC93" s="688"/>
      <c r="BD93" s="688"/>
      <c r="BE93" s="688"/>
      <c r="BF93" s="409"/>
    </row>
    <row r="94" spans="1:58" ht="15" hidden="1" customHeight="1" x14ac:dyDescent="0.2">
      <c r="A94" s="18">
        <v>76</v>
      </c>
      <c r="B94" s="420"/>
      <c r="C94" s="910"/>
      <c r="D94" s="911"/>
      <c r="E94" s="418"/>
      <c r="F94" s="929"/>
      <c r="G94" s="930"/>
      <c r="H94" s="759" t="s">
        <v>844</v>
      </c>
      <c r="I94" s="759"/>
      <c r="J94" s="419"/>
      <c r="K94" s="923"/>
      <c r="L94" s="923"/>
      <c r="M94" s="420"/>
      <c r="N94" s="924"/>
      <c r="O94" s="924"/>
      <c r="P94" s="420"/>
      <c r="Q94" s="420"/>
      <c r="R94" s="418"/>
      <c r="S94" s="409"/>
      <c r="U94" s="11"/>
      <c r="V94" s="11"/>
      <c r="W94" s="11"/>
      <c r="X94" s="11"/>
      <c r="Y94" s="11"/>
      <c r="Z94" s="11"/>
      <c r="AA94" s="11"/>
      <c r="AB94" s="11"/>
      <c r="AC94" s="11"/>
      <c r="AD94" s="11"/>
      <c r="AE94" s="11"/>
      <c r="AF94" s="11"/>
      <c r="AG94" s="11"/>
      <c r="AH94" s="11"/>
      <c r="AI94" s="11"/>
      <c r="AJ94" s="11"/>
      <c r="AK94" s="11"/>
      <c r="AL94" s="11"/>
      <c r="AM94" s="11"/>
      <c r="AN94" s="11"/>
      <c r="AO94" s="11"/>
      <c r="AP94" s="685"/>
      <c r="AQ94" s="685"/>
      <c r="AR94" s="685"/>
      <c r="AS94" s="686"/>
      <c r="AT94" s="686"/>
      <c r="AU94" s="686"/>
      <c r="AV94" s="685"/>
      <c r="AW94" s="685"/>
      <c r="AX94" s="685"/>
      <c r="AY94" s="428"/>
      <c r="AZ94" s="686"/>
      <c r="BA94" s="686"/>
      <c r="BB94" s="686"/>
      <c r="BC94" s="688"/>
      <c r="BD94" s="688"/>
      <c r="BE94" s="688"/>
      <c r="BF94" s="409"/>
    </row>
    <row r="95" spans="1:58" ht="15" hidden="1" customHeight="1" x14ac:dyDescent="0.2">
      <c r="A95" s="18">
        <v>77</v>
      </c>
      <c r="B95" s="420"/>
      <c r="C95" s="910"/>
      <c r="D95" s="911"/>
      <c r="E95" s="418"/>
      <c r="F95" s="929"/>
      <c r="G95" s="930"/>
      <c r="H95" s="759" t="s">
        <v>844</v>
      </c>
      <c r="I95" s="759"/>
      <c r="J95" s="419"/>
      <c r="K95" s="923"/>
      <c r="L95" s="923"/>
      <c r="M95" s="420"/>
      <c r="N95" s="924"/>
      <c r="O95" s="924"/>
      <c r="P95" s="420"/>
      <c r="Q95" s="420"/>
      <c r="R95" s="418"/>
      <c r="S95" s="409"/>
      <c r="U95" s="11"/>
      <c r="V95" s="11"/>
      <c r="W95" s="11"/>
      <c r="X95" s="11"/>
      <c r="Y95" s="11"/>
      <c r="Z95" s="11"/>
      <c r="AA95" s="11"/>
      <c r="AB95" s="11"/>
      <c r="AC95" s="11"/>
      <c r="AD95" s="11"/>
      <c r="AE95" s="11"/>
      <c r="AF95" s="11"/>
      <c r="AG95" s="11"/>
      <c r="AH95" s="11"/>
      <c r="AI95" s="11"/>
      <c r="AJ95" s="11"/>
      <c r="AK95" s="11"/>
      <c r="AL95" s="11"/>
      <c r="AM95" s="11"/>
      <c r="AN95" s="11"/>
      <c r="AO95" s="11"/>
      <c r="AP95" s="685"/>
      <c r="AQ95" s="685"/>
      <c r="AR95" s="685"/>
      <c r="AS95" s="686"/>
      <c r="AT95" s="686"/>
      <c r="AU95" s="686"/>
      <c r="AV95" s="685"/>
      <c r="AW95" s="685"/>
      <c r="AX95" s="685"/>
      <c r="AY95" s="428"/>
      <c r="AZ95" s="686"/>
      <c r="BA95" s="686"/>
      <c r="BB95" s="686"/>
      <c r="BC95" s="688"/>
      <c r="BD95" s="688"/>
      <c r="BE95" s="688"/>
      <c r="BF95" s="409"/>
    </row>
    <row r="96" spans="1:58" ht="9.9499999999999993" customHeight="1" x14ac:dyDescent="0.2">
      <c r="A96" s="28" t="s">
        <v>895</v>
      </c>
      <c r="B96" s="29"/>
      <c r="C96" s="29"/>
      <c r="U96" s="11"/>
      <c r="V96" s="11"/>
      <c r="W96" s="11"/>
      <c r="X96" s="11"/>
      <c r="Y96" s="11"/>
      <c r="Z96" s="11"/>
      <c r="AA96" s="11"/>
      <c r="AB96" s="11"/>
      <c r="AC96" s="11"/>
      <c r="AD96" s="11"/>
      <c r="AE96" s="11"/>
      <c r="AF96" s="11"/>
      <c r="AG96" s="11"/>
      <c r="AH96" s="11"/>
      <c r="AI96" s="11"/>
      <c r="AJ96" s="11"/>
      <c r="AK96" s="11"/>
      <c r="AL96" s="11"/>
      <c r="AM96" s="11"/>
      <c r="AN96" s="11"/>
      <c r="AO96" s="11"/>
      <c r="AP96" s="685"/>
      <c r="AQ96" s="685"/>
      <c r="AR96" s="685"/>
      <c r="AS96" s="686"/>
      <c r="AT96" s="686"/>
      <c r="AU96" s="686"/>
      <c r="AV96" s="685"/>
      <c r="AW96" s="685"/>
      <c r="AX96" s="685"/>
      <c r="AY96" s="428"/>
      <c r="AZ96" s="686"/>
      <c r="BA96" s="686"/>
      <c r="BB96" s="686"/>
      <c r="BC96" s="688"/>
      <c r="BD96" s="688"/>
      <c r="BE96" s="688"/>
      <c r="BF96" s="409"/>
    </row>
    <row r="97" spans="1:58" ht="15" hidden="1" customHeight="1" x14ac:dyDescent="0.2">
      <c r="A97" s="1"/>
      <c r="B97" s="1"/>
      <c r="C97" s="1"/>
      <c r="U97" s="11"/>
      <c r="V97" s="11"/>
      <c r="W97" s="11"/>
      <c r="X97" s="11"/>
      <c r="Y97" s="11"/>
      <c r="Z97" s="11"/>
      <c r="AA97" s="11"/>
      <c r="AB97" s="11"/>
      <c r="AC97" s="11"/>
      <c r="AD97" s="11"/>
      <c r="AE97" s="11"/>
      <c r="AF97" s="11"/>
      <c r="AG97" s="11"/>
      <c r="AH97" s="11"/>
      <c r="AI97" s="11"/>
      <c r="AJ97" s="11"/>
      <c r="AK97" s="11"/>
      <c r="AL97" s="11"/>
      <c r="AM97" s="11"/>
      <c r="AN97" s="11"/>
      <c r="AO97" s="11"/>
      <c r="AP97" s="685"/>
      <c r="AQ97" s="685"/>
      <c r="AR97" s="685"/>
      <c r="AS97" s="686"/>
      <c r="AT97" s="686"/>
      <c r="AU97" s="686"/>
      <c r="AV97" s="685"/>
      <c r="AW97" s="685"/>
      <c r="AX97" s="685"/>
      <c r="AY97" s="428"/>
      <c r="AZ97" s="686"/>
      <c r="BA97" s="686"/>
      <c r="BB97" s="686"/>
      <c r="BC97" s="688"/>
      <c r="BD97" s="688"/>
      <c r="BE97" s="688"/>
      <c r="BF97" s="409"/>
    </row>
    <row r="98" spans="1:58" ht="15" hidden="1" customHeight="1" x14ac:dyDescent="0.2">
      <c r="A98" s="30"/>
      <c r="B98" s="30"/>
      <c r="C98" s="814" t="s">
        <v>69</v>
      </c>
      <c r="D98" s="814"/>
      <c r="E98" s="814"/>
      <c r="F98" s="814"/>
      <c r="G98" s="814"/>
      <c r="H98" s="814"/>
      <c r="I98" s="814"/>
      <c r="J98" s="814"/>
      <c r="K98" s="814"/>
      <c r="L98" s="814"/>
      <c r="M98" s="814"/>
      <c r="N98" s="814"/>
      <c r="O98" s="814"/>
      <c r="P98" s="814"/>
      <c r="Q98" s="814"/>
      <c r="R98" s="30"/>
      <c r="S98" s="30"/>
      <c r="U98" s="11"/>
      <c r="V98" s="11"/>
      <c r="W98" s="11"/>
      <c r="X98" s="11"/>
      <c r="Y98" s="11"/>
      <c r="Z98" s="11"/>
      <c r="AA98" s="11"/>
      <c r="AB98" s="11"/>
      <c r="AC98" s="11"/>
      <c r="AD98" s="11"/>
      <c r="AE98" s="11"/>
      <c r="AF98" s="11"/>
      <c r="AG98" s="11"/>
      <c r="AH98" s="11"/>
      <c r="AI98" s="11"/>
      <c r="AJ98" s="11"/>
      <c r="AK98" s="11"/>
      <c r="AL98" s="11"/>
      <c r="AM98" s="11"/>
      <c r="AN98" s="11"/>
      <c r="AO98" s="11"/>
      <c r="AP98" s="685"/>
      <c r="AQ98" s="685"/>
      <c r="AR98" s="685"/>
      <c r="AS98" s="686"/>
      <c r="AT98" s="686"/>
      <c r="AU98" s="686"/>
      <c r="AV98" s="685"/>
      <c r="AW98" s="685"/>
      <c r="AX98" s="685"/>
      <c r="AY98" s="428"/>
      <c r="AZ98" s="686"/>
      <c r="BA98" s="686"/>
      <c r="BB98" s="686"/>
      <c r="BC98" s="688"/>
      <c r="BD98" s="688"/>
      <c r="BE98" s="688"/>
      <c r="BF98" s="409"/>
    </row>
    <row r="99" spans="1:58" ht="45" hidden="1" customHeight="1" x14ac:dyDescent="0.25">
      <c r="A99" s="31"/>
      <c r="B99" s="31"/>
      <c r="C99" s="32" t="s">
        <v>7</v>
      </c>
      <c r="D99" s="33" t="s">
        <v>70</v>
      </c>
      <c r="E99" s="32" t="s">
        <v>71</v>
      </c>
      <c r="F99" s="741" t="s">
        <v>72</v>
      </c>
      <c r="G99" s="741"/>
      <c r="H99" s="32" t="s">
        <v>7</v>
      </c>
      <c r="I99" s="33" t="s">
        <v>70</v>
      </c>
      <c r="J99" s="32" t="s">
        <v>71</v>
      </c>
      <c r="K99" s="32" t="s">
        <v>72</v>
      </c>
      <c r="L99" s="32" t="s">
        <v>7</v>
      </c>
      <c r="M99" s="815" t="s">
        <v>70</v>
      </c>
      <c r="N99" s="816"/>
      <c r="O99" s="742" t="s">
        <v>71</v>
      </c>
      <c r="P99" s="817"/>
      <c r="Q99" s="32" t="s">
        <v>72</v>
      </c>
      <c r="R99" s="34"/>
      <c r="S99" s="34"/>
      <c r="U99" s="11"/>
      <c r="V99" s="11"/>
      <c r="W99" s="11"/>
      <c r="X99" s="11"/>
      <c r="Y99" s="11"/>
      <c r="Z99" s="11"/>
      <c r="AA99" s="11"/>
      <c r="AB99" s="11"/>
      <c r="AC99" s="11"/>
      <c r="AD99" s="11"/>
      <c r="AE99" s="11"/>
      <c r="AF99" s="11"/>
      <c r="AG99" s="11"/>
      <c r="AH99" s="11"/>
      <c r="AI99" s="11"/>
      <c r="AJ99" s="11"/>
      <c r="AK99" s="11"/>
      <c r="AL99" s="11"/>
      <c r="AM99" s="11"/>
      <c r="AN99" s="11"/>
      <c r="AO99" s="11"/>
      <c r="AP99" s="685"/>
      <c r="AQ99" s="685"/>
      <c r="AR99" s="685"/>
      <c r="AS99" s="686"/>
      <c r="AT99" s="686"/>
      <c r="AU99" s="686"/>
      <c r="AV99" s="685"/>
      <c r="AW99" s="685"/>
      <c r="AX99" s="685"/>
      <c r="AY99" s="428"/>
      <c r="AZ99" s="686"/>
      <c r="BA99" s="686"/>
      <c r="BB99" s="686"/>
      <c r="BC99" s="688"/>
      <c r="BD99" s="688"/>
      <c r="BE99" s="688"/>
      <c r="BF99" s="409"/>
    </row>
    <row r="100" spans="1:58" s="23" customFormat="1" ht="11.1" hidden="1" customHeight="1" x14ac:dyDescent="0.2">
      <c r="A100" s="35"/>
      <c r="B100" s="35"/>
      <c r="C100" s="21">
        <v>1</v>
      </c>
      <c r="D100" s="22">
        <v>2</v>
      </c>
      <c r="E100" s="22">
        <v>3</v>
      </c>
      <c r="F100" s="751">
        <v>4</v>
      </c>
      <c r="G100" s="751"/>
      <c r="H100" s="22">
        <v>1</v>
      </c>
      <c r="I100" s="22">
        <v>2</v>
      </c>
      <c r="J100" s="22">
        <v>3</v>
      </c>
      <c r="K100" s="22">
        <v>4</v>
      </c>
      <c r="L100" s="21">
        <v>1</v>
      </c>
      <c r="M100" s="746">
        <v>2</v>
      </c>
      <c r="N100" s="746"/>
      <c r="O100" s="746">
        <v>3</v>
      </c>
      <c r="P100" s="746"/>
      <c r="Q100" s="22">
        <v>4</v>
      </c>
      <c r="R100" s="36"/>
      <c r="S100" s="36"/>
      <c r="U100" s="424"/>
      <c r="V100" s="424"/>
      <c r="W100" s="424"/>
      <c r="X100" s="424"/>
      <c r="Y100" s="424"/>
      <c r="Z100" s="424"/>
      <c r="AA100" s="424"/>
      <c r="AB100" s="424"/>
      <c r="AC100" s="424"/>
      <c r="AD100" s="424"/>
      <c r="AE100" s="424"/>
      <c r="AF100" s="424"/>
      <c r="AG100" s="424"/>
      <c r="AH100" s="424"/>
      <c r="AI100" s="424"/>
      <c r="AJ100" s="424"/>
      <c r="AK100" s="424"/>
      <c r="AL100" s="424"/>
      <c r="AM100" s="424"/>
      <c r="AN100" s="424"/>
      <c r="AO100" s="424"/>
      <c r="AP100" s="685"/>
      <c r="AQ100" s="685"/>
      <c r="AR100" s="685"/>
      <c r="AS100" s="686"/>
      <c r="AT100" s="686"/>
      <c r="AU100" s="686"/>
      <c r="AV100" s="685"/>
      <c r="AW100" s="685"/>
      <c r="AX100" s="685"/>
      <c r="AY100" s="428"/>
      <c r="AZ100" s="686"/>
      <c r="BA100" s="686"/>
      <c r="BB100" s="686"/>
      <c r="BC100" s="688"/>
      <c r="BD100" s="688"/>
      <c r="BE100" s="688"/>
      <c r="BF100" s="409"/>
    </row>
    <row r="101" spans="1:58" ht="15" hidden="1" customHeight="1" x14ac:dyDescent="0.25">
      <c r="A101" s="31"/>
      <c r="B101" s="31"/>
      <c r="C101" s="37">
        <v>1</v>
      </c>
      <c r="D101" s="37">
        <v>1</v>
      </c>
      <c r="E101" s="38"/>
      <c r="F101" s="759"/>
      <c r="G101" s="759"/>
      <c r="H101" s="38">
        <v>6</v>
      </c>
      <c r="I101" s="37">
        <v>6</v>
      </c>
      <c r="J101" s="38"/>
      <c r="K101" s="38"/>
      <c r="L101" s="38">
        <v>11</v>
      </c>
      <c r="M101" s="813">
        <v>11</v>
      </c>
      <c r="N101" s="813"/>
      <c r="O101" s="759"/>
      <c r="P101" s="759"/>
      <c r="Q101" s="38"/>
      <c r="R101" s="39"/>
      <c r="S101" s="39"/>
      <c r="U101" s="11"/>
      <c r="V101" s="11"/>
      <c r="W101" s="11"/>
      <c r="X101" s="11"/>
      <c r="Y101" s="11"/>
      <c r="Z101" s="11"/>
      <c r="AA101" s="11"/>
      <c r="AB101" s="11"/>
      <c r="AC101" s="11"/>
      <c r="AD101" s="11"/>
      <c r="AE101" s="11"/>
      <c r="AF101" s="11"/>
      <c r="AG101" s="11"/>
      <c r="AH101" s="11"/>
      <c r="AI101" s="11"/>
      <c r="AJ101" s="11"/>
      <c r="AK101" s="11"/>
      <c r="AL101" s="11"/>
      <c r="AM101" s="11"/>
      <c r="AN101" s="11"/>
      <c r="AO101" s="11"/>
      <c r="AP101" s="685"/>
      <c r="AQ101" s="685"/>
      <c r="AR101" s="685"/>
      <c r="AS101" s="686"/>
      <c r="AT101" s="686"/>
      <c r="AU101" s="686"/>
      <c r="AV101" s="685"/>
      <c r="AW101" s="685"/>
      <c r="AX101" s="685"/>
      <c r="AY101" s="428"/>
      <c r="AZ101" s="686"/>
      <c r="BA101" s="686"/>
      <c r="BB101" s="686"/>
      <c r="BC101" s="688"/>
      <c r="BD101" s="688"/>
      <c r="BE101" s="688"/>
      <c r="BF101" s="409"/>
    </row>
    <row r="102" spans="1:58" ht="15" hidden="1" customHeight="1" x14ac:dyDescent="0.25">
      <c r="A102" s="31"/>
      <c r="B102" s="31"/>
      <c r="C102" s="37">
        <v>2</v>
      </c>
      <c r="D102" s="37">
        <v>2</v>
      </c>
      <c r="E102" s="38"/>
      <c r="F102" s="759"/>
      <c r="G102" s="759"/>
      <c r="H102" s="38">
        <v>7</v>
      </c>
      <c r="I102" s="37">
        <v>7</v>
      </c>
      <c r="J102" s="38"/>
      <c r="K102" s="38"/>
      <c r="L102" s="38">
        <v>12</v>
      </c>
      <c r="M102" s="813">
        <v>12</v>
      </c>
      <c r="N102" s="813"/>
      <c r="O102" s="759"/>
      <c r="P102" s="759"/>
      <c r="Q102" s="38"/>
      <c r="R102" s="39"/>
      <c r="S102" s="39"/>
      <c r="U102" s="11"/>
      <c r="V102" s="11"/>
      <c r="W102" s="11"/>
      <c r="X102" s="11"/>
      <c r="Y102" s="11"/>
      <c r="Z102" s="11"/>
      <c r="AA102" s="11"/>
      <c r="AB102" s="11"/>
      <c r="AC102" s="11"/>
      <c r="AD102" s="11"/>
      <c r="AE102" s="11"/>
      <c r="AF102" s="11"/>
      <c r="AG102" s="11"/>
      <c r="AH102" s="11"/>
      <c r="AI102" s="11"/>
      <c r="AJ102" s="11"/>
      <c r="AK102" s="11"/>
      <c r="AL102" s="11"/>
      <c r="AM102" s="11"/>
      <c r="AN102" s="11"/>
      <c r="AO102" s="11"/>
      <c r="AP102" s="685"/>
      <c r="AQ102" s="685"/>
      <c r="AR102" s="685"/>
      <c r="AS102" s="686"/>
      <c r="AT102" s="686"/>
      <c r="AU102" s="686"/>
      <c r="AV102" s="685"/>
      <c r="AW102" s="685"/>
      <c r="AX102" s="685"/>
      <c r="AY102" s="428"/>
      <c r="AZ102" s="686"/>
      <c r="BA102" s="686"/>
      <c r="BB102" s="686"/>
      <c r="BC102" s="688"/>
      <c r="BD102" s="688"/>
      <c r="BE102" s="688"/>
      <c r="BF102" s="409"/>
    </row>
    <row r="103" spans="1:58" ht="15" hidden="1" customHeight="1" x14ac:dyDescent="0.25">
      <c r="A103" s="31"/>
      <c r="B103" s="31"/>
      <c r="C103" s="37">
        <v>3</v>
      </c>
      <c r="D103" s="37">
        <v>3</v>
      </c>
      <c r="E103" s="38"/>
      <c r="F103" s="759"/>
      <c r="G103" s="759"/>
      <c r="H103" s="38">
        <v>8</v>
      </c>
      <c r="I103" s="37">
        <v>8</v>
      </c>
      <c r="J103" s="38"/>
      <c r="K103" s="38"/>
      <c r="L103" s="38">
        <v>13</v>
      </c>
      <c r="M103" s="813">
        <v>13</v>
      </c>
      <c r="N103" s="813"/>
      <c r="O103" s="759"/>
      <c r="P103" s="759"/>
      <c r="Q103" s="38"/>
      <c r="R103" s="39"/>
      <c r="S103" s="39"/>
      <c r="U103" s="11"/>
      <c r="V103" s="11"/>
      <c r="W103" s="11"/>
      <c r="X103" s="11"/>
      <c r="Y103" s="11"/>
      <c r="Z103" s="11"/>
      <c r="AA103" s="11"/>
      <c r="AB103" s="11"/>
      <c r="AC103" s="11"/>
      <c r="AD103" s="11"/>
      <c r="AE103" s="11"/>
      <c r="AF103" s="11"/>
      <c r="AG103" s="11"/>
      <c r="AH103" s="11"/>
      <c r="AI103" s="11"/>
      <c r="AJ103" s="11"/>
      <c r="AK103" s="11"/>
      <c r="AL103" s="11"/>
      <c r="AM103" s="11"/>
      <c r="AN103" s="11"/>
      <c r="AO103" s="11"/>
      <c r="AP103" s="685"/>
      <c r="AQ103" s="685"/>
      <c r="AR103" s="685"/>
      <c r="AS103" s="686"/>
      <c r="AT103" s="686"/>
      <c r="AU103" s="686"/>
      <c r="AV103" s="685"/>
      <c r="AW103" s="685"/>
      <c r="AX103" s="685"/>
      <c r="AY103" s="428"/>
      <c r="AZ103" s="686"/>
      <c r="BA103" s="686"/>
      <c r="BB103" s="686"/>
      <c r="BC103" s="688"/>
      <c r="BD103" s="688"/>
      <c r="BE103" s="688"/>
      <c r="BF103" s="409"/>
    </row>
    <row r="104" spans="1:58" ht="15" hidden="1" customHeight="1" x14ac:dyDescent="0.25">
      <c r="A104" s="31"/>
      <c r="B104" s="31"/>
      <c r="C104" s="37">
        <v>4</v>
      </c>
      <c r="D104" s="37">
        <v>4</v>
      </c>
      <c r="E104" s="38"/>
      <c r="F104" s="759"/>
      <c r="G104" s="759"/>
      <c r="H104" s="38">
        <v>9</v>
      </c>
      <c r="I104" s="37">
        <v>9</v>
      </c>
      <c r="J104" s="38"/>
      <c r="K104" s="38"/>
      <c r="L104" s="38">
        <v>14</v>
      </c>
      <c r="M104" s="813">
        <v>14</v>
      </c>
      <c r="N104" s="813"/>
      <c r="O104" s="759"/>
      <c r="P104" s="759"/>
      <c r="Q104" s="38"/>
      <c r="R104" s="39"/>
      <c r="S104" s="39"/>
      <c r="U104" s="11"/>
      <c r="V104" s="11"/>
      <c r="W104" s="11"/>
      <c r="X104" s="11"/>
      <c r="Y104" s="11"/>
      <c r="Z104" s="11"/>
      <c r="AA104" s="11"/>
      <c r="AB104" s="11"/>
      <c r="AC104" s="11"/>
      <c r="AD104" s="11"/>
      <c r="AE104" s="11"/>
      <c r="AF104" s="11"/>
      <c r="AG104" s="11"/>
      <c r="AH104" s="11"/>
      <c r="AI104" s="11"/>
      <c r="AJ104" s="11"/>
      <c r="AK104" s="11"/>
      <c r="AL104" s="11"/>
      <c r="AM104" s="11"/>
      <c r="AN104" s="11"/>
      <c r="AO104" s="11"/>
      <c r="AP104" s="685"/>
      <c r="AQ104" s="685"/>
      <c r="AR104" s="685"/>
      <c r="AS104" s="686"/>
      <c r="AT104" s="686"/>
      <c r="AU104" s="686"/>
      <c r="AV104" s="685"/>
      <c r="AW104" s="685"/>
      <c r="AX104" s="685"/>
      <c r="AY104" s="428"/>
      <c r="AZ104" s="686"/>
      <c r="BA104" s="686"/>
      <c r="BB104" s="686"/>
      <c r="BC104" s="688"/>
      <c r="BD104" s="688"/>
      <c r="BE104" s="688"/>
      <c r="BF104" s="409"/>
    </row>
    <row r="105" spans="1:58" ht="15" hidden="1" customHeight="1" x14ac:dyDescent="0.25">
      <c r="A105" s="31"/>
      <c r="B105" s="31"/>
      <c r="C105" s="37">
        <v>5</v>
      </c>
      <c r="D105" s="37">
        <v>5</v>
      </c>
      <c r="E105" s="19"/>
      <c r="F105" s="818"/>
      <c r="G105" s="818"/>
      <c r="H105" s="38">
        <v>10</v>
      </c>
      <c r="I105" s="37">
        <v>10</v>
      </c>
      <c r="J105" s="19"/>
      <c r="K105" s="19"/>
      <c r="L105" s="38">
        <v>15</v>
      </c>
      <c r="M105" s="813" t="s">
        <v>25</v>
      </c>
      <c r="N105" s="813"/>
      <c r="O105" s="741" t="s">
        <v>25</v>
      </c>
      <c r="P105" s="741"/>
      <c r="Q105" s="19" t="s">
        <v>25</v>
      </c>
      <c r="R105" s="39"/>
      <c r="S105" s="39"/>
      <c r="U105" s="11"/>
      <c r="V105" s="11"/>
      <c r="W105" s="11"/>
      <c r="X105" s="11"/>
      <c r="Y105" s="11"/>
      <c r="Z105" s="11"/>
      <c r="AA105" s="11"/>
      <c r="AB105" s="11"/>
      <c r="AC105" s="11"/>
      <c r="AD105" s="11"/>
      <c r="AE105" s="11"/>
      <c r="AF105" s="11"/>
      <c r="AG105" s="11"/>
      <c r="AH105" s="11"/>
      <c r="AI105" s="11"/>
      <c r="AJ105" s="11"/>
      <c r="AK105" s="11"/>
      <c r="AL105" s="11"/>
      <c r="AM105" s="11"/>
      <c r="AN105" s="11"/>
      <c r="AO105" s="11"/>
      <c r="AP105" s="685"/>
      <c r="AQ105" s="685"/>
      <c r="AR105" s="685"/>
      <c r="AS105" s="686"/>
      <c r="AT105" s="686"/>
      <c r="AU105" s="686"/>
      <c r="AV105" s="685"/>
      <c r="AW105" s="685"/>
      <c r="AX105" s="685"/>
      <c r="AY105" s="428"/>
      <c r="AZ105" s="686"/>
      <c r="BA105" s="686"/>
      <c r="BB105" s="686"/>
      <c r="BC105" s="688"/>
      <c r="BD105" s="688"/>
      <c r="BE105" s="688"/>
      <c r="BF105" s="409"/>
    </row>
    <row r="106" spans="1:58" ht="15" hidden="1" customHeight="1" x14ac:dyDescent="0.25">
      <c r="A106" s="31"/>
      <c r="B106" s="31"/>
      <c r="C106" s="37"/>
      <c r="D106" s="37"/>
      <c r="E106" s="19"/>
      <c r="F106" s="818"/>
      <c r="G106" s="818"/>
      <c r="H106" s="38"/>
      <c r="I106" s="37"/>
      <c r="J106" s="19"/>
      <c r="K106" s="19"/>
      <c r="L106" s="38"/>
      <c r="M106" s="813" t="s">
        <v>25</v>
      </c>
      <c r="N106" s="813"/>
      <c r="O106" s="741" t="s">
        <v>25</v>
      </c>
      <c r="P106" s="741"/>
      <c r="Q106" s="19" t="s">
        <v>25</v>
      </c>
      <c r="R106" s="39"/>
      <c r="S106" s="39"/>
      <c r="U106" s="11"/>
      <c r="V106" s="11"/>
      <c r="W106" s="11"/>
      <c r="X106" s="11"/>
      <c r="Y106" s="11"/>
      <c r="Z106" s="11"/>
      <c r="AA106" s="11"/>
      <c r="AB106" s="11"/>
      <c r="AC106" s="11"/>
      <c r="AD106" s="11"/>
      <c r="AE106" s="11"/>
      <c r="AF106" s="11"/>
      <c r="AG106" s="11"/>
      <c r="AH106" s="11"/>
      <c r="AI106" s="11"/>
      <c r="AJ106" s="11"/>
      <c r="AK106" s="11"/>
      <c r="AL106" s="11"/>
      <c r="AM106" s="11"/>
      <c r="AN106" s="11"/>
      <c r="AO106" s="11"/>
      <c r="AP106" s="685"/>
      <c r="AQ106" s="685"/>
      <c r="AR106" s="685"/>
      <c r="AS106" s="686"/>
      <c r="AT106" s="686"/>
      <c r="AU106" s="686"/>
      <c r="AV106" s="685"/>
      <c r="AW106" s="685"/>
      <c r="AX106" s="685"/>
      <c r="AY106" s="428"/>
      <c r="AZ106" s="686"/>
      <c r="BA106" s="686"/>
      <c r="BB106" s="686"/>
      <c r="BC106" s="688"/>
      <c r="BD106" s="688"/>
      <c r="BE106" s="688"/>
      <c r="BF106" s="409"/>
    </row>
    <row r="107" spans="1:58" ht="15" hidden="1" customHeight="1" x14ac:dyDescent="0.25">
      <c r="A107" s="31"/>
      <c r="B107" s="31"/>
      <c r="C107" s="37"/>
      <c r="D107" s="37"/>
      <c r="E107" s="19"/>
      <c r="F107" s="818"/>
      <c r="G107" s="818"/>
      <c r="H107" s="38"/>
      <c r="I107" s="37"/>
      <c r="J107" s="19"/>
      <c r="K107" s="19"/>
      <c r="L107" s="38"/>
      <c r="M107" s="813"/>
      <c r="N107" s="813"/>
      <c r="O107" s="741"/>
      <c r="P107" s="741"/>
      <c r="Q107" s="19"/>
      <c r="R107" s="39"/>
      <c r="S107" s="39"/>
      <c r="U107" s="11"/>
      <c r="V107" s="11"/>
      <c r="W107" s="11"/>
      <c r="X107" s="11"/>
      <c r="Y107" s="11"/>
      <c r="Z107" s="11"/>
      <c r="AA107" s="11"/>
      <c r="AB107" s="11"/>
      <c r="AC107" s="11"/>
      <c r="AD107" s="11"/>
      <c r="AE107" s="11"/>
      <c r="AF107" s="11"/>
      <c r="AG107" s="11"/>
      <c r="AH107" s="11"/>
      <c r="AI107" s="11"/>
      <c r="AJ107" s="11"/>
      <c r="AK107" s="11"/>
      <c r="AL107" s="11"/>
      <c r="AM107" s="11"/>
      <c r="AN107" s="11"/>
      <c r="AO107" s="11"/>
      <c r="AP107" s="685"/>
      <c r="AQ107" s="685"/>
      <c r="AR107" s="685"/>
      <c r="AS107" s="686"/>
      <c r="AT107" s="686"/>
      <c r="AU107" s="686"/>
      <c r="AV107" s="685"/>
      <c r="AW107" s="685"/>
      <c r="AX107" s="685"/>
      <c r="AY107" s="428"/>
      <c r="AZ107" s="686"/>
      <c r="BA107" s="686"/>
      <c r="BB107" s="686"/>
      <c r="BC107" s="688"/>
      <c r="BD107" s="688"/>
      <c r="BE107" s="688"/>
      <c r="BF107" s="409"/>
    </row>
    <row r="108" spans="1:58" ht="15" hidden="1" customHeight="1" x14ac:dyDescent="0.25">
      <c r="A108" s="31"/>
      <c r="B108" s="31"/>
      <c r="C108" s="37"/>
      <c r="D108" s="37"/>
      <c r="E108" s="19"/>
      <c r="F108" s="818"/>
      <c r="G108" s="818"/>
      <c r="H108" s="38"/>
      <c r="I108" s="37"/>
      <c r="J108" s="19"/>
      <c r="K108" s="19"/>
      <c r="L108" s="38"/>
      <c r="M108" s="813"/>
      <c r="N108" s="813"/>
      <c r="O108" s="741"/>
      <c r="P108" s="741"/>
      <c r="Q108" s="19"/>
      <c r="R108" s="39"/>
      <c r="S108" s="39"/>
      <c r="U108" s="11"/>
      <c r="V108" s="11"/>
      <c r="W108" s="11"/>
      <c r="X108" s="11"/>
      <c r="Y108" s="11"/>
      <c r="Z108" s="11"/>
      <c r="AA108" s="11"/>
      <c r="AB108" s="11"/>
      <c r="AC108" s="11"/>
      <c r="AD108" s="11"/>
      <c r="AE108" s="11"/>
      <c r="AF108" s="11"/>
      <c r="AG108" s="11"/>
      <c r="AH108" s="11"/>
      <c r="AI108" s="11"/>
      <c r="AJ108" s="11"/>
      <c r="AK108" s="11"/>
      <c r="AL108" s="11"/>
      <c r="AM108" s="11"/>
      <c r="AN108" s="11"/>
      <c r="AO108" s="11"/>
      <c r="AP108" s="685"/>
      <c r="AQ108" s="685"/>
      <c r="AR108" s="685"/>
      <c r="AS108" s="686"/>
      <c r="AT108" s="686"/>
      <c r="AU108" s="686"/>
      <c r="AV108" s="685"/>
      <c r="AW108" s="685"/>
      <c r="AX108" s="685"/>
      <c r="AY108" s="428"/>
      <c r="AZ108" s="686"/>
      <c r="BA108" s="686"/>
      <c r="BB108" s="686"/>
      <c r="BC108" s="688"/>
      <c r="BD108" s="688"/>
      <c r="BE108" s="688"/>
      <c r="BF108" s="409"/>
    </row>
    <row r="109" spans="1:58" ht="15" hidden="1" customHeight="1" x14ac:dyDescent="0.25">
      <c r="A109" s="31"/>
      <c r="B109" s="31"/>
      <c r="C109" s="37"/>
      <c r="D109" s="37"/>
      <c r="E109" s="19"/>
      <c r="F109" s="818"/>
      <c r="G109" s="818"/>
      <c r="H109" s="38"/>
      <c r="I109" s="37"/>
      <c r="J109" s="19"/>
      <c r="K109" s="19"/>
      <c r="L109" s="38"/>
      <c r="M109" s="813"/>
      <c r="N109" s="813"/>
      <c r="O109" s="741"/>
      <c r="P109" s="741"/>
      <c r="Q109" s="19"/>
      <c r="R109" s="39"/>
      <c r="S109" s="39"/>
      <c r="U109" s="11"/>
      <c r="V109" s="11"/>
      <c r="W109" s="11"/>
      <c r="X109" s="11"/>
      <c r="Y109" s="11"/>
      <c r="Z109" s="11"/>
      <c r="AA109" s="11"/>
      <c r="AB109" s="11"/>
      <c r="AC109" s="11"/>
      <c r="AD109" s="11"/>
      <c r="AE109" s="11"/>
      <c r="AF109" s="11"/>
      <c r="AG109" s="11"/>
      <c r="AH109" s="11"/>
      <c r="AI109" s="11"/>
      <c r="AJ109" s="11"/>
      <c r="AK109" s="11"/>
      <c r="AL109" s="11"/>
      <c r="AM109" s="11"/>
      <c r="AN109" s="11"/>
      <c r="AO109" s="11"/>
      <c r="AP109" s="685"/>
      <c r="AQ109" s="685"/>
      <c r="AR109" s="685"/>
      <c r="AS109" s="686"/>
      <c r="AT109" s="686"/>
      <c r="AU109" s="686"/>
      <c r="AV109" s="685"/>
      <c r="AW109" s="685"/>
      <c r="AX109" s="685"/>
      <c r="AY109" s="428"/>
      <c r="AZ109" s="686"/>
      <c r="BA109" s="686"/>
      <c r="BB109" s="686"/>
      <c r="BC109" s="687"/>
      <c r="BD109" s="687"/>
      <c r="BE109" s="687"/>
      <c r="BF109" s="411"/>
    </row>
    <row r="110" spans="1:58" ht="15" hidden="1" customHeight="1" x14ac:dyDescent="0.25">
      <c r="A110" s="31"/>
      <c r="B110" s="31"/>
      <c r="C110" s="37"/>
      <c r="D110" s="37"/>
      <c r="E110" s="19"/>
      <c r="F110" s="818"/>
      <c r="G110" s="818"/>
      <c r="H110" s="38"/>
      <c r="I110" s="37"/>
      <c r="J110" s="19"/>
      <c r="K110" s="19"/>
      <c r="L110" s="38"/>
      <c r="M110" s="813"/>
      <c r="N110" s="813"/>
      <c r="O110" s="741"/>
      <c r="P110" s="741"/>
      <c r="Q110" s="19"/>
      <c r="R110" s="39"/>
      <c r="S110" s="39"/>
      <c r="U110" s="11"/>
      <c r="V110" s="11"/>
      <c r="W110" s="11"/>
      <c r="X110" s="11"/>
      <c r="Y110" s="11"/>
      <c r="Z110" s="11"/>
      <c r="AA110" s="11"/>
      <c r="AB110" s="11"/>
      <c r="AC110" s="11"/>
      <c r="AD110" s="11"/>
      <c r="AE110" s="11"/>
      <c r="AF110" s="11"/>
      <c r="AG110" s="11"/>
      <c r="AH110" s="11"/>
      <c r="AI110" s="11"/>
      <c r="AJ110" s="11"/>
      <c r="AK110" s="11"/>
      <c r="AL110" s="11"/>
      <c r="AM110" s="11"/>
      <c r="AN110" s="11"/>
      <c r="AO110" s="11"/>
      <c r="AP110" s="685"/>
      <c r="AQ110" s="685"/>
      <c r="AR110" s="685"/>
      <c r="AS110" s="686"/>
      <c r="AT110" s="686"/>
      <c r="AU110" s="686"/>
      <c r="AV110" s="685"/>
      <c r="AW110" s="685"/>
      <c r="AX110" s="685"/>
      <c r="AY110" s="428"/>
      <c r="AZ110" s="686"/>
      <c r="BA110" s="686"/>
      <c r="BB110" s="686"/>
      <c r="BC110" s="687"/>
      <c r="BD110" s="687"/>
      <c r="BE110" s="687"/>
      <c r="BF110" s="411"/>
    </row>
    <row r="111" spans="1:58" ht="15" hidden="1" customHeight="1" x14ac:dyDescent="0.25">
      <c r="A111" s="31"/>
      <c r="B111" s="31"/>
      <c r="C111" s="32"/>
      <c r="D111" s="37"/>
      <c r="E111" s="19"/>
      <c r="F111" s="818"/>
      <c r="G111" s="818"/>
      <c r="H111" s="38"/>
      <c r="I111" s="37"/>
      <c r="J111" s="19"/>
      <c r="K111" s="19"/>
      <c r="L111" s="38"/>
      <c r="M111" s="813"/>
      <c r="N111" s="813"/>
      <c r="O111" s="741"/>
      <c r="P111" s="741"/>
      <c r="Q111" s="19"/>
      <c r="R111" s="39"/>
      <c r="S111" s="39"/>
      <c r="U111" s="11"/>
      <c r="V111" s="11"/>
      <c r="W111" s="11"/>
      <c r="X111" s="11"/>
      <c r="Y111" s="11"/>
      <c r="Z111" s="11"/>
      <c r="AA111" s="11"/>
      <c r="AB111" s="11"/>
      <c r="AC111" s="11"/>
      <c r="AD111" s="11"/>
      <c r="AE111" s="11"/>
      <c r="AF111" s="11"/>
      <c r="AG111" s="11"/>
      <c r="AH111" s="11"/>
      <c r="AI111" s="11"/>
      <c r="AJ111" s="11"/>
      <c r="AK111" s="11"/>
      <c r="AL111" s="11"/>
      <c r="AM111" s="11"/>
      <c r="AN111" s="11"/>
      <c r="AO111" s="11"/>
      <c r="AP111" s="685"/>
      <c r="AQ111" s="685"/>
      <c r="AR111" s="685"/>
      <c r="AS111" s="686"/>
      <c r="AT111" s="686"/>
      <c r="AU111" s="686"/>
      <c r="AV111" s="685"/>
      <c r="AW111" s="685"/>
      <c r="AX111" s="685"/>
      <c r="AY111" s="428"/>
      <c r="AZ111" s="686"/>
      <c r="BA111" s="686"/>
      <c r="BB111" s="686"/>
      <c r="BC111" s="687"/>
      <c r="BD111" s="687"/>
      <c r="BE111" s="687"/>
      <c r="BF111" s="411"/>
    </row>
    <row r="112" spans="1:58" ht="15" hidden="1" customHeight="1" x14ac:dyDescent="0.25">
      <c r="A112" s="31"/>
      <c r="B112" s="31"/>
      <c r="C112" s="32"/>
      <c r="D112" s="37"/>
      <c r="E112" s="19"/>
      <c r="F112" s="818"/>
      <c r="G112" s="818"/>
      <c r="H112" s="38"/>
      <c r="I112" s="37"/>
      <c r="J112" s="19"/>
      <c r="K112" s="19"/>
      <c r="L112" s="38"/>
      <c r="M112" s="813"/>
      <c r="N112" s="813"/>
      <c r="O112" s="741"/>
      <c r="P112" s="741"/>
      <c r="Q112" s="19"/>
      <c r="R112" s="39"/>
      <c r="S112" s="39"/>
      <c r="U112" s="11"/>
      <c r="V112" s="11"/>
      <c r="W112" s="11"/>
      <c r="X112" s="11"/>
      <c r="Y112" s="11"/>
      <c r="Z112" s="11"/>
      <c r="AA112" s="11"/>
      <c r="AB112" s="11"/>
      <c r="AC112" s="11"/>
      <c r="AD112" s="11"/>
      <c r="AE112" s="11"/>
      <c r="AF112" s="11"/>
      <c r="AG112" s="11"/>
      <c r="AH112" s="11"/>
      <c r="AI112" s="11"/>
      <c r="AJ112" s="11"/>
      <c r="AK112" s="11"/>
      <c r="AL112" s="11"/>
      <c r="AM112" s="11"/>
      <c r="AN112" s="11"/>
      <c r="AO112" s="11"/>
      <c r="AP112" s="685"/>
      <c r="AQ112" s="685"/>
      <c r="AR112" s="685"/>
      <c r="AS112" s="686"/>
      <c r="AT112" s="686"/>
      <c r="AU112" s="686"/>
      <c r="AV112" s="685"/>
      <c r="AW112" s="685"/>
      <c r="AX112" s="685"/>
      <c r="AY112" s="428"/>
      <c r="AZ112" s="686"/>
      <c r="BA112" s="686"/>
      <c r="BB112" s="686"/>
      <c r="BC112" s="687"/>
      <c r="BD112" s="687"/>
      <c r="BE112" s="687"/>
      <c r="BF112" s="411"/>
    </row>
    <row r="113" spans="1:58" ht="15" hidden="1" customHeight="1" x14ac:dyDescent="0.25">
      <c r="A113" s="31"/>
      <c r="B113" s="31"/>
      <c r="C113" s="32"/>
      <c r="D113" s="37"/>
      <c r="E113" s="19"/>
      <c r="F113" s="818"/>
      <c r="G113" s="818"/>
      <c r="H113" s="38"/>
      <c r="I113" s="37"/>
      <c r="J113" s="19"/>
      <c r="K113" s="19"/>
      <c r="L113" s="38"/>
      <c r="M113" s="813"/>
      <c r="N113" s="813"/>
      <c r="O113" s="741"/>
      <c r="P113" s="741"/>
      <c r="Q113" s="19"/>
      <c r="R113" s="39"/>
      <c r="S113" s="39"/>
      <c r="U113" s="11"/>
      <c r="V113" s="11"/>
      <c r="W113" s="11"/>
      <c r="X113" s="11"/>
      <c r="Y113" s="11"/>
      <c r="Z113" s="11"/>
      <c r="AA113" s="11"/>
      <c r="AB113" s="11"/>
      <c r="AC113" s="11"/>
      <c r="AD113" s="11"/>
      <c r="AE113" s="11"/>
      <c r="AF113" s="11"/>
      <c r="AG113" s="11"/>
      <c r="AH113" s="11"/>
      <c r="AI113" s="11"/>
      <c r="AJ113" s="11"/>
      <c r="AK113" s="11"/>
      <c r="AL113" s="11"/>
      <c r="AM113" s="11"/>
      <c r="AN113" s="11"/>
      <c r="AO113" s="11"/>
      <c r="AP113" s="685"/>
      <c r="AQ113" s="685"/>
      <c r="AR113" s="685"/>
      <c r="AS113" s="686"/>
      <c r="AT113" s="686"/>
      <c r="AU113" s="686"/>
      <c r="AV113" s="685"/>
      <c r="AW113" s="685"/>
      <c r="AX113" s="685"/>
      <c r="AY113" s="428"/>
      <c r="AZ113" s="686"/>
      <c r="BA113" s="686"/>
      <c r="BB113" s="686"/>
      <c r="BC113" s="687"/>
      <c r="BD113" s="687"/>
      <c r="BE113" s="687"/>
      <c r="BF113" s="411"/>
    </row>
    <row r="114" spans="1:58" ht="15" hidden="1" customHeight="1" x14ac:dyDescent="0.25">
      <c r="A114" s="31"/>
      <c r="B114" s="31"/>
      <c r="C114" s="32"/>
      <c r="D114" s="37"/>
      <c r="E114" s="19"/>
      <c r="F114" s="818"/>
      <c r="G114" s="818"/>
      <c r="H114" s="38"/>
      <c r="I114" s="37"/>
      <c r="J114" s="19"/>
      <c r="K114" s="19"/>
      <c r="L114" s="38"/>
      <c r="M114" s="813"/>
      <c r="N114" s="813"/>
      <c r="O114" s="741"/>
      <c r="P114" s="741"/>
      <c r="Q114" s="19"/>
      <c r="R114" s="39"/>
      <c r="S114" s="39"/>
      <c r="U114" s="11"/>
      <c r="V114" s="11"/>
      <c r="W114" s="11"/>
      <c r="X114" s="11"/>
      <c r="Y114" s="11"/>
      <c r="Z114" s="11"/>
      <c r="AA114" s="11"/>
      <c r="AB114" s="11"/>
      <c r="AC114" s="11"/>
      <c r="AD114" s="11"/>
      <c r="AE114" s="11"/>
      <c r="AF114" s="11"/>
      <c r="AG114" s="11"/>
      <c r="AH114" s="11"/>
      <c r="AI114" s="11"/>
      <c r="AJ114" s="11"/>
      <c r="AK114" s="11"/>
      <c r="AL114" s="11"/>
      <c r="AM114" s="11"/>
      <c r="AN114" s="11"/>
      <c r="AO114" s="11"/>
      <c r="AP114" s="685"/>
      <c r="AQ114" s="685"/>
      <c r="AR114" s="685"/>
      <c r="AS114" s="686"/>
      <c r="AT114" s="686"/>
      <c r="AU114" s="686"/>
      <c r="AV114" s="685"/>
      <c r="AW114" s="685"/>
      <c r="AX114" s="685"/>
      <c r="AY114" s="428"/>
      <c r="AZ114" s="686"/>
      <c r="BA114" s="686"/>
      <c r="BB114" s="686"/>
      <c r="BC114" s="687"/>
      <c r="BD114" s="687"/>
      <c r="BE114" s="687"/>
      <c r="BF114" s="411"/>
    </row>
    <row r="115" spans="1:58" ht="15" hidden="1" customHeight="1" x14ac:dyDescent="0.25">
      <c r="A115" s="31"/>
      <c r="B115" s="31"/>
      <c r="C115" s="32"/>
      <c r="D115" s="32"/>
      <c r="E115" s="19"/>
      <c r="F115" s="818"/>
      <c r="G115" s="818"/>
      <c r="H115" s="38"/>
      <c r="I115" s="37"/>
      <c r="J115" s="19"/>
      <c r="K115" s="19"/>
      <c r="L115" s="38"/>
      <c r="M115" s="813"/>
      <c r="N115" s="813"/>
      <c r="O115" s="741"/>
      <c r="P115" s="741"/>
      <c r="Q115" s="19"/>
      <c r="R115" s="39"/>
      <c r="S115" s="39"/>
      <c r="U115" s="11"/>
      <c r="V115" s="11"/>
      <c r="W115" s="11"/>
      <c r="X115" s="11"/>
      <c r="Y115" s="11"/>
      <c r="Z115" s="11"/>
      <c r="AA115" s="11"/>
      <c r="AB115" s="11"/>
      <c r="AC115" s="11"/>
      <c r="AD115" s="11"/>
      <c r="AE115" s="11"/>
      <c r="AF115" s="11"/>
      <c r="AG115" s="11"/>
      <c r="AH115" s="11"/>
      <c r="AI115" s="11"/>
      <c r="AJ115" s="11"/>
      <c r="AK115" s="11"/>
      <c r="AL115" s="11"/>
      <c r="AM115" s="11"/>
      <c r="AN115" s="11"/>
      <c r="AO115" s="11"/>
      <c r="AP115" s="685"/>
      <c r="AQ115" s="685"/>
      <c r="AR115" s="685"/>
      <c r="AS115" s="686"/>
      <c r="AT115" s="686"/>
      <c r="AU115" s="686"/>
      <c r="AV115" s="685"/>
      <c r="AW115" s="685"/>
      <c r="AX115" s="685"/>
      <c r="AY115" s="428"/>
      <c r="AZ115" s="686"/>
      <c r="BA115" s="686"/>
      <c r="BB115" s="686"/>
      <c r="BC115" s="687"/>
      <c r="BD115" s="687"/>
      <c r="BE115" s="687"/>
      <c r="BF115" s="411"/>
    </row>
    <row r="116" spans="1:58" ht="15" hidden="1" customHeight="1" x14ac:dyDescent="0.25">
      <c r="A116" s="31"/>
      <c r="B116" s="31"/>
      <c r="C116" s="32"/>
      <c r="D116" s="32"/>
      <c r="E116" s="19"/>
      <c r="F116" s="818"/>
      <c r="G116" s="818"/>
      <c r="H116" s="38"/>
      <c r="I116" s="37"/>
      <c r="J116" s="19"/>
      <c r="K116" s="19"/>
      <c r="L116" s="38"/>
      <c r="M116" s="813"/>
      <c r="N116" s="813"/>
      <c r="O116" s="741"/>
      <c r="P116" s="741"/>
      <c r="Q116" s="19"/>
      <c r="R116" s="39"/>
      <c r="S116" s="39"/>
      <c r="U116" s="11"/>
      <c r="V116" s="11"/>
      <c r="W116" s="11"/>
      <c r="X116" s="11"/>
      <c r="Y116" s="11"/>
      <c r="Z116" s="11"/>
      <c r="AA116" s="11"/>
      <c r="AB116" s="11"/>
      <c r="AC116" s="11"/>
      <c r="AD116" s="11"/>
      <c r="AE116" s="11"/>
      <c r="AF116" s="11"/>
      <c r="AG116" s="11"/>
      <c r="AH116" s="11"/>
      <c r="AI116" s="11"/>
      <c r="AJ116" s="11"/>
      <c r="AK116" s="11"/>
      <c r="AL116" s="11"/>
      <c r="AM116" s="11"/>
      <c r="AN116" s="11"/>
      <c r="AO116" s="11"/>
      <c r="AP116" s="685"/>
      <c r="AQ116" s="685"/>
      <c r="AR116" s="685"/>
      <c r="AS116" s="686"/>
      <c r="AT116" s="686"/>
      <c r="AU116" s="686"/>
      <c r="AV116" s="685"/>
      <c r="AW116" s="685"/>
      <c r="AX116" s="685"/>
      <c r="AY116" s="428"/>
      <c r="AZ116" s="686"/>
      <c r="BA116" s="686"/>
      <c r="BB116" s="686"/>
      <c r="BC116" s="687"/>
      <c r="BD116" s="687"/>
      <c r="BE116" s="687"/>
      <c r="BF116" s="411"/>
    </row>
    <row r="117" spans="1:58" ht="15" hidden="1" customHeight="1" x14ac:dyDescent="0.25">
      <c r="A117" s="31"/>
      <c r="B117" s="31"/>
      <c r="C117" s="32"/>
      <c r="D117" s="32"/>
      <c r="E117" s="19"/>
      <c r="F117" s="818"/>
      <c r="G117" s="818"/>
      <c r="H117" s="38"/>
      <c r="I117" s="37"/>
      <c r="J117" s="19"/>
      <c r="K117" s="19"/>
      <c r="L117" s="38"/>
      <c r="M117" s="741"/>
      <c r="N117" s="741"/>
      <c r="O117" s="741"/>
      <c r="P117" s="741"/>
      <c r="Q117" s="19"/>
      <c r="R117" s="39"/>
      <c r="S117" s="39"/>
      <c r="U117" s="11"/>
      <c r="V117" s="11"/>
      <c r="W117" s="11"/>
      <c r="X117" s="11"/>
      <c r="Y117" s="11"/>
      <c r="Z117" s="11"/>
      <c r="AA117" s="11"/>
      <c r="AB117" s="11"/>
      <c r="AC117" s="11"/>
      <c r="AD117" s="11"/>
      <c r="AE117" s="11"/>
      <c r="AF117" s="11"/>
      <c r="AG117" s="11"/>
      <c r="AH117" s="11"/>
      <c r="AI117" s="11"/>
      <c r="AJ117" s="11"/>
      <c r="AK117" s="11"/>
      <c r="AL117" s="11"/>
      <c r="AM117" s="11"/>
      <c r="AN117" s="11"/>
      <c r="AO117" s="11"/>
      <c r="AP117" s="685"/>
      <c r="AQ117" s="685"/>
      <c r="AR117" s="685"/>
      <c r="AS117" s="686"/>
      <c r="AT117" s="686"/>
      <c r="AU117" s="686"/>
      <c r="AV117" s="685"/>
      <c r="AW117" s="685"/>
      <c r="AX117" s="685"/>
      <c r="AY117" s="428"/>
      <c r="AZ117" s="686"/>
      <c r="BA117" s="686"/>
      <c r="BB117" s="686"/>
      <c r="BC117" s="687"/>
      <c r="BD117" s="687"/>
      <c r="BE117" s="687"/>
      <c r="BF117" s="411"/>
    </row>
    <row r="118" spans="1:58" ht="15" hidden="1" customHeight="1" x14ac:dyDescent="0.25">
      <c r="A118" s="31"/>
      <c r="B118" s="31"/>
      <c r="C118" s="32"/>
      <c r="D118" s="32"/>
      <c r="E118" s="19"/>
      <c r="F118" s="818"/>
      <c r="G118" s="818"/>
      <c r="H118" s="38"/>
      <c r="I118" s="37"/>
      <c r="J118" s="19"/>
      <c r="K118" s="19"/>
      <c r="L118" s="38"/>
      <c r="M118" s="741"/>
      <c r="N118" s="741"/>
      <c r="O118" s="741"/>
      <c r="P118" s="741"/>
      <c r="Q118" s="19"/>
      <c r="R118" s="39"/>
      <c r="S118" s="39"/>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34"/>
      <c r="AT118" s="694"/>
      <c r="AU118" s="694"/>
      <c r="AV118" s="429"/>
      <c r="AW118" s="425"/>
      <c r="AX118" s="425"/>
      <c r="AY118" s="11"/>
      <c r="AZ118" s="11"/>
      <c r="BA118" s="11"/>
      <c r="BB118" s="11"/>
      <c r="BC118" s="11"/>
      <c r="BD118" s="11"/>
      <c r="BE118" s="11"/>
      <c r="BF118" s="11"/>
    </row>
    <row r="119" spans="1:58" ht="15" hidden="1" customHeight="1" x14ac:dyDescent="0.25">
      <c r="A119" s="31"/>
      <c r="B119" s="31"/>
      <c r="C119" s="32"/>
      <c r="D119" s="32"/>
      <c r="E119" s="19"/>
      <c r="F119" s="818"/>
      <c r="G119" s="818"/>
      <c r="H119" s="19"/>
      <c r="I119" s="37">
        <v>37</v>
      </c>
      <c r="J119" s="19"/>
      <c r="K119" s="19"/>
      <c r="L119" s="32"/>
      <c r="M119" s="741"/>
      <c r="N119" s="741"/>
      <c r="O119" s="741"/>
      <c r="P119" s="741"/>
      <c r="Q119" s="19"/>
      <c r="R119" s="39"/>
      <c r="S119" s="39"/>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row>
    <row r="120" spans="1:58" ht="15" hidden="1" customHeight="1" x14ac:dyDescent="0.25">
      <c r="A120" s="31"/>
      <c r="B120" s="31"/>
      <c r="C120" s="32"/>
      <c r="D120" s="32"/>
      <c r="E120" s="19"/>
      <c r="F120" s="818"/>
      <c r="G120" s="818"/>
      <c r="H120" s="19"/>
      <c r="I120" s="37">
        <v>38</v>
      </c>
      <c r="J120" s="19"/>
      <c r="K120" s="19"/>
      <c r="L120" s="32">
        <v>70</v>
      </c>
      <c r="M120" s="741"/>
      <c r="N120" s="741"/>
      <c r="O120" s="741"/>
      <c r="P120" s="741"/>
      <c r="Q120" s="19"/>
      <c r="R120" s="39"/>
      <c r="S120" s="39"/>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row>
    <row r="121" spans="1:58" ht="15" hidden="1" customHeight="1" x14ac:dyDescent="0.25">
      <c r="A121" s="31"/>
      <c r="B121" s="31"/>
      <c r="C121" s="32"/>
      <c r="D121" s="32"/>
      <c r="E121" s="19"/>
      <c r="F121" s="818"/>
      <c r="G121" s="818"/>
      <c r="H121" s="19"/>
      <c r="I121" s="37">
        <v>39</v>
      </c>
      <c r="J121" s="19"/>
      <c r="K121" s="19"/>
      <c r="L121" s="32">
        <v>71</v>
      </c>
      <c r="M121" s="741"/>
      <c r="N121" s="741"/>
      <c r="O121" s="741"/>
      <c r="P121" s="741"/>
      <c r="Q121" s="19"/>
      <c r="R121" s="39"/>
      <c r="S121" s="39"/>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row>
    <row r="122" spans="1:58" ht="15" hidden="1" customHeight="1" x14ac:dyDescent="0.25">
      <c r="A122" s="31"/>
      <c r="B122" s="31"/>
      <c r="C122" s="32"/>
      <c r="D122" s="32"/>
      <c r="E122" s="19"/>
      <c r="F122" s="818"/>
      <c r="G122" s="818"/>
      <c r="H122" s="19">
        <v>47</v>
      </c>
      <c r="I122" s="37">
        <v>40</v>
      </c>
      <c r="J122" s="19"/>
      <c r="K122" s="19"/>
      <c r="L122" s="32">
        <v>72</v>
      </c>
      <c r="M122" s="741"/>
      <c r="N122" s="741"/>
      <c r="O122" s="741"/>
      <c r="P122" s="741"/>
      <c r="Q122" s="19"/>
      <c r="R122" s="39"/>
      <c r="S122" s="39"/>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row>
    <row r="123" spans="1:58" ht="15" hidden="1" customHeight="1" x14ac:dyDescent="0.25">
      <c r="A123" s="31"/>
      <c r="B123" s="31"/>
      <c r="C123" s="32"/>
      <c r="D123" s="32"/>
      <c r="E123" s="19"/>
      <c r="F123" s="818"/>
      <c r="G123" s="818"/>
      <c r="H123" s="19">
        <v>48</v>
      </c>
      <c r="I123" s="37">
        <v>41</v>
      </c>
      <c r="J123" s="19"/>
      <c r="K123" s="19"/>
      <c r="L123" s="32">
        <v>73</v>
      </c>
      <c r="M123" s="741"/>
      <c r="N123" s="741"/>
      <c r="O123" s="741"/>
      <c r="P123" s="741"/>
      <c r="Q123" s="19"/>
      <c r="R123" s="39"/>
      <c r="S123" s="39"/>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row>
    <row r="124" spans="1:58" ht="15" hidden="1" customHeight="1" x14ac:dyDescent="0.25">
      <c r="A124" s="31"/>
      <c r="B124" s="31"/>
      <c r="C124" s="32"/>
      <c r="D124" s="32"/>
      <c r="E124" s="19"/>
      <c r="F124" s="818"/>
      <c r="G124" s="818"/>
      <c r="H124" s="19">
        <v>49</v>
      </c>
      <c r="I124" s="37">
        <v>42</v>
      </c>
      <c r="J124" s="19"/>
      <c r="K124" s="19"/>
      <c r="L124" s="32">
        <v>74</v>
      </c>
      <c r="M124" s="741"/>
      <c r="N124" s="741"/>
      <c r="O124" s="741"/>
      <c r="P124" s="741"/>
      <c r="Q124" s="19"/>
      <c r="R124" s="39"/>
      <c r="S124" s="39"/>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row>
    <row r="125" spans="1:58" ht="15" hidden="1" customHeight="1" x14ac:dyDescent="0.25">
      <c r="A125" s="31"/>
      <c r="B125" s="31"/>
      <c r="C125" s="32">
        <v>25</v>
      </c>
      <c r="D125" s="32"/>
      <c r="E125" s="19"/>
      <c r="F125" s="818"/>
      <c r="G125" s="818"/>
      <c r="H125" s="19">
        <v>50</v>
      </c>
      <c r="I125" s="37">
        <v>43</v>
      </c>
      <c r="J125" s="19"/>
      <c r="K125" s="19"/>
      <c r="L125" s="32">
        <v>75</v>
      </c>
      <c r="M125" s="741"/>
      <c r="N125" s="741"/>
      <c r="O125" s="741"/>
      <c r="P125" s="741"/>
      <c r="Q125" s="19"/>
      <c r="R125" s="39"/>
      <c r="S125" s="39"/>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row>
    <row r="126" spans="1:58" ht="9" customHeight="1" x14ac:dyDescent="0.2">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row>
    <row r="127" spans="1:58" ht="15" x14ac:dyDescent="0.25">
      <c r="A127" s="713" t="s">
        <v>799</v>
      </c>
      <c r="B127" s="713"/>
      <c r="C127" s="713"/>
      <c r="D127" s="713"/>
      <c r="E127" s="713"/>
      <c r="F127" s="412"/>
      <c r="G127" s="412"/>
      <c r="H127" s="412"/>
      <c r="I127" s="412"/>
      <c r="J127" s="412"/>
      <c r="K127" s="412"/>
      <c r="L127" s="412"/>
      <c r="M127" s="714" t="s">
        <v>800</v>
      </c>
      <c r="N127" s="714"/>
      <c r="O127" s="714"/>
      <c r="P127" s="714"/>
      <c r="Q127" s="714"/>
      <c r="R127" s="1"/>
      <c r="S127" s="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row>
    <row r="128" spans="1:58" ht="28.5" customHeight="1" x14ac:dyDescent="0.25">
      <c r="A128" s="735" t="s">
        <v>789</v>
      </c>
      <c r="B128" s="735"/>
      <c r="C128" s="735"/>
      <c r="D128" s="735"/>
      <c r="E128" s="735"/>
      <c r="F128" s="735"/>
      <c r="G128" s="735"/>
      <c r="H128" s="735"/>
      <c r="I128" s="735"/>
      <c r="J128" s="735"/>
      <c r="K128" s="18" t="s">
        <v>805</v>
      </c>
      <c r="L128" s="412"/>
      <c r="M128" s="526" t="s">
        <v>887</v>
      </c>
      <c r="N128" s="527"/>
      <c r="O128" s="527"/>
      <c r="P128" s="527"/>
      <c r="Q128" s="528"/>
      <c r="R128" s="413" t="s">
        <v>805</v>
      </c>
      <c r="S128" s="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row>
    <row r="129" spans="1:58" s="47" customFormat="1" ht="37.5" customHeight="1" x14ac:dyDescent="0.25">
      <c r="A129" s="735" t="s">
        <v>961</v>
      </c>
      <c r="B129" s="735"/>
      <c r="C129" s="735"/>
      <c r="D129" s="735"/>
      <c r="E129" s="735"/>
      <c r="F129" s="735"/>
      <c r="G129" s="735"/>
      <c r="H129" s="735"/>
      <c r="I129" s="735"/>
      <c r="J129" s="735"/>
      <c r="K129" s="18"/>
      <c r="L129" s="412"/>
      <c r="M129" s="705" t="s">
        <v>888</v>
      </c>
      <c r="N129" s="706"/>
      <c r="O129" s="706"/>
      <c r="P129" s="706"/>
      <c r="Q129" s="707"/>
      <c r="R129" s="20" t="s">
        <v>805</v>
      </c>
      <c r="S129" s="46"/>
      <c r="U129" s="430"/>
      <c r="V129" s="430"/>
      <c r="W129" s="430"/>
      <c r="X129" s="430"/>
      <c r="Y129" s="430"/>
      <c r="Z129" s="430"/>
      <c r="AA129" s="430"/>
      <c r="AB129" s="430"/>
      <c r="AC129" s="430"/>
      <c r="AD129" s="430"/>
      <c r="AE129" s="430"/>
      <c r="AF129" s="430"/>
      <c r="AG129" s="430"/>
      <c r="AH129" s="430"/>
      <c r="AI129" s="430"/>
      <c r="AJ129" s="430"/>
      <c r="AK129" s="430"/>
      <c r="AL129" s="430"/>
      <c r="AM129" s="430"/>
      <c r="AN129" s="430"/>
      <c r="AO129" s="430"/>
      <c r="AP129" s="430"/>
      <c r="AQ129" s="430"/>
      <c r="AR129" s="430"/>
      <c r="AS129" s="430"/>
      <c r="AT129" s="430"/>
      <c r="AU129" s="430"/>
      <c r="AV129" s="430"/>
      <c r="AW129" s="430"/>
      <c r="AX129" s="430"/>
      <c r="AY129" s="430"/>
      <c r="AZ129" s="430"/>
      <c r="BA129" s="430"/>
      <c r="BB129" s="430"/>
      <c r="BC129" s="430"/>
      <c r="BD129" s="430"/>
      <c r="BE129" s="430"/>
      <c r="BF129" s="430"/>
    </row>
    <row r="130" spans="1:58" s="47" customFormat="1" ht="30" customHeight="1" x14ac:dyDescent="0.25">
      <c r="A130" s="735" t="s">
        <v>892</v>
      </c>
      <c r="B130" s="735"/>
      <c r="C130" s="735"/>
      <c r="D130" s="735"/>
      <c r="E130" s="735"/>
      <c r="F130" s="735"/>
      <c r="G130" s="735"/>
      <c r="H130" s="735"/>
      <c r="I130" s="735"/>
      <c r="J130" s="735"/>
      <c r="K130" s="18"/>
      <c r="L130" s="412"/>
      <c r="M130" s="735" t="s">
        <v>889</v>
      </c>
      <c r="N130" s="735"/>
      <c r="O130" s="735"/>
      <c r="P130" s="735"/>
      <c r="Q130" s="735"/>
      <c r="R130" s="20" t="s">
        <v>805</v>
      </c>
      <c r="S130" s="46"/>
    </row>
    <row r="131" spans="1:58" s="47" customFormat="1" ht="21.75" customHeight="1" x14ac:dyDescent="0.25">
      <c r="A131" s="928"/>
      <c r="B131" s="928"/>
      <c r="C131" s="928"/>
      <c r="D131" s="928"/>
      <c r="E131" s="928"/>
      <c r="F131" s="928"/>
      <c r="G131" s="928"/>
      <c r="H131" s="928"/>
      <c r="I131" s="928"/>
      <c r="J131" s="928"/>
      <c r="K131" s="412"/>
      <c r="L131" s="412"/>
      <c r="M131" s="735" t="s">
        <v>893</v>
      </c>
      <c r="N131" s="735"/>
      <c r="O131" s="735"/>
      <c r="P131" s="735"/>
      <c r="Q131" s="735"/>
      <c r="R131" s="931" t="s">
        <v>805</v>
      </c>
      <c r="S131" s="48"/>
    </row>
    <row r="132" spans="1:58" s="47" customFormat="1" ht="7.15" customHeight="1" x14ac:dyDescent="0.25">
      <c r="A132" s="412"/>
      <c r="B132" s="412"/>
      <c r="C132" s="412"/>
      <c r="D132" s="412"/>
      <c r="E132" s="412"/>
      <c r="F132" s="412"/>
      <c r="G132" s="412"/>
      <c r="H132" s="412"/>
      <c r="I132" s="412"/>
      <c r="J132" s="412"/>
      <c r="K132" s="412"/>
      <c r="L132" s="412"/>
      <c r="M132" s="735"/>
      <c r="N132" s="735"/>
      <c r="O132" s="735"/>
      <c r="P132" s="735"/>
      <c r="Q132" s="735"/>
      <c r="R132" s="931"/>
      <c r="S132" s="399"/>
      <c r="T132" s="820"/>
      <c r="U132" s="820"/>
      <c r="V132" s="820"/>
      <c r="W132" s="820"/>
      <c r="X132" s="820"/>
      <c r="Y132" s="820"/>
      <c r="Z132" s="820"/>
      <c r="AA132" s="820"/>
      <c r="AB132" s="820"/>
      <c r="AC132" s="820"/>
      <c r="AD132" s="820"/>
      <c r="AE132" s="430"/>
      <c r="AF132" s="430"/>
      <c r="AG132" s="430"/>
      <c r="AH132" s="430"/>
      <c r="AI132" s="430"/>
    </row>
    <row r="133" spans="1:58" s="47" customFormat="1" ht="6.75" customHeight="1" x14ac:dyDescent="0.25">
      <c r="A133" s="412"/>
      <c r="B133" s="412"/>
      <c r="C133" s="412"/>
      <c r="D133" s="412"/>
      <c r="E133" s="412"/>
      <c r="F133" s="412"/>
      <c r="G133" s="412"/>
      <c r="H133" s="412"/>
      <c r="I133" s="412"/>
      <c r="J133" s="412"/>
      <c r="K133" s="412"/>
      <c r="L133" s="412"/>
      <c r="M133" s="412"/>
      <c r="N133" s="412"/>
      <c r="O133" s="412"/>
      <c r="P133" s="412"/>
      <c r="Q133" s="412"/>
      <c r="R133" s="412"/>
      <c r="S133" s="399"/>
      <c r="T133" s="398"/>
      <c r="U133" s="398"/>
      <c r="V133" s="398"/>
      <c r="W133" s="398"/>
      <c r="X133" s="398"/>
      <c r="Y133" s="398"/>
      <c r="Z133" s="398"/>
      <c r="AA133" s="398"/>
      <c r="AB133" s="398"/>
      <c r="AC133" s="398"/>
      <c r="AD133" s="398"/>
      <c r="AE133" s="430"/>
      <c r="AF133" s="430"/>
      <c r="AG133" s="430"/>
      <c r="AH133" s="430"/>
      <c r="AI133" s="430"/>
    </row>
    <row r="134" spans="1:58" s="47" customFormat="1" ht="14.25" customHeight="1" x14ac:dyDescent="0.25">
      <c r="A134" s="719" t="s">
        <v>806</v>
      </c>
      <c r="B134" s="719"/>
      <c r="C134" s="719"/>
      <c r="D134" s="719"/>
      <c r="E134" s="415">
        <v>30</v>
      </c>
      <c r="F134" s="416"/>
      <c r="G134" s="416"/>
      <c r="H134" s="416"/>
      <c r="I134" s="416"/>
      <c r="J134" s="416"/>
      <c r="K134" s="416"/>
      <c r="L134" s="416"/>
      <c r="M134" s="416"/>
      <c r="N134" s="416"/>
      <c r="O134" s="416"/>
      <c r="P134" s="416"/>
      <c r="Q134" s="416"/>
      <c r="R134" s="416"/>
      <c r="S134" s="399"/>
      <c r="T134" s="54"/>
      <c r="U134" s="54"/>
      <c r="V134" s="54"/>
      <c r="W134" s="54"/>
      <c r="X134" s="54"/>
      <c r="Y134" s="54"/>
      <c r="Z134" s="54"/>
      <c r="AA134" s="54"/>
      <c r="AB134" s="54"/>
      <c r="AC134" s="54"/>
      <c r="AD134" s="54"/>
      <c r="AE134" s="54"/>
      <c r="AF134" s="430"/>
      <c r="AG134" s="430"/>
      <c r="AH134" s="430"/>
      <c r="AI134" s="430"/>
    </row>
    <row r="135" spans="1:58" s="47" customFormat="1" ht="8.25" customHeight="1" x14ac:dyDescent="0.25">
      <c r="A135" s="412"/>
      <c r="B135" s="412"/>
      <c r="C135" s="412"/>
      <c r="D135" s="412"/>
      <c r="E135" s="412"/>
      <c r="F135" s="412"/>
      <c r="G135" s="412"/>
      <c r="H135" s="412"/>
      <c r="I135" s="412"/>
      <c r="J135" s="412"/>
      <c r="K135" s="412"/>
      <c r="L135" s="412"/>
      <c r="M135" s="412"/>
      <c r="N135" s="412"/>
      <c r="O135" s="412"/>
      <c r="P135" s="412"/>
      <c r="Q135" s="412"/>
      <c r="R135" s="412"/>
      <c r="S135" s="399"/>
      <c r="T135" s="54"/>
      <c r="U135" s="54"/>
      <c r="V135" s="54"/>
      <c r="W135" s="54"/>
      <c r="X135" s="54"/>
      <c r="Y135" s="54"/>
      <c r="Z135" s="54"/>
      <c r="AA135" s="54"/>
      <c r="AB135" s="54"/>
      <c r="AC135" s="54"/>
      <c r="AD135" s="54"/>
      <c r="AE135" s="54"/>
      <c r="AF135" s="430"/>
      <c r="AG135" s="430"/>
      <c r="AH135" s="430"/>
      <c r="AI135" s="430"/>
    </row>
    <row r="136" spans="1:58" ht="14.25" customHeight="1" x14ac:dyDescent="0.25">
      <c r="A136" s="723" t="s">
        <v>807</v>
      </c>
      <c r="B136" s="724"/>
      <c r="C136" s="724"/>
      <c r="D136" s="725"/>
      <c r="E136" s="729" t="s">
        <v>891</v>
      </c>
      <c r="F136" s="730"/>
      <c r="G136" s="730"/>
      <c r="H136" s="730"/>
      <c r="I136" s="730"/>
      <c r="J136" s="730"/>
      <c r="K136" s="730"/>
      <c r="L136" s="731"/>
      <c r="M136" s="711" t="s">
        <v>808</v>
      </c>
      <c r="N136" s="711"/>
      <c r="O136" s="711"/>
      <c r="P136" s="711"/>
      <c r="Q136" s="711"/>
      <c r="R136" s="711"/>
      <c r="S136" s="400"/>
      <c r="T136" s="712"/>
      <c r="U136" s="712"/>
      <c r="V136" s="712"/>
      <c r="W136" s="712"/>
      <c r="X136" s="712"/>
      <c r="Y136" s="712"/>
      <c r="Z136" s="712"/>
      <c r="AA136" s="712"/>
      <c r="AB136" s="712"/>
      <c r="AC136" s="712"/>
      <c r="AD136" s="712"/>
      <c r="AE136" s="712"/>
      <c r="AF136" s="11"/>
      <c r="AG136" s="11"/>
      <c r="AH136" s="11"/>
      <c r="AI136" s="11"/>
    </row>
    <row r="137" spans="1:58" ht="14.25" customHeight="1" x14ac:dyDescent="0.25">
      <c r="A137" s="726"/>
      <c r="B137" s="727"/>
      <c r="C137" s="727"/>
      <c r="D137" s="728"/>
      <c r="E137" s="732"/>
      <c r="F137" s="733"/>
      <c r="G137" s="733"/>
      <c r="H137" s="733"/>
      <c r="I137" s="733"/>
      <c r="J137" s="733"/>
      <c r="K137" s="733"/>
      <c r="L137" s="734"/>
      <c r="M137" s="841" t="s">
        <v>945</v>
      </c>
      <c r="N137" s="841"/>
      <c r="O137" s="841"/>
      <c r="P137" s="841"/>
      <c r="Q137" s="841"/>
      <c r="R137" s="841"/>
      <c r="S137" s="400"/>
      <c r="T137" s="712"/>
      <c r="U137" s="712"/>
      <c r="V137" s="712"/>
      <c r="W137" s="712"/>
      <c r="X137" s="712"/>
      <c r="Y137" s="712"/>
      <c r="Z137" s="712"/>
      <c r="AA137" s="712"/>
      <c r="AB137" s="712"/>
      <c r="AC137" s="712"/>
      <c r="AD137" s="712"/>
      <c r="AE137" s="712"/>
      <c r="AF137" s="11"/>
      <c r="AG137" s="11"/>
      <c r="AH137" s="11"/>
      <c r="AI137" s="11"/>
    </row>
    <row r="138" spans="1:58" ht="8.25" customHeight="1" x14ac:dyDescent="0.25">
      <c r="A138" s="412"/>
      <c r="B138" s="412"/>
      <c r="C138" s="412"/>
      <c r="D138" s="412"/>
      <c r="E138" s="412"/>
      <c r="F138" s="412"/>
      <c r="G138" s="412"/>
      <c r="H138" s="412"/>
      <c r="I138" s="412"/>
      <c r="J138" s="412"/>
      <c r="K138" s="412"/>
      <c r="L138" s="412"/>
      <c r="M138" s="412"/>
      <c r="N138" s="412"/>
      <c r="O138" s="412"/>
      <c r="P138" s="412"/>
      <c r="Q138" s="412"/>
      <c r="R138" s="412"/>
      <c r="S138" s="401"/>
      <c r="T138" s="42"/>
      <c r="U138" s="42"/>
      <c r="V138" s="42"/>
      <c r="W138" s="42"/>
      <c r="X138" s="40"/>
      <c r="Y138" s="40"/>
      <c r="Z138" s="42"/>
      <c r="AA138" s="42"/>
      <c r="AB138" s="42"/>
      <c r="AC138" s="42"/>
      <c r="AD138" s="40"/>
      <c r="AE138" s="40"/>
      <c r="AF138" s="11"/>
      <c r="AG138" s="11"/>
      <c r="AH138" s="11"/>
      <c r="AI138" s="11"/>
    </row>
    <row r="139" spans="1:58" ht="26.25" customHeight="1" x14ac:dyDescent="0.25">
      <c r="A139" s="708" t="s">
        <v>810</v>
      </c>
      <c r="B139" s="709"/>
      <c r="C139" s="709"/>
      <c r="D139" s="710"/>
      <c r="E139" s="711"/>
      <c r="F139" s="711"/>
      <c r="G139" s="711"/>
      <c r="H139" s="711"/>
      <c r="I139" s="711"/>
      <c r="J139" s="711"/>
      <c r="K139" s="711"/>
      <c r="L139" s="711"/>
      <c r="M139" s="412"/>
      <c r="N139" s="412"/>
      <c r="O139" s="412"/>
      <c r="P139" s="412"/>
      <c r="Q139" s="412"/>
      <c r="R139" s="412"/>
      <c r="S139" s="55"/>
      <c r="T139" s="703"/>
      <c r="U139" s="703"/>
      <c r="V139" s="703"/>
      <c r="W139" s="703"/>
      <c r="X139" s="704"/>
      <c r="Y139" s="704"/>
      <c r="Z139" s="703"/>
      <c r="AA139" s="703"/>
      <c r="AB139" s="703"/>
      <c r="AC139" s="703"/>
      <c r="AD139" s="704"/>
      <c r="AE139" s="704"/>
      <c r="AF139" s="11"/>
      <c r="AG139" s="11"/>
      <c r="AH139" s="11"/>
      <c r="AI139" s="11"/>
    </row>
    <row r="140" spans="1:58" ht="11.25" customHeight="1" x14ac:dyDescent="0.25">
      <c r="A140" s="412"/>
      <c r="B140" s="412"/>
      <c r="C140" s="412"/>
      <c r="D140" s="412"/>
      <c r="E140" s="718" t="s">
        <v>845</v>
      </c>
      <c r="F140" s="718"/>
      <c r="G140" s="718"/>
      <c r="H140" s="718"/>
      <c r="I140" s="718"/>
      <c r="J140" s="718"/>
      <c r="K140" s="718"/>
      <c r="L140" s="718"/>
      <c r="M140" s="412"/>
      <c r="N140" s="412"/>
      <c r="O140" s="412"/>
      <c r="P140" s="412"/>
      <c r="Q140" s="412"/>
      <c r="R140" s="412"/>
      <c r="S140" s="55"/>
      <c r="T140" s="11"/>
      <c r="U140" s="11"/>
      <c r="V140" s="11"/>
      <c r="W140" s="11"/>
      <c r="X140" s="11"/>
      <c r="Y140" s="11"/>
      <c r="Z140" s="11"/>
      <c r="AA140" s="11"/>
      <c r="AB140" s="11"/>
      <c r="AC140" s="11"/>
      <c r="AD140" s="11"/>
      <c r="AE140" s="11"/>
      <c r="AF140" s="11"/>
      <c r="AG140" s="11"/>
      <c r="AH140" s="11"/>
      <c r="AI140" s="11"/>
    </row>
    <row r="141" spans="1:58" ht="14.25" customHeight="1" x14ac:dyDescent="0.2">
      <c r="E141" s="11" t="s">
        <v>846</v>
      </c>
      <c r="F141" s="11"/>
      <c r="G141" s="11"/>
      <c r="H141" s="11"/>
      <c r="I141" s="11"/>
      <c r="J141" s="11"/>
      <c r="K141" s="11"/>
      <c r="L141" s="11"/>
      <c r="T141" s="11"/>
      <c r="U141" s="11"/>
      <c r="V141" s="11"/>
      <c r="W141" s="11"/>
      <c r="X141" s="11"/>
      <c r="Y141" s="11"/>
      <c r="Z141" s="11"/>
      <c r="AA141" s="11"/>
      <c r="AB141" s="11"/>
      <c r="AC141" s="11"/>
      <c r="AD141" s="11"/>
      <c r="AE141" s="11"/>
      <c r="AF141" s="11"/>
      <c r="AG141" s="11"/>
      <c r="AH141" s="11"/>
      <c r="AI141" s="11"/>
    </row>
    <row r="142" spans="1:58" x14ac:dyDescent="0.2">
      <c r="T142" s="11"/>
      <c r="U142" s="11"/>
      <c r="V142" s="11"/>
      <c r="W142" s="11"/>
      <c r="X142" s="11"/>
      <c r="Y142" s="11"/>
      <c r="Z142" s="11"/>
      <c r="AA142" s="11"/>
      <c r="AB142" s="11"/>
      <c r="AC142" s="11"/>
      <c r="AD142" s="11"/>
      <c r="AE142" s="11"/>
      <c r="AF142" s="11"/>
      <c r="AG142" s="11"/>
      <c r="AH142" s="11"/>
      <c r="AI142" s="11"/>
    </row>
    <row r="143" spans="1:58" x14ac:dyDescent="0.2">
      <c r="T143" s="11"/>
      <c r="U143" s="11"/>
      <c r="V143" s="11"/>
      <c r="W143" s="11"/>
      <c r="X143" s="11"/>
      <c r="Y143" s="11"/>
      <c r="Z143" s="11"/>
      <c r="AA143" s="11"/>
      <c r="AB143" s="11"/>
      <c r="AC143" s="11"/>
      <c r="AD143" s="11"/>
      <c r="AE143" s="11"/>
      <c r="AF143" s="11"/>
      <c r="AG143" s="11"/>
      <c r="AH143" s="11"/>
      <c r="AI143" s="11"/>
    </row>
    <row r="144" spans="1:58" x14ac:dyDescent="0.2">
      <c r="T144" s="11"/>
      <c r="U144" s="11"/>
      <c r="V144" s="11"/>
      <c r="W144" s="11"/>
      <c r="X144" s="11"/>
      <c r="Y144" s="11"/>
      <c r="Z144" s="11"/>
      <c r="AA144" s="11"/>
      <c r="AB144" s="11"/>
      <c r="AC144" s="11"/>
      <c r="AD144" s="11"/>
      <c r="AE144" s="11"/>
      <c r="AF144" s="11"/>
      <c r="AG144" s="11"/>
      <c r="AH144" s="11"/>
      <c r="AI144" s="11"/>
    </row>
    <row r="145" spans="13:35" x14ac:dyDescent="0.2">
      <c r="T145" s="11"/>
      <c r="U145" s="11"/>
      <c r="V145" s="11"/>
      <c r="W145" s="11"/>
      <c r="X145" s="11"/>
      <c r="Y145" s="11"/>
      <c r="Z145" s="11"/>
      <c r="AA145" s="11"/>
      <c r="AB145" s="11"/>
      <c r="AC145" s="11"/>
      <c r="AD145" s="11"/>
      <c r="AE145" s="11"/>
      <c r="AF145" s="11"/>
      <c r="AG145" s="11"/>
      <c r="AH145" s="11"/>
      <c r="AI145" s="11"/>
    </row>
    <row r="146" spans="13:35" x14ac:dyDescent="0.2">
      <c r="T146" s="11"/>
      <c r="U146" s="11"/>
      <c r="V146" s="11"/>
      <c r="W146" s="11"/>
      <c r="X146" s="11"/>
      <c r="Y146" s="11"/>
      <c r="Z146" s="11"/>
      <c r="AA146" s="11"/>
      <c r="AB146" s="11"/>
      <c r="AC146" s="11"/>
      <c r="AD146" s="11"/>
      <c r="AE146" s="11"/>
      <c r="AF146" s="11"/>
      <c r="AG146" s="11"/>
      <c r="AH146" s="11"/>
      <c r="AI146" s="11"/>
    </row>
    <row r="147" spans="13:35" x14ac:dyDescent="0.2">
      <c r="T147" s="11"/>
      <c r="U147" s="11"/>
      <c r="V147" s="11"/>
      <c r="W147" s="11"/>
      <c r="X147" s="11"/>
      <c r="Y147" s="11"/>
      <c r="Z147" s="11"/>
      <c r="AA147" s="11"/>
      <c r="AB147" s="11"/>
      <c r="AC147" s="11"/>
      <c r="AD147" s="11"/>
      <c r="AE147" s="11"/>
      <c r="AF147" s="11"/>
      <c r="AG147" s="11"/>
      <c r="AH147" s="11"/>
      <c r="AI147" s="11"/>
    </row>
    <row r="148" spans="13:35" x14ac:dyDescent="0.2">
      <c r="T148" s="11"/>
      <c r="U148" s="11"/>
      <c r="V148" s="11"/>
      <c r="W148" s="11"/>
      <c r="X148" s="11"/>
      <c r="Y148" s="11"/>
      <c r="Z148" s="11"/>
      <c r="AA148" s="11"/>
      <c r="AB148" s="11"/>
      <c r="AC148" s="11"/>
      <c r="AD148" s="11"/>
      <c r="AE148" s="11"/>
      <c r="AF148" s="11"/>
      <c r="AG148" s="11"/>
      <c r="AH148" s="11"/>
      <c r="AI148" s="11"/>
    </row>
    <row r="149" spans="13:35" x14ac:dyDescent="0.2">
      <c r="T149" s="11"/>
      <c r="U149" s="11"/>
      <c r="V149" s="11"/>
      <c r="W149" s="11"/>
      <c r="X149" s="11"/>
      <c r="Y149" s="11"/>
      <c r="Z149" s="11"/>
      <c r="AA149" s="11"/>
      <c r="AB149" s="11"/>
      <c r="AC149" s="11"/>
      <c r="AD149" s="11"/>
      <c r="AE149" s="11"/>
      <c r="AF149" s="11"/>
      <c r="AG149" s="11"/>
      <c r="AH149" s="11"/>
      <c r="AI149" s="11"/>
    </row>
    <row r="150" spans="13:35" x14ac:dyDescent="0.2">
      <c r="T150" s="11"/>
      <c r="U150" s="11"/>
      <c r="V150" s="11"/>
      <c r="W150" s="11"/>
      <c r="X150" s="11"/>
      <c r="Y150" s="11"/>
      <c r="Z150" s="11"/>
      <c r="AA150" s="11"/>
      <c r="AB150" s="11"/>
      <c r="AC150" s="11"/>
      <c r="AD150" s="11"/>
      <c r="AE150" s="11"/>
      <c r="AF150" s="11"/>
      <c r="AG150" s="11"/>
      <c r="AH150" s="11"/>
      <c r="AI150" s="11"/>
    </row>
    <row r="153" spans="13:35" x14ac:dyDescent="0.2">
      <c r="M153" s="760"/>
      <c r="N153" s="760"/>
      <c r="O153" s="760"/>
      <c r="P153" s="760"/>
      <c r="Q153" s="760"/>
      <c r="R153" s="760"/>
      <c r="S153" s="760"/>
      <c r="T153" s="11"/>
      <c r="U153" s="11"/>
      <c r="V153" s="11"/>
      <c r="W153" s="11"/>
      <c r="X153" s="11"/>
      <c r="Y153" s="11"/>
      <c r="Z153" s="11"/>
      <c r="AA153" s="11"/>
    </row>
    <row r="154" spans="13:35" ht="20.25" x14ac:dyDescent="0.2">
      <c r="M154" s="760"/>
      <c r="N154" s="760"/>
      <c r="O154" s="760"/>
      <c r="P154" s="760"/>
      <c r="Q154" s="760"/>
      <c r="R154" s="760"/>
      <c r="S154" s="760"/>
      <c r="T154" s="11"/>
      <c r="U154" s="840"/>
      <c r="V154" s="840"/>
      <c r="W154" s="840"/>
      <c r="X154" s="840"/>
      <c r="Y154" s="11"/>
      <c r="Z154" s="11"/>
      <c r="AA154" s="11"/>
    </row>
    <row r="155" spans="13:35" ht="20.25" x14ac:dyDescent="0.2">
      <c r="M155" s="760"/>
      <c r="N155" s="760"/>
      <c r="O155" s="760"/>
      <c r="P155" s="760"/>
      <c r="Q155" s="760"/>
      <c r="R155" s="760"/>
      <c r="S155" s="760"/>
      <c r="T155" s="11"/>
      <c r="U155" s="839"/>
      <c r="V155" s="839"/>
      <c r="W155" s="839"/>
      <c r="X155" s="839"/>
      <c r="Y155" s="11"/>
      <c r="Z155" s="11"/>
      <c r="AA155" s="11"/>
    </row>
    <row r="156" spans="13:35" ht="20.25" x14ac:dyDescent="0.2">
      <c r="M156" s="11"/>
      <c r="N156" s="11"/>
      <c r="O156" s="11"/>
      <c r="P156" s="11"/>
      <c r="Q156" s="11"/>
      <c r="R156" s="11"/>
      <c r="S156" s="11"/>
      <c r="T156" s="11"/>
      <c r="U156" s="839"/>
      <c r="V156" s="839"/>
      <c r="W156" s="839"/>
      <c r="X156" s="839"/>
      <c r="Y156" s="11"/>
      <c r="Z156" s="11"/>
      <c r="AA156" s="11"/>
    </row>
    <row r="157" spans="13:35" ht="20.25" x14ac:dyDescent="0.2">
      <c r="M157" s="11"/>
      <c r="N157" s="11"/>
      <c r="O157" s="11"/>
      <c r="P157" s="11"/>
      <c r="Q157" s="11"/>
      <c r="R157" s="11"/>
      <c r="S157" s="11"/>
      <c r="T157" s="11"/>
      <c r="U157" s="838"/>
      <c r="V157" s="838"/>
      <c r="W157" s="838"/>
      <c r="X157" s="838"/>
      <c r="Y157" s="11"/>
      <c r="Z157" s="11"/>
      <c r="AA157" s="11"/>
    </row>
    <row r="158" spans="13:35" x14ac:dyDescent="0.2">
      <c r="M158" s="11"/>
      <c r="N158" s="11"/>
      <c r="O158" s="11"/>
      <c r="P158" s="11"/>
      <c r="Q158" s="11"/>
      <c r="R158" s="11"/>
      <c r="S158" s="11"/>
      <c r="T158" s="11"/>
      <c r="U158" s="11"/>
      <c r="V158" s="11"/>
      <c r="W158" s="11"/>
      <c r="X158" s="11"/>
      <c r="Y158" s="11"/>
      <c r="Z158" s="11"/>
      <c r="AA158" s="11"/>
    </row>
    <row r="159" spans="13:35" x14ac:dyDescent="0.2">
      <c r="M159" s="11"/>
      <c r="N159" s="11"/>
      <c r="O159" s="11"/>
      <c r="P159" s="11"/>
      <c r="Q159" s="11"/>
      <c r="R159" s="11"/>
      <c r="S159" s="11"/>
      <c r="T159" s="11"/>
      <c r="U159" s="11"/>
      <c r="V159" s="11"/>
      <c r="W159" s="11"/>
      <c r="X159" s="11"/>
      <c r="Y159" s="11"/>
      <c r="Z159" s="11"/>
      <c r="AA159" s="11"/>
    </row>
    <row r="160" spans="13:35" x14ac:dyDescent="0.2">
      <c r="M160" s="11"/>
      <c r="N160" s="11"/>
      <c r="O160" s="11"/>
      <c r="P160" s="11"/>
      <c r="Q160" s="11"/>
      <c r="R160" s="11"/>
      <c r="S160" s="11"/>
      <c r="T160" s="11"/>
      <c r="U160" s="11"/>
      <c r="V160" s="11"/>
      <c r="W160" s="11"/>
      <c r="X160" s="11"/>
      <c r="Y160" s="11"/>
      <c r="Z160" s="11"/>
      <c r="AA160" s="11"/>
    </row>
    <row r="161" spans="13:27" x14ac:dyDescent="0.2">
      <c r="M161" s="11"/>
      <c r="N161" s="11"/>
      <c r="O161" s="11"/>
      <c r="P161" s="11"/>
      <c r="Q161" s="11"/>
      <c r="R161" s="11"/>
      <c r="S161" s="11"/>
      <c r="T161" s="11"/>
      <c r="U161" s="11"/>
      <c r="V161" s="11"/>
      <c r="W161" s="11"/>
      <c r="X161" s="11"/>
      <c r="Y161" s="11"/>
      <c r="Z161" s="11"/>
      <c r="AA161" s="11"/>
    </row>
    <row r="162" spans="13:27" x14ac:dyDescent="0.2">
      <c r="M162" s="11"/>
      <c r="N162" s="11"/>
      <c r="O162" s="11"/>
      <c r="P162" s="11"/>
      <c r="Q162" s="11"/>
      <c r="R162" s="11"/>
      <c r="S162" s="11"/>
      <c r="T162" s="11"/>
      <c r="U162" s="11"/>
      <c r="V162" s="11"/>
      <c r="W162" s="11"/>
      <c r="X162" s="11"/>
      <c r="Y162" s="11"/>
      <c r="Z162" s="11"/>
      <c r="AA162" s="11"/>
    </row>
    <row r="163" spans="13:27" x14ac:dyDescent="0.2">
      <c r="M163" s="11"/>
      <c r="N163" s="11"/>
      <c r="O163" s="11"/>
      <c r="P163" s="11"/>
      <c r="Q163" s="11"/>
      <c r="R163" s="11"/>
      <c r="S163" s="11"/>
      <c r="T163" s="11"/>
      <c r="U163" s="11"/>
      <c r="V163" s="11"/>
      <c r="W163" s="11"/>
      <c r="X163" s="11"/>
      <c r="Y163" s="11"/>
      <c r="Z163" s="11"/>
      <c r="AA163" s="11"/>
    </row>
    <row r="164" spans="13:27" x14ac:dyDescent="0.2">
      <c r="M164" s="11"/>
      <c r="N164" s="11"/>
      <c r="O164" s="11"/>
      <c r="P164" s="11"/>
      <c r="Q164" s="11"/>
      <c r="R164" s="11"/>
      <c r="S164" s="11"/>
      <c r="T164" s="11"/>
      <c r="U164" s="11"/>
      <c r="V164" s="11"/>
      <c r="W164" s="11"/>
      <c r="X164" s="11"/>
      <c r="Y164" s="11"/>
      <c r="Z164" s="11"/>
      <c r="AA164" s="11"/>
    </row>
    <row r="165" spans="13:27" x14ac:dyDescent="0.2">
      <c r="M165" s="11"/>
      <c r="N165" s="11"/>
      <c r="O165" s="11"/>
      <c r="P165" s="11"/>
      <c r="Q165" s="11"/>
      <c r="R165" s="11"/>
      <c r="S165" s="11"/>
      <c r="T165" s="11"/>
      <c r="U165" s="11"/>
      <c r="V165" s="11"/>
      <c r="W165" s="11"/>
      <c r="X165" s="11"/>
      <c r="Y165" s="11"/>
      <c r="Z165" s="11"/>
      <c r="AA165" s="11"/>
    </row>
    <row r="166" spans="13:27" x14ac:dyDescent="0.2">
      <c r="M166" s="11"/>
      <c r="N166" s="11"/>
      <c r="O166" s="11"/>
      <c r="P166" s="11"/>
      <c r="Q166" s="11"/>
      <c r="R166" s="11"/>
      <c r="S166" s="11"/>
      <c r="T166" s="11"/>
      <c r="U166" s="11"/>
      <c r="V166" s="11"/>
      <c r="W166" s="11"/>
      <c r="X166" s="11"/>
      <c r="Y166" s="11"/>
      <c r="Z166" s="11"/>
      <c r="AA166" s="11"/>
    </row>
  </sheetData>
  <mergeCells count="963">
    <mergeCell ref="O123:P123"/>
    <mergeCell ref="AI75:AL75"/>
    <mergeCell ref="AI67:AL67"/>
    <mergeCell ref="U63:AL63"/>
    <mergeCell ref="M46:N46"/>
    <mergeCell ref="M43:N43"/>
    <mergeCell ref="M44:N44"/>
    <mergeCell ref="M39:N39"/>
    <mergeCell ref="M122:N122"/>
    <mergeCell ref="O122:P122"/>
    <mergeCell ref="N74:O74"/>
    <mergeCell ref="V74:Y74"/>
    <mergeCell ref="Z74:AB74"/>
    <mergeCell ref="AC74:AD74"/>
    <mergeCell ref="AC73:AD73"/>
    <mergeCell ref="AF69:AH69"/>
    <mergeCell ref="AI69:AL69"/>
    <mergeCell ref="N70:O70"/>
    <mergeCell ref="AC69:AD69"/>
    <mergeCell ref="AF64:AH64"/>
    <mergeCell ref="AI64:AL64"/>
    <mergeCell ref="U154:X154"/>
    <mergeCell ref="U155:X155"/>
    <mergeCell ref="U156:X156"/>
    <mergeCell ref="U157:X157"/>
    <mergeCell ref="Q16:R16"/>
    <mergeCell ref="T139:W139"/>
    <mergeCell ref="X139:Y139"/>
    <mergeCell ref="V89:AL89"/>
    <mergeCell ref="Z139:AC139"/>
    <mergeCell ref="AD139:AE139"/>
    <mergeCell ref="T136:AE136"/>
    <mergeCell ref="T137:AE137"/>
    <mergeCell ref="T132:AD132"/>
    <mergeCell ref="C98:Q98"/>
    <mergeCell ref="C89:D89"/>
    <mergeCell ref="F89:G89"/>
    <mergeCell ref="H89:I89"/>
    <mergeCell ref="K89:L89"/>
    <mergeCell ref="N89:O89"/>
    <mergeCell ref="C88:D88"/>
    <mergeCell ref="F88:G88"/>
    <mergeCell ref="H88:I88"/>
    <mergeCell ref="K88:L88"/>
    <mergeCell ref="N88:O88"/>
    <mergeCell ref="K74:L74"/>
    <mergeCell ref="H70:I70"/>
    <mergeCell ref="K70:L70"/>
    <mergeCell ref="E140:L140"/>
    <mergeCell ref="A127:E127"/>
    <mergeCell ref="A131:J131"/>
    <mergeCell ref="M153:P155"/>
    <mergeCell ref="Q153:S155"/>
    <mergeCell ref="A139:D139"/>
    <mergeCell ref="E139:L139"/>
    <mergeCell ref="A129:J129"/>
    <mergeCell ref="M129:Q129"/>
    <mergeCell ref="A134:D134"/>
    <mergeCell ref="A136:D137"/>
    <mergeCell ref="E136:L137"/>
    <mergeCell ref="M136:R136"/>
    <mergeCell ref="M137:R137"/>
    <mergeCell ref="A130:J130"/>
    <mergeCell ref="M130:Q130"/>
    <mergeCell ref="M127:Q127"/>
    <mergeCell ref="A128:J128"/>
    <mergeCell ref="M131:Q132"/>
    <mergeCell ref="R131:R132"/>
    <mergeCell ref="M123:N123"/>
    <mergeCell ref="M28:N28"/>
    <mergeCell ref="M29:N29"/>
    <mergeCell ref="M30:N30"/>
    <mergeCell ref="O27:P27"/>
    <mergeCell ref="O28:P28"/>
    <mergeCell ref="M27:N27"/>
    <mergeCell ref="O31:P31"/>
    <mergeCell ref="O32:P32"/>
    <mergeCell ref="O33:P33"/>
    <mergeCell ref="O29:P29"/>
    <mergeCell ref="O30:P30"/>
    <mergeCell ref="O34:P34"/>
    <mergeCell ref="O35:P35"/>
    <mergeCell ref="F124:G124"/>
    <mergeCell ref="M124:N124"/>
    <mergeCell ref="O124:P124"/>
    <mergeCell ref="F125:G125"/>
    <mergeCell ref="M125:N125"/>
    <mergeCell ref="O125:P125"/>
    <mergeCell ref="F123:G123"/>
    <mergeCell ref="H48:J48"/>
    <mergeCell ref="H41:J41"/>
    <mergeCell ref="H42:J42"/>
    <mergeCell ref="H43:J43"/>
    <mergeCell ref="H44:J44"/>
    <mergeCell ref="F120:G120"/>
    <mergeCell ref="M120:N120"/>
    <mergeCell ref="O120:P120"/>
    <mergeCell ref="F121:G121"/>
    <mergeCell ref="M121:N121"/>
    <mergeCell ref="O121:P121"/>
    <mergeCell ref="F122:G122"/>
    <mergeCell ref="F118:G118"/>
    <mergeCell ref="M118:N118"/>
    <mergeCell ref="O118:P118"/>
    <mergeCell ref="AT118:AU118"/>
    <mergeCell ref="F119:G119"/>
    <mergeCell ref="M119:N119"/>
    <mergeCell ref="O119:P119"/>
    <mergeCell ref="AZ116:BB116"/>
    <mergeCell ref="BC116:BE116"/>
    <mergeCell ref="F117:G117"/>
    <mergeCell ref="M117:N117"/>
    <mergeCell ref="O117:P117"/>
    <mergeCell ref="AP117:AR117"/>
    <mergeCell ref="AS117:AU117"/>
    <mergeCell ref="AV117:AX117"/>
    <mergeCell ref="AZ117:BB117"/>
    <mergeCell ref="BC117:BE117"/>
    <mergeCell ref="F116:G116"/>
    <mergeCell ref="M116:N116"/>
    <mergeCell ref="O116:P116"/>
    <mergeCell ref="AP116:AR116"/>
    <mergeCell ref="AS116:AU116"/>
    <mergeCell ref="AV116:AX116"/>
    <mergeCell ref="AZ114:BB114"/>
    <mergeCell ref="BC114:BE114"/>
    <mergeCell ref="F115:G115"/>
    <mergeCell ref="M115:N115"/>
    <mergeCell ref="O115:P115"/>
    <mergeCell ref="AP115:AR115"/>
    <mergeCell ref="AS115:AU115"/>
    <mergeCell ref="AV115:AX115"/>
    <mergeCell ref="AZ115:BB115"/>
    <mergeCell ref="BC115:BE115"/>
    <mergeCell ref="F114:G114"/>
    <mergeCell ref="M114:N114"/>
    <mergeCell ref="O114:P114"/>
    <mergeCell ref="AP114:AR114"/>
    <mergeCell ref="AS114:AU114"/>
    <mergeCell ref="AV114:AX114"/>
    <mergeCell ref="AZ112:BB112"/>
    <mergeCell ref="BC112:BE112"/>
    <mergeCell ref="F113:G113"/>
    <mergeCell ref="M113:N113"/>
    <mergeCell ref="O113:P113"/>
    <mergeCell ref="AP113:AR113"/>
    <mergeCell ref="AS113:AU113"/>
    <mergeCell ref="AV113:AX113"/>
    <mergeCell ref="AZ113:BB113"/>
    <mergeCell ref="BC113:BE113"/>
    <mergeCell ref="F112:G112"/>
    <mergeCell ref="M112:N112"/>
    <mergeCell ref="O112:P112"/>
    <mergeCell ref="AP112:AR112"/>
    <mergeCell ref="AS112:AU112"/>
    <mergeCell ref="AV112:AX112"/>
    <mergeCell ref="AZ110:BB110"/>
    <mergeCell ref="BC110:BE110"/>
    <mergeCell ref="F111:G111"/>
    <mergeCell ref="M111:N111"/>
    <mergeCell ref="O111:P111"/>
    <mergeCell ref="AP111:AR111"/>
    <mergeCell ref="AS111:AU111"/>
    <mergeCell ref="AV111:AX111"/>
    <mergeCell ref="AZ111:BB111"/>
    <mergeCell ref="BC111:BE111"/>
    <mergeCell ref="F110:G110"/>
    <mergeCell ref="M110:N110"/>
    <mergeCell ref="O110:P110"/>
    <mergeCell ref="AP110:AR110"/>
    <mergeCell ref="AS110:AU110"/>
    <mergeCell ref="AV110:AX110"/>
    <mergeCell ref="AZ108:BB108"/>
    <mergeCell ref="BC108:BE108"/>
    <mergeCell ref="F109:G109"/>
    <mergeCell ref="M109:N109"/>
    <mergeCell ref="O109:P109"/>
    <mergeCell ref="AP109:AR109"/>
    <mergeCell ref="AS109:AU109"/>
    <mergeCell ref="AV109:AX109"/>
    <mergeCell ref="AZ109:BB109"/>
    <mergeCell ref="BC109:BE109"/>
    <mergeCell ref="F108:G108"/>
    <mergeCell ref="M108:N108"/>
    <mergeCell ref="O108:P108"/>
    <mergeCell ref="AP108:AR108"/>
    <mergeCell ref="AS108:AU108"/>
    <mergeCell ref="AV108:AX108"/>
    <mergeCell ref="AZ106:BB106"/>
    <mergeCell ref="BC106:BE106"/>
    <mergeCell ref="F107:G107"/>
    <mergeCell ref="M107:N107"/>
    <mergeCell ref="O107:P107"/>
    <mergeCell ref="AP107:AR107"/>
    <mergeCell ref="AS107:AU107"/>
    <mergeCell ref="AV107:AX107"/>
    <mergeCell ref="AZ107:BB107"/>
    <mergeCell ref="BC107:BE107"/>
    <mergeCell ref="F106:G106"/>
    <mergeCell ref="M106:N106"/>
    <mergeCell ref="O106:P106"/>
    <mergeCell ref="AP106:AR106"/>
    <mergeCell ref="AS106:AU106"/>
    <mergeCell ref="AV106:AX106"/>
    <mergeCell ref="AZ104:BB104"/>
    <mergeCell ref="BC104:BE104"/>
    <mergeCell ref="F105:G105"/>
    <mergeCell ref="M105:N105"/>
    <mergeCell ref="O105:P105"/>
    <mergeCell ref="AP105:AR105"/>
    <mergeCell ref="AS105:AU105"/>
    <mergeCell ref="AV105:AX105"/>
    <mergeCell ref="AZ105:BB105"/>
    <mergeCell ref="BC105:BE105"/>
    <mergeCell ref="F104:G104"/>
    <mergeCell ref="M104:N104"/>
    <mergeCell ref="O104:P104"/>
    <mergeCell ref="AP104:AR104"/>
    <mergeCell ref="AS104:AU104"/>
    <mergeCell ref="AV104:AX104"/>
    <mergeCell ref="AZ102:BB102"/>
    <mergeCell ref="BC102:BE102"/>
    <mergeCell ref="F103:G103"/>
    <mergeCell ref="M103:N103"/>
    <mergeCell ref="O103:P103"/>
    <mergeCell ref="AP103:AR103"/>
    <mergeCell ref="AS103:AU103"/>
    <mergeCell ref="AV103:AX103"/>
    <mergeCell ref="AZ103:BB103"/>
    <mergeCell ref="BC103:BE103"/>
    <mergeCell ref="F102:G102"/>
    <mergeCell ref="M102:N102"/>
    <mergeCell ref="O102:P102"/>
    <mergeCell ref="AP102:AR102"/>
    <mergeCell ref="AS102:AU102"/>
    <mergeCell ref="AV102:AX102"/>
    <mergeCell ref="AZ100:BB100"/>
    <mergeCell ref="BC100:BE100"/>
    <mergeCell ref="F101:G101"/>
    <mergeCell ref="M101:N101"/>
    <mergeCell ref="O101:P101"/>
    <mergeCell ref="AP101:AR101"/>
    <mergeCell ref="AS101:AU101"/>
    <mergeCell ref="AV101:AX101"/>
    <mergeCell ref="AZ101:BB101"/>
    <mergeCell ref="BC101:BE101"/>
    <mergeCell ref="F100:G100"/>
    <mergeCell ref="M100:N100"/>
    <mergeCell ref="O100:P100"/>
    <mergeCell ref="AP100:AR100"/>
    <mergeCell ref="AS100:AU100"/>
    <mergeCell ref="AV100:AX100"/>
    <mergeCell ref="AP98:AR98"/>
    <mergeCell ref="AS98:AU98"/>
    <mergeCell ref="AV98:AX98"/>
    <mergeCell ref="AZ98:BB98"/>
    <mergeCell ref="BC98:BE98"/>
    <mergeCell ref="F99:G99"/>
    <mergeCell ref="M99:N99"/>
    <mergeCell ref="O99:P99"/>
    <mergeCell ref="AP99:AR99"/>
    <mergeCell ref="AS99:AU99"/>
    <mergeCell ref="AV99:AX99"/>
    <mergeCell ref="AZ99:BB99"/>
    <mergeCell ref="BC99:BE99"/>
    <mergeCell ref="AP96:AR96"/>
    <mergeCell ref="AS96:AU96"/>
    <mergeCell ref="AV96:AX96"/>
    <mergeCell ref="AZ96:BB96"/>
    <mergeCell ref="BC96:BE96"/>
    <mergeCell ref="AP97:AR97"/>
    <mergeCell ref="AS97:AU97"/>
    <mergeCell ref="AV97:AX97"/>
    <mergeCell ref="AZ97:BB97"/>
    <mergeCell ref="BC97:BE97"/>
    <mergeCell ref="BC94:BE94"/>
    <mergeCell ref="C95:D95"/>
    <mergeCell ref="F95:G95"/>
    <mergeCell ref="H95:I95"/>
    <mergeCell ref="K95:L95"/>
    <mergeCell ref="N95:O95"/>
    <mergeCell ref="AP95:AR95"/>
    <mergeCell ref="AS95:AU95"/>
    <mergeCell ref="AV95:AX95"/>
    <mergeCell ref="AZ95:BB95"/>
    <mergeCell ref="BC95:BE95"/>
    <mergeCell ref="C94:D94"/>
    <mergeCell ref="F94:G94"/>
    <mergeCell ref="H94:I94"/>
    <mergeCell ref="K94:L94"/>
    <mergeCell ref="N94:O94"/>
    <mergeCell ref="AP94:AR94"/>
    <mergeCell ref="AS94:AU94"/>
    <mergeCell ref="AV94:AX94"/>
    <mergeCell ref="AZ94:BB94"/>
    <mergeCell ref="BC92:BE92"/>
    <mergeCell ref="C93:D93"/>
    <mergeCell ref="F93:G93"/>
    <mergeCell ref="H93:I93"/>
    <mergeCell ref="K93:L93"/>
    <mergeCell ref="N93:O93"/>
    <mergeCell ref="AP93:AR93"/>
    <mergeCell ref="AS93:AU93"/>
    <mergeCell ref="AV93:AX93"/>
    <mergeCell ref="AZ93:BB93"/>
    <mergeCell ref="BC93:BE93"/>
    <mergeCell ref="C92:D92"/>
    <mergeCell ref="F92:G92"/>
    <mergeCell ref="H92:I92"/>
    <mergeCell ref="K92:L92"/>
    <mergeCell ref="N92:O92"/>
    <mergeCell ref="AP92:AR92"/>
    <mergeCell ref="AS92:AU92"/>
    <mergeCell ref="AV92:AX92"/>
    <mergeCell ref="AZ92:BB92"/>
    <mergeCell ref="AS90:AU90"/>
    <mergeCell ref="AV90:AX90"/>
    <mergeCell ref="AZ90:BB90"/>
    <mergeCell ref="BC90:BE90"/>
    <mergeCell ref="C91:D91"/>
    <mergeCell ref="H91:I91"/>
    <mergeCell ref="K91:L91"/>
    <mergeCell ref="N91:O91"/>
    <mergeCell ref="V91:AL91"/>
    <mergeCell ref="AP91:AR91"/>
    <mergeCell ref="C90:D90"/>
    <mergeCell ref="H90:I90"/>
    <mergeCell ref="K90:L90"/>
    <mergeCell ref="N90:O90"/>
    <mergeCell ref="V90:AL90"/>
    <mergeCell ref="AP90:AR90"/>
    <mergeCell ref="AS91:AU91"/>
    <mergeCell ref="AV91:AX91"/>
    <mergeCell ref="AZ91:BB91"/>
    <mergeCell ref="BC91:BE91"/>
    <mergeCell ref="AP89:AR89"/>
    <mergeCell ref="AS89:AU89"/>
    <mergeCell ref="AV89:AX89"/>
    <mergeCell ref="AZ89:BB89"/>
    <mergeCell ref="BC89:BE89"/>
    <mergeCell ref="AP88:AR88"/>
    <mergeCell ref="AS88:AU88"/>
    <mergeCell ref="AV88:AX88"/>
    <mergeCell ref="AZ88:BB88"/>
    <mergeCell ref="BC88:BE88"/>
    <mergeCell ref="BC86:BE86"/>
    <mergeCell ref="V86:AL86"/>
    <mergeCell ref="V88:AL88"/>
    <mergeCell ref="V87:AL87"/>
    <mergeCell ref="AP87:AR87"/>
    <mergeCell ref="AS87:AU87"/>
    <mergeCell ref="AV87:AX87"/>
    <mergeCell ref="AZ87:BB87"/>
    <mergeCell ref="C86:D86"/>
    <mergeCell ref="F86:G86"/>
    <mergeCell ref="H86:I86"/>
    <mergeCell ref="K86:L86"/>
    <mergeCell ref="N86:O86"/>
    <mergeCell ref="BC87:BE87"/>
    <mergeCell ref="AP86:AR86"/>
    <mergeCell ref="AS86:AU86"/>
    <mergeCell ref="AV86:AX86"/>
    <mergeCell ref="AZ86:BB86"/>
    <mergeCell ref="AS85:AU85"/>
    <mergeCell ref="AV85:AX85"/>
    <mergeCell ref="AZ85:BB85"/>
    <mergeCell ref="BC85:BE85"/>
    <mergeCell ref="AZ83:BB83"/>
    <mergeCell ref="C87:D87"/>
    <mergeCell ref="F87:G87"/>
    <mergeCell ref="H87:I87"/>
    <mergeCell ref="K87:L87"/>
    <mergeCell ref="N87:O87"/>
    <mergeCell ref="AV84:AX84"/>
    <mergeCell ref="AZ84:BB84"/>
    <mergeCell ref="BC84:BE84"/>
    <mergeCell ref="C85:D85"/>
    <mergeCell ref="F85:G85"/>
    <mergeCell ref="H85:I85"/>
    <mergeCell ref="K85:L85"/>
    <mergeCell ref="N85:O85"/>
    <mergeCell ref="V85:AL85"/>
    <mergeCell ref="AP85:AR85"/>
    <mergeCell ref="AS83:AU83"/>
    <mergeCell ref="AP83:AR83"/>
    <mergeCell ref="F83:G83"/>
    <mergeCell ref="H83:I83"/>
    <mergeCell ref="BC83:BE83"/>
    <mergeCell ref="V83:AL84"/>
    <mergeCell ref="AV83:AX83"/>
    <mergeCell ref="AP84:AR84"/>
    <mergeCell ref="AS84:AU84"/>
    <mergeCell ref="C84:D84"/>
    <mergeCell ref="F84:G84"/>
    <mergeCell ref="H84:I84"/>
    <mergeCell ref="K84:L84"/>
    <mergeCell ref="N84:O84"/>
    <mergeCell ref="C83:D83"/>
    <mergeCell ref="N83:O83"/>
    <mergeCell ref="K83:L83"/>
    <mergeCell ref="BC82:BE82"/>
    <mergeCell ref="AP81:AR81"/>
    <mergeCell ref="AS81:AU81"/>
    <mergeCell ref="AV81:AX81"/>
    <mergeCell ref="AZ81:BB81"/>
    <mergeCell ref="BC81:BE81"/>
    <mergeCell ref="AP82:AR82"/>
    <mergeCell ref="AS82:AU82"/>
    <mergeCell ref="AV82:AX82"/>
    <mergeCell ref="AZ82:BB82"/>
    <mergeCell ref="C82:D82"/>
    <mergeCell ref="F82:G82"/>
    <mergeCell ref="H82:I82"/>
    <mergeCell ref="K82:L82"/>
    <mergeCell ref="N82:O82"/>
    <mergeCell ref="AS80:AU80"/>
    <mergeCell ref="V82:AL82"/>
    <mergeCell ref="AV80:AX80"/>
    <mergeCell ref="AZ80:BB80"/>
    <mergeCell ref="BC78:BE78"/>
    <mergeCell ref="C79:D79"/>
    <mergeCell ref="F79:G79"/>
    <mergeCell ref="H79:I79"/>
    <mergeCell ref="K79:L79"/>
    <mergeCell ref="N79:O79"/>
    <mergeCell ref="AP79:AR79"/>
    <mergeCell ref="BC80:BE80"/>
    <mergeCell ref="C81:D81"/>
    <mergeCell ref="F81:G81"/>
    <mergeCell ref="H81:I81"/>
    <mergeCell ref="K81:L81"/>
    <mergeCell ref="N81:O81"/>
    <mergeCell ref="V81:AL81"/>
    <mergeCell ref="AS79:AU79"/>
    <mergeCell ref="AV79:AX79"/>
    <mergeCell ref="AZ79:BB79"/>
    <mergeCell ref="BC79:BE79"/>
    <mergeCell ref="C80:D80"/>
    <mergeCell ref="F80:G80"/>
    <mergeCell ref="H80:I80"/>
    <mergeCell ref="K80:L80"/>
    <mergeCell ref="N80:O80"/>
    <mergeCell ref="AP80:AR80"/>
    <mergeCell ref="C78:D78"/>
    <mergeCell ref="F78:G78"/>
    <mergeCell ref="H78:I78"/>
    <mergeCell ref="K78:L78"/>
    <mergeCell ref="N78:O78"/>
    <mergeCell ref="AP78:AR78"/>
    <mergeCell ref="AS78:AU78"/>
    <mergeCell ref="AV78:AX78"/>
    <mergeCell ref="AZ78:BB78"/>
    <mergeCell ref="AS76:AU76"/>
    <mergeCell ref="AV76:AX76"/>
    <mergeCell ref="AZ76:BB76"/>
    <mergeCell ref="BC76:BE76"/>
    <mergeCell ref="C77:D77"/>
    <mergeCell ref="F77:G77"/>
    <mergeCell ref="H77:I77"/>
    <mergeCell ref="K77:L77"/>
    <mergeCell ref="N77:O77"/>
    <mergeCell ref="AP77:AR77"/>
    <mergeCell ref="C76:D76"/>
    <mergeCell ref="F76:G76"/>
    <mergeCell ref="H76:I76"/>
    <mergeCell ref="K76:L76"/>
    <mergeCell ref="N76:O76"/>
    <mergeCell ref="AP76:AR76"/>
    <mergeCell ref="AS77:AU77"/>
    <mergeCell ref="AV77:AX77"/>
    <mergeCell ref="AZ77:BB77"/>
    <mergeCell ref="BC77:BE77"/>
    <mergeCell ref="AP75:AR75"/>
    <mergeCell ref="AS75:AU75"/>
    <mergeCell ref="AV75:AX75"/>
    <mergeCell ref="AZ75:BB75"/>
    <mergeCell ref="BC75:BE75"/>
    <mergeCell ref="BC74:BE74"/>
    <mergeCell ref="C75:D75"/>
    <mergeCell ref="F75:G75"/>
    <mergeCell ref="H75:I75"/>
    <mergeCell ref="K75:L75"/>
    <mergeCell ref="N75:O75"/>
    <mergeCell ref="V75:Y75"/>
    <mergeCell ref="Z75:AB75"/>
    <mergeCell ref="AC75:AD75"/>
    <mergeCell ref="AF75:AH75"/>
    <mergeCell ref="AF74:AH74"/>
    <mergeCell ref="AI74:AL74"/>
    <mergeCell ref="AP74:AR74"/>
    <mergeCell ref="AS74:AU74"/>
    <mergeCell ref="AV74:AX74"/>
    <mergeCell ref="AZ74:BB74"/>
    <mergeCell ref="C74:D74"/>
    <mergeCell ref="F74:G74"/>
    <mergeCell ref="H74:I74"/>
    <mergeCell ref="C73:D73"/>
    <mergeCell ref="F73:G73"/>
    <mergeCell ref="H73:I73"/>
    <mergeCell ref="K73:L73"/>
    <mergeCell ref="N73:O73"/>
    <mergeCell ref="V73:Y73"/>
    <mergeCell ref="Z73:AB73"/>
    <mergeCell ref="AZ73:BB73"/>
    <mergeCell ref="BC73:BE73"/>
    <mergeCell ref="AF73:AH73"/>
    <mergeCell ref="AI73:AL73"/>
    <mergeCell ref="AP73:AR73"/>
    <mergeCell ref="AS73:AU73"/>
    <mergeCell ref="AV73:AX73"/>
    <mergeCell ref="BC71:BE71"/>
    <mergeCell ref="C72:D72"/>
    <mergeCell ref="F72:G72"/>
    <mergeCell ref="H72:I72"/>
    <mergeCell ref="K72:L72"/>
    <mergeCell ref="N72:O72"/>
    <mergeCell ref="AP72:AR72"/>
    <mergeCell ref="AS72:AU72"/>
    <mergeCell ref="AV72:AX72"/>
    <mergeCell ref="AZ72:BB72"/>
    <mergeCell ref="BC72:BE72"/>
    <mergeCell ref="U70:U72"/>
    <mergeCell ref="V70:Y72"/>
    <mergeCell ref="Z70:AB72"/>
    <mergeCell ref="AP69:AR69"/>
    <mergeCell ref="AS69:AU69"/>
    <mergeCell ref="AV69:AX69"/>
    <mergeCell ref="AV70:AX70"/>
    <mergeCell ref="AZ70:BB70"/>
    <mergeCell ref="BC70:BE70"/>
    <mergeCell ref="C71:D71"/>
    <mergeCell ref="F71:G71"/>
    <mergeCell ref="H71:I71"/>
    <mergeCell ref="K71:L71"/>
    <mergeCell ref="N71:O71"/>
    <mergeCell ref="AI71:AL72"/>
    <mergeCell ref="AP71:AR71"/>
    <mergeCell ref="AC70:AD72"/>
    <mergeCell ref="AE70:AE72"/>
    <mergeCell ref="AF70:AH72"/>
    <mergeCell ref="AI70:AL70"/>
    <mergeCell ref="AP70:AR70"/>
    <mergeCell ref="AS70:AU70"/>
    <mergeCell ref="AS71:AU71"/>
    <mergeCell ref="AV71:AX71"/>
    <mergeCell ref="AZ71:BB71"/>
    <mergeCell ref="C70:D70"/>
    <mergeCell ref="F70:G70"/>
    <mergeCell ref="AV68:AX68"/>
    <mergeCell ref="AZ68:BB68"/>
    <mergeCell ref="BC68:BE68"/>
    <mergeCell ref="C69:D69"/>
    <mergeCell ref="F69:G69"/>
    <mergeCell ref="H69:I69"/>
    <mergeCell ref="K69:L69"/>
    <mergeCell ref="N69:O69"/>
    <mergeCell ref="V69:Y69"/>
    <mergeCell ref="Z69:AB69"/>
    <mergeCell ref="Z68:AB68"/>
    <mergeCell ref="AC68:AD68"/>
    <mergeCell ref="AF68:AH68"/>
    <mergeCell ref="AI68:AL68"/>
    <mergeCell ref="AP68:AR68"/>
    <mergeCell ref="AS68:AU68"/>
    <mergeCell ref="C68:D68"/>
    <mergeCell ref="F68:G68"/>
    <mergeCell ref="H68:I68"/>
    <mergeCell ref="K68:L68"/>
    <mergeCell ref="N68:O68"/>
    <mergeCell ref="V68:Y68"/>
    <mergeCell ref="AZ69:BB69"/>
    <mergeCell ref="BC69:BE69"/>
    <mergeCell ref="AP67:AR67"/>
    <mergeCell ref="AS67:AU67"/>
    <mergeCell ref="AV67:AX67"/>
    <mergeCell ref="AZ67:BB67"/>
    <mergeCell ref="BC67:BE67"/>
    <mergeCell ref="BC66:BE66"/>
    <mergeCell ref="C67:D67"/>
    <mergeCell ref="F67:G67"/>
    <mergeCell ref="H67:I67"/>
    <mergeCell ref="K67:L67"/>
    <mergeCell ref="N67:O67"/>
    <mergeCell ref="V67:Y67"/>
    <mergeCell ref="Z67:AB67"/>
    <mergeCell ref="AC67:AD67"/>
    <mergeCell ref="AF67:AH67"/>
    <mergeCell ref="AF66:AH66"/>
    <mergeCell ref="AI66:AL66"/>
    <mergeCell ref="AP66:AR66"/>
    <mergeCell ref="AS66:AU66"/>
    <mergeCell ref="AV66:AX66"/>
    <mergeCell ref="AZ66:BB66"/>
    <mergeCell ref="BC65:BE65"/>
    <mergeCell ref="C66:D66"/>
    <mergeCell ref="F66:G66"/>
    <mergeCell ref="H66:I66"/>
    <mergeCell ref="K66:L66"/>
    <mergeCell ref="N66:O66"/>
    <mergeCell ref="V66:Y66"/>
    <mergeCell ref="Z66:AB66"/>
    <mergeCell ref="AC66:AD66"/>
    <mergeCell ref="AC65:AD65"/>
    <mergeCell ref="AF65:AH65"/>
    <mergeCell ref="AI65:AL65"/>
    <mergeCell ref="AP65:AR65"/>
    <mergeCell ref="AS65:AU65"/>
    <mergeCell ref="AV65:AX65"/>
    <mergeCell ref="C65:D65"/>
    <mergeCell ref="F65:G65"/>
    <mergeCell ref="H65:I65"/>
    <mergeCell ref="K65:L65"/>
    <mergeCell ref="N65:O65"/>
    <mergeCell ref="V65:Y65"/>
    <mergeCell ref="Z65:AB65"/>
    <mergeCell ref="C64:D64"/>
    <mergeCell ref="F64:G64"/>
    <mergeCell ref="H64:I64"/>
    <mergeCell ref="K64:L64"/>
    <mergeCell ref="N64:O64"/>
    <mergeCell ref="V64:Y64"/>
    <mergeCell ref="Z64:AB64"/>
    <mergeCell ref="AC64:AD64"/>
    <mergeCell ref="AZ65:BB65"/>
    <mergeCell ref="BC63:BE63"/>
    <mergeCell ref="AP62:AR62"/>
    <mergeCell ref="AS62:AU62"/>
    <mergeCell ref="AV62:AX62"/>
    <mergeCell ref="AZ62:BB62"/>
    <mergeCell ref="BC62:BE62"/>
    <mergeCell ref="AV64:AX64"/>
    <mergeCell ref="AZ64:BB64"/>
    <mergeCell ref="BC64:BE64"/>
    <mergeCell ref="AP64:AR64"/>
    <mergeCell ref="AS64:AU64"/>
    <mergeCell ref="C63:D63"/>
    <mergeCell ref="F63:G63"/>
    <mergeCell ref="H63:I63"/>
    <mergeCell ref="K63:L63"/>
    <mergeCell ref="N63:O63"/>
    <mergeCell ref="AP61:AR61"/>
    <mergeCell ref="AS61:AU61"/>
    <mergeCell ref="AV61:AX61"/>
    <mergeCell ref="AZ61:BB61"/>
    <mergeCell ref="AP63:AR63"/>
    <mergeCell ref="AS63:AU63"/>
    <mergeCell ref="AV63:AX63"/>
    <mergeCell ref="AZ63:BB63"/>
    <mergeCell ref="C60:D60"/>
    <mergeCell ref="F60:G60"/>
    <mergeCell ref="H60:I60"/>
    <mergeCell ref="K60:L60"/>
    <mergeCell ref="N60:O60"/>
    <mergeCell ref="BC61:BE61"/>
    <mergeCell ref="C62:D62"/>
    <mergeCell ref="F62:G62"/>
    <mergeCell ref="H62:I62"/>
    <mergeCell ref="K62:L62"/>
    <mergeCell ref="N62:O62"/>
    <mergeCell ref="AP60:AR60"/>
    <mergeCell ref="AS60:AU60"/>
    <mergeCell ref="AV60:AX60"/>
    <mergeCell ref="AZ60:BB60"/>
    <mergeCell ref="BC60:BE60"/>
    <mergeCell ref="C61:D61"/>
    <mergeCell ref="F61:G61"/>
    <mergeCell ref="H61:I61"/>
    <mergeCell ref="K61:L61"/>
    <mergeCell ref="N61:O61"/>
    <mergeCell ref="AP58:AR58"/>
    <mergeCell ref="AS58:AU58"/>
    <mergeCell ref="AV58:AX58"/>
    <mergeCell ref="AZ58:BB58"/>
    <mergeCell ref="BC58:BE58"/>
    <mergeCell ref="C59:D59"/>
    <mergeCell ref="F59:G59"/>
    <mergeCell ref="H59:I59"/>
    <mergeCell ref="K59:L59"/>
    <mergeCell ref="N59:O59"/>
    <mergeCell ref="AP59:AR59"/>
    <mergeCell ref="AS59:AU59"/>
    <mergeCell ref="AV59:AX59"/>
    <mergeCell ref="AZ59:BB59"/>
    <mergeCell ref="BC59:BE59"/>
    <mergeCell ref="C57:D57"/>
    <mergeCell ref="F57:G57"/>
    <mergeCell ref="H57:I57"/>
    <mergeCell ref="K57:L57"/>
    <mergeCell ref="N57:O57"/>
    <mergeCell ref="C58:D58"/>
    <mergeCell ref="F58:G58"/>
    <mergeCell ref="H58:I58"/>
    <mergeCell ref="K58:L58"/>
    <mergeCell ref="N58:O58"/>
    <mergeCell ref="C55:D55"/>
    <mergeCell ref="F55:G55"/>
    <mergeCell ref="H55:I55"/>
    <mergeCell ref="K55:L55"/>
    <mergeCell ref="N55:O55"/>
    <mergeCell ref="C56:D56"/>
    <mergeCell ref="F56:G56"/>
    <mergeCell ref="H56:I56"/>
    <mergeCell ref="K56:L56"/>
    <mergeCell ref="N56:O56"/>
    <mergeCell ref="C53:D53"/>
    <mergeCell ref="F53:G53"/>
    <mergeCell ref="H53:I53"/>
    <mergeCell ref="K53:L53"/>
    <mergeCell ref="N53:O53"/>
    <mergeCell ref="C54:D54"/>
    <mergeCell ref="F54:G54"/>
    <mergeCell ref="H54:I54"/>
    <mergeCell ref="K54:L54"/>
    <mergeCell ref="N54:O54"/>
    <mergeCell ref="C51:D51"/>
    <mergeCell ref="F51:G51"/>
    <mergeCell ref="H51:I51"/>
    <mergeCell ref="K51:L51"/>
    <mergeCell ref="N51:O51"/>
    <mergeCell ref="C52:D52"/>
    <mergeCell ref="F52:G52"/>
    <mergeCell ref="H52:I52"/>
    <mergeCell ref="K52:L52"/>
    <mergeCell ref="N52:O52"/>
    <mergeCell ref="C49:D49"/>
    <mergeCell ref="F49:G49"/>
    <mergeCell ref="H49:I49"/>
    <mergeCell ref="K49:L49"/>
    <mergeCell ref="N49:O49"/>
    <mergeCell ref="C50:D50"/>
    <mergeCell ref="F50:G50"/>
    <mergeCell ref="H50:I50"/>
    <mergeCell ref="K50:L50"/>
    <mergeCell ref="N50:O50"/>
    <mergeCell ref="C47:D47"/>
    <mergeCell ref="F47:G47"/>
    <mergeCell ref="K47:L47"/>
    <mergeCell ref="C48:D48"/>
    <mergeCell ref="F48:G48"/>
    <mergeCell ref="K48:L48"/>
    <mergeCell ref="M47:N47"/>
    <mergeCell ref="M48:N48"/>
    <mergeCell ref="H47:J47"/>
    <mergeCell ref="C45:D45"/>
    <mergeCell ref="F45:G45"/>
    <mergeCell ref="K45:L45"/>
    <mergeCell ref="C46:D46"/>
    <mergeCell ref="F46:G46"/>
    <mergeCell ref="K46:L46"/>
    <mergeCell ref="H45:J45"/>
    <mergeCell ref="M45:N45"/>
    <mergeCell ref="C43:D43"/>
    <mergeCell ref="F43:G43"/>
    <mergeCell ref="K43:L43"/>
    <mergeCell ref="C44:D44"/>
    <mergeCell ref="F44:G44"/>
    <mergeCell ref="K44:L44"/>
    <mergeCell ref="H46:J46"/>
    <mergeCell ref="C41:D41"/>
    <mergeCell ref="F41:G41"/>
    <mergeCell ref="K41:L41"/>
    <mergeCell ref="C42:D42"/>
    <mergeCell ref="F42:G42"/>
    <mergeCell ref="K42:L42"/>
    <mergeCell ref="M41:N41"/>
    <mergeCell ref="M42:N42"/>
    <mergeCell ref="C39:D39"/>
    <mergeCell ref="F39:G39"/>
    <mergeCell ref="K39:L39"/>
    <mergeCell ref="C40:D40"/>
    <mergeCell ref="F40:G40"/>
    <mergeCell ref="K40:L40"/>
    <mergeCell ref="H39:J39"/>
    <mergeCell ref="H40:J40"/>
    <mergeCell ref="M40:N40"/>
    <mergeCell ref="C37:D37"/>
    <mergeCell ref="F37:G37"/>
    <mergeCell ref="K37:L37"/>
    <mergeCell ref="C38:D38"/>
    <mergeCell ref="F38:G38"/>
    <mergeCell ref="K38:L38"/>
    <mergeCell ref="M37:N37"/>
    <mergeCell ref="M38:N38"/>
    <mergeCell ref="C35:D35"/>
    <mergeCell ref="F35:G35"/>
    <mergeCell ref="K35:L35"/>
    <mergeCell ref="C36:D36"/>
    <mergeCell ref="F36:G36"/>
    <mergeCell ref="K36:L36"/>
    <mergeCell ref="H35:J35"/>
    <mergeCell ref="H36:J36"/>
    <mergeCell ref="H37:J37"/>
    <mergeCell ref="H38:J38"/>
    <mergeCell ref="M35:N35"/>
    <mergeCell ref="M36:N36"/>
    <mergeCell ref="C33:D33"/>
    <mergeCell ref="F33:G33"/>
    <mergeCell ref="K33:L33"/>
    <mergeCell ref="C34:D34"/>
    <mergeCell ref="F34:G34"/>
    <mergeCell ref="K34:L34"/>
    <mergeCell ref="M33:N33"/>
    <mergeCell ref="M34:N34"/>
    <mergeCell ref="C31:D31"/>
    <mergeCell ref="F31:G31"/>
    <mergeCell ref="K31:L31"/>
    <mergeCell ref="C32:D32"/>
    <mergeCell ref="F32:G32"/>
    <mergeCell ref="K32:L32"/>
    <mergeCell ref="H31:J31"/>
    <mergeCell ref="H32:J32"/>
    <mergeCell ref="H33:J33"/>
    <mergeCell ref="H34:J34"/>
    <mergeCell ref="M31:N31"/>
    <mergeCell ref="M32:N32"/>
    <mergeCell ref="C29:D29"/>
    <mergeCell ref="F29:G29"/>
    <mergeCell ref="K29:L29"/>
    <mergeCell ref="C30:D30"/>
    <mergeCell ref="F30:G30"/>
    <mergeCell ref="K30:L30"/>
    <mergeCell ref="C27:D27"/>
    <mergeCell ref="F27:G27"/>
    <mergeCell ref="K27:L27"/>
    <mergeCell ref="C28:D28"/>
    <mergeCell ref="F28:G28"/>
    <mergeCell ref="K28:L28"/>
    <mergeCell ref="H28:J28"/>
    <mergeCell ref="H27:J27"/>
    <mergeCell ref="H29:J29"/>
    <mergeCell ref="H30:J30"/>
    <mergeCell ref="C26:D26"/>
    <mergeCell ref="F26:G26"/>
    <mergeCell ref="K26:L26"/>
    <mergeCell ref="AK24:AM24"/>
    <mergeCell ref="AN24:AO24"/>
    <mergeCell ref="C25:D25"/>
    <mergeCell ref="F25:G25"/>
    <mergeCell ref="K25:L25"/>
    <mergeCell ref="AB25:AC25"/>
    <mergeCell ref="C24:D24"/>
    <mergeCell ref="F24:G24"/>
    <mergeCell ref="K24:L24"/>
    <mergeCell ref="AB24:AC24"/>
    <mergeCell ref="AE24:AF24"/>
    <mergeCell ref="AN25:AO25"/>
    <mergeCell ref="M24:N24"/>
    <mergeCell ref="AE25:AF25"/>
    <mergeCell ref="AK25:AM25"/>
    <mergeCell ref="M26:N26"/>
    <mergeCell ref="O26:P26"/>
    <mergeCell ref="H24:J24"/>
    <mergeCell ref="H25:J25"/>
    <mergeCell ref="H26:J26"/>
    <mergeCell ref="AE23:AF23"/>
    <mergeCell ref="AK23:AM23"/>
    <mergeCell ref="AB23:AC23"/>
    <mergeCell ref="M25:N25"/>
    <mergeCell ref="AN23:AO23"/>
    <mergeCell ref="AI21:AI22"/>
    <mergeCell ref="AJ21:AJ22"/>
    <mergeCell ref="C23:D23"/>
    <mergeCell ref="F23:G23"/>
    <mergeCell ref="K23:L23"/>
    <mergeCell ref="M23:N23"/>
    <mergeCell ref="AA20:AA22"/>
    <mergeCell ref="AB20:AH20"/>
    <mergeCell ref="AI20:AO20"/>
    <mergeCell ref="H20:J20"/>
    <mergeCell ref="H21:J21"/>
    <mergeCell ref="K22:L22"/>
    <mergeCell ref="O23:P23"/>
    <mergeCell ref="O24:P24"/>
    <mergeCell ref="O25:P25"/>
    <mergeCell ref="H22:J22"/>
    <mergeCell ref="H23:J23"/>
    <mergeCell ref="AP20:AQ21"/>
    <mergeCell ref="AK21:AM22"/>
    <mergeCell ref="AN21:AO22"/>
    <mergeCell ref="AD21:AD22"/>
    <mergeCell ref="AE21:AF22"/>
    <mergeCell ref="AG21:AG22"/>
    <mergeCell ref="AH21:AH22"/>
    <mergeCell ref="C21:D21"/>
    <mergeCell ref="F21:G21"/>
    <mergeCell ref="K21:L21"/>
    <mergeCell ref="AB21:AC22"/>
    <mergeCell ref="C20:D20"/>
    <mergeCell ref="F20:G20"/>
    <mergeCell ref="K20:L20"/>
    <mergeCell ref="Z20:Z22"/>
    <mergeCell ref="C22:D22"/>
    <mergeCell ref="F22:G22"/>
    <mergeCell ref="M20:N20"/>
    <mergeCell ref="M21:N21"/>
    <mergeCell ref="M22:N22"/>
    <mergeCell ref="O20:P20"/>
    <mergeCell ref="O21:P21"/>
    <mergeCell ref="O22:P22"/>
    <mergeCell ref="C19:D19"/>
    <mergeCell ref="F19:G19"/>
    <mergeCell ref="K19:L19"/>
    <mergeCell ref="Z19:AQ19"/>
    <mergeCell ref="K16:L17"/>
    <mergeCell ref="C18:D18"/>
    <mergeCell ref="F18:G18"/>
    <mergeCell ref="K18:L18"/>
    <mergeCell ref="M18:N18"/>
    <mergeCell ref="O18:P18"/>
    <mergeCell ref="M19:N19"/>
    <mergeCell ref="O19:P19"/>
    <mergeCell ref="H16:J17"/>
    <mergeCell ref="H19:J19"/>
    <mergeCell ref="H18:J18"/>
    <mergeCell ref="O16:P17"/>
    <mergeCell ref="M16:N17"/>
    <mergeCell ref="B16:B17"/>
    <mergeCell ref="C16:D17"/>
    <mergeCell ref="E16:E17"/>
    <mergeCell ref="F16:G17"/>
    <mergeCell ref="L13:O13"/>
    <mergeCell ref="P13:R13"/>
    <mergeCell ref="A15:R15"/>
    <mergeCell ref="H13:K13"/>
    <mergeCell ref="A16:A17"/>
    <mergeCell ref="A13:D13"/>
    <mergeCell ref="E13:G13"/>
    <mergeCell ref="A11:R11"/>
    <mergeCell ref="H12:K12"/>
    <mergeCell ref="L12:O12"/>
    <mergeCell ref="P12:R12"/>
    <mergeCell ref="A8:D8"/>
    <mergeCell ref="E8:R8"/>
    <mergeCell ref="A9:D9"/>
    <mergeCell ref="E9:J9"/>
    <mergeCell ref="K9:M9"/>
    <mergeCell ref="N9:R9"/>
    <mergeCell ref="E12:G12"/>
    <mergeCell ref="A12:D12"/>
    <mergeCell ref="A6:D6"/>
    <mergeCell ref="E6:R6"/>
    <mergeCell ref="A7:D7"/>
    <mergeCell ref="E7:R7"/>
    <mergeCell ref="A1:B1"/>
    <mergeCell ref="C1:R1"/>
    <mergeCell ref="J2:L2"/>
    <mergeCell ref="A4:D4"/>
    <mergeCell ref="E4:R4"/>
    <mergeCell ref="A5:D5"/>
    <mergeCell ref="E5:R5"/>
    <mergeCell ref="O36:P36"/>
    <mergeCell ref="O37:P37"/>
    <mergeCell ref="O38:P38"/>
    <mergeCell ref="O39:P39"/>
    <mergeCell ref="O40:P40"/>
    <mergeCell ref="O41:P41"/>
    <mergeCell ref="O48:P48"/>
    <mergeCell ref="O42:P42"/>
    <mergeCell ref="O43:P43"/>
    <mergeCell ref="O44:P44"/>
    <mergeCell ref="O45:P45"/>
    <mergeCell ref="O46:P46"/>
    <mergeCell ref="O47:P47"/>
  </mergeCells>
  <printOptions horizontalCentered="1"/>
  <pageMargins left="0.35433070866141736" right="0.35433070866141736" top="0.6692913385826772" bottom="0.35433070866141736" header="0.35433070866141736" footer="0.15748031496062992"/>
  <pageSetup paperSize="9" scale="92" fitToHeight="0" orientation="landscape" r:id="rId1"/>
  <headerFooter alignWithMargins="0">
    <oddFooter>&amp;R&amp;"Times New Roman,обычный"&amp;8&amp;U&amp;A&amp;U стр.&amp;P из &amp;N</oddFooter>
  </headerFooter>
  <rowBreaks count="2" manualBreakCount="2">
    <brk id="22" max="17" man="1"/>
    <brk id="48" max="17" man="1"/>
  </row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M780"/>
  <sheetViews>
    <sheetView view="pageBreakPreview" zoomScaleNormal="100" workbookViewId="0">
      <selection activeCell="N7" sqref="N7"/>
    </sheetView>
  </sheetViews>
  <sheetFormatPr defaultRowHeight="10.5" customHeight="1" x14ac:dyDescent="0.2"/>
  <cols>
    <col min="1" max="1" width="14.85546875" style="523" customWidth="1"/>
    <col min="2" max="2" width="9.85546875" style="524" customWidth="1"/>
    <col min="3" max="3" width="8.140625" style="523" customWidth="1"/>
    <col min="4" max="4" width="3.42578125" style="523" customWidth="1"/>
    <col min="5" max="5" width="0.7109375" style="523" customWidth="1"/>
    <col min="6" max="6" width="3.85546875" style="523" customWidth="1"/>
    <col min="7" max="7" width="9.42578125" style="523" customWidth="1"/>
    <col min="8" max="8" width="8" style="523" customWidth="1"/>
    <col min="9" max="9" width="8.28515625" style="523" customWidth="1"/>
    <col min="10" max="10" width="10" style="496" customWidth="1"/>
    <col min="11" max="11" width="18.85546875" style="523" customWidth="1"/>
  </cols>
  <sheetData>
    <row r="1" spans="1:13" s="119" customFormat="1" ht="10.5" customHeight="1" x14ac:dyDescent="0.2">
      <c r="A1" s="497"/>
      <c r="B1" s="498"/>
      <c r="C1" s="499"/>
      <c r="D1" s="499"/>
      <c r="E1" s="499"/>
      <c r="F1" s="499"/>
      <c r="G1" s="499"/>
      <c r="H1" s="499"/>
      <c r="I1" s="499"/>
      <c r="J1" s="489"/>
      <c r="K1" s="500"/>
    </row>
    <row r="2" spans="1:13" s="119" customFormat="1" ht="10.5" customHeight="1" x14ac:dyDescent="0.2">
      <c r="A2" s="501" t="s">
        <v>325</v>
      </c>
      <c r="B2" s="933"/>
      <c r="C2" s="933"/>
      <c r="D2" s="934" t="s">
        <v>326</v>
      </c>
      <c r="E2" s="934"/>
      <c r="F2" s="934"/>
      <c r="G2" s="934"/>
      <c r="H2" s="935">
        <f>'Акт отбора проб Почва'!E9</f>
        <v>45739</v>
      </c>
      <c r="I2" s="936"/>
      <c r="J2" s="490"/>
      <c r="K2" s="502" t="s">
        <v>327</v>
      </c>
    </row>
    <row r="3" spans="1:13" s="119" customFormat="1" ht="10.5" customHeight="1" x14ac:dyDescent="0.2">
      <c r="A3" s="501"/>
      <c r="B3" s="503"/>
      <c r="C3" s="504"/>
      <c r="D3" s="504"/>
      <c r="E3" s="504"/>
      <c r="F3" s="504"/>
      <c r="G3" s="504"/>
      <c r="H3" s="504"/>
      <c r="I3" s="504"/>
      <c r="J3" s="490"/>
      <c r="K3" s="502">
        <f>$B$2</f>
        <v>0</v>
      </c>
    </row>
    <row r="4" spans="1:13" s="119" customFormat="1" ht="10.5" customHeight="1" x14ac:dyDescent="0.2">
      <c r="A4" s="501" t="s">
        <v>0</v>
      </c>
      <c r="B4" s="937" t="s">
        <v>969</v>
      </c>
      <c r="C4" s="937"/>
      <c r="D4" s="937"/>
      <c r="E4" s="937"/>
      <c r="F4" s="937"/>
      <c r="G4" s="937"/>
      <c r="H4" s="937"/>
      <c r="I4" s="937"/>
      <c r="J4" s="938"/>
      <c r="K4" s="502"/>
    </row>
    <row r="5" spans="1:13" s="119" customFormat="1" ht="10.5" customHeight="1" x14ac:dyDescent="0.2">
      <c r="A5" s="501"/>
      <c r="B5" s="937"/>
      <c r="C5" s="937"/>
      <c r="D5" s="937"/>
      <c r="E5" s="937"/>
      <c r="F5" s="937"/>
      <c r="G5" s="937"/>
      <c r="H5" s="937"/>
      <c r="I5" s="937"/>
      <c r="J5" s="938"/>
      <c r="K5" s="502" t="s">
        <v>328</v>
      </c>
    </row>
    <row r="6" spans="1:13" s="119" customFormat="1" ht="10.5" customHeight="1" x14ac:dyDescent="0.2">
      <c r="A6" s="939" t="s">
        <v>329</v>
      </c>
      <c r="B6" s="940"/>
      <c r="C6" s="940"/>
      <c r="D6" s="941" t="str">
        <f>'Акт отбора проб Почва'!F20</f>
        <v>ПП1</v>
      </c>
      <c r="E6" s="941"/>
      <c r="F6" s="941"/>
      <c r="G6" s="942" t="s">
        <v>330</v>
      </c>
      <c r="H6" s="942"/>
      <c r="I6" s="942"/>
      <c r="J6" s="491" t="str">
        <f>'Акт отбора проб Почва'!B20</f>
        <v>0,0-0,2</v>
      </c>
      <c r="K6" s="505">
        <f>H2</f>
        <v>45739</v>
      </c>
    </row>
    <row r="7" spans="1:13" s="119" customFormat="1" ht="10.5" customHeight="1" x14ac:dyDescent="0.2">
      <c r="A7" s="501"/>
      <c r="B7" s="506"/>
      <c r="C7" s="507"/>
      <c r="D7" s="128"/>
      <c r="E7" s="128"/>
      <c r="F7" s="128"/>
      <c r="G7" s="508"/>
      <c r="H7" s="508"/>
      <c r="I7" s="508"/>
      <c r="J7" s="154"/>
      <c r="K7" s="502" t="s">
        <v>331</v>
      </c>
    </row>
    <row r="8" spans="1:13" s="119" customFormat="1" ht="10.5" customHeight="1" x14ac:dyDescent="0.2">
      <c r="A8" s="501" t="s">
        <v>331</v>
      </c>
      <c r="B8" s="509" t="str">
        <f>'Акт отбора проб Почва'!C20</f>
        <v>01АХ.01</v>
      </c>
      <c r="C8" s="507"/>
      <c r="D8" s="946"/>
      <c r="E8" s="946"/>
      <c r="F8" s="946"/>
      <c r="G8" s="946"/>
      <c r="H8" s="946"/>
      <c r="I8" s="508"/>
      <c r="J8" s="154"/>
      <c r="K8" s="502" t="str">
        <f>B8</f>
        <v>01АХ.01</v>
      </c>
    </row>
    <row r="9" spans="1:13" s="119" customFormat="1" ht="10.5" customHeight="1" x14ac:dyDescent="0.2">
      <c r="A9" s="501"/>
      <c r="B9" s="506"/>
      <c r="C9" s="507"/>
      <c r="D9" s="507"/>
      <c r="E9" s="507"/>
      <c r="F9" s="507"/>
      <c r="G9" s="507"/>
      <c r="H9" s="507"/>
      <c r="I9" s="507"/>
      <c r="J9" s="490"/>
      <c r="K9" s="502" t="s">
        <v>332</v>
      </c>
      <c r="M9" s="130"/>
    </row>
    <row r="10" spans="1:13" s="119" customFormat="1" ht="10.5" customHeight="1" x14ac:dyDescent="0.2">
      <c r="A10" s="939" t="s">
        <v>681</v>
      </c>
      <c r="B10" s="940"/>
      <c r="C10" s="947"/>
      <c r="D10" s="947"/>
      <c r="E10" s="947"/>
      <c r="F10" s="947"/>
      <c r="G10" s="947"/>
      <c r="H10" s="947"/>
      <c r="I10" s="947"/>
      <c r="J10" s="131"/>
      <c r="K10" s="502" t="str">
        <f>J6</f>
        <v>0,0-0,2</v>
      </c>
    </row>
    <row r="11" spans="1:13" s="119" customFormat="1" ht="10.5" customHeight="1" x14ac:dyDescent="0.2">
      <c r="A11" s="501" t="s">
        <v>333</v>
      </c>
      <c r="B11" s="506"/>
      <c r="C11" s="507"/>
      <c r="D11" s="132"/>
      <c r="E11" s="132"/>
      <c r="F11" s="132"/>
      <c r="G11" s="507"/>
      <c r="H11" s="507"/>
      <c r="I11" s="507"/>
      <c r="J11" s="490"/>
      <c r="K11" s="502" t="s">
        <v>334</v>
      </c>
    </row>
    <row r="12" spans="1:13" s="119" customFormat="1" ht="10.5" customHeight="1" x14ac:dyDescent="0.2">
      <c r="A12" s="501" t="s">
        <v>335</v>
      </c>
      <c r="B12" s="510"/>
      <c r="C12" s="511"/>
      <c r="D12" s="511"/>
      <c r="E12" s="511"/>
      <c r="F12" s="511"/>
      <c r="G12" s="511"/>
      <c r="H12" s="507"/>
      <c r="I12" s="507"/>
      <c r="J12" s="490"/>
      <c r="K12" s="50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512"/>
      <c r="B14" s="513"/>
      <c r="C14" s="514"/>
      <c r="D14" s="514"/>
      <c r="E14" s="514"/>
      <c r="F14" s="514"/>
      <c r="G14" s="514"/>
      <c r="H14" s="514"/>
      <c r="I14" s="514"/>
      <c r="J14" s="492"/>
      <c r="K14" s="500"/>
    </row>
    <row r="15" spans="1:13" s="119" customFormat="1" ht="10.5" customHeight="1" x14ac:dyDescent="0.2">
      <c r="A15" s="501" t="s">
        <v>325</v>
      </c>
      <c r="B15" s="933">
        <f>$B$2</f>
        <v>0</v>
      </c>
      <c r="C15" s="933"/>
      <c r="D15" s="934" t="s">
        <v>326</v>
      </c>
      <c r="E15" s="934"/>
      <c r="F15" s="934"/>
      <c r="G15" s="934"/>
      <c r="H15" s="935">
        <f>$H$2</f>
        <v>45739</v>
      </c>
      <c r="I15" s="936"/>
      <c r="J15" s="493"/>
      <c r="K15" s="502" t="s">
        <v>327</v>
      </c>
    </row>
    <row r="16" spans="1:13" s="119" customFormat="1" ht="10.5" customHeight="1" x14ac:dyDescent="0.2">
      <c r="A16" s="501"/>
      <c r="B16" s="506"/>
      <c r="C16" s="507"/>
      <c r="D16" s="507"/>
      <c r="E16" s="507"/>
      <c r="F16" s="507"/>
      <c r="G16" s="507"/>
      <c r="H16" s="507"/>
      <c r="I16" s="507"/>
      <c r="J16" s="493"/>
      <c r="K16" s="502">
        <f>$B$2</f>
        <v>0</v>
      </c>
    </row>
    <row r="17" spans="1:11" s="119" customFormat="1" ht="10.5" customHeight="1" x14ac:dyDescent="0.2">
      <c r="A17" s="501" t="s">
        <v>0</v>
      </c>
      <c r="B17" s="943" t="str">
        <f>$B$4</f>
        <v>адрес вбить сюда</v>
      </c>
      <c r="C17" s="943"/>
      <c r="D17" s="943"/>
      <c r="E17" s="943"/>
      <c r="F17" s="943"/>
      <c r="G17" s="943"/>
      <c r="H17" s="943"/>
      <c r="I17" s="943"/>
      <c r="J17" s="944"/>
      <c r="K17" s="502"/>
    </row>
    <row r="18" spans="1:11" s="119" customFormat="1" ht="10.5" customHeight="1" x14ac:dyDescent="0.2">
      <c r="A18" s="501"/>
      <c r="B18" s="943"/>
      <c r="C18" s="943"/>
      <c r="D18" s="943"/>
      <c r="E18" s="943"/>
      <c r="F18" s="943"/>
      <c r="G18" s="943"/>
      <c r="H18" s="943"/>
      <c r="I18" s="943"/>
      <c r="J18" s="944"/>
      <c r="K18" s="502" t="s">
        <v>328</v>
      </c>
    </row>
    <row r="19" spans="1:11" s="119" customFormat="1" ht="10.5" customHeight="1" x14ac:dyDescent="0.2">
      <c r="A19" s="939" t="s">
        <v>329</v>
      </c>
      <c r="B19" s="940"/>
      <c r="C19" s="940"/>
      <c r="D19" s="945" t="str">
        <f>'Акт отбора проб Почва'!F21</f>
        <v>ПП2</v>
      </c>
      <c r="E19" s="945"/>
      <c r="F19" s="945"/>
      <c r="G19" s="942" t="s">
        <v>330</v>
      </c>
      <c r="H19" s="942"/>
      <c r="I19" s="942"/>
      <c r="J19" s="491" t="str">
        <f>'Акт отбора проб Почва'!B21</f>
        <v>0,0-0,2</v>
      </c>
      <c r="K19" s="505">
        <f>$H$2</f>
        <v>45739</v>
      </c>
    </row>
    <row r="20" spans="1:11" s="119" customFormat="1" ht="10.5" customHeight="1" x14ac:dyDescent="0.2">
      <c r="A20" s="501"/>
      <c r="B20" s="506"/>
      <c r="C20" s="507"/>
      <c r="D20" s="128"/>
      <c r="E20" s="128"/>
      <c r="F20" s="128"/>
      <c r="G20" s="508"/>
      <c r="H20" s="508"/>
      <c r="I20" s="508"/>
      <c r="J20" s="494"/>
      <c r="K20" s="502" t="s">
        <v>331</v>
      </c>
    </row>
    <row r="21" spans="1:11" s="119" customFormat="1" ht="10.5" customHeight="1" x14ac:dyDescent="0.2">
      <c r="A21" s="501" t="s">
        <v>331</v>
      </c>
      <c r="B21" s="509" t="str">
        <f>'Акт отбора проб Почва'!C21</f>
        <v>02АХ.01</v>
      </c>
      <c r="C21" s="507"/>
      <c r="D21" s="946"/>
      <c r="E21" s="946"/>
      <c r="F21" s="946"/>
      <c r="G21" s="946"/>
      <c r="H21" s="946"/>
      <c r="I21" s="508"/>
      <c r="J21" s="494"/>
      <c r="K21" s="502" t="str">
        <f>B21</f>
        <v>02АХ.01</v>
      </c>
    </row>
    <row r="22" spans="1:11" s="119" customFormat="1" ht="10.5" customHeight="1" x14ac:dyDescent="0.2">
      <c r="A22" s="501"/>
      <c r="B22" s="506"/>
      <c r="C22" s="507"/>
      <c r="D22" s="507"/>
      <c r="E22" s="507"/>
      <c r="F22" s="507"/>
      <c r="G22" s="507"/>
      <c r="H22" s="507"/>
      <c r="I22" s="507"/>
      <c r="J22" s="493"/>
      <c r="K22" s="502" t="s">
        <v>332</v>
      </c>
    </row>
    <row r="23" spans="1:11" s="119" customFormat="1" ht="10.5" customHeight="1" x14ac:dyDescent="0.2">
      <c r="A23" s="939" t="s">
        <v>681</v>
      </c>
      <c r="B23" s="940"/>
      <c r="C23" s="947"/>
      <c r="D23" s="947"/>
      <c r="E23" s="947"/>
      <c r="F23" s="947"/>
      <c r="G23" s="947"/>
      <c r="H23" s="947"/>
      <c r="I23" s="947"/>
      <c r="J23" s="144"/>
      <c r="K23" s="502" t="str">
        <f>J19</f>
        <v>0,0-0,2</v>
      </c>
    </row>
    <row r="24" spans="1:11" s="119" customFormat="1" ht="10.5" customHeight="1" x14ac:dyDescent="0.2">
      <c r="A24" s="501" t="s">
        <v>333</v>
      </c>
      <c r="B24" s="506"/>
      <c r="C24" s="507"/>
      <c r="D24" s="507"/>
      <c r="E24" s="507"/>
      <c r="F24" s="507"/>
      <c r="G24" s="507"/>
      <c r="H24" s="507"/>
      <c r="I24" s="507"/>
      <c r="J24" s="493"/>
      <c r="K24" s="502" t="s">
        <v>334</v>
      </c>
    </row>
    <row r="25" spans="1:11" s="119" customFormat="1" ht="10.5" customHeight="1" x14ac:dyDescent="0.2">
      <c r="A25" s="501" t="s">
        <v>335</v>
      </c>
      <c r="B25" s="510"/>
      <c r="C25" s="511"/>
      <c r="D25" s="511"/>
      <c r="E25" s="511"/>
      <c r="F25" s="511"/>
      <c r="G25" s="511"/>
      <c r="H25" s="507"/>
      <c r="I25" s="507"/>
      <c r="J25" s="493"/>
      <c r="K25" s="50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512"/>
      <c r="B27" s="513"/>
      <c r="C27" s="514"/>
      <c r="D27" s="514"/>
      <c r="E27" s="514"/>
      <c r="F27" s="514"/>
      <c r="G27" s="514"/>
      <c r="H27" s="514"/>
      <c r="I27" s="514"/>
      <c r="J27" s="492"/>
      <c r="K27" s="500"/>
    </row>
    <row r="28" spans="1:11" s="119" customFormat="1" ht="10.5" customHeight="1" x14ac:dyDescent="0.2">
      <c r="A28" s="501" t="s">
        <v>325</v>
      </c>
      <c r="B28" s="933">
        <f>$B$2</f>
        <v>0</v>
      </c>
      <c r="C28" s="933"/>
      <c r="D28" s="934" t="s">
        <v>326</v>
      </c>
      <c r="E28" s="934"/>
      <c r="F28" s="934"/>
      <c r="G28" s="934"/>
      <c r="H28" s="935">
        <f>$H$2</f>
        <v>45739</v>
      </c>
      <c r="I28" s="936"/>
      <c r="J28" s="493"/>
      <c r="K28" s="502" t="s">
        <v>327</v>
      </c>
    </row>
    <row r="29" spans="1:11" s="119" customFormat="1" ht="10.5" customHeight="1" x14ac:dyDescent="0.2">
      <c r="A29" s="501"/>
      <c r="B29" s="506"/>
      <c r="C29" s="507"/>
      <c r="D29" s="507"/>
      <c r="E29" s="507"/>
      <c r="F29" s="507"/>
      <c r="G29" s="507"/>
      <c r="H29" s="507"/>
      <c r="I29" s="507"/>
      <c r="J29" s="493"/>
      <c r="K29" s="502">
        <f>$B$2</f>
        <v>0</v>
      </c>
    </row>
    <row r="30" spans="1:11" s="119" customFormat="1" ht="10.5" customHeight="1" x14ac:dyDescent="0.2">
      <c r="A30" s="501" t="s">
        <v>0</v>
      </c>
      <c r="B30" s="943" t="str">
        <f>B4</f>
        <v>адрес вбить сюда</v>
      </c>
      <c r="C30" s="943"/>
      <c r="D30" s="943"/>
      <c r="E30" s="943"/>
      <c r="F30" s="943"/>
      <c r="G30" s="943"/>
      <c r="H30" s="943"/>
      <c r="I30" s="943"/>
      <c r="J30" s="944"/>
      <c r="K30" s="502"/>
    </row>
    <row r="31" spans="1:11" s="119" customFormat="1" ht="10.5" customHeight="1" x14ac:dyDescent="0.2">
      <c r="A31" s="501"/>
      <c r="B31" s="943"/>
      <c r="C31" s="943"/>
      <c r="D31" s="943"/>
      <c r="E31" s="943"/>
      <c r="F31" s="943"/>
      <c r="G31" s="943"/>
      <c r="H31" s="943"/>
      <c r="I31" s="943"/>
      <c r="J31" s="944"/>
      <c r="K31" s="502" t="s">
        <v>328</v>
      </c>
    </row>
    <row r="32" spans="1:11" s="119" customFormat="1" ht="10.5" customHeight="1" x14ac:dyDescent="0.2">
      <c r="A32" s="939" t="s">
        <v>329</v>
      </c>
      <c r="B32" s="940"/>
      <c r="C32" s="940"/>
      <c r="D32" s="945" t="str">
        <f>'Акт отбора проб Почва'!F22</f>
        <v>ПП3</v>
      </c>
      <c r="E32" s="945"/>
      <c r="F32" s="945"/>
      <c r="G32" s="942" t="s">
        <v>330</v>
      </c>
      <c r="H32" s="942"/>
      <c r="I32" s="942"/>
      <c r="J32" s="491" t="str">
        <f>'Акт отбора проб Почва'!B22</f>
        <v>0,0-0,2</v>
      </c>
      <c r="K32" s="505">
        <f>$H$2</f>
        <v>45739</v>
      </c>
    </row>
    <row r="33" spans="1:11" s="119" customFormat="1" ht="10.5" customHeight="1" x14ac:dyDescent="0.2">
      <c r="A33" s="501"/>
      <c r="B33" s="506"/>
      <c r="C33" s="507"/>
      <c r="D33" s="128"/>
      <c r="E33" s="128"/>
      <c r="F33" s="128"/>
      <c r="G33" s="508"/>
      <c r="H33" s="508"/>
      <c r="I33" s="508"/>
      <c r="J33" s="494"/>
      <c r="K33" s="502" t="s">
        <v>331</v>
      </c>
    </row>
    <row r="34" spans="1:11" s="119" customFormat="1" ht="10.5" customHeight="1" x14ac:dyDescent="0.2">
      <c r="A34" s="501" t="s">
        <v>331</v>
      </c>
      <c r="B34" s="509" t="str">
        <f>'Акт отбора проб Почва'!C22</f>
        <v>03АХ.01</v>
      </c>
      <c r="C34" s="507"/>
      <c r="D34" s="128"/>
      <c r="E34" s="128"/>
      <c r="F34" s="128"/>
      <c r="G34" s="508"/>
      <c r="H34" s="508"/>
      <c r="I34" s="508"/>
      <c r="J34" s="494"/>
      <c r="K34" s="502" t="str">
        <f>B34</f>
        <v>03АХ.01</v>
      </c>
    </row>
    <row r="35" spans="1:11" s="119" customFormat="1" ht="10.5" customHeight="1" x14ac:dyDescent="0.2">
      <c r="A35" s="501"/>
      <c r="B35" s="506"/>
      <c r="C35" s="507"/>
      <c r="D35" s="946"/>
      <c r="E35" s="946"/>
      <c r="F35" s="946"/>
      <c r="G35" s="946"/>
      <c r="H35" s="946"/>
      <c r="I35" s="507"/>
      <c r="J35" s="493"/>
      <c r="K35" s="502" t="s">
        <v>332</v>
      </c>
    </row>
    <row r="36" spans="1:11" s="119" customFormat="1" ht="10.5" customHeight="1" x14ac:dyDescent="0.2">
      <c r="A36" s="939" t="s">
        <v>681</v>
      </c>
      <c r="B36" s="940"/>
      <c r="C36" s="947"/>
      <c r="D36" s="947"/>
      <c r="E36" s="947"/>
      <c r="F36" s="947"/>
      <c r="G36" s="947"/>
      <c r="H36" s="947"/>
      <c r="I36" s="947"/>
      <c r="J36" s="144"/>
      <c r="K36" s="502" t="str">
        <f>J32</f>
        <v>0,0-0,2</v>
      </c>
    </row>
    <row r="37" spans="1:11" s="119" customFormat="1" ht="10.5" customHeight="1" x14ac:dyDescent="0.2">
      <c r="A37" s="501" t="s">
        <v>333</v>
      </c>
      <c r="B37" s="506"/>
      <c r="C37" s="507"/>
      <c r="D37" s="507"/>
      <c r="E37" s="507"/>
      <c r="F37" s="507"/>
      <c r="G37" s="507"/>
      <c r="H37" s="507"/>
      <c r="I37" s="507"/>
      <c r="J37" s="493"/>
      <c r="K37" s="502" t="s">
        <v>334</v>
      </c>
    </row>
    <row r="38" spans="1:11" s="119" customFormat="1" ht="10.5" customHeight="1" x14ac:dyDescent="0.2">
      <c r="A38" s="501" t="s">
        <v>335</v>
      </c>
      <c r="B38" s="510"/>
      <c r="C38" s="511"/>
      <c r="D38" s="511"/>
      <c r="E38" s="511"/>
      <c r="F38" s="511"/>
      <c r="G38" s="511"/>
      <c r="H38" s="507"/>
      <c r="I38" s="507"/>
      <c r="J38" s="493"/>
      <c r="K38" s="50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512"/>
      <c r="B40" s="513"/>
      <c r="C40" s="514"/>
      <c r="D40" s="514"/>
      <c r="E40" s="514"/>
      <c r="F40" s="514"/>
      <c r="G40" s="514"/>
      <c r="H40" s="514"/>
      <c r="I40" s="514"/>
      <c r="J40" s="492"/>
      <c r="K40" s="500"/>
    </row>
    <row r="41" spans="1:11" s="119" customFormat="1" ht="10.5" customHeight="1" x14ac:dyDescent="0.2">
      <c r="A41" s="501" t="s">
        <v>325</v>
      </c>
      <c r="B41" s="933">
        <f>B2</f>
        <v>0</v>
      </c>
      <c r="C41" s="933"/>
      <c r="D41" s="934" t="s">
        <v>326</v>
      </c>
      <c r="E41" s="934"/>
      <c r="F41" s="934"/>
      <c r="G41" s="934"/>
      <c r="H41" s="935">
        <f>$H$2</f>
        <v>45739</v>
      </c>
      <c r="I41" s="936"/>
      <c r="J41" s="493"/>
      <c r="K41" s="502" t="s">
        <v>327</v>
      </c>
    </row>
    <row r="42" spans="1:11" s="119" customFormat="1" ht="10.5" customHeight="1" x14ac:dyDescent="0.2">
      <c r="A42" s="501"/>
      <c r="B42" s="506"/>
      <c r="C42" s="507"/>
      <c r="D42" s="507"/>
      <c r="E42" s="507"/>
      <c r="F42" s="507"/>
      <c r="G42" s="507"/>
      <c r="H42" s="507"/>
      <c r="I42" s="507"/>
      <c r="J42" s="493"/>
      <c r="K42" s="502">
        <f>$B$2</f>
        <v>0</v>
      </c>
    </row>
    <row r="43" spans="1:11" s="119" customFormat="1" ht="10.5" customHeight="1" x14ac:dyDescent="0.2">
      <c r="A43" s="501" t="s">
        <v>0</v>
      </c>
      <c r="B43" s="943" t="str">
        <f>$B$4</f>
        <v>адрес вбить сюда</v>
      </c>
      <c r="C43" s="943"/>
      <c r="D43" s="943"/>
      <c r="E43" s="943"/>
      <c r="F43" s="943"/>
      <c r="G43" s="943"/>
      <c r="H43" s="943"/>
      <c r="I43" s="943"/>
      <c r="J43" s="944"/>
      <c r="K43" s="502"/>
    </row>
    <row r="44" spans="1:11" s="119" customFormat="1" ht="10.5" customHeight="1" x14ac:dyDescent="0.2">
      <c r="A44" s="501"/>
      <c r="B44" s="943"/>
      <c r="C44" s="943"/>
      <c r="D44" s="943"/>
      <c r="E44" s="943"/>
      <c r="F44" s="943"/>
      <c r="G44" s="943"/>
      <c r="H44" s="943"/>
      <c r="I44" s="943"/>
      <c r="J44" s="944"/>
      <c r="K44" s="502" t="s">
        <v>328</v>
      </c>
    </row>
    <row r="45" spans="1:11" s="119" customFormat="1" ht="10.5" customHeight="1" x14ac:dyDescent="0.2">
      <c r="A45" s="939" t="s">
        <v>329</v>
      </c>
      <c r="B45" s="940"/>
      <c r="C45" s="940"/>
      <c r="D45" s="945" t="str">
        <f>'Акт отбора проб Почва'!F23</f>
        <v>ПП4</v>
      </c>
      <c r="E45" s="945"/>
      <c r="F45" s="945"/>
      <c r="G45" s="942" t="s">
        <v>330</v>
      </c>
      <c r="H45" s="942"/>
      <c r="I45" s="942"/>
      <c r="J45" s="491" t="str">
        <f>'Акт отбора проб Почва'!B23</f>
        <v>0,0-0,2</v>
      </c>
      <c r="K45" s="505">
        <f>$H$2</f>
        <v>45739</v>
      </c>
    </row>
    <row r="46" spans="1:11" s="119" customFormat="1" ht="10.5" customHeight="1" x14ac:dyDescent="0.2">
      <c r="A46" s="501"/>
      <c r="B46" s="506"/>
      <c r="C46" s="507"/>
      <c r="D46" s="128"/>
      <c r="E46" s="128"/>
      <c r="F46" s="128"/>
      <c r="G46" s="508"/>
      <c r="H46" s="508"/>
      <c r="I46" s="508"/>
      <c r="J46" s="494"/>
      <c r="K46" s="502" t="s">
        <v>331</v>
      </c>
    </row>
    <row r="47" spans="1:11" s="119" customFormat="1" ht="10.5" customHeight="1" x14ac:dyDescent="0.2">
      <c r="A47" s="501" t="s">
        <v>331</v>
      </c>
      <c r="B47" s="509" t="str">
        <f>'Акт отбора проб Почва'!C23</f>
        <v>04АХ.01</v>
      </c>
      <c r="C47" s="507"/>
      <c r="D47" s="946"/>
      <c r="E47" s="946"/>
      <c r="F47" s="946"/>
      <c r="G47" s="946"/>
      <c r="H47" s="946"/>
      <c r="I47" s="508"/>
      <c r="J47" s="494"/>
      <c r="K47" s="502" t="str">
        <f>B47</f>
        <v>04АХ.01</v>
      </c>
    </row>
    <row r="48" spans="1:11" s="119" customFormat="1" ht="10.5" customHeight="1" x14ac:dyDescent="0.2">
      <c r="A48" s="501"/>
      <c r="B48" s="506"/>
      <c r="C48" s="507"/>
      <c r="D48" s="507"/>
      <c r="E48" s="507"/>
      <c r="F48" s="507"/>
      <c r="G48" s="507"/>
      <c r="H48" s="507"/>
      <c r="I48" s="507"/>
      <c r="J48" s="493"/>
      <c r="K48" s="502" t="s">
        <v>332</v>
      </c>
    </row>
    <row r="49" spans="1:11" s="119" customFormat="1" ht="10.5" customHeight="1" x14ac:dyDescent="0.2">
      <c r="A49" s="939" t="s">
        <v>681</v>
      </c>
      <c r="B49" s="940"/>
      <c r="C49" s="947"/>
      <c r="D49" s="947"/>
      <c r="E49" s="947"/>
      <c r="F49" s="947"/>
      <c r="G49" s="947"/>
      <c r="H49" s="947"/>
      <c r="I49" s="947"/>
      <c r="J49" s="144"/>
      <c r="K49" s="502" t="str">
        <f>J45</f>
        <v>0,0-0,2</v>
      </c>
    </row>
    <row r="50" spans="1:11" s="119" customFormat="1" ht="10.5" customHeight="1" x14ac:dyDescent="0.2">
      <c r="A50" s="501" t="s">
        <v>333</v>
      </c>
      <c r="B50" s="506"/>
      <c r="C50" s="507"/>
      <c r="D50" s="507"/>
      <c r="E50" s="507"/>
      <c r="F50" s="507"/>
      <c r="G50" s="507"/>
      <c r="H50" s="507"/>
      <c r="I50" s="507"/>
      <c r="J50" s="493"/>
      <c r="K50" s="502" t="s">
        <v>334</v>
      </c>
    </row>
    <row r="51" spans="1:11" s="119" customFormat="1" ht="10.5" customHeight="1" x14ac:dyDescent="0.2">
      <c r="A51" s="501" t="s">
        <v>335</v>
      </c>
      <c r="B51" s="510"/>
      <c r="C51" s="511"/>
      <c r="D51" s="511"/>
      <c r="E51" s="511"/>
      <c r="F51" s="511"/>
      <c r="G51" s="511"/>
      <c r="H51" s="507"/>
      <c r="I51" s="507"/>
      <c r="J51" s="493"/>
      <c r="K51" s="50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515"/>
      <c r="B53" s="516"/>
      <c r="C53" s="517"/>
      <c r="D53" s="517"/>
      <c r="E53" s="517"/>
      <c r="F53" s="517"/>
      <c r="G53" s="517"/>
      <c r="H53" s="517"/>
      <c r="I53" s="517"/>
      <c r="J53" s="492"/>
      <c r="K53" s="500"/>
    </row>
    <row r="54" spans="1:11" s="119" customFormat="1" ht="10.5" customHeight="1" x14ac:dyDescent="0.2">
      <c r="A54" s="501" t="s">
        <v>325</v>
      </c>
      <c r="B54" s="933">
        <f>$B$2</f>
        <v>0</v>
      </c>
      <c r="C54" s="933"/>
      <c r="D54" s="934" t="s">
        <v>326</v>
      </c>
      <c r="E54" s="934"/>
      <c r="F54" s="934"/>
      <c r="G54" s="934"/>
      <c r="H54" s="935">
        <f>$H$2</f>
        <v>45739</v>
      </c>
      <c r="I54" s="936"/>
      <c r="J54" s="493"/>
      <c r="K54" s="502" t="s">
        <v>327</v>
      </c>
    </row>
    <row r="55" spans="1:11" s="119" customFormat="1" ht="10.5" customHeight="1" x14ac:dyDescent="0.2">
      <c r="A55" s="518"/>
      <c r="B55" s="506"/>
      <c r="C55" s="507"/>
      <c r="D55" s="507"/>
      <c r="E55" s="507"/>
      <c r="F55" s="507"/>
      <c r="G55" s="507"/>
      <c r="H55" s="507"/>
      <c r="I55" s="507"/>
      <c r="J55" s="493"/>
      <c r="K55" s="502">
        <f>$B$2</f>
        <v>0</v>
      </c>
    </row>
    <row r="56" spans="1:11" s="119" customFormat="1" ht="10.5" customHeight="1" x14ac:dyDescent="0.2">
      <c r="A56" s="501" t="s">
        <v>0</v>
      </c>
      <c r="B56" s="943" t="str">
        <f>$B$4</f>
        <v>адрес вбить сюда</v>
      </c>
      <c r="C56" s="943"/>
      <c r="D56" s="943"/>
      <c r="E56" s="943"/>
      <c r="F56" s="943"/>
      <c r="G56" s="943"/>
      <c r="H56" s="943"/>
      <c r="I56" s="943"/>
      <c r="J56" s="944"/>
      <c r="K56" s="502"/>
    </row>
    <row r="57" spans="1:11" s="119" customFormat="1" ht="10.5" customHeight="1" x14ac:dyDescent="0.2">
      <c r="A57" s="518"/>
      <c r="B57" s="943"/>
      <c r="C57" s="943"/>
      <c r="D57" s="943"/>
      <c r="E57" s="943"/>
      <c r="F57" s="943"/>
      <c r="G57" s="943"/>
      <c r="H57" s="943"/>
      <c r="I57" s="943"/>
      <c r="J57" s="944"/>
      <c r="K57" s="502" t="s">
        <v>328</v>
      </c>
    </row>
    <row r="58" spans="1:11" s="119" customFormat="1" ht="10.5" customHeight="1" x14ac:dyDescent="0.2">
      <c r="A58" s="948" t="s">
        <v>329</v>
      </c>
      <c r="B58" s="933"/>
      <c r="C58" s="933"/>
      <c r="D58" s="945" t="str">
        <f>'Акт отбора проб Почва'!F24</f>
        <v>ПП5</v>
      </c>
      <c r="E58" s="945"/>
      <c r="F58" s="945"/>
      <c r="G58" s="949" t="s">
        <v>330</v>
      </c>
      <c r="H58" s="949"/>
      <c r="I58" s="949"/>
      <c r="J58" s="491" t="str">
        <f>'Акт отбора проб Почва'!B24</f>
        <v>0,0-0,2</v>
      </c>
      <c r="K58" s="505">
        <f>$H$2</f>
        <v>45739</v>
      </c>
    </row>
    <row r="59" spans="1:11" s="119" customFormat="1" ht="10.5" customHeight="1" x14ac:dyDescent="0.2">
      <c r="A59" s="518"/>
      <c r="B59" s="503"/>
      <c r="C59" s="504"/>
      <c r="D59" s="154"/>
      <c r="E59" s="154"/>
      <c r="F59" s="154"/>
      <c r="G59" s="519"/>
      <c r="H59" s="519"/>
      <c r="I59" s="519"/>
      <c r="J59" s="494"/>
      <c r="K59" s="502" t="s">
        <v>331</v>
      </c>
    </row>
    <row r="60" spans="1:11" s="119" customFormat="1" ht="10.5" customHeight="1" x14ac:dyDescent="0.2">
      <c r="A60" s="501" t="s">
        <v>331</v>
      </c>
      <c r="B60" s="509" t="str">
        <f>'Акт отбора проб Почва'!C24</f>
        <v>05АХ.01</v>
      </c>
      <c r="C60" s="504"/>
      <c r="D60" s="946"/>
      <c r="E60" s="946"/>
      <c r="F60" s="946"/>
      <c r="G60" s="946"/>
      <c r="H60" s="946"/>
      <c r="I60" s="519"/>
      <c r="J60" s="494"/>
      <c r="K60" s="502" t="str">
        <f>B60</f>
        <v>05АХ.01</v>
      </c>
    </row>
    <row r="61" spans="1:11" s="119" customFormat="1" ht="10.5" customHeight="1" x14ac:dyDescent="0.2">
      <c r="A61" s="518"/>
      <c r="B61" s="503"/>
      <c r="C61" s="504"/>
      <c r="D61" s="504"/>
      <c r="E61" s="504"/>
      <c r="F61" s="504"/>
      <c r="G61" s="504"/>
      <c r="H61" s="504"/>
      <c r="I61" s="504"/>
      <c r="J61" s="493"/>
      <c r="K61" s="502" t="s">
        <v>332</v>
      </c>
    </row>
    <row r="62" spans="1:11" s="119" customFormat="1" ht="10.5" customHeight="1" x14ac:dyDescent="0.2">
      <c r="A62" s="948" t="s">
        <v>681</v>
      </c>
      <c r="B62" s="933"/>
      <c r="C62" s="950"/>
      <c r="D62" s="950"/>
      <c r="E62" s="950"/>
      <c r="F62" s="950"/>
      <c r="G62" s="950"/>
      <c r="H62" s="950"/>
      <c r="I62" s="950"/>
      <c r="J62" s="155"/>
      <c r="K62" s="502" t="str">
        <f>J58</f>
        <v>0,0-0,2</v>
      </c>
    </row>
    <row r="63" spans="1:11" s="119" customFormat="1" ht="10.5" customHeight="1" x14ac:dyDescent="0.2">
      <c r="A63" s="518" t="s">
        <v>333</v>
      </c>
      <c r="B63" s="503"/>
      <c r="C63" s="504"/>
      <c r="D63" s="504"/>
      <c r="E63" s="504"/>
      <c r="F63" s="504"/>
      <c r="G63" s="504"/>
      <c r="H63" s="504"/>
      <c r="I63" s="504"/>
      <c r="J63" s="493"/>
      <c r="K63" s="502" t="s">
        <v>334</v>
      </c>
    </row>
    <row r="64" spans="1:11" s="119" customFormat="1" ht="10.5" customHeight="1" x14ac:dyDescent="0.2">
      <c r="A64" s="518" t="s">
        <v>335</v>
      </c>
      <c r="B64" s="520"/>
      <c r="C64" s="521"/>
      <c r="D64" s="521"/>
      <c r="E64" s="521"/>
      <c r="F64" s="521"/>
      <c r="G64" s="521"/>
      <c r="H64" s="504"/>
      <c r="I64" s="504"/>
      <c r="J64" s="493"/>
      <c r="K64" s="50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497"/>
      <c r="B66" s="498"/>
      <c r="C66" s="499"/>
      <c r="D66" s="499"/>
      <c r="E66" s="499"/>
      <c r="F66" s="499"/>
      <c r="G66" s="499"/>
      <c r="H66" s="499"/>
      <c r="I66" s="499"/>
      <c r="J66" s="495"/>
      <c r="K66" s="500"/>
    </row>
    <row r="67" spans="1:11" s="119" customFormat="1" ht="10.5" customHeight="1" x14ac:dyDescent="0.2">
      <c r="A67" s="501" t="s">
        <v>325</v>
      </c>
      <c r="B67" s="933">
        <f>$B$2</f>
        <v>0</v>
      </c>
      <c r="C67" s="933"/>
      <c r="D67" s="934" t="s">
        <v>326</v>
      </c>
      <c r="E67" s="934"/>
      <c r="F67" s="934"/>
      <c r="G67" s="934"/>
      <c r="H67" s="935">
        <f>$H$2</f>
        <v>45739</v>
      </c>
      <c r="I67" s="936"/>
      <c r="J67" s="493"/>
      <c r="K67" s="502" t="s">
        <v>327</v>
      </c>
    </row>
    <row r="68" spans="1:11" s="119" customFormat="1" ht="10.5" customHeight="1" x14ac:dyDescent="0.2">
      <c r="A68" s="501"/>
      <c r="B68" s="506"/>
      <c r="C68" s="507"/>
      <c r="D68" s="507"/>
      <c r="E68" s="507"/>
      <c r="F68" s="507"/>
      <c r="G68" s="507"/>
      <c r="H68" s="507"/>
      <c r="I68" s="507"/>
      <c r="J68" s="493"/>
      <c r="K68" s="502">
        <f>$B$2</f>
        <v>0</v>
      </c>
    </row>
    <row r="69" spans="1:11" s="119" customFormat="1" ht="10.5" customHeight="1" x14ac:dyDescent="0.2">
      <c r="A69" s="501" t="s">
        <v>0</v>
      </c>
      <c r="B69" s="943" t="str">
        <f>$B$4</f>
        <v>адрес вбить сюда</v>
      </c>
      <c r="C69" s="943"/>
      <c r="D69" s="943"/>
      <c r="E69" s="943"/>
      <c r="F69" s="943"/>
      <c r="G69" s="943"/>
      <c r="H69" s="943"/>
      <c r="I69" s="943"/>
      <c r="J69" s="944"/>
      <c r="K69" s="502"/>
    </row>
    <row r="70" spans="1:11" s="119" customFormat="1" ht="10.5" customHeight="1" x14ac:dyDescent="0.2">
      <c r="A70" s="501"/>
      <c r="B70" s="943"/>
      <c r="C70" s="943"/>
      <c r="D70" s="943"/>
      <c r="E70" s="943"/>
      <c r="F70" s="943"/>
      <c r="G70" s="943"/>
      <c r="H70" s="943"/>
      <c r="I70" s="943"/>
      <c r="J70" s="944"/>
      <c r="K70" s="502" t="s">
        <v>328</v>
      </c>
    </row>
    <row r="71" spans="1:11" s="119" customFormat="1" ht="10.5" customHeight="1" x14ac:dyDescent="0.2">
      <c r="A71" s="939" t="s">
        <v>329</v>
      </c>
      <c r="B71" s="940"/>
      <c r="C71" s="940"/>
      <c r="D71" s="945" t="str">
        <f>'Акт отбора проб Почва'!F25</f>
        <v>ПП6</v>
      </c>
      <c r="E71" s="945"/>
      <c r="F71" s="945"/>
      <c r="G71" s="942" t="s">
        <v>330</v>
      </c>
      <c r="H71" s="942"/>
      <c r="I71" s="942"/>
      <c r="J71" s="491" t="str">
        <f>'Акт отбора проб Почва'!B25</f>
        <v>0,0-0,2</v>
      </c>
      <c r="K71" s="505">
        <f>$H$2</f>
        <v>45739</v>
      </c>
    </row>
    <row r="72" spans="1:11" s="119" customFormat="1" ht="10.5" customHeight="1" x14ac:dyDescent="0.2">
      <c r="A72" s="501"/>
      <c r="B72" s="506"/>
      <c r="C72" s="507"/>
      <c r="D72" s="128"/>
      <c r="E72" s="128"/>
      <c r="F72" s="128"/>
      <c r="G72" s="508"/>
      <c r="H72" s="508"/>
      <c r="I72" s="508"/>
      <c r="J72" s="494"/>
      <c r="K72" s="502" t="s">
        <v>331</v>
      </c>
    </row>
    <row r="73" spans="1:11" s="119" customFormat="1" ht="10.5" customHeight="1" x14ac:dyDescent="0.2">
      <c r="A73" s="501" t="s">
        <v>331</v>
      </c>
      <c r="B73" s="509" t="str">
        <f>'Акт отбора проб Почва'!C25</f>
        <v>06АХ.01</v>
      </c>
      <c r="C73" s="507"/>
      <c r="D73" s="128"/>
      <c r="E73" s="128"/>
      <c r="F73" s="128"/>
      <c r="G73" s="508"/>
      <c r="H73" s="508"/>
      <c r="I73" s="508"/>
      <c r="J73" s="494"/>
      <c r="K73" s="502" t="str">
        <f>B73</f>
        <v>06АХ.01</v>
      </c>
    </row>
    <row r="74" spans="1:11" s="119" customFormat="1" ht="10.5" customHeight="1" x14ac:dyDescent="0.2">
      <c r="A74" s="501"/>
      <c r="B74" s="506"/>
      <c r="C74" s="507"/>
      <c r="D74" s="946"/>
      <c r="E74" s="946"/>
      <c r="F74" s="946"/>
      <c r="G74" s="946"/>
      <c r="H74" s="946"/>
      <c r="I74" s="507"/>
      <c r="J74" s="493"/>
      <c r="K74" s="502" t="s">
        <v>332</v>
      </c>
    </row>
    <row r="75" spans="1:11" s="119" customFormat="1" ht="10.5" customHeight="1" x14ac:dyDescent="0.2">
      <c r="A75" s="939" t="s">
        <v>681</v>
      </c>
      <c r="B75" s="940"/>
      <c r="C75" s="947"/>
      <c r="D75" s="947"/>
      <c r="E75" s="947"/>
      <c r="F75" s="947"/>
      <c r="G75" s="947"/>
      <c r="H75" s="947"/>
      <c r="I75" s="947"/>
      <c r="J75" s="144"/>
      <c r="K75" s="502" t="str">
        <f>J71</f>
        <v>0,0-0,2</v>
      </c>
    </row>
    <row r="76" spans="1:11" s="119" customFormat="1" ht="10.5" customHeight="1" x14ac:dyDescent="0.2">
      <c r="A76" s="501" t="s">
        <v>333</v>
      </c>
      <c r="B76" s="506"/>
      <c r="C76" s="507"/>
      <c r="D76" s="507"/>
      <c r="E76" s="507"/>
      <c r="F76" s="507"/>
      <c r="G76" s="507"/>
      <c r="H76" s="507"/>
      <c r="I76" s="507"/>
      <c r="J76" s="493"/>
      <c r="K76" s="502" t="s">
        <v>334</v>
      </c>
    </row>
    <row r="77" spans="1:11" s="119" customFormat="1" ht="10.5" customHeight="1" x14ac:dyDescent="0.2">
      <c r="A77" s="501" t="s">
        <v>335</v>
      </c>
      <c r="B77" s="510"/>
      <c r="C77" s="511"/>
      <c r="D77" s="511"/>
      <c r="E77" s="511"/>
      <c r="F77" s="511"/>
      <c r="G77" s="511"/>
      <c r="H77" s="507"/>
      <c r="I77" s="507"/>
      <c r="J77" s="493"/>
      <c r="K77" s="50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512"/>
      <c r="B79" s="513"/>
      <c r="C79" s="514"/>
      <c r="D79" s="514"/>
      <c r="E79" s="514"/>
      <c r="F79" s="514"/>
      <c r="G79" s="514"/>
      <c r="H79" s="514"/>
      <c r="I79" s="514"/>
      <c r="J79" s="492"/>
      <c r="K79" s="500"/>
    </row>
    <row r="80" spans="1:11" s="119" customFormat="1" ht="10.5" customHeight="1" x14ac:dyDescent="0.2">
      <c r="A80" s="501" t="s">
        <v>325</v>
      </c>
      <c r="B80" s="933">
        <f>$B$2</f>
        <v>0</v>
      </c>
      <c r="C80" s="933"/>
      <c r="D80" s="934" t="s">
        <v>326</v>
      </c>
      <c r="E80" s="934"/>
      <c r="F80" s="934"/>
      <c r="G80" s="934"/>
      <c r="H80" s="935">
        <f>$H$2</f>
        <v>45739</v>
      </c>
      <c r="I80" s="936"/>
      <c r="J80" s="493"/>
      <c r="K80" s="502" t="s">
        <v>327</v>
      </c>
    </row>
    <row r="81" spans="1:11" s="119" customFormat="1" ht="10.5" customHeight="1" x14ac:dyDescent="0.2">
      <c r="A81" s="501"/>
      <c r="B81" s="506"/>
      <c r="C81" s="507"/>
      <c r="D81" s="507"/>
      <c r="E81" s="507"/>
      <c r="F81" s="507"/>
      <c r="G81" s="507"/>
      <c r="H81" s="507"/>
      <c r="I81" s="507"/>
      <c r="J81" s="493"/>
      <c r="K81" s="502">
        <f>$B$2</f>
        <v>0</v>
      </c>
    </row>
    <row r="82" spans="1:11" s="119" customFormat="1" ht="10.5" customHeight="1" x14ac:dyDescent="0.2">
      <c r="A82" s="501" t="s">
        <v>0</v>
      </c>
      <c r="B82" s="943" t="str">
        <f>$B$4</f>
        <v>адрес вбить сюда</v>
      </c>
      <c r="C82" s="943"/>
      <c r="D82" s="943"/>
      <c r="E82" s="943"/>
      <c r="F82" s="943"/>
      <c r="G82" s="943"/>
      <c r="H82" s="943"/>
      <c r="I82" s="943"/>
      <c r="J82" s="944"/>
      <c r="K82" s="502"/>
    </row>
    <row r="83" spans="1:11" s="119" customFormat="1" ht="10.5" customHeight="1" x14ac:dyDescent="0.2">
      <c r="A83" s="501"/>
      <c r="B83" s="943"/>
      <c r="C83" s="943"/>
      <c r="D83" s="943"/>
      <c r="E83" s="943"/>
      <c r="F83" s="943"/>
      <c r="G83" s="943"/>
      <c r="H83" s="943"/>
      <c r="I83" s="943"/>
      <c r="J83" s="944"/>
      <c r="K83" s="502" t="s">
        <v>328</v>
      </c>
    </row>
    <row r="84" spans="1:11" s="119" customFormat="1" ht="10.5" customHeight="1" x14ac:dyDescent="0.2">
      <c r="A84" s="939" t="s">
        <v>329</v>
      </c>
      <c r="B84" s="940"/>
      <c r="C84" s="940"/>
      <c r="D84" s="945" t="str">
        <f>'Акт отбора проб Почва'!F26</f>
        <v>СК1</v>
      </c>
      <c r="E84" s="945"/>
      <c r="F84" s="945"/>
      <c r="G84" s="942" t="s">
        <v>330</v>
      </c>
      <c r="H84" s="942"/>
      <c r="I84" s="942"/>
      <c r="J84" s="491" t="str">
        <f>'Акт отбора проб Почва'!B26</f>
        <v>0,2-0,5</v>
      </c>
      <c r="K84" s="505">
        <f>$H$2</f>
        <v>45739</v>
      </c>
    </row>
    <row r="85" spans="1:11" s="119" customFormat="1" ht="10.5" customHeight="1" x14ac:dyDescent="0.2">
      <c r="A85" s="501"/>
      <c r="B85" s="506"/>
      <c r="C85" s="507"/>
      <c r="D85" s="128"/>
      <c r="E85" s="128"/>
      <c r="F85" s="128"/>
      <c r="G85" s="508"/>
      <c r="H85" s="508"/>
      <c r="I85" s="508"/>
      <c r="J85" s="494"/>
      <c r="K85" s="502" t="s">
        <v>331</v>
      </c>
    </row>
    <row r="86" spans="1:11" s="119" customFormat="1" ht="10.5" customHeight="1" x14ac:dyDescent="0.2">
      <c r="A86" s="501" t="s">
        <v>331</v>
      </c>
      <c r="B86" s="509" t="str">
        <f>'Акт отбора проб Почва'!C26</f>
        <v>01АХ.02</v>
      </c>
      <c r="C86" s="507"/>
      <c r="D86" s="946"/>
      <c r="E86" s="946"/>
      <c r="F86" s="946"/>
      <c r="G86" s="946"/>
      <c r="H86" s="946"/>
      <c r="I86" s="508"/>
      <c r="J86" s="494"/>
      <c r="K86" s="502" t="str">
        <f>B86</f>
        <v>01АХ.02</v>
      </c>
    </row>
    <row r="87" spans="1:11" s="119" customFormat="1" ht="10.5" customHeight="1" x14ac:dyDescent="0.2">
      <c r="A87" s="501"/>
      <c r="B87" s="506"/>
      <c r="C87" s="507"/>
      <c r="D87" s="507"/>
      <c r="E87" s="507"/>
      <c r="F87" s="507"/>
      <c r="G87" s="507"/>
      <c r="H87" s="507"/>
      <c r="I87" s="507"/>
      <c r="J87" s="493"/>
      <c r="K87" s="502" t="s">
        <v>332</v>
      </c>
    </row>
    <row r="88" spans="1:11" s="119" customFormat="1" ht="10.5" customHeight="1" x14ac:dyDescent="0.2">
      <c r="A88" s="939" t="s">
        <v>681</v>
      </c>
      <c r="B88" s="940"/>
      <c r="C88" s="947"/>
      <c r="D88" s="947"/>
      <c r="E88" s="947"/>
      <c r="F88" s="947"/>
      <c r="G88" s="947"/>
      <c r="H88" s="947"/>
      <c r="I88" s="947"/>
      <c r="J88" s="144"/>
      <c r="K88" s="502" t="str">
        <f>J84</f>
        <v>0,2-0,5</v>
      </c>
    </row>
    <row r="89" spans="1:11" s="119" customFormat="1" ht="10.5" customHeight="1" x14ac:dyDescent="0.2">
      <c r="A89" s="501" t="s">
        <v>333</v>
      </c>
      <c r="B89" s="506"/>
      <c r="C89" s="507"/>
      <c r="D89" s="507"/>
      <c r="E89" s="507"/>
      <c r="F89" s="507"/>
      <c r="G89" s="507"/>
      <c r="H89" s="507"/>
      <c r="I89" s="507"/>
      <c r="J89" s="493"/>
      <c r="K89" s="502" t="s">
        <v>334</v>
      </c>
    </row>
    <row r="90" spans="1:11" s="119" customFormat="1" ht="10.5" customHeight="1" x14ac:dyDescent="0.2">
      <c r="A90" s="501" t="s">
        <v>335</v>
      </c>
      <c r="B90" s="510"/>
      <c r="C90" s="511"/>
      <c r="D90" s="511"/>
      <c r="E90" s="511"/>
      <c r="F90" s="511"/>
      <c r="G90" s="511"/>
      <c r="H90" s="507"/>
      <c r="I90" s="507"/>
      <c r="J90" s="493"/>
      <c r="K90" s="50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512"/>
      <c r="B92" s="513"/>
      <c r="C92" s="514"/>
      <c r="D92" s="514"/>
      <c r="E92" s="514"/>
      <c r="F92" s="514"/>
      <c r="G92" s="514"/>
      <c r="H92" s="514"/>
      <c r="I92" s="514"/>
      <c r="J92" s="492"/>
      <c r="K92" s="500"/>
    </row>
    <row r="93" spans="1:11" s="119" customFormat="1" ht="10.5" customHeight="1" x14ac:dyDescent="0.2">
      <c r="A93" s="501" t="s">
        <v>325</v>
      </c>
      <c r="B93" s="933">
        <f>$B$2</f>
        <v>0</v>
      </c>
      <c r="C93" s="933"/>
      <c r="D93" s="934" t="s">
        <v>326</v>
      </c>
      <c r="E93" s="934"/>
      <c r="F93" s="934"/>
      <c r="G93" s="934"/>
      <c r="H93" s="935">
        <f>$H$2</f>
        <v>45739</v>
      </c>
      <c r="I93" s="936"/>
      <c r="J93" s="493"/>
      <c r="K93" s="502" t="s">
        <v>327</v>
      </c>
    </row>
    <row r="94" spans="1:11" s="119" customFormat="1" ht="10.5" customHeight="1" x14ac:dyDescent="0.2">
      <c r="A94" s="501"/>
      <c r="B94" s="506"/>
      <c r="C94" s="507"/>
      <c r="D94" s="507"/>
      <c r="E94" s="507"/>
      <c r="F94" s="507"/>
      <c r="G94" s="507"/>
      <c r="H94" s="507"/>
      <c r="I94" s="507"/>
      <c r="J94" s="493"/>
      <c r="K94" s="502">
        <f>$B$2</f>
        <v>0</v>
      </c>
    </row>
    <row r="95" spans="1:11" s="119" customFormat="1" ht="10.5" customHeight="1" x14ac:dyDescent="0.2">
      <c r="A95" s="501" t="s">
        <v>0</v>
      </c>
      <c r="B95" s="943" t="str">
        <f>$B$4</f>
        <v>адрес вбить сюда</v>
      </c>
      <c r="C95" s="943"/>
      <c r="D95" s="943"/>
      <c r="E95" s="943"/>
      <c r="F95" s="943"/>
      <c r="G95" s="943"/>
      <c r="H95" s="943"/>
      <c r="I95" s="943"/>
      <c r="J95" s="944"/>
      <c r="K95" s="502"/>
    </row>
    <row r="96" spans="1:11" s="119" customFormat="1" ht="10.5" customHeight="1" x14ac:dyDescent="0.2">
      <c r="A96" s="501"/>
      <c r="B96" s="943"/>
      <c r="C96" s="943"/>
      <c r="D96" s="943"/>
      <c r="E96" s="943"/>
      <c r="F96" s="943"/>
      <c r="G96" s="943"/>
      <c r="H96" s="943"/>
      <c r="I96" s="943"/>
      <c r="J96" s="944"/>
      <c r="K96" s="502" t="s">
        <v>328</v>
      </c>
    </row>
    <row r="97" spans="1:11" s="119" customFormat="1" ht="10.5" customHeight="1" x14ac:dyDescent="0.2">
      <c r="A97" s="939" t="s">
        <v>329</v>
      </c>
      <c r="B97" s="940"/>
      <c r="C97" s="940"/>
      <c r="D97" s="945" t="str">
        <f>'Акт отбора проб Почва'!F27</f>
        <v>СК2</v>
      </c>
      <c r="E97" s="945"/>
      <c r="F97" s="945"/>
      <c r="G97" s="942" t="s">
        <v>330</v>
      </c>
      <c r="H97" s="942"/>
      <c r="I97" s="942"/>
      <c r="J97" s="491" t="str">
        <f>'Акт отбора проб Почва'!B27</f>
        <v>0,2-0,5</v>
      </c>
      <c r="K97" s="505">
        <f>$H$2</f>
        <v>45739</v>
      </c>
    </row>
    <row r="98" spans="1:11" s="119" customFormat="1" ht="10.5" customHeight="1" x14ac:dyDescent="0.2">
      <c r="A98" s="501"/>
      <c r="B98" s="506"/>
      <c r="C98" s="507"/>
      <c r="D98" s="128"/>
      <c r="E98" s="128"/>
      <c r="F98" s="128"/>
      <c r="G98" s="508"/>
      <c r="H98" s="508"/>
      <c r="I98" s="508"/>
      <c r="J98" s="494"/>
      <c r="K98" s="502" t="s">
        <v>331</v>
      </c>
    </row>
    <row r="99" spans="1:11" s="119" customFormat="1" ht="10.5" customHeight="1" x14ac:dyDescent="0.2">
      <c r="A99" s="501" t="s">
        <v>331</v>
      </c>
      <c r="B99" s="509" t="str">
        <f>'Акт отбора проб Почва'!C27</f>
        <v>02АХ.02</v>
      </c>
      <c r="C99" s="507"/>
      <c r="D99" s="946"/>
      <c r="E99" s="946"/>
      <c r="F99" s="946"/>
      <c r="G99" s="946"/>
      <c r="H99" s="946"/>
      <c r="I99" s="508"/>
      <c r="J99" s="494"/>
      <c r="K99" s="502" t="str">
        <f>B99</f>
        <v>02АХ.02</v>
      </c>
    </row>
    <row r="100" spans="1:11" s="119" customFormat="1" ht="10.5" customHeight="1" x14ac:dyDescent="0.2">
      <c r="A100" s="501"/>
      <c r="B100" s="506"/>
      <c r="C100" s="507"/>
      <c r="D100" s="507"/>
      <c r="E100" s="507"/>
      <c r="F100" s="507"/>
      <c r="G100" s="507"/>
      <c r="H100" s="507"/>
      <c r="I100" s="507"/>
      <c r="J100" s="493"/>
      <c r="K100" s="502" t="s">
        <v>332</v>
      </c>
    </row>
    <row r="101" spans="1:11" s="119" customFormat="1" ht="10.5" customHeight="1" x14ac:dyDescent="0.2">
      <c r="A101" s="939" t="s">
        <v>681</v>
      </c>
      <c r="B101" s="940"/>
      <c r="C101" s="947"/>
      <c r="D101" s="947"/>
      <c r="E101" s="947"/>
      <c r="F101" s="947"/>
      <c r="G101" s="947"/>
      <c r="H101" s="947"/>
      <c r="I101" s="947"/>
      <c r="J101" s="144"/>
      <c r="K101" s="502" t="str">
        <f>J97</f>
        <v>0,2-0,5</v>
      </c>
    </row>
    <row r="102" spans="1:11" s="119" customFormat="1" ht="10.5" customHeight="1" x14ac:dyDescent="0.2">
      <c r="A102" s="501" t="s">
        <v>333</v>
      </c>
      <c r="B102" s="506"/>
      <c r="C102" s="507"/>
      <c r="D102" s="507"/>
      <c r="E102" s="507"/>
      <c r="F102" s="507"/>
      <c r="G102" s="507"/>
      <c r="H102" s="507"/>
      <c r="I102" s="507"/>
      <c r="J102" s="493"/>
      <c r="K102" s="502" t="s">
        <v>334</v>
      </c>
    </row>
    <row r="103" spans="1:11" s="119" customFormat="1" ht="10.5" customHeight="1" x14ac:dyDescent="0.2">
      <c r="A103" s="501" t="s">
        <v>335</v>
      </c>
      <c r="B103" s="510"/>
      <c r="C103" s="511"/>
      <c r="D103" s="511"/>
      <c r="E103" s="511"/>
      <c r="F103" s="511"/>
      <c r="G103" s="511"/>
      <c r="H103" s="507"/>
      <c r="I103" s="507"/>
      <c r="J103" s="493"/>
      <c r="K103" s="50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501" t="s">
        <v>325</v>
      </c>
      <c r="B106" s="933">
        <f>$B$2</f>
        <v>0</v>
      </c>
      <c r="C106" s="933"/>
      <c r="D106" s="934" t="s">
        <v>326</v>
      </c>
      <c r="E106" s="934"/>
      <c r="F106" s="934"/>
      <c r="G106" s="934"/>
      <c r="H106" s="935">
        <f>$H$2</f>
        <v>45739</v>
      </c>
      <c r="I106" s="936"/>
      <c r="J106" s="493"/>
      <c r="K106" s="502" t="s">
        <v>327</v>
      </c>
    </row>
    <row r="107" spans="1:11" s="119" customFormat="1" ht="10.5" customHeight="1" x14ac:dyDescent="0.2">
      <c r="A107" s="501"/>
      <c r="B107" s="506"/>
      <c r="C107" s="507"/>
      <c r="D107" s="507"/>
      <c r="E107" s="507"/>
      <c r="F107" s="507"/>
      <c r="G107" s="507"/>
      <c r="H107" s="507"/>
      <c r="I107" s="507"/>
      <c r="J107" s="493"/>
      <c r="K107" s="502">
        <f>$B$2</f>
        <v>0</v>
      </c>
    </row>
    <row r="108" spans="1:11" s="119" customFormat="1" ht="10.5" customHeight="1" x14ac:dyDescent="0.2">
      <c r="A108" s="501" t="s">
        <v>0</v>
      </c>
      <c r="B108" s="943" t="str">
        <f>$B$4</f>
        <v>адрес вбить сюда</v>
      </c>
      <c r="C108" s="943"/>
      <c r="D108" s="943"/>
      <c r="E108" s="943"/>
      <c r="F108" s="943"/>
      <c r="G108" s="943"/>
      <c r="H108" s="943"/>
      <c r="I108" s="943"/>
      <c r="J108" s="944"/>
      <c r="K108" s="502"/>
    </row>
    <row r="109" spans="1:11" s="119" customFormat="1" ht="10.5" customHeight="1" x14ac:dyDescent="0.2">
      <c r="A109" s="501"/>
      <c r="B109" s="943"/>
      <c r="C109" s="943"/>
      <c r="D109" s="943"/>
      <c r="E109" s="943"/>
      <c r="F109" s="943"/>
      <c r="G109" s="943"/>
      <c r="H109" s="943"/>
      <c r="I109" s="943"/>
      <c r="J109" s="944"/>
      <c r="K109" s="502" t="s">
        <v>328</v>
      </c>
    </row>
    <row r="110" spans="1:11" s="119" customFormat="1" ht="10.5" customHeight="1" x14ac:dyDescent="0.2">
      <c r="A110" s="939" t="s">
        <v>329</v>
      </c>
      <c r="B110" s="940"/>
      <c r="C110" s="940"/>
      <c r="D110" s="945" t="str">
        <f>'Акт отбора проб Почва'!F28</f>
        <v>СК3</v>
      </c>
      <c r="E110" s="945"/>
      <c r="F110" s="945"/>
      <c r="G110" s="942" t="s">
        <v>330</v>
      </c>
      <c r="H110" s="942"/>
      <c r="I110" s="942"/>
      <c r="J110" s="491" t="str">
        <f>'Акт отбора проб Почва'!B28</f>
        <v>0,2-0,5</v>
      </c>
      <c r="K110" s="505">
        <f>$H$2</f>
        <v>45739</v>
      </c>
    </row>
    <row r="111" spans="1:11" s="119" customFormat="1" ht="10.5" customHeight="1" x14ac:dyDescent="0.2">
      <c r="A111" s="501"/>
      <c r="B111" s="506"/>
      <c r="C111" s="507"/>
      <c r="D111" s="128"/>
      <c r="E111" s="128"/>
      <c r="F111" s="128"/>
      <c r="G111" s="508"/>
      <c r="H111" s="508"/>
      <c r="I111" s="508"/>
      <c r="J111" s="494"/>
      <c r="K111" s="502" t="s">
        <v>331</v>
      </c>
    </row>
    <row r="112" spans="1:11" s="119" customFormat="1" ht="10.5" customHeight="1" x14ac:dyDescent="0.2">
      <c r="A112" s="501" t="s">
        <v>331</v>
      </c>
      <c r="B112" s="509" t="str">
        <f>'Акт отбора проб Почва'!C28</f>
        <v>03АХ.02</v>
      </c>
      <c r="C112" s="507"/>
      <c r="D112" s="946"/>
      <c r="E112" s="946"/>
      <c r="F112" s="946"/>
      <c r="G112" s="946"/>
      <c r="H112" s="946"/>
      <c r="I112" s="508"/>
      <c r="J112" s="494"/>
      <c r="K112" s="502" t="str">
        <f>B112</f>
        <v>03АХ.02</v>
      </c>
    </row>
    <row r="113" spans="1:11" s="119" customFormat="1" ht="10.5" customHeight="1" x14ac:dyDescent="0.2">
      <c r="A113" s="501"/>
      <c r="B113" s="506"/>
      <c r="C113" s="507"/>
      <c r="D113" s="507"/>
      <c r="E113" s="507"/>
      <c r="F113" s="507"/>
      <c r="G113" s="507"/>
      <c r="H113" s="507"/>
      <c r="I113" s="507"/>
      <c r="J113" s="493"/>
      <c r="K113" s="502" t="s">
        <v>332</v>
      </c>
    </row>
    <row r="114" spans="1:11" s="119" customFormat="1" ht="10.5" customHeight="1" x14ac:dyDescent="0.2">
      <c r="A114" s="939" t="s">
        <v>681</v>
      </c>
      <c r="B114" s="940"/>
      <c r="C114" s="947"/>
      <c r="D114" s="947"/>
      <c r="E114" s="947"/>
      <c r="F114" s="947"/>
      <c r="G114" s="947"/>
      <c r="H114" s="947"/>
      <c r="I114" s="947"/>
      <c r="J114" s="144"/>
      <c r="K114" s="502" t="str">
        <f>J110</f>
        <v>0,2-0,5</v>
      </c>
    </row>
    <row r="115" spans="1:11" s="119" customFormat="1" ht="10.5" customHeight="1" x14ac:dyDescent="0.2">
      <c r="A115" s="501" t="s">
        <v>333</v>
      </c>
      <c r="B115" s="506"/>
      <c r="C115" s="507"/>
      <c r="D115" s="507"/>
      <c r="E115" s="507"/>
      <c r="F115" s="507"/>
      <c r="G115" s="507"/>
      <c r="H115" s="507"/>
      <c r="I115" s="507"/>
      <c r="J115" s="493"/>
      <c r="K115" s="502" t="s">
        <v>334</v>
      </c>
    </row>
    <row r="116" spans="1:11" s="119" customFormat="1" ht="10.5" customHeight="1" x14ac:dyDescent="0.2">
      <c r="A116" s="501" t="s">
        <v>335</v>
      </c>
      <c r="B116" s="510"/>
      <c r="C116" s="511"/>
      <c r="D116" s="511"/>
      <c r="E116" s="511"/>
      <c r="F116" s="511"/>
      <c r="G116" s="511"/>
      <c r="H116" s="507"/>
      <c r="I116" s="507"/>
      <c r="J116" s="493"/>
      <c r="K116" s="50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515"/>
      <c r="B118" s="516"/>
      <c r="C118" s="517"/>
      <c r="D118" s="517"/>
      <c r="E118" s="517"/>
      <c r="F118" s="517"/>
      <c r="G118" s="517"/>
      <c r="H118" s="517"/>
      <c r="I118" s="517"/>
      <c r="J118" s="492"/>
      <c r="K118" s="500"/>
    </row>
    <row r="119" spans="1:11" s="119" customFormat="1" ht="10.5" customHeight="1" x14ac:dyDescent="0.2">
      <c r="A119" s="501" t="s">
        <v>325</v>
      </c>
      <c r="B119" s="933">
        <f>$B$2</f>
        <v>0</v>
      </c>
      <c r="C119" s="933"/>
      <c r="D119" s="934" t="s">
        <v>326</v>
      </c>
      <c r="E119" s="934"/>
      <c r="F119" s="934"/>
      <c r="G119" s="934"/>
      <c r="H119" s="935">
        <f>$H$2</f>
        <v>45739</v>
      </c>
      <c r="I119" s="936"/>
      <c r="J119" s="493"/>
      <c r="K119" s="502" t="s">
        <v>327</v>
      </c>
    </row>
    <row r="120" spans="1:11" s="119" customFormat="1" ht="10.5" customHeight="1" x14ac:dyDescent="0.2">
      <c r="A120" s="501"/>
      <c r="B120" s="506"/>
      <c r="C120" s="507"/>
      <c r="D120" s="507"/>
      <c r="E120" s="507"/>
      <c r="F120" s="507"/>
      <c r="G120" s="507"/>
      <c r="H120" s="507"/>
      <c r="I120" s="507"/>
      <c r="J120" s="493"/>
      <c r="K120" s="502">
        <f>$B$2</f>
        <v>0</v>
      </c>
    </row>
    <row r="121" spans="1:11" s="119" customFormat="1" ht="10.5" customHeight="1" x14ac:dyDescent="0.2">
      <c r="A121" s="501" t="s">
        <v>0</v>
      </c>
      <c r="B121" s="943" t="str">
        <f>$B$4</f>
        <v>адрес вбить сюда</v>
      </c>
      <c r="C121" s="943"/>
      <c r="D121" s="943"/>
      <c r="E121" s="943"/>
      <c r="F121" s="943"/>
      <c r="G121" s="943"/>
      <c r="H121" s="943"/>
      <c r="I121" s="943"/>
      <c r="J121" s="944"/>
      <c r="K121" s="502"/>
    </row>
    <row r="122" spans="1:11" s="119" customFormat="1" ht="10.5" customHeight="1" x14ac:dyDescent="0.2">
      <c r="A122" s="518"/>
      <c r="B122" s="943"/>
      <c r="C122" s="943"/>
      <c r="D122" s="943"/>
      <c r="E122" s="943"/>
      <c r="F122" s="943"/>
      <c r="G122" s="943"/>
      <c r="H122" s="943"/>
      <c r="I122" s="943"/>
      <c r="J122" s="944"/>
      <c r="K122" s="502" t="s">
        <v>328</v>
      </c>
    </row>
    <row r="123" spans="1:11" s="119" customFormat="1" ht="10.5" customHeight="1" x14ac:dyDescent="0.2">
      <c r="A123" s="948" t="s">
        <v>329</v>
      </c>
      <c r="B123" s="933"/>
      <c r="C123" s="933"/>
      <c r="D123" s="945" t="str">
        <f>'Акт отбора проб Почва'!F29</f>
        <v>СК4</v>
      </c>
      <c r="E123" s="945"/>
      <c r="F123" s="945"/>
      <c r="G123" s="949" t="s">
        <v>330</v>
      </c>
      <c r="H123" s="949"/>
      <c r="I123" s="949"/>
      <c r="J123" s="491" t="str">
        <f>'Акт отбора проб Почва'!B29</f>
        <v>0,2-0,5</v>
      </c>
      <c r="K123" s="505">
        <f>$H$2</f>
        <v>45739</v>
      </c>
    </row>
    <row r="124" spans="1:11" s="119" customFormat="1" ht="10.5" customHeight="1" x14ac:dyDescent="0.2">
      <c r="A124" s="518"/>
      <c r="B124" s="503"/>
      <c r="C124" s="504"/>
      <c r="D124" s="154"/>
      <c r="E124" s="154"/>
      <c r="F124" s="154"/>
      <c r="G124" s="519"/>
      <c r="H124" s="519"/>
      <c r="I124" s="519"/>
      <c r="J124" s="494"/>
      <c r="K124" s="502" t="s">
        <v>331</v>
      </c>
    </row>
    <row r="125" spans="1:11" s="119" customFormat="1" ht="10.5" customHeight="1" x14ac:dyDescent="0.2">
      <c r="A125" s="501" t="s">
        <v>331</v>
      </c>
      <c r="B125" s="509" t="str">
        <f>'Акт отбора проб Почва'!C29</f>
        <v>04АХ.02</v>
      </c>
      <c r="C125" s="504"/>
      <c r="D125" s="946"/>
      <c r="E125" s="946"/>
      <c r="F125" s="946"/>
      <c r="G125" s="946"/>
      <c r="H125" s="946"/>
      <c r="I125" s="519"/>
      <c r="J125" s="494"/>
      <c r="K125" s="502" t="str">
        <f>B125</f>
        <v>04АХ.02</v>
      </c>
    </row>
    <row r="126" spans="1:11" s="119" customFormat="1" ht="10.5" customHeight="1" x14ac:dyDescent="0.2">
      <c r="A126" s="518"/>
      <c r="B126" s="503"/>
      <c r="C126" s="504"/>
      <c r="D126" s="504"/>
      <c r="E126" s="504"/>
      <c r="F126" s="504"/>
      <c r="G126" s="504"/>
      <c r="H126" s="504"/>
      <c r="I126" s="504"/>
      <c r="J126" s="493"/>
      <c r="K126" s="502" t="s">
        <v>332</v>
      </c>
    </row>
    <row r="127" spans="1:11" s="119" customFormat="1" ht="10.5" customHeight="1" x14ac:dyDescent="0.2">
      <c r="A127" s="948" t="s">
        <v>681</v>
      </c>
      <c r="B127" s="933"/>
      <c r="C127" s="947"/>
      <c r="D127" s="947"/>
      <c r="E127" s="947"/>
      <c r="F127" s="947"/>
      <c r="G127" s="947"/>
      <c r="H127" s="947"/>
      <c r="I127" s="947"/>
      <c r="J127" s="155"/>
      <c r="K127" s="502" t="str">
        <f>J123</f>
        <v>0,2-0,5</v>
      </c>
    </row>
    <row r="128" spans="1:11" s="119" customFormat="1" ht="10.5" customHeight="1" x14ac:dyDescent="0.2">
      <c r="A128" s="518" t="s">
        <v>333</v>
      </c>
      <c r="B128" s="503"/>
      <c r="C128" s="504"/>
      <c r="D128" s="504"/>
      <c r="E128" s="504"/>
      <c r="F128" s="504"/>
      <c r="G128" s="504"/>
      <c r="H128" s="504"/>
      <c r="I128" s="504"/>
      <c r="J128" s="493"/>
      <c r="K128" s="502" t="s">
        <v>334</v>
      </c>
    </row>
    <row r="129" spans="1:11" s="119" customFormat="1" ht="10.5" customHeight="1" x14ac:dyDescent="0.2">
      <c r="A129" s="518" t="s">
        <v>335</v>
      </c>
      <c r="B129" s="520"/>
      <c r="C129" s="521"/>
      <c r="D129" s="521"/>
      <c r="E129" s="521"/>
      <c r="F129" s="521"/>
      <c r="G129" s="521"/>
      <c r="H129" s="504"/>
      <c r="I129" s="504"/>
      <c r="J129" s="493"/>
      <c r="K129" s="50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497"/>
      <c r="B131" s="498"/>
      <c r="C131" s="499"/>
      <c r="D131" s="499"/>
      <c r="E131" s="499"/>
      <c r="F131" s="499"/>
      <c r="G131" s="499"/>
      <c r="H131" s="499"/>
      <c r="I131" s="499"/>
      <c r="J131" s="495"/>
      <c r="K131" s="500"/>
    </row>
    <row r="132" spans="1:11" ht="10.5" customHeight="1" x14ac:dyDescent="0.2">
      <c r="A132" s="501" t="s">
        <v>325</v>
      </c>
      <c r="B132" s="933">
        <f>$B$2</f>
        <v>0</v>
      </c>
      <c r="C132" s="933"/>
      <c r="D132" s="934" t="s">
        <v>326</v>
      </c>
      <c r="E132" s="934"/>
      <c r="F132" s="934"/>
      <c r="G132" s="934"/>
      <c r="H132" s="935">
        <f>$H$2</f>
        <v>45739</v>
      </c>
      <c r="I132" s="936"/>
      <c r="J132" s="493"/>
      <c r="K132" s="502" t="s">
        <v>327</v>
      </c>
    </row>
    <row r="133" spans="1:11" ht="10.5" customHeight="1" x14ac:dyDescent="0.2">
      <c r="A133" s="501"/>
      <c r="B133" s="506"/>
      <c r="C133" s="507"/>
      <c r="D133" s="507"/>
      <c r="E133" s="507"/>
      <c r="F133" s="507"/>
      <c r="G133" s="507"/>
      <c r="H133" s="507"/>
      <c r="I133" s="507"/>
      <c r="J133" s="493"/>
      <c r="K133" s="502">
        <f>$B$2</f>
        <v>0</v>
      </c>
    </row>
    <row r="134" spans="1:11" ht="10.5" customHeight="1" x14ac:dyDescent="0.2">
      <c r="A134" s="501" t="s">
        <v>0</v>
      </c>
      <c r="B134" s="943" t="str">
        <f>$B$4</f>
        <v>адрес вбить сюда</v>
      </c>
      <c r="C134" s="943"/>
      <c r="D134" s="943"/>
      <c r="E134" s="943"/>
      <c r="F134" s="943"/>
      <c r="G134" s="943"/>
      <c r="H134" s="943"/>
      <c r="I134" s="943"/>
      <c r="J134" s="944"/>
      <c r="K134" s="502"/>
    </row>
    <row r="135" spans="1:11" ht="10.5" customHeight="1" x14ac:dyDescent="0.2">
      <c r="A135" s="501"/>
      <c r="B135" s="943"/>
      <c r="C135" s="943"/>
      <c r="D135" s="943"/>
      <c r="E135" s="943"/>
      <c r="F135" s="943"/>
      <c r="G135" s="943"/>
      <c r="H135" s="943"/>
      <c r="I135" s="943"/>
      <c r="J135" s="944"/>
      <c r="K135" s="502" t="s">
        <v>328</v>
      </c>
    </row>
    <row r="136" spans="1:11" ht="10.5" customHeight="1" x14ac:dyDescent="0.2">
      <c r="A136" s="939" t="s">
        <v>329</v>
      </c>
      <c r="B136" s="940"/>
      <c r="C136" s="940"/>
      <c r="D136" s="945" t="str">
        <f>'Акт отбора проб Почва'!F30</f>
        <v>СК5</v>
      </c>
      <c r="E136" s="945"/>
      <c r="F136" s="945"/>
      <c r="G136" s="942" t="s">
        <v>330</v>
      </c>
      <c r="H136" s="942"/>
      <c r="I136" s="942"/>
      <c r="J136" s="491" t="str">
        <f>'Акт отбора проб Почва'!B30</f>
        <v>0,2-0,5</v>
      </c>
      <c r="K136" s="505">
        <f>$H$2</f>
        <v>45739</v>
      </c>
    </row>
    <row r="137" spans="1:11" ht="10.5" customHeight="1" x14ac:dyDescent="0.2">
      <c r="A137" s="501"/>
      <c r="B137" s="506"/>
      <c r="C137" s="507"/>
      <c r="D137" s="128"/>
      <c r="E137" s="128"/>
      <c r="F137" s="128"/>
      <c r="G137" s="508"/>
      <c r="H137" s="508"/>
      <c r="I137" s="508"/>
      <c r="J137" s="494"/>
      <c r="K137" s="502" t="s">
        <v>331</v>
      </c>
    </row>
    <row r="138" spans="1:11" ht="10.5" customHeight="1" x14ac:dyDescent="0.2">
      <c r="A138" s="501" t="s">
        <v>331</v>
      </c>
      <c r="B138" s="509" t="str">
        <f>'Акт отбора проб Почва'!C30</f>
        <v>05АХ.02</v>
      </c>
      <c r="C138" s="507"/>
      <c r="D138" s="946"/>
      <c r="E138" s="946"/>
      <c r="F138" s="946"/>
      <c r="G138" s="946"/>
      <c r="H138" s="946"/>
      <c r="I138" s="508"/>
      <c r="J138" s="494"/>
      <c r="K138" s="502" t="str">
        <f>B138</f>
        <v>05АХ.02</v>
      </c>
    </row>
    <row r="139" spans="1:11" ht="10.5" customHeight="1" x14ac:dyDescent="0.2">
      <c r="A139" s="501"/>
      <c r="B139" s="506"/>
      <c r="C139" s="507"/>
      <c r="D139" s="507"/>
      <c r="E139" s="507"/>
      <c r="F139" s="507"/>
      <c r="G139" s="507"/>
      <c r="H139" s="507"/>
      <c r="I139" s="507"/>
      <c r="J139" s="493"/>
      <c r="K139" s="502" t="s">
        <v>332</v>
      </c>
    </row>
    <row r="140" spans="1:11" ht="10.5" customHeight="1" x14ac:dyDescent="0.2">
      <c r="A140" s="939" t="s">
        <v>681</v>
      </c>
      <c r="B140" s="940"/>
      <c r="C140" s="947"/>
      <c r="D140" s="947"/>
      <c r="E140" s="947"/>
      <c r="F140" s="947"/>
      <c r="G140" s="947"/>
      <c r="H140" s="947"/>
      <c r="I140" s="947"/>
      <c r="J140" s="144"/>
      <c r="K140" s="502" t="str">
        <f>J136</f>
        <v>0,2-0,5</v>
      </c>
    </row>
    <row r="141" spans="1:11" ht="10.5" customHeight="1" x14ac:dyDescent="0.2">
      <c r="A141" s="501" t="s">
        <v>333</v>
      </c>
      <c r="B141" s="506"/>
      <c r="C141" s="507"/>
      <c r="D141" s="507"/>
      <c r="E141" s="507"/>
      <c r="F141" s="507"/>
      <c r="G141" s="507"/>
      <c r="H141" s="507"/>
      <c r="I141" s="507"/>
      <c r="J141" s="493"/>
      <c r="K141" s="502" t="s">
        <v>334</v>
      </c>
    </row>
    <row r="142" spans="1:11" ht="10.5" customHeight="1" x14ac:dyDescent="0.2">
      <c r="A142" s="501" t="s">
        <v>335</v>
      </c>
      <c r="B142" s="510"/>
      <c r="C142" s="511"/>
      <c r="D142" s="511"/>
      <c r="E142" s="511"/>
      <c r="F142" s="511"/>
      <c r="G142" s="511"/>
      <c r="H142" s="507"/>
      <c r="I142" s="507"/>
      <c r="J142" s="493"/>
      <c r="K142" s="50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512"/>
      <c r="B144" s="513"/>
      <c r="C144" s="514"/>
      <c r="D144" s="514"/>
      <c r="E144" s="514"/>
      <c r="F144" s="514"/>
      <c r="G144" s="514"/>
      <c r="H144" s="514"/>
      <c r="I144" s="514"/>
      <c r="J144" s="492"/>
      <c r="K144" s="500"/>
    </row>
    <row r="145" spans="1:11" ht="10.5" customHeight="1" x14ac:dyDescent="0.2">
      <c r="A145" s="501" t="s">
        <v>325</v>
      </c>
      <c r="B145" s="933">
        <f>$B$2</f>
        <v>0</v>
      </c>
      <c r="C145" s="933"/>
      <c r="D145" s="934" t="s">
        <v>326</v>
      </c>
      <c r="E145" s="934"/>
      <c r="F145" s="934"/>
      <c r="G145" s="934"/>
      <c r="H145" s="935">
        <f>$H$2</f>
        <v>45739</v>
      </c>
      <c r="I145" s="936"/>
      <c r="J145" s="493"/>
      <c r="K145" s="502" t="s">
        <v>327</v>
      </c>
    </row>
    <row r="146" spans="1:11" ht="10.5" customHeight="1" x14ac:dyDescent="0.2">
      <c r="A146" s="501"/>
      <c r="B146" s="506"/>
      <c r="C146" s="507"/>
      <c r="D146" s="507"/>
      <c r="E146" s="507"/>
      <c r="F146" s="507"/>
      <c r="G146" s="507"/>
      <c r="H146" s="507"/>
      <c r="I146" s="507"/>
      <c r="J146" s="493"/>
      <c r="K146" s="502">
        <f>$B$2</f>
        <v>0</v>
      </c>
    </row>
    <row r="147" spans="1:11" ht="10.5" customHeight="1" x14ac:dyDescent="0.2">
      <c r="A147" s="501" t="s">
        <v>0</v>
      </c>
      <c r="B147" s="943" t="str">
        <f>$B$4</f>
        <v>адрес вбить сюда</v>
      </c>
      <c r="C147" s="943"/>
      <c r="D147" s="943"/>
      <c r="E147" s="943"/>
      <c r="F147" s="943"/>
      <c r="G147" s="943"/>
      <c r="H147" s="943"/>
      <c r="I147" s="943"/>
      <c r="J147" s="944"/>
      <c r="K147" s="502"/>
    </row>
    <row r="148" spans="1:11" ht="10.5" customHeight="1" x14ac:dyDescent="0.2">
      <c r="A148" s="501"/>
      <c r="B148" s="943"/>
      <c r="C148" s="943"/>
      <c r="D148" s="943"/>
      <c r="E148" s="943"/>
      <c r="F148" s="943"/>
      <c r="G148" s="943"/>
      <c r="H148" s="943"/>
      <c r="I148" s="943"/>
      <c r="J148" s="944"/>
      <c r="K148" s="502" t="s">
        <v>328</v>
      </c>
    </row>
    <row r="149" spans="1:11" ht="10.5" customHeight="1" x14ac:dyDescent="0.2">
      <c r="A149" s="939" t="s">
        <v>329</v>
      </c>
      <c r="B149" s="940"/>
      <c r="C149" s="940"/>
      <c r="D149" s="945" t="str">
        <f>'Акт отбора проб Почва'!F31</f>
        <v>СК6</v>
      </c>
      <c r="E149" s="945"/>
      <c r="F149" s="945"/>
      <c r="G149" s="942" t="s">
        <v>330</v>
      </c>
      <c r="H149" s="942"/>
      <c r="I149" s="942"/>
      <c r="J149" s="491" t="str">
        <f>'Акт отбора проб Почва'!B31</f>
        <v>0,2-0,5</v>
      </c>
      <c r="K149" s="505">
        <f>$H$2</f>
        <v>45739</v>
      </c>
    </row>
    <row r="150" spans="1:11" ht="10.5" customHeight="1" x14ac:dyDescent="0.2">
      <c r="A150" s="501"/>
      <c r="B150" s="506"/>
      <c r="C150" s="507"/>
      <c r="D150" s="128"/>
      <c r="E150" s="128"/>
      <c r="F150" s="128"/>
      <c r="G150" s="508"/>
      <c r="H150" s="508"/>
      <c r="I150" s="508"/>
      <c r="J150" s="494"/>
      <c r="K150" s="502" t="s">
        <v>331</v>
      </c>
    </row>
    <row r="151" spans="1:11" ht="10.5" customHeight="1" x14ac:dyDescent="0.2">
      <c r="A151" s="501" t="s">
        <v>331</v>
      </c>
      <c r="B151" s="509" t="str">
        <f>'Акт отбора проб Почва'!C31</f>
        <v>06АХ.02</v>
      </c>
      <c r="C151" s="507"/>
      <c r="D151" s="946"/>
      <c r="E151" s="946"/>
      <c r="F151" s="946"/>
      <c r="G151" s="946"/>
      <c r="H151" s="946"/>
      <c r="I151" s="508"/>
      <c r="J151" s="494"/>
      <c r="K151" s="502" t="str">
        <f>B151</f>
        <v>06АХ.02</v>
      </c>
    </row>
    <row r="152" spans="1:11" ht="10.5" customHeight="1" x14ac:dyDescent="0.2">
      <c r="A152" s="501"/>
      <c r="B152" s="506"/>
      <c r="C152" s="507"/>
      <c r="D152" s="507"/>
      <c r="E152" s="507"/>
      <c r="F152" s="507"/>
      <c r="G152" s="507"/>
      <c r="H152" s="507"/>
      <c r="I152" s="507"/>
      <c r="J152" s="493"/>
      <c r="K152" s="502" t="s">
        <v>332</v>
      </c>
    </row>
    <row r="153" spans="1:11" ht="10.5" customHeight="1" x14ac:dyDescent="0.2">
      <c r="A153" s="939" t="s">
        <v>681</v>
      </c>
      <c r="B153" s="940"/>
      <c r="C153" s="947"/>
      <c r="D153" s="947"/>
      <c r="E153" s="947"/>
      <c r="F153" s="947"/>
      <c r="G153" s="947"/>
      <c r="H153" s="947"/>
      <c r="I153" s="947"/>
      <c r="J153" s="144"/>
      <c r="K153" s="502" t="str">
        <f>J149</f>
        <v>0,2-0,5</v>
      </c>
    </row>
    <row r="154" spans="1:11" ht="10.5" customHeight="1" x14ac:dyDescent="0.2">
      <c r="A154" s="501" t="s">
        <v>333</v>
      </c>
      <c r="B154" s="506"/>
      <c r="C154" s="507"/>
      <c r="D154" s="507"/>
      <c r="E154" s="507"/>
      <c r="F154" s="507"/>
      <c r="G154" s="507"/>
      <c r="H154" s="507"/>
      <c r="I154" s="507"/>
      <c r="J154" s="493"/>
      <c r="K154" s="502" t="s">
        <v>334</v>
      </c>
    </row>
    <row r="155" spans="1:11" ht="10.5" customHeight="1" x14ac:dyDescent="0.2">
      <c r="A155" s="501" t="s">
        <v>335</v>
      </c>
      <c r="B155" s="510"/>
      <c r="C155" s="511"/>
      <c r="D155" s="511"/>
      <c r="E155" s="511"/>
      <c r="F155" s="511"/>
      <c r="G155" s="511"/>
      <c r="H155" s="507"/>
      <c r="I155" s="507"/>
      <c r="J155" s="493"/>
      <c r="K155" s="50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512"/>
      <c r="B157" s="513"/>
      <c r="C157" s="514"/>
      <c r="D157" s="514"/>
      <c r="E157" s="514"/>
      <c r="F157" s="514"/>
      <c r="G157" s="514"/>
      <c r="H157" s="514"/>
      <c r="I157" s="514"/>
      <c r="J157" s="492"/>
      <c r="K157" s="500"/>
    </row>
    <row r="158" spans="1:11" ht="10.5" customHeight="1" x14ac:dyDescent="0.2">
      <c r="A158" s="501" t="s">
        <v>325</v>
      </c>
      <c r="B158" s="933">
        <f>$B$2</f>
        <v>0</v>
      </c>
      <c r="C158" s="933"/>
      <c r="D158" s="934" t="s">
        <v>326</v>
      </c>
      <c r="E158" s="934"/>
      <c r="F158" s="934"/>
      <c r="G158" s="934"/>
      <c r="H158" s="935">
        <f>$H$2</f>
        <v>45739</v>
      </c>
      <c r="I158" s="935"/>
      <c r="J158" s="493"/>
      <c r="K158" s="502" t="s">
        <v>327</v>
      </c>
    </row>
    <row r="159" spans="1:11" ht="10.5" customHeight="1" x14ac:dyDescent="0.2">
      <c r="A159" s="501"/>
      <c r="B159" s="506"/>
      <c r="C159" s="507"/>
      <c r="D159" s="507"/>
      <c r="E159" s="507"/>
      <c r="F159" s="507"/>
      <c r="G159" s="507"/>
      <c r="H159" s="507"/>
      <c r="I159" s="507"/>
      <c r="J159" s="493"/>
      <c r="K159" s="502">
        <f>$B$2</f>
        <v>0</v>
      </c>
    </row>
    <row r="160" spans="1:11" ht="10.5" customHeight="1" x14ac:dyDescent="0.2">
      <c r="A160" s="501" t="s">
        <v>0</v>
      </c>
      <c r="B160" s="943" t="str">
        <f>$B$4</f>
        <v>адрес вбить сюда</v>
      </c>
      <c r="C160" s="943"/>
      <c r="D160" s="943"/>
      <c r="E160" s="943"/>
      <c r="F160" s="943"/>
      <c r="G160" s="943"/>
      <c r="H160" s="943"/>
      <c r="I160" s="943"/>
      <c r="J160" s="944"/>
      <c r="K160" s="502"/>
    </row>
    <row r="161" spans="1:11" ht="10.5" customHeight="1" x14ac:dyDescent="0.2">
      <c r="A161" s="501"/>
      <c r="B161" s="943"/>
      <c r="C161" s="943"/>
      <c r="D161" s="943"/>
      <c r="E161" s="943"/>
      <c r="F161" s="943"/>
      <c r="G161" s="943"/>
      <c r="H161" s="943"/>
      <c r="I161" s="943"/>
      <c r="J161" s="944"/>
      <c r="K161" s="502" t="s">
        <v>328</v>
      </c>
    </row>
    <row r="162" spans="1:11" ht="10.5" customHeight="1" x14ac:dyDescent="0.2">
      <c r="A162" s="939" t="s">
        <v>329</v>
      </c>
      <c r="B162" s="940"/>
      <c r="C162" s="940"/>
      <c r="D162" s="945" t="str">
        <f>'Акт отбора проб Почва'!F32</f>
        <v>СК1</v>
      </c>
      <c r="E162" s="945"/>
      <c r="F162" s="945"/>
      <c r="G162" s="942" t="s">
        <v>330</v>
      </c>
      <c r="H162" s="942"/>
      <c r="I162" s="942"/>
      <c r="J162" s="491" t="str">
        <f>'Акт отбора проб Почва'!B32</f>
        <v>0,5-1,0</v>
      </c>
      <c r="K162" s="505">
        <f>$H$2</f>
        <v>45739</v>
      </c>
    </row>
    <row r="163" spans="1:11" ht="10.5" customHeight="1" x14ac:dyDescent="0.2">
      <c r="A163" s="501"/>
      <c r="B163" s="506"/>
      <c r="C163" s="507"/>
      <c r="D163" s="128"/>
      <c r="E163" s="128"/>
      <c r="F163" s="128"/>
      <c r="G163" s="508"/>
      <c r="H163" s="508"/>
      <c r="I163" s="508"/>
      <c r="J163" s="494"/>
      <c r="K163" s="502" t="s">
        <v>331</v>
      </c>
    </row>
    <row r="164" spans="1:11" ht="10.5" customHeight="1" x14ac:dyDescent="0.2">
      <c r="A164" s="501" t="s">
        <v>331</v>
      </c>
      <c r="B164" s="509" t="str">
        <f>'Акт отбора проб Почва'!C32</f>
        <v>01АХ.03</v>
      </c>
      <c r="C164" s="507"/>
      <c r="D164" s="946"/>
      <c r="E164" s="946"/>
      <c r="F164" s="946"/>
      <c r="G164" s="946"/>
      <c r="H164" s="946"/>
      <c r="I164" s="508"/>
      <c r="J164" s="494"/>
      <c r="K164" s="502" t="str">
        <f>B164</f>
        <v>01АХ.03</v>
      </c>
    </row>
    <row r="165" spans="1:11" ht="10.5" customHeight="1" x14ac:dyDescent="0.2">
      <c r="A165" s="501"/>
      <c r="B165" s="506"/>
      <c r="C165" s="507"/>
      <c r="D165" s="507"/>
      <c r="E165" s="507"/>
      <c r="F165" s="507"/>
      <c r="G165" s="507"/>
      <c r="H165" s="507"/>
      <c r="I165" s="507"/>
      <c r="J165" s="493"/>
      <c r="K165" s="502" t="s">
        <v>332</v>
      </c>
    </row>
    <row r="166" spans="1:11" ht="10.5" customHeight="1" x14ac:dyDescent="0.2">
      <c r="A166" s="939" t="s">
        <v>681</v>
      </c>
      <c r="B166" s="940"/>
      <c r="C166" s="947"/>
      <c r="D166" s="947"/>
      <c r="E166" s="947"/>
      <c r="F166" s="947"/>
      <c r="G166" s="947"/>
      <c r="H166" s="947"/>
      <c r="I166" s="947"/>
      <c r="J166" s="144"/>
      <c r="K166" s="502" t="str">
        <f>J162</f>
        <v>0,5-1,0</v>
      </c>
    </row>
    <row r="167" spans="1:11" ht="10.5" customHeight="1" x14ac:dyDescent="0.2">
      <c r="A167" s="501" t="s">
        <v>333</v>
      </c>
      <c r="B167" s="506"/>
      <c r="C167" s="507"/>
      <c r="D167" s="507"/>
      <c r="E167" s="507"/>
      <c r="F167" s="507"/>
      <c r="G167" s="507"/>
      <c r="H167" s="507"/>
      <c r="I167" s="507"/>
      <c r="J167" s="493"/>
      <c r="K167" s="502" t="s">
        <v>334</v>
      </c>
    </row>
    <row r="168" spans="1:11" ht="10.5" customHeight="1" x14ac:dyDescent="0.2">
      <c r="A168" s="501" t="s">
        <v>335</v>
      </c>
      <c r="B168" s="510"/>
      <c r="C168" s="511"/>
      <c r="D168" s="511"/>
      <c r="E168" s="511"/>
      <c r="F168" s="511"/>
      <c r="G168" s="511"/>
      <c r="H168" s="507"/>
      <c r="I168" s="507"/>
      <c r="J168" s="493"/>
      <c r="K168" s="50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512"/>
      <c r="B170" s="513"/>
      <c r="C170" s="514"/>
      <c r="D170" s="514"/>
      <c r="E170" s="514"/>
      <c r="F170" s="514"/>
      <c r="G170" s="514"/>
      <c r="H170" s="514"/>
      <c r="I170" s="514"/>
      <c r="J170" s="492"/>
      <c r="K170" s="500"/>
    </row>
    <row r="171" spans="1:11" ht="10.5" customHeight="1" x14ac:dyDescent="0.2">
      <c r="A171" s="501" t="s">
        <v>325</v>
      </c>
      <c r="B171" s="933">
        <f>$B$2</f>
        <v>0</v>
      </c>
      <c r="C171" s="933"/>
      <c r="D171" s="934" t="s">
        <v>326</v>
      </c>
      <c r="E171" s="934"/>
      <c r="F171" s="934"/>
      <c r="G171" s="934"/>
      <c r="H171" s="935">
        <f>$H$2</f>
        <v>45739</v>
      </c>
      <c r="I171" s="935"/>
      <c r="J171" s="493"/>
      <c r="K171" s="502" t="s">
        <v>327</v>
      </c>
    </row>
    <row r="172" spans="1:11" ht="10.5" customHeight="1" x14ac:dyDescent="0.2">
      <c r="A172" s="501"/>
      <c r="B172" s="506"/>
      <c r="C172" s="507"/>
      <c r="D172" s="507"/>
      <c r="E172" s="507"/>
      <c r="F172" s="507"/>
      <c r="G172" s="507"/>
      <c r="H172" s="507"/>
      <c r="I172" s="507"/>
      <c r="J172" s="493"/>
      <c r="K172" s="502">
        <f>$B$2</f>
        <v>0</v>
      </c>
    </row>
    <row r="173" spans="1:11" ht="10.5" customHeight="1" x14ac:dyDescent="0.2">
      <c r="A173" s="501" t="s">
        <v>0</v>
      </c>
      <c r="B173" s="943" t="str">
        <f>$B$4</f>
        <v>адрес вбить сюда</v>
      </c>
      <c r="C173" s="943"/>
      <c r="D173" s="943"/>
      <c r="E173" s="943"/>
      <c r="F173" s="943"/>
      <c r="G173" s="943"/>
      <c r="H173" s="943"/>
      <c r="I173" s="943"/>
      <c r="J173" s="944"/>
      <c r="K173" s="502"/>
    </row>
    <row r="174" spans="1:11" ht="10.5" customHeight="1" x14ac:dyDescent="0.2">
      <c r="A174" s="501"/>
      <c r="B174" s="943"/>
      <c r="C174" s="943"/>
      <c r="D174" s="943"/>
      <c r="E174" s="943"/>
      <c r="F174" s="943"/>
      <c r="G174" s="943"/>
      <c r="H174" s="943"/>
      <c r="I174" s="943"/>
      <c r="J174" s="944"/>
      <c r="K174" s="502" t="s">
        <v>328</v>
      </c>
    </row>
    <row r="175" spans="1:11" ht="10.5" customHeight="1" x14ac:dyDescent="0.2">
      <c r="A175" s="939" t="s">
        <v>329</v>
      </c>
      <c r="B175" s="940"/>
      <c r="C175" s="940"/>
      <c r="D175" s="945" t="str">
        <f>'Акт отбора проб Почва'!F33</f>
        <v>СК2</v>
      </c>
      <c r="E175" s="945"/>
      <c r="F175" s="945"/>
      <c r="G175" s="942" t="s">
        <v>330</v>
      </c>
      <c r="H175" s="942"/>
      <c r="I175" s="942"/>
      <c r="J175" s="491" t="str">
        <f>'Акт отбора проб Почва'!B33</f>
        <v>0,5-1,0</v>
      </c>
      <c r="K175" s="505">
        <f>$H$2</f>
        <v>45739</v>
      </c>
    </row>
    <row r="176" spans="1:11" ht="10.5" customHeight="1" x14ac:dyDescent="0.2">
      <c r="A176" s="501"/>
      <c r="B176" s="506"/>
      <c r="C176" s="507"/>
      <c r="D176" s="128"/>
      <c r="E176" s="128"/>
      <c r="F176" s="128"/>
      <c r="G176" s="508"/>
      <c r="H176" s="508"/>
      <c r="I176" s="508"/>
      <c r="J176" s="494"/>
      <c r="K176" s="502" t="s">
        <v>331</v>
      </c>
    </row>
    <row r="177" spans="1:11" ht="10.5" customHeight="1" x14ac:dyDescent="0.2">
      <c r="A177" s="501" t="s">
        <v>331</v>
      </c>
      <c r="B177" s="509" t="str">
        <f>'Акт отбора проб Почва'!C33</f>
        <v>02АХ.03</v>
      </c>
      <c r="C177" s="507"/>
      <c r="D177" s="946"/>
      <c r="E177" s="946"/>
      <c r="F177" s="946"/>
      <c r="G177" s="946"/>
      <c r="H177" s="946"/>
      <c r="I177" s="508"/>
      <c r="J177" s="494"/>
      <c r="K177" s="502" t="str">
        <f>B177</f>
        <v>02АХ.03</v>
      </c>
    </row>
    <row r="178" spans="1:11" ht="10.5" customHeight="1" x14ac:dyDescent="0.2">
      <c r="A178" s="501"/>
      <c r="B178" s="506"/>
      <c r="C178" s="507"/>
      <c r="D178" s="507"/>
      <c r="E178" s="507"/>
      <c r="F178" s="507"/>
      <c r="G178" s="507"/>
      <c r="H178" s="507"/>
      <c r="I178" s="507"/>
      <c r="J178" s="493"/>
      <c r="K178" s="502" t="s">
        <v>332</v>
      </c>
    </row>
    <row r="179" spans="1:11" ht="10.5" customHeight="1" x14ac:dyDescent="0.2">
      <c r="A179" s="939" t="s">
        <v>681</v>
      </c>
      <c r="B179" s="940"/>
      <c r="C179" s="947"/>
      <c r="D179" s="947"/>
      <c r="E179" s="947"/>
      <c r="F179" s="947"/>
      <c r="G179" s="947"/>
      <c r="H179" s="947"/>
      <c r="I179" s="947"/>
      <c r="J179" s="144"/>
      <c r="K179" s="502" t="str">
        <f>J175</f>
        <v>0,5-1,0</v>
      </c>
    </row>
    <row r="180" spans="1:11" ht="10.5" customHeight="1" x14ac:dyDescent="0.2">
      <c r="A180" s="501" t="s">
        <v>333</v>
      </c>
      <c r="B180" s="506"/>
      <c r="C180" s="507"/>
      <c r="D180" s="507"/>
      <c r="E180" s="507"/>
      <c r="F180" s="507"/>
      <c r="G180" s="507"/>
      <c r="H180" s="507"/>
      <c r="I180" s="507"/>
      <c r="J180" s="493"/>
      <c r="K180" s="502" t="s">
        <v>334</v>
      </c>
    </row>
    <row r="181" spans="1:11" ht="10.5" customHeight="1" x14ac:dyDescent="0.2">
      <c r="A181" s="501" t="s">
        <v>335</v>
      </c>
      <c r="B181" s="510"/>
      <c r="C181" s="511"/>
      <c r="D181" s="511"/>
      <c r="E181" s="511"/>
      <c r="F181" s="511"/>
      <c r="G181" s="511"/>
      <c r="H181" s="507"/>
      <c r="I181" s="507"/>
      <c r="J181" s="493"/>
      <c r="K181" s="50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512"/>
      <c r="B183" s="513"/>
      <c r="C183" s="514"/>
      <c r="D183" s="514"/>
      <c r="E183" s="514"/>
      <c r="F183" s="514"/>
      <c r="G183" s="514"/>
      <c r="H183" s="514"/>
      <c r="I183" s="514"/>
      <c r="J183" s="492"/>
      <c r="K183" s="500"/>
    </row>
    <row r="184" spans="1:11" ht="10.5" customHeight="1" x14ac:dyDescent="0.2">
      <c r="A184" s="501" t="s">
        <v>325</v>
      </c>
      <c r="B184" s="933">
        <f>$B$2</f>
        <v>0</v>
      </c>
      <c r="C184" s="933"/>
      <c r="D184" s="934" t="s">
        <v>326</v>
      </c>
      <c r="E184" s="934"/>
      <c r="F184" s="934"/>
      <c r="G184" s="934"/>
      <c r="H184" s="935">
        <f>$H$2</f>
        <v>45739</v>
      </c>
      <c r="I184" s="935"/>
      <c r="J184" s="493"/>
      <c r="K184" s="502" t="s">
        <v>327</v>
      </c>
    </row>
    <row r="185" spans="1:11" ht="10.5" customHeight="1" x14ac:dyDescent="0.2">
      <c r="A185" s="501"/>
      <c r="B185" s="506"/>
      <c r="C185" s="507"/>
      <c r="D185" s="507"/>
      <c r="E185" s="507"/>
      <c r="F185" s="507"/>
      <c r="G185" s="507"/>
      <c r="H185" s="507"/>
      <c r="I185" s="507"/>
      <c r="J185" s="493"/>
      <c r="K185" s="502">
        <f>$B$2</f>
        <v>0</v>
      </c>
    </row>
    <row r="186" spans="1:11" ht="10.5" customHeight="1" x14ac:dyDescent="0.2">
      <c r="A186" s="501" t="s">
        <v>0</v>
      </c>
      <c r="B186" s="943" t="str">
        <f>$B$4</f>
        <v>адрес вбить сюда</v>
      </c>
      <c r="C186" s="943"/>
      <c r="D186" s="943"/>
      <c r="E186" s="943"/>
      <c r="F186" s="943"/>
      <c r="G186" s="943"/>
      <c r="H186" s="943"/>
      <c r="I186" s="943"/>
      <c r="J186" s="944"/>
      <c r="K186" s="502"/>
    </row>
    <row r="187" spans="1:11" ht="10.5" customHeight="1" x14ac:dyDescent="0.2">
      <c r="A187" s="501"/>
      <c r="B187" s="943"/>
      <c r="C187" s="943"/>
      <c r="D187" s="943"/>
      <c r="E187" s="943"/>
      <c r="F187" s="943"/>
      <c r="G187" s="943"/>
      <c r="H187" s="943"/>
      <c r="I187" s="943"/>
      <c r="J187" s="944"/>
      <c r="K187" s="502" t="s">
        <v>328</v>
      </c>
    </row>
    <row r="188" spans="1:11" ht="10.5" customHeight="1" x14ac:dyDescent="0.2">
      <c r="A188" s="939" t="s">
        <v>329</v>
      </c>
      <c r="B188" s="940"/>
      <c r="C188" s="940"/>
      <c r="D188" s="945" t="str">
        <f>'Акт отбора проб Почва'!F34</f>
        <v>СК3</v>
      </c>
      <c r="E188" s="945"/>
      <c r="F188" s="945"/>
      <c r="G188" s="942" t="s">
        <v>330</v>
      </c>
      <c r="H188" s="942"/>
      <c r="I188" s="942"/>
      <c r="J188" s="491" t="str">
        <f>'Акт отбора проб Почва'!B34</f>
        <v>0,5-1,0</v>
      </c>
      <c r="K188" s="505">
        <f>$H$2</f>
        <v>45739</v>
      </c>
    </row>
    <row r="189" spans="1:11" ht="10.5" customHeight="1" x14ac:dyDescent="0.2">
      <c r="A189" s="501"/>
      <c r="B189" s="506"/>
      <c r="C189" s="507"/>
      <c r="D189" s="128"/>
      <c r="E189" s="128"/>
      <c r="F189" s="128"/>
      <c r="G189" s="508"/>
      <c r="H189" s="508"/>
      <c r="I189" s="508"/>
      <c r="J189" s="494"/>
      <c r="K189" s="502" t="s">
        <v>331</v>
      </c>
    </row>
    <row r="190" spans="1:11" ht="10.5" customHeight="1" x14ac:dyDescent="0.2">
      <c r="A190" s="501" t="s">
        <v>331</v>
      </c>
      <c r="B190" s="509" t="str">
        <f>'Акт отбора проб Почва'!C34</f>
        <v>03АХ.03</v>
      </c>
      <c r="C190" s="507"/>
      <c r="D190" s="946"/>
      <c r="E190" s="946"/>
      <c r="F190" s="946"/>
      <c r="G190" s="946"/>
      <c r="H190" s="946"/>
      <c r="I190" s="508"/>
      <c r="J190" s="494"/>
      <c r="K190" s="502" t="str">
        <f>B190</f>
        <v>03АХ.03</v>
      </c>
    </row>
    <row r="191" spans="1:11" ht="10.5" customHeight="1" x14ac:dyDescent="0.2">
      <c r="A191" s="501"/>
      <c r="B191" s="506"/>
      <c r="C191" s="507"/>
      <c r="D191" s="507"/>
      <c r="E191" s="507"/>
      <c r="F191" s="507"/>
      <c r="G191" s="507"/>
      <c r="H191" s="507"/>
      <c r="I191" s="507"/>
      <c r="J191" s="493"/>
      <c r="K191" s="502" t="s">
        <v>332</v>
      </c>
    </row>
    <row r="192" spans="1:11" ht="10.5" customHeight="1" x14ac:dyDescent="0.2">
      <c r="A192" s="939" t="s">
        <v>681</v>
      </c>
      <c r="B192" s="940"/>
      <c r="C192" s="947"/>
      <c r="D192" s="947"/>
      <c r="E192" s="947"/>
      <c r="F192" s="947"/>
      <c r="G192" s="947"/>
      <c r="H192" s="947"/>
      <c r="I192" s="947"/>
      <c r="J192" s="144"/>
      <c r="K192" s="502" t="str">
        <f>J188</f>
        <v>0,5-1,0</v>
      </c>
    </row>
    <row r="193" spans="1:11" ht="10.5" customHeight="1" x14ac:dyDescent="0.2">
      <c r="A193" s="501" t="s">
        <v>333</v>
      </c>
      <c r="B193" s="506"/>
      <c r="C193" s="507"/>
      <c r="D193" s="507"/>
      <c r="E193" s="507"/>
      <c r="F193" s="507"/>
      <c r="G193" s="507"/>
      <c r="H193" s="507"/>
      <c r="I193" s="507"/>
      <c r="J193" s="493"/>
      <c r="K193" s="502" t="s">
        <v>334</v>
      </c>
    </row>
    <row r="194" spans="1:11" ht="10.5" customHeight="1" x14ac:dyDescent="0.2">
      <c r="A194" s="501" t="s">
        <v>335</v>
      </c>
      <c r="B194" s="510"/>
      <c r="C194" s="511"/>
      <c r="D194" s="511"/>
      <c r="E194" s="511"/>
      <c r="F194" s="511"/>
      <c r="G194" s="511"/>
      <c r="H194" s="507"/>
      <c r="I194" s="507"/>
      <c r="J194" s="493"/>
      <c r="K194" s="50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512"/>
      <c r="B196" s="513"/>
      <c r="C196" s="514"/>
      <c r="D196" s="514"/>
      <c r="E196" s="514"/>
      <c r="F196" s="514"/>
      <c r="G196" s="514"/>
      <c r="H196" s="514"/>
      <c r="I196" s="514"/>
      <c r="J196" s="492"/>
      <c r="K196" s="500"/>
    </row>
    <row r="197" spans="1:11" ht="10.5" customHeight="1" x14ac:dyDescent="0.2">
      <c r="A197" s="501" t="s">
        <v>325</v>
      </c>
      <c r="B197" s="933">
        <f>$B$2</f>
        <v>0</v>
      </c>
      <c r="C197" s="933"/>
      <c r="D197" s="934" t="s">
        <v>326</v>
      </c>
      <c r="E197" s="934"/>
      <c r="F197" s="934"/>
      <c r="G197" s="934"/>
      <c r="H197" s="935">
        <f>$H$2</f>
        <v>45739</v>
      </c>
      <c r="I197" s="935"/>
      <c r="J197" s="493"/>
      <c r="K197" s="502" t="s">
        <v>327</v>
      </c>
    </row>
    <row r="198" spans="1:11" ht="10.5" customHeight="1" x14ac:dyDescent="0.2">
      <c r="A198" s="501"/>
      <c r="B198" s="506"/>
      <c r="C198" s="507"/>
      <c r="D198" s="507"/>
      <c r="E198" s="507"/>
      <c r="F198" s="507"/>
      <c r="G198" s="507"/>
      <c r="H198" s="507"/>
      <c r="I198" s="507"/>
      <c r="J198" s="493"/>
      <c r="K198" s="502">
        <f>$B$2</f>
        <v>0</v>
      </c>
    </row>
    <row r="199" spans="1:11" ht="10.5" customHeight="1" x14ac:dyDescent="0.2">
      <c r="A199" s="501" t="s">
        <v>0</v>
      </c>
      <c r="B199" s="943" t="str">
        <f>$B$4</f>
        <v>адрес вбить сюда</v>
      </c>
      <c r="C199" s="943"/>
      <c r="D199" s="943"/>
      <c r="E199" s="943"/>
      <c r="F199" s="943"/>
      <c r="G199" s="943"/>
      <c r="H199" s="943"/>
      <c r="I199" s="943"/>
      <c r="J199" s="944"/>
      <c r="K199" s="502"/>
    </row>
    <row r="200" spans="1:11" ht="10.5" customHeight="1" x14ac:dyDescent="0.2">
      <c r="A200" s="501"/>
      <c r="B200" s="943"/>
      <c r="C200" s="943"/>
      <c r="D200" s="943"/>
      <c r="E200" s="943"/>
      <c r="F200" s="943"/>
      <c r="G200" s="943"/>
      <c r="H200" s="943"/>
      <c r="I200" s="943"/>
      <c r="J200" s="944"/>
      <c r="K200" s="502" t="s">
        <v>328</v>
      </c>
    </row>
    <row r="201" spans="1:11" ht="10.5" customHeight="1" x14ac:dyDescent="0.2">
      <c r="A201" s="939" t="s">
        <v>329</v>
      </c>
      <c r="B201" s="940"/>
      <c r="C201" s="940"/>
      <c r="D201" s="945" t="str">
        <f>'Акт отбора проб Почва'!F35</f>
        <v>СК4</v>
      </c>
      <c r="E201" s="945"/>
      <c r="F201" s="945"/>
      <c r="G201" s="942" t="s">
        <v>330</v>
      </c>
      <c r="H201" s="942"/>
      <c r="I201" s="942"/>
      <c r="J201" s="491" t="str">
        <f>'Акт отбора проб Почва'!B35</f>
        <v>0,5-1,0</v>
      </c>
      <c r="K201" s="505">
        <f>$H$2</f>
        <v>45739</v>
      </c>
    </row>
    <row r="202" spans="1:11" ht="10.5" customHeight="1" x14ac:dyDescent="0.2">
      <c r="A202" s="501"/>
      <c r="B202" s="506"/>
      <c r="C202" s="507"/>
      <c r="D202" s="128"/>
      <c r="E202" s="128"/>
      <c r="F202" s="128"/>
      <c r="G202" s="508"/>
      <c r="H202" s="508"/>
      <c r="I202" s="508"/>
      <c r="J202" s="494"/>
      <c r="K202" s="502" t="s">
        <v>331</v>
      </c>
    </row>
    <row r="203" spans="1:11" ht="10.5" customHeight="1" x14ac:dyDescent="0.2">
      <c r="A203" s="501" t="s">
        <v>331</v>
      </c>
      <c r="B203" s="509" t="str">
        <f>'Акт отбора проб Почва'!C35</f>
        <v>04АХ.03</v>
      </c>
      <c r="C203" s="507"/>
      <c r="D203" s="946"/>
      <c r="E203" s="946"/>
      <c r="F203" s="946"/>
      <c r="G203" s="946"/>
      <c r="H203" s="946"/>
      <c r="I203" s="508"/>
      <c r="J203" s="494"/>
      <c r="K203" s="502" t="str">
        <f>B203</f>
        <v>04АХ.03</v>
      </c>
    </row>
    <row r="204" spans="1:11" ht="10.5" customHeight="1" x14ac:dyDescent="0.2">
      <c r="A204" s="501"/>
      <c r="B204" s="506"/>
      <c r="C204" s="507"/>
      <c r="D204" s="507"/>
      <c r="E204" s="507"/>
      <c r="F204" s="507"/>
      <c r="G204" s="507"/>
      <c r="H204" s="507"/>
      <c r="I204" s="507"/>
      <c r="J204" s="493"/>
      <c r="K204" s="502" t="s">
        <v>332</v>
      </c>
    </row>
    <row r="205" spans="1:11" ht="10.5" customHeight="1" x14ac:dyDescent="0.2">
      <c r="A205" s="939" t="s">
        <v>681</v>
      </c>
      <c r="B205" s="940"/>
      <c r="C205" s="947"/>
      <c r="D205" s="947"/>
      <c r="E205" s="947"/>
      <c r="F205" s="947"/>
      <c r="G205" s="947"/>
      <c r="H205" s="947"/>
      <c r="I205" s="947"/>
      <c r="J205" s="144"/>
      <c r="K205" s="502" t="str">
        <f>J201</f>
        <v>0,5-1,0</v>
      </c>
    </row>
    <row r="206" spans="1:11" ht="10.5" customHeight="1" x14ac:dyDescent="0.2">
      <c r="A206" s="501" t="s">
        <v>333</v>
      </c>
      <c r="B206" s="506"/>
      <c r="C206" s="507"/>
      <c r="D206" s="507"/>
      <c r="E206" s="507"/>
      <c r="F206" s="507"/>
      <c r="G206" s="507"/>
      <c r="H206" s="507"/>
      <c r="I206" s="507"/>
      <c r="J206" s="493"/>
      <c r="K206" s="502" t="s">
        <v>334</v>
      </c>
    </row>
    <row r="207" spans="1:11" ht="10.5" customHeight="1" x14ac:dyDescent="0.2">
      <c r="A207" s="501" t="s">
        <v>335</v>
      </c>
      <c r="B207" s="510"/>
      <c r="C207" s="511"/>
      <c r="D207" s="511"/>
      <c r="E207" s="511"/>
      <c r="F207" s="511"/>
      <c r="G207" s="511"/>
      <c r="H207" s="507"/>
      <c r="I207" s="507"/>
      <c r="J207" s="493"/>
      <c r="K207" s="50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512"/>
      <c r="B209" s="513"/>
      <c r="C209" s="514"/>
      <c r="D209" s="514"/>
      <c r="E209" s="514"/>
      <c r="F209" s="514"/>
      <c r="G209" s="514"/>
      <c r="H209" s="514"/>
      <c r="I209" s="514"/>
      <c r="J209" s="492"/>
      <c r="K209" s="500"/>
    </row>
    <row r="210" spans="1:11" ht="10.5" customHeight="1" x14ac:dyDescent="0.2">
      <c r="A210" s="501" t="s">
        <v>325</v>
      </c>
      <c r="B210" s="933">
        <f>$B$2</f>
        <v>0</v>
      </c>
      <c r="C210" s="933"/>
      <c r="D210" s="934" t="s">
        <v>326</v>
      </c>
      <c r="E210" s="934"/>
      <c r="F210" s="934"/>
      <c r="G210" s="934"/>
      <c r="H210" s="935">
        <f>$H$2</f>
        <v>45739</v>
      </c>
      <c r="I210" s="936"/>
      <c r="J210" s="493"/>
      <c r="K210" s="502" t="s">
        <v>327</v>
      </c>
    </row>
    <row r="211" spans="1:11" ht="10.5" customHeight="1" x14ac:dyDescent="0.2">
      <c r="A211" s="501"/>
      <c r="B211" s="506"/>
      <c r="C211" s="507"/>
      <c r="D211" s="507"/>
      <c r="E211" s="507"/>
      <c r="F211" s="507"/>
      <c r="G211" s="507"/>
      <c r="H211" s="507"/>
      <c r="I211" s="507"/>
      <c r="J211" s="493"/>
      <c r="K211" s="502">
        <f>$B$2</f>
        <v>0</v>
      </c>
    </row>
    <row r="212" spans="1:11" ht="10.5" customHeight="1" x14ac:dyDescent="0.2">
      <c r="A212" s="501" t="s">
        <v>0</v>
      </c>
      <c r="B212" s="943" t="str">
        <f>$B$4</f>
        <v>адрес вбить сюда</v>
      </c>
      <c r="C212" s="943"/>
      <c r="D212" s="943"/>
      <c r="E212" s="943"/>
      <c r="F212" s="943"/>
      <c r="G212" s="943"/>
      <c r="H212" s="943"/>
      <c r="I212" s="943"/>
      <c r="J212" s="944"/>
      <c r="K212" s="502"/>
    </row>
    <row r="213" spans="1:11" ht="10.5" customHeight="1" x14ac:dyDescent="0.2">
      <c r="A213" s="501"/>
      <c r="B213" s="943"/>
      <c r="C213" s="943"/>
      <c r="D213" s="943"/>
      <c r="E213" s="943"/>
      <c r="F213" s="943"/>
      <c r="G213" s="943"/>
      <c r="H213" s="943"/>
      <c r="I213" s="943"/>
      <c r="J213" s="944"/>
      <c r="K213" s="502" t="s">
        <v>328</v>
      </c>
    </row>
    <row r="214" spans="1:11" ht="10.5" customHeight="1" x14ac:dyDescent="0.2">
      <c r="A214" s="939" t="s">
        <v>329</v>
      </c>
      <c r="B214" s="940"/>
      <c r="C214" s="940"/>
      <c r="D214" s="945" t="str">
        <f>'Акт отбора проб Почва'!F36</f>
        <v>СК5</v>
      </c>
      <c r="E214" s="945"/>
      <c r="F214" s="945"/>
      <c r="G214" s="942" t="s">
        <v>330</v>
      </c>
      <c r="H214" s="942"/>
      <c r="I214" s="942"/>
      <c r="J214" s="491" t="str">
        <f>'Акт отбора проб Почва'!B36</f>
        <v>0,5-1,0</v>
      </c>
      <c r="K214" s="505">
        <f>$H$2</f>
        <v>45739</v>
      </c>
    </row>
    <row r="215" spans="1:11" ht="10.5" customHeight="1" x14ac:dyDescent="0.2">
      <c r="A215" s="501"/>
      <c r="B215" s="506"/>
      <c r="C215" s="507"/>
      <c r="D215" s="128"/>
      <c r="E215" s="128"/>
      <c r="F215" s="128"/>
      <c r="G215" s="508"/>
      <c r="H215" s="508"/>
      <c r="I215" s="508"/>
      <c r="J215" s="494"/>
      <c r="K215" s="502" t="s">
        <v>331</v>
      </c>
    </row>
    <row r="216" spans="1:11" ht="10.5" customHeight="1" x14ac:dyDescent="0.2">
      <c r="A216" s="501" t="s">
        <v>331</v>
      </c>
      <c r="B216" s="509" t="str">
        <f>'Акт отбора проб Почва'!C36</f>
        <v>05АХ.03</v>
      </c>
      <c r="C216" s="507"/>
      <c r="D216" s="946"/>
      <c r="E216" s="946"/>
      <c r="F216" s="946"/>
      <c r="G216" s="946"/>
      <c r="H216" s="946"/>
      <c r="I216" s="508"/>
      <c r="J216" s="494"/>
      <c r="K216" s="502" t="str">
        <f>B216</f>
        <v>05АХ.03</v>
      </c>
    </row>
    <row r="217" spans="1:11" ht="10.5" customHeight="1" x14ac:dyDescent="0.2">
      <c r="A217" s="501"/>
      <c r="B217" s="506"/>
      <c r="C217" s="507"/>
      <c r="D217" s="507"/>
      <c r="E217" s="507"/>
      <c r="F217" s="507"/>
      <c r="G217" s="507"/>
      <c r="H217" s="507"/>
      <c r="I217" s="507"/>
      <c r="J217" s="493"/>
      <c r="K217" s="502" t="s">
        <v>332</v>
      </c>
    </row>
    <row r="218" spans="1:11" ht="10.5" customHeight="1" x14ac:dyDescent="0.2">
      <c r="A218" s="939" t="s">
        <v>681</v>
      </c>
      <c r="B218" s="940"/>
      <c r="C218" s="947"/>
      <c r="D218" s="947"/>
      <c r="E218" s="947"/>
      <c r="F218" s="947"/>
      <c r="G218" s="947"/>
      <c r="H218" s="947"/>
      <c r="I218" s="947"/>
      <c r="J218" s="144"/>
      <c r="K218" s="502" t="str">
        <f>J214</f>
        <v>0,5-1,0</v>
      </c>
    </row>
    <row r="219" spans="1:11" ht="10.5" customHeight="1" x14ac:dyDescent="0.2">
      <c r="A219" s="501" t="s">
        <v>333</v>
      </c>
      <c r="B219" s="506"/>
      <c r="C219" s="507"/>
      <c r="D219" s="507"/>
      <c r="E219" s="507"/>
      <c r="F219" s="507"/>
      <c r="G219" s="507"/>
      <c r="H219" s="507"/>
      <c r="I219" s="507"/>
      <c r="J219" s="493"/>
      <c r="K219" s="502" t="s">
        <v>334</v>
      </c>
    </row>
    <row r="220" spans="1:11" ht="10.5" customHeight="1" x14ac:dyDescent="0.2">
      <c r="A220" s="501" t="s">
        <v>335</v>
      </c>
      <c r="B220" s="510"/>
      <c r="C220" s="511"/>
      <c r="D220" s="511"/>
      <c r="E220" s="511"/>
      <c r="F220" s="511"/>
      <c r="G220" s="511"/>
      <c r="H220" s="507"/>
      <c r="I220" s="507"/>
      <c r="J220" s="493"/>
      <c r="K220" s="50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512"/>
      <c r="B222" s="513"/>
      <c r="C222" s="514"/>
      <c r="D222" s="514"/>
      <c r="E222" s="514"/>
      <c r="F222" s="514"/>
      <c r="G222" s="514"/>
      <c r="H222" s="514"/>
      <c r="I222" s="514"/>
      <c r="J222" s="492"/>
      <c r="K222" s="500"/>
    </row>
    <row r="223" spans="1:11" ht="10.5" customHeight="1" x14ac:dyDescent="0.2">
      <c r="A223" s="501" t="s">
        <v>325</v>
      </c>
      <c r="B223" s="933">
        <f>$B$2</f>
        <v>0</v>
      </c>
      <c r="C223" s="933"/>
      <c r="D223" s="934" t="s">
        <v>326</v>
      </c>
      <c r="E223" s="934"/>
      <c r="F223" s="934"/>
      <c r="G223" s="934"/>
      <c r="H223" s="935">
        <f>$H$2</f>
        <v>45739</v>
      </c>
      <c r="I223" s="936"/>
      <c r="J223" s="493"/>
      <c r="K223" s="502" t="s">
        <v>327</v>
      </c>
    </row>
    <row r="224" spans="1:11" ht="10.5" customHeight="1" x14ac:dyDescent="0.2">
      <c r="A224" s="501"/>
      <c r="B224" s="506"/>
      <c r="C224" s="507"/>
      <c r="D224" s="507"/>
      <c r="E224" s="507"/>
      <c r="F224" s="507"/>
      <c r="G224" s="507"/>
      <c r="H224" s="507"/>
      <c r="I224" s="507"/>
      <c r="J224" s="493"/>
      <c r="K224" s="502">
        <f>$B$2</f>
        <v>0</v>
      </c>
    </row>
    <row r="225" spans="1:11" ht="10.5" customHeight="1" x14ac:dyDescent="0.2">
      <c r="A225" s="501" t="s">
        <v>0</v>
      </c>
      <c r="B225" s="943" t="str">
        <f>$B$4</f>
        <v>адрес вбить сюда</v>
      </c>
      <c r="C225" s="943"/>
      <c r="D225" s="943"/>
      <c r="E225" s="943"/>
      <c r="F225" s="943"/>
      <c r="G225" s="943"/>
      <c r="H225" s="943"/>
      <c r="I225" s="943"/>
      <c r="J225" s="944"/>
      <c r="K225" s="502"/>
    </row>
    <row r="226" spans="1:11" ht="10.5" customHeight="1" x14ac:dyDescent="0.2">
      <c r="A226" s="501"/>
      <c r="B226" s="943"/>
      <c r="C226" s="943"/>
      <c r="D226" s="943"/>
      <c r="E226" s="943"/>
      <c r="F226" s="943"/>
      <c r="G226" s="943"/>
      <c r="H226" s="943"/>
      <c r="I226" s="943"/>
      <c r="J226" s="944"/>
      <c r="K226" s="502" t="s">
        <v>328</v>
      </c>
    </row>
    <row r="227" spans="1:11" ht="10.5" customHeight="1" x14ac:dyDescent="0.2">
      <c r="A227" s="939" t="s">
        <v>329</v>
      </c>
      <c r="B227" s="940"/>
      <c r="C227" s="940"/>
      <c r="D227" s="945" t="str">
        <f>'Акт отбора проб Почва'!F37</f>
        <v>СК6</v>
      </c>
      <c r="E227" s="945"/>
      <c r="F227" s="945"/>
      <c r="G227" s="942" t="s">
        <v>330</v>
      </c>
      <c r="H227" s="942"/>
      <c r="I227" s="942"/>
      <c r="J227" s="491" t="str">
        <f>'Акт отбора проб Почва'!B37</f>
        <v>0,5-1,0</v>
      </c>
      <c r="K227" s="505">
        <f>$H$2</f>
        <v>45739</v>
      </c>
    </row>
    <row r="228" spans="1:11" ht="10.5" customHeight="1" x14ac:dyDescent="0.2">
      <c r="A228" s="501"/>
      <c r="B228" s="506"/>
      <c r="C228" s="507"/>
      <c r="D228" s="128"/>
      <c r="E228" s="128"/>
      <c r="F228" s="128"/>
      <c r="G228" s="508"/>
      <c r="H228" s="508"/>
      <c r="I228" s="508"/>
      <c r="J228" s="494"/>
      <c r="K228" s="502" t="s">
        <v>331</v>
      </c>
    </row>
    <row r="229" spans="1:11" ht="10.5" customHeight="1" x14ac:dyDescent="0.2">
      <c r="A229" s="501" t="s">
        <v>331</v>
      </c>
      <c r="B229" s="509" t="str">
        <f>'Акт отбора проб Почва'!C37</f>
        <v>06АХ.03</v>
      </c>
      <c r="C229" s="507"/>
      <c r="D229" s="946"/>
      <c r="E229" s="946"/>
      <c r="F229" s="946"/>
      <c r="G229" s="946"/>
      <c r="H229" s="946"/>
      <c r="I229" s="508"/>
      <c r="J229" s="494"/>
      <c r="K229" s="502" t="str">
        <f>B229</f>
        <v>06АХ.03</v>
      </c>
    </row>
    <row r="230" spans="1:11" ht="10.5" customHeight="1" x14ac:dyDescent="0.2">
      <c r="A230" s="501"/>
      <c r="B230" s="506"/>
      <c r="C230" s="507"/>
      <c r="D230" s="507"/>
      <c r="E230" s="507"/>
      <c r="F230" s="507"/>
      <c r="G230" s="507"/>
      <c r="H230" s="507"/>
      <c r="I230" s="507"/>
      <c r="J230" s="493"/>
      <c r="K230" s="502" t="s">
        <v>332</v>
      </c>
    </row>
    <row r="231" spans="1:11" ht="10.5" customHeight="1" x14ac:dyDescent="0.2">
      <c r="A231" s="939" t="s">
        <v>681</v>
      </c>
      <c r="B231" s="940"/>
      <c r="C231" s="951"/>
      <c r="D231" s="951"/>
      <c r="E231" s="951"/>
      <c r="F231" s="951"/>
      <c r="G231" s="951"/>
      <c r="H231" s="951"/>
      <c r="I231" s="951"/>
      <c r="J231" s="144"/>
      <c r="K231" s="502" t="str">
        <f>J227</f>
        <v>0,5-1,0</v>
      </c>
    </row>
    <row r="232" spans="1:11" ht="10.5" customHeight="1" x14ac:dyDescent="0.2">
      <c r="A232" s="501" t="s">
        <v>333</v>
      </c>
      <c r="B232" s="506"/>
      <c r="C232" s="507"/>
      <c r="D232" s="507"/>
      <c r="E232" s="507"/>
      <c r="F232" s="507"/>
      <c r="G232" s="507"/>
      <c r="H232" s="507"/>
      <c r="I232" s="507"/>
      <c r="J232" s="493"/>
      <c r="K232" s="502" t="s">
        <v>334</v>
      </c>
    </row>
    <row r="233" spans="1:11" ht="10.5" customHeight="1" x14ac:dyDescent="0.2">
      <c r="A233" s="501" t="s">
        <v>335</v>
      </c>
      <c r="B233" s="510"/>
      <c r="C233" s="511"/>
      <c r="D233" s="511"/>
      <c r="E233" s="511"/>
      <c r="F233" s="511"/>
      <c r="G233" s="511"/>
      <c r="H233" s="507"/>
      <c r="I233" s="507"/>
      <c r="J233" s="493"/>
      <c r="K233" s="50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512"/>
      <c r="B235" s="513"/>
      <c r="C235" s="514"/>
      <c r="D235" s="514"/>
      <c r="E235" s="514"/>
      <c r="F235" s="514"/>
      <c r="G235" s="514"/>
      <c r="H235" s="514"/>
      <c r="I235" s="514"/>
      <c r="J235" s="492"/>
      <c r="K235" s="500"/>
    </row>
    <row r="236" spans="1:11" ht="10.5" customHeight="1" x14ac:dyDescent="0.2">
      <c r="A236" s="501" t="s">
        <v>325</v>
      </c>
      <c r="B236" s="933">
        <f>$B$2</f>
        <v>0</v>
      </c>
      <c r="C236" s="933"/>
      <c r="D236" s="934" t="s">
        <v>326</v>
      </c>
      <c r="E236" s="934"/>
      <c r="F236" s="934"/>
      <c r="G236" s="934"/>
      <c r="H236" s="935">
        <f>$H$2</f>
        <v>45739</v>
      </c>
      <c r="I236" s="936"/>
      <c r="J236" s="493"/>
      <c r="K236" s="502" t="s">
        <v>327</v>
      </c>
    </row>
    <row r="237" spans="1:11" ht="10.5" customHeight="1" x14ac:dyDescent="0.2">
      <c r="A237" s="501"/>
      <c r="B237" s="506"/>
      <c r="C237" s="507"/>
      <c r="D237" s="507"/>
      <c r="E237" s="507"/>
      <c r="F237" s="507"/>
      <c r="G237" s="507"/>
      <c r="H237" s="507"/>
      <c r="I237" s="507"/>
      <c r="J237" s="493"/>
      <c r="K237" s="502">
        <f>$B$2</f>
        <v>0</v>
      </c>
    </row>
    <row r="238" spans="1:11" ht="10.5" customHeight="1" x14ac:dyDescent="0.2">
      <c r="A238" s="501" t="s">
        <v>0</v>
      </c>
      <c r="B238" s="943" t="str">
        <f>$B$4</f>
        <v>адрес вбить сюда</v>
      </c>
      <c r="C238" s="943"/>
      <c r="D238" s="943"/>
      <c r="E238" s="943"/>
      <c r="F238" s="943"/>
      <c r="G238" s="943"/>
      <c r="H238" s="943"/>
      <c r="I238" s="943"/>
      <c r="J238" s="944"/>
      <c r="K238" s="502"/>
    </row>
    <row r="239" spans="1:11" ht="10.5" customHeight="1" x14ac:dyDescent="0.2">
      <c r="A239" s="501"/>
      <c r="B239" s="943"/>
      <c r="C239" s="943"/>
      <c r="D239" s="943"/>
      <c r="E239" s="943"/>
      <c r="F239" s="943"/>
      <c r="G239" s="943"/>
      <c r="H239" s="943"/>
      <c r="I239" s="943"/>
      <c r="J239" s="944"/>
      <c r="K239" s="502" t="s">
        <v>328</v>
      </c>
    </row>
    <row r="240" spans="1:11" ht="10.5" customHeight="1" x14ac:dyDescent="0.2">
      <c r="A240" s="939" t="s">
        <v>329</v>
      </c>
      <c r="B240" s="940"/>
      <c r="C240" s="940"/>
      <c r="D240" s="945" t="str">
        <f>'Акт отбора проб Почва'!F38</f>
        <v>СК1</v>
      </c>
      <c r="E240" s="945"/>
      <c r="F240" s="945"/>
      <c r="G240" s="942" t="s">
        <v>330</v>
      </c>
      <c r="H240" s="942"/>
      <c r="I240" s="942"/>
      <c r="J240" s="491" t="str">
        <f>'Акт отбора проб Почва'!B38</f>
        <v>0,2-1,0</v>
      </c>
      <c r="K240" s="505">
        <f>$H$2</f>
        <v>45739</v>
      </c>
    </row>
    <row r="241" spans="1:13" ht="10.5" customHeight="1" x14ac:dyDescent="0.2">
      <c r="A241" s="501"/>
      <c r="B241" s="506"/>
      <c r="C241" s="507"/>
      <c r="D241" s="128"/>
      <c r="E241" s="128"/>
      <c r="F241" s="128"/>
      <c r="G241" s="508"/>
      <c r="H241" s="508"/>
      <c r="I241" s="508"/>
      <c r="J241" s="494"/>
      <c r="K241" s="502" t="s">
        <v>331</v>
      </c>
    </row>
    <row r="242" spans="1:13" ht="10.5" customHeight="1" x14ac:dyDescent="0.2">
      <c r="A242" s="501" t="s">
        <v>331</v>
      </c>
      <c r="B242" s="509" t="str">
        <f>'Акт отбора проб Почва'!C38</f>
        <v>01АХ.02</v>
      </c>
      <c r="C242" s="507"/>
      <c r="D242" s="128"/>
      <c r="E242" s="128"/>
      <c r="F242" s="128"/>
      <c r="G242" s="508"/>
      <c r="H242" s="508"/>
      <c r="I242" s="508"/>
      <c r="J242" s="494"/>
      <c r="K242" s="502" t="str">
        <f>B242</f>
        <v>01АХ.02</v>
      </c>
    </row>
    <row r="243" spans="1:13" ht="10.5" customHeight="1" x14ac:dyDescent="0.2">
      <c r="A243" s="501"/>
      <c r="B243" s="506"/>
      <c r="C243" s="507"/>
      <c r="D243" s="507"/>
      <c r="E243" s="507"/>
      <c r="F243" s="507"/>
      <c r="G243" s="507"/>
      <c r="H243" s="507"/>
      <c r="I243" s="507"/>
      <c r="J243" s="493"/>
      <c r="K243" s="502" t="s">
        <v>332</v>
      </c>
    </row>
    <row r="244" spans="1:13" ht="10.5" customHeight="1" x14ac:dyDescent="0.2">
      <c r="A244" s="939" t="s">
        <v>681</v>
      </c>
      <c r="B244" s="940"/>
      <c r="C244" s="951"/>
      <c r="D244" s="951"/>
      <c r="E244" s="951"/>
      <c r="F244" s="951"/>
      <c r="G244" s="951"/>
      <c r="H244" s="951"/>
      <c r="I244" s="951"/>
      <c r="J244" s="144"/>
      <c r="K244" s="502" t="str">
        <f>J240</f>
        <v>0,2-1,0</v>
      </c>
    </row>
    <row r="245" spans="1:13" ht="10.5" customHeight="1" x14ac:dyDescent="0.2">
      <c r="A245" s="501" t="s">
        <v>333</v>
      </c>
      <c r="B245" s="506"/>
      <c r="C245" s="507"/>
      <c r="D245" s="507"/>
      <c r="E245" s="507"/>
      <c r="F245" s="507"/>
      <c r="G245" s="507"/>
      <c r="H245" s="507"/>
      <c r="I245" s="507"/>
      <c r="J245" s="493"/>
      <c r="K245" s="502" t="s">
        <v>334</v>
      </c>
    </row>
    <row r="246" spans="1:13" ht="10.5" customHeight="1" x14ac:dyDescent="0.2">
      <c r="A246" s="501" t="s">
        <v>335</v>
      </c>
      <c r="B246" s="510"/>
      <c r="C246" s="511"/>
      <c r="D246" s="511"/>
      <c r="E246" s="511"/>
      <c r="F246" s="511"/>
      <c r="G246" s="511"/>
      <c r="H246" s="507"/>
      <c r="I246" s="507"/>
      <c r="J246" s="493"/>
      <c r="K246" s="502"/>
    </row>
    <row r="247" spans="1:13" ht="10.5" customHeight="1" thickBot="1" x14ac:dyDescent="0.25">
      <c r="A247" s="145"/>
      <c r="B247" s="146"/>
      <c r="C247" s="147" t="s">
        <v>336</v>
      </c>
      <c r="D247" s="147"/>
      <c r="E247" s="147"/>
      <c r="F247" s="147"/>
      <c r="G247" s="147"/>
      <c r="H247" s="147"/>
      <c r="I247" s="147"/>
      <c r="J247" s="394"/>
      <c r="K247" s="522"/>
    </row>
    <row r="248" spans="1:13" ht="10.5" customHeight="1" x14ac:dyDescent="0.2">
      <c r="A248" s="512"/>
      <c r="B248" s="513"/>
      <c r="C248" s="514"/>
      <c r="D248" s="514"/>
      <c r="E248" s="514"/>
      <c r="F248" s="514"/>
      <c r="G248" s="514"/>
      <c r="H248" s="514"/>
      <c r="I248" s="514"/>
      <c r="J248" s="492"/>
      <c r="K248" s="500"/>
    </row>
    <row r="249" spans="1:13" ht="10.5" customHeight="1" x14ac:dyDescent="0.2">
      <c r="A249" s="501" t="s">
        <v>325</v>
      </c>
      <c r="B249" s="933">
        <f>$B$2</f>
        <v>0</v>
      </c>
      <c r="C249" s="933"/>
      <c r="D249" s="934" t="s">
        <v>326</v>
      </c>
      <c r="E249" s="934"/>
      <c r="F249" s="934"/>
      <c r="G249" s="934"/>
      <c r="H249" s="935">
        <f>$H$2</f>
        <v>45739</v>
      </c>
      <c r="I249" s="936"/>
      <c r="J249" s="493"/>
      <c r="K249" s="502" t="s">
        <v>327</v>
      </c>
      <c r="M249" t="s">
        <v>338</v>
      </c>
    </row>
    <row r="250" spans="1:13" ht="10.5" customHeight="1" x14ac:dyDescent="0.2">
      <c r="A250" s="501"/>
      <c r="B250" s="506"/>
      <c r="C250" s="507"/>
      <c r="D250" s="507"/>
      <c r="E250" s="507"/>
      <c r="F250" s="507"/>
      <c r="G250" s="507"/>
      <c r="H250" s="507"/>
      <c r="I250" s="507"/>
      <c r="J250" s="493"/>
      <c r="K250" s="502">
        <f>$B$2</f>
        <v>0</v>
      </c>
    </row>
    <row r="251" spans="1:13" ht="10.5" customHeight="1" x14ac:dyDescent="0.2">
      <c r="A251" s="501" t="s">
        <v>0</v>
      </c>
      <c r="B251" s="943" t="str">
        <f>$B$4</f>
        <v>адрес вбить сюда</v>
      </c>
      <c r="C251" s="943"/>
      <c r="D251" s="943"/>
      <c r="E251" s="943"/>
      <c r="F251" s="943"/>
      <c r="G251" s="943"/>
      <c r="H251" s="943"/>
      <c r="I251" s="943"/>
      <c r="J251" s="944"/>
      <c r="K251" s="502"/>
    </row>
    <row r="252" spans="1:13" ht="10.5" customHeight="1" x14ac:dyDescent="0.2">
      <c r="A252" s="501"/>
      <c r="B252" s="943"/>
      <c r="C252" s="943"/>
      <c r="D252" s="943"/>
      <c r="E252" s="943"/>
      <c r="F252" s="943"/>
      <c r="G252" s="943"/>
      <c r="H252" s="943"/>
      <c r="I252" s="943"/>
      <c r="J252" s="944"/>
      <c r="K252" s="502" t="s">
        <v>328</v>
      </c>
    </row>
    <row r="253" spans="1:13" ht="10.5" customHeight="1" x14ac:dyDescent="0.2">
      <c r="A253" s="939" t="s">
        <v>329</v>
      </c>
      <c r="B253" s="940"/>
      <c r="C253" s="940"/>
      <c r="D253" s="945" t="str">
        <f>'Акт отбора проб Почва'!F39</f>
        <v>СК2</v>
      </c>
      <c r="E253" s="945"/>
      <c r="F253" s="945"/>
      <c r="G253" s="942" t="s">
        <v>330</v>
      </c>
      <c r="H253" s="942"/>
      <c r="I253" s="942"/>
      <c r="J253" s="491" t="str">
        <f>'Акт отбора проб Почва'!B39</f>
        <v>0,2-1,0</v>
      </c>
      <c r="K253" s="505">
        <f>$H$2</f>
        <v>45739</v>
      </c>
    </row>
    <row r="254" spans="1:13" ht="10.5" customHeight="1" x14ac:dyDescent="0.2">
      <c r="A254" s="501"/>
      <c r="B254" s="506"/>
      <c r="C254" s="507"/>
      <c r="D254" s="128"/>
      <c r="E254" s="128"/>
      <c r="F254" s="128"/>
      <c r="G254" s="508"/>
      <c r="H254" s="508"/>
      <c r="I254" s="508"/>
      <c r="J254" s="494"/>
      <c r="K254" s="502" t="s">
        <v>331</v>
      </c>
    </row>
    <row r="255" spans="1:13" ht="10.5" customHeight="1" x14ac:dyDescent="0.2">
      <c r="A255" s="501" t="s">
        <v>331</v>
      </c>
      <c r="B255" s="509" t="str">
        <f>'Акт отбора проб Почва'!C39</f>
        <v>02АХ.02</v>
      </c>
      <c r="C255" s="507"/>
      <c r="D255" s="128"/>
      <c r="E255" s="128"/>
      <c r="F255" s="128"/>
      <c r="G255" s="508"/>
      <c r="H255" s="508"/>
      <c r="I255" s="508"/>
      <c r="J255" s="494"/>
      <c r="K255" s="502" t="str">
        <f>B255</f>
        <v>02АХ.02</v>
      </c>
    </row>
    <row r="256" spans="1:13" ht="10.5" customHeight="1" x14ac:dyDescent="0.2">
      <c r="A256" s="501"/>
      <c r="B256" s="506"/>
      <c r="C256" s="507"/>
      <c r="D256" s="507"/>
      <c r="E256" s="507"/>
      <c r="F256" s="507"/>
      <c r="G256" s="507"/>
      <c r="H256" s="507"/>
      <c r="I256" s="507"/>
      <c r="J256" s="493"/>
      <c r="K256" s="502" t="s">
        <v>332</v>
      </c>
    </row>
    <row r="257" spans="1:11" ht="10.5" customHeight="1" x14ac:dyDescent="0.2">
      <c r="A257" s="939" t="s">
        <v>681</v>
      </c>
      <c r="B257" s="940"/>
      <c r="C257" s="951"/>
      <c r="D257" s="951"/>
      <c r="E257" s="951"/>
      <c r="F257" s="951"/>
      <c r="G257" s="951"/>
      <c r="H257" s="951"/>
      <c r="I257" s="951"/>
      <c r="J257" s="144"/>
      <c r="K257" s="502" t="str">
        <f>J253</f>
        <v>0,2-1,0</v>
      </c>
    </row>
    <row r="258" spans="1:11" ht="10.5" customHeight="1" x14ac:dyDescent="0.2">
      <c r="A258" s="501" t="s">
        <v>333</v>
      </c>
      <c r="B258" s="506"/>
      <c r="C258" s="507"/>
      <c r="D258" s="507"/>
      <c r="E258" s="507"/>
      <c r="F258" s="507"/>
      <c r="G258" s="507"/>
      <c r="H258" s="507"/>
      <c r="I258" s="507"/>
      <c r="J258" s="493"/>
      <c r="K258" s="502" t="s">
        <v>334</v>
      </c>
    </row>
    <row r="259" spans="1:11" ht="10.5" customHeight="1" x14ac:dyDescent="0.2">
      <c r="A259" s="501" t="s">
        <v>335</v>
      </c>
      <c r="B259" s="510"/>
      <c r="C259" s="511"/>
      <c r="D259" s="511"/>
      <c r="E259" s="511"/>
      <c r="F259" s="511"/>
      <c r="G259" s="511"/>
      <c r="H259" s="507"/>
      <c r="I259" s="507"/>
      <c r="J259" s="493"/>
      <c r="K259" s="502"/>
    </row>
    <row r="260" spans="1:11" ht="10.5" customHeight="1" thickBot="1" x14ac:dyDescent="0.25">
      <c r="A260" s="145"/>
      <c r="B260" s="146"/>
      <c r="C260" s="147" t="s">
        <v>336</v>
      </c>
      <c r="D260" s="147"/>
      <c r="E260" s="147"/>
      <c r="F260" s="147"/>
      <c r="G260" s="147"/>
      <c r="H260" s="147"/>
      <c r="I260" s="147"/>
      <c r="J260" s="394"/>
      <c r="K260" s="522"/>
    </row>
    <row r="261" spans="1:11" ht="10.5" customHeight="1" x14ac:dyDescent="0.2">
      <c r="A261" s="512"/>
      <c r="B261" s="513"/>
      <c r="C261" s="514"/>
      <c r="D261" s="514"/>
      <c r="E261" s="514"/>
      <c r="F261" s="514"/>
      <c r="G261" s="514"/>
      <c r="H261" s="514"/>
      <c r="I261" s="514"/>
      <c r="J261" s="492"/>
      <c r="K261" s="500"/>
    </row>
    <row r="262" spans="1:11" ht="10.5" customHeight="1" x14ac:dyDescent="0.2">
      <c r="A262" s="501" t="s">
        <v>325</v>
      </c>
      <c r="B262" s="933">
        <f>$B$2</f>
        <v>0</v>
      </c>
      <c r="C262" s="933"/>
      <c r="D262" s="934" t="s">
        <v>326</v>
      </c>
      <c r="E262" s="934"/>
      <c r="F262" s="934"/>
      <c r="G262" s="934"/>
      <c r="H262" s="935">
        <f>$H$2</f>
        <v>45739</v>
      </c>
      <c r="I262" s="936"/>
      <c r="J262" s="493"/>
      <c r="K262" s="502" t="s">
        <v>327</v>
      </c>
    </row>
    <row r="263" spans="1:11" ht="10.5" customHeight="1" x14ac:dyDescent="0.2">
      <c r="A263" s="501"/>
      <c r="B263" s="506"/>
      <c r="C263" s="507"/>
      <c r="D263" s="507"/>
      <c r="E263" s="507"/>
      <c r="F263" s="507"/>
      <c r="G263" s="507"/>
      <c r="H263" s="507"/>
      <c r="I263" s="507"/>
      <c r="J263" s="493"/>
      <c r="K263" s="502">
        <f>$B$2</f>
        <v>0</v>
      </c>
    </row>
    <row r="264" spans="1:11" ht="10.5" customHeight="1" x14ac:dyDescent="0.2">
      <c r="A264" s="501" t="s">
        <v>0</v>
      </c>
      <c r="B264" s="943" t="str">
        <f>$B$4</f>
        <v>адрес вбить сюда</v>
      </c>
      <c r="C264" s="943"/>
      <c r="D264" s="943"/>
      <c r="E264" s="943"/>
      <c r="F264" s="943"/>
      <c r="G264" s="943"/>
      <c r="H264" s="943"/>
      <c r="I264" s="943"/>
      <c r="J264" s="944"/>
      <c r="K264" s="502"/>
    </row>
    <row r="265" spans="1:11" ht="10.5" customHeight="1" x14ac:dyDescent="0.2">
      <c r="A265" s="501"/>
      <c r="B265" s="943"/>
      <c r="C265" s="943"/>
      <c r="D265" s="943"/>
      <c r="E265" s="943"/>
      <c r="F265" s="943"/>
      <c r="G265" s="943"/>
      <c r="H265" s="943"/>
      <c r="I265" s="943"/>
      <c r="J265" s="944"/>
      <c r="K265" s="502" t="s">
        <v>328</v>
      </c>
    </row>
    <row r="266" spans="1:11" ht="10.5" customHeight="1" x14ac:dyDescent="0.2">
      <c r="A266" s="939" t="s">
        <v>329</v>
      </c>
      <c r="B266" s="940"/>
      <c r="C266" s="940"/>
      <c r="D266" s="945" t="str">
        <f>'Акт отбора проб Почва'!F40</f>
        <v>СК3</v>
      </c>
      <c r="E266" s="945"/>
      <c r="F266" s="945"/>
      <c r="G266" s="942" t="s">
        <v>330</v>
      </c>
      <c r="H266" s="942"/>
      <c r="I266" s="942"/>
      <c r="J266" s="491" t="str">
        <f>'Акт отбора проб Почва'!B40</f>
        <v>0,2-1,0</v>
      </c>
      <c r="K266" s="505">
        <f>$H$2</f>
        <v>45739</v>
      </c>
    </row>
    <row r="267" spans="1:11" ht="10.5" customHeight="1" x14ac:dyDescent="0.2">
      <c r="A267" s="501"/>
      <c r="B267" s="506"/>
      <c r="C267" s="507"/>
      <c r="D267" s="128"/>
      <c r="E267" s="128"/>
      <c r="F267" s="128"/>
      <c r="G267" s="508"/>
      <c r="H267" s="508"/>
      <c r="I267" s="508"/>
      <c r="J267" s="494"/>
      <c r="K267" s="502" t="s">
        <v>331</v>
      </c>
    </row>
    <row r="268" spans="1:11" ht="10.5" customHeight="1" x14ac:dyDescent="0.2">
      <c r="A268" s="501" t="s">
        <v>331</v>
      </c>
      <c r="B268" s="509" t="str">
        <f>'Акт отбора проб Почва'!C40</f>
        <v>03АХ.02</v>
      </c>
      <c r="C268" s="507"/>
      <c r="D268" s="128"/>
      <c r="E268" s="128"/>
      <c r="F268" s="128"/>
      <c r="G268" s="508"/>
      <c r="H268" s="508"/>
      <c r="I268" s="508"/>
      <c r="J268" s="494"/>
      <c r="K268" s="502" t="str">
        <f>B268</f>
        <v>03АХ.02</v>
      </c>
    </row>
    <row r="269" spans="1:11" ht="10.5" customHeight="1" x14ac:dyDescent="0.2">
      <c r="A269" s="501"/>
      <c r="B269" s="506"/>
      <c r="C269" s="507"/>
      <c r="D269" s="507"/>
      <c r="E269" s="507"/>
      <c r="F269" s="507"/>
      <c r="G269" s="507"/>
      <c r="H269" s="507"/>
      <c r="I269" s="507"/>
      <c r="J269" s="493"/>
      <c r="K269" s="502" t="s">
        <v>332</v>
      </c>
    </row>
    <row r="270" spans="1:11" ht="10.5" customHeight="1" x14ac:dyDescent="0.2">
      <c r="A270" s="939" t="s">
        <v>681</v>
      </c>
      <c r="B270" s="940"/>
      <c r="C270" s="951"/>
      <c r="D270" s="951"/>
      <c r="E270" s="951"/>
      <c r="F270" s="951"/>
      <c r="G270" s="951"/>
      <c r="H270" s="951"/>
      <c r="I270" s="951"/>
      <c r="J270" s="144"/>
      <c r="K270" s="502" t="str">
        <f>J266</f>
        <v>0,2-1,0</v>
      </c>
    </row>
    <row r="271" spans="1:11" ht="10.5" customHeight="1" x14ac:dyDescent="0.2">
      <c r="A271" s="501" t="s">
        <v>333</v>
      </c>
      <c r="B271" s="506"/>
      <c r="C271" s="507"/>
      <c r="D271" s="507"/>
      <c r="E271" s="507"/>
      <c r="F271" s="507"/>
      <c r="G271" s="507"/>
      <c r="H271" s="507"/>
      <c r="I271" s="507"/>
      <c r="J271" s="493"/>
      <c r="K271" s="502" t="s">
        <v>334</v>
      </c>
    </row>
    <row r="272" spans="1:11" ht="10.5" customHeight="1" x14ac:dyDescent="0.2">
      <c r="A272" s="501" t="s">
        <v>335</v>
      </c>
      <c r="B272" s="510"/>
      <c r="C272" s="511"/>
      <c r="D272" s="511"/>
      <c r="E272" s="511"/>
      <c r="F272" s="511"/>
      <c r="G272" s="511"/>
      <c r="H272" s="507"/>
      <c r="I272" s="507"/>
      <c r="J272" s="493"/>
      <c r="K272" s="502"/>
    </row>
    <row r="273" spans="1:11" ht="10.5" customHeight="1" thickBot="1" x14ac:dyDescent="0.25">
      <c r="A273" s="145"/>
      <c r="B273" s="146"/>
      <c r="C273" s="147" t="s">
        <v>336</v>
      </c>
      <c r="D273" s="147"/>
      <c r="E273" s="147"/>
      <c r="F273" s="147"/>
      <c r="G273" s="147"/>
      <c r="H273" s="147"/>
      <c r="I273" s="147"/>
      <c r="J273" s="394"/>
      <c r="K273" s="522"/>
    </row>
    <row r="274" spans="1:11" ht="10.5" customHeight="1" x14ac:dyDescent="0.2">
      <c r="A274" s="512"/>
      <c r="B274" s="513"/>
      <c r="C274" s="514"/>
      <c r="D274" s="514"/>
      <c r="E274" s="514"/>
      <c r="F274" s="514"/>
      <c r="G274" s="514"/>
      <c r="H274" s="514"/>
      <c r="I274" s="514"/>
      <c r="J274" s="492"/>
      <c r="K274" s="500"/>
    </row>
    <row r="275" spans="1:11" ht="10.5" customHeight="1" x14ac:dyDescent="0.2">
      <c r="A275" s="501" t="s">
        <v>325</v>
      </c>
      <c r="B275" s="933">
        <f>$B$2</f>
        <v>0</v>
      </c>
      <c r="C275" s="933"/>
      <c r="D275" s="934" t="s">
        <v>326</v>
      </c>
      <c r="E275" s="934"/>
      <c r="F275" s="934"/>
      <c r="G275" s="934"/>
      <c r="H275" s="935">
        <f>$H$2</f>
        <v>45739</v>
      </c>
      <c r="I275" s="936"/>
      <c r="J275" s="493"/>
      <c r="K275" s="502" t="s">
        <v>327</v>
      </c>
    </row>
    <row r="276" spans="1:11" ht="10.5" customHeight="1" x14ac:dyDescent="0.2">
      <c r="A276" s="501"/>
      <c r="B276" s="506"/>
      <c r="C276" s="507"/>
      <c r="D276" s="507"/>
      <c r="E276" s="507"/>
      <c r="F276" s="507"/>
      <c r="G276" s="507"/>
      <c r="H276" s="507"/>
      <c r="I276" s="507"/>
      <c r="J276" s="493"/>
      <c r="K276" s="502">
        <f>$B$2</f>
        <v>0</v>
      </c>
    </row>
    <row r="277" spans="1:11" ht="10.5" customHeight="1" x14ac:dyDescent="0.2">
      <c r="A277" s="501" t="s">
        <v>0</v>
      </c>
      <c r="B277" s="943" t="str">
        <f>$B$4</f>
        <v>адрес вбить сюда</v>
      </c>
      <c r="C277" s="943"/>
      <c r="D277" s="943"/>
      <c r="E277" s="943"/>
      <c r="F277" s="943"/>
      <c r="G277" s="943"/>
      <c r="H277" s="943"/>
      <c r="I277" s="943"/>
      <c r="J277" s="944"/>
      <c r="K277" s="502"/>
    </row>
    <row r="278" spans="1:11" ht="10.5" customHeight="1" x14ac:dyDescent="0.2">
      <c r="A278" s="501"/>
      <c r="B278" s="943"/>
      <c r="C278" s="943"/>
      <c r="D278" s="943"/>
      <c r="E278" s="943"/>
      <c r="F278" s="943"/>
      <c r="G278" s="943"/>
      <c r="H278" s="943"/>
      <c r="I278" s="943"/>
      <c r="J278" s="944"/>
      <c r="K278" s="502" t="s">
        <v>328</v>
      </c>
    </row>
    <row r="279" spans="1:11" ht="10.5" customHeight="1" x14ac:dyDescent="0.2">
      <c r="A279" s="939" t="s">
        <v>329</v>
      </c>
      <c r="B279" s="940"/>
      <c r="C279" s="940"/>
      <c r="D279" s="945" t="str">
        <f>'Акт отбора проб Почва'!F41</f>
        <v>СК4</v>
      </c>
      <c r="E279" s="945"/>
      <c r="F279" s="945"/>
      <c r="G279" s="942" t="s">
        <v>330</v>
      </c>
      <c r="H279" s="942"/>
      <c r="I279" s="942"/>
      <c r="J279" s="491" t="str">
        <f>'Акт отбора проб Почва'!B41</f>
        <v>0,2-1,0</v>
      </c>
      <c r="K279" s="505">
        <f>$H$2</f>
        <v>45739</v>
      </c>
    </row>
    <row r="280" spans="1:11" ht="10.5" customHeight="1" x14ac:dyDescent="0.2">
      <c r="A280" s="501"/>
      <c r="B280" s="506"/>
      <c r="C280" s="507"/>
      <c r="D280" s="128"/>
      <c r="E280" s="128"/>
      <c r="F280" s="128"/>
      <c r="G280" s="508"/>
      <c r="H280" s="508"/>
      <c r="I280" s="508"/>
      <c r="J280" s="494"/>
      <c r="K280" s="502" t="s">
        <v>331</v>
      </c>
    </row>
    <row r="281" spans="1:11" ht="10.5" customHeight="1" x14ac:dyDescent="0.2">
      <c r="A281" s="501" t="s">
        <v>331</v>
      </c>
      <c r="B281" s="509" t="str">
        <f>'Акт отбора проб Почва'!C41</f>
        <v>04АХ.02</v>
      </c>
      <c r="C281" s="507"/>
      <c r="D281" s="128"/>
      <c r="E281" s="128"/>
      <c r="F281" s="128"/>
      <c r="G281" s="508"/>
      <c r="H281" s="508"/>
      <c r="I281" s="508"/>
      <c r="J281" s="494"/>
      <c r="K281" s="502" t="str">
        <f>B281</f>
        <v>04АХ.02</v>
      </c>
    </row>
    <row r="282" spans="1:11" ht="10.5" customHeight="1" x14ac:dyDescent="0.2">
      <c r="A282" s="501"/>
      <c r="B282" s="506"/>
      <c r="C282" s="507"/>
      <c r="D282" s="507"/>
      <c r="E282" s="507"/>
      <c r="F282" s="507"/>
      <c r="G282" s="507"/>
      <c r="H282" s="507"/>
      <c r="I282" s="507"/>
      <c r="J282" s="493"/>
      <c r="K282" s="502" t="s">
        <v>332</v>
      </c>
    </row>
    <row r="283" spans="1:11" ht="10.5" customHeight="1" x14ac:dyDescent="0.2">
      <c r="A283" s="939" t="s">
        <v>681</v>
      </c>
      <c r="B283" s="940"/>
      <c r="C283" s="951"/>
      <c r="D283" s="951"/>
      <c r="E283" s="951"/>
      <c r="F283" s="951"/>
      <c r="G283" s="951"/>
      <c r="H283" s="951"/>
      <c r="I283" s="951"/>
      <c r="J283" s="144"/>
      <c r="K283" s="502" t="str">
        <f>J279</f>
        <v>0,2-1,0</v>
      </c>
    </row>
    <row r="284" spans="1:11" ht="10.5" customHeight="1" x14ac:dyDescent="0.2">
      <c r="A284" s="501" t="s">
        <v>333</v>
      </c>
      <c r="B284" s="506"/>
      <c r="C284" s="507"/>
      <c r="D284" s="507"/>
      <c r="E284" s="507"/>
      <c r="F284" s="507"/>
      <c r="G284" s="507"/>
      <c r="H284" s="507"/>
      <c r="I284" s="507"/>
      <c r="J284" s="493"/>
      <c r="K284" s="502" t="s">
        <v>334</v>
      </c>
    </row>
    <row r="285" spans="1:11" ht="10.5" customHeight="1" x14ac:dyDescent="0.2">
      <c r="A285" s="501" t="s">
        <v>335</v>
      </c>
      <c r="B285" s="510"/>
      <c r="C285" s="511"/>
      <c r="D285" s="511"/>
      <c r="E285" s="511"/>
      <c r="F285" s="511"/>
      <c r="G285" s="511"/>
      <c r="H285" s="507"/>
      <c r="I285" s="507"/>
      <c r="J285" s="493"/>
      <c r="K285" s="502"/>
    </row>
    <row r="286" spans="1:11" ht="10.5" customHeight="1" thickBot="1" x14ac:dyDescent="0.25">
      <c r="A286" s="145"/>
      <c r="B286" s="146"/>
      <c r="C286" s="147" t="s">
        <v>336</v>
      </c>
      <c r="D286" s="147"/>
      <c r="E286" s="147"/>
      <c r="F286" s="147"/>
      <c r="G286" s="147"/>
      <c r="H286" s="147"/>
      <c r="I286" s="147"/>
      <c r="J286" s="394"/>
      <c r="K286" s="522"/>
    </row>
    <row r="287" spans="1:11" ht="10.5" customHeight="1" x14ac:dyDescent="0.2">
      <c r="A287" s="512"/>
      <c r="B287" s="513"/>
      <c r="C287" s="514"/>
      <c r="D287" s="514"/>
      <c r="E287" s="514"/>
      <c r="F287" s="514"/>
      <c r="G287" s="514"/>
      <c r="H287" s="514"/>
      <c r="I287" s="514"/>
      <c r="J287" s="492"/>
      <c r="K287" s="500"/>
    </row>
    <row r="288" spans="1:11" ht="10.5" customHeight="1" x14ac:dyDescent="0.2">
      <c r="A288" s="501" t="s">
        <v>325</v>
      </c>
      <c r="B288" s="933">
        <f>$B$2</f>
        <v>0</v>
      </c>
      <c r="C288" s="933"/>
      <c r="D288" s="934" t="s">
        <v>326</v>
      </c>
      <c r="E288" s="934"/>
      <c r="F288" s="934"/>
      <c r="G288" s="934"/>
      <c r="H288" s="935">
        <f>$H$2</f>
        <v>45739</v>
      </c>
      <c r="I288" s="936"/>
      <c r="J288" s="493"/>
      <c r="K288" s="502" t="s">
        <v>327</v>
      </c>
    </row>
    <row r="289" spans="1:11" ht="10.5" customHeight="1" x14ac:dyDescent="0.2">
      <c r="A289" s="501"/>
      <c r="B289" s="506"/>
      <c r="C289" s="507"/>
      <c r="D289" s="507"/>
      <c r="E289" s="507"/>
      <c r="F289" s="507"/>
      <c r="G289" s="507"/>
      <c r="H289" s="507"/>
      <c r="I289" s="507"/>
      <c r="J289" s="493"/>
      <c r="K289" s="502">
        <f>$B$2</f>
        <v>0</v>
      </c>
    </row>
    <row r="290" spans="1:11" ht="10.5" customHeight="1" x14ac:dyDescent="0.2">
      <c r="A290" s="501" t="s">
        <v>0</v>
      </c>
      <c r="B290" s="943" t="str">
        <f>$B$4</f>
        <v>адрес вбить сюда</v>
      </c>
      <c r="C290" s="943"/>
      <c r="D290" s="943"/>
      <c r="E290" s="943"/>
      <c r="F290" s="943"/>
      <c r="G290" s="943"/>
      <c r="H290" s="943"/>
      <c r="I290" s="943"/>
      <c r="J290" s="944"/>
      <c r="K290" s="502"/>
    </row>
    <row r="291" spans="1:11" ht="10.5" customHeight="1" x14ac:dyDescent="0.2">
      <c r="A291" s="501"/>
      <c r="B291" s="943"/>
      <c r="C291" s="943"/>
      <c r="D291" s="943"/>
      <c r="E291" s="943"/>
      <c r="F291" s="943"/>
      <c r="G291" s="943"/>
      <c r="H291" s="943"/>
      <c r="I291" s="943"/>
      <c r="J291" s="944"/>
      <c r="K291" s="502" t="s">
        <v>328</v>
      </c>
    </row>
    <row r="292" spans="1:11" ht="10.5" customHeight="1" x14ac:dyDescent="0.2">
      <c r="A292" s="939" t="s">
        <v>329</v>
      </c>
      <c r="B292" s="940"/>
      <c r="C292" s="940"/>
      <c r="D292" s="945" t="str">
        <f>'Акт отбора проб Почва'!F42</f>
        <v>СК5</v>
      </c>
      <c r="E292" s="945"/>
      <c r="F292" s="945"/>
      <c r="G292" s="942" t="s">
        <v>330</v>
      </c>
      <c r="H292" s="942"/>
      <c r="I292" s="942"/>
      <c r="J292" s="491" t="str">
        <f>'Акт отбора проб Почва'!B42</f>
        <v>0,2-1,0</v>
      </c>
      <c r="K292" s="505">
        <f>$H$2</f>
        <v>45739</v>
      </c>
    </row>
    <row r="293" spans="1:11" ht="10.5" customHeight="1" x14ac:dyDescent="0.2">
      <c r="A293" s="501"/>
      <c r="B293" s="506"/>
      <c r="C293" s="507"/>
      <c r="D293" s="128"/>
      <c r="E293" s="128"/>
      <c r="F293" s="128"/>
      <c r="G293" s="508"/>
      <c r="H293" s="508"/>
      <c r="I293" s="508"/>
      <c r="J293" s="494"/>
      <c r="K293" s="502" t="s">
        <v>331</v>
      </c>
    </row>
    <row r="294" spans="1:11" ht="10.5" customHeight="1" x14ac:dyDescent="0.2">
      <c r="A294" s="501" t="s">
        <v>331</v>
      </c>
      <c r="B294" s="509" t="str">
        <f>'Акт отбора проб Почва'!C42</f>
        <v>05АХ.02</v>
      </c>
      <c r="C294" s="507"/>
      <c r="D294" s="128"/>
      <c r="E294" s="128"/>
      <c r="F294" s="128"/>
      <c r="G294" s="508"/>
      <c r="H294" s="508"/>
      <c r="I294" s="508"/>
      <c r="J294" s="494"/>
      <c r="K294" s="502" t="str">
        <f>B294</f>
        <v>05АХ.02</v>
      </c>
    </row>
    <row r="295" spans="1:11" ht="10.5" customHeight="1" x14ac:dyDescent="0.2">
      <c r="A295" s="501"/>
      <c r="B295" s="506"/>
      <c r="C295" s="507"/>
      <c r="D295" s="507"/>
      <c r="E295" s="507"/>
      <c r="F295" s="507"/>
      <c r="G295" s="507"/>
      <c r="H295" s="507"/>
      <c r="I295" s="507"/>
      <c r="J295" s="493"/>
      <c r="K295" s="502" t="s">
        <v>332</v>
      </c>
    </row>
    <row r="296" spans="1:11" ht="10.5" customHeight="1" x14ac:dyDescent="0.2">
      <c r="A296" s="939" t="s">
        <v>681</v>
      </c>
      <c r="B296" s="940"/>
      <c r="C296" s="951"/>
      <c r="D296" s="951"/>
      <c r="E296" s="951"/>
      <c r="F296" s="951"/>
      <c r="G296" s="951"/>
      <c r="H296" s="951"/>
      <c r="I296" s="951"/>
      <c r="J296" s="144"/>
      <c r="K296" s="502" t="str">
        <f>J292</f>
        <v>0,2-1,0</v>
      </c>
    </row>
    <row r="297" spans="1:11" ht="10.5" customHeight="1" x14ac:dyDescent="0.2">
      <c r="A297" s="501" t="s">
        <v>333</v>
      </c>
      <c r="B297" s="506"/>
      <c r="C297" s="507"/>
      <c r="D297" s="507"/>
      <c r="E297" s="507"/>
      <c r="F297" s="507"/>
      <c r="G297" s="507"/>
      <c r="H297" s="507"/>
      <c r="I297" s="507"/>
      <c r="J297" s="493"/>
      <c r="K297" s="502" t="s">
        <v>334</v>
      </c>
    </row>
    <row r="298" spans="1:11" ht="10.5" customHeight="1" x14ac:dyDescent="0.2">
      <c r="A298" s="501" t="s">
        <v>335</v>
      </c>
      <c r="B298" s="510"/>
      <c r="C298" s="511"/>
      <c r="D298" s="511"/>
      <c r="E298" s="511"/>
      <c r="F298" s="511"/>
      <c r="G298" s="511"/>
      <c r="H298" s="507"/>
      <c r="I298" s="507"/>
      <c r="J298" s="493"/>
      <c r="K298" s="502"/>
    </row>
    <row r="299" spans="1:11" ht="10.5" customHeight="1" thickBot="1" x14ac:dyDescent="0.25">
      <c r="A299" s="145"/>
      <c r="B299" s="146"/>
      <c r="C299" s="147" t="s">
        <v>336</v>
      </c>
      <c r="D299" s="147"/>
      <c r="E299" s="147"/>
      <c r="F299" s="147"/>
      <c r="G299" s="147"/>
      <c r="H299" s="147"/>
      <c r="I299" s="147"/>
      <c r="J299" s="394"/>
      <c r="K299" s="522"/>
    </row>
    <row r="300" spans="1:11" ht="10.5" customHeight="1" x14ac:dyDescent="0.2">
      <c r="A300" s="512"/>
      <c r="B300" s="513"/>
      <c r="C300" s="514"/>
      <c r="D300" s="514"/>
      <c r="E300" s="514"/>
      <c r="F300" s="514"/>
      <c r="G300" s="514"/>
      <c r="H300" s="514"/>
      <c r="I300" s="514"/>
      <c r="J300" s="492"/>
      <c r="K300" s="500"/>
    </row>
    <row r="301" spans="1:11" ht="10.5" customHeight="1" x14ac:dyDescent="0.2">
      <c r="A301" s="501" t="s">
        <v>325</v>
      </c>
      <c r="B301" s="933">
        <f>$B$2</f>
        <v>0</v>
      </c>
      <c r="C301" s="933"/>
      <c r="D301" s="934" t="s">
        <v>326</v>
      </c>
      <c r="E301" s="934"/>
      <c r="F301" s="934"/>
      <c r="G301" s="934"/>
      <c r="H301" s="935">
        <f>$H$2</f>
        <v>45739</v>
      </c>
      <c r="I301" s="936"/>
      <c r="J301" s="493"/>
      <c r="K301" s="502" t="s">
        <v>327</v>
      </c>
    </row>
    <row r="302" spans="1:11" ht="10.5" customHeight="1" x14ac:dyDescent="0.2">
      <c r="A302" s="501"/>
      <c r="B302" s="506"/>
      <c r="C302" s="507"/>
      <c r="D302" s="507"/>
      <c r="E302" s="507"/>
      <c r="F302" s="507"/>
      <c r="G302" s="507"/>
      <c r="H302" s="507"/>
      <c r="I302" s="507"/>
      <c r="J302" s="493"/>
      <c r="K302" s="502">
        <f>$B$2</f>
        <v>0</v>
      </c>
    </row>
    <row r="303" spans="1:11" ht="10.5" customHeight="1" x14ac:dyDescent="0.2">
      <c r="A303" s="501" t="s">
        <v>0</v>
      </c>
      <c r="B303" s="943" t="str">
        <f>$B$4</f>
        <v>адрес вбить сюда</v>
      </c>
      <c r="C303" s="943"/>
      <c r="D303" s="943"/>
      <c r="E303" s="943"/>
      <c r="F303" s="943"/>
      <c r="G303" s="943"/>
      <c r="H303" s="943"/>
      <c r="I303" s="943"/>
      <c r="J303" s="944"/>
      <c r="K303" s="502"/>
    </row>
    <row r="304" spans="1:11" ht="10.5" customHeight="1" x14ac:dyDescent="0.2">
      <c r="A304" s="501"/>
      <c r="B304" s="943"/>
      <c r="C304" s="943"/>
      <c r="D304" s="943"/>
      <c r="E304" s="943"/>
      <c r="F304" s="943"/>
      <c r="G304" s="943"/>
      <c r="H304" s="943"/>
      <c r="I304" s="943"/>
      <c r="J304" s="944"/>
      <c r="K304" s="502" t="s">
        <v>328</v>
      </c>
    </row>
    <row r="305" spans="1:11" ht="10.5" customHeight="1" x14ac:dyDescent="0.2">
      <c r="A305" s="939" t="s">
        <v>329</v>
      </c>
      <c r="B305" s="940"/>
      <c r="C305" s="940"/>
      <c r="D305" s="945" t="str">
        <f>'Акт отбора проб Почва'!F43</f>
        <v>СК6</v>
      </c>
      <c r="E305" s="945"/>
      <c r="F305" s="945"/>
      <c r="G305" s="942" t="s">
        <v>330</v>
      </c>
      <c r="H305" s="942"/>
      <c r="I305" s="942"/>
      <c r="J305" s="491" t="str">
        <f>'Акт отбора проб Почва'!B43</f>
        <v>0,2-1,0</v>
      </c>
      <c r="K305" s="505">
        <f>$H$2</f>
        <v>45739</v>
      </c>
    </row>
    <row r="306" spans="1:11" ht="10.5" customHeight="1" x14ac:dyDescent="0.2">
      <c r="A306" s="501"/>
      <c r="B306" s="506"/>
      <c r="C306" s="507"/>
      <c r="D306" s="128"/>
      <c r="E306" s="128"/>
      <c r="F306" s="128"/>
      <c r="G306" s="508"/>
      <c r="H306" s="508"/>
      <c r="I306" s="508"/>
      <c r="J306" s="494"/>
      <c r="K306" s="502" t="s">
        <v>331</v>
      </c>
    </row>
    <row r="307" spans="1:11" ht="10.5" customHeight="1" x14ac:dyDescent="0.2">
      <c r="A307" s="501" t="s">
        <v>331</v>
      </c>
      <c r="B307" s="509" t="str">
        <f>'Акт отбора проб Почва'!C43</f>
        <v>06АХ.02</v>
      </c>
      <c r="C307" s="507"/>
      <c r="D307" s="128"/>
      <c r="E307" s="128"/>
      <c r="F307" s="128"/>
      <c r="G307" s="508"/>
      <c r="H307" s="508"/>
      <c r="I307" s="508"/>
      <c r="J307" s="494"/>
      <c r="K307" s="502" t="str">
        <f>B307</f>
        <v>06АХ.02</v>
      </c>
    </row>
    <row r="308" spans="1:11" ht="10.5" customHeight="1" x14ac:dyDescent="0.2">
      <c r="A308" s="501"/>
      <c r="B308" s="506"/>
      <c r="C308" s="507"/>
      <c r="D308" s="507"/>
      <c r="E308" s="507"/>
      <c r="F308" s="507"/>
      <c r="G308" s="507"/>
      <c r="H308" s="507"/>
      <c r="I308" s="507"/>
      <c r="J308" s="493"/>
      <c r="K308" s="502" t="s">
        <v>332</v>
      </c>
    </row>
    <row r="309" spans="1:11" ht="10.5" customHeight="1" x14ac:dyDescent="0.2">
      <c r="A309" s="939" t="s">
        <v>681</v>
      </c>
      <c r="B309" s="940"/>
      <c r="C309" s="951"/>
      <c r="D309" s="951"/>
      <c r="E309" s="951"/>
      <c r="F309" s="951"/>
      <c r="G309" s="951"/>
      <c r="H309" s="951"/>
      <c r="I309" s="951"/>
      <c r="J309" s="144"/>
      <c r="K309" s="502" t="str">
        <f>J305</f>
        <v>0,2-1,0</v>
      </c>
    </row>
    <row r="310" spans="1:11" ht="10.5" customHeight="1" x14ac:dyDescent="0.2">
      <c r="A310" s="501" t="s">
        <v>333</v>
      </c>
      <c r="B310" s="506"/>
      <c r="C310" s="507"/>
      <c r="D310" s="507"/>
      <c r="E310" s="507"/>
      <c r="F310" s="507"/>
      <c r="G310" s="507"/>
      <c r="H310" s="507"/>
      <c r="I310" s="507"/>
      <c r="J310" s="493"/>
      <c r="K310" s="502" t="s">
        <v>334</v>
      </c>
    </row>
    <row r="311" spans="1:11" ht="10.5" customHeight="1" x14ac:dyDescent="0.2">
      <c r="A311" s="501" t="s">
        <v>335</v>
      </c>
      <c r="B311" s="510"/>
      <c r="C311" s="511"/>
      <c r="D311" s="511"/>
      <c r="E311" s="511"/>
      <c r="F311" s="511"/>
      <c r="G311" s="511"/>
      <c r="H311" s="507"/>
      <c r="I311" s="507"/>
      <c r="J311" s="493"/>
      <c r="K311" s="502"/>
    </row>
    <row r="312" spans="1:11" ht="10.5" customHeight="1" thickBot="1" x14ac:dyDescent="0.25">
      <c r="A312" s="145"/>
      <c r="B312" s="146"/>
      <c r="C312" s="147" t="s">
        <v>336</v>
      </c>
      <c r="D312" s="147"/>
      <c r="E312" s="147"/>
      <c r="F312" s="147"/>
      <c r="G312" s="147"/>
      <c r="H312" s="147"/>
      <c r="I312" s="147"/>
      <c r="J312" s="394"/>
      <c r="K312" s="522"/>
    </row>
    <row r="313" spans="1:11" ht="10.5" customHeight="1" x14ac:dyDescent="0.2">
      <c r="A313" s="512"/>
      <c r="B313" s="513"/>
      <c r="C313" s="514"/>
      <c r="D313" s="514"/>
      <c r="E313" s="514"/>
      <c r="F313" s="514"/>
      <c r="G313" s="514"/>
      <c r="H313" s="514"/>
      <c r="I313" s="514"/>
      <c r="J313" s="492"/>
      <c r="K313" s="500"/>
    </row>
    <row r="314" spans="1:11" ht="10.5" customHeight="1" x14ac:dyDescent="0.2">
      <c r="A314" s="501" t="s">
        <v>325</v>
      </c>
      <c r="B314" s="933">
        <f>$B$2</f>
        <v>0</v>
      </c>
      <c r="C314" s="933"/>
      <c r="D314" s="934" t="s">
        <v>326</v>
      </c>
      <c r="E314" s="934"/>
      <c r="F314" s="934"/>
      <c r="G314" s="934"/>
      <c r="H314" s="935">
        <f>$H$2</f>
        <v>45739</v>
      </c>
      <c r="I314" s="936"/>
      <c r="J314" s="493"/>
      <c r="K314" s="502" t="s">
        <v>327</v>
      </c>
    </row>
    <row r="315" spans="1:11" ht="10.5" customHeight="1" x14ac:dyDescent="0.2">
      <c r="A315" s="501"/>
      <c r="B315" s="506"/>
      <c r="C315" s="507"/>
      <c r="D315" s="507"/>
      <c r="E315" s="507"/>
      <c r="F315" s="507"/>
      <c r="G315" s="507"/>
      <c r="H315" s="507"/>
      <c r="I315" s="507"/>
      <c r="J315" s="493"/>
      <c r="K315" s="502">
        <f>$B$2</f>
        <v>0</v>
      </c>
    </row>
    <row r="316" spans="1:11" ht="10.5" customHeight="1" x14ac:dyDescent="0.2">
      <c r="A316" s="501" t="s">
        <v>0</v>
      </c>
      <c r="B316" s="943" t="str">
        <f>$B$4</f>
        <v>адрес вбить сюда</v>
      </c>
      <c r="C316" s="943"/>
      <c r="D316" s="943"/>
      <c r="E316" s="943"/>
      <c r="F316" s="943"/>
      <c r="G316" s="943"/>
      <c r="H316" s="943"/>
      <c r="I316" s="943"/>
      <c r="J316" s="944"/>
      <c r="K316" s="502"/>
    </row>
    <row r="317" spans="1:11" ht="10.5" customHeight="1" x14ac:dyDescent="0.2">
      <c r="A317" s="501"/>
      <c r="B317" s="943"/>
      <c r="C317" s="943"/>
      <c r="D317" s="943"/>
      <c r="E317" s="943"/>
      <c r="F317" s="943"/>
      <c r="G317" s="943"/>
      <c r="H317" s="943"/>
      <c r="I317" s="943"/>
      <c r="J317" s="944"/>
      <c r="K317" s="502" t="s">
        <v>328</v>
      </c>
    </row>
    <row r="318" spans="1:11" ht="10.5" customHeight="1" x14ac:dyDescent="0.2">
      <c r="A318" s="939" t="s">
        <v>329</v>
      </c>
      <c r="B318" s="940"/>
      <c r="C318" s="940"/>
      <c r="D318" s="945" t="str">
        <f>'Акт отбора проб Почва'!F44</f>
        <v>СК1</v>
      </c>
      <c r="E318" s="945"/>
      <c r="F318" s="945"/>
      <c r="G318" s="942" t="s">
        <v>330</v>
      </c>
      <c r="H318" s="942"/>
      <c r="I318" s="942"/>
      <c r="J318" s="491" t="str">
        <f>'Акт отбора проб Почва'!B44</f>
        <v>1,0-2,0</v>
      </c>
      <c r="K318" s="505">
        <f>$H$2</f>
        <v>45739</v>
      </c>
    </row>
    <row r="319" spans="1:11" ht="10.5" customHeight="1" x14ac:dyDescent="0.2">
      <c r="A319" s="501"/>
      <c r="B319" s="506"/>
      <c r="C319" s="507"/>
      <c r="D319" s="128"/>
      <c r="E319" s="128"/>
      <c r="F319" s="128"/>
      <c r="G319" s="508"/>
      <c r="H319" s="508"/>
      <c r="I319" s="508"/>
      <c r="J319" s="494"/>
      <c r="K319" s="502" t="s">
        <v>331</v>
      </c>
    </row>
    <row r="320" spans="1:11" ht="10.5" customHeight="1" x14ac:dyDescent="0.2">
      <c r="A320" s="501" t="s">
        <v>331</v>
      </c>
      <c r="B320" s="509" t="str">
        <f>'Акт отбора проб Почва'!C44</f>
        <v>01АХ.04</v>
      </c>
      <c r="C320" s="507"/>
      <c r="D320" s="128"/>
      <c r="E320" s="128"/>
      <c r="F320" s="128"/>
      <c r="G320" s="508"/>
      <c r="H320" s="508"/>
      <c r="I320" s="508"/>
      <c r="J320" s="494"/>
      <c r="K320" s="502" t="str">
        <f>B320</f>
        <v>01АХ.04</v>
      </c>
    </row>
    <row r="321" spans="1:11" ht="10.5" customHeight="1" x14ac:dyDescent="0.2">
      <c r="A321" s="501"/>
      <c r="B321" s="506"/>
      <c r="C321" s="507"/>
      <c r="D321" s="507"/>
      <c r="E321" s="507"/>
      <c r="F321" s="507"/>
      <c r="G321" s="507"/>
      <c r="H321" s="507"/>
      <c r="I321" s="507"/>
      <c r="J321" s="493"/>
      <c r="K321" s="502" t="s">
        <v>332</v>
      </c>
    </row>
    <row r="322" spans="1:11" ht="10.5" customHeight="1" x14ac:dyDescent="0.2">
      <c r="A322" s="939" t="s">
        <v>681</v>
      </c>
      <c r="B322" s="940"/>
      <c r="C322" s="951"/>
      <c r="D322" s="951"/>
      <c r="E322" s="951"/>
      <c r="F322" s="951"/>
      <c r="G322" s="951"/>
      <c r="H322" s="951"/>
      <c r="I322" s="951"/>
      <c r="J322" s="144"/>
      <c r="K322" s="502" t="str">
        <f>J318</f>
        <v>1,0-2,0</v>
      </c>
    </row>
    <row r="323" spans="1:11" ht="10.5" customHeight="1" x14ac:dyDescent="0.2">
      <c r="A323" s="501" t="s">
        <v>333</v>
      </c>
      <c r="B323" s="506"/>
      <c r="C323" s="507"/>
      <c r="D323" s="507"/>
      <c r="E323" s="507"/>
      <c r="F323" s="507"/>
      <c r="G323" s="507"/>
      <c r="H323" s="507"/>
      <c r="I323" s="507"/>
      <c r="J323" s="493"/>
      <c r="K323" s="502" t="s">
        <v>334</v>
      </c>
    </row>
    <row r="324" spans="1:11" ht="10.5" customHeight="1" x14ac:dyDescent="0.2">
      <c r="A324" s="501" t="s">
        <v>335</v>
      </c>
      <c r="B324" s="510"/>
      <c r="C324" s="511"/>
      <c r="D324" s="511"/>
      <c r="E324" s="511"/>
      <c r="F324" s="511"/>
      <c r="G324" s="511"/>
      <c r="H324" s="507"/>
      <c r="I324" s="507"/>
      <c r="J324" s="493"/>
      <c r="K324" s="502"/>
    </row>
    <row r="325" spans="1:11" ht="10.5" customHeight="1" thickBot="1" x14ac:dyDescent="0.25">
      <c r="A325" s="145"/>
      <c r="B325" s="146"/>
      <c r="C325" s="147" t="s">
        <v>336</v>
      </c>
      <c r="D325" s="147"/>
      <c r="E325" s="147"/>
      <c r="F325" s="147"/>
      <c r="G325" s="147"/>
      <c r="H325" s="147"/>
      <c r="I325" s="147"/>
      <c r="J325" s="394"/>
      <c r="K325" s="139"/>
    </row>
    <row r="326" spans="1:11" ht="10.5" customHeight="1" x14ac:dyDescent="0.2">
      <c r="A326" s="515"/>
      <c r="B326" s="516"/>
      <c r="C326" s="517"/>
      <c r="D326" s="517"/>
      <c r="E326" s="517"/>
      <c r="F326" s="517"/>
      <c r="G326" s="517"/>
      <c r="H326" s="517"/>
      <c r="I326" s="517"/>
      <c r="J326" s="492"/>
      <c r="K326" s="500"/>
    </row>
    <row r="327" spans="1:11" ht="10.5" customHeight="1" x14ac:dyDescent="0.2">
      <c r="A327" s="501" t="s">
        <v>325</v>
      </c>
      <c r="B327" s="933">
        <f>$B$2</f>
        <v>0</v>
      </c>
      <c r="C327" s="933"/>
      <c r="D327" s="934" t="s">
        <v>326</v>
      </c>
      <c r="E327" s="934"/>
      <c r="F327" s="934"/>
      <c r="G327" s="934"/>
      <c r="H327" s="935">
        <f>$H$2</f>
        <v>45739</v>
      </c>
      <c r="I327" s="936"/>
      <c r="J327" s="493"/>
      <c r="K327" s="502" t="s">
        <v>327</v>
      </c>
    </row>
    <row r="328" spans="1:11" ht="10.5" customHeight="1" x14ac:dyDescent="0.2">
      <c r="A328" s="518"/>
      <c r="B328" s="506"/>
      <c r="C328" s="507"/>
      <c r="D328" s="507"/>
      <c r="E328" s="507"/>
      <c r="F328" s="507"/>
      <c r="G328" s="507"/>
      <c r="H328" s="507"/>
      <c r="I328" s="507"/>
      <c r="J328" s="493"/>
      <c r="K328" s="502">
        <f>$B$2</f>
        <v>0</v>
      </c>
    </row>
    <row r="329" spans="1:11" ht="10.5" customHeight="1" x14ac:dyDescent="0.2">
      <c r="A329" s="518" t="s">
        <v>0</v>
      </c>
      <c r="B329" s="943" t="str">
        <f>$B$4</f>
        <v>адрес вбить сюда</v>
      </c>
      <c r="C329" s="943"/>
      <c r="D329" s="943"/>
      <c r="E329" s="943"/>
      <c r="F329" s="943"/>
      <c r="G329" s="943"/>
      <c r="H329" s="943"/>
      <c r="I329" s="943"/>
      <c r="J329" s="944"/>
      <c r="K329" s="502"/>
    </row>
    <row r="330" spans="1:11" ht="10.5" customHeight="1" x14ac:dyDescent="0.2">
      <c r="A330" s="518"/>
      <c r="B330" s="943"/>
      <c r="C330" s="943"/>
      <c r="D330" s="943"/>
      <c r="E330" s="943"/>
      <c r="F330" s="943"/>
      <c r="G330" s="943"/>
      <c r="H330" s="943"/>
      <c r="I330" s="943"/>
      <c r="J330" s="944"/>
      <c r="K330" s="502" t="s">
        <v>328</v>
      </c>
    </row>
    <row r="331" spans="1:11" ht="10.5" customHeight="1" x14ac:dyDescent="0.2">
      <c r="A331" s="948" t="s">
        <v>329</v>
      </c>
      <c r="B331" s="933"/>
      <c r="C331" s="933"/>
      <c r="D331" s="945" t="str">
        <f>'Акт отбора проб Почва'!F45</f>
        <v>СК2</v>
      </c>
      <c r="E331" s="945"/>
      <c r="F331" s="945"/>
      <c r="G331" s="949" t="s">
        <v>330</v>
      </c>
      <c r="H331" s="949"/>
      <c r="I331" s="949"/>
      <c r="J331" s="491" t="str">
        <f>'Акт отбора проб Почва'!B45</f>
        <v>1,0-2,0</v>
      </c>
      <c r="K331" s="505">
        <f>$H$2</f>
        <v>45739</v>
      </c>
    </row>
    <row r="332" spans="1:11" ht="10.5" customHeight="1" x14ac:dyDescent="0.2">
      <c r="A332" s="518"/>
      <c r="B332" s="503"/>
      <c r="C332" s="504"/>
      <c r="D332" s="154"/>
      <c r="E332" s="154"/>
      <c r="F332" s="154"/>
      <c r="G332" s="519"/>
      <c r="H332" s="519"/>
      <c r="I332" s="519"/>
      <c r="J332" s="494"/>
      <c r="K332" s="502" t="s">
        <v>331</v>
      </c>
    </row>
    <row r="333" spans="1:11" ht="10.5" customHeight="1" x14ac:dyDescent="0.2">
      <c r="A333" s="501" t="s">
        <v>331</v>
      </c>
      <c r="B333" s="509" t="str">
        <f>'Акт отбора проб Почва'!C45</f>
        <v>02АХ.04</v>
      </c>
      <c r="C333" s="504"/>
      <c r="D333" s="154"/>
      <c r="E333" s="154"/>
      <c r="F333" s="154"/>
      <c r="G333" s="519"/>
      <c r="H333" s="519"/>
      <c r="I333" s="519"/>
      <c r="J333" s="494"/>
      <c r="K333" s="502" t="str">
        <f>B333</f>
        <v>02АХ.04</v>
      </c>
    </row>
    <row r="334" spans="1:11" ht="10.5" customHeight="1" x14ac:dyDescent="0.2">
      <c r="A334" s="518"/>
      <c r="B334" s="503"/>
      <c r="C334" s="504"/>
      <c r="D334" s="504"/>
      <c r="E334" s="504"/>
      <c r="F334" s="504"/>
      <c r="G334" s="504"/>
      <c r="H334" s="504"/>
      <c r="I334" s="504"/>
      <c r="J334" s="493"/>
      <c r="K334" s="502" t="s">
        <v>332</v>
      </c>
    </row>
    <row r="335" spans="1:11" ht="10.5" customHeight="1" x14ac:dyDescent="0.2">
      <c r="A335" s="948" t="s">
        <v>681</v>
      </c>
      <c r="B335" s="933"/>
      <c r="C335" s="951"/>
      <c r="D335" s="951"/>
      <c r="E335" s="951"/>
      <c r="F335" s="951"/>
      <c r="G335" s="951"/>
      <c r="H335" s="951"/>
      <c r="I335" s="951"/>
      <c r="J335" s="155"/>
      <c r="K335" s="502" t="str">
        <f>J331</f>
        <v>1,0-2,0</v>
      </c>
    </row>
    <row r="336" spans="1:11" ht="10.5" customHeight="1" x14ac:dyDescent="0.2">
      <c r="A336" s="518" t="s">
        <v>333</v>
      </c>
      <c r="B336" s="503"/>
      <c r="C336" s="504"/>
      <c r="D336" s="504"/>
      <c r="E336" s="504"/>
      <c r="F336" s="504"/>
      <c r="G336" s="504"/>
      <c r="H336" s="504"/>
      <c r="I336" s="504"/>
      <c r="J336" s="493"/>
      <c r="K336" s="502" t="s">
        <v>334</v>
      </c>
    </row>
    <row r="337" spans="1:11" ht="10.5" customHeight="1" x14ac:dyDescent="0.2">
      <c r="A337" s="518" t="s">
        <v>335</v>
      </c>
      <c r="B337" s="520"/>
      <c r="C337" s="521"/>
      <c r="D337" s="521"/>
      <c r="E337" s="521"/>
      <c r="F337" s="521"/>
      <c r="G337" s="521"/>
      <c r="H337" s="504"/>
      <c r="I337" s="504"/>
      <c r="J337" s="493"/>
      <c r="K337" s="502"/>
    </row>
    <row r="338" spans="1:11" ht="10.5" customHeight="1" thickBot="1" x14ac:dyDescent="0.25">
      <c r="A338" s="158"/>
      <c r="B338" s="159"/>
      <c r="C338" s="138" t="s">
        <v>336</v>
      </c>
      <c r="D338" s="138"/>
      <c r="E338" s="138"/>
      <c r="F338" s="138"/>
      <c r="G338" s="138"/>
      <c r="H338" s="138"/>
      <c r="I338" s="138"/>
      <c r="J338" s="393"/>
      <c r="K338" s="139"/>
    </row>
    <row r="339" spans="1:11" ht="10.5" customHeight="1" x14ac:dyDescent="0.2">
      <c r="A339" s="515"/>
      <c r="B339" s="516"/>
      <c r="C339" s="517"/>
      <c r="D339" s="517"/>
      <c r="E339" s="517"/>
      <c r="F339" s="517"/>
      <c r="G339" s="517"/>
      <c r="H339" s="517"/>
      <c r="I339" s="517"/>
      <c r="J339" s="492"/>
      <c r="K339" s="500"/>
    </row>
    <row r="340" spans="1:11" ht="10.5" customHeight="1" x14ac:dyDescent="0.2">
      <c r="A340" s="501" t="s">
        <v>325</v>
      </c>
      <c r="B340" s="933">
        <f>$B$2</f>
        <v>0</v>
      </c>
      <c r="C340" s="933"/>
      <c r="D340" s="934" t="s">
        <v>326</v>
      </c>
      <c r="E340" s="934"/>
      <c r="F340" s="934"/>
      <c r="G340" s="934"/>
      <c r="H340" s="935">
        <f>$H$2</f>
        <v>45739</v>
      </c>
      <c r="I340" s="936"/>
      <c r="J340" s="493"/>
      <c r="K340" s="502" t="s">
        <v>327</v>
      </c>
    </row>
    <row r="341" spans="1:11" ht="10.5" customHeight="1" x14ac:dyDescent="0.2">
      <c r="A341" s="518"/>
      <c r="B341" s="506"/>
      <c r="C341" s="507"/>
      <c r="D341" s="507"/>
      <c r="E341" s="507"/>
      <c r="F341" s="507"/>
      <c r="G341" s="507"/>
      <c r="H341" s="507"/>
      <c r="I341" s="507"/>
      <c r="J341" s="493"/>
      <c r="K341" s="502">
        <f>$B$2</f>
        <v>0</v>
      </c>
    </row>
    <row r="342" spans="1:11" ht="10.5" customHeight="1" x14ac:dyDescent="0.2">
      <c r="A342" s="518" t="s">
        <v>0</v>
      </c>
      <c r="B342" s="943" t="str">
        <f>$B$4</f>
        <v>адрес вбить сюда</v>
      </c>
      <c r="C342" s="943"/>
      <c r="D342" s="943"/>
      <c r="E342" s="943"/>
      <c r="F342" s="943"/>
      <c r="G342" s="943"/>
      <c r="H342" s="943"/>
      <c r="I342" s="943"/>
      <c r="J342" s="944"/>
      <c r="K342" s="502"/>
    </row>
    <row r="343" spans="1:11" ht="10.5" customHeight="1" x14ac:dyDescent="0.2">
      <c r="A343" s="518"/>
      <c r="B343" s="943"/>
      <c r="C343" s="943"/>
      <c r="D343" s="943"/>
      <c r="E343" s="943"/>
      <c r="F343" s="943"/>
      <c r="G343" s="943"/>
      <c r="H343" s="943"/>
      <c r="I343" s="943"/>
      <c r="J343" s="944"/>
      <c r="K343" s="502" t="s">
        <v>328</v>
      </c>
    </row>
    <row r="344" spans="1:11" ht="10.5" customHeight="1" x14ac:dyDescent="0.2">
      <c r="A344" s="948" t="s">
        <v>329</v>
      </c>
      <c r="B344" s="933"/>
      <c r="C344" s="933"/>
      <c r="D344" s="945" t="str">
        <f>'Акт отбора проб Почва'!F46</f>
        <v>СК3</v>
      </c>
      <c r="E344" s="945"/>
      <c r="F344" s="945"/>
      <c r="G344" s="949" t="s">
        <v>330</v>
      </c>
      <c r="H344" s="949"/>
      <c r="I344" s="949"/>
      <c r="J344" s="491" t="str">
        <f>'Акт отбора проб Почва'!B46</f>
        <v>1,0-2,0</v>
      </c>
      <c r="K344" s="505">
        <f>$H$2</f>
        <v>45739</v>
      </c>
    </row>
    <row r="345" spans="1:11" ht="10.5" customHeight="1" x14ac:dyDescent="0.2">
      <c r="A345" s="518"/>
      <c r="B345" s="503"/>
      <c r="C345" s="504"/>
      <c r="D345" s="154"/>
      <c r="E345" s="154"/>
      <c r="F345" s="154"/>
      <c r="G345" s="519"/>
      <c r="H345" s="519"/>
      <c r="I345" s="519"/>
      <c r="J345" s="494"/>
      <c r="K345" s="502" t="s">
        <v>331</v>
      </c>
    </row>
    <row r="346" spans="1:11" ht="10.5" customHeight="1" x14ac:dyDescent="0.2">
      <c r="A346" s="501" t="s">
        <v>331</v>
      </c>
      <c r="B346" s="509" t="str">
        <f>'Акт отбора проб Почва'!C46</f>
        <v>03АХ.04</v>
      </c>
      <c r="C346" s="504"/>
      <c r="D346" s="154"/>
      <c r="E346" s="154"/>
      <c r="F346" s="154"/>
      <c r="G346" s="519"/>
      <c r="H346" s="519"/>
      <c r="I346" s="519"/>
      <c r="J346" s="494"/>
      <c r="K346" s="502" t="str">
        <f>B346</f>
        <v>03АХ.04</v>
      </c>
    </row>
    <row r="347" spans="1:11" ht="10.5" customHeight="1" x14ac:dyDescent="0.2">
      <c r="A347" s="518"/>
      <c r="B347" s="503"/>
      <c r="C347" s="504"/>
      <c r="D347" s="504"/>
      <c r="E347" s="504"/>
      <c r="F347" s="504"/>
      <c r="G347" s="504"/>
      <c r="H347" s="504"/>
      <c r="I347" s="504"/>
      <c r="J347" s="493"/>
      <c r="K347" s="502" t="s">
        <v>332</v>
      </c>
    </row>
    <row r="348" spans="1:11" ht="10.5" customHeight="1" x14ac:dyDescent="0.2">
      <c r="A348" s="948" t="s">
        <v>681</v>
      </c>
      <c r="B348" s="933"/>
      <c r="C348" s="951"/>
      <c r="D348" s="951"/>
      <c r="E348" s="951"/>
      <c r="F348" s="951"/>
      <c r="G348" s="951"/>
      <c r="H348" s="951"/>
      <c r="I348" s="951"/>
      <c r="J348" s="155"/>
      <c r="K348" s="502" t="str">
        <f>J344</f>
        <v>1,0-2,0</v>
      </c>
    </row>
    <row r="349" spans="1:11" ht="10.5" customHeight="1" x14ac:dyDescent="0.2">
      <c r="A349" s="518" t="s">
        <v>333</v>
      </c>
      <c r="B349" s="503"/>
      <c r="C349" s="504"/>
      <c r="D349" s="504"/>
      <c r="E349" s="504"/>
      <c r="F349" s="504"/>
      <c r="G349" s="504"/>
      <c r="H349" s="504"/>
      <c r="I349" s="504"/>
      <c r="J349" s="493"/>
      <c r="K349" s="502" t="s">
        <v>334</v>
      </c>
    </row>
    <row r="350" spans="1:11" ht="10.5" customHeight="1" x14ac:dyDescent="0.2">
      <c r="A350" s="518" t="s">
        <v>335</v>
      </c>
      <c r="B350" s="520"/>
      <c r="C350" s="521"/>
      <c r="D350" s="521"/>
      <c r="E350" s="521"/>
      <c r="F350" s="521"/>
      <c r="G350" s="521"/>
      <c r="H350" s="504"/>
      <c r="I350" s="504"/>
      <c r="J350" s="493"/>
      <c r="K350" s="502"/>
    </row>
    <row r="351" spans="1:11" ht="10.5" customHeight="1" thickBot="1" x14ac:dyDescent="0.25">
      <c r="A351" s="158"/>
      <c r="B351" s="159"/>
      <c r="C351" s="138" t="s">
        <v>336</v>
      </c>
      <c r="D351" s="138"/>
      <c r="E351" s="138"/>
      <c r="F351" s="138"/>
      <c r="G351" s="138"/>
      <c r="H351" s="138"/>
      <c r="I351" s="138"/>
      <c r="J351" s="393"/>
      <c r="K351" s="139"/>
    </row>
    <row r="352" spans="1:11" ht="10.5" customHeight="1" x14ac:dyDescent="0.2">
      <c r="A352" s="515"/>
      <c r="B352" s="516"/>
      <c r="C352" s="517"/>
      <c r="D352" s="517"/>
      <c r="E352" s="517"/>
      <c r="F352" s="517"/>
      <c r="G352" s="517"/>
      <c r="H352" s="517"/>
      <c r="I352" s="517"/>
      <c r="J352" s="492"/>
      <c r="K352" s="500"/>
    </row>
    <row r="353" spans="1:11" ht="10.5" customHeight="1" x14ac:dyDescent="0.2">
      <c r="A353" s="501" t="s">
        <v>325</v>
      </c>
      <c r="B353" s="933">
        <f>$B$2</f>
        <v>0</v>
      </c>
      <c r="C353" s="933"/>
      <c r="D353" s="934" t="s">
        <v>326</v>
      </c>
      <c r="E353" s="934"/>
      <c r="F353" s="934"/>
      <c r="G353" s="934"/>
      <c r="H353" s="935">
        <f>$H$2</f>
        <v>45739</v>
      </c>
      <c r="I353" s="936"/>
      <c r="J353" s="493"/>
      <c r="K353" s="502" t="s">
        <v>327</v>
      </c>
    </row>
    <row r="354" spans="1:11" ht="10.5" customHeight="1" x14ac:dyDescent="0.2">
      <c r="A354" s="518"/>
      <c r="B354" s="506"/>
      <c r="C354" s="507"/>
      <c r="D354" s="507"/>
      <c r="E354" s="507"/>
      <c r="F354" s="507"/>
      <c r="G354" s="507"/>
      <c r="H354" s="507"/>
      <c r="I354" s="507"/>
      <c r="J354" s="493"/>
      <c r="K354" s="502">
        <f>$B$2</f>
        <v>0</v>
      </c>
    </row>
    <row r="355" spans="1:11" ht="10.5" customHeight="1" x14ac:dyDescent="0.2">
      <c r="A355" s="518" t="s">
        <v>0</v>
      </c>
      <c r="B355" s="943" t="str">
        <f>$B$4</f>
        <v>адрес вбить сюда</v>
      </c>
      <c r="C355" s="943"/>
      <c r="D355" s="943"/>
      <c r="E355" s="943"/>
      <c r="F355" s="943"/>
      <c r="G355" s="943"/>
      <c r="H355" s="943"/>
      <c r="I355" s="943"/>
      <c r="J355" s="944"/>
      <c r="K355" s="502"/>
    </row>
    <row r="356" spans="1:11" ht="10.5" customHeight="1" x14ac:dyDescent="0.2">
      <c r="A356" s="518"/>
      <c r="B356" s="943"/>
      <c r="C356" s="943"/>
      <c r="D356" s="943"/>
      <c r="E356" s="943"/>
      <c r="F356" s="943"/>
      <c r="G356" s="943"/>
      <c r="H356" s="943"/>
      <c r="I356" s="943"/>
      <c r="J356" s="944"/>
      <c r="K356" s="502" t="s">
        <v>328</v>
      </c>
    </row>
    <row r="357" spans="1:11" ht="10.5" customHeight="1" x14ac:dyDescent="0.2">
      <c r="A357" s="948" t="s">
        <v>329</v>
      </c>
      <c r="B357" s="933"/>
      <c r="C357" s="933"/>
      <c r="D357" s="945" t="str">
        <f>'Акт отбора проб Почва'!F47</f>
        <v>СК4</v>
      </c>
      <c r="E357" s="945"/>
      <c r="F357" s="945"/>
      <c r="G357" s="949" t="s">
        <v>330</v>
      </c>
      <c r="H357" s="949"/>
      <c r="I357" s="949"/>
      <c r="J357" s="491" t="str">
        <f>'Акт отбора проб Почва'!B47</f>
        <v>1,0-2,0</v>
      </c>
      <c r="K357" s="505">
        <f>$H$2</f>
        <v>45739</v>
      </c>
    </row>
    <row r="358" spans="1:11" ht="10.5" customHeight="1" x14ac:dyDescent="0.2">
      <c r="A358" s="518"/>
      <c r="B358" s="503"/>
      <c r="C358" s="504"/>
      <c r="D358" s="154"/>
      <c r="E358" s="154"/>
      <c r="F358" s="154"/>
      <c r="G358" s="519"/>
      <c r="H358" s="519"/>
      <c r="I358" s="519"/>
      <c r="J358" s="494"/>
      <c r="K358" s="502" t="s">
        <v>331</v>
      </c>
    </row>
    <row r="359" spans="1:11" ht="10.5" customHeight="1" x14ac:dyDescent="0.2">
      <c r="A359" s="501" t="s">
        <v>331</v>
      </c>
      <c r="B359" s="509" t="str">
        <f>'Акт отбора проб Почва'!C47</f>
        <v>04АХ.04</v>
      </c>
      <c r="C359" s="504"/>
      <c r="D359" s="154"/>
      <c r="E359" s="154"/>
      <c r="F359" s="154"/>
      <c r="G359" s="519"/>
      <c r="H359" s="519"/>
      <c r="I359" s="519"/>
      <c r="J359" s="494"/>
      <c r="K359" s="502" t="str">
        <f>B359</f>
        <v>04АХ.04</v>
      </c>
    </row>
    <row r="360" spans="1:11" ht="10.5" customHeight="1" x14ac:dyDescent="0.2">
      <c r="A360" s="518"/>
      <c r="B360" s="503"/>
      <c r="C360" s="504"/>
      <c r="D360" s="504"/>
      <c r="E360" s="504"/>
      <c r="F360" s="504"/>
      <c r="G360" s="504"/>
      <c r="H360" s="504"/>
      <c r="I360" s="504"/>
      <c r="J360" s="493"/>
      <c r="K360" s="502" t="s">
        <v>332</v>
      </c>
    </row>
    <row r="361" spans="1:11" ht="10.5" customHeight="1" x14ac:dyDescent="0.2">
      <c r="A361" s="948" t="s">
        <v>681</v>
      </c>
      <c r="B361" s="933"/>
      <c r="C361" s="951"/>
      <c r="D361" s="951"/>
      <c r="E361" s="951"/>
      <c r="F361" s="951"/>
      <c r="G361" s="951"/>
      <c r="H361" s="951"/>
      <c r="I361" s="951"/>
      <c r="J361" s="155"/>
      <c r="K361" s="502" t="str">
        <f>J357</f>
        <v>1,0-2,0</v>
      </c>
    </row>
    <row r="362" spans="1:11" ht="10.5" customHeight="1" x14ac:dyDescent="0.2">
      <c r="A362" s="518" t="s">
        <v>333</v>
      </c>
      <c r="B362" s="503"/>
      <c r="C362" s="504"/>
      <c r="D362" s="504"/>
      <c r="E362" s="504"/>
      <c r="F362" s="504"/>
      <c r="G362" s="504"/>
      <c r="H362" s="504"/>
      <c r="I362" s="504"/>
      <c r="J362" s="493"/>
      <c r="K362" s="502" t="s">
        <v>334</v>
      </c>
    </row>
    <row r="363" spans="1:11" ht="10.5" customHeight="1" x14ac:dyDescent="0.2">
      <c r="A363" s="518" t="s">
        <v>335</v>
      </c>
      <c r="B363" s="520"/>
      <c r="C363" s="521"/>
      <c r="D363" s="521"/>
      <c r="E363" s="521"/>
      <c r="F363" s="521"/>
      <c r="G363" s="521"/>
      <c r="H363" s="504"/>
      <c r="I363" s="504"/>
      <c r="J363" s="493"/>
      <c r="K363" s="502"/>
    </row>
    <row r="364" spans="1:11" ht="10.5" customHeight="1" thickBot="1" x14ac:dyDescent="0.25">
      <c r="A364" s="158"/>
      <c r="B364" s="159"/>
      <c r="C364" s="138" t="s">
        <v>336</v>
      </c>
      <c r="D364" s="138"/>
      <c r="E364" s="138"/>
      <c r="F364" s="138"/>
      <c r="G364" s="138"/>
      <c r="H364" s="138"/>
      <c r="I364" s="138"/>
      <c r="J364" s="393"/>
      <c r="K364" s="139"/>
    </row>
    <row r="365" spans="1:11" ht="10.5" customHeight="1" x14ac:dyDescent="0.2">
      <c r="A365" s="515"/>
      <c r="B365" s="516"/>
      <c r="C365" s="517"/>
      <c r="D365" s="517"/>
      <c r="E365" s="517"/>
      <c r="F365" s="517"/>
      <c r="G365" s="517"/>
      <c r="H365" s="517"/>
      <c r="I365" s="517"/>
      <c r="J365" s="492"/>
      <c r="K365" s="500"/>
    </row>
    <row r="366" spans="1:11" ht="10.5" customHeight="1" x14ac:dyDescent="0.2">
      <c r="A366" s="501" t="s">
        <v>325</v>
      </c>
      <c r="B366" s="933">
        <f>$B$2</f>
        <v>0</v>
      </c>
      <c r="C366" s="933"/>
      <c r="D366" s="934" t="s">
        <v>326</v>
      </c>
      <c r="E366" s="934"/>
      <c r="F366" s="934"/>
      <c r="G366" s="934"/>
      <c r="H366" s="935">
        <f>$H$2</f>
        <v>45739</v>
      </c>
      <c r="I366" s="936"/>
      <c r="J366" s="493"/>
      <c r="K366" s="502" t="s">
        <v>327</v>
      </c>
    </row>
    <row r="367" spans="1:11" ht="10.5" customHeight="1" x14ac:dyDescent="0.2">
      <c r="A367" s="518"/>
      <c r="B367" s="506"/>
      <c r="C367" s="507"/>
      <c r="D367" s="507"/>
      <c r="E367" s="507"/>
      <c r="F367" s="507"/>
      <c r="G367" s="507"/>
      <c r="H367" s="507"/>
      <c r="I367" s="507"/>
      <c r="J367" s="493"/>
      <c r="K367" s="502">
        <f>$B$2</f>
        <v>0</v>
      </c>
    </row>
    <row r="368" spans="1:11" ht="10.5" customHeight="1" x14ac:dyDescent="0.2">
      <c r="A368" s="518" t="s">
        <v>0</v>
      </c>
      <c r="B368" s="943" t="str">
        <f>$B$4</f>
        <v>адрес вбить сюда</v>
      </c>
      <c r="C368" s="943"/>
      <c r="D368" s="943"/>
      <c r="E368" s="943"/>
      <c r="F368" s="943"/>
      <c r="G368" s="943"/>
      <c r="H368" s="943"/>
      <c r="I368" s="943"/>
      <c r="J368" s="944"/>
      <c r="K368" s="502"/>
    </row>
    <row r="369" spans="1:11" ht="10.5" customHeight="1" x14ac:dyDescent="0.2">
      <c r="A369" s="518"/>
      <c r="B369" s="943"/>
      <c r="C369" s="943"/>
      <c r="D369" s="943"/>
      <c r="E369" s="943"/>
      <c r="F369" s="943"/>
      <c r="G369" s="943"/>
      <c r="H369" s="943"/>
      <c r="I369" s="943"/>
      <c r="J369" s="944"/>
      <c r="K369" s="502" t="s">
        <v>328</v>
      </c>
    </row>
    <row r="370" spans="1:11" ht="10.5" customHeight="1" x14ac:dyDescent="0.2">
      <c r="A370" s="948" t="s">
        <v>329</v>
      </c>
      <c r="B370" s="933"/>
      <c r="C370" s="933"/>
      <c r="D370" s="945" t="str">
        <f>'Акт отбора проб Почва'!F48</f>
        <v>СК5</v>
      </c>
      <c r="E370" s="945"/>
      <c r="F370" s="945"/>
      <c r="G370" s="949" t="s">
        <v>330</v>
      </c>
      <c r="H370" s="949"/>
      <c r="I370" s="949"/>
      <c r="J370" s="491" t="str">
        <f>'Акт отбора проб Почва'!B48</f>
        <v>1,0-2,0</v>
      </c>
      <c r="K370" s="505">
        <f>$H$2</f>
        <v>45739</v>
      </c>
    </row>
    <row r="371" spans="1:11" ht="10.5" customHeight="1" x14ac:dyDescent="0.2">
      <c r="A371" s="518"/>
      <c r="B371" s="503"/>
      <c r="C371" s="504"/>
      <c r="D371" s="154"/>
      <c r="E371" s="154"/>
      <c r="F371" s="154"/>
      <c r="G371" s="519"/>
      <c r="H371" s="519"/>
      <c r="I371" s="519"/>
      <c r="J371" s="494"/>
      <c r="K371" s="502" t="s">
        <v>331</v>
      </c>
    </row>
    <row r="372" spans="1:11" ht="10.5" customHeight="1" x14ac:dyDescent="0.2">
      <c r="A372" s="501" t="s">
        <v>331</v>
      </c>
      <c r="B372" s="509" t="str">
        <f>'Акт отбора проб Почва'!C48</f>
        <v>05АХ.04</v>
      </c>
      <c r="C372" s="504"/>
      <c r="D372" s="154"/>
      <c r="E372" s="154"/>
      <c r="F372" s="154"/>
      <c r="G372" s="519"/>
      <c r="H372" s="519"/>
      <c r="I372" s="519"/>
      <c r="J372" s="494"/>
      <c r="K372" s="502" t="str">
        <f>B372</f>
        <v>05АХ.04</v>
      </c>
    </row>
    <row r="373" spans="1:11" ht="10.5" customHeight="1" x14ac:dyDescent="0.2">
      <c r="A373" s="518"/>
      <c r="B373" s="503"/>
      <c r="C373" s="504"/>
      <c r="D373" s="504"/>
      <c r="E373" s="504"/>
      <c r="F373" s="504"/>
      <c r="G373" s="504"/>
      <c r="H373" s="504"/>
      <c r="I373" s="504"/>
      <c r="J373" s="493"/>
      <c r="K373" s="502" t="s">
        <v>332</v>
      </c>
    </row>
    <row r="374" spans="1:11" ht="10.5" customHeight="1" x14ac:dyDescent="0.2">
      <c r="A374" s="948" t="s">
        <v>681</v>
      </c>
      <c r="B374" s="933"/>
      <c r="C374" s="951"/>
      <c r="D374" s="951"/>
      <c r="E374" s="951"/>
      <c r="F374" s="951"/>
      <c r="G374" s="951"/>
      <c r="H374" s="951"/>
      <c r="I374" s="951"/>
      <c r="J374" s="155"/>
      <c r="K374" s="502" t="str">
        <f>J370</f>
        <v>1,0-2,0</v>
      </c>
    </row>
    <row r="375" spans="1:11" ht="10.5" customHeight="1" x14ac:dyDescent="0.2">
      <c r="A375" s="518" t="s">
        <v>333</v>
      </c>
      <c r="B375" s="503"/>
      <c r="C375" s="504"/>
      <c r="D375" s="504"/>
      <c r="E375" s="504"/>
      <c r="F375" s="504"/>
      <c r="G375" s="504"/>
      <c r="H375" s="504"/>
      <c r="I375" s="504"/>
      <c r="J375" s="493"/>
      <c r="K375" s="502" t="s">
        <v>334</v>
      </c>
    </row>
    <row r="376" spans="1:11" ht="10.5" customHeight="1" x14ac:dyDescent="0.2">
      <c r="A376" s="518" t="s">
        <v>335</v>
      </c>
      <c r="B376" s="520"/>
      <c r="C376" s="521"/>
      <c r="D376" s="521"/>
      <c r="E376" s="521"/>
      <c r="F376" s="521"/>
      <c r="G376" s="521"/>
      <c r="H376" s="504"/>
      <c r="I376" s="504"/>
      <c r="J376" s="493"/>
      <c r="K376" s="502"/>
    </row>
    <row r="377" spans="1:11" ht="10.5" customHeight="1" thickBot="1" x14ac:dyDescent="0.25">
      <c r="A377" s="158"/>
      <c r="B377" s="159"/>
      <c r="C377" s="138" t="s">
        <v>336</v>
      </c>
      <c r="D377" s="138"/>
      <c r="E377" s="138"/>
      <c r="F377" s="138"/>
      <c r="G377" s="138"/>
      <c r="H377" s="138"/>
      <c r="I377" s="138"/>
      <c r="J377" s="393"/>
      <c r="K377" s="139"/>
    </row>
    <row r="378" spans="1:11" ht="10.5" customHeight="1" x14ac:dyDescent="0.2">
      <c r="A378" s="515"/>
      <c r="B378" s="516"/>
      <c r="C378" s="517"/>
      <c r="D378" s="517"/>
      <c r="E378" s="517"/>
      <c r="F378" s="517"/>
      <c r="G378" s="517"/>
      <c r="H378" s="517"/>
      <c r="I378" s="517"/>
      <c r="J378" s="492"/>
      <c r="K378" s="500"/>
    </row>
    <row r="379" spans="1:11" ht="10.5" customHeight="1" x14ac:dyDescent="0.2">
      <c r="A379" s="501" t="s">
        <v>325</v>
      </c>
      <c r="B379" s="933">
        <f>$B$2</f>
        <v>0</v>
      </c>
      <c r="C379" s="933"/>
      <c r="D379" s="934" t="s">
        <v>326</v>
      </c>
      <c r="E379" s="934"/>
      <c r="F379" s="934"/>
      <c r="G379" s="934"/>
      <c r="H379" s="935">
        <f>$H$2</f>
        <v>45739</v>
      </c>
      <c r="I379" s="936"/>
      <c r="J379" s="493"/>
      <c r="K379" s="502" t="s">
        <v>327</v>
      </c>
    </row>
    <row r="380" spans="1:11" ht="10.5" customHeight="1" x14ac:dyDescent="0.2">
      <c r="A380" s="518"/>
      <c r="B380" s="506"/>
      <c r="C380" s="507"/>
      <c r="D380" s="507"/>
      <c r="E380" s="507"/>
      <c r="F380" s="507"/>
      <c r="G380" s="507"/>
      <c r="H380" s="507"/>
      <c r="I380" s="507"/>
      <c r="J380" s="493"/>
      <c r="K380" s="502">
        <f>$B$2</f>
        <v>0</v>
      </c>
    </row>
    <row r="381" spans="1:11" ht="10.5" customHeight="1" x14ac:dyDescent="0.2">
      <c r="A381" s="518" t="s">
        <v>0</v>
      </c>
      <c r="B381" s="943" t="str">
        <f>$B$4</f>
        <v>адрес вбить сюда</v>
      </c>
      <c r="C381" s="943"/>
      <c r="D381" s="943"/>
      <c r="E381" s="943"/>
      <c r="F381" s="943"/>
      <c r="G381" s="943"/>
      <c r="H381" s="943"/>
      <c r="I381" s="943"/>
      <c r="J381" s="944"/>
      <c r="K381" s="502"/>
    </row>
    <row r="382" spans="1:11" ht="10.5" customHeight="1" x14ac:dyDescent="0.2">
      <c r="A382" s="518"/>
      <c r="B382" s="943"/>
      <c r="C382" s="943"/>
      <c r="D382" s="943"/>
      <c r="E382" s="943"/>
      <c r="F382" s="943"/>
      <c r="G382" s="943"/>
      <c r="H382" s="943"/>
      <c r="I382" s="943"/>
      <c r="J382" s="944"/>
      <c r="K382" s="502" t="s">
        <v>328</v>
      </c>
    </row>
    <row r="383" spans="1:11" ht="10.5" customHeight="1" x14ac:dyDescent="0.2">
      <c r="A383" s="948" t="s">
        <v>329</v>
      </c>
      <c r="B383" s="933"/>
      <c r="C383" s="933"/>
      <c r="D383" s="945" t="str">
        <f>'Акт отбора проб Почва'!F49</f>
        <v>СК6</v>
      </c>
      <c r="E383" s="945"/>
      <c r="F383" s="945"/>
      <c r="G383" s="949" t="s">
        <v>330</v>
      </c>
      <c r="H383" s="949"/>
      <c r="I383" s="949"/>
      <c r="J383" s="491" t="str">
        <f>'Акт отбора проб Почва'!B49</f>
        <v>1,0-2,0</v>
      </c>
      <c r="K383" s="505">
        <f>$H$2</f>
        <v>45739</v>
      </c>
    </row>
    <row r="384" spans="1:11" ht="10.5" customHeight="1" x14ac:dyDescent="0.2">
      <c r="A384" s="518"/>
      <c r="B384" s="503"/>
      <c r="C384" s="504"/>
      <c r="D384" s="154"/>
      <c r="E384" s="154"/>
      <c r="F384" s="154"/>
      <c r="G384" s="519"/>
      <c r="H384" s="519"/>
      <c r="I384" s="519"/>
      <c r="J384" s="494"/>
      <c r="K384" s="502" t="s">
        <v>331</v>
      </c>
    </row>
    <row r="385" spans="1:11" ht="10.5" customHeight="1" x14ac:dyDescent="0.2">
      <c r="A385" s="501" t="s">
        <v>331</v>
      </c>
      <c r="B385" s="509" t="str">
        <f>'Акт отбора проб Почва'!C49</f>
        <v>06АХ.04</v>
      </c>
      <c r="C385" s="504"/>
      <c r="D385" s="154"/>
      <c r="E385" s="154"/>
      <c r="F385" s="154"/>
      <c r="G385" s="519"/>
      <c r="H385" s="519"/>
      <c r="I385" s="519"/>
      <c r="J385" s="494"/>
      <c r="K385" s="502" t="str">
        <f>B385</f>
        <v>06АХ.04</v>
      </c>
    </row>
    <row r="386" spans="1:11" ht="10.5" customHeight="1" x14ac:dyDescent="0.2">
      <c r="A386" s="518"/>
      <c r="B386" s="503"/>
      <c r="C386" s="504"/>
      <c r="D386" s="504"/>
      <c r="E386" s="504"/>
      <c r="F386" s="504"/>
      <c r="G386" s="504"/>
      <c r="H386" s="504"/>
      <c r="I386" s="504"/>
      <c r="J386" s="493"/>
      <c r="K386" s="502" t="s">
        <v>332</v>
      </c>
    </row>
    <row r="387" spans="1:11" ht="10.5" customHeight="1" x14ac:dyDescent="0.2">
      <c r="A387" s="948" t="s">
        <v>681</v>
      </c>
      <c r="B387" s="933"/>
      <c r="C387" s="951"/>
      <c r="D387" s="951"/>
      <c r="E387" s="951"/>
      <c r="F387" s="951"/>
      <c r="G387" s="951"/>
      <c r="H387" s="951"/>
      <c r="I387" s="951"/>
      <c r="J387" s="155"/>
      <c r="K387" s="502" t="str">
        <f>J383</f>
        <v>1,0-2,0</v>
      </c>
    </row>
    <row r="388" spans="1:11" ht="10.5" customHeight="1" x14ac:dyDescent="0.2">
      <c r="A388" s="518" t="s">
        <v>333</v>
      </c>
      <c r="B388" s="503"/>
      <c r="C388" s="504"/>
      <c r="D388" s="504"/>
      <c r="E388" s="504"/>
      <c r="F388" s="504"/>
      <c r="G388" s="504"/>
      <c r="H388" s="504"/>
      <c r="I388" s="504"/>
      <c r="J388" s="493"/>
      <c r="K388" s="502" t="s">
        <v>334</v>
      </c>
    </row>
    <row r="389" spans="1:11" ht="10.5" customHeight="1" x14ac:dyDescent="0.2">
      <c r="A389" s="518" t="s">
        <v>335</v>
      </c>
      <c r="B389" s="520"/>
      <c r="C389" s="521"/>
      <c r="D389" s="521"/>
      <c r="E389" s="521"/>
      <c r="F389" s="521"/>
      <c r="G389" s="521"/>
      <c r="H389" s="504"/>
      <c r="I389" s="504"/>
      <c r="J389" s="493"/>
      <c r="K389" s="502"/>
    </row>
    <row r="390" spans="1:11" ht="10.5" customHeight="1" thickBot="1" x14ac:dyDescent="0.25">
      <c r="A390" s="158"/>
      <c r="B390" s="159"/>
      <c r="C390" s="138" t="s">
        <v>336</v>
      </c>
      <c r="D390" s="138"/>
      <c r="E390" s="138"/>
      <c r="F390" s="138"/>
      <c r="G390" s="138"/>
      <c r="H390" s="138"/>
      <c r="I390" s="138"/>
      <c r="J390" s="393"/>
      <c r="K390" s="139"/>
    </row>
    <row r="391" spans="1:11" ht="10.5" customHeight="1" x14ac:dyDescent="0.2">
      <c r="A391" s="512"/>
      <c r="B391" s="513"/>
      <c r="C391" s="514"/>
      <c r="D391" s="514"/>
      <c r="E391" s="514"/>
      <c r="F391" s="514"/>
      <c r="G391" s="514"/>
      <c r="H391" s="514"/>
      <c r="I391" s="514"/>
      <c r="J391" s="492"/>
      <c r="K391" s="500"/>
    </row>
    <row r="392" spans="1:11" ht="10.5" customHeight="1" x14ac:dyDescent="0.2">
      <c r="A392" s="501" t="s">
        <v>325</v>
      </c>
      <c r="B392" s="933">
        <f>$B$2</f>
        <v>0</v>
      </c>
      <c r="C392" s="933"/>
      <c r="D392" s="934" t="s">
        <v>326</v>
      </c>
      <c r="E392" s="934"/>
      <c r="F392" s="934"/>
      <c r="G392" s="934"/>
      <c r="H392" s="935">
        <f>$H$2</f>
        <v>45739</v>
      </c>
      <c r="I392" s="936"/>
      <c r="J392" s="493"/>
      <c r="K392" s="502" t="s">
        <v>327</v>
      </c>
    </row>
    <row r="393" spans="1:11" ht="10.5" customHeight="1" x14ac:dyDescent="0.2">
      <c r="A393" s="501"/>
      <c r="B393" s="506"/>
      <c r="C393" s="507"/>
      <c r="D393" s="507"/>
      <c r="E393" s="507"/>
      <c r="F393" s="507"/>
      <c r="G393" s="507"/>
      <c r="H393" s="507"/>
      <c r="I393" s="507"/>
      <c r="J393" s="493"/>
      <c r="K393" s="502">
        <f>$B$2</f>
        <v>0</v>
      </c>
    </row>
    <row r="394" spans="1:11" ht="10.5" customHeight="1" x14ac:dyDescent="0.2">
      <c r="A394" s="501" t="s">
        <v>0</v>
      </c>
      <c r="B394" s="943" t="str">
        <f>$B$4</f>
        <v>адрес вбить сюда</v>
      </c>
      <c r="C394" s="943"/>
      <c r="D394" s="943"/>
      <c r="E394" s="943"/>
      <c r="F394" s="943"/>
      <c r="G394" s="943"/>
      <c r="H394" s="943"/>
      <c r="I394" s="943"/>
      <c r="J394" s="944"/>
      <c r="K394" s="502"/>
    </row>
    <row r="395" spans="1:11" ht="10.5" customHeight="1" x14ac:dyDescent="0.2">
      <c r="A395" s="501"/>
      <c r="B395" s="943"/>
      <c r="C395" s="943"/>
      <c r="D395" s="943"/>
      <c r="E395" s="943"/>
      <c r="F395" s="943"/>
      <c r="G395" s="943"/>
      <c r="H395" s="943"/>
      <c r="I395" s="943"/>
      <c r="J395" s="944"/>
      <c r="K395" s="502" t="s">
        <v>328</v>
      </c>
    </row>
    <row r="396" spans="1:11" ht="10.5" customHeight="1" x14ac:dyDescent="0.2">
      <c r="A396" s="939" t="s">
        <v>329</v>
      </c>
      <c r="B396" s="940"/>
      <c r="C396" s="940"/>
      <c r="D396" s="945" t="str">
        <f>'Акт отбора проб Почва'!F50</f>
        <v>СК1</v>
      </c>
      <c r="E396" s="945"/>
      <c r="F396" s="945"/>
      <c r="G396" s="942" t="s">
        <v>330</v>
      </c>
      <c r="H396" s="942"/>
      <c r="I396" s="942"/>
      <c r="J396" s="491" t="str">
        <f>'Акт отбора проб Почва'!B50</f>
        <v>2,0-3,0</v>
      </c>
      <c r="K396" s="505">
        <f>$H$2</f>
        <v>45739</v>
      </c>
    </row>
    <row r="397" spans="1:11" ht="10.5" customHeight="1" x14ac:dyDescent="0.2">
      <c r="A397" s="501"/>
      <c r="B397" s="506"/>
      <c r="C397" s="507"/>
      <c r="D397" s="128"/>
      <c r="E397" s="128"/>
      <c r="F397" s="128"/>
      <c r="G397" s="508"/>
      <c r="H397" s="508"/>
      <c r="I397" s="508"/>
      <c r="J397" s="494"/>
      <c r="K397" s="502" t="s">
        <v>331</v>
      </c>
    </row>
    <row r="398" spans="1:11" ht="10.5" customHeight="1" x14ac:dyDescent="0.2">
      <c r="A398" s="501" t="s">
        <v>331</v>
      </c>
      <c r="B398" s="509" t="str">
        <f>'Акт отбора проб Почва'!C50</f>
        <v>01АХ.05</v>
      </c>
      <c r="C398" s="507"/>
      <c r="D398" s="128"/>
      <c r="E398" s="128"/>
      <c r="F398" s="128"/>
      <c r="G398" s="508"/>
      <c r="H398" s="508"/>
      <c r="I398" s="508"/>
      <c r="J398" s="494"/>
      <c r="K398" s="502" t="str">
        <f>B398</f>
        <v>01АХ.05</v>
      </c>
    </row>
    <row r="399" spans="1:11" ht="10.5" customHeight="1" x14ac:dyDescent="0.2">
      <c r="A399" s="501"/>
      <c r="B399" s="506"/>
      <c r="C399" s="507"/>
      <c r="D399" s="507"/>
      <c r="E399" s="507"/>
      <c r="F399" s="507"/>
      <c r="G399" s="507"/>
      <c r="H399" s="507"/>
      <c r="I399" s="507"/>
      <c r="J399" s="493"/>
      <c r="K399" s="502" t="s">
        <v>332</v>
      </c>
    </row>
    <row r="400" spans="1:11" ht="10.5" customHeight="1" x14ac:dyDescent="0.2">
      <c r="A400" s="939" t="s">
        <v>681</v>
      </c>
      <c r="B400" s="940"/>
      <c r="C400" s="951"/>
      <c r="D400" s="951"/>
      <c r="E400" s="951"/>
      <c r="F400" s="951"/>
      <c r="G400" s="951"/>
      <c r="H400" s="951"/>
      <c r="I400" s="951"/>
      <c r="J400" s="144"/>
      <c r="K400" s="502" t="str">
        <f>J396</f>
        <v>2,0-3,0</v>
      </c>
    </row>
    <row r="401" spans="1:11" ht="10.5" customHeight="1" x14ac:dyDescent="0.2">
      <c r="A401" s="501" t="s">
        <v>333</v>
      </c>
      <c r="B401" s="506"/>
      <c r="C401" s="507"/>
      <c r="D401" s="507"/>
      <c r="E401" s="507"/>
      <c r="F401" s="507"/>
      <c r="G401" s="507"/>
      <c r="H401" s="507"/>
      <c r="I401" s="507"/>
      <c r="J401" s="493"/>
      <c r="K401" s="502" t="s">
        <v>334</v>
      </c>
    </row>
    <row r="402" spans="1:11" ht="10.5" customHeight="1" x14ac:dyDescent="0.2">
      <c r="A402" s="501" t="s">
        <v>335</v>
      </c>
      <c r="B402" s="510"/>
      <c r="C402" s="511"/>
      <c r="D402" s="511"/>
      <c r="E402" s="511"/>
      <c r="F402" s="511"/>
      <c r="G402" s="511"/>
      <c r="H402" s="507"/>
      <c r="I402" s="507"/>
      <c r="J402" s="493"/>
      <c r="K402" s="502"/>
    </row>
    <row r="403" spans="1:11" ht="10.5" customHeight="1" thickBot="1" x14ac:dyDescent="0.25">
      <c r="A403" s="145"/>
      <c r="B403" s="146"/>
      <c r="C403" s="147" t="s">
        <v>336</v>
      </c>
      <c r="D403" s="147"/>
      <c r="E403" s="147"/>
      <c r="F403" s="147"/>
      <c r="G403" s="147"/>
      <c r="H403" s="147"/>
      <c r="I403" s="147"/>
      <c r="J403" s="394"/>
      <c r="K403" s="139"/>
    </row>
    <row r="404" spans="1:11" ht="10.5" customHeight="1" x14ac:dyDescent="0.2">
      <c r="A404" s="515"/>
      <c r="B404" s="516"/>
      <c r="C404" s="517"/>
      <c r="D404" s="517"/>
      <c r="E404" s="517"/>
      <c r="F404" s="517"/>
      <c r="G404" s="517"/>
      <c r="H404" s="517"/>
      <c r="I404" s="517"/>
      <c r="J404" s="492"/>
      <c r="K404" s="500"/>
    </row>
    <row r="405" spans="1:11" ht="10.5" customHeight="1" x14ac:dyDescent="0.2">
      <c r="A405" s="501" t="s">
        <v>325</v>
      </c>
      <c r="B405" s="933">
        <f>$B$2</f>
        <v>0</v>
      </c>
      <c r="C405" s="933"/>
      <c r="D405" s="934" t="s">
        <v>326</v>
      </c>
      <c r="E405" s="934"/>
      <c r="F405" s="934"/>
      <c r="G405" s="934"/>
      <c r="H405" s="935">
        <f>$H$2</f>
        <v>45739</v>
      </c>
      <c r="I405" s="936"/>
      <c r="J405" s="493"/>
      <c r="K405" s="502" t="s">
        <v>327</v>
      </c>
    </row>
    <row r="406" spans="1:11" ht="10.5" customHeight="1" x14ac:dyDescent="0.2">
      <c r="A406" s="518"/>
      <c r="B406" s="506"/>
      <c r="C406" s="507"/>
      <c r="D406" s="507"/>
      <c r="E406" s="507"/>
      <c r="F406" s="507"/>
      <c r="G406" s="507"/>
      <c r="H406" s="507"/>
      <c r="I406" s="507"/>
      <c r="J406" s="493"/>
      <c r="K406" s="502">
        <f>$B$2</f>
        <v>0</v>
      </c>
    </row>
    <row r="407" spans="1:11" ht="10.5" customHeight="1" x14ac:dyDescent="0.2">
      <c r="A407" s="518" t="s">
        <v>0</v>
      </c>
      <c r="B407" s="943" t="str">
        <f>$B$4</f>
        <v>адрес вбить сюда</v>
      </c>
      <c r="C407" s="943"/>
      <c r="D407" s="943"/>
      <c r="E407" s="943"/>
      <c r="F407" s="943"/>
      <c r="G407" s="943"/>
      <c r="H407" s="943"/>
      <c r="I407" s="943"/>
      <c r="J407" s="944"/>
      <c r="K407" s="502"/>
    </row>
    <row r="408" spans="1:11" ht="10.5" customHeight="1" x14ac:dyDescent="0.2">
      <c r="A408" s="518"/>
      <c r="B408" s="943"/>
      <c r="C408" s="943"/>
      <c r="D408" s="943"/>
      <c r="E408" s="943"/>
      <c r="F408" s="943"/>
      <c r="G408" s="943"/>
      <c r="H408" s="943"/>
      <c r="I408" s="943"/>
      <c r="J408" s="944"/>
      <c r="K408" s="502" t="s">
        <v>328</v>
      </c>
    </row>
    <row r="409" spans="1:11" ht="10.5" customHeight="1" x14ac:dyDescent="0.2">
      <c r="A409" s="948" t="s">
        <v>329</v>
      </c>
      <c r="B409" s="933"/>
      <c r="C409" s="933"/>
      <c r="D409" s="945" t="str">
        <f>'Акт отбора проб Почва'!F51</f>
        <v>СК2</v>
      </c>
      <c r="E409" s="945"/>
      <c r="F409" s="945"/>
      <c r="G409" s="949" t="s">
        <v>330</v>
      </c>
      <c r="H409" s="949"/>
      <c r="I409" s="949"/>
      <c r="J409" s="491" t="str">
        <f>'Акт отбора проб Почва'!B51</f>
        <v>2,0-3,0</v>
      </c>
      <c r="K409" s="505">
        <f>$H$2</f>
        <v>45739</v>
      </c>
    </row>
    <row r="410" spans="1:11" ht="10.5" customHeight="1" x14ac:dyDescent="0.2">
      <c r="A410" s="518"/>
      <c r="B410" s="503"/>
      <c r="C410" s="504"/>
      <c r="D410" s="154"/>
      <c r="E410" s="154"/>
      <c r="F410" s="154"/>
      <c r="G410" s="519"/>
      <c r="H410" s="519"/>
      <c r="I410" s="519"/>
      <c r="J410" s="494"/>
      <c r="K410" s="502" t="s">
        <v>331</v>
      </c>
    </row>
    <row r="411" spans="1:11" ht="10.5" customHeight="1" x14ac:dyDescent="0.2">
      <c r="A411" s="501" t="s">
        <v>331</v>
      </c>
      <c r="B411" s="509" t="str">
        <f>'Акт отбора проб Почва'!C51</f>
        <v>02АХ.05</v>
      </c>
      <c r="C411" s="504"/>
      <c r="D411" s="154"/>
      <c r="E411" s="154"/>
      <c r="F411" s="154"/>
      <c r="G411" s="519"/>
      <c r="H411" s="519"/>
      <c r="I411" s="519"/>
      <c r="J411" s="494"/>
      <c r="K411" s="502" t="str">
        <f>B411</f>
        <v>02АХ.05</v>
      </c>
    </row>
    <row r="412" spans="1:11" ht="10.5" customHeight="1" x14ac:dyDescent="0.2">
      <c r="A412" s="518"/>
      <c r="B412" s="503"/>
      <c r="C412" s="504"/>
      <c r="D412" s="504"/>
      <c r="E412" s="504"/>
      <c r="F412" s="504"/>
      <c r="G412" s="504"/>
      <c r="H412" s="504"/>
      <c r="I412" s="504"/>
      <c r="J412" s="493"/>
      <c r="K412" s="502" t="s">
        <v>332</v>
      </c>
    </row>
    <row r="413" spans="1:11" ht="10.5" customHeight="1" x14ac:dyDescent="0.2">
      <c r="A413" s="948" t="s">
        <v>681</v>
      </c>
      <c r="B413" s="933"/>
      <c r="C413" s="951"/>
      <c r="D413" s="951"/>
      <c r="E413" s="951"/>
      <c r="F413" s="951"/>
      <c r="G413" s="951"/>
      <c r="H413" s="951"/>
      <c r="I413" s="951"/>
      <c r="J413" s="155"/>
      <c r="K413" s="502" t="str">
        <f>J409</f>
        <v>2,0-3,0</v>
      </c>
    </row>
    <row r="414" spans="1:11" ht="10.5" customHeight="1" x14ac:dyDescent="0.2">
      <c r="A414" s="518" t="s">
        <v>333</v>
      </c>
      <c r="B414" s="503"/>
      <c r="C414" s="504"/>
      <c r="D414" s="504"/>
      <c r="E414" s="504"/>
      <c r="F414" s="504"/>
      <c r="G414" s="504"/>
      <c r="H414" s="504"/>
      <c r="I414" s="504"/>
      <c r="J414" s="493"/>
      <c r="K414" s="502" t="s">
        <v>334</v>
      </c>
    </row>
    <row r="415" spans="1:11" ht="10.5" customHeight="1" x14ac:dyDescent="0.2">
      <c r="A415" s="518" t="s">
        <v>335</v>
      </c>
      <c r="B415" s="520"/>
      <c r="C415" s="521"/>
      <c r="D415" s="521"/>
      <c r="E415" s="521"/>
      <c r="F415" s="521"/>
      <c r="G415" s="521"/>
      <c r="H415" s="504"/>
      <c r="I415" s="504"/>
      <c r="J415" s="493"/>
      <c r="K415" s="502"/>
    </row>
    <row r="416" spans="1:11" ht="10.5" customHeight="1" thickBot="1" x14ac:dyDescent="0.25">
      <c r="A416" s="158"/>
      <c r="B416" s="159"/>
      <c r="C416" s="138" t="s">
        <v>336</v>
      </c>
      <c r="D416" s="138"/>
      <c r="E416" s="138"/>
      <c r="F416" s="138"/>
      <c r="G416" s="138"/>
      <c r="H416" s="138"/>
      <c r="I416" s="138"/>
      <c r="J416" s="393"/>
      <c r="K416" s="139"/>
    </row>
    <row r="417" spans="1:11" ht="10.5" customHeight="1" x14ac:dyDescent="0.2">
      <c r="A417" s="515"/>
      <c r="B417" s="516"/>
      <c r="C417" s="517"/>
      <c r="D417" s="517"/>
      <c r="E417" s="517"/>
      <c r="F417" s="517"/>
      <c r="G417" s="517"/>
      <c r="H417" s="517"/>
      <c r="I417" s="517"/>
      <c r="J417" s="492"/>
      <c r="K417" s="500"/>
    </row>
    <row r="418" spans="1:11" ht="10.5" customHeight="1" x14ac:dyDescent="0.2">
      <c r="A418" s="501" t="s">
        <v>325</v>
      </c>
      <c r="B418" s="933">
        <f>$B$2</f>
        <v>0</v>
      </c>
      <c r="C418" s="933"/>
      <c r="D418" s="934" t="s">
        <v>326</v>
      </c>
      <c r="E418" s="934"/>
      <c r="F418" s="934"/>
      <c r="G418" s="934"/>
      <c r="H418" s="935">
        <f>$H$2</f>
        <v>45739</v>
      </c>
      <c r="I418" s="936"/>
      <c r="J418" s="493"/>
      <c r="K418" s="502" t="s">
        <v>327</v>
      </c>
    </row>
    <row r="419" spans="1:11" ht="10.5" customHeight="1" x14ac:dyDescent="0.2">
      <c r="A419" s="518"/>
      <c r="B419" s="506"/>
      <c r="C419" s="507"/>
      <c r="D419" s="507"/>
      <c r="E419" s="507"/>
      <c r="F419" s="507"/>
      <c r="G419" s="507"/>
      <c r="H419" s="507"/>
      <c r="I419" s="507"/>
      <c r="J419" s="493"/>
      <c r="K419" s="502">
        <f>$B$2</f>
        <v>0</v>
      </c>
    </row>
    <row r="420" spans="1:11" ht="10.5" customHeight="1" x14ac:dyDescent="0.2">
      <c r="A420" s="518" t="s">
        <v>0</v>
      </c>
      <c r="B420" s="943" t="str">
        <f>$B$4</f>
        <v>адрес вбить сюда</v>
      </c>
      <c r="C420" s="943"/>
      <c r="D420" s="943"/>
      <c r="E420" s="943"/>
      <c r="F420" s="943"/>
      <c r="G420" s="943"/>
      <c r="H420" s="943"/>
      <c r="I420" s="943"/>
      <c r="J420" s="944"/>
      <c r="K420" s="502"/>
    </row>
    <row r="421" spans="1:11" ht="10.5" customHeight="1" x14ac:dyDescent="0.2">
      <c r="A421" s="518"/>
      <c r="B421" s="943"/>
      <c r="C421" s="943"/>
      <c r="D421" s="943"/>
      <c r="E421" s="943"/>
      <c r="F421" s="943"/>
      <c r="G421" s="943"/>
      <c r="H421" s="943"/>
      <c r="I421" s="943"/>
      <c r="J421" s="944"/>
      <c r="K421" s="502" t="s">
        <v>328</v>
      </c>
    </row>
    <row r="422" spans="1:11" ht="10.5" customHeight="1" x14ac:dyDescent="0.2">
      <c r="A422" s="948" t="s">
        <v>329</v>
      </c>
      <c r="B422" s="933"/>
      <c r="C422" s="933"/>
      <c r="D422" s="945" t="str">
        <f>'Акт отбора проб Почва'!F52</f>
        <v>СК3</v>
      </c>
      <c r="E422" s="945"/>
      <c r="F422" s="945"/>
      <c r="G422" s="949" t="s">
        <v>330</v>
      </c>
      <c r="H422" s="949"/>
      <c r="I422" s="949"/>
      <c r="J422" s="491" t="str">
        <f>'Акт отбора проб Почва'!B52</f>
        <v>2,0-3,0</v>
      </c>
      <c r="K422" s="505">
        <f>$H$2</f>
        <v>45739</v>
      </c>
    </row>
    <row r="423" spans="1:11" ht="10.5" customHeight="1" x14ac:dyDescent="0.2">
      <c r="A423" s="518"/>
      <c r="B423" s="503"/>
      <c r="C423" s="504"/>
      <c r="D423" s="154"/>
      <c r="E423" s="154"/>
      <c r="F423" s="154"/>
      <c r="G423" s="519"/>
      <c r="H423" s="519"/>
      <c r="I423" s="519"/>
      <c r="J423" s="494"/>
      <c r="K423" s="502" t="s">
        <v>331</v>
      </c>
    </row>
    <row r="424" spans="1:11" ht="10.5" customHeight="1" x14ac:dyDescent="0.2">
      <c r="A424" s="501" t="s">
        <v>331</v>
      </c>
      <c r="B424" s="509" t="str">
        <f>'Акт отбора проб Почва'!C52</f>
        <v>03АХ.05</v>
      </c>
      <c r="C424" s="504"/>
      <c r="D424" s="154"/>
      <c r="E424" s="154"/>
      <c r="F424" s="154"/>
      <c r="G424" s="519"/>
      <c r="H424" s="519"/>
      <c r="I424" s="519"/>
      <c r="J424" s="494"/>
      <c r="K424" s="502" t="str">
        <f>B424</f>
        <v>03АХ.05</v>
      </c>
    </row>
    <row r="425" spans="1:11" ht="10.5" customHeight="1" x14ac:dyDescent="0.2">
      <c r="A425" s="518"/>
      <c r="B425" s="503"/>
      <c r="C425" s="504"/>
      <c r="D425" s="504"/>
      <c r="E425" s="504"/>
      <c r="F425" s="504"/>
      <c r="G425" s="504"/>
      <c r="H425" s="504"/>
      <c r="I425" s="504"/>
      <c r="J425" s="493"/>
      <c r="K425" s="502" t="s">
        <v>332</v>
      </c>
    </row>
    <row r="426" spans="1:11" ht="10.5" customHeight="1" x14ac:dyDescent="0.2">
      <c r="A426" s="948" t="s">
        <v>681</v>
      </c>
      <c r="B426" s="933"/>
      <c r="C426" s="951"/>
      <c r="D426" s="951"/>
      <c r="E426" s="951"/>
      <c r="F426" s="951"/>
      <c r="G426" s="951"/>
      <c r="H426" s="951"/>
      <c r="I426" s="951"/>
      <c r="J426" s="155"/>
      <c r="K426" s="502" t="str">
        <f>J422</f>
        <v>2,0-3,0</v>
      </c>
    </row>
    <row r="427" spans="1:11" ht="10.5" customHeight="1" x14ac:dyDescent="0.2">
      <c r="A427" s="518" t="s">
        <v>333</v>
      </c>
      <c r="B427" s="503"/>
      <c r="C427" s="504"/>
      <c r="D427" s="504"/>
      <c r="E427" s="504"/>
      <c r="F427" s="504"/>
      <c r="G427" s="504"/>
      <c r="H427" s="504"/>
      <c r="I427" s="504"/>
      <c r="J427" s="493"/>
      <c r="K427" s="502" t="s">
        <v>334</v>
      </c>
    </row>
    <row r="428" spans="1:11" ht="10.5" customHeight="1" x14ac:dyDescent="0.2">
      <c r="A428" s="518" t="s">
        <v>335</v>
      </c>
      <c r="B428" s="520"/>
      <c r="C428" s="521"/>
      <c r="D428" s="521"/>
      <c r="E428" s="521"/>
      <c r="F428" s="521"/>
      <c r="G428" s="521"/>
      <c r="H428" s="504"/>
      <c r="I428" s="504"/>
      <c r="J428" s="493"/>
      <c r="K428" s="502"/>
    </row>
    <row r="429" spans="1:11" ht="10.5" customHeight="1" thickBot="1" x14ac:dyDescent="0.25">
      <c r="A429" s="158"/>
      <c r="B429" s="159"/>
      <c r="C429" s="138" t="s">
        <v>336</v>
      </c>
      <c r="D429" s="138"/>
      <c r="E429" s="138"/>
      <c r="F429" s="138"/>
      <c r="G429" s="138"/>
      <c r="H429" s="138"/>
      <c r="I429" s="138"/>
      <c r="J429" s="393"/>
      <c r="K429" s="139"/>
    </row>
    <row r="430" spans="1:11" ht="10.5" customHeight="1" x14ac:dyDescent="0.2">
      <c r="A430" s="512"/>
      <c r="B430" s="513"/>
      <c r="C430" s="514"/>
      <c r="D430" s="514"/>
      <c r="E430" s="514"/>
      <c r="F430" s="514"/>
      <c r="G430" s="514"/>
      <c r="H430" s="514"/>
      <c r="I430" s="514"/>
      <c r="J430" s="492"/>
      <c r="K430" s="500"/>
    </row>
    <row r="431" spans="1:11" ht="10.5" customHeight="1" x14ac:dyDescent="0.2">
      <c r="A431" s="501" t="s">
        <v>325</v>
      </c>
      <c r="B431" s="933">
        <f>$B$2</f>
        <v>0</v>
      </c>
      <c r="C431" s="933"/>
      <c r="D431" s="934" t="s">
        <v>326</v>
      </c>
      <c r="E431" s="934"/>
      <c r="F431" s="934"/>
      <c r="G431" s="934"/>
      <c r="H431" s="935">
        <f>$H$2</f>
        <v>45739</v>
      </c>
      <c r="I431" s="936"/>
      <c r="J431" s="493"/>
      <c r="K431" s="502" t="s">
        <v>327</v>
      </c>
    </row>
    <row r="432" spans="1:11" ht="10.5" customHeight="1" x14ac:dyDescent="0.2">
      <c r="A432" s="501"/>
      <c r="B432" s="506"/>
      <c r="C432" s="507"/>
      <c r="D432" s="507"/>
      <c r="E432" s="507"/>
      <c r="F432" s="507"/>
      <c r="G432" s="507"/>
      <c r="H432" s="507"/>
      <c r="I432" s="507"/>
      <c r="J432" s="493"/>
      <c r="K432" s="502">
        <f>$B$2</f>
        <v>0</v>
      </c>
    </row>
    <row r="433" spans="1:11" ht="10.5" customHeight="1" x14ac:dyDescent="0.2">
      <c r="A433" s="501" t="s">
        <v>0</v>
      </c>
      <c r="B433" s="943" t="str">
        <f>$B$4</f>
        <v>адрес вбить сюда</v>
      </c>
      <c r="C433" s="943"/>
      <c r="D433" s="943"/>
      <c r="E433" s="943"/>
      <c r="F433" s="943"/>
      <c r="G433" s="943"/>
      <c r="H433" s="943"/>
      <c r="I433" s="943"/>
      <c r="J433" s="944"/>
      <c r="K433" s="502"/>
    </row>
    <row r="434" spans="1:11" ht="10.5" customHeight="1" x14ac:dyDescent="0.2">
      <c r="A434" s="501"/>
      <c r="B434" s="943"/>
      <c r="C434" s="943"/>
      <c r="D434" s="943"/>
      <c r="E434" s="943"/>
      <c r="F434" s="943"/>
      <c r="G434" s="943"/>
      <c r="H434" s="943"/>
      <c r="I434" s="943"/>
      <c r="J434" s="944"/>
      <c r="K434" s="502" t="s">
        <v>328</v>
      </c>
    </row>
    <row r="435" spans="1:11" ht="10.5" customHeight="1" x14ac:dyDescent="0.2">
      <c r="A435" s="939" t="s">
        <v>329</v>
      </c>
      <c r="B435" s="940"/>
      <c r="C435" s="940"/>
      <c r="D435" s="945" t="str">
        <f>'Акт отбора проб Почва'!F53</f>
        <v>СК4</v>
      </c>
      <c r="E435" s="945"/>
      <c r="F435" s="945"/>
      <c r="G435" s="942" t="s">
        <v>330</v>
      </c>
      <c r="H435" s="942"/>
      <c r="I435" s="942"/>
      <c r="J435" s="491" t="str">
        <f>'Акт отбора проб Почва'!B53</f>
        <v>2,0-3,0</v>
      </c>
      <c r="K435" s="505">
        <f>$H$2</f>
        <v>45739</v>
      </c>
    </row>
    <row r="436" spans="1:11" ht="10.5" customHeight="1" x14ac:dyDescent="0.2">
      <c r="A436" s="501"/>
      <c r="B436" s="506"/>
      <c r="C436" s="507"/>
      <c r="D436" s="128"/>
      <c r="E436" s="128"/>
      <c r="F436" s="128"/>
      <c r="G436" s="508"/>
      <c r="H436" s="508"/>
      <c r="I436" s="508"/>
      <c r="J436" s="494"/>
      <c r="K436" s="502" t="s">
        <v>331</v>
      </c>
    </row>
    <row r="437" spans="1:11" ht="10.5" customHeight="1" x14ac:dyDescent="0.2">
      <c r="A437" s="501" t="s">
        <v>331</v>
      </c>
      <c r="B437" s="509" t="str">
        <f>'Акт отбора проб Почва'!C53</f>
        <v>04АХ.05</v>
      </c>
      <c r="C437" s="507"/>
      <c r="D437" s="128"/>
      <c r="E437" s="128"/>
      <c r="F437" s="128"/>
      <c r="G437" s="508"/>
      <c r="H437" s="508"/>
      <c r="I437" s="508"/>
      <c r="J437" s="494"/>
      <c r="K437" s="502" t="str">
        <f>B437</f>
        <v>04АХ.05</v>
      </c>
    </row>
    <row r="438" spans="1:11" ht="10.5" customHeight="1" x14ac:dyDescent="0.2">
      <c r="A438" s="501"/>
      <c r="B438" s="506"/>
      <c r="C438" s="507"/>
      <c r="D438" s="507"/>
      <c r="E438" s="507"/>
      <c r="F438" s="507"/>
      <c r="G438" s="507"/>
      <c r="H438" s="507"/>
      <c r="I438" s="507"/>
      <c r="J438" s="493"/>
      <c r="K438" s="502" t="s">
        <v>332</v>
      </c>
    </row>
    <row r="439" spans="1:11" ht="10.5" customHeight="1" x14ac:dyDescent="0.2">
      <c r="A439" s="939" t="s">
        <v>681</v>
      </c>
      <c r="B439" s="940"/>
      <c r="C439" s="951"/>
      <c r="D439" s="951"/>
      <c r="E439" s="951"/>
      <c r="F439" s="951"/>
      <c r="G439" s="951"/>
      <c r="H439" s="951"/>
      <c r="I439" s="951"/>
      <c r="J439" s="144"/>
      <c r="K439" s="502" t="str">
        <f>J435</f>
        <v>2,0-3,0</v>
      </c>
    </row>
    <row r="440" spans="1:11" ht="10.5" customHeight="1" x14ac:dyDescent="0.2">
      <c r="A440" s="501" t="s">
        <v>333</v>
      </c>
      <c r="B440" s="506"/>
      <c r="C440" s="507"/>
      <c r="D440" s="507"/>
      <c r="E440" s="507"/>
      <c r="F440" s="507"/>
      <c r="G440" s="507"/>
      <c r="H440" s="507"/>
      <c r="I440" s="507"/>
      <c r="J440" s="493"/>
      <c r="K440" s="502" t="s">
        <v>334</v>
      </c>
    </row>
    <row r="441" spans="1:11" ht="10.5" customHeight="1" x14ac:dyDescent="0.2">
      <c r="A441" s="501" t="s">
        <v>335</v>
      </c>
      <c r="B441" s="510"/>
      <c r="C441" s="511"/>
      <c r="D441" s="511"/>
      <c r="E441" s="511"/>
      <c r="F441" s="511"/>
      <c r="G441" s="511"/>
      <c r="H441" s="507"/>
      <c r="I441" s="507"/>
      <c r="J441" s="493"/>
      <c r="K441" s="502"/>
    </row>
    <row r="442" spans="1:11" ht="10.5" customHeight="1" thickBot="1" x14ac:dyDescent="0.25">
      <c r="A442" s="145"/>
      <c r="B442" s="146"/>
      <c r="C442" s="147" t="s">
        <v>336</v>
      </c>
      <c r="D442" s="147"/>
      <c r="E442" s="147"/>
      <c r="F442" s="147"/>
      <c r="G442" s="147"/>
      <c r="H442" s="147"/>
      <c r="I442" s="147"/>
      <c r="J442" s="394"/>
      <c r="K442" s="139"/>
    </row>
    <row r="443" spans="1:11" ht="10.5" customHeight="1" x14ac:dyDescent="0.2">
      <c r="A443" s="512"/>
      <c r="B443" s="513"/>
      <c r="C443" s="514"/>
      <c r="D443" s="514"/>
      <c r="E443" s="514"/>
      <c r="F443" s="514"/>
      <c r="G443" s="514"/>
      <c r="H443" s="514"/>
      <c r="I443" s="514"/>
      <c r="J443" s="492"/>
      <c r="K443" s="500"/>
    </row>
    <row r="444" spans="1:11" ht="10.5" customHeight="1" x14ac:dyDescent="0.2">
      <c r="A444" s="501" t="s">
        <v>325</v>
      </c>
      <c r="B444" s="933">
        <f>$B$2</f>
        <v>0</v>
      </c>
      <c r="C444" s="933"/>
      <c r="D444" s="934" t="s">
        <v>326</v>
      </c>
      <c r="E444" s="934"/>
      <c r="F444" s="934"/>
      <c r="G444" s="934"/>
      <c r="H444" s="935">
        <f>$H$2</f>
        <v>45739</v>
      </c>
      <c r="I444" s="936"/>
      <c r="J444" s="493"/>
      <c r="K444" s="502" t="s">
        <v>327</v>
      </c>
    </row>
    <row r="445" spans="1:11" ht="10.5" customHeight="1" x14ac:dyDescent="0.2">
      <c r="A445" s="501"/>
      <c r="B445" s="506"/>
      <c r="C445" s="507"/>
      <c r="D445" s="507"/>
      <c r="E445" s="507"/>
      <c r="F445" s="507"/>
      <c r="G445" s="507"/>
      <c r="H445" s="507"/>
      <c r="I445" s="507"/>
      <c r="J445" s="493"/>
      <c r="K445" s="502">
        <f>$B$2</f>
        <v>0</v>
      </c>
    </row>
    <row r="446" spans="1:11" ht="10.5" customHeight="1" x14ac:dyDescent="0.2">
      <c r="A446" s="501" t="s">
        <v>0</v>
      </c>
      <c r="B446" s="943" t="str">
        <f>$B$4</f>
        <v>адрес вбить сюда</v>
      </c>
      <c r="C446" s="943"/>
      <c r="D446" s="943"/>
      <c r="E446" s="943"/>
      <c r="F446" s="943"/>
      <c r="G446" s="943"/>
      <c r="H446" s="943"/>
      <c r="I446" s="943"/>
      <c r="J446" s="944"/>
      <c r="K446" s="502"/>
    </row>
    <row r="447" spans="1:11" ht="10.5" customHeight="1" x14ac:dyDescent="0.2">
      <c r="A447" s="501"/>
      <c r="B447" s="943"/>
      <c r="C447" s="943"/>
      <c r="D447" s="943"/>
      <c r="E447" s="943"/>
      <c r="F447" s="943"/>
      <c r="G447" s="943"/>
      <c r="H447" s="943"/>
      <c r="I447" s="943"/>
      <c r="J447" s="944"/>
      <c r="K447" s="502" t="s">
        <v>328</v>
      </c>
    </row>
    <row r="448" spans="1:11" ht="10.5" customHeight="1" x14ac:dyDescent="0.2">
      <c r="A448" s="939" t="s">
        <v>329</v>
      </c>
      <c r="B448" s="940"/>
      <c r="C448" s="940"/>
      <c r="D448" s="945" t="str">
        <f>'Акт отбора проб Почва'!F54</f>
        <v>СК5</v>
      </c>
      <c r="E448" s="945"/>
      <c r="F448" s="945"/>
      <c r="G448" s="942" t="s">
        <v>330</v>
      </c>
      <c r="H448" s="942"/>
      <c r="I448" s="942"/>
      <c r="J448" s="491" t="str">
        <f>'Акт отбора проб Почва'!B54</f>
        <v>2,0-3,0</v>
      </c>
      <c r="K448" s="505">
        <f>$H$2</f>
        <v>45739</v>
      </c>
    </row>
    <row r="449" spans="1:11" ht="10.5" customHeight="1" x14ac:dyDescent="0.2">
      <c r="A449" s="501"/>
      <c r="B449" s="506"/>
      <c r="C449" s="507"/>
      <c r="D449" s="128"/>
      <c r="E449" s="128"/>
      <c r="F449" s="128"/>
      <c r="G449" s="508"/>
      <c r="H449" s="508"/>
      <c r="I449" s="508"/>
      <c r="J449" s="494"/>
      <c r="K449" s="502" t="s">
        <v>331</v>
      </c>
    </row>
    <row r="450" spans="1:11" ht="10.5" customHeight="1" x14ac:dyDescent="0.2">
      <c r="A450" s="501" t="s">
        <v>331</v>
      </c>
      <c r="B450" s="509" t="str">
        <f>'Акт отбора проб Почва'!C54</f>
        <v>05АХ.05</v>
      </c>
      <c r="C450" s="507"/>
      <c r="D450" s="128"/>
      <c r="E450" s="128"/>
      <c r="F450" s="128"/>
      <c r="G450" s="508"/>
      <c r="H450" s="508"/>
      <c r="I450" s="508"/>
      <c r="J450" s="494"/>
      <c r="K450" s="502" t="str">
        <f>B450</f>
        <v>05АХ.05</v>
      </c>
    </row>
    <row r="451" spans="1:11" ht="10.5" customHeight="1" x14ac:dyDescent="0.2">
      <c r="A451" s="501"/>
      <c r="B451" s="506"/>
      <c r="C451" s="507"/>
      <c r="D451" s="507"/>
      <c r="E451" s="507"/>
      <c r="F451" s="507"/>
      <c r="G451" s="507"/>
      <c r="H451" s="507"/>
      <c r="I451" s="507"/>
      <c r="J451" s="493"/>
      <c r="K451" s="502" t="s">
        <v>332</v>
      </c>
    </row>
    <row r="452" spans="1:11" ht="10.5" customHeight="1" x14ac:dyDescent="0.2">
      <c r="A452" s="939" t="s">
        <v>681</v>
      </c>
      <c r="B452" s="940"/>
      <c r="C452" s="951"/>
      <c r="D452" s="951"/>
      <c r="E452" s="951"/>
      <c r="F452" s="951"/>
      <c r="G452" s="951"/>
      <c r="H452" s="951"/>
      <c r="I452" s="951"/>
      <c r="J452" s="144"/>
      <c r="K452" s="502" t="str">
        <f>J448</f>
        <v>2,0-3,0</v>
      </c>
    </row>
    <row r="453" spans="1:11" ht="10.5" customHeight="1" x14ac:dyDescent="0.2">
      <c r="A453" s="501" t="s">
        <v>333</v>
      </c>
      <c r="B453" s="506"/>
      <c r="C453" s="507"/>
      <c r="D453" s="507"/>
      <c r="E453" s="507"/>
      <c r="F453" s="507"/>
      <c r="G453" s="507"/>
      <c r="H453" s="507"/>
      <c r="I453" s="507"/>
      <c r="J453" s="493"/>
      <c r="K453" s="502" t="s">
        <v>334</v>
      </c>
    </row>
    <row r="454" spans="1:11" ht="10.5" customHeight="1" x14ac:dyDescent="0.2">
      <c r="A454" s="501" t="s">
        <v>335</v>
      </c>
      <c r="B454" s="510"/>
      <c r="C454" s="511"/>
      <c r="D454" s="511"/>
      <c r="E454" s="511"/>
      <c r="F454" s="511"/>
      <c r="G454" s="511"/>
      <c r="H454" s="507"/>
      <c r="I454" s="507"/>
      <c r="J454" s="493"/>
      <c r="K454" s="502"/>
    </row>
    <row r="455" spans="1:11" ht="10.5" customHeight="1" thickBot="1" x14ac:dyDescent="0.25">
      <c r="A455" s="145"/>
      <c r="B455" s="146"/>
      <c r="C455" s="147" t="s">
        <v>336</v>
      </c>
      <c r="D455" s="147"/>
      <c r="E455" s="147"/>
      <c r="F455" s="147"/>
      <c r="G455" s="147"/>
      <c r="H455" s="147"/>
      <c r="I455" s="147"/>
      <c r="J455" s="394"/>
      <c r="K455" s="139"/>
    </row>
    <row r="456" spans="1:11" ht="10.5" customHeight="1" x14ac:dyDescent="0.2">
      <c r="A456" s="512"/>
      <c r="B456" s="513"/>
      <c r="C456" s="514"/>
      <c r="D456" s="514"/>
      <c r="E456" s="514"/>
      <c r="F456" s="514"/>
      <c r="G456" s="514"/>
      <c r="H456" s="514"/>
      <c r="I456" s="514"/>
      <c r="J456" s="492"/>
      <c r="K456" s="500"/>
    </row>
    <row r="457" spans="1:11" ht="10.5" customHeight="1" x14ac:dyDescent="0.2">
      <c r="A457" s="501" t="s">
        <v>325</v>
      </c>
      <c r="B457" s="933">
        <f>$B$2</f>
        <v>0</v>
      </c>
      <c r="C457" s="933"/>
      <c r="D457" s="934" t="s">
        <v>326</v>
      </c>
      <c r="E457" s="934"/>
      <c r="F457" s="934"/>
      <c r="G457" s="934"/>
      <c r="H457" s="935">
        <f>$H$2</f>
        <v>45739</v>
      </c>
      <c r="I457" s="936"/>
      <c r="J457" s="493"/>
      <c r="K457" s="502" t="s">
        <v>327</v>
      </c>
    </row>
    <row r="458" spans="1:11" ht="10.5" customHeight="1" x14ac:dyDescent="0.2">
      <c r="A458" s="501"/>
      <c r="B458" s="506"/>
      <c r="C458" s="507"/>
      <c r="D458" s="507"/>
      <c r="E458" s="507"/>
      <c r="F458" s="507"/>
      <c r="G458" s="507"/>
      <c r="H458" s="507"/>
      <c r="I458" s="507"/>
      <c r="J458" s="493"/>
      <c r="K458" s="502">
        <f>$B$2</f>
        <v>0</v>
      </c>
    </row>
    <row r="459" spans="1:11" ht="10.5" customHeight="1" x14ac:dyDescent="0.2">
      <c r="A459" s="501" t="s">
        <v>0</v>
      </c>
      <c r="B459" s="943" t="str">
        <f>$B$4</f>
        <v>адрес вбить сюда</v>
      </c>
      <c r="C459" s="943"/>
      <c r="D459" s="943"/>
      <c r="E459" s="943"/>
      <c r="F459" s="943"/>
      <c r="G459" s="943"/>
      <c r="H459" s="943"/>
      <c r="I459" s="943"/>
      <c r="J459" s="944"/>
      <c r="K459" s="502"/>
    </row>
    <row r="460" spans="1:11" ht="10.5" customHeight="1" x14ac:dyDescent="0.2">
      <c r="A460" s="501"/>
      <c r="B460" s="943"/>
      <c r="C460" s="943"/>
      <c r="D460" s="943"/>
      <c r="E460" s="943"/>
      <c r="F460" s="943"/>
      <c r="G460" s="943"/>
      <c r="H460" s="943"/>
      <c r="I460" s="943"/>
      <c r="J460" s="944"/>
      <c r="K460" s="502" t="s">
        <v>328</v>
      </c>
    </row>
    <row r="461" spans="1:11" ht="10.5" customHeight="1" x14ac:dyDescent="0.2">
      <c r="A461" s="939" t="s">
        <v>329</v>
      </c>
      <c r="B461" s="940"/>
      <c r="C461" s="940"/>
      <c r="D461" s="945" t="str">
        <f>'Акт отбора проб Почва'!F55</f>
        <v>СК6</v>
      </c>
      <c r="E461" s="945"/>
      <c r="F461" s="945"/>
      <c r="G461" s="942" t="s">
        <v>330</v>
      </c>
      <c r="H461" s="942"/>
      <c r="I461" s="942"/>
      <c r="J461" s="491" t="str">
        <f>'Акт отбора проб Почва'!B55</f>
        <v>2,0-3,0</v>
      </c>
      <c r="K461" s="505">
        <f>$H$2</f>
        <v>45739</v>
      </c>
    </row>
    <row r="462" spans="1:11" ht="10.5" customHeight="1" x14ac:dyDescent="0.2">
      <c r="A462" s="501"/>
      <c r="B462" s="506"/>
      <c r="C462" s="507"/>
      <c r="D462" s="128"/>
      <c r="E462" s="128"/>
      <c r="F462" s="128"/>
      <c r="G462" s="508"/>
      <c r="H462" s="508"/>
      <c r="I462" s="508"/>
      <c r="J462" s="494"/>
      <c r="K462" s="502" t="s">
        <v>331</v>
      </c>
    </row>
    <row r="463" spans="1:11" ht="10.5" customHeight="1" x14ac:dyDescent="0.2">
      <c r="A463" s="501" t="s">
        <v>331</v>
      </c>
      <c r="B463" s="509" t="str">
        <f>'Акт отбора проб Почва'!C55</f>
        <v>06АХ.05</v>
      </c>
      <c r="C463" s="507"/>
      <c r="D463" s="128"/>
      <c r="E463" s="128"/>
      <c r="F463" s="128"/>
      <c r="G463" s="508"/>
      <c r="H463" s="508"/>
      <c r="I463" s="508"/>
      <c r="J463" s="494"/>
      <c r="K463" s="502" t="str">
        <f>B463</f>
        <v>06АХ.05</v>
      </c>
    </row>
    <row r="464" spans="1:11" ht="10.5" customHeight="1" x14ac:dyDescent="0.2">
      <c r="A464" s="501"/>
      <c r="B464" s="506"/>
      <c r="C464" s="507"/>
      <c r="D464" s="507"/>
      <c r="E464" s="507"/>
      <c r="F464" s="507"/>
      <c r="G464" s="507"/>
      <c r="H464" s="507"/>
      <c r="I464" s="507"/>
      <c r="J464" s="493"/>
      <c r="K464" s="502" t="s">
        <v>332</v>
      </c>
    </row>
    <row r="465" spans="1:11" ht="10.5" customHeight="1" x14ac:dyDescent="0.2">
      <c r="A465" s="939" t="s">
        <v>681</v>
      </c>
      <c r="B465" s="940"/>
      <c r="C465" s="951"/>
      <c r="D465" s="951"/>
      <c r="E465" s="951"/>
      <c r="F465" s="951"/>
      <c r="G465" s="951"/>
      <c r="H465" s="951"/>
      <c r="I465" s="951"/>
      <c r="J465" s="144"/>
      <c r="K465" s="502" t="str">
        <f>J461</f>
        <v>2,0-3,0</v>
      </c>
    </row>
    <row r="466" spans="1:11" ht="10.5" customHeight="1" x14ac:dyDescent="0.2">
      <c r="A466" s="501" t="s">
        <v>333</v>
      </c>
      <c r="B466" s="506"/>
      <c r="C466" s="507"/>
      <c r="D466" s="507"/>
      <c r="E466" s="507"/>
      <c r="F466" s="507"/>
      <c r="G466" s="507"/>
      <c r="H466" s="507"/>
      <c r="I466" s="507"/>
      <c r="J466" s="493"/>
      <c r="K466" s="502" t="s">
        <v>334</v>
      </c>
    </row>
    <row r="467" spans="1:11" ht="10.5" customHeight="1" x14ac:dyDescent="0.2">
      <c r="A467" s="501" t="s">
        <v>335</v>
      </c>
      <c r="B467" s="510"/>
      <c r="C467" s="511"/>
      <c r="D467" s="511"/>
      <c r="E467" s="511"/>
      <c r="F467" s="511"/>
      <c r="G467" s="511"/>
      <c r="H467" s="507"/>
      <c r="I467" s="507"/>
      <c r="J467" s="493"/>
      <c r="K467" s="502"/>
    </row>
    <row r="468" spans="1:11" ht="10.5" customHeight="1" thickBot="1" x14ac:dyDescent="0.25">
      <c r="A468" s="145"/>
      <c r="B468" s="146"/>
      <c r="C468" s="147" t="s">
        <v>336</v>
      </c>
      <c r="D468" s="147"/>
      <c r="E468" s="147"/>
      <c r="F468" s="147"/>
      <c r="G468" s="147"/>
      <c r="H468" s="147"/>
      <c r="I468" s="147"/>
      <c r="J468" s="394"/>
      <c r="K468" s="139"/>
    </row>
    <row r="469" spans="1:11" ht="10.5" customHeight="1" x14ac:dyDescent="0.2">
      <c r="A469" s="515"/>
      <c r="B469" s="516"/>
      <c r="C469" s="517"/>
      <c r="D469" s="517"/>
      <c r="E469" s="517"/>
      <c r="F469" s="517"/>
      <c r="G469" s="517"/>
      <c r="H469" s="517"/>
      <c r="I469" s="517"/>
      <c r="J469" s="492"/>
      <c r="K469" s="500"/>
    </row>
    <row r="470" spans="1:11" ht="10.5" customHeight="1" x14ac:dyDescent="0.2">
      <c r="A470" s="501" t="s">
        <v>325</v>
      </c>
      <c r="B470" s="933">
        <f>$B$2</f>
        <v>0</v>
      </c>
      <c r="C470" s="933"/>
      <c r="D470" s="934" t="s">
        <v>326</v>
      </c>
      <c r="E470" s="934"/>
      <c r="F470" s="934"/>
      <c r="G470" s="934"/>
      <c r="H470" s="935">
        <f>$H$2</f>
        <v>45739</v>
      </c>
      <c r="I470" s="936"/>
      <c r="J470" s="493"/>
      <c r="K470" s="502" t="s">
        <v>327</v>
      </c>
    </row>
    <row r="471" spans="1:11" ht="10.5" customHeight="1" x14ac:dyDescent="0.2">
      <c r="A471" s="518"/>
      <c r="B471" s="506"/>
      <c r="C471" s="507"/>
      <c r="D471" s="507"/>
      <c r="E471" s="507"/>
      <c r="F471" s="507"/>
      <c r="G471" s="507"/>
      <c r="H471" s="507"/>
      <c r="I471" s="507"/>
      <c r="J471" s="493"/>
      <c r="K471" s="502">
        <f>$B$2</f>
        <v>0</v>
      </c>
    </row>
    <row r="472" spans="1:11" ht="10.5" customHeight="1" x14ac:dyDescent="0.2">
      <c r="A472" s="518" t="s">
        <v>0</v>
      </c>
      <c r="B472" s="943" t="str">
        <f>$B$4</f>
        <v>адрес вбить сюда</v>
      </c>
      <c r="C472" s="943"/>
      <c r="D472" s="943"/>
      <c r="E472" s="943"/>
      <c r="F472" s="943"/>
      <c r="G472" s="943"/>
      <c r="H472" s="943"/>
      <c r="I472" s="943"/>
      <c r="J472" s="944"/>
      <c r="K472" s="502"/>
    </row>
    <row r="473" spans="1:11" ht="10.5" customHeight="1" x14ac:dyDescent="0.2">
      <c r="A473" s="518"/>
      <c r="B473" s="943"/>
      <c r="C473" s="943"/>
      <c r="D473" s="943"/>
      <c r="E473" s="943"/>
      <c r="F473" s="943"/>
      <c r="G473" s="943"/>
      <c r="H473" s="943"/>
      <c r="I473" s="943"/>
      <c r="J473" s="944"/>
      <c r="K473" s="502" t="s">
        <v>328</v>
      </c>
    </row>
    <row r="474" spans="1:11" ht="10.5" customHeight="1" x14ac:dyDescent="0.2">
      <c r="A474" s="948" t="s">
        <v>329</v>
      </c>
      <c r="B474" s="933"/>
      <c r="C474" s="933"/>
      <c r="D474" s="945" t="str">
        <f>'Акт отбора проб Почва'!F56</f>
        <v>СК1</v>
      </c>
      <c r="E474" s="945"/>
      <c r="F474" s="945"/>
      <c r="G474" s="949" t="s">
        <v>330</v>
      </c>
      <c r="H474" s="949"/>
      <c r="I474" s="949"/>
      <c r="J474" s="491" t="str">
        <f>'Акт отбора проб Почва'!B56</f>
        <v>3,0-4,0</v>
      </c>
      <c r="K474" s="505">
        <f>$H$2</f>
        <v>45739</v>
      </c>
    </row>
    <row r="475" spans="1:11" ht="10.5" customHeight="1" x14ac:dyDescent="0.2">
      <c r="A475" s="518"/>
      <c r="B475" s="503"/>
      <c r="C475" s="504"/>
      <c r="D475" s="154"/>
      <c r="E475" s="154"/>
      <c r="F475" s="154"/>
      <c r="G475" s="519"/>
      <c r="H475" s="519"/>
      <c r="I475" s="519"/>
      <c r="J475" s="494"/>
      <c r="K475" s="502" t="s">
        <v>331</v>
      </c>
    </row>
    <row r="476" spans="1:11" ht="10.5" customHeight="1" x14ac:dyDescent="0.2">
      <c r="A476" s="501" t="s">
        <v>331</v>
      </c>
      <c r="B476" s="509" t="str">
        <f>'Акт отбора проб Почва'!C56</f>
        <v>01АХ.06</v>
      </c>
      <c r="C476" s="504"/>
      <c r="D476" s="154"/>
      <c r="E476" s="154"/>
      <c r="F476" s="154"/>
      <c r="G476" s="519"/>
      <c r="H476" s="519"/>
      <c r="I476" s="519"/>
      <c r="J476" s="494"/>
      <c r="K476" s="502" t="str">
        <f>B476</f>
        <v>01АХ.06</v>
      </c>
    </row>
    <row r="477" spans="1:11" ht="10.5" customHeight="1" x14ac:dyDescent="0.2">
      <c r="A477" s="518"/>
      <c r="B477" s="503"/>
      <c r="C477" s="504"/>
      <c r="D477" s="504"/>
      <c r="E477" s="504"/>
      <c r="F477" s="504"/>
      <c r="G477" s="504"/>
      <c r="H477" s="504"/>
      <c r="I477" s="504"/>
      <c r="J477" s="493"/>
      <c r="K477" s="502" t="s">
        <v>332</v>
      </c>
    </row>
    <row r="478" spans="1:11" ht="10.5" customHeight="1" x14ac:dyDescent="0.2">
      <c r="A478" s="948" t="s">
        <v>681</v>
      </c>
      <c r="B478" s="933"/>
      <c r="C478" s="951"/>
      <c r="D478" s="951"/>
      <c r="E478" s="951"/>
      <c r="F478" s="951"/>
      <c r="G478" s="951"/>
      <c r="H478" s="951"/>
      <c r="I478" s="951"/>
      <c r="J478" s="155"/>
      <c r="K478" s="502" t="str">
        <f>J474</f>
        <v>3,0-4,0</v>
      </c>
    </row>
    <row r="479" spans="1:11" ht="10.5" customHeight="1" x14ac:dyDescent="0.2">
      <c r="A479" s="518" t="s">
        <v>333</v>
      </c>
      <c r="B479" s="503"/>
      <c r="C479" s="504"/>
      <c r="D479" s="504"/>
      <c r="E479" s="504"/>
      <c r="F479" s="504"/>
      <c r="G479" s="504"/>
      <c r="H479" s="504"/>
      <c r="I479" s="504"/>
      <c r="J479" s="493"/>
      <c r="K479" s="502" t="s">
        <v>334</v>
      </c>
    </row>
    <row r="480" spans="1:11" ht="10.5" customHeight="1" x14ac:dyDescent="0.2">
      <c r="A480" s="518" t="s">
        <v>335</v>
      </c>
      <c r="B480" s="520"/>
      <c r="C480" s="521"/>
      <c r="D480" s="521"/>
      <c r="E480" s="521"/>
      <c r="F480" s="521"/>
      <c r="G480" s="521"/>
      <c r="H480" s="504"/>
      <c r="I480" s="504"/>
      <c r="J480" s="493"/>
      <c r="K480" s="502"/>
    </row>
    <row r="481" spans="1:11" ht="10.5" customHeight="1" thickBot="1" x14ac:dyDescent="0.25">
      <c r="A481" s="158"/>
      <c r="B481" s="159"/>
      <c r="C481" s="138" t="s">
        <v>336</v>
      </c>
      <c r="D481" s="138"/>
      <c r="E481" s="138"/>
      <c r="F481" s="138"/>
      <c r="G481" s="138"/>
      <c r="H481" s="138"/>
      <c r="I481" s="138"/>
      <c r="J481" s="393"/>
      <c r="K481" s="139"/>
    </row>
    <row r="482" spans="1:11" ht="10.5" customHeight="1" x14ac:dyDescent="0.2">
      <c r="A482" s="515"/>
      <c r="B482" s="516"/>
      <c r="C482" s="517"/>
      <c r="D482" s="517"/>
      <c r="E482" s="517"/>
      <c r="F482" s="517"/>
      <c r="G482" s="517"/>
      <c r="H482" s="517"/>
      <c r="I482" s="517"/>
      <c r="J482" s="492"/>
      <c r="K482" s="500"/>
    </row>
    <row r="483" spans="1:11" ht="10.5" customHeight="1" x14ac:dyDescent="0.2">
      <c r="A483" s="501" t="s">
        <v>325</v>
      </c>
      <c r="B483" s="933">
        <f>$B$2</f>
        <v>0</v>
      </c>
      <c r="C483" s="933"/>
      <c r="D483" s="934" t="s">
        <v>326</v>
      </c>
      <c r="E483" s="934"/>
      <c r="F483" s="934"/>
      <c r="G483" s="934"/>
      <c r="H483" s="935">
        <f>$H$2</f>
        <v>45739</v>
      </c>
      <c r="I483" s="936"/>
      <c r="J483" s="493"/>
      <c r="K483" s="502" t="s">
        <v>327</v>
      </c>
    </row>
    <row r="484" spans="1:11" ht="10.5" customHeight="1" x14ac:dyDescent="0.2">
      <c r="A484" s="518"/>
      <c r="B484" s="506"/>
      <c r="C484" s="507"/>
      <c r="D484" s="507"/>
      <c r="E484" s="507"/>
      <c r="F484" s="507"/>
      <c r="G484" s="507"/>
      <c r="H484" s="507"/>
      <c r="I484" s="507"/>
      <c r="J484" s="493"/>
      <c r="K484" s="502">
        <f>$B$2</f>
        <v>0</v>
      </c>
    </row>
    <row r="485" spans="1:11" ht="10.5" customHeight="1" x14ac:dyDescent="0.2">
      <c r="A485" s="518" t="s">
        <v>0</v>
      </c>
      <c r="B485" s="943" t="str">
        <f>$B$4</f>
        <v>адрес вбить сюда</v>
      </c>
      <c r="C485" s="943"/>
      <c r="D485" s="943"/>
      <c r="E485" s="943"/>
      <c r="F485" s="943"/>
      <c r="G485" s="943"/>
      <c r="H485" s="943"/>
      <c r="I485" s="943"/>
      <c r="J485" s="944"/>
      <c r="K485" s="502"/>
    </row>
    <row r="486" spans="1:11" ht="10.5" customHeight="1" x14ac:dyDescent="0.2">
      <c r="A486" s="518"/>
      <c r="B486" s="943"/>
      <c r="C486" s="943"/>
      <c r="D486" s="943"/>
      <c r="E486" s="943"/>
      <c r="F486" s="943"/>
      <c r="G486" s="943"/>
      <c r="H486" s="943"/>
      <c r="I486" s="943"/>
      <c r="J486" s="944"/>
      <c r="K486" s="502" t="s">
        <v>328</v>
      </c>
    </row>
    <row r="487" spans="1:11" ht="10.5" customHeight="1" x14ac:dyDescent="0.2">
      <c r="A487" s="948" t="s">
        <v>329</v>
      </c>
      <c r="B487" s="933"/>
      <c r="C487" s="933"/>
      <c r="D487" s="945" t="str">
        <f>'Акт отбора проб Почва'!F57</f>
        <v>СК2</v>
      </c>
      <c r="E487" s="945"/>
      <c r="F487" s="945"/>
      <c r="G487" s="949" t="s">
        <v>330</v>
      </c>
      <c r="H487" s="949"/>
      <c r="I487" s="949"/>
      <c r="J487" s="491" t="str">
        <f>'Акт отбора проб Почва'!B57</f>
        <v>3,0-4,0</v>
      </c>
      <c r="K487" s="505">
        <f>$H$2</f>
        <v>45739</v>
      </c>
    </row>
    <row r="488" spans="1:11" ht="10.5" customHeight="1" x14ac:dyDescent="0.2">
      <c r="A488" s="518"/>
      <c r="B488" s="503"/>
      <c r="C488" s="504"/>
      <c r="D488" s="154"/>
      <c r="E488" s="154"/>
      <c r="F488" s="154"/>
      <c r="G488" s="519"/>
      <c r="H488" s="519"/>
      <c r="I488" s="519"/>
      <c r="J488" s="494"/>
      <c r="K488" s="502" t="s">
        <v>331</v>
      </c>
    </row>
    <row r="489" spans="1:11" ht="10.5" customHeight="1" x14ac:dyDescent="0.2">
      <c r="A489" s="501" t="s">
        <v>331</v>
      </c>
      <c r="B489" s="509" t="str">
        <f>'Акт отбора проб Почва'!C57</f>
        <v>02АХ.06</v>
      </c>
      <c r="C489" s="504"/>
      <c r="D489" s="154"/>
      <c r="E489" s="154"/>
      <c r="F489" s="154"/>
      <c r="G489" s="519"/>
      <c r="H489" s="519"/>
      <c r="I489" s="519"/>
      <c r="J489" s="494"/>
      <c r="K489" s="502" t="str">
        <f>B489</f>
        <v>02АХ.06</v>
      </c>
    </row>
    <row r="490" spans="1:11" ht="10.5" customHeight="1" x14ac:dyDescent="0.2">
      <c r="A490" s="518"/>
      <c r="B490" s="503"/>
      <c r="C490" s="504"/>
      <c r="D490" s="504"/>
      <c r="E490" s="504"/>
      <c r="F490" s="504"/>
      <c r="G490" s="504"/>
      <c r="H490" s="504"/>
      <c r="I490" s="504"/>
      <c r="J490" s="493"/>
      <c r="K490" s="502" t="s">
        <v>332</v>
      </c>
    </row>
    <row r="491" spans="1:11" ht="10.5" customHeight="1" x14ac:dyDescent="0.2">
      <c r="A491" s="948" t="s">
        <v>681</v>
      </c>
      <c r="B491" s="933"/>
      <c r="C491" s="951"/>
      <c r="D491" s="951"/>
      <c r="E491" s="951"/>
      <c r="F491" s="951"/>
      <c r="G491" s="951"/>
      <c r="H491" s="951"/>
      <c r="I491" s="951"/>
      <c r="J491" s="155"/>
      <c r="K491" s="502" t="str">
        <f>J487</f>
        <v>3,0-4,0</v>
      </c>
    </row>
    <row r="492" spans="1:11" ht="10.5" customHeight="1" x14ac:dyDescent="0.2">
      <c r="A492" s="518" t="s">
        <v>333</v>
      </c>
      <c r="B492" s="503"/>
      <c r="C492" s="504"/>
      <c r="D492" s="504"/>
      <c r="E492" s="504"/>
      <c r="F492" s="504"/>
      <c r="G492" s="504"/>
      <c r="H492" s="504"/>
      <c r="I492" s="504"/>
      <c r="J492" s="493"/>
      <c r="K492" s="502" t="s">
        <v>334</v>
      </c>
    </row>
    <row r="493" spans="1:11" ht="10.5" customHeight="1" x14ac:dyDescent="0.2">
      <c r="A493" s="518" t="s">
        <v>335</v>
      </c>
      <c r="B493" s="520"/>
      <c r="C493" s="521"/>
      <c r="D493" s="521"/>
      <c r="E493" s="521"/>
      <c r="F493" s="521"/>
      <c r="G493" s="521"/>
      <c r="H493" s="504"/>
      <c r="I493" s="504"/>
      <c r="J493" s="493"/>
      <c r="K493" s="502"/>
    </row>
    <row r="494" spans="1:11" ht="10.5" customHeight="1" thickBot="1" x14ac:dyDescent="0.25">
      <c r="A494" s="158"/>
      <c r="B494" s="159"/>
      <c r="C494" s="138" t="s">
        <v>336</v>
      </c>
      <c r="D494" s="138"/>
      <c r="E494" s="138"/>
      <c r="F494" s="138"/>
      <c r="G494" s="138"/>
      <c r="H494" s="138"/>
      <c r="I494" s="138"/>
      <c r="J494" s="393"/>
      <c r="K494" s="139"/>
    </row>
    <row r="495" spans="1:11" ht="10.5" customHeight="1" x14ac:dyDescent="0.2">
      <c r="A495" s="512"/>
      <c r="B495" s="513"/>
      <c r="C495" s="514"/>
      <c r="D495" s="514"/>
      <c r="E495" s="514"/>
      <c r="F495" s="514"/>
      <c r="G495" s="514"/>
      <c r="H495" s="514"/>
      <c r="I495" s="514"/>
      <c r="J495" s="492"/>
      <c r="K495" s="500"/>
    </row>
    <row r="496" spans="1:11" ht="10.5" customHeight="1" x14ac:dyDescent="0.2">
      <c r="A496" s="501" t="s">
        <v>325</v>
      </c>
      <c r="B496" s="933">
        <f>$B$2</f>
        <v>0</v>
      </c>
      <c r="C496" s="933"/>
      <c r="D496" s="934" t="s">
        <v>326</v>
      </c>
      <c r="E496" s="934"/>
      <c r="F496" s="934"/>
      <c r="G496" s="934"/>
      <c r="H496" s="935">
        <f>$H$2</f>
        <v>45739</v>
      </c>
      <c r="I496" s="936"/>
      <c r="J496" s="493"/>
      <c r="K496" s="502" t="s">
        <v>327</v>
      </c>
    </row>
    <row r="497" spans="1:11" ht="10.5" customHeight="1" x14ac:dyDescent="0.2">
      <c r="A497" s="501"/>
      <c r="B497" s="506"/>
      <c r="C497" s="507"/>
      <c r="D497" s="507"/>
      <c r="E497" s="507"/>
      <c r="F497" s="507"/>
      <c r="G497" s="507"/>
      <c r="H497" s="507"/>
      <c r="I497" s="507"/>
      <c r="J497" s="493"/>
      <c r="K497" s="502">
        <f>$B$2</f>
        <v>0</v>
      </c>
    </row>
    <row r="498" spans="1:11" ht="10.5" customHeight="1" x14ac:dyDescent="0.2">
      <c r="A498" s="501" t="s">
        <v>0</v>
      </c>
      <c r="B498" s="943" t="str">
        <f>$B$4</f>
        <v>адрес вбить сюда</v>
      </c>
      <c r="C498" s="943"/>
      <c r="D498" s="943"/>
      <c r="E498" s="943"/>
      <c r="F498" s="943"/>
      <c r="G498" s="943"/>
      <c r="H498" s="943"/>
      <c r="I498" s="943"/>
      <c r="J498" s="944"/>
      <c r="K498" s="502"/>
    </row>
    <row r="499" spans="1:11" ht="10.5" customHeight="1" x14ac:dyDescent="0.2">
      <c r="A499" s="501"/>
      <c r="B499" s="943"/>
      <c r="C499" s="943"/>
      <c r="D499" s="943"/>
      <c r="E499" s="943"/>
      <c r="F499" s="943"/>
      <c r="G499" s="943"/>
      <c r="H499" s="943"/>
      <c r="I499" s="943"/>
      <c r="J499" s="944"/>
      <c r="K499" s="502" t="s">
        <v>328</v>
      </c>
    </row>
    <row r="500" spans="1:11" ht="10.5" customHeight="1" x14ac:dyDescent="0.2">
      <c r="A500" s="939" t="s">
        <v>329</v>
      </c>
      <c r="B500" s="940"/>
      <c r="C500" s="940"/>
      <c r="D500" s="945" t="str">
        <f>'Акт отбора проб Почва'!F58</f>
        <v>СК3</v>
      </c>
      <c r="E500" s="945"/>
      <c r="F500" s="945"/>
      <c r="G500" s="942" t="s">
        <v>330</v>
      </c>
      <c r="H500" s="942"/>
      <c r="I500" s="942"/>
      <c r="J500" s="491" t="str">
        <f>'Акт отбора проб Почва'!B58</f>
        <v>3,0-4,0</v>
      </c>
      <c r="K500" s="505">
        <f>$H$2</f>
        <v>45739</v>
      </c>
    </row>
    <row r="501" spans="1:11" ht="10.5" customHeight="1" x14ac:dyDescent="0.2">
      <c r="A501" s="501"/>
      <c r="B501" s="506"/>
      <c r="C501" s="507"/>
      <c r="D501" s="128"/>
      <c r="E501" s="128"/>
      <c r="F501" s="128"/>
      <c r="G501" s="508"/>
      <c r="H501" s="508"/>
      <c r="I501" s="508"/>
      <c r="J501" s="494"/>
      <c r="K501" s="502" t="s">
        <v>331</v>
      </c>
    </row>
    <row r="502" spans="1:11" ht="10.5" customHeight="1" x14ac:dyDescent="0.2">
      <c r="A502" s="501" t="s">
        <v>331</v>
      </c>
      <c r="B502" s="509" t="str">
        <f>'Акт отбора проб Почва'!C58</f>
        <v>03АХ.06</v>
      </c>
      <c r="C502" s="507"/>
      <c r="D502" s="128"/>
      <c r="E502" s="128"/>
      <c r="F502" s="128"/>
      <c r="G502" s="508"/>
      <c r="H502" s="508"/>
      <c r="I502" s="508"/>
      <c r="J502" s="494"/>
      <c r="K502" s="502" t="str">
        <f>B502</f>
        <v>03АХ.06</v>
      </c>
    </row>
    <row r="503" spans="1:11" ht="10.5" customHeight="1" x14ac:dyDescent="0.2">
      <c r="A503" s="501"/>
      <c r="B503" s="506"/>
      <c r="C503" s="507"/>
      <c r="D503" s="507"/>
      <c r="E503" s="507"/>
      <c r="F503" s="507"/>
      <c r="G503" s="507"/>
      <c r="H503" s="507"/>
      <c r="I503" s="507"/>
      <c r="J503" s="493"/>
      <c r="K503" s="502" t="s">
        <v>332</v>
      </c>
    </row>
    <row r="504" spans="1:11" ht="10.5" customHeight="1" x14ac:dyDescent="0.2">
      <c r="A504" s="939" t="s">
        <v>681</v>
      </c>
      <c r="B504" s="940"/>
      <c r="C504" s="951"/>
      <c r="D504" s="951"/>
      <c r="E504" s="951"/>
      <c r="F504" s="951"/>
      <c r="G504" s="951"/>
      <c r="H504" s="951"/>
      <c r="I504" s="951"/>
      <c r="J504" s="144"/>
      <c r="K504" s="502" t="str">
        <f>J500</f>
        <v>3,0-4,0</v>
      </c>
    </row>
    <row r="505" spans="1:11" ht="10.5" customHeight="1" x14ac:dyDescent="0.2">
      <c r="A505" s="501" t="s">
        <v>333</v>
      </c>
      <c r="B505" s="506"/>
      <c r="C505" s="507"/>
      <c r="D505" s="507"/>
      <c r="E505" s="507"/>
      <c r="F505" s="507"/>
      <c r="G505" s="507"/>
      <c r="H505" s="507"/>
      <c r="I505" s="507"/>
      <c r="J505" s="493"/>
      <c r="K505" s="502" t="s">
        <v>334</v>
      </c>
    </row>
    <row r="506" spans="1:11" ht="10.5" customHeight="1" x14ac:dyDescent="0.2">
      <c r="A506" s="501" t="s">
        <v>335</v>
      </c>
      <c r="B506" s="510"/>
      <c r="C506" s="511"/>
      <c r="D506" s="511"/>
      <c r="E506" s="511"/>
      <c r="F506" s="511"/>
      <c r="G506" s="511"/>
      <c r="H506" s="507"/>
      <c r="I506" s="507"/>
      <c r="J506" s="493"/>
      <c r="K506" s="502"/>
    </row>
    <row r="507" spans="1:11" ht="10.5" customHeight="1" thickBot="1" x14ac:dyDescent="0.25">
      <c r="A507" s="145"/>
      <c r="B507" s="146"/>
      <c r="C507" s="147" t="s">
        <v>336</v>
      </c>
      <c r="D507" s="147"/>
      <c r="E507" s="147"/>
      <c r="F507" s="147"/>
      <c r="G507" s="147"/>
      <c r="H507" s="147"/>
      <c r="I507" s="147"/>
      <c r="J507" s="394"/>
      <c r="K507" s="139"/>
    </row>
    <row r="508" spans="1:11" ht="10.5" customHeight="1" x14ac:dyDescent="0.2">
      <c r="A508" s="512"/>
      <c r="B508" s="513"/>
      <c r="C508" s="514"/>
      <c r="D508" s="514"/>
      <c r="E508" s="514"/>
      <c r="F508" s="514"/>
      <c r="G508" s="514"/>
      <c r="H508" s="514"/>
      <c r="I508" s="514"/>
      <c r="J508" s="492"/>
      <c r="K508" s="500"/>
    </row>
    <row r="509" spans="1:11" ht="10.5" customHeight="1" x14ac:dyDescent="0.2">
      <c r="A509" s="501" t="s">
        <v>325</v>
      </c>
      <c r="B509" s="933">
        <f>$B$2</f>
        <v>0</v>
      </c>
      <c r="C509" s="933"/>
      <c r="D509" s="934" t="s">
        <v>326</v>
      </c>
      <c r="E509" s="934"/>
      <c r="F509" s="934"/>
      <c r="G509" s="934"/>
      <c r="H509" s="935">
        <f>$H$2</f>
        <v>45739</v>
      </c>
      <c r="I509" s="936"/>
      <c r="J509" s="493"/>
      <c r="K509" s="502" t="s">
        <v>327</v>
      </c>
    </row>
    <row r="510" spans="1:11" ht="10.5" customHeight="1" x14ac:dyDescent="0.2">
      <c r="A510" s="501"/>
      <c r="B510" s="506"/>
      <c r="C510" s="507"/>
      <c r="D510" s="507"/>
      <c r="E510" s="507"/>
      <c r="F510" s="507"/>
      <c r="G510" s="507"/>
      <c r="H510" s="507"/>
      <c r="I510" s="507"/>
      <c r="J510" s="493"/>
      <c r="K510" s="502">
        <f>$B$2</f>
        <v>0</v>
      </c>
    </row>
    <row r="511" spans="1:11" ht="10.5" customHeight="1" x14ac:dyDescent="0.2">
      <c r="A511" s="501" t="s">
        <v>0</v>
      </c>
      <c r="B511" s="943" t="str">
        <f>$B$4</f>
        <v>адрес вбить сюда</v>
      </c>
      <c r="C511" s="943"/>
      <c r="D511" s="943"/>
      <c r="E511" s="943"/>
      <c r="F511" s="943"/>
      <c r="G511" s="943"/>
      <c r="H511" s="943"/>
      <c r="I511" s="943"/>
      <c r="J511" s="944"/>
      <c r="K511" s="502"/>
    </row>
    <row r="512" spans="1:11" ht="10.5" customHeight="1" x14ac:dyDescent="0.2">
      <c r="A512" s="501"/>
      <c r="B512" s="943"/>
      <c r="C512" s="943"/>
      <c r="D512" s="943"/>
      <c r="E512" s="943"/>
      <c r="F512" s="943"/>
      <c r="G512" s="943"/>
      <c r="H512" s="943"/>
      <c r="I512" s="943"/>
      <c r="J512" s="944"/>
      <c r="K512" s="502" t="s">
        <v>328</v>
      </c>
    </row>
    <row r="513" spans="1:11" ht="10.5" customHeight="1" x14ac:dyDescent="0.2">
      <c r="A513" s="939" t="s">
        <v>329</v>
      </c>
      <c r="B513" s="940"/>
      <c r="C513" s="940"/>
      <c r="D513" s="945" t="str">
        <f>'Акт отбора проб Почва'!F59</f>
        <v>СК4</v>
      </c>
      <c r="E513" s="945"/>
      <c r="F513" s="945"/>
      <c r="G513" s="942" t="s">
        <v>330</v>
      </c>
      <c r="H513" s="942"/>
      <c r="I513" s="942"/>
      <c r="J513" s="491" t="str">
        <f>'Акт отбора проб Почва'!B59</f>
        <v>3,0-4,0</v>
      </c>
      <c r="K513" s="505">
        <f>$H$2</f>
        <v>45739</v>
      </c>
    </row>
    <row r="514" spans="1:11" ht="10.5" customHeight="1" x14ac:dyDescent="0.2">
      <c r="A514" s="501"/>
      <c r="B514" s="506"/>
      <c r="C514" s="507"/>
      <c r="D514" s="128"/>
      <c r="E514" s="128"/>
      <c r="F514" s="128"/>
      <c r="G514" s="508"/>
      <c r="H514" s="508"/>
      <c r="I514" s="508"/>
      <c r="J514" s="494"/>
      <c r="K514" s="502" t="s">
        <v>331</v>
      </c>
    </row>
    <row r="515" spans="1:11" ht="10.5" customHeight="1" x14ac:dyDescent="0.2">
      <c r="A515" s="501" t="s">
        <v>331</v>
      </c>
      <c r="B515" s="509" t="str">
        <f>'Акт отбора проб Почва'!C59</f>
        <v>04АХ.06</v>
      </c>
      <c r="C515" s="507"/>
      <c r="D515" s="128"/>
      <c r="E515" s="128"/>
      <c r="F515" s="128"/>
      <c r="G515" s="508"/>
      <c r="H515" s="508"/>
      <c r="I515" s="508"/>
      <c r="J515" s="494"/>
      <c r="K515" s="502" t="str">
        <f>B515</f>
        <v>04АХ.06</v>
      </c>
    </row>
    <row r="516" spans="1:11" ht="10.5" customHeight="1" x14ac:dyDescent="0.2">
      <c r="A516" s="501"/>
      <c r="B516" s="506"/>
      <c r="C516" s="507"/>
      <c r="D516" s="507"/>
      <c r="E516" s="507"/>
      <c r="F516" s="507"/>
      <c r="G516" s="507"/>
      <c r="H516" s="507"/>
      <c r="I516" s="507"/>
      <c r="J516" s="493"/>
      <c r="K516" s="502" t="s">
        <v>332</v>
      </c>
    </row>
    <row r="517" spans="1:11" ht="10.5" customHeight="1" x14ac:dyDescent="0.2">
      <c r="A517" s="939" t="s">
        <v>681</v>
      </c>
      <c r="B517" s="940"/>
      <c r="C517" s="951"/>
      <c r="D517" s="951"/>
      <c r="E517" s="951"/>
      <c r="F517" s="951"/>
      <c r="G517" s="951"/>
      <c r="H517" s="951"/>
      <c r="I517" s="951"/>
      <c r="J517" s="144"/>
      <c r="K517" s="502" t="str">
        <f>J513</f>
        <v>3,0-4,0</v>
      </c>
    </row>
    <row r="518" spans="1:11" ht="10.5" customHeight="1" x14ac:dyDescent="0.2">
      <c r="A518" s="501" t="s">
        <v>333</v>
      </c>
      <c r="B518" s="506"/>
      <c r="C518" s="507"/>
      <c r="D518" s="507"/>
      <c r="E518" s="507"/>
      <c r="F518" s="507"/>
      <c r="G518" s="507"/>
      <c r="H518" s="507"/>
      <c r="I518" s="507"/>
      <c r="J518" s="493"/>
      <c r="K518" s="502" t="s">
        <v>334</v>
      </c>
    </row>
    <row r="519" spans="1:11" ht="10.5" customHeight="1" x14ac:dyDescent="0.2">
      <c r="A519" s="501" t="s">
        <v>335</v>
      </c>
      <c r="B519" s="510"/>
      <c r="C519" s="511"/>
      <c r="D519" s="511"/>
      <c r="E519" s="511"/>
      <c r="F519" s="511"/>
      <c r="G519" s="511"/>
      <c r="H519" s="507"/>
      <c r="I519" s="507"/>
      <c r="J519" s="493"/>
      <c r="K519" s="502"/>
    </row>
    <row r="520" spans="1:11" ht="10.5" customHeight="1" thickBot="1" x14ac:dyDescent="0.25">
      <c r="A520" s="145"/>
      <c r="B520" s="146"/>
      <c r="C520" s="147" t="s">
        <v>336</v>
      </c>
      <c r="D520" s="147"/>
      <c r="E520" s="147"/>
      <c r="F520" s="147"/>
      <c r="G520" s="147"/>
      <c r="H520" s="147"/>
      <c r="I520" s="147"/>
      <c r="J520" s="394"/>
      <c r="K520" s="139"/>
    </row>
    <row r="521" spans="1:11" ht="10.5" customHeight="1" x14ac:dyDescent="0.2">
      <c r="A521" s="512"/>
      <c r="B521" s="513"/>
      <c r="C521" s="514"/>
      <c r="D521" s="514"/>
      <c r="E521" s="514"/>
      <c r="F521" s="514"/>
      <c r="G521" s="514"/>
      <c r="H521" s="514"/>
      <c r="I521" s="514"/>
      <c r="J521" s="492"/>
      <c r="K521" s="500"/>
    </row>
    <row r="522" spans="1:11" ht="10.5" customHeight="1" x14ac:dyDescent="0.2">
      <c r="A522" s="501" t="s">
        <v>325</v>
      </c>
      <c r="B522" s="933">
        <f>$B$2</f>
        <v>0</v>
      </c>
      <c r="C522" s="933"/>
      <c r="D522" s="934" t="s">
        <v>326</v>
      </c>
      <c r="E522" s="934"/>
      <c r="F522" s="934"/>
      <c r="G522" s="934"/>
      <c r="H522" s="935">
        <f>$H$2</f>
        <v>45739</v>
      </c>
      <c r="I522" s="936"/>
      <c r="J522" s="493"/>
      <c r="K522" s="502" t="s">
        <v>327</v>
      </c>
    </row>
    <row r="523" spans="1:11" ht="10.5" customHeight="1" x14ac:dyDescent="0.2">
      <c r="A523" s="501"/>
      <c r="B523" s="506"/>
      <c r="C523" s="507"/>
      <c r="D523" s="507"/>
      <c r="E523" s="507"/>
      <c r="F523" s="507"/>
      <c r="G523" s="507"/>
      <c r="H523" s="507"/>
      <c r="I523" s="507"/>
      <c r="J523" s="493"/>
      <c r="K523" s="502">
        <f>$B$2</f>
        <v>0</v>
      </c>
    </row>
    <row r="524" spans="1:11" ht="10.5" customHeight="1" x14ac:dyDescent="0.2">
      <c r="A524" s="501" t="s">
        <v>0</v>
      </c>
      <c r="B524" s="943" t="str">
        <f>$B$4</f>
        <v>адрес вбить сюда</v>
      </c>
      <c r="C524" s="943"/>
      <c r="D524" s="943"/>
      <c r="E524" s="943"/>
      <c r="F524" s="943"/>
      <c r="G524" s="943"/>
      <c r="H524" s="943"/>
      <c r="I524" s="943"/>
      <c r="J524" s="944"/>
      <c r="K524" s="502"/>
    </row>
    <row r="525" spans="1:11" ht="10.5" customHeight="1" x14ac:dyDescent="0.2">
      <c r="A525" s="501"/>
      <c r="B525" s="943"/>
      <c r="C525" s="943"/>
      <c r="D525" s="943"/>
      <c r="E525" s="943"/>
      <c r="F525" s="943"/>
      <c r="G525" s="943"/>
      <c r="H525" s="943"/>
      <c r="I525" s="943"/>
      <c r="J525" s="944"/>
      <c r="K525" s="502" t="s">
        <v>328</v>
      </c>
    </row>
    <row r="526" spans="1:11" ht="10.5" customHeight="1" x14ac:dyDescent="0.2">
      <c r="A526" s="939" t="s">
        <v>329</v>
      </c>
      <c r="B526" s="940"/>
      <c r="C526" s="940"/>
      <c r="D526" s="945" t="str">
        <f>'Акт отбора проб Почва'!F60</f>
        <v>СК5</v>
      </c>
      <c r="E526" s="945"/>
      <c r="F526" s="945"/>
      <c r="G526" s="942" t="s">
        <v>330</v>
      </c>
      <c r="H526" s="942"/>
      <c r="I526" s="942"/>
      <c r="J526" s="491" t="str">
        <f>'Акт отбора проб Почва'!B60</f>
        <v>3,0-4,0</v>
      </c>
      <c r="K526" s="505">
        <f>$H$2</f>
        <v>45739</v>
      </c>
    </row>
    <row r="527" spans="1:11" ht="10.5" customHeight="1" x14ac:dyDescent="0.2">
      <c r="A527" s="501"/>
      <c r="B527" s="506"/>
      <c r="C527" s="507"/>
      <c r="D527" s="128"/>
      <c r="E527" s="128"/>
      <c r="F527" s="128"/>
      <c r="G527" s="508"/>
      <c r="H527" s="508"/>
      <c r="I527" s="508"/>
      <c r="J527" s="494"/>
      <c r="K527" s="502" t="s">
        <v>331</v>
      </c>
    </row>
    <row r="528" spans="1:11" ht="10.5" customHeight="1" x14ac:dyDescent="0.2">
      <c r="A528" s="501" t="s">
        <v>331</v>
      </c>
      <c r="B528" s="509" t="str">
        <f>'Акт отбора проб Почва'!C60</f>
        <v>05АХ.06</v>
      </c>
      <c r="C528" s="507"/>
      <c r="D528" s="128"/>
      <c r="E528" s="128"/>
      <c r="F528" s="128"/>
      <c r="G528" s="508"/>
      <c r="H528" s="508"/>
      <c r="I528" s="508"/>
      <c r="J528" s="494"/>
      <c r="K528" s="502" t="str">
        <f>B528</f>
        <v>05АХ.06</v>
      </c>
    </row>
    <row r="529" spans="1:11" ht="10.5" customHeight="1" x14ac:dyDescent="0.2">
      <c r="A529" s="501"/>
      <c r="B529" s="506"/>
      <c r="C529" s="507"/>
      <c r="D529" s="507"/>
      <c r="E529" s="507"/>
      <c r="F529" s="507"/>
      <c r="G529" s="507"/>
      <c r="H529" s="507"/>
      <c r="I529" s="507"/>
      <c r="J529" s="493"/>
      <c r="K529" s="502" t="s">
        <v>332</v>
      </c>
    </row>
    <row r="530" spans="1:11" ht="10.5" customHeight="1" x14ac:dyDescent="0.2">
      <c r="A530" s="939" t="s">
        <v>681</v>
      </c>
      <c r="B530" s="940"/>
      <c r="C530" s="951"/>
      <c r="D530" s="951"/>
      <c r="E530" s="951"/>
      <c r="F530" s="951"/>
      <c r="G530" s="951"/>
      <c r="H530" s="951"/>
      <c r="I530" s="951"/>
      <c r="J530" s="144"/>
      <c r="K530" s="502" t="str">
        <f>J526</f>
        <v>3,0-4,0</v>
      </c>
    </row>
    <row r="531" spans="1:11" ht="10.5" customHeight="1" x14ac:dyDescent="0.2">
      <c r="A531" s="501" t="s">
        <v>333</v>
      </c>
      <c r="B531" s="506"/>
      <c r="C531" s="507"/>
      <c r="D531" s="507"/>
      <c r="E531" s="507"/>
      <c r="F531" s="507"/>
      <c r="G531" s="507"/>
      <c r="H531" s="507"/>
      <c r="I531" s="507"/>
      <c r="J531" s="493"/>
      <c r="K531" s="502" t="s">
        <v>334</v>
      </c>
    </row>
    <row r="532" spans="1:11" ht="10.5" customHeight="1" x14ac:dyDescent="0.2">
      <c r="A532" s="501" t="s">
        <v>335</v>
      </c>
      <c r="B532" s="510"/>
      <c r="C532" s="511"/>
      <c r="D532" s="511"/>
      <c r="E532" s="511"/>
      <c r="F532" s="511"/>
      <c r="G532" s="511"/>
      <c r="H532" s="507"/>
      <c r="I532" s="507"/>
      <c r="J532" s="493"/>
      <c r="K532" s="502"/>
    </row>
    <row r="533" spans="1:11" ht="10.5" customHeight="1" thickBot="1" x14ac:dyDescent="0.25">
      <c r="A533" s="145"/>
      <c r="B533" s="146"/>
      <c r="C533" s="147" t="s">
        <v>336</v>
      </c>
      <c r="D533" s="147"/>
      <c r="E533" s="147"/>
      <c r="F533" s="147"/>
      <c r="G533" s="147"/>
      <c r="H533" s="147"/>
      <c r="I533" s="147"/>
      <c r="J533" s="394"/>
      <c r="K533" s="139"/>
    </row>
    <row r="534" spans="1:11" ht="10.5" customHeight="1" x14ac:dyDescent="0.2">
      <c r="A534" s="512"/>
      <c r="B534" s="513"/>
      <c r="C534" s="514"/>
      <c r="D534" s="514"/>
      <c r="E534" s="514"/>
      <c r="F534" s="514"/>
      <c r="G534" s="514"/>
      <c r="H534" s="514"/>
      <c r="I534" s="514"/>
      <c r="J534" s="492"/>
      <c r="K534" s="500"/>
    </row>
    <row r="535" spans="1:11" ht="10.5" customHeight="1" x14ac:dyDescent="0.2">
      <c r="A535" s="501" t="s">
        <v>325</v>
      </c>
      <c r="B535" s="933">
        <f>$B$2</f>
        <v>0</v>
      </c>
      <c r="C535" s="933"/>
      <c r="D535" s="934" t="s">
        <v>326</v>
      </c>
      <c r="E535" s="934"/>
      <c r="F535" s="934"/>
      <c r="G535" s="934"/>
      <c r="H535" s="935">
        <f>$H$2</f>
        <v>45739</v>
      </c>
      <c r="I535" s="936"/>
      <c r="J535" s="493"/>
      <c r="K535" s="502" t="s">
        <v>327</v>
      </c>
    </row>
    <row r="536" spans="1:11" ht="10.5" customHeight="1" x14ac:dyDescent="0.2">
      <c r="A536" s="501"/>
      <c r="B536" s="506"/>
      <c r="C536" s="507"/>
      <c r="D536" s="507"/>
      <c r="E536" s="507"/>
      <c r="F536" s="507"/>
      <c r="G536" s="507"/>
      <c r="H536" s="507"/>
      <c r="I536" s="507"/>
      <c r="J536" s="493"/>
      <c r="K536" s="502">
        <f>$B$2</f>
        <v>0</v>
      </c>
    </row>
    <row r="537" spans="1:11" ht="10.5" customHeight="1" x14ac:dyDescent="0.2">
      <c r="A537" s="501" t="s">
        <v>0</v>
      </c>
      <c r="B537" s="943" t="str">
        <f>$B$4</f>
        <v>адрес вбить сюда</v>
      </c>
      <c r="C537" s="943"/>
      <c r="D537" s="943"/>
      <c r="E537" s="943"/>
      <c r="F537" s="943"/>
      <c r="G537" s="943"/>
      <c r="H537" s="943"/>
      <c r="I537" s="943"/>
      <c r="J537" s="944"/>
      <c r="K537" s="502"/>
    </row>
    <row r="538" spans="1:11" ht="10.5" customHeight="1" x14ac:dyDescent="0.2">
      <c r="A538" s="501"/>
      <c r="B538" s="943"/>
      <c r="C538" s="943"/>
      <c r="D538" s="943"/>
      <c r="E538" s="943"/>
      <c r="F538" s="943"/>
      <c r="G538" s="943"/>
      <c r="H538" s="943"/>
      <c r="I538" s="943"/>
      <c r="J538" s="944"/>
      <c r="K538" s="502" t="s">
        <v>328</v>
      </c>
    </row>
    <row r="539" spans="1:11" ht="10.5" customHeight="1" x14ac:dyDescent="0.2">
      <c r="A539" s="939" t="s">
        <v>329</v>
      </c>
      <c r="B539" s="940"/>
      <c r="C539" s="940"/>
      <c r="D539" s="945" t="str">
        <f>'Акт отбора проб Почва'!F61</f>
        <v>СК6</v>
      </c>
      <c r="E539" s="945"/>
      <c r="F539" s="945"/>
      <c r="G539" s="942" t="s">
        <v>330</v>
      </c>
      <c r="H539" s="942"/>
      <c r="I539" s="942"/>
      <c r="J539" s="491" t="str">
        <f>'Акт отбора проб Почва'!B61</f>
        <v>3,0-4,0</v>
      </c>
      <c r="K539" s="505">
        <f>$H$2</f>
        <v>45739</v>
      </c>
    </row>
    <row r="540" spans="1:11" ht="10.5" customHeight="1" x14ac:dyDescent="0.2">
      <c r="A540" s="501"/>
      <c r="B540" s="506"/>
      <c r="C540" s="507"/>
      <c r="D540" s="128"/>
      <c r="E540" s="128"/>
      <c r="F540" s="128"/>
      <c r="G540" s="508"/>
      <c r="H540" s="508"/>
      <c r="I540" s="508"/>
      <c r="J540" s="494"/>
      <c r="K540" s="502" t="s">
        <v>331</v>
      </c>
    </row>
    <row r="541" spans="1:11" ht="10.5" customHeight="1" x14ac:dyDescent="0.2">
      <c r="A541" s="501" t="s">
        <v>331</v>
      </c>
      <c r="B541" s="509" t="str">
        <f>'Акт отбора проб Почва'!C61</f>
        <v>06АХ.06</v>
      </c>
      <c r="C541" s="507"/>
      <c r="D541" s="128"/>
      <c r="E541" s="128"/>
      <c r="F541" s="128"/>
      <c r="G541" s="508"/>
      <c r="H541" s="508"/>
      <c r="I541" s="508"/>
      <c r="J541" s="494"/>
      <c r="K541" s="502" t="str">
        <f>B541</f>
        <v>06АХ.06</v>
      </c>
    </row>
    <row r="542" spans="1:11" ht="10.5" customHeight="1" x14ac:dyDescent="0.2">
      <c r="A542" s="501"/>
      <c r="B542" s="506"/>
      <c r="C542" s="507"/>
      <c r="D542" s="507"/>
      <c r="E542" s="507"/>
      <c r="F542" s="507"/>
      <c r="G542" s="507"/>
      <c r="H542" s="507"/>
      <c r="I542" s="507"/>
      <c r="J542" s="493"/>
      <c r="K542" s="502" t="s">
        <v>332</v>
      </c>
    </row>
    <row r="543" spans="1:11" ht="10.5" customHeight="1" x14ac:dyDescent="0.2">
      <c r="A543" s="939" t="s">
        <v>681</v>
      </c>
      <c r="B543" s="940"/>
      <c r="C543" s="951"/>
      <c r="D543" s="951"/>
      <c r="E543" s="951"/>
      <c r="F543" s="951"/>
      <c r="G543" s="951"/>
      <c r="H543" s="951"/>
      <c r="I543" s="951"/>
      <c r="J543" s="144"/>
      <c r="K543" s="502" t="str">
        <f>J539</f>
        <v>3,0-4,0</v>
      </c>
    </row>
    <row r="544" spans="1:11" ht="10.5" customHeight="1" x14ac:dyDescent="0.2">
      <c r="A544" s="501" t="s">
        <v>333</v>
      </c>
      <c r="B544" s="506"/>
      <c r="C544" s="507"/>
      <c r="D544" s="507"/>
      <c r="E544" s="507"/>
      <c r="F544" s="507"/>
      <c r="G544" s="507"/>
      <c r="H544" s="507"/>
      <c r="I544" s="507"/>
      <c r="J544" s="493"/>
      <c r="K544" s="502" t="s">
        <v>334</v>
      </c>
    </row>
    <row r="545" spans="1:11" ht="10.5" customHeight="1" x14ac:dyDescent="0.2">
      <c r="A545" s="501" t="s">
        <v>335</v>
      </c>
      <c r="B545" s="510"/>
      <c r="C545" s="511"/>
      <c r="D545" s="511"/>
      <c r="E545" s="511"/>
      <c r="F545" s="511"/>
      <c r="G545" s="511"/>
      <c r="H545" s="507"/>
      <c r="I545" s="507"/>
      <c r="J545" s="493"/>
      <c r="K545" s="502"/>
    </row>
    <row r="546" spans="1:11" ht="10.5" customHeight="1" thickBot="1" x14ac:dyDescent="0.25">
      <c r="A546" s="145"/>
      <c r="B546" s="146"/>
      <c r="C546" s="147" t="s">
        <v>336</v>
      </c>
      <c r="D546" s="147"/>
      <c r="E546" s="147"/>
      <c r="F546" s="147"/>
      <c r="G546" s="147"/>
      <c r="H546" s="147"/>
      <c r="I546" s="147"/>
      <c r="J546" s="394"/>
      <c r="K546" s="139"/>
    </row>
    <row r="547" spans="1:11" ht="10.5" customHeight="1" x14ac:dyDescent="0.2">
      <c r="A547" s="512"/>
      <c r="B547" s="513"/>
      <c r="C547" s="514"/>
      <c r="D547" s="514"/>
      <c r="E547" s="514"/>
      <c r="F547" s="514"/>
      <c r="G547" s="514"/>
      <c r="H547" s="514"/>
      <c r="I547" s="514"/>
      <c r="J547" s="492"/>
      <c r="K547" s="500"/>
    </row>
    <row r="548" spans="1:11" ht="10.5" customHeight="1" x14ac:dyDescent="0.2">
      <c r="A548" s="501" t="s">
        <v>325</v>
      </c>
      <c r="B548" s="933">
        <f>$B$2</f>
        <v>0</v>
      </c>
      <c r="C548" s="933"/>
      <c r="D548" s="934" t="s">
        <v>326</v>
      </c>
      <c r="E548" s="934"/>
      <c r="F548" s="934"/>
      <c r="G548" s="934"/>
      <c r="H548" s="935">
        <f>$H$2</f>
        <v>45739</v>
      </c>
      <c r="I548" s="936"/>
      <c r="J548" s="493"/>
      <c r="K548" s="502" t="s">
        <v>327</v>
      </c>
    </row>
    <row r="549" spans="1:11" ht="10.5" customHeight="1" x14ac:dyDescent="0.2">
      <c r="A549" s="501"/>
      <c r="B549" s="506"/>
      <c r="C549" s="507"/>
      <c r="D549" s="507"/>
      <c r="E549" s="507"/>
      <c r="F549" s="507"/>
      <c r="G549" s="507"/>
      <c r="H549" s="507"/>
      <c r="I549" s="507"/>
      <c r="J549" s="493"/>
      <c r="K549" s="502">
        <f>$B$2</f>
        <v>0</v>
      </c>
    </row>
    <row r="550" spans="1:11" ht="10.5" customHeight="1" x14ac:dyDescent="0.2">
      <c r="A550" s="501" t="s">
        <v>0</v>
      </c>
      <c r="B550" s="943" t="str">
        <f>$B$4</f>
        <v>адрес вбить сюда</v>
      </c>
      <c r="C550" s="943"/>
      <c r="D550" s="943"/>
      <c r="E550" s="943"/>
      <c r="F550" s="943"/>
      <c r="G550" s="943"/>
      <c r="H550" s="943"/>
      <c r="I550" s="943"/>
      <c r="J550" s="944"/>
      <c r="K550" s="502"/>
    </row>
    <row r="551" spans="1:11" ht="10.5" customHeight="1" x14ac:dyDescent="0.2">
      <c r="A551" s="501"/>
      <c r="B551" s="943"/>
      <c r="C551" s="943"/>
      <c r="D551" s="943"/>
      <c r="E551" s="943"/>
      <c r="F551" s="943"/>
      <c r="G551" s="943"/>
      <c r="H551" s="943"/>
      <c r="I551" s="943"/>
      <c r="J551" s="944"/>
      <c r="K551" s="502" t="s">
        <v>328</v>
      </c>
    </row>
    <row r="552" spans="1:11" ht="10.5" customHeight="1" x14ac:dyDescent="0.2">
      <c r="A552" s="939" t="s">
        <v>329</v>
      </c>
      <c r="B552" s="940"/>
      <c r="C552" s="940"/>
      <c r="D552" s="945" t="str">
        <f>'Акт отбора проб Почва'!F62</f>
        <v>СК1</v>
      </c>
      <c r="E552" s="945"/>
      <c r="F552" s="945"/>
      <c r="G552" s="942" t="s">
        <v>330</v>
      </c>
      <c r="H552" s="942"/>
      <c r="I552" s="942"/>
      <c r="J552" s="491" t="str">
        <f>'Акт отбора проб Почва'!B62</f>
        <v>4,0-5,0</v>
      </c>
      <c r="K552" s="505">
        <f>$H$2</f>
        <v>45739</v>
      </c>
    </row>
    <row r="553" spans="1:11" ht="10.5" customHeight="1" x14ac:dyDescent="0.2">
      <c r="A553" s="501"/>
      <c r="B553" s="506"/>
      <c r="C553" s="507"/>
      <c r="D553" s="128"/>
      <c r="E553" s="128"/>
      <c r="F553" s="128"/>
      <c r="G553" s="508"/>
      <c r="H553" s="508"/>
      <c r="I553" s="508"/>
      <c r="J553" s="494"/>
      <c r="K553" s="502" t="s">
        <v>331</v>
      </c>
    </row>
    <row r="554" spans="1:11" ht="10.5" customHeight="1" x14ac:dyDescent="0.2">
      <c r="A554" s="501" t="s">
        <v>331</v>
      </c>
      <c r="B554" s="509" t="str">
        <f>'Акт отбора проб Почва'!C62</f>
        <v>01АХ.07</v>
      </c>
      <c r="C554" s="507"/>
      <c r="D554" s="128"/>
      <c r="E554" s="128"/>
      <c r="F554" s="128"/>
      <c r="G554" s="508"/>
      <c r="H554" s="508"/>
      <c r="I554" s="508"/>
      <c r="J554" s="494"/>
      <c r="K554" s="502" t="str">
        <f>B554</f>
        <v>01АХ.07</v>
      </c>
    </row>
    <row r="555" spans="1:11" ht="10.5" customHeight="1" x14ac:dyDescent="0.2">
      <c r="A555" s="501"/>
      <c r="B555" s="506"/>
      <c r="C555" s="507"/>
      <c r="D555" s="507"/>
      <c r="E555" s="507"/>
      <c r="F555" s="507"/>
      <c r="G555" s="507"/>
      <c r="H555" s="507"/>
      <c r="I555" s="507"/>
      <c r="J555" s="493"/>
      <c r="K555" s="502" t="s">
        <v>332</v>
      </c>
    </row>
    <row r="556" spans="1:11" ht="10.5" customHeight="1" x14ac:dyDescent="0.2">
      <c r="A556" s="939" t="s">
        <v>681</v>
      </c>
      <c r="B556" s="940"/>
      <c r="C556" s="951"/>
      <c r="D556" s="951"/>
      <c r="E556" s="951"/>
      <c r="F556" s="951"/>
      <c r="G556" s="951"/>
      <c r="H556" s="951"/>
      <c r="I556" s="951"/>
      <c r="J556" s="144"/>
      <c r="K556" s="502" t="str">
        <f>J552</f>
        <v>4,0-5,0</v>
      </c>
    </row>
    <row r="557" spans="1:11" ht="10.5" customHeight="1" x14ac:dyDescent="0.2">
      <c r="A557" s="501" t="s">
        <v>333</v>
      </c>
      <c r="B557" s="506"/>
      <c r="C557" s="507"/>
      <c r="D557" s="507"/>
      <c r="E557" s="507"/>
      <c r="F557" s="507"/>
      <c r="G557" s="507"/>
      <c r="H557" s="507"/>
      <c r="I557" s="507"/>
      <c r="J557" s="493"/>
      <c r="K557" s="502" t="s">
        <v>334</v>
      </c>
    </row>
    <row r="558" spans="1:11" ht="10.5" customHeight="1" x14ac:dyDescent="0.2">
      <c r="A558" s="501" t="s">
        <v>335</v>
      </c>
      <c r="B558" s="510"/>
      <c r="C558" s="511"/>
      <c r="D558" s="511"/>
      <c r="E558" s="511"/>
      <c r="F558" s="511"/>
      <c r="G558" s="511"/>
      <c r="H558" s="507"/>
      <c r="I558" s="507"/>
      <c r="J558" s="493"/>
      <c r="K558" s="502"/>
    </row>
    <row r="559" spans="1:11" ht="10.5" customHeight="1" thickBot="1" x14ac:dyDescent="0.25">
      <c r="A559" s="145"/>
      <c r="B559" s="146"/>
      <c r="C559" s="147" t="s">
        <v>336</v>
      </c>
      <c r="D559" s="147"/>
      <c r="E559" s="147"/>
      <c r="F559" s="147"/>
      <c r="G559" s="147"/>
      <c r="H559" s="147"/>
      <c r="I559" s="147"/>
      <c r="J559" s="394"/>
      <c r="K559" s="139"/>
    </row>
    <row r="560" spans="1:11" ht="10.5" customHeight="1" x14ac:dyDescent="0.2">
      <c r="A560" s="512"/>
      <c r="B560" s="513"/>
      <c r="C560" s="514"/>
      <c r="D560" s="514"/>
      <c r="E560" s="514"/>
      <c r="F560" s="514"/>
      <c r="G560" s="514"/>
      <c r="H560" s="514"/>
      <c r="I560" s="514"/>
      <c r="J560" s="492"/>
      <c r="K560" s="500"/>
    </row>
    <row r="561" spans="1:11" ht="10.5" customHeight="1" x14ac:dyDescent="0.2">
      <c r="A561" s="501" t="s">
        <v>325</v>
      </c>
      <c r="B561" s="933">
        <f>$B$2</f>
        <v>0</v>
      </c>
      <c r="C561" s="933"/>
      <c r="D561" s="934" t="s">
        <v>326</v>
      </c>
      <c r="E561" s="934"/>
      <c r="F561" s="934"/>
      <c r="G561" s="934"/>
      <c r="H561" s="935">
        <f>$H$2</f>
        <v>45739</v>
      </c>
      <c r="I561" s="936"/>
      <c r="J561" s="493"/>
      <c r="K561" s="502" t="s">
        <v>327</v>
      </c>
    </row>
    <row r="562" spans="1:11" ht="10.5" customHeight="1" x14ac:dyDescent="0.2">
      <c r="A562" s="501"/>
      <c r="B562" s="506"/>
      <c r="C562" s="507"/>
      <c r="D562" s="507"/>
      <c r="E562" s="507"/>
      <c r="F562" s="507"/>
      <c r="G562" s="507"/>
      <c r="H562" s="507"/>
      <c r="I562" s="507"/>
      <c r="J562" s="493"/>
      <c r="K562" s="502">
        <f>$B$2</f>
        <v>0</v>
      </c>
    </row>
    <row r="563" spans="1:11" ht="10.5" customHeight="1" x14ac:dyDescent="0.2">
      <c r="A563" s="501" t="s">
        <v>0</v>
      </c>
      <c r="B563" s="943" t="str">
        <f>$B$4</f>
        <v>адрес вбить сюда</v>
      </c>
      <c r="C563" s="943"/>
      <c r="D563" s="943"/>
      <c r="E563" s="943"/>
      <c r="F563" s="943"/>
      <c r="G563" s="943"/>
      <c r="H563" s="943"/>
      <c r="I563" s="943"/>
      <c r="J563" s="944"/>
      <c r="K563" s="502"/>
    </row>
    <row r="564" spans="1:11" ht="10.5" customHeight="1" x14ac:dyDescent="0.2">
      <c r="A564" s="501"/>
      <c r="B564" s="943"/>
      <c r="C564" s="943"/>
      <c r="D564" s="943"/>
      <c r="E564" s="943"/>
      <c r="F564" s="943"/>
      <c r="G564" s="943"/>
      <c r="H564" s="943"/>
      <c r="I564" s="943"/>
      <c r="J564" s="944"/>
      <c r="K564" s="502" t="s">
        <v>328</v>
      </c>
    </row>
    <row r="565" spans="1:11" ht="10.5" customHeight="1" x14ac:dyDescent="0.2">
      <c r="A565" s="939" t="s">
        <v>329</v>
      </c>
      <c r="B565" s="940"/>
      <c r="C565" s="940"/>
      <c r="D565" s="945" t="str">
        <f>'Акт отбора проб Почва'!F63</f>
        <v>СК2</v>
      </c>
      <c r="E565" s="945"/>
      <c r="F565" s="945"/>
      <c r="G565" s="942" t="s">
        <v>330</v>
      </c>
      <c r="H565" s="942"/>
      <c r="I565" s="942"/>
      <c r="J565" s="491" t="str">
        <f>'Акт отбора проб Почва'!B63</f>
        <v>4,0-5,0</v>
      </c>
      <c r="K565" s="505">
        <f>$H$2</f>
        <v>45739</v>
      </c>
    </row>
    <row r="566" spans="1:11" ht="10.5" customHeight="1" x14ac:dyDescent="0.2">
      <c r="A566" s="501"/>
      <c r="B566" s="506"/>
      <c r="C566" s="507"/>
      <c r="D566" s="128"/>
      <c r="E566" s="128"/>
      <c r="F566" s="128"/>
      <c r="G566" s="508"/>
      <c r="H566" s="508"/>
      <c r="I566" s="508"/>
      <c r="J566" s="494"/>
      <c r="K566" s="502" t="s">
        <v>331</v>
      </c>
    </row>
    <row r="567" spans="1:11" ht="10.5" customHeight="1" x14ac:dyDescent="0.2">
      <c r="A567" s="501" t="s">
        <v>331</v>
      </c>
      <c r="B567" s="509" t="str">
        <f>'Акт отбора проб Почва'!C63</f>
        <v>02АХ.07</v>
      </c>
      <c r="C567" s="507"/>
      <c r="D567" s="128"/>
      <c r="E567" s="128"/>
      <c r="F567" s="128"/>
      <c r="G567" s="508"/>
      <c r="H567" s="508"/>
      <c r="I567" s="508"/>
      <c r="J567" s="494"/>
      <c r="K567" s="502" t="str">
        <f>B567</f>
        <v>02АХ.07</v>
      </c>
    </row>
    <row r="568" spans="1:11" ht="10.5" customHeight="1" x14ac:dyDescent="0.2">
      <c r="A568" s="501"/>
      <c r="B568" s="506"/>
      <c r="C568" s="507"/>
      <c r="D568" s="507"/>
      <c r="E568" s="507"/>
      <c r="F568" s="507"/>
      <c r="G568" s="507"/>
      <c r="H568" s="507"/>
      <c r="I568" s="507"/>
      <c r="J568" s="493"/>
      <c r="K568" s="502" t="s">
        <v>332</v>
      </c>
    </row>
    <row r="569" spans="1:11" ht="10.5" customHeight="1" x14ac:dyDescent="0.2">
      <c r="A569" s="939" t="s">
        <v>681</v>
      </c>
      <c r="B569" s="940"/>
      <c r="C569" s="951"/>
      <c r="D569" s="951"/>
      <c r="E569" s="951"/>
      <c r="F569" s="951"/>
      <c r="G569" s="951"/>
      <c r="H569" s="951"/>
      <c r="I569" s="951"/>
      <c r="J569" s="144"/>
      <c r="K569" s="502" t="str">
        <f>J565</f>
        <v>4,0-5,0</v>
      </c>
    </row>
    <row r="570" spans="1:11" ht="10.5" customHeight="1" x14ac:dyDescent="0.2">
      <c r="A570" s="501" t="s">
        <v>333</v>
      </c>
      <c r="B570" s="506"/>
      <c r="C570" s="507"/>
      <c r="D570" s="507"/>
      <c r="E570" s="507"/>
      <c r="F570" s="507"/>
      <c r="G570" s="507"/>
      <c r="H570" s="507"/>
      <c r="I570" s="507"/>
      <c r="J570" s="493"/>
      <c r="K570" s="502" t="s">
        <v>334</v>
      </c>
    </row>
    <row r="571" spans="1:11" ht="10.5" customHeight="1" x14ac:dyDescent="0.2">
      <c r="A571" s="501" t="s">
        <v>335</v>
      </c>
      <c r="B571" s="510"/>
      <c r="C571" s="511"/>
      <c r="D571" s="511"/>
      <c r="E571" s="511"/>
      <c r="F571" s="511"/>
      <c r="G571" s="511"/>
      <c r="H571" s="507"/>
      <c r="I571" s="507"/>
      <c r="J571" s="493"/>
      <c r="K571" s="502"/>
    </row>
    <row r="572" spans="1:11" ht="10.5" customHeight="1" thickBot="1" x14ac:dyDescent="0.25">
      <c r="A572" s="145"/>
      <c r="B572" s="146"/>
      <c r="C572" s="147" t="s">
        <v>336</v>
      </c>
      <c r="D572" s="147"/>
      <c r="E572" s="147"/>
      <c r="F572" s="147"/>
      <c r="G572" s="147"/>
      <c r="H572" s="147"/>
      <c r="I572" s="147"/>
      <c r="J572" s="394"/>
      <c r="K572" s="139"/>
    </row>
    <row r="573" spans="1:11" ht="10.5" customHeight="1" x14ac:dyDescent="0.2">
      <c r="A573" s="512"/>
      <c r="B573" s="513"/>
      <c r="C573" s="514"/>
      <c r="D573" s="514"/>
      <c r="E573" s="514"/>
      <c r="F573" s="514"/>
      <c r="G573" s="514"/>
      <c r="H573" s="514"/>
      <c r="I573" s="514"/>
      <c r="J573" s="492"/>
      <c r="K573" s="500"/>
    </row>
    <row r="574" spans="1:11" ht="10.5" customHeight="1" x14ac:dyDescent="0.2">
      <c r="A574" s="501" t="s">
        <v>325</v>
      </c>
      <c r="B574" s="933">
        <f>$B$2</f>
        <v>0</v>
      </c>
      <c r="C574" s="933"/>
      <c r="D574" s="934" t="s">
        <v>326</v>
      </c>
      <c r="E574" s="934"/>
      <c r="F574" s="934"/>
      <c r="G574" s="934"/>
      <c r="H574" s="935">
        <f>$H$2</f>
        <v>45739</v>
      </c>
      <c r="I574" s="936"/>
      <c r="J574" s="493"/>
      <c r="K574" s="502" t="s">
        <v>327</v>
      </c>
    </row>
    <row r="575" spans="1:11" ht="10.5" customHeight="1" x14ac:dyDescent="0.2">
      <c r="A575" s="501"/>
      <c r="B575" s="506"/>
      <c r="C575" s="507"/>
      <c r="D575" s="507"/>
      <c r="E575" s="507"/>
      <c r="F575" s="507"/>
      <c r="G575" s="507"/>
      <c r="H575" s="507"/>
      <c r="I575" s="507"/>
      <c r="J575" s="493"/>
      <c r="K575" s="502">
        <f>$B$2</f>
        <v>0</v>
      </c>
    </row>
    <row r="576" spans="1:11" ht="10.5" customHeight="1" x14ac:dyDescent="0.2">
      <c r="A576" s="501" t="s">
        <v>0</v>
      </c>
      <c r="B576" s="943" t="str">
        <f>$B$4</f>
        <v>адрес вбить сюда</v>
      </c>
      <c r="C576" s="943"/>
      <c r="D576" s="943"/>
      <c r="E576" s="943"/>
      <c r="F576" s="943"/>
      <c r="G576" s="943"/>
      <c r="H576" s="943"/>
      <c r="I576" s="943"/>
      <c r="J576" s="944"/>
      <c r="K576" s="502"/>
    </row>
    <row r="577" spans="1:11" ht="10.5" customHeight="1" x14ac:dyDescent="0.2">
      <c r="A577" s="501"/>
      <c r="B577" s="943"/>
      <c r="C577" s="943"/>
      <c r="D577" s="943"/>
      <c r="E577" s="943"/>
      <c r="F577" s="943"/>
      <c r="G577" s="943"/>
      <c r="H577" s="943"/>
      <c r="I577" s="943"/>
      <c r="J577" s="944"/>
      <c r="K577" s="502" t="s">
        <v>328</v>
      </c>
    </row>
    <row r="578" spans="1:11" ht="10.5" customHeight="1" x14ac:dyDescent="0.2">
      <c r="A578" s="939" t="s">
        <v>329</v>
      </c>
      <c r="B578" s="940"/>
      <c r="C578" s="940"/>
      <c r="D578" s="945" t="str">
        <f>'Акт отбора проб Почва'!F64</f>
        <v>СК3</v>
      </c>
      <c r="E578" s="945"/>
      <c r="F578" s="945"/>
      <c r="G578" s="942" t="s">
        <v>330</v>
      </c>
      <c r="H578" s="942"/>
      <c r="I578" s="942"/>
      <c r="J578" s="491" t="str">
        <f>'Акт отбора проб Почва'!B64</f>
        <v>4,0-5,0</v>
      </c>
      <c r="K578" s="505">
        <f>$H$2</f>
        <v>45739</v>
      </c>
    </row>
    <row r="579" spans="1:11" ht="10.5" customHeight="1" x14ac:dyDescent="0.2">
      <c r="A579" s="501"/>
      <c r="B579" s="506"/>
      <c r="C579" s="507"/>
      <c r="D579" s="128"/>
      <c r="E579" s="128"/>
      <c r="F579" s="128"/>
      <c r="G579" s="508"/>
      <c r="H579" s="508"/>
      <c r="I579" s="508"/>
      <c r="J579" s="494"/>
      <c r="K579" s="502" t="s">
        <v>331</v>
      </c>
    </row>
    <row r="580" spans="1:11" ht="10.5" customHeight="1" x14ac:dyDescent="0.2">
      <c r="A580" s="501" t="s">
        <v>331</v>
      </c>
      <c r="B580" s="509" t="str">
        <f>'Акт отбора проб Почва'!C64</f>
        <v>03АХ.07</v>
      </c>
      <c r="C580" s="507"/>
      <c r="D580" s="128"/>
      <c r="E580" s="128"/>
      <c r="F580" s="128"/>
      <c r="G580" s="508"/>
      <c r="H580" s="508"/>
      <c r="I580" s="508"/>
      <c r="J580" s="494"/>
      <c r="K580" s="502" t="str">
        <f>B580</f>
        <v>03АХ.07</v>
      </c>
    </row>
    <row r="581" spans="1:11" ht="10.5" customHeight="1" x14ac:dyDescent="0.2">
      <c r="A581" s="501"/>
      <c r="B581" s="506"/>
      <c r="C581" s="507"/>
      <c r="D581" s="507"/>
      <c r="E581" s="507"/>
      <c r="F581" s="507"/>
      <c r="G581" s="507"/>
      <c r="H581" s="507"/>
      <c r="I581" s="507"/>
      <c r="J581" s="493"/>
      <c r="K581" s="502" t="s">
        <v>332</v>
      </c>
    </row>
    <row r="582" spans="1:11" ht="10.5" customHeight="1" x14ac:dyDescent="0.2">
      <c r="A582" s="939" t="s">
        <v>681</v>
      </c>
      <c r="B582" s="940"/>
      <c r="C582" s="951"/>
      <c r="D582" s="951"/>
      <c r="E582" s="951"/>
      <c r="F582" s="951"/>
      <c r="G582" s="951"/>
      <c r="H582" s="951"/>
      <c r="I582" s="951"/>
      <c r="J582" s="144"/>
      <c r="K582" s="502" t="str">
        <f>J578</f>
        <v>4,0-5,0</v>
      </c>
    </row>
    <row r="583" spans="1:11" ht="10.5" customHeight="1" x14ac:dyDescent="0.2">
      <c r="A583" s="501" t="s">
        <v>333</v>
      </c>
      <c r="B583" s="506"/>
      <c r="C583" s="507"/>
      <c r="D583" s="507"/>
      <c r="E583" s="507"/>
      <c r="F583" s="507"/>
      <c r="G583" s="507"/>
      <c r="H583" s="507"/>
      <c r="I583" s="507"/>
      <c r="J583" s="493"/>
      <c r="K583" s="502" t="s">
        <v>334</v>
      </c>
    </row>
    <row r="584" spans="1:11" ht="10.5" customHeight="1" x14ac:dyDescent="0.2">
      <c r="A584" s="501" t="s">
        <v>335</v>
      </c>
      <c r="B584" s="510"/>
      <c r="C584" s="511"/>
      <c r="D584" s="511"/>
      <c r="E584" s="511"/>
      <c r="F584" s="511"/>
      <c r="G584" s="511"/>
      <c r="H584" s="507"/>
      <c r="I584" s="507"/>
      <c r="J584" s="493"/>
      <c r="K584" s="502"/>
    </row>
    <row r="585" spans="1:11" ht="10.5" customHeight="1" thickBot="1" x14ac:dyDescent="0.25">
      <c r="A585" s="145"/>
      <c r="B585" s="146"/>
      <c r="C585" s="147" t="s">
        <v>336</v>
      </c>
      <c r="D585" s="147"/>
      <c r="E585" s="147"/>
      <c r="F585" s="147"/>
      <c r="G585" s="147"/>
      <c r="H585" s="147"/>
      <c r="I585" s="147"/>
      <c r="J585" s="394"/>
      <c r="K585" s="139"/>
    </row>
    <row r="586" spans="1:11" ht="10.5" customHeight="1" x14ac:dyDescent="0.2">
      <c r="A586" s="512"/>
      <c r="B586" s="513"/>
      <c r="C586" s="514"/>
      <c r="D586" s="514"/>
      <c r="E586" s="514"/>
      <c r="F586" s="514"/>
      <c r="G586" s="514"/>
      <c r="H586" s="514"/>
      <c r="I586" s="514"/>
      <c r="J586" s="492"/>
      <c r="K586" s="500"/>
    </row>
    <row r="587" spans="1:11" ht="10.5" customHeight="1" x14ac:dyDescent="0.2">
      <c r="A587" s="501" t="s">
        <v>325</v>
      </c>
      <c r="B587" s="933">
        <f>$B$2</f>
        <v>0</v>
      </c>
      <c r="C587" s="933"/>
      <c r="D587" s="934" t="s">
        <v>326</v>
      </c>
      <c r="E587" s="934"/>
      <c r="F587" s="934"/>
      <c r="G587" s="934"/>
      <c r="H587" s="935">
        <f>$H$2</f>
        <v>45739</v>
      </c>
      <c r="I587" s="936"/>
      <c r="J587" s="493"/>
      <c r="K587" s="502" t="s">
        <v>327</v>
      </c>
    </row>
    <row r="588" spans="1:11" ht="10.5" customHeight="1" x14ac:dyDescent="0.2">
      <c r="A588" s="501"/>
      <c r="B588" s="506"/>
      <c r="C588" s="507"/>
      <c r="D588" s="507"/>
      <c r="E588" s="507"/>
      <c r="F588" s="507"/>
      <c r="G588" s="507"/>
      <c r="H588" s="507"/>
      <c r="I588" s="507"/>
      <c r="J588" s="493"/>
      <c r="K588" s="502">
        <f>$B$2</f>
        <v>0</v>
      </c>
    </row>
    <row r="589" spans="1:11" ht="10.5" customHeight="1" x14ac:dyDescent="0.2">
      <c r="A589" s="501" t="s">
        <v>0</v>
      </c>
      <c r="B589" s="943" t="str">
        <f>$B$4</f>
        <v>адрес вбить сюда</v>
      </c>
      <c r="C589" s="943"/>
      <c r="D589" s="943"/>
      <c r="E589" s="943"/>
      <c r="F589" s="943"/>
      <c r="G589" s="943"/>
      <c r="H589" s="943"/>
      <c r="I589" s="943"/>
      <c r="J589" s="944"/>
      <c r="K589" s="502"/>
    </row>
    <row r="590" spans="1:11" ht="10.5" customHeight="1" x14ac:dyDescent="0.2">
      <c r="A590" s="501"/>
      <c r="B590" s="943"/>
      <c r="C590" s="943"/>
      <c r="D590" s="943"/>
      <c r="E590" s="943"/>
      <c r="F590" s="943"/>
      <c r="G590" s="943"/>
      <c r="H590" s="943"/>
      <c r="I590" s="943"/>
      <c r="J590" s="944"/>
      <c r="K590" s="502" t="s">
        <v>328</v>
      </c>
    </row>
    <row r="591" spans="1:11" ht="10.5" customHeight="1" x14ac:dyDescent="0.2">
      <c r="A591" s="939" t="s">
        <v>329</v>
      </c>
      <c r="B591" s="940"/>
      <c r="C591" s="940"/>
      <c r="D591" s="945" t="str">
        <f>'Акт отбора проб Почва'!F65</f>
        <v>СК4</v>
      </c>
      <c r="E591" s="945"/>
      <c r="F591" s="945"/>
      <c r="G591" s="942" t="s">
        <v>330</v>
      </c>
      <c r="H591" s="942"/>
      <c r="I591" s="942"/>
      <c r="J591" s="491" t="str">
        <f>'Акт отбора проб Почва'!B65</f>
        <v>4,0-5,0</v>
      </c>
      <c r="K591" s="505">
        <f>$H$2</f>
        <v>45739</v>
      </c>
    </row>
    <row r="592" spans="1:11" ht="10.5" customHeight="1" x14ac:dyDescent="0.2">
      <c r="A592" s="501"/>
      <c r="B592" s="506"/>
      <c r="C592" s="507"/>
      <c r="D592" s="128"/>
      <c r="E592" s="128"/>
      <c r="F592" s="128"/>
      <c r="G592" s="508"/>
      <c r="H592" s="508"/>
      <c r="I592" s="508"/>
      <c r="J592" s="494"/>
      <c r="K592" s="502" t="s">
        <v>331</v>
      </c>
    </row>
    <row r="593" spans="1:11" ht="10.5" customHeight="1" x14ac:dyDescent="0.2">
      <c r="A593" s="501" t="s">
        <v>331</v>
      </c>
      <c r="B593" s="509" t="str">
        <f>'Акт отбора проб Почва'!C65</f>
        <v>04АХ.07</v>
      </c>
      <c r="C593" s="507"/>
      <c r="D593" s="128"/>
      <c r="E593" s="128"/>
      <c r="F593" s="128"/>
      <c r="G593" s="508"/>
      <c r="H593" s="508"/>
      <c r="I593" s="508"/>
      <c r="J593" s="494"/>
      <c r="K593" s="502" t="str">
        <f>B593</f>
        <v>04АХ.07</v>
      </c>
    </row>
    <row r="594" spans="1:11" ht="10.5" customHeight="1" x14ac:dyDescent="0.2">
      <c r="A594" s="501"/>
      <c r="B594" s="509"/>
      <c r="C594" s="507"/>
      <c r="D594" s="507"/>
      <c r="E594" s="507"/>
      <c r="F594" s="507"/>
      <c r="G594" s="507"/>
      <c r="H594" s="507"/>
      <c r="I594" s="507"/>
      <c r="J594" s="493"/>
      <c r="K594" s="502" t="s">
        <v>332</v>
      </c>
    </row>
    <row r="595" spans="1:11" ht="10.5" customHeight="1" x14ac:dyDescent="0.2">
      <c r="A595" s="939" t="s">
        <v>681</v>
      </c>
      <c r="B595" s="940"/>
      <c r="C595" s="951"/>
      <c r="D595" s="951"/>
      <c r="E595" s="951"/>
      <c r="F595" s="951"/>
      <c r="G595" s="951"/>
      <c r="H595" s="951"/>
      <c r="I595" s="951"/>
      <c r="J595" s="144"/>
      <c r="K595" s="502" t="str">
        <f>J591</f>
        <v>4,0-5,0</v>
      </c>
    </row>
    <row r="596" spans="1:11" ht="10.5" customHeight="1" x14ac:dyDescent="0.2">
      <c r="A596" s="501" t="s">
        <v>333</v>
      </c>
      <c r="B596" s="506"/>
      <c r="C596" s="507"/>
      <c r="D596" s="507"/>
      <c r="E596" s="507"/>
      <c r="F596" s="507"/>
      <c r="G596" s="507"/>
      <c r="H596" s="507"/>
      <c r="I596" s="507"/>
      <c r="J596" s="493"/>
      <c r="K596" s="502" t="s">
        <v>334</v>
      </c>
    </row>
    <row r="597" spans="1:11" ht="10.5" customHeight="1" x14ac:dyDescent="0.2">
      <c r="A597" s="501" t="s">
        <v>335</v>
      </c>
      <c r="B597" s="510"/>
      <c r="C597" s="511"/>
      <c r="D597" s="511"/>
      <c r="E597" s="511"/>
      <c r="F597" s="511"/>
      <c r="G597" s="511"/>
      <c r="H597" s="507"/>
      <c r="I597" s="507"/>
      <c r="J597" s="493"/>
      <c r="K597" s="502"/>
    </row>
    <row r="598" spans="1:11" ht="10.5" customHeight="1" thickBot="1" x14ac:dyDescent="0.25">
      <c r="A598" s="145"/>
      <c r="B598" s="146"/>
      <c r="C598" s="147" t="s">
        <v>336</v>
      </c>
      <c r="D598" s="147"/>
      <c r="E598" s="147"/>
      <c r="F598" s="147"/>
      <c r="G598" s="147"/>
      <c r="H598" s="147"/>
      <c r="I598" s="147"/>
      <c r="J598" s="394"/>
      <c r="K598" s="139"/>
    </row>
    <row r="599" spans="1:11" ht="10.5" customHeight="1" x14ac:dyDescent="0.2">
      <c r="A599" s="512"/>
      <c r="B599" s="513"/>
      <c r="C599" s="514"/>
      <c r="D599" s="514"/>
      <c r="E599" s="514"/>
      <c r="F599" s="514"/>
      <c r="G599" s="514"/>
      <c r="H599" s="514"/>
      <c r="I599" s="514"/>
      <c r="J599" s="492"/>
      <c r="K599" s="500"/>
    </row>
    <row r="600" spans="1:11" ht="10.5" customHeight="1" x14ac:dyDescent="0.2">
      <c r="A600" s="501" t="s">
        <v>325</v>
      </c>
      <c r="B600" s="933">
        <f>$B$2</f>
        <v>0</v>
      </c>
      <c r="C600" s="933"/>
      <c r="D600" s="934" t="s">
        <v>326</v>
      </c>
      <c r="E600" s="934"/>
      <c r="F600" s="934"/>
      <c r="G600" s="934"/>
      <c r="H600" s="935">
        <f>$H$2</f>
        <v>45739</v>
      </c>
      <c r="I600" s="936"/>
      <c r="J600" s="493"/>
      <c r="K600" s="502" t="s">
        <v>327</v>
      </c>
    </row>
    <row r="601" spans="1:11" ht="10.5" customHeight="1" x14ac:dyDescent="0.2">
      <c r="A601" s="501"/>
      <c r="B601" s="506"/>
      <c r="C601" s="507"/>
      <c r="D601" s="507"/>
      <c r="E601" s="507"/>
      <c r="F601" s="507"/>
      <c r="G601" s="507"/>
      <c r="H601" s="507"/>
      <c r="I601" s="507"/>
      <c r="J601" s="493"/>
      <c r="K601" s="502">
        <f>$B$2</f>
        <v>0</v>
      </c>
    </row>
    <row r="602" spans="1:11" ht="10.5" customHeight="1" x14ac:dyDescent="0.2">
      <c r="A602" s="501" t="s">
        <v>0</v>
      </c>
      <c r="B602" s="943" t="str">
        <f>$B$4</f>
        <v>адрес вбить сюда</v>
      </c>
      <c r="C602" s="943"/>
      <c r="D602" s="943"/>
      <c r="E602" s="943"/>
      <c r="F602" s="943"/>
      <c r="G602" s="943"/>
      <c r="H602" s="943"/>
      <c r="I602" s="943"/>
      <c r="J602" s="944"/>
      <c r="K602" s="502"/>
    </row>
    <row r="603" spans="1:11" ht="10.5" customHeight="1" x14ac:dyDescent="0.2">
      <c r="A603" s="501"/>
      <c r="B603" s="943"/>
      <c r="C603" s="943"/>
      <c r="D603" s="943"/>
      <c r="E603" s="943"/>
      <c r="F603" s="943"/>
      <c r="G603" s="943"/>
      <c r="H603" s="943"/>
      <c r="I603" s="943"/>
      <c r="J603" s="944"/>
      <c r="K603" s="502" t="s">
        <v>328</v>
      </c>
    </row>
    <row r="604" spans="1:11" ht="10.5" customHeight="1" x14ac:dyDescent="0.2">
      <c r="A604" s="939" t="s">
        <v>329</v>
      </c>
      <c r="B604" s="940"/>
      <c r="C604" s="940"/>
      <c r="D604" s="945" t="str">
        <f>'Акт отбора проб Почва'!F66</f>
        <v>СК5</v>
      </c>
      <c r="E604" s="945"/>
      <c r="F604" s="945"/>
      <c r="G604" s="942" t="s">
        <v>330</v>
      </c>
      <c r="H604" s="942"/>
      <c r="I604" s="942"/>
      <c r="J604" s="491" t="str">
        <f>'Акт отбора проб Почва'!B66</f>
        <v>4,0-5,0</v>
      </c>
      <c r="K604" s="505">
        <f>$H$2</f>
        <v>45739</v>
      </c>
    </row>
    <row r="605" spans="1:11" ht="10.5" customHeight="1" x14ac:dyDescent="0.2">
      <c r="A605" s="501"/>
      <c r="B605" s="506"/>
      <c r="C605" s="507"/>
      <c r="D605" s="128"/>
      <c r="E605" s="128"/>
      <c r="F605" s="128"/>
      <c r="G605" s="508"/>
      <c r="H605" s="508"/>
      <c r="I605" s="508"/>
      <c r="J605" s="494"/>
      <c r="K605" s="502" t="s">
        <v>331</v>
      </c>
    </row>
    <row r="606" spans="1:11" ht="10.5" customHeight="1" x14ac:dyDescent="0.2">
      <c r="A606" s="501" t="s">
        <v>331</v>
      </c>
      <c r="B606" s="509" t="str">
        <f>'Акт отбора проб Почва'!C66</f>
        <v>05АХ.07</v>
      </c>
      <c r="C606" s="507"/>
      <c r="D606" s="128"/>
      <c r="E606" s="128"/>
      <c r="F606" s="128"/>
      <c r="G606" s="508"/>
      <c r="H606" s="508"/>
      <c r="I606" s="508"/>
      <c r="J606" s="494"/>
      <c r="K606" s="502" t="str">
        <f>B606</f>
        <v>05АХ.07</v>
      </c>
    </row>
    <row r="607" spans="1:11" ht="10.5" customHeight="1" x14ac:dyDescent="0.2">
      <c r="A607" s="501"/>
      <c r="B607" s="506"/>
      <c r="C607" s="507"/>
      <c r="D607" s="507"/>
      <c r="E607" s="507"/>
      <c r="F607" s="507"/>
      <c r="G607" s="507"/>
      <c r="H607" s="507"/>
      <c r="I607" s="507"/>
      <c r="J607" s="493"/>
      <c r="K607" s="502" t="s">
        <v>332</v>
      </c>
    </row>
    <row r="608" spans="1:11" ht="10.5" customHeight="1" x14ac:dyDescent="0.2">
      <c r="A608" s="939" t="s">
        <v>681</v>
      </c>
      <c r="B608" s="940"/>
      <c r="C608" s="951"/>
      <c r="D608" s="951"/>
      <c r="E608" s="951"/>
      <c r="F608" s="951"/>
      <c r="G608" s="951"/>
      <c r="H608" s="951"/>
      <c r="I608" s="951"/>
      <c r="J608" s="144"/>
      <c r="K608" s="502" t="str">
        <f>J604</f>
        <v>4,0-5,0</v>
      </c>
    </row>
    <row r="609" spans="1:11" ht="10.5" customHeight="1" x14ac:dyDescent="0.2">
      <c r="A609" s="501" t="s">
        <v>333</v>
      </c>
      <c r="B609" s="506"/>
      <c r="C609" s="507"/>
      <c r="D609" s="507"/>
      <c r="E609" s="507"/>
      <c r="F609" s="507"/>
      <c r="G609" s="507"/>
      <c r="H609" s="507"/>
      <c r="I609" s="507"/>
      <c r="J609" s="493"/>
      <c r="K609" s="502" t="s">
        <v>334</v>
      </c>
    </row>
    <row r="610" spans="1:11" ht="10.5" customHeight="1" x14ac:dyDescent="0.2">
      <c r="A610" s="501" t="s">
        <v>335</v>
      </c>
      <c r="B610" s="510"/>
      <c r="C610" s="511"/>
      <c r="D610" s="511"/>
      <c r="E610" s="511"/>
      <c r="F610" s="511"/>
      <c r="G610" s="511"/>
      <c r="H610" s="507"/>
      <c r="I610" s="507"/>
      <c r="J610" s="493"/>
      <c r="K610" s="502"/>
    </row>
    <row r="611" spans="1:11" ht="10.5" customHeight="1" thickBot="1" x14ac:dyDescent="0.25">
      <c r="A611" s="145"/>
      <c r="B611" s="146"/>
      <c r="C611" s="147" t="s">
        <v>336</v>
      </c>
      <c r="D611" s="147"/>
      <c r="E611" s="147"/>
      <c r="F611" s="147"/>
      <c r="G611" s="147"/>
      <c r="H611" s="147"/>
      <c r="I611" s="147"/>
      <c r="J611" s="394"/>
      <c r="K611" s="139"/>
    </row>
    <row r="612" spans="1:11" ht="10.5" customHeight="1" x14ac:dyDescent="0.2">
      <c r="A612" s="512"/>
      <c r="B612" s="513"/>
      <c r="C612" s="514"/>
      <c r="D612" s="514"/>
      <c r="E612" s="514"/>
      <c r="F612" s="514"/>
      <c r="G612" s="514"/>
      <c r="H612" s="514"/>
      <c r="I612" s="514"/>
      <c r="J612" s="492"/>
      <c r="K612" s="500"/>
    </row>
    <row r="613" spans="1:11" ht="10.5" customHeight="1" x14ac:dyDescent="0.2">
      <c r="A613" s="501" t="s">
        <v>325</v>
      </c>
      <c r="B613" s="933">
        <f>$B$2</f>
        <v>0</v>
      </c>
      <c r="C613" s="933"/>
      <c r="D613" s="934" t="s">
        <v>326</v>
      </c>
      <c r="E613" s="934"/>
      <c r="F613" s="934"/>
      <c r="G613" s="934"/>
      <c r="H613" s="935">
        <f>$H$2</f>
        <v>45739</v>
      </c>
      <c r="I613" s="936"/>
      <c r="J613" s="493"/>
      <c r="K613" s="502" t="s">
        <v>327</v>
      </c>
    </row>
    <row r="614" spans="1:11" ht="10.5" customHeight="1" x14ac:dyDescent="0.2">
      <c r="A614" s="501"/>
      <c r="B614" s="506"/>
      <c r="C614" s="507"/>
      <c r="D614" s="507"/>
      <c r="E614" s="507"/>
      <c r="F614" s="507"/>
      <c r="G614" s="507"/>
      <c r="H614" s="507"/>
      <c r="I614" s="507"/>
      <c r="J614" s="493"/>
      <c r="K614" s="502">
        <f>$B$2</f>
        <v>0</v>
      </c>
    </row>
    <row r="615" spans="1:11" ht="10.5" customHeight="1" x14ac:dyDescent="0.2">
      <c r="A615" s="501" t="s">
        <v>0</v>
      </c>
      <c r="B615" s="943" t="str">
        <f>$B$4</f>
        <v>адрес вбить сюда</v>
      </c>
      <c r="C615" s="943"/>
      <c r="D615" s="943"/>
      <c r="E615" s="943"/>
      <c r="F615" s="943"/>
      <c r="G615" s="943"/>
      <c r="H615" s="943"/>
      <c r="I615" s="943"/>
      <c r="J615" s="944"/>
      <c r="K615" s="502"/>
    </row>
    <row r="616" spans="1:11" ht="10.5" customHeight="1" x14ac:dyDescent="0.2">
      <c r="A616" s="501"/>
      <c r="B616" s="943"/>
      <c r="C616" s="943"/>
      <c r="D616" s="943"/>
      <c r="E616" s="943"/>
      <c r="F616" s="943"/>
      <c r="G616" s="943"/>
      <c r="H616" s="943"/>
      <c r="I616" s="943"/>
      <c r="J616" s="944"/>
      <c r="K616" s="502" t="s">
        <v>328</v>
      </c>
    </row>
    <row r="617" spans="1:11" ht="10.5" customHeight="1" x14ac:dyDescent="0.2">
      <c r="A617" s="939" t="s">
        <v>329</v>
      </c>
      <c r="B617" s="940"/>
      <c r="C617" s="940"/>
      <c r="D617" s="945" t="str">
        <f>'Акт отбора проб Почва'!F67</f>
        <v>СК6</v>
      </c>
      <c r="E617" s="945"/>
      <c r="F617" s="945"/>
      <c r="G617" s="942" t="s">
        <v>330</v>
      </c>
      <c r="H617" s="942"/>
      <c r="I617" s="942"/>
      <c r="J617" s="491" t="str">
        <f>'Акт отбора проб Почва'!B67</f>
        <v>4,0-5,0</v>
      </c>
      <c r="K617" s="505">
        <f>$H$2</f>
        <v>45739</v>
      </c>
    </row>
    <row r="618" spans="1:11" ht="10.5" customHeight="1" x14ac:dyDescent="0.2">
      <c r="A618" s="501"/>
      <c r="B618" s="506"/>
      <c r="C618" s="507"/>
      <c r="D618" s="128"/>
      <c r="E618" s="128"/>
      <c r="F618" s="128"/>
      <c r="G618" s="508"/>
      <c r="H618" s="508"/>
      <c r="I618" s="508"/>
      <c r="J618" s="494"/>
      <c r="K618" s="502" t="s">
        <v>331</v>
      </c>
    </row>
    <row r="619" spans="1:11" ht="10.5" customHeight="1" x14ac:dyDescent="0.2">
      <c r="A619" s="501" t="s">
        <v>331</v>
      </c>
      <c r="B619" s="509" t="str">
        <f>'Акт отбора проб Почва'!C67</f>
        <v>06АХ.07</v>
      </c>
      <c r="C619" s="507"/>
      <c r="D619" s="128"/>
      <c r="E619" s="128"/>
      <c r="F619" s="128"/>
      <c r="G619" s="508"/>
      <c r="H619" s="508"/>
      <c r="I619" s="508"/>
      <c r="J619" s="494"/>
      <c r="K619" s="502" t="str">
        <f>B619</f>
        <v>06АХ.07</v>
      </c>
    </row>
    <row r="620" spans="1:11" ht="10.5" customHeight="1" x14ac:dyDescent="0.2">
      <c r="A620" s="501"/>
      <c r="B620" s="506"/>
      <c r="C620" s="507"/>
      <c r="D620" s="507"/>
      <c r="E620" s="507"/>
      <c r="F620" s="507"/>
      <c r="G620" s="507"/>
      <c r="H620" s="507"/>
      <c r="I620" s="507"/>
      <c r="J620" s="493"/>
      <c r="K620" s="502" t="s">
        <v>332</v>
      </c>
    </row>
    <row r="621" spans="1:11" ht="10.5" customHeight="1" x14ac:dyDescent="0.2">
      <c r="A621" s="939" t="s">
        <v>681</v>
      </c>
      <c r="B621" s="940"/>
      <c r="C621" s="951"/>
      <c r="D621" s="951"/>
      <c r="E621" s="951"/>
      <c r="F621" s="951"/>
      <c r="G621" s="951"/>
      <c r="H621" s="951"/>
      <c r="I621" s="951"/>
      <c r="J621" s="144"/>
      <c r="K621" s="502" t="str">
        <f>J617</f>
        <v>4,0-5,0</v>
      </c>
    </row>
    <row r="622" spans="1:11" ht="10.5" customHeight="1" x14ac:dyDescent="0.2">
      <c r="A622" s="501" t="s">
        <v>333</v>
      </c>
      <c r="B622" s="506"/>
      <c r="C622" s="507"/>
      <c r="D622" s="507"/>
      <c r="E622" s="507"/>
      <c r="F622" s="507"/>
      <c r="G622" s="507"/>
      <c r="H622" s="507"/>
      <c r="I622" s="507"/>
      <c r="J622" s="493"/>
      <c r="K622" s="502" t="s">
        <v>334</v>
      </c>
    </row>
    <row r="623" spans="1:11" ht="10.5" customHeight="1" x14ac:dyDescent="0.2">
      <c r="A623" s="501" t="s">
        <v>335</v>
      </c>
      <c r="B623" s="510"/>
      <c r="C623" s="511"/>
      <c r="D623" s="511"/>
      <c r="E623" s="511"/>
      <c r="F623" s="511"/>
      <c r="G623" s="511"/>
      <c r="H623" s="507"/>
      <c r="I623" s="507"/>
      <c r="J623" s="493"/>
      <c r="K623" s="502"/>
    </row>
    <row r="624" spans="1:11" ht="10.5" customHeight="1" thickBot="1" x14ac:dyDescent="0.25">
      <c r="A624" s="145"/>
      <c r="B624" s="146"/>
      <c r="C624" s="147" t="s">
        <v>336</v>
      </c>
      <c r="D624" s="147"/>
      <c r="E624" s="147"/>
      <c r="F624" s="147"/>
      <c r="G624" s="147"/>
      <c r="H624" s="147"/>
      <c r="I624" s="147"/>
      <c r="J624" s="394"/>
      <c r="K624" s="139"/>
    </row>
    <row r="625" spans="1:11" ht="10.5" customHeight="1" x14ac:dyDescent="0.2">
      <c r="A625" s="512"/>
      <c r="B625" s="513"/>
      <c r="C625" s="514"/>
      <c r="D625" s="514"/>
      <c r="E625" s="514"/>
      <c r="F625" s="514"/>
      <c r="G625" s="514"/>
      <c r="H625" s="514"/>
      <c r="I625" s="514"/>
      <c r="J625" s="492"/>
      <c r="K625" s="500"/>
    </row>
    <row r="626" spans="1:11" ht="10.5" customHeight="1" x14ac:dyDescent="0.2">
      <c r="A626" s="501" t="s">
        <v>325</v>
      </c>
      <c r="B626" s="933">
        <f>$B$2</f>
        <v>0</v>
      </c>
      <c r="C626" s="933"/>
      <c r="D626" s="934" t="s">
        <v>326</v>
      </c>
      <c r="E626" s="934"/>
      <c r="F626" s="934"/>
      <c r="G626" s="934"/>
      <c r="H626" s="935">
        <f>$H$2</f>
        <v>45739</v>
      </c>
      <c r="I626" s="936"/>
      <c r="J626" s="493"/>
      <c r="K626" s="502" t="s">
        <v>327</v>
      </c>
    </row>
    <row r="627" spans="1:11" ht="10.5" customHeight="1" x14ac:dyDescent="0.2">
      <c r="A627" s="501"/>
      <c r="B627" s="506"/>
      <c r="C627" s="507"/>
      <c r="D627" s="507"/>
      <c r="E627" s="507"/>
      <c r="F627" s="507"/>
      <c r="G627" s="507"/>
      <c r="H627" s="507"/>
      <c r="I627" s="507"/>
      <c r="J627" s="493"/>
      <c r="K627" s="502">
        <f>$B$2</f>
        <v>0</v>
      </c>
    </row>
    <row r="628" spans="1:11" ht="10.5" customHeight="1" x14ac:dyDescent="0.2">
      <c r="A628" s="501" t="s">
        <v>0</v>
      </c>
      <c r="B628" s="943" t="str">
        <f>$B$4</f>
        <v>адрес вбить сюда</v>
      </c>
      <c r="C628" s="943"/>
      <c r="D628" s="943"/>
      <c r="E628" s="943"/>
      <c r="F628" s="943"/>
      <c r="G628" s="943"/>
      <c r="H628" s="943"/>
      <c r="I628" s="943"/>
      <c r="J628" s="944"/>
      <c r="K628" s="502"/>
    </row>
    <row r="629" spans="1:11" ht="10.5" customHeight="1" x14ac:dyDescent="0.2">
      <c r="A629" s="501"/>
      <c r="B629" s="943"/>
      <c r="C629" s="943"/>
      <c r="D629" s="943"/>
      <c r="E629" s="943"/>
      <c r="F629" s="943"/>
      <c r="G629" s="943"/>
      <c r="H629" s="943"/>
      <c r="I629" s="943"/>
      <c r="J629" s="944"/>
      <c r="K629" s="502" t="s">
        <v>328</v>
      </c>
    </row>
    <row r="630" spans="1:11" ht="10.5" customHeight="1" x14ac:dyDescent="0.2">
      <c r="A630" s="939" t="s">
        <v>329</v>
      </c>
      <c r="B630" s="940"/>
      <c r="C630" s="940"/>
      <c r="D630" s="945" t="str">
        <f>'Акт отбора проб Почва'!F68</f>
        <v>СК1</v>
      </c>
      <c r="E630" s="945"/>
      <c r="F630" s="945"/>
      <c r="G630" s="942" t="s">
        <v>330</v>
      </c>
      <c r="H630" s="942"/>
      <c r="I630" s="942"/>
      <c r="J630" s="491" t="str">
        <f>'Акт отбора проб Почва'!B68</f>
        <v>5,0-7,0</v>
      </c>
      <c r="K630" s="505">
        <f>$H$2</f>
        <v>45739</v>
      </c>
    </row>
    <row r="631" spans="1:11" ht="10.5" customHeight="1" x14ac:dyDescent="0.2">
      <c r="A631" s="501"/>
      <c r="B631" s="506"/>
      <c r="C631" s="507"/>
      <c r="D631" s="128"/>
      <c r="E631" s="128"/>
      <c r="F631" s="128"/>
      <c r="G631" s="508"/>
      <c r="H631" s="508"/>
      <c r="I631" s="508"/>
      <c r="J631" s="494"/>
      <c r="K631" s="502" t="s">
        <v>331</v>
      </c>
    </row>
    <row r="632" spans="1:11" ht="10.5" customHeight="1" x14ac:dyDescent="0.2">
      <c r="A632" s="501" t="s">
        <v>331</v>
      </c>
      <c r="B632" s="509" t="str">
        <f>'Акт отбора проб Почва'!C68</f>
        <v>01АХ.08</v>
      </c>
      <c r="C632" s="507"/>
      <c r="D632" s="128"/>
      <c r="E632" s="128"/>
      <c r="F632" s="128"/>
      <c r="G632" s="508"/>
      <c r="H632" s="508"/>
      <c r="I632" s="508"/>
      <c r="J632" s="494"/>
      <c r="K632" s="502" t="str">
        <f>B632</f>
        <v>01АХ.08</v>
      </c>
    </row>
    <row r="633" spans="1:11" ht="10.5" customHeight="1" x14ac:dyDescent="0.2">
      <c r="A633" s="501"/>
      <c r="B633" s="506"/>
      <c r="C633" s="507"/>
      <c r="D633" s="507"/>
      <c r="E633" s="507"/>
      <c r="F633" s="507"/>
      <c r="G633" s="507"/>
      <c r="H633" s="507"/>
      <c r="I633" s="507"/>
      <c r="J633" s="493"/>
      <c r="K633" s="502" t="s">
        <v>332</v>
      </c>
    </row>
    <row r="634" spans="1:11" ht="10.5" customHeight="1" x14ac:dyDescent="0.2">
      <c r="A634" s="939" t="s">
        <v>681</v>
      </c>
      <c r="B634" s="940"/>
      <c r="C634" s="951"/>
      <c r="D634" s="951"/>
      <c r="E634" s="951"/>
      <c r="F634" s="951"/>
      <c r="G634" s="951"/>
      <c r="H634" s="951"/>
      <c r="I634" s="951"/>
      <c r="J634" s="144"/>
      <c r="K634" s="502" t="str">
        <f>J630</f>
        <v>5,0-7,0</v>
      </c>
    </row>
    <row r="635" spans="1:11" ht="10.5" customHeight="1" x14ac:dyDescent="0.2">
      <c r="A635" s="501" t="s">
        <v>333</v>
      </c>
      <c r="B635" s="506"/>
      <c r="C635" s="507"/>
      <c r="D635" s="507"/>
      <c r="E635" s="507"/>
      <c r="F635" s="507"/>
      <c r="G635" s="507"/>
      <c r="H635" s="507"/>
      <c r="I635" s="507"/>
      <c r="J635" s="493"/>
      <c r="K635" s="502" t="s">
        <v>334</v>
      </c>
    </row>
    <row r="636" spans="1:11" ht="10.5" customHeight="1" x14ac:dyDescent="0.2">
      <c r="A636" s="501" t="s">
        <v>335</v>
      </c>
      <c r="B636" s="510"/>
      <c r="C636" s="511"/>
      <c r="D636" s="511"/>
      <c r="E636" s="511"/>
      <c r="F636" s="511"/>
      <c r="G636" s="511"/>
      <c r="H636" s="507"/>
      <c r="I636" s="507"/>
      <c r="J636" s="493"/>
      <c r="K636" s="502"/>
    </row>
    <row r="637" spans="1:11" ht="10.5" customHeight="1" thickBot="1" x14ac:dyDescent="0.25">
      <c r="A637" s="145"/>
      <c r="B637" s="146"/>
      <c r="C637" s="147" t="s">
        <v>336</v>
      </c>
      <c r="D637" s="147"/>
      <c r="E637" s="147"/>
      <c r="F637" s="147"/>
      <c r="G637" s="147"/>
      <c r="H637" s="147"/>
      <c r="I637" s="147"/>
      <c r="J637" s="394"/>
      <c r="K637" s="139"/>
    </row>
    <row r="638" spans="1:11" ht="10.5" customHeight="1" x14ac:dyDescent="0.2">
      <c r="A638" s="512"/>
      <c r="B638" s="513"/>
      <c r="C638" s="514"/>
      <c r="D638" s="514"/>
      <c r="E638" s="514"/>
      <c r="F638" s="514"/>
      <c r="G638" s="514"/>
      <c r="H638" s="514"/>
      <c r="I638" s="514"/>
      <c r="J638" s="492"/>
      <c r="K638" s="500"/>
    </row>
    <row r="639" spans="1:11" ht="10.5" customHeight="1" x14ac:dyDescent="0.2">
      <c r="A639" s="501" t="s">
        <v>325</v>
      </c>
      <c r="B639" s="933">
        <f>$B$2</f>
        <v>0</v>
      </c>
      <c r="C639" s="933"/>
      <c r="D639" s="934" t="s">
        <v>326</v>
      </c>
      <c r="E639" s="934"/>
      <c r="F639" s="934"/>
      <c r="G639" s="934"/>
      <c r="H639" s="935">
        <f>$H$2</f>
        <v>45739</v>
      </c>
      <c r="I639" s="936"/>
      <c r="J639" s="493"/>
      <c r="K639" s="502" t="s">
        <v>327</v>
      </c>
    </row>
    <row r="640" spans="1:11" ht="10.5" customHeight="1" x14ac:dyDescent="0.2">
      <c r="A640" s="501"/>
      <c r="B640" s="506"/>
      <c r="C640" s="507"/>
      <c r="D640" s="507"/>
      <c r="E640" s="507"/>
      <c r="F640" s="507"/>
      <c r="G640" s="507"/>
      <c r="H640" s="507"/>
      <c r="I640" s="507"/>
      <c r="J640" s="493"/>
      <c r="K640" s="502">
        <f>$B$2</f>
        <v>0</v>
      </c>
    </row>
    <row r="641" spans="1:11" ht="10.5" customHeight="1" x14ac:dyDescent="0.2">
      <c r="A641" s="501" t="s">
        <v>0</v>
      </c>
      <c r="B641" s="943" t="str">
        <f>$B$4</f>
        <v>адрес вбить сюда</v>
      </c>
      <c r="C641" s="943"/>
      <c r="D641" s="943"/>
      <c r="E641" s="943"/>
      <c r="F641" s="943"/>
      <c r="G641" s="943"/>
      <c r="H641" s="943"/>
      <c r="I641" s="943"/>
      <c r="J641" s="944"/>
      <c r="K641" s="502"/>
    </row>
    <row r="642" spans="1:11" ht="10.5" customHeight="1" x14ac:dyDescent="0.2">
      <c r="A642" s="501"/>
      <c r="B642" s="943"/>
      <c r="C642" s="943"/>
      <c r="D642" s="943"/>
      <c r="E642" s="943"/>
      <c r="F642" s="943"/>
      <c r="G642" s="943"/>
      <c r="H642" s="943"/>
      <c r="I642" s="943"/>
      <c r="J642" s="944"/>
      <c r="K642" s="502" t="s">
        <v>328</v>
      </c>
    </row>
    <row r="643" spans="1:11" ht="10.5" customHeight="1" x14ac:dyDescent="0.2">
      <c r="A643" s="939" t="s">
        <v>329</v>
      </c>
      <c r="B643" s="940"/>
      <c r="C643" s="940"/>
      <c r="D643" s="945" t="str">
        <f>'Акт отбора проб Почва'!F69</f>
        <v>СК2</v>
      </c>
      <c r="E643" s="945"/>
      <c r="F643" s="945"/>
      <c r="G643" s="942" t="s">
        <v>330</v>
      </c>
      <c r="H643" s="942"/>
      <c r="I643" s="942"/>
      <c r="J643" s="491" t="str">
        <f>'Акт отбора проб Почва'!B69</f>
        <v>5,0-7,0</v>
      </c>
      <c r="K643" s="505">
        <f>$H$2</f>
        <v>45739</v>
      </c>
    </row>
    <row r="644" spans="1:11" ht="10.5" customHeight="1" x14ac:dyDescent="0.2">
      <c r="A644" s="501"/>
      <c r="B644" s="506"/>
      <c r="C644" s="507"/>
      <c r="D644" s="128"/>
      <c r="E644" s="128"/>
      <c r="F644" s="128"/>
      <c r="G644" s="508"/>
      <c r="H644" s="508"/>
      <c r="I644" s="508"/>
      <c r="J644" s="494"/>
      <c r="K644" s="502" t="s">
        <v>331</v>
      </c>
    </row>
    <row r="645" spans="1:11" ht="10.5" customHeight="1" x14ac:dyDescent="0.2">
      <c r="A645" s="501" t="s">
        <v>331</v>
      </c>
      <c r="B645" s="509" t="str">
        <f>'Акт отбора проб Почва'!C69</f>
        <v>02АХ.08</v>
      </c>
      <c r="C645" s="507"/>
      <c r="D645" s="128"/>
      <c r="E645" s="128"/>
      <c r="F645" s="128"/>
      <c r="G645" s="508"/>
      <c r="H645" s="508"/>
      <c r="I645" s="508"/>
      <c r="J645" s="494"/>
      <c r="K645" s="502" t="str">
        <f>B645</f>
        <v>02АХ.08</v>
      </c>
    </row>
    <row r="646" spans="1:11" ht="10.5" customHeight="1" x14ac:dyDescent="0.2">
      <c r="A646" s="501"/>
      <c r="B646" s="506"/>
      <c r="C646" s="507"/>
      <c r="D646" s="507"/>
      <c r="E646" s="507"/>
      <c r="F646" s="507"/>
      <c r="G646" s="507"/>
      <c r="H646" s="507"/>
      <c r="I646" s="507"/>
      <c r="J646" s="493"/>
      <c r="K646" s="502" t="s">
        <v>332</v>
      </c>
    </row>
    <row r="647" spans="1:11" ht="10.5" customHeight="1" x14ac:dyDescent="0.2">
      <c r="A647" s="939" t="s">
        <v>681</v>
      </c>
      <c r="B647" s="940"/>
      <c r="C647" s="951"/>
      <c r="D647" s="951"/>
      <c r="E647" s="951"/>
      <c r="F647" s="951"/>
      <c r="G647" s="951"/>
      <c r="H647" s="951"/>
      <c r="I647" s="951"/>
      <c r="J647" s="144"/>
      <c r="K647" s="502" t="str">
        <f>J643</f>
        <v>5,0-7,0</v>
      </c>
    </row>
    <row r="648" spans="1:11" ht="10.5" customHeight="1" x14ac:dyDescent="0.2">
      <c r="A648" s="501" t="s">
        <v>333</v>
      </c>
      <c r="B648" s="506"/>
      <c r="C648" s="507"/>
      <c r="D648" s="507"/>
      <c r="E648" s="507"/>
      <c r="F648" s="507"/>
      <c r="G648" s="507"/>
      <c r="H648" s="507"/>
      <c r="I648" s="507"/>
      <c r="J648" s="493"/>
      <c r="K648" s="502" t="s">
        <v>334</v>
      </c>
    </row>
    <row r="649" spans="1:11" ht="10.5" customHeight="1" x14ac:dyDescent="0.2">
      <c r="A649" s="501" t="s">
        <v>335</v>
      </c>
      <c r="B649" s="510"/>
      <c r="C649" s="511"/>
      <c r="D649" s="511"/>
      <c r="E649" s="511"/>
      <c r="F649" s="511"/>
      <c r="G649" s="511"/>
      <c r="H649" s="507"/>
      <c r="I649" s="507"/>
      <c r="J649" s="493"/>
      <c r="K649" s="502"/>
    </row>
    <row r="650" spans="1:11" ht="10.5" customHeight="1" thickBot="1" x14ac:dyDescent="0.25">
      <c r="A650" s="145"/>
      <c r="B650" s="146"/>
      <c r="C650" s="147" t="s">
        <v>336</v>
      </c>
      <c r="D650" s="147"/>
      <c r="E650" s="147"/>
      <c r="F650" s="147"/>
      <c r="G650" s="147"/>
      <c r="H650" s="147"/>
      <c r="I650" s="147"/>
      <c r="J650" s="394"/>
      <c r="K650" s="139"/>
    </row>
    <row r="651" spans="1:11" ht="10.5" customHeight="1" x14ac:dyDescent="0.2">
      <c r="A651" s="512"/>
      <c r="B651" s="513"/>
      <c r="C651" s="514"/>
      <c r="D651" s="514"/>
      <c r="E651" s="514"/>
      <c r="F651" s="514"/>
      <c r="G651" s="514"/>
      <c r="H651" s="514"/>
      <c r="I651" s="514"/>
      <c r="J651" s="492"/>
      <c r="K651" s="500"/>
    </row>
    <row r="652" spans="1:11" ht="10.5" customHeight="1" x14ac:dyDescent="0.2">
      <c r="A652" s="501" t="s">
        <v>325</v>
      </c>
      <c r="B652" s="933">
        <f>$B$2</f>
        <v>0</v>
      </c>
      <c r="C652" s="933"/>
      <c r="D652" s="934" t="s">
        <v>326</v>
      </c>
      <c r="E652" s="934"/>
      <c r="F652" s="934"/>
      <c r="G652" s="934"/>
      <c r="H652" s="935">
        <f>$H$2</f>
        <v>45739</v>
      </c>
      <c r="I652" s="936"/>
      <c r="J652" s="493"/>
      <c r="K652" s="502" t="s">
        <v>327</v>
      </c>
    </row>
    <row r="653" spans="1:11" ht="10.5" customHeight="1" x14ac:dyDescent="0.2">
      <c r="A653" s="501"/>
      <c r="B653" s="506"/>
      <c r="C653" s="507"/>
      <c r="D653" s="507"/>
      <c r="E653" s="507"/>
      <c r="F653" s="507"/>
      <c r="G653" s="507"/>
      <c r="H653" s="507"/>
      <c r="I653" s="507"/>
      <c r="J653" s="493"/>
      <c r="K653" s="502">
        <f>$B$2</f>
        <v>0</v>
      </c>
    </row>
    <row r="654" spans="1:11" ht="10.5" customHeight="1" x14ac:dyDescent="0.2">
      <c r="A654" s="501" t="s">
        <v>0</v>
      </c>
      <c r="B654" s="943" t="str">
        <f>$B$4</f>
        <v>адрес вбить сюда</v>
      </c>
      <c r="C654" s="943"/>
      <c r="D654" s="943"/>
      <c r="E654" s="943"/>
      <c r="F654" s="943"/>
      <c r="G654" s="943"/>
      <c r="H654" s="943"/>
      <c r="I654" s="943"/>
      <c r="J654" s="944"/>
      <c r="K654" s="502"/>
    </row>
    <row r="655" spans="1:11" ht="10.5" customHeight="1" x14ac:dyDescent="0.2">
      <c r="A655" s="501"/>
      <c r="B655" s="943"/>
      <c r="C655" s="943"/>
      <c r="D655" s="943"/>
      <c r="E655" s="943"/>
      <c r="F655" s="943"/>
      <c r="G655" s="943"/>
      <c r="H655" s="943"/>
      <c r="I655" s="943"/>
      <c r="J655" s="944"/>
      <c r="K655" s="502" t="s">
        <v>328</v>
      </c>
    </row>
    <row r="656" spans="1:11" ht="10.5" customHeight="1" x14ac:dyDescent="0.2">
      <c r="A656" s="939" t="s">
        <v>329</v>
      </c>
      <c r="B656" s="940"/>
      <c r="C656" s="940"/>
      <c r="D656" s="945" t="str">
        <f>'Акт отбора проб Почва'!F70</f>
        <v>СК3</v>
      </c>
      <c r="E656" s="945"/>
      <c r="F656" s="945"/>
      <c r="G656" s="942" t="s">
        <v>330</v>
      </c>
      <c r="H656" s="942"/>
      <c r="I656" s="942"/>
      <c r="J656" s="491" t="str">
        <f>'Акт отбора проб Почва'!B70</f>
        <v>5,0-7,0</v>
      </c>
      <c r="K656" s="505">
        <f>$H$2</f>
        <v>45739</v>
      </c>
    </row>
    <row r="657" spans="1:11" ht="10.5" customHeight="1" x14ac:dyDescent="0.2">
      <c r="A657" s="501"/>
      <c r="B657" s="506"/>
      <c r="C657" s="507"/>
      <c r="D657" s="128"/>
      <c r="E657" s="128"/>
      <c r="F657" s="128"/>
      <c r="G657" s="508"/>
      <c r="H657" s="508"/>
      <c r="I657" s="508"/>
      <c r="J657" s="494"/>
      <c r="K657" s="502" t="s">
        <v>331</v>
      </c>
    </row>
    <row r="658" spans="1:11" ht="10.5" customHeight="1" x14ac:dyDescent="0.2">
      <c r="A658" s="501" t="s">
        <v>331</v>
      </c>
      <c r="B658" s="509" t="str">
        <f>'Акт отбора проб Почва'!C70</f>
        <v>03АХ.08</v>
      </c>
      <c r="C658" s="507"/>
      <c r="D658" s="128"/>
      <c r="E658" s="128"/>
      <c r="F658" s="128"/>
      <c r="G658" s="508"/>
      <c r="H658" s="508"/>
      <c r="I658" s="508"/>
      <c r="J658" s="494"/>
      <c r="K658" s="502" t="str">
        <f>B658</f>
        <v>03АХ.08</v>
      </c>
    </row>
    <row r="659" spans="1:11" ht="10.5" customHeight="1" x14ac:dyDescent="0.2">
      <c r="A659" s="501"/>
      <c r="B659" s="506"/>
      <c r="C659" s="507"/>
      <c r="D659" s="507"/>
      <c r="E659" s="507"/>
      <c r="F659" s="507"/>
      <c r="G659" s="507"/>
      <c r="H659" s="507"/>
      <c r="I659" s="507"/>
      <c r="J659" s="493"/>
      <c r="K659" s="502" t="s">
        <v>332</v>
      </c>
    </row>
    <row r="660" spans="1:11" ht="10.5" customHeight="1" x14ac:dyDescent="0.2">
      <c r="A660" s="939" t="s">
        <v>681</v>
      </c>
      <c r="B660" s="940"/>
      <c r="C660" s="951"/>
      <c r="D660" s="951"/>
      <c r="E660" s="951"/>
      <c r="F660" s="951"/>
      <c r="G660" s="951"/>
      <c r="H660" s="951"/>
      <c r="I660" s="951"/>
      <c r="J660" s="144"/>
      <c r="K660" s="502" t="str">
        <f>J656</f>
        <v>5,0-7,0</v>
      </c>
    </row>
    <row r="661" spans="1:11" ht="10.5" customHeight="1" x14ac:dyDescent="0.2">
      <c r="A661" s="501" t="s">
        <v>333</v>
      </c>
      <c r="B661" s="506"/>
      <c r="C661" s="507"/>
      <c r="D661" s="507"/>
      <c r="E661" s="507"/>
      <c r="F661" s="507"/>
      <c r="G661" s="507"/>
      <c r="H661" s="507"/>
      <c r="I661" s="507"/>
      <c r="J661" s="493"/>
      <c r="K661" s="502" t="s">
        <v>334</v>
      </c>
    </row>
    <row r="662" spans="1:11" ht="10.5" customHeight="1" x14ac:dyDescent="0.2">
      <c r="A662" s="501" t="s">
        <v>335</v>
      </c>
      <c r="B662" s="510"/>
      <c r="C662" s="511"/>
      <c r="D662" s="511"/>
      <c r="E662" s="511"/>
      <c r="F662" s="511"/>
      <c r="G662" s="511"/>
      <c r="H662" s="507"/>
      <c r="I662" s="507"/>
      <c r="J662" s="493"/>
      <c r="K662" s="502"/>
    </row>
    <row r="663" spans="1:11" ht="10.5" customHeight="1" thickBot="1" x14ac:dyDescent="0.25">
      <c r="A663" s="145"/>
      <c r="B663" s="146"/>
      <c r="C663" s="147" t="s">
        <v>336</v>
      </c>
      <c r="D663" s="147"/>
      <c r="E663" s="147"/>
      <c r="F663" s="147"/>
      <c r="G663" s="147"/>
      <c r="H663" s="147"/>
      <c r="I663" s="147"/>
      <c r="J663" s="394"/>
      <c r="K663" s="139"/>
    </row>
    <row r="664" spans="1:11" ht="10.5" customHeight="1" x14ac:dyDescent="0.2">
      <c r="A664" s="512"/>
      <c r="B664" s="513"/>
      <c r="C664" s="514"/>
      <c r="D664" s="514"/>
      <c r="E664" s="514"/>
      <c r="F664" s="514"/>
      <c r="G664" s="514"/>
      <c r="H664" s="514"/>
      <c r="I664" s="514"/>
      <c r="J664" s="492"/>
      <c r="K664" s="500"/>
    </row>
    <row r="665" spans="1:11" ht="10.5" customHeight="1" x14ac:dyDescent="0.2">
      <c r="A665" s="501" t="s">
        <v>325</v>
      </c>
      <c r="B665" s="933">
        <f>$B$2</f>
        <v>0</v>
      </c>
      <c r="C665" s="933"/>
      <c r="D665" s="934" t="s">
        <v>326</v>
      </c>
      <c r="E665" s="934"/>
      <c r="F665" s="934"/>
      <c r="G665" s="934"/>
      <c r="H665" s="935">
        <f>$H$2</f>
        <v>45739</v>
      </c>
      <c r="I665" s="936"/>
      <c r="J665" s="493"/>
      <c r="K665" s="502" t="s">
        <v>327</v>
      </c>
    </row>
    <row r="666" spans="1:11" ht="10.5" customHeight="1" x14ac:dyDescent="0.2">
      <c r="A666" s="501"/>
      <c r="B666" s="506"/>
      <c r="C666" s="507"/>
      <c r="D666" s="507"/>
      <c r="E666" s="507"/>
      <c r="F666" s="507"/>
      <c r="G666" s="507"/>
      <c r="H666" s="507"/>
      <c r="I666" s="507"/>
      <c r="J666" s="493"/>
      <c r="K666" s="502">
        <f>$B$2</f>
        <v>0</v>
      </c>
    </row>
    <row r="667" spans="1:11" ht="10.5" customHeight="1" x14ac:dyDescent="0.2">
      <c r="A667" s="501" t="s">
        <v>0</v>
      </c>
      <c r="B667" s="943" t="str">
        <f>$B$4</f>
        <v>адрес вбить сюда</v>
      </c>
      <c r="C667" s="943"/>
      <c r="D667" s="943"/>
      <c r="E667" s="943"/>
      <c r="F667" s="943"/>
      <c r="G667" s="943"/>
      <c r="H667" s="943"/>
      <c r="I667" s="943"/>
      <c r="J667" s="944"/>
      <c r="K667" s="502"/>
    </row>
    <row r="668" spans="1:11" ht="10.5" customHeight="1" x14ac:dyDescent="0.2">
      <c r="A668" s="501"/>
      <c r="B668" s="943"/>
      <c r="C668" s="943"/>
      <c r="D668" s="943"/>
      <c r="E668" s="943"/>
      <c r="F668" s="943"/>
      <c r="G668" s="943"/>
      <c r="H668" s="943"/>
      <c r="I668" s="943"/>
      <c r="J668" s="944"/>
      <c r="K668" s="502" t="s">
        <v>328</v>
      </c>
    </row>
    <row r="669" spans="1:11" ht="10.5" customHeight="1" x14ac:dyDescent="0.2">
      <c r="A669" s="939" t="s">
        <v>329</v>
      </c>
      <c r="B669" s="940"/>
      <c r="C669" s="940"/>
      <c r="D669" s="945" t="str">
        <f>'Акт отбора проб Почва'!F71</f>
        <v>СК4</v>
      </c>
      <c r="E669" s="945"/>
      <c r="F669" s="945"/>
      <c r="G669" s="942" t="s">
        <v>330</v>
      </c>
      <c r="H669" s="942"/>
      <c r="I669" s="942"/>
      <c r="J669" s="491" t="str">
        <f>'Акт отбора проб Почва'!B71</f>
        <v>5,0-7,0</v>
      </c>
      <c r="K669" s="505">
        <f>$H$2</f>
        <v>45739</v>
      </c>
    </row>
    <row r="670" spans="1:11" ht="10.5" customHeight="1" x14ac:dyDescent="0.2">
      <c r="A670" s="501"/>
      <c r="B670" s="506"/>
      <c r="C670" s="507"/>
      <c r="D670" s="128"/>
      <c r="E670" s="128"/>
      <c r="F670" s="128"/>
      <c r="G670" s="508"/>
      <c r="H670" s="508"/>
      <c r="I670" s="508"/>
      <c r="J670" s="494"/>
      <c r="K670" s="502" t="s">
        <v>331</v>
      </c>
    </row>
    <row r="671" spans="1:11" ht="10.5" customHeight="1" x14ac:dyDescent="0.2">
      <c r="A671" s="501" t="s">
        <v>331</v>
      </c>
      <c r="B671" s="509" t="str">
        <f>'Акт отбора проб Почва'!C71</f>
        <v>04АХ.08</v>
      </c>
      <c r="C671" s="507"/>
      <c r="D671" s="128"/>
      <c r="E671" s="128"/>
      <c r="F671" s="128"/>
      <c r="G671" s="508"/>
      <c r="H671" s="508"/>
      <c r="I671" s="508"/>
      <c r="J671" s="494"/>
      <c r="K671" s="502" t="str">
        <f>B671</f>
        <v>04АХ.08</v>
      </c>
    </row>
    <row r="672" spans="1:11" ht="10.5" customHeight="1" x14ac:dyDescent="0.2">
      <c r="A672" s="501"/>
      <c r="B672" s="506"/>
      <c r="C672" s="507"/>
      <c r="D672" s="507"/>
      <c r="E672" s="507"/>
      <c r="F672" s="507"/>
      <c r="G672" s="507"/>
      <c r="H672" s="507"/>
      <c r="I672" s="507"/>
      <c r="J672" s="493"/>
      <c r="K672" s="502" t="s">
        <v>332</v>
      </c>
    </row>
    <row r="673" spans="1:11" ht="10.5" customHeight="1" x14ac:dyDescent="0.2">
      <c r="A673" s="939" t="s">
        <v>681</v>
      </c>
      <c r="B673" s="940"/>
      <c r="C673" s="951"/>
      <c r="D673" s="951"/>
      <c r="E673" s="951"/>
      <c r="F673" s="951"/>
      <c r="G673" s="951"/>
      <c r="H673" s="951"/>
      <c r="I673" s="951"/>
      <c r="J673" s="144"/>
      <c r="K673" s="502" t="str">
        <f>J669</f>
        <v>5,0-7,0</v>
      </c>
    </row>
    <row r="674" spans="1:11" ht="10.5" customHeight="1" x14ac:dyDescent="0.2">
      <c r="A674" s="501" t="s">
        <v>333</v>
      </c>
      <c r="B674" s="506"/>
      <c r="C674" s="507"/>
      <c r="D674" s="507"/>
      <c r="E674" s="507"/>
      <c r="F674" s="507"/>
      <c r="G674" s="507"/>
      <c r="H674" s="507"/>
      <c r="I674" s="507"/>
      <c r="J674" s="493"/>
      <c r="K674" s="502" t="s">
        <v>334</v>
      </c>
    </row>
    <row r="675" spans="1:11" ht="10.5" customHeight="1" x14ac:dyDescent="0.2">
      <c r="A675" s="501" t="s">
        <v>335</v>
      </c>
      <c r="B675" s="510"/>
      <c r="C675" s="511"/>
      <c r="D675" s="511"/>
      <c r="E675" s="511"/>
      <c r="F675" s="511"/>
      <c r="G675" s="511"/>
      <c r="H675" s="507"/>
      <c r="I675" s="507"/>
      <c r="J675" s="493"/>
      <c r="K675" s="502"/>
    </row>
    <row r="676" spans="1:11" ht="10.5" customHeight="1" thickBot="1" x14ac:dyDescent="0.25">
      <c r="A676" s="145"/>
      <c r="B676" s="146"/>
      <c r="C676" s="147" t="s">
        <v>336</v>
      </c>
      <c r="D676" s="147"/>
      <c r="E676" s="147"/>
      <c r="F676" s="147"/>
      <c r="G676" s="147"/>
      <c r="H676" s="147"/>
      <c r="I676" s="147"/>
      <c r="J676" s="394"/>
      <c r="K676" s="139"/>
    </row>
    <row r="677" spans="1:11" ht="10.5" customHeight="1" x14ac:dyDescent="0.2">
      <c r="A677" s="512"/>
      <c r="B677" s="513"/>
      <c r="C677" s="514"/>
      <c r="D677" s="514"/>
      <c r="E677" s="514"/>
      <c r="F677" s="514"/>
      <c r="G677" s="514"/>
      <c r="H677" s="514"/>
      <c r="I677" s="514"/>
      <c r="J677" s="492"/>
      <c r="K677" s="500"/>
    </row>
    <row r="678" spans="1:11" ht="10.5" customHeight="1" x14ac:dyDescent="0.2">
      <c r="A678" s="501" t="s">
        <v>325</v>
      </c>
      <c r="B678" s="933">
        <f>$B$2</f>
        <v>0</v>
      </c>
      <c r="C678" s="933"/>
      <c r="D678" s="934" t="s">
        <v>326</v>
      </c>
      <c r="E678" s="934"/>
      <c r="F678" s="934"/>
      <c r="G678" s="934"/>
      <c r="H678" s="935">
        <f>$H$2</f>
        <v>45739</v>
      </c>
      <c r="I678" s="936"/>
      <c r="J678" s="493"/>
      <c r="K678" s="502" t="s">
        <v>327</v>
      </c>
    </row>
    <row r="679" spans="1:11" ht="10.5" customHeight="1" x14ac:dyDescent="0.2">
      <c r="A679" s="501"/>
      <c r="B679" s="506"/>
      <c r="C679" s="507"/>
      <c r="D679" s="507"/>
      <c r="E679" s="507"/>
      <c r="F679" s="507"/>
      <c r="G679" s="507"/>
      <c r="H679" s="507"/>
      <c r="I679" s="507"/>
      <c r="J679" s="493"/>
      <c r="K679" s="502">
        <f>$B$2</f>
        <v>0</v>
      </c>
    </row>
    <row r="680" spans="1:11" ht="10.5" customHeight="1" x14ac:dyDescent="0.2">
      <c r="A680" s="501" t="s">
        <v>0</v>
      </c>
      <c r="B680" s="943" t="str">
        <f>$B$4</f>
        <v>адрес вбить сюда</v>
      </c>
      <c r="C680" s="943"/>
      <c r="D680" s="943"/>
      <c r="E680" s="943"/>
      <c r="F680" s="943"/>
      <c r="G680" s="943"/>
      <c r="H680" s="943"/>
      <c r="I680" s="943"/>
      <c r="J680" s="944"/>
      <c r="K680" s="502"/>
    </row>
    <row r="681" spans="1:11" ht="10.5" customHeight="1" x14ac:dyDescent="0.2">
      <c r="A681" s="501"/>
      <c r="B681" s="943"/>
      <c r="C681" s="943"/>
      <c r="D681" s="943"/>
      <c r="E681" s="943"/>
      <c r="F681" s="943"/>
      <c r="G681" s="943"/>
      <c r="H681" s="943"/>
      <c r="I681" s="943"/>
      <c r="J681" s="944"/>
      <c r="K681" s="502" t="s">
        <v>328</v>
      </c>
    </row>
    <row r="682" spans="1:11" ht="10.5" customHeight="1" x14ac:dyDescent="0.2">
      <c r="A682" s="939" t="s">
        <v>329</v>
      </c>
      <c r="B682" s="940"/>
      <c r="C682" s="940"/>
      <c r="D682" s="945" t="str">
        <f>'Акт отбора проб Почва'!F72</f>
        <v>СК5</v>
      </c>
      <c r="E682" s="945"/>
      <c r="F682" s="945"/>
      <c r="G682" s="942" t="s">
        <v>330</v>
      </c>
      <c r="H682" s="942"/>
      <c r="I682" s="942"/>
      <c r="J682" s="491" t="str">
        <f>'Акт отбора проб Почва'!B72</f>
        <v>5,0-7,0</v>
      </c>
      <c r="K682" s="505">
        <f>$H$2</f>
        <v>45739</v>
      </c>
    </row>
    <row r="683" spans="1:11" ht="10.5" customHeight="1" x14ac:dyDescent="0.2">
      <c r="A683" s="501"/>
      <c r="B683" s="506"/>
      <c r="C683" s="507"/>
      <c r="D683" s="128"/>
      <c r="E683" s="128"/>
      <c r="F683" s="128"/>
      <c r="G683" s="508"/>
      <c r="H683" s="508"/>
      <c r="I683" s="508"/>
      <c r="J683" s="494"/>
      <c r="K683" s="502" t="s">
        <v>331</v>
      </c>
    </row>
    <row r="684" spans="1:11" ht="10.5" customHeight="1" x14ac:dyDescent="0.2">
      <c r="A684" s="501" t="s">
        <v>331</v>
      </c>
      <c r="B684" s="509" t="str">
        <f>'Акт отбора проб Почва'!C72</f>
        <v>05АХ.08</v>
      </c>
      <c r="C684" s="507"/>
      <c r="D684" s="128"/>
      <c r="E684" s="128"/>
      <c r="F684" s="128"/>
      <c r="G684" s="508"/>
      <c r="H684" s="508"/>
      <c r="I684" s="508"/>
      <c r="J684" s="494"/>
      <c r="K684" s="502" t="str">
        <f>B684</f>
        <v>05АХ.08</v>
      </c>
    </row>
    <row r="685" spans="1:11" ht="10.5" customHeight="1" x14ac:dyDescent="0.2">
      <c r="A685" s="501"/>
      <c r="B685" s="506"/>
      <c r="C685" s="507"/>
      <c r="D685" s="507"/>
      <c r="E685" s="507"/>
      <c r="F685" s="507"/>
      <c r="G685" s="507"/>
      <c r="H685" s="507"/>
      <c r="I685" s="507"/>
      <c r="J685" s="493"/>
      <c r="K685" s="502" t="s">
        <v>332</v>
      </c>
    </row>
    <row r="686" spans="1:11" ht="10.5" customHeight="1" x14ac:dyDescent="0.2">
      <c r="A686" s="939" t="s">
        <v>681</v>
      </c>
      <c r="B686" s="940"/>
      <c r="C686" s="951"/>
      <c r="D686" s="951"/>
      <c r="E686" s="951"/>
      <c r="F686" s="951"/>
      <c r="G686" s="951"/>
      <c r="H686" s="951"/>
      <c r="I686" s="951"/>
      <c r="J686" s="144"/>
      <c r="K686" s="502" t="str">
        <f>J682</f>
        <v>5,0-7,0</v>
      </c>
    </row>
    <row r="687" spans="1:11" ht="10.5" customHeight="1" x14ac:dyDescent="0.2">
      <c r="A687" s="501" t="s">
        <v>333</v>
      </c>
      <c r="B687" s="506"/>
      <c r="C687" s="507"/>
      <c r="D687" s="507"/>
      <c r="E687" s="507"/>
      <c r="F687" s="507"/>
      <c r="G687" s="507"/>
      <c r="H687" s="507"/>
      <c r="I687" s="507"/>
      <c r="J687" s="493"/>
      <c r="K687" s="502" t="s">
        <v>334</v>
      </c>
    </row>
    <row r="688" spans="1:11" ht="10.5" customHeight="1" x14ac:dyDescent="0.2">
      <c r="A688" s="501" t="s">
        <v>335</v>
      </c>
      <c r="B688" s="510"/>
      <c r="C688" s="511"/>
      <c r="D688" s="511"/>
      <c r="E688" s="511"/>
      <c r="F688" s="511"/>
      <c r="G688" s="511"/>
      <c r="H688" s="507"/>
      <c r="I688" s="507"/>
      <c r="J688" s="493"/>
      <c r="K688" s="502"/>
    </row>
    <row r="689" spans="1:11" ht="10.5" customHeight="1" thickBot="1" x14ac:dyDescent="0.25">
      <c r="A689" s="145"/>
      <c r="B689" s="146"/>
      <c r="C689" s="147" t="s">
        <v>336</v>
      </c>
      <c r="D689" s="147"/>
      <c r="E689" s="147"/>
      <c r="F689" s="147"/>
      <c r="G689" s="147"/>
      <c r="H689" s="147"/>
      <c r="I689" s="147"/>
      <c r="J689" s="394"/>
      <c r="K689" s="139"/>
    </row>
    <row r="690" spans="1:11" ht="10.5" customHeight="1" x14ac:dyDescent="0.2">
      <c r="A690" s="512"/>
      <c r="B690" s="513"/>
      <c r="C690" s="514"/>
      <c r="D690" s="514"/>
      <c r="E690" s="514"/>
      <c r="F690" s="514"/>
      <c r="G690" s="514"/>
      <c r="H690" s="514"/>
      <c r="I690" s="514"/>
      <c r="J690" s="492"/>
      <c r="K690" s="500"/>
    </row>
    <row r="691" spans="1:11" ht="10.5" customHeight="1" x14ac:dyDescent="0.2">
      <c r="A691" s="501" t="s">
        <v>325</v>
      </c>
      <c r="B691" s="933">
        <f>$B$2</f>
        <v>0</v>
      </c>
      <c r="C691" s="933"/>
      <c r="D691" s="934" t="s">
        <v>326</v>
      </c>
      <c r="E691" s="934"/>
      <c r="F691" s="934"/>
      <c r="G691" s="934"/>
      <c r="H691" s="935">
        <f>$H$2</f>
        <v>45739</v>
      </c>
      <c r="I691" s="936"/>
      <c r="J691" s="493"/>
      <c r="K691" s="502" t="s">
        <v>327</v>
      </c>
    </row>
    <row r="692" spans="1:11" ht="10.5" customHeight="1" x14ac:dyDescent="0.2">
      <c r="A692" s="501"/>
      <c r="B692" s="506"/>
      <c r="C692" s="507"/>
      <c r="D692" s="507"/>
      <c r="E692" s="507"/>
      <c r="F692" s="507"/>
      <c r="G692" s="507"/>
      <c r="H692" s="507"/>
      <c r="I692" s="507"/>
      <c r="J692" s="493"/>
      <c r="K692" s="502">
        <f>$B$2</f>
        <v>0</v>
      </c>
    </row>
    <row r="693" spans="1:11" ht="10.5" customHeight="1" x14ac:dyDescent="0.2">
      <c r="A693" s="501" t="s">
        <v>0</v>
      </c>
      <c r="B693" s="943" t="str">
        <f>$B$4</f>
        <v>адрес вбить сюда</v>
      </c>
      <c r="C693" s="943"/>
      <c r="D693" s="943"/>
      <c r="E693" s="943"/>
      <c r="F693" s="943"/>
      <c r="G693" s="943"/>
      <c r="H693" s="943"/>
      <c r="I693" s="943"/>
      <c r="J693" s="944"/>
      <c r="K693" s="502"/>
    </row>
    <row r="694" spans="1:11" ht="10.5" customHeight="1" x14ac:dyDescent="0.2">
      <c r="A694" s="501"/>
      <c r="B694" s="943"/>
      <c r="C694" s="943"/>
      <c r="D694" s="943"/>
      <c r="E694" s="943"/>
      <c r="F694" s="943"/>
      <c r="G694" s="943"/>
      <c r="H694" s="943"/>
      <c r="I694" s="943"/>
      <c r="J694" s="944"/>
      <c r="K694" s="502" t="s">
        <v>328</v>
      </c>
    </row>
    <row r="695" spans="1:11" ht="10.5" customHeight="1" x14ac:dyDescent="0.2">
      <c r="A695" s="939" t="s">
        <v>329</v>
      </c>
      <c r="B695" s="940"/>
      <c r="C695" s="940"/>
      <c r="D695" s="945" t="str">
        <f>'Акт отбора проб Почва'!F73</f>
        <v>СК6</v>
      </c>
      <c r="E695" s="945"/>
      <c r="F695" s="945"/>
      <c r="G695" s="942" t="s">
        <v>330</v>
      </c>
      <c r="H695" s="942"/>
      <c r="I695" s="942"/>
      <c r="J695" s="491" t="str">
        <f>'Акт отбора проб Почва'!B73</f>
        <v>5,0-7,0</v>
      </c>
      <c r="K695" s="505">
        <f>$H$2</f>
        <v>45739</v>
      </c>
    </row>
    <row r="696" spans="1:11" ht="10.5" customHeight="1" x14ac:dyDescent="0.2">
      <c r="A696" s="501"/>
      <c r="B696" s="506"/>
      <c r="C696" s="507"/>
      <c r="D696" s="128"/>
      <c r="E696" s="128"/>
      <c r="F696" s="128"/>
      <c r="G696" s="508"/>
      <c r="H696" s="508"/>
      <c r="I696" s="508"/>
      <c r="J696" s="494"/>
      <c r="K696" s="502" t="s">
        <v>331</v>
      </c>
    </row>
    <row r="697" spans="1:11" ht="10.5" customHeight="1" x14ac:dyDescent="0.2">
      <c r="A697" s="501" t="s">
        <v>331</v>
      </c>
      <c r="B697" s="509" t="str">
        <f>'Акт отбора проб Почва'!C73</f>
        <v>06АХ.08</v>
      </c>
      <c r="C697" s="507"/>
      <c r="D697" s="128"/>
      <c r="E697" s="128"/>
      <c r="F697" s="128"/>
      <c r="G697" s="508"/>
      <c r="H697" s="508"/>
      <c r="I697" s="508"/>
      <c r="J697" s="494"/>
      <c r="K697" s="502" t="str">
        <f>B697</f>
        <v>06АХ.08</v>
      </c>
    </row>
    <row r="698" spans="1:11" ht="10.5" customHeight="1" x14ac:dyDescent="0.2">
      <c r="A698" s="501"/>
      <c r="B698" s="506"/>
      <c r="C698" s="507"/>
      <c r="D698" s="507"/>
      <c r="E698" s="507"/>
      <c r="F698" s="507"/>
      <c r="G698" s="507"/>
      <c r="H698" s="507"/>
      <c r="I698" s="507"/>
      <c r="J698" s="493"/>
      <c r="K698" s="502" t="s">
        <v>332</v>
      </c>
    </row>
    <row r="699" spans="1:11" ht="10.5" customHeight="1" x14ac:dyDescent="0.2">
      <c r="A699" s="939" t="s">
        <v>681</v>
      </c>
      <c r="B699" s="940"/>
      <c r="C699" s="951"/>
      <c r="D699" s="951"/>
      <c r="E699" s="951"/>
      <c r="F699" s="951"/>
      <c r="G699" s="951"/>
      <c r="H699" s="951"/>
      <c r="I699" s="951"/>
      <c r="J699" s="144"/>
      <c r="K699" s="502" t="str">
        <f>J695</f>
        <v>5,0-7,0</v>
      </c>
    </row>
    <row r="700" spans="1:11" ht="10.5" customHeight="1" x14ac:dyDescent="0.2">
      <c r="A700" s="501" t="s">
        <v>333</v>
      </c>
      <c r="B700" s="506"/>
      <c r="C700" s="507"/>
      <c r="D700" s="507"/>
      <c r="E700" s="507"/>
      <c r="F700" s="507"/>
      <c r="G700" s="507"/>
      <c r="H700" s="507"/>
      <c r="I700" s="507"/>
      <c r="J700" s="493"/>
      <c r="K700" s="502" t="s">
        <v>334</v>
      </c>
    </row>
    <row r="701" spans="1:11" ht="10.5" customHeight="1" x14ac:dyDescent="0.2">
      <c r="A701" s="501" t="s">
        <v>335</v>
      </c>
      <c r="B701" s="510"/>
      <c r="C701" s="511"/>
      <c r="D701" s="511"/>
      <c r="E701" s="511"/>
      <c r="F701" s="511"/>
      <c r="G701" s="511"/>
      <c r="H701" s="507"/>
      <c r="I701" s="507"/>
      <c r="J701" s="493"/>
      <c r="K701" s="502"/>
    </row>
    <row r="702" spans="1:11" ht="10.5" customHeight="1" thickBot="1" x14ac:dyDescent="0.25">
      <c r="A702" s="145"/>
      <c r="B702" s="146"/>
      <c r="C702" s="147" t="s">
        <v>336</v>
      </c>
      <c r="D702" s="147"/>
      <c r="E702" s="147"/>
      <c r="F702" s="147"/>
      <c r="G702" s="147"/>
      <c r="H702" s="147"/>
      <c r="I702" s="147"/>
      <c r="J702" s="394"/>
      <c r="K702" s="139"/>
    </row>
    <row r="703" spans="1:11" ht="10.5" customHeight="1" x14ac:dyDescent="0.2">
      <c r="A703" s="512"/>
      <c r="B703" s="513"/>
      <c r="C703" s="514"/>
      <c r="D703" s="514"/>
      <c r="E703" s="514"/>
      <c r="F703" s="514"/>
      <c r="G703" s="514"/>
      <c r="H703" s="514"/>
      <c r="I703" s="514"/>
      <c r="J703" s="492"/>
      <c r="K703" s="500"/>
    </row>
    <row r="704" spans="1:11" ht="10.5" customHeight="1" x14ac:dyDescent="0.2">
      <c r="A704" s="501" t="s">
        <v>325</v>
      </c>
      <c r="B704" s="933">
        <f>$B$2</f>
        <v>0</v>
      </c>
      <c r="C704" s="933"/>
      <c r="D704" s="934" t="s">
        <v>326</v>
      </c>
      <c r="E704" s="934"/>
      <c r="F704" s="934"/>
      <c r="G704" s="934"/>
      <c r="H704" s="935">
        <f>$H$2</f>
        <v>45739</v>
      </c>
      <c r="I704" s="936"/>
      <c r="J704" s="493"/>
      <c r="K704" s="502" t="s">
        <v>327</v>
      </c>
    </row>
    <row r="705" spans="1:11" ht="10.5" customHeight="1" x14ac:dyDescent="0.2">
      <c r="A705" s="501"/>
      <c r="B705" s="506"/>
      <c r="C705" s="507"/>
      <c r="D705" s="507"/>
      <c r="E705" s="507"/>
      <c r="F705" s="507"/>
      <c r="G705" s="507"/>
      <c r="H705" s="507"/>
      <c r="I705" s="507"/>
      <c r="J705" s="493"/>
      <c r="K705" s="502">
        <f>$B$2</f>
        <v>0</v>
      </c>
    </row>
    <row r="706" spans="1:11" ht="10.5" customHeight="1" x14ac:dyDescent="0.2">
      <c r="A706" s="501" t="s">
        <v>0</v>
      </c>
      <c r="B706" s="943" t="str">
        <f>$B$4</f>
        <v>адрес вбить сюда</v>
      </c>
      <c r="C706" s="943"/>
      <c r="D706" s="943"/>
      <c r="E706" s="943"/>
      <c r="F706" s="943"/>
      <c r="G706" s="943"/>
      <c r="H706" s="943"/>
      <c r="I706" s="943"/>
      <c r="J706" s="944"/>
      <c r="K706" s="502"/>
    </row>
    <row r="707" spans="1:11" ht="10.5" customHeight="1" x14ac:dyDescent="0.2">
      <c r="A707" s="501"/>
      <c r="B707" s="943"/>
      <c r="C707" s="943"/>
      <c r="D707" s="943"/>
      <c r="E707" s="943"/>
      <c r="F707" s="943"/>
      <c r="G707" s="943"/>
      <c r="H707" s="943"/>
      <c r="I707" s="943"/>
      <c r="J707" s="944"/>
      <c r="K707" s="502" t="s">
        <v>328</v>
      </c>
    </row>
    <row r="708" spans="1:11" ht="10.5" customHeight="1" x14ac:dyDescent="0.2">
      <c r="A708" s="939" t="s">
        <v>329</v>
      </c>
      <c r="B708" s="940"/>
      <c r="C708" s="940"/>
      <c r="D708" s="945" t="str">
        <f>'Акт отбора проб Почва'!F74</f>
        <v>СК1</v>
      </c>
      <c r="E708" s="945"/>
      <c r="F708" s="945"/>
      <c r="G708" s="942" t="s">
        <v>330</v>
      </c>
      <c r="H708" s="942"/>
      <c r="I708" s="942"/>
      <c r="J708" s="491" t="str">
        <f>'Акт отбора проб Почва'!B74</f>
        <v>7,0-9,0</v>
      </c>
      <c r="K708" s="505">
        <f>$H$2</f>
        <v>45739</v>
      </c>
    </row>
    <row r="709" spans="1:11" ht="10.5" customHeight="1" x14ac:dyDescent="0.2">
      <c r="A709" s="501"/>
      <c r="B709" s="506"/>
      <c r="C709" s="507"/>
      <c r="D709" s="128"/>
      <c r="E709" s="128"/>
      <c r="F709" s="128"/>
      <c r="G709" s="508"/>
      <c r="H709" s="508"/>
      <c r="I709" s="508"/>
      <c r="J709" s="494"/>
      <c r="K709" s="502" t="s">
        <v>331</v>
      </c>
    </row>
    <row r="710" spans="1:11" ht="10.5" customHeight="1" x14ac:dyDescent="0.2">
      <c r="A710" s="501" t="s">
        <v>331</v>
      </c>
      <c r="B710" s="509" t="str">
        <f>'Акт отбора проб Почва'!C74</f>
        <v>01АХ.09</v>
      </c>
      <c r="C710" s="507"/>
      <c r="D710" s="128"/>
      <c r="E710" s="128"/>
      <c r="F710" s="128"/>
      <c r="G710" s="508"/>
      <c r="H710" s="508"/>
      <c r="I710" s="508"/>
      <c r="J710" s="494"/>
      <c r="K710" s="502" t="str">
        <f>B710</f>
        <v>01АХ.09</v>
      </c>
    </row>
    <row r="711" spans="1:11" ht="10.5" customHeight="1" x14ac:dyDescent="0.2">
      <c r="A711" s="501"/>
      <c r="B711" s="506"/>
      <c r="C711" s="507"/>
      <c r="D711" s="507"/>
      <c r="E711" s="507"/>
      <c r="F711" s="507"/>
      <c r="G711" s="507"/>
      <c r="H711" s="507"/>
      <c r="I711" s="507"/>
      <c r="J711" s="493"/>
      <c r="K711" s="502" t="s">
        <v>332</v>
      </c>
    </row>
    <row r="712" spans="1:11" ht="10.5" customHeight="1" x14ac:dyDescent="0.2">
      <c r="A712" s="939" t="s">
        <v>681</v>
      </c>
      <c r="B712" s="940"/>
      <c r="C712" s="951"/>
      <c r="D712" s="951"/>
      <c r="E712" s="951"/>
      <c r="F712" s="951"/>
      <c r="G712" s="951"/>
      <c r="H712" s="951"/>
      <c r="I712" s="951"/>
      <c r="J712" s="144"/>
      <c r="K712" s="502" t="str">
        <f>J708</f>
        <v>7,0-9,0</v>
      </c>
    </row>
    <row r="713" spans="1:11" ht="10.5" customHeight="1" x14ac:dyDescent="0.2">
      <c r="A713" s="501" t="s">
        <v>333</v>
      </c>
      <c r="B713" s="506"/>
      <c r="C713" s="507"/>
      <c r="D713" s="507"/>
      <c r="E713" s="507"/>
      <c r="F713" s="507"/>
      <c r="G713" s="507"/>
      <c r="H713" s="507"/>
      <c r="I713" s="507"/>
      <c r="J713" s="493"/>
      <c r="K713" s="502" t="s">
        <v>334</v>
      </c>
    </row>
    <row r="714" spans="1:11" ht="10.5" customHeight="1" x14ac:dyDescent="0.2">
      <c r="A714" s="501" t="s">
        <v>335</v>
      </c>
      <c r="B714" s="510"/>
      <c r="C714" s="511"/>
      <c r="D714" s="511"/>
      <c r="E714" s="511"/>
      <c r="F714" s="511"/>
      <c r="G714" s="511"/>
      <c r="H714" s="507"/>
      <c r="I714" s="507"/>
      <c r="J714" s="493"/>
      <c r="K714" s="502"/>
    </row>
    <row r="715" spans="1:11" ht="10.5" customHeight="1" thickBot="1" x14ac:dyDescent="0.25">
      <c r="A715" s="145"/>
      <c r="B715" s="146"/>
      <c r="C715" s="147" t="s">
        <v>336</v>
      </c>
      <c r="D715" s="147"/>
      <c r="E715" s="147"/>
      <c r="F715" s="147"/>
      <c r="G715" s="147"/>
      <c r="H715" s="147"/>
      <c r="I715" s="147"/>
      <c r="J715" s="394"/>
      <c r="K715" s="139"/>
    </row>
    <row r="716" spans="1:11" ht="10.5" customHeight="1" x14ac:dyDescent="0.2">
      <c r="A716" s="512"/>
      <c r="B716" s="513"/>
      <c r="C716" s="514"/>
      <c r="D716" s="514"/>
      <c r="E716" s="514"/>
      <c r="F716" s="514"/>
      <c r="G716" s="514"/>
      <c r="H716" s="514"/>
      <c r="I716" s="514"/>
      <c r="J716" s="492"/>
      <c r="K716" s="500"/>
    </row>
    <row r="717" spans="1:11" ht="10.5" customHeight="1" x14ac:dyDescent="0.2">
      <c r="A717" s="501" t="s">
        <v>325</v>
      </c>
      <c r="B717" s="933">
        <f>$B$2</f>
        <v>0</v>
      </c>
      <c r="C717" s="933"/>
      <c r="D717" s="934" t="s">
        <v>326</v>
      </c>
      <c r="E717" s="934"/>
      <c r="F717" s="934"/>
      <c r="G717" s="934"/>
      <c r="H717" s="935">
        <f>$H$2</f>
        <v>45739</v>
      </c>
      <c r="I717" s="936"/>
      <c r="J717" s="493"/>
      <c r="K717" s="502" t="s">
        <v>327</v>
      </c>
    </row>
    <row r="718" spans="1:11" ht="10.5" customHeight="1" x14ac:dyDescent="0.2">
      <c r="A718" s="501"/>
      <c r="B718" s="506"/>
      <c r="C718" s="507"/>
      <c r="D718" s="507"/>
      <c r="E718" s="507"/>
      <c r="F718" s="507"/>
      <c r="G718" s="507"/>
      <c r="H718" s="507"/>
      <c r="I718" s="507"/>
      <c r="J718" s="493"/>
      <c r="K718" s="502">
        <f>$B$2</f>
        <v>0</v>
      </c>
    </row>
    <row r="719" spans="1:11" ht="10.5" customHeight="1" x14ac:dyDescent="0.2">
      <c r="A719" s="501" t="s">
        <v>0</v>
      </c>
      <c r="B719" s="943" t="str">
        <f>$B$4</f>
        <v>адрес вбить сюда</v>
      </c>
      <c r="C719" s="943"/>
      <c r="D719" s="943"/>
      <c r="E719" s="943"/>
      <c r="F719" s="943"/>
      <c r="G719" s="943"/>
      <c r="H719" s="943"/>
      <c r="I719" s="943"/>
      <c r="J719" s="944"/>
      <c r="K719" s="502"/>
    </row>
    <row r="720" spans="1:11" ht="10.5" customHeight="1" x14ac:dyDescent="0.2">
      <c r="A720" s="501"/>
      <c r="B720" s="943"/>
      <c r="C720" s="943"/>
      <c r="D720" s="943"/>
      <c r="E720" s="943"/>
      <c r="F720" s="943"/>
      <c r="G720" s="943"/>
      <c r="H720" s="943"/>
      <c r="I720" s="943"/>
      <c r="J720" s="944"/>
      <c r="K720" s="502" t="s">
        <v>328</v>
      </c>
    </row>
    <row r="721" spans="1:11" ht="10.5" customHeight="1" x14ac:dyDescent="0.2">
      <c r="A721" s="939" t="s">
        <v>329</v>
      </c>
      <c r="B721" s="940"/>
      <c r="C721" s="940"/>
      <c r="D721" s="945" t="str">
        <f>'Акт отбора проб Почва'!F75</f>
        <v>СК2</v>
      </c>
      <c r="E721" s="945"/>
      <c r="F721" s="945"/>
      <c r="G721" s="942" t="s">
        <v>330</v>
      </c>
      <c r="H721" s="942"/>
      <c r="I721" s="942"/>
      <c r="J721" s="491" t="str">
        <f>'Акт отбора проб Почва'!B75</f>
        <v>7,0-9,0</v>
      </c>
      <c r="K721" s="505">
        <f>$H$2</f>
        <v>45739</v>
      </c>
    </row>
    <row r="722" spans="1:11" ht="10.5" customHeight="1" x14ac:dyDescent="0.2">
      <c r="A722" s="501"/>
      <c r="B722" s="506"/>
      <c r="C722" s="507"/>
      <c r="D722" s="128"/>
      <c r="E722" s="128"/>
      <c r="F722" s="128"/>
      <c r="G722" s="508"/>
      <c r="H722" s="508"/>
      <c r="I722" s="508"/>
      <c r="J722" s="494"/>
      <c r="K722" s="502" t="s">
        <v>331</v>
      </c>
    </row>
    <row r="723" spans="1:11" ht="10.5" customHeight="1" x14ac:dyDescent="0.2">
      <c r="A723" s="501" t="s">
        <v>331</v>
      </c>
      <c r="B723" s="509" t="str">
        <f>'Акт отбора проб Почва'!C75</f>
        <v>02АХ.09</v>
      </c>
      <c r="C723" s="507"/>
      <c r="D723" s="128"/>
      <c r="E723" s="128"/>
      <c r="F723" s="128"/>
      <c r="G723" s="508"/>
      <c r="H723" s="508"/>
      <c r="I723" s="508"/>
      <c r="J723" s="494"/>
      <c r="K723" s="502" t="str">
        <f>B723</f>
        <v>02АХ.09</v>
      </c>
    </row>
    <row r="724" spans="1:11" ht="10.5" customHeight="1" x14ac:dyDescent="0.2">
      <c r="A724" s="501"/>
      <c r="B724" s="506"/>
      <c r="C724" s="507"/>
      <c r="D724" s="507"/>
      <c r="E724" s="507"/>
      <c r="F724" s="507"/>
      <c r="G724" s="507"/>
      <c r="H724" s="507"/>
      <c r="I724" s="507"/>
      <c r="J724" s="493"/>
      <c r="K724" s="502" t="s">
        <v>332</v>
      </c>
    </row>
    <row r="725" spans="1:11" ht="10.5" customHeight="1" x14ac:dyDescent="0.2">
      <c r="A725" s="939" t="s">
        <v>681</v>
      </c>
      <c r="B725" s="940"/>
      <c r="C725" s="951"/>
      <c r="D725" s="951"/>
      <c r="E725" s="951"/>
      <c r="F725" s="951"/>
      <c r="G725" s="951"/>
      <c r="H725" s="951"/>
      <c r="I725" s="951"/>
      <c r="J725" s="144"/>
      <c r="K725" s="502" t="str">
        <f>J721</f>
        <v>7,0-9,0</v>
      </c>
    </row>
    <row r="726" spans="1:11" ht="10.5" customHeight="1" x14ac:dyDescent="0.2">
      <c r="A726" s="501" t="s">
        <v>333</v>
      </c>
      <c r="B726" s="506"/>
      <c r="C726" s="507"/>
      <c r="D726" s="507"/>
      <c r="E726" s="507"/>
      <c r="F726" s="507"/>
      <c r="G726" s="507"/>
      <c r="H726" s="507"/>
      <c r="I726" s="507"/>
      <c r="J726" s="493"/>
      <c r="K726" s="502" t="s">
        <v>334</v>
      </c>
    </row>
    <row r="727" spans="1:11" ht="10.5" customHeight="1" x14ac:dyDescent="0.2">
      <c r="A727" s="501" t="s">
        <v>335</v>
      </c>
      <c r="B727" s="510"/>
      <c r="C727" s="511"/>
      <c r="D727" s="511"/>
      <c r="E727" s="511"/>
      <c r="F727" s="511"/>
      <c r="G727" s="511"/>
      <c r="H727" s="507"/>
      <c r="I727" s="507"/>
      <c r="J727" s="493"/>
      <c r="K727" s="502"/>
    </row>
    <row r="728" spans="1:11" ht="10.5" customHeight="1" thickBot="1" x14ac:dyDescent="0.25">
      <c r="A728" s="145"/>
      <c r="B728" s="146"/>
      <c r="C728" s="147" t="s">
        <v>336</v>
      </c>
      <c r="D728" s="147"/>
      <c r="E728" s="147"/>
      <c r="F728" s="147"/>
      <c r="G728" s="147"/>
      <c r="H728" s="147"/>
      <c r="I728" s="147"/>
      <c r="J728" s="394"/>
      <c r="K728" s="139"/>
    </row>
    <row r="729" spans="1:11" ht="10.5" customHeight="1" x14ac:dyDescent="0.2">
      <c r="A729" s="512"/>
      <c r="B729" s="513"/>
      <c r="C729" s="514"/>
      <c r="D729" s="514"/>
      <c r="E729" s="514"/>
      <c r="F729" s="514"/>
      <c r="G729" s="514"/>
      <c r="H729" s="514"/>
      <c r="I729" s="514"/>
      <c r="J729" s="492"/>
      <c r="K729" s="500"/>
    </row>
    <row r="730" spans="1:11" ht="10.5" customHeight="1" x14ac:dyDescent="0.2">
      <c r="A730" s="501" t="s">
        <v>325</v>
      </c>
      <c r="B730" s="933">
        <f>$B$2</f>
        <v>0</v>
      </c>
      <c r="C730" s="933"/>
      <c r="D730" s="934" t="s">
        <v>326</v>
      </c>
      <c r="E730" s="934"/>
      <c r="F730" s="934"/>
      <c r="G730" s="934"/>
      <c r="H730" s="935">
        <f>$H$2</f>
        <v>45739</v>
      </c>
      <c r="I730" s="936"/>
      <c r="J730" s="493"/>
      <c r="K730" s="502" t="s">
        <v>327</v>
      </c>
    </row>
    <row r="731" spans="1:11" ht="10.5" customHeight="1" x14ac:dyDescent="0.2">
      <c r="A731" s="501"/>
      <c r="B731" s="506"/>
      <c r="C731" s="507"/>
      <c r="D731" s="507"/>
      <c r="E731" s="507"/>
      <c r="F731" s="507"/>
      <c r="G731" s="507"/>
      <c r="H731" s="507"/>
      <c r="I731" s="507"/>
      <c r="J731" s="493"/>
      <c r="K731" s="502">
        <f>$B$2</f>
        <v>0</v>
      </c>
    </row>
    <row r="732" spans="1:11" ht="10.5" customHeight="1" x14ac:dyDescent="0.2">
      <c r="A732" s="501" t="s">
        <v>0</v>
      </c>
      <c r="B732" s="943" t="str">
        <f>$B$4</f>
        <v>адрес вбить сюда</v>
      </c>
      <c r="C732" s="943"/>
      <c r="D732" s="943"/>
      <c r="E732" s="943"/>
      <c r="F732" s="943"/>
      <c r="G732" s="943"/>
      <c r="H732" s="943"/>
      <c r="I732" s="943"/>
      <c r="J732" s="944"/>
      <c r="K732" s="502"/>
    </row>
    <row r="733" spans="1:11" ht="10.5" customHeight="1" x14ac:dyDescent="0.2">
      <c r="A733" s="501"/>
      <c r="B733" s="943"/>
      <c r="C733" s="943"/>
      <c r="D733" s="943"/>
      <c r="E733" s="943"/>
      <c r="F733" s="943"/>
      <c r="G733" s="943"/>
      <c r="H733" s="943"/>
      <c r="I733" s="943"/>
      <c r="J733" s="944"/>
      <c r="K733" s="502" t="s">
        <v>328</v>
      </c>
    </row>
    <row r="734" spans="1:11" ht="10.5" customHeight="1" x14ac:dyDescent="0.2">
      <c r="A734" s="939" t="s">
        <v>329</v>
      </c>
      <c r="B734" s="940"/>
      <c r="C734" s="940"/>
      <c r="D734" s="945" t="str">
        <f>'Акт отбора проб Почва'!F76</f>
        <v>СК3</v>
      </c>
      <c r="E734" s="945"/>
      <c r="F734" s="945"/>
      <c r="G734" s="942" t="s">
        <v>330</v>
      </c>
      <c r="H734" s="942"/>
      <c r="I734" s="942"/>
      <c r="J734" s="491" t="str">
        <f>'Акт отбора проб Почва'!B76</f>
        <v>7,0-9,0</v>
      </c>
      <c r="K734" s="505">
        <f>$H$2</f>
        <v>45739</v>
      </c>
    </row>
    <row r="735" spans="1:11" ht="10.5" customHeight="1" x14ac:dyDescent="0.2">
      <c r="A735" s="501"/>
      <c r="B735" s="506"/>
      <c r="C735" s="507"/>
      <c r="D735" s="128"/>
      <c r="E735" s="128"/>
      <c r="F735" s="128"/>
      <c r="G735" s="508"/>
      <c r="H735" s="508"/>
      <c r="I735" s="508"/>
      <c r="J735" s="494"/>
      <c r="K735" s="502" t="s">
        <v>331</v>
      </c>
    </row>
    <row r="736" spans="1:11" ht="10.5" customHeight="1" x14ac:dyDescent="0.2">
      <c r="A736" s="501" t="s">
        <v>331</v>
      </c>
      <c r="B736" s="509" t="str">
        <f>'Акт отбора проб Почва'!C76</f>
        <v>03АХ.09</v>
      </c>
      <c r="C736" s="507"/>
      <c r="D736" s="128"/>
      <c r="E736" s="128"/>
      <c r="F736" s="128"/>
      <c r="G736" s="508"/>
      <c r="H736" s="508"/>
      <c r="I736" s="508"/>
      <c r="J736" s="494"/>
      <c r="K736" s="502" t="str">
        <f>B736</f>
        <v>03АХ.09</v>
      </c>
    </row>
    <row r="737" spans="1:11" ht="10.5" customHeight="1" x14ac:dyDescent="0.2">
      <c r="A737" s="501"/>
      <c r="B737" s="506"/>
      <c r="C737" s="507"/>
      <c r="D737" s="507"/>
      <c r="E737" s="507"/>
      <c r="F737" s="507"/>
      <c r="G737" s="507"/>
      <c r="H737" s="507"/>
      <c r="I737" s="507"/>
      <c r="J737" s="493"/>
      <c r="K737" s="502" t="s">
        <v>332</v>
      </c>
    </row>
    <row r="738" spans="1:11" ht="10.5" customHeight="1" x14ac:dyDescent="0.2">
      <c r="A738" s="939" t="s">
        <v>681</v>
      </c>
      <c r="B738" s="940"/>
      <c r="C738" s="951"/>
      <c r="D738" s="951"/>
      <c r="E738" s="951"/>
      <c r="F738" s="951"/>
      <c r="G738" s="951"/>
      <c r="H738" s="951"/>
      <c r="I738" s="951"/>
      <c r="J738" s="144"/>
      <c r="K738" s="502" t="str">
        <f>J734</f>
        <v>7,0-9,0</v>
      </c>
    </row>
    <row r="739" spans="1:11" ht="10.5" customHeight="1" x14ac:dyDescent="0.2">
      <c r="A739" s="501" t="s">
        <v>333</v>
      </c>
      <c r="B739" s="506"/>
      <c r="C739" s="507"/>
      <c r="D739" s="507"/>
      <c r="E739" s="507"/>
      <c r="F739" s="507"/>
      <c r="G739" s="507"/>
      <c r="H739" s="507"/>
      <c r="I739" s="507"/>
      <c r="J739" s="493"/>
      <c r="K739" s="502" t="s">
        <v>334</v>
      </c>
    </row>
    <row r="740" spans="1:11" ht="10.5" customHeight="1" x14ac:dyDescent="0.2">
      <c r="A740" s="501" t="s">
        <v>335</v>
      </c>
      <c r="B740" s="510"/>
      <c r="C740" s="511"/>
      <c r="D740" s="511"/>
      <c r="E740" s="511"/>
      <c r="F740" s="511"/>
      <c r="G740" s="511"/>
      <c r="H740" s="507"/>
      <c r="I740" s="507"/>
      <c r="J740" s="493"/>
      <c r="K740" s="502"/>
    </row>
    <row r="741" spans="1:11" ht="10.5" customHeight="1" thickBot="1" x14ac:dyDescent="0.25">
      <c r="A741" s="145"/>
      <c r="B741" s="146"/>
      <c r="C741" s="147" t="s">
        <v>336</v>
      </c>
      <c r="D741" s="147"/>
      <c r="E741" s="147"/>
      <c r="F741" s="147"/>
      <c r="G741" s="147"/>
      <c r="H741" s="147"/>
      <c r="I741" s="147"/>
      <c r="J741" s="394"/>
      <c r="K741" s="139"/>
    </row>
    <row r="742" spans="1:11" ht="10.5" customHeight="1" x14ac:dyDescent="0.2">
      <c r="A742" s="512"/>
      <c r="B742" s="513"/>
      <c r="C742" s="514"/>
      <c r="D742" s="514"/>
      <c r="E742" s="514"/>
      <c r="F742" s="514"/>
      <c r="G742" s="514"/>
      <c r="H742" s="514"/>
      <c r="I742" s="514"/>
      <c r="J742" s="492"/>
      <c r="K742" s="500"/>
    </row>
    <row r="743" spans="1:11" ht="10.5" customHeight="1" x14ac:dyDescent="0.2">
      <c r="A743" s="501" t="s">
        <v>325</v>
      </c>
      <c r="B743" s="933">
        <f>$B$2</f>
        <v>0</v>
      </c>
      <c r="C743" s="933"/>
      <c r="D743" s="934" t="s">
        <v>326</v>
      </c>
      <c r="E743" s="934"/>
      <c r="F743" s="934"/>
      <c r="G743" s="934"/>
      <c r="H743" s="935">
        <f>$H$2</f>
        <v>45739</v>
      </c>
      <c r="I743" s="936"/>
      <c r="J743" s="493"/>
      <c r="K743" s="502" t="s">
        <v>327</v>
      </c>
    </row>
    <row r="744" spans="1:11" ht="10.5" customHeight="1" x14ac:dyDescent="0.2">
      <c r="A744" s="501"/>
      <c r="B744" s="506"/>
      <c r="C744" s="507"/>
      <c r="D744" s="507"/>
      <c r="E744" s="507"/>
      <c r="F744" s="507"/>
      <c r="G744" s="507"/>
      <c r="H744" s="507"/>
      <c r="I744" s="507"/>
      <c r="J744" s="493"/>
      <c r="K744" s="502">
        <f>$B$2</f>
        <v>0</v>
      </c>
    </row>
    <row r="745" spans="1:11" ht="10.5" customHeight="1" x14ac:dyDescent="0.2">
      <c r="A745" s="501" t="s">
        <v>0</v>
      </c>
      <c r="B745" s="943" t="str">
        <f>$B$4</f>
        <v>адрес вбить сюда</v>
      </c>
      <c r="C745" s="943"/>
      <c r="D745" s="943"/>
      <c r="E745" s="943"/>
      <c r="F745" s="943"/>
      <c r="G745" s="943"/>
      <c r="H745" s="943"/>
      <c r="I745" s="943"/>
      <c r="J745" s="944"/>
      <c r="K745" s="502"/>
    </row>
    <row r="746" spans="1:11" ht="10.5" customHeight="1" x14ac:dyDescent="0.2">
      <c r="A746" s="501"/>
      <c r="B746" s="943"/>
      <c r="C746" s="943"/>
      <c r="D746" s="943"/>
      <c r="E746" s="943"/>
      <c r="F746" s="943"/>
      <c r="G746" s="943"/>
      <c r="H746" s="943"/>
      <c r="I746" s="943"/>
      <c r="J746" s="944"/>
      <c r="K746" s="502" t="s">
        <v>328</v>
      </c>
    </row>
    <row r="747" spans="1:11" ht="10.5" customHeight="1" x14ac:dyDescent="0.2">
      <c r="A747" s="939" t="s">
        <v>329</v>
      </c>
      <c r="B747" s="940"/>
      <c r="C747" s="940"/>
      <c r="D747" s="945" t="str">
        <f>'Акт отбора проб Почва'!F77</f>
        <v>СК4</v>
      </c>
      <c r="E747" s="945"/>
      <c r="F747" s="945"/>
      <c r="G747" s="942" t="s">
        <v>330</v>
      </c>
      <c r="H747" s="942"/>
      <c r="I747" s="942"/>
      <c r="J747" s="491" t="str">
        <f>'Акт отбора проб Почва'!B77</f>
        <v>7,0-9,0</v>
      </c>
      <c r="K747" s="505">
        <f>$H$2</f>
        <v>45739</v>
      </c>
    </row>
    <row r="748" spans="1:11" ht="10.5" customHeight="1" x14ac:dyDescent="0.2">
      <c r="A748" s="501"/>
      <c r="B748" s="506"/>
      <c r="C748" s="507"/>
      <c r="D748" s="128"/>
      <c r="E748" s="128"/>
      <c r="F748" s="128"/>
      <c r="G748" s="508"/>
      <c r="H748" s="508"/>
      <c r="I748" s="508"/>
      <c r="J748" s="494"/>
      <c r="K748" s="502" t="s">
        <v>331</v>
      </c>
    </row>
    <row r="749" spans="1:11" ht="10.5" customHeight="1" x14ac:dyDescent="0.2">
      <c r="A749" s="501" t="s">
        <v>331</v>
      </c>
      <c r="B749" s="509" t="str">
        <f>'Акт отбора проб Почва'!C77</f>
        <v>04АХ.09</v>
      </c>
      <c r="C749" s="507"/>
      <c r="D749" s="128"/>
      <c r="E749" s="128"/>
      <c r="F749" s="128"/>
      <c r="G749" s="508"/>
      <c r="H749" s="508"/>
      <c r="I749" s="508"/>
      <c r="J749" s="494"/>
      <c r="K749" s="502" t="str">
        <f>B749</f>
        <v>04АХ.09</v>
      </c>
    </row>
    <row r="750" spans="1:11" ht="10.5" customHeight="1" x14ac:dyDescent="0.2">
      <c r="A750" s="501"/>
      <c r="B750" s="506"/>
      <c r="C750" s="507"/>
      <c r="D750" s="507"/>
      <c r="E750" s="507"/>
      <c r="F750" s="507"/>
      <c r="G750" s="507"/>
      <c r="H750" s="507"/>
      <c r="I750" s="507"/>
      <c r="J750" s="493"/>
      <c r="K750" s="502" t="s">
        <v>332</v>
      </c>
    </row>
    <row r="751" spans="1:11" ht="10.5" customHeight="1" x14ac:dyDescent="0.2">
      <c r="A751" s="939" t="s">
        <v>681</v>
      </c>
      <c r="B751" s="940"/>
      <c r="C751" s="951"/>
      <c r="D751" s="951"/>
      <c r="E751" s="951"/>
      <c r="F751" s="951"/>
      <c r="G751" s="951"/>
      <c r="H751" s="951"/>
      <c r="I751" s="951"/>
      <c r="J751" s="144"/>
      <c r="K751" s="502" t="str">
        <f>J747</f>
        <v>7,0-9,0</v>
      </c>
    </row>
    <row r="752" spans="1:11" ht="10.5" customHeight="1" x14ac:dyDescent="0.2">
      <c r="A752" s="501" t="s">
        <v>333</v>
      </c>
      <c r="B752" s="506"/>
      <c r="C752" s="507"/>
      <c r="D752" s="507"/>
      <c r="E752" s="507"/>
      <c r="F752" s="507"/>
      <c r="G752" s="507"/>
      <c r="H752" s="507"/>
      <c r="I752" s="507"/>
      <c r="J752" s="493"/>
      <c r="K752" s="502" t="s">
        <v>334</v>
      </c>
    </row>
    <row r="753" spans="1:11" ht="10.5" customHeight="1" x14ac:dyDescent="0.2">
      <c r="A753" s="501" t="s">
        <v>335</v>
      </c>
      <c r="B753" s="510"/>
      <c r="C753" s="511"/>
      <c r="D753" s="511"/>
      <c r="E753" s="511"/>
      <c r="F753" s="511"/>
      <c r="G753" s="511"/>
      <c r="H753" s="507"/>
      <c r="I753" s="507"/>
      <c r="J753" s="493"/>
      <c r="K753" s="502"/>
    </row>
    <row r="754" spans="1:11" ht="10.5" customHeight="1" thickBot="1" x14ac:dyDescent="0.25">
      <c r="A754" s="145"/>
      <c r="B754" s="146"/>
      <c r="C754" s="147" t="s">
        <v>336</v>
      </c>
      <c r="D754" s="147"/>
      <c r="E754" s="147"/>
      <c r="F754" s="147"/>
      <c r="G754" s="147"/>
      <c r="H754" s="147"/>
      <c r="I754" s="147"/>
      <c r="J754" s="394"/>
      <c r="K754" s="139"/>
    </row>
    <row r="755" spans="1:11" ht="10.5" customHeight="1" x14ac:dyDescent="0.2">
      <c r="A755" s="512"/>
      <c r="B755" s="513"/>
      <c r="C755" s="514"/>
      <c r="D755" s="514"/>
      <c r="E755" s="514"/>
      <c r="F755" s="514"/>
      <c r="G755" s="514"/>
      <c r="H755" s="514"/>
      <c r="I755" s="514"/>
      <c r="J755" s="492"/>
      <c r="K755" s="500"/>
    </row>
    <row r="756" spans="1:11" ht="10.5" customHeight="1" x14ac:dyDescent="0.2">
      <c r="A756" s="501" t="s">
        <v>325</v>
      </c>
      <c r="B756" s="933">
        <f>$B$2</f>
        <v>0</v>
      </c>
      <c r="C756" s="933"/>
      <c r="D756" s="934" t="s">
        <v>326</v>
      </c>
      <c r="E756" s="934"/>
      <c r="F756" s="934"/>
      <c r="G756" s="934"/>
      <c r="H756" s="935">
        <f>$H$2</f>
        <v>45739</v>
      </c>
      <c r="I756" s="936"/>
      <c r="J756" s="493"/>
      <c r="K756" s="502" t="s">
        <v>327</v>
      </c>
    </row>
    <row r="757" spans="1:11" ht="10.5" customHeight="1" x14ac:dyDescent="0.2">
      <c r="A757" s="501"/>
      <c r="B757" s="506"/>
      <c r="C757" s="507"/>
      <c r="D757" s="507"/>
      <c r="E757" s="507"/>
      <c r="F757" s="507"/>
      <c r="G757" s="507"/>
      <c r="H757" s="507"/>
      <c r="I757" s="507"/>
      <c r="J757" s="493"/>
      <c r="K757" s="502">
        <f>$B$2</f>
        <v>0</v>
      </c>
    </row>
    <row r="758" spans="1:11" ht="10.5" customHeight="1" x14ac:dyDescent="0.2">
      <c r="A758" s="501" t="s">
        <v>0</v>
      </c>
      <c r="B758" s="943" t="str">
        <f>$B$4</f>
        <v>адрес вбить сюда</v>
      </c>
      <c r="C758" s="943"/>
      <c r="D758" s="943"/>
      <c r="E758" s="943"/>
      <c r="F758" s="943"/>
      <c r="G758" s="943"/>
      <c r="H758" s="943"/>
      <c r="I758" s="943"/>
      <c r="J758" s="944"/>
      <c r="K758" s="502"/>
    </row>
    <row r="759" spans="1:11" ht="10.5" customHeight="1" x14ac:dyDescent="0.2">
      <c r="A759" s="501"/>
      <c r="B759" s="943"/>
      <c r="C759" s="943"/>
      <c r="D759" s="943"/>
      <c r="E759" s="943"/>
      <c r="F759" s="943"/>
      <c r="G759" s="943"/>
      <c r="H759" s="943"/>
      <c r="I759" s="943"/>
      <c r="J759" s="944"/>
      <c r="K759" s="502" t="s">
        <v>328</v>
      </c>
    </row>
    <row r="760" spans="1:11" ht="10.5" customHeight="1" x14ac:dyDescent="0.2">
      <c r="A760" s="939" t="s">
        <v>329</v>
      </c>
      <c r="B760" s="940"/>
      <c r="C760" s="940"/>
      <c r="D760" s="945" t="str">
        <f>'Акт отбора проб Почва'!F78</f>
        <v>СК5</v>
      </c>
      <c r="E760" s="945"/>
      <c r="F760" s="945"/>
      <c r="G760" s="942" t="s">
        <v>330</v>
      </c>
      <c r="H760" s="942"/>
      <c r="I760" s="942"/>
      <c r="J760" s="491" t="str">
        <f>'Акт отбора проб Почва'!B78</f>
        <v>7,0-9,0</v>
      </c>
      <c r="K760" s="505">
        <f>$H$2</f>
        <v>45739</v>
      </c>
    </row>
    <row r="761" spans="1:11" ht="10.5" customHeight="1" x14ac:dyDescent="0.2">
      <c r="A761" s="501"/>
      <c r="B761" s="506"/>
      <c r="C761" s="507"/>
      <c r="D761" s="128"/>
      <c r="E761" s="128"/>
      <c r="F761" s="128"/>
      <c r="G761" s="508"/>
      <c r="H761" s="508"/>
      <c r="I761" s="508"/>
      <c r="J761" s="494"/>
      <c r="K761" s="502" t="s">
        <v>331</v>
      </c>
    </row>
    <row r="762" spans="1:11" ht="10.5" customHeight="1" x14ac:dyDescent="0.2">
      <c r="A762" s="501" t="s">
        <v>331</v>
      </c>
      <c r="B762" s="509" t="str">
        <f>'Акт отбора проб Почва'!C78</f>
        <v>05АХ.09</v>
      </c>
      <c r="C762" s="507"/>
      <c r="D762" s="128"/>
      <c r="E762" s="128"/>
      <c r="F762" s="128"/>
      <c r="G762" s="508"/>
      <c r="H762" s="508"/>
      <c r="I762" s="508"/>
      <c r="J762" s="494"/>
      <c r="K762" s="502" t="str">
        <f>B762</f>
        <v>05АХ.09</v>
      </c>
    </row>
    <row r="763" spans="1:11" ht="10.5" customHeight="1" x14ac:dyDescent="0.2">
      <c r="A763" s="501"/>
      <c r="B763" s="506"/>
      <c r="C763" s="507"/>
      <c r="D763" s="507"/>
      <c r="E763" s="507"/>
      <c r="F763" s="507"/>
      <c r="G763" s="507"/>
      <c r="H763" s="507"/>
      <c r="I763" s="507"/>
      <c r="J763" s="493"/>
      <c r="K763" s="502" t="s">
        <v>332</v>
      </c>
    </row>
    <row r="764" spans="1:11" ht="10.5" customHeight="1" x14ac:dyDescent="0.2">
      <c r="A764" s="939" t="s">
        <v>681</v>
      </c>
      <c r="B764" s="940"/>
      <c r="C764" s="951"/>
      <c r="D764" s="951"/>
      <c r="E764" s="951"/>
      <c r="F764" s="951"/>
      <c r="G764" s="951"/>
      <c r="H764" s="951"/>
      <c r="I764" s="951"/>
      <c r="J764" s="144"/>
      <c r="K764" s="502" t="str">
        <f>J760</f>
        <v>7,0-9,0</v>
      </c>
    </row>
    <row r="765" spans="1:11" ht="10.5" customHeight="1" x14ac:dyDescent="0.2">
      <c r="A765" s="501" t="s">
        <v>333</v>
      </c>
      <c r="B765" s="506"/>
      <c r="C765" s="507"/>
      <c r="D765" s="507"/>
      <c r="E765" s="507"/>
      <c r="F765" s="507"/>
      <c r="G765" s="507"/>
      <c r="H765" s="507"/>
      <c r="I765" s="507"/>
      <c r="J765" s="493"/>
      <c r="K765" s="502" t="s">
        <v>334</v>
      </c>
    </row>
    <row r="766" spans="1:11" ht="10.5" customHeight="1" x14ac:dyDescent="0.2">
      <c r="A766" s="501" t="s">
        <v>335</v>
      </c>
      <c r="B766" s="510"/>
      <c r="C766" s="511"/>
      <c r="D766" s="511"/>
      <c r="E766" s="511"/>
      <c r="F766" s="511"/>
      <c r="G766" s="511"/>
      <c r="H766" s="507"/>
      <c r="I766" s="507"/>
      <c r="J766" s="493"/>
      <c r="K766" s="502"/>
    </row>
    <row r="767" spans="1:11" ht="10.5" customHeight="1" thickBot="1" x14ac:dyDescent="0.25">
      <c r="A767" s="145"/>
      <c r="B767" s="146"/>
      <c r="C767" s="147" t="s">
        <v>336</v>
      </c>
      <c r="D767" s="147"/>
      <c r="E767" s="147"/>
      <c r="F767" s="147"/>
      <c r="G767" s="147"/>
      <c r="H767" s="147"/>
      <c r="I767" s="147"/>
      <c r="J767" s="394"/>
      <c r="K767" s="139"/>
    </row>
    <row r="768" spans="1:11" ht="10.5" customHeight="1" x14ac:dyDescent="0.2">
      <c r="A768" s="512"/>
      <c r="B768" s="513"/>
      <c r="C768" s="514"/>
      <c r="D768" s="514"/>
      <c r="E768" s="514"/>
      <c r="F768" s="514"/>
      <c r="G768" s="514"/>
      <c r="H768" s="514"/>
      <c r="I768" s="514"/>
      <c r="J768" s="492"/>
      <c r="K768" s="500"/>
    </row>
    <row r="769" spans="1:11" ht="10.5" customHeight="1" x14ac:dyDescent="0.2">
      <c r="A769" s="501" t="s">
        <v>325</v>
      </c>
      <c r="B769" s="933">
        <f>$B$2</f>
        <v>0</v>
      </c>
      <c r="C769" s="933"/>
      <c r="D769" s="934" t="s">
        <v>326</v>
      </c>
      <c r="E769" s="934"/>
      <c r="F769" s="934"/>
      <c r="G769" s="934"/>
      <c r="H769" s="935">
        <f>$H$2</f>
        <v>45739</v>
      </c>
      <c r="I769" s="936"/>
      <c r="J769" s="493"/>
      <c r="K769" s="502" t="s">
        <v>327</v>
      </c>
    </row>
    <row r="770" spans="1:11" ht="10.5" customHeight="1" x14ac:dyDescent="0.2">
      <c r="A770" s="501"/>
      <c r="B770" s="506"/>
      <c r="C770" s="507"/>
      <c r="D770" s="507"/>
      <c r="E770" s="507"/>
      <c r="F770" s="507"/>
      <c r="G770" s="507"/>
      <c r="H770" s="507"/>
      <c r="I770" s="507"/>
      <c r="J770" s="493"/>
      <c r="K770" s="502">
        <f>$B$2</f>
        <v>0</v>
      </c>
    </row>
    <row r="771" spans="1:11" ht="10.5" customHeight="1" x14ac:dyDescent="0.2">
      <c r="A771" s="501" t="s">
        <v>0</v>
      </c>
      <c r="B771" s="943" t="str">
        <f>$B$4</f>
        <v>адрес вбить сюда</v>
      </c>
      <c r="C771" s="943"/>
      <c r="D771" s="943"/>
      <c r="E771" s="943"/>
      <c r="F771" s="943"/>
      <c r="G771" s="943"/>
      <c r="H771" s="943"/>
      <c r="I771" s="943"/>
      <c r="J771" s="944"/>
      <c r="K771" s="502"/>
    </row>
    <row r="772" spans="1:11" ht="10.5" customHeight="1" x14ac:dyDescent="0.2">
      <c r="A772" s="501"/>
      <c r="B772" s="943"/>
      <c r="C772" s="943"/>
      <c r="D772" s="943"/>
      <c r="E772" s="943"/>
      <c r="F772" s="943"/>
      <c r="G772" s="943"/>
      <c r="H772" s="943"/>
      <c r="I772" s="943"/>
      <c r="J772" s="944"/>
      <c r="K772" s="502" t="s">
        <v>328</v>
      </c>
    </row>
    <row r="773" spans="1:11" ht="10.5" customHeight="1" x14ac:dyDescent="0.2">
      <c r="A773" s="939" t="s">
        <v>329</v>
      </c>
      <c r="B773" s="940"/>
      <c r="C773" s="940"/>
      <c r="D773" s="945" t="str">
        <f>'Акт отбора проб Почва'!F79</f>
        <v>СК6</v>
      </c>
      <c r="E773" s="945"/>
      <c r="F773" s="945"/>
      <c r="G773" s="942" t="s">
        <v>330</v>
      </c>
      <c r="H773" s="942"/>
      <c r="I773" s="942"/>
      <c r="J773" s="491" t="str">
        <f>'Акт отбора проб Почва'!B79</f>
        <v>7,0-9,0</v>
      </c>
      <c r="K773" s="505">
        <f>$H$2</f>
        <v>45739</v>
      </c>
    </row>
    <row r="774" spans="1:11" ht="10.5" customHeight="1" x14ac:dyDescent="0.2">
      <c r="A774" s="501"/>
      <c r="B774" s="506"/>
      <c r="C774" s="507"/>
      <c r="D774" s="128"/>
      <c r="E774" s="128"/>
      <c r="F774" s="128"/>
      <c r="G774" s="508"/>
      <c r="H774" s="508"/>
      <c r="I774" s="508"/>
      <c r="J774" s="494"/>
      <c r="K774" s="502" t="s">
        <v>331</v>
      </c>
    </row>
    <row r="775" spans="1:11" ht="10.5" customHeight="1" x14ac:dyDescent="0.2">
      <c r="A775" s="501" t="s">
        <v>331</v>
      </c>
      <c r="B775" s="509" t="str">
        <f>'Акт отбора проб Почва'!C79</f>
        <v>06АХ.09</v>
      </c>
      <c r="C775" s="507"/>
      <c r="D775" s="128"/>
      <c r="E775" s="128"/>
      <c r="F775" s="128"/>
      <c r="G775" s="508"/>
      <c r="H775" s="508"/>
      <c r="I775" s="508"/>
      <c r="J775" s="494"/>
      <c r="K775" s="502" t="str">
        <f>B775</f>
        <v>06АХ.09</v>
      </c>
    </row>
    <row r="776" spans="1:11" ht="10.5" customHeight="1" x14ac:dyDescent="0.2">
      <c r="A776" s="501"/>
      <c r="B776" s="506"/>
      <c r="C776" s="507"/>
      <c r="D776" s="507"/>
      <c r="E776" s="507"/>
      <c r="F776" s="507"/>
      <c r="G776" s="507"/>
      <c r="H776" s="507"/>
      <c r="I776" s="507"/>
      <c r="J776" s="493"/>
      <c r="K776" s="502" t="s">
        <v>332</v>
      </c>
    </row>
    <row r="777" spans="1:11" ht="10.5" customHeight="1" x14ac:dyDescent="0.2">
      <c r="A777" s="939" t="s">
        <v>681</v>
      </c>
      <c r="B777" s="940"/>
      <c r="C777" s="951"/>
      <c r="D777" s="951"/>
      <c r="E777" s="951"/>
      <c r="F777" s="951"/>
      <c r="G777" s="951"/>
      <c r="H777" s="951"/>
      <c r="I777" s="951"/>
      <c r="J777" s="144"/>
      <c r="K777" s="502" t="str">
        <f>J773</f>
        <v>7,0-9,0</v>
      </c>
    </row>
    <row r="778" spans="1:11" ht="10.5" customHeight="1" x14ac:dyDescent="0.2">
      <c r="A778" s="501" t="s">
        <v>333</v>
      </c>
      <c r="B778" s="506"/>
      <c r="C778" s="507"/>
      <c r="D778" s="507"/>
      <c r="E778" s="507"/>
      <c r="F778" s="507"/>
      <c r="G778" s="507"/>
      <c r="H778" s="507"/>
      <c r="I778" s="507"/>
      <c r="J778" s="493"/>
      <c r="K778" s="502" t="s">
        <v>334</v>
      </c>
    </row>
    <row r="779" spans="1:11" ht="10.5" customHeight="1" x14ac:dyDescent="0.2">
      <c r="A779" s="501" t="s">
        <v>335</v>
      </c>
      <c r="B779" s="510"/>
      <c r="C779" s="511"/>
      <c r="D779" s="511"/>
      <c r="E779" s="511"/>
      <c r="F779" s="511"/>
      <c r="G779" s="511"/>
      <c r="H779" s="507"/>
      <c r="I779" s="507"/>
      <c r="J779" s="493"/>
      <c r="K779" s="502"/>
    </row>
    <row r="780" spans="1:11" ht="10.5" customHeight="1" thickBot="1" x14ac:dyDescent="0.25">
      <c r="A780" s="145"/>
      <c r="B780" s="146"/>
      <c r="C780" s="147" t="s">
        <v>336</v>
      </c>
      <c r="D780" s="147"/>
      <c r="E780" s="147"/>
      <c r="F780" s="147"/>
      <c r="G780" s="147"/>
      <c r="H780" s="147"/>
      <c r="I780" s="147"/>
      <c r="J780" s="394"/>
      <c r="K780" s="139"/>
    </row>
  </sheetData>
  <mergeCells count="558">
    <mergeCell ref="C387:I387"/>
    <mergeCell ref="B379:C379"/>
    <mergeCell ref="D379:G379"/>
    <mergeCell ref="H379:I379"/>
    <mergeCell ref="B381:J382"/>
    <mergeCell ref="A383:C383"/>
    <mergeCell ref="D383:F383"/>
    <mergeCell ref="G383:I383"/>
    <mergeCell ref="B366:C366"/>
    <mergeCell ref="D366:G366"/>
    <mergeCell ref="H366:I366"/>
    <mergeCell ref="B368:J369"/>
    <mergeCell ref="A370:C370"/>
    <mergeCell ref="D370:F370"/>
    <mergeCell ref="G370:I370"/>
    <mergeCell ref="A374:B374"/>
    <mergeCell ref="C374:I374"/>
    <mergeCell ref="D190:H190"/>
    <mergeCell ref="A192:B192"/>
    <mergeCell ref="C192:I192"/>
    <mergeCell ref="B340:C340"/>
    <mergeCell ref="D340:G340"/>
    <mergeCell ref="H340:I340"/>
    <mergeCell ref="A322:B322"/>
    <mergeCell ref="C322:I322"/>
    <mergeCell ref="B327:C327"/>
    <mergeCell ref="D327:G327"/>
    <mergeCell ref="H327:I327"/>
    <mergeCell ref="B329:J330"/>
    <mergeCell ref="B314:C314"/>
    <mergeCell ref="D314:G314"/>
    <mergeCell ref="H314:I314"/>
    <mergeCell ref="B316:J317"/>
    <mergeCell ref="A318:C318"/>
    <mergeCell ref="D318:F318"/>
    <mergeCell ref="G318:I318"/>
    <mergeCell ref="B303:J304"/>
    <mergeCell ref="A305:C305"/>
    <mergeCell ref="D305:F305"/>
    <mergeCell ref="G305:I305"/>
    <mergeCell ref="A309:B309"/>
    <mergeCell ref="A162:C162"/>
    <mergeCell ref="D162:F162"/>
    <mergeCell ref="G162:I162"/>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A773:C773"/>
    <mergeCell ref="D773:F773"/>
    <mergeCell ref="G773:I773"/>
    <mergeCell ref="A777:B777"/>
    <mergeCell ref="C777:I777"/>
    <mergeCell ref="A764:B764"/>
    <mergeCell ref="C764:I764"/>
    <mergeCell ref="B769:C769"/>
    <mergeCell ref="D769:G769"/>
    <mergeCell ref="H769:I769"/>
    <mergeCell ref="B771:J772"/>
    <mergeCell ref="B756:C756"/>
    <mergeCell ref="D756:G756"/>
    <mergeCell ref="H756:I756"/>
    <mergeCell ref="B758:J759"/>
    <mergeCell ref="A760:C760"/>
    <mergeCell ref="D760:F760"/>
    <mergeCell ref="G760:I760"/>
    <mergeCell ref="B745:J746"/>
    <mergeCell ref="A747:C747"/>
    <mergeCell ref="D747:F747"/>
    <mergeCell ref="G747:I747"/>
    <mergeCell ref="A751:B751"/>
    <mergeCell ref="C751:I751"/>
    <mergeCell ref="A734:C734"/>
    <mergeCell ref="D734:F734"/>
    <mergeCell ref="G734:I734"/>
    <mergeCell ref="A738:B738"/>
    <mergeCell ref="C738:I738"/>
    <mergeCell ref="B743:C743"/>
    <mergeCell ref="D743:G743"/>
    <mergeCell ref="H743:I743"/>
    <mergeCell ref="A725:B725"/>
    <mergeCell ref="C725:I725"/>
    <mergeCell ref="B730:C730"/>
    <mergeCell ref="D730:G730"/>
    <mergeCell ref="H730:I730"/>
    <mergeCell ref="B732:J733"/>
    <mergeCell ref="B717:C717"/>
    <mergeCell ref="D717:G717"/>
    <mergeCell ref="H717:I717"/>
    <mergeCell ref="B719:J720"/>
    <mergeCell ref="A721:C721"/>
    <mergeCell ref="D721:F721"/>
    <mergeCell ref="G721:I721"/>
    <mergeCell ref="B706:J707"/>
    <mergeCell ref="A708:C708"/>
    <mergeCell ref="D708:F708"/>
    <mergeCell ref="G708:I708"/>
    <mergeCell ref="A712:B712"/>
    <mergeCell ref="C712:I712"/>
    <mergeCell ref="A695:C695"/>
    <mergeCell ref="D695:F695"/>
    <mergeCell ref="G695:I695"/>
    <mergeCell ref="A699:B699"/>
    <mergeCell ref="C699:I699"/>
    <mergeCell ref="B704:C704"/>
    <mergeCell ref="D704:G704"/>
    <mergeCell ref="H704:I704"/>
    <mergeCell ref="A686:B686"/>
    <mergeCell ref="C686:I686"/>
    <mergeCell ref="B691:C691"/>
    <mergeCell ref="D691:G691"/>
    <mergeCell ref="H691:I691"/>
    <mergeCell ref="B693:J694"/>
    <mergeCell ref="B678:C678"/>
    <mergeCell ref="D678:G678"/>
    <mergeCell ref="H678:I678"/>
    <mergeCell ref="B680:J681"/>
    <mergeCell ref="A682:C682"/>
    <mergeCell ref="D682:F682"/>
    <mergeCell ref="G682:I682"/>
    <mergeCell ref="B667:J668"/>
    <mergeCell ref="A669:C669"/>
    <mergeCell ref="D669:F669"/>
    <mergeCell ref="G669:I669"/>
    <mergeCell ref="A673:B673"/>
    <mergeCell ref="C673:I673"/>
    <mergeCell ref="A656:C656"/>
    <mergeCell ref="D656:F656"/>
    <mergeCell ref="G656:I656"/>
    <mergeCell ref="A660:B660"/>
    <mergeCell ref="C660:I660"/>
    <mergeCell ref="B665:C665"/>
    <mergeCell ref="D665:G665"/>
    <mergeCell ref="H665:I665"/>
    <mergeCell ref="A647:B647"/>
    <mergeCell ref="C647:I647"/>
    <mergeCell ref="B652:C652"/>
    <mergeCell ref="D652:G652"/>
    <mergeCell ref="H652:I652"/>
    <mergeCell ref="B654:J655"/>
    <mergeCell ref="B639:C639"/>
    <mergeCell ref="D639:G639"/>
    <mergeCell ref="H639:I639"/>
    <mergeCell ref="B641:J642"/>
    <mergeCell ref="A643:C643"/>
    <mergeCell ref="D643:F643"/>
    <mergeCell ref="G643:I643"/>
    <mergeCell ref="B628:J629"/>
    <mergeCell ref="A630:C630"/>
    <mergeCell ref="D630:F630"/>
    <mergeCell ref="G630:I630"/>
    <mergeCell ref="A634:B634"/>
    <mergeCell ref="C634:I634"/>
    <mergeCell ref="A617:C617"/>
    <mergeCell ref="D617:F617"/>
    <mergeCell ref="G617:I617"/>
    <mergeCell ref="A621:B621"/>
    <mergeCell ref="C621:I621"/>
    <mergeCell ref="B626:C626"/>
    <mergeCell ref="D626:G626"/>
    <mergeCell ref="H626:I626"/>
    <mergeCell ref="A608:B608"/>
    <mergeCell ref="C608:I608"/>
    <mergeCell ref="B613:C613"/>
    <mergeCell ref="D613:G613"/>
    <mergeCell ref="H613:I613"/>
    <mergeCell ref="B615:J616"/>
    <mergeCell ref="B600:C600"/>
    <mergeCell ref="D600:G600"/>
    <mergeCell ref="H600:I600"/>
    <mergeCell ref="B602:J603"/>
    <mergeCell ref="A604:C604"/>
    <mergeCell ref="D604:F604"/>
    <mergeCell ref="G604:I604"/>
    <mergeCell ref="B589:J590"/>
    <mergeCell ref="A591:C591"/>
    <mergeCell ref="D591:F591"/>
    <mergeCell ref="G591:I591"/>
    <mergeCell ref="A595:B595"/>
    <mergeCell ref="C595:I595"/>
    <mergeCell ref="A578:C578"/>
    <mergeCell ref="D578:F578"/>
    <mergeCell ref="G578:I578"/>
    <mergeCell ref="A582:B582"/>
    <mergeCell ref="C582:I582"/>
    <mergeCell ref="B587:C587"/>
    <mergeCell ref="D587:G587"/>
    <mergeCell ref="H587:I587"/>
    <mergeCell ref="A569:B569"/>
    <mergeCell ref="C569:I569"/>
    <mergeCell ref="B574:C574"/>
    <mergeCell ref="D574:G574"/>
    <mergeCell ref="H574:I574"/>
    <mergeCell ref="B576:J577"/>
    <mergeCell ref="B561:C561"/>
    <mergeCell ref="D561:G561"/>
    <mergeCell ref="H561:I561"/>
    <mergeCell ref="B563:J564"/>
    <mergeCell ref="A565:C565"/>
    <mergeCell ref="D565:F565"/>
    <mergeCell ref="G565:I565"/>
    <mergeCell ref="B550:J551"/>
    <mergeCell ref="A552:C552"/>
    <mergeCell ref="D552:F552"/>
    <mergeCell ref="G552:I552"/>
    <mergeCell ref="A556:B556"/>
    <mergeCell ref="C556:I556"/>
    <mergeCell ref="A539:C539"/>
    <mergeCell ref="D539:F539"/>
    <mergeCell ref="G539:I539"/>
    <mergeCell ref="A543:B543"/>
    <mergeCell ref="C543:I543"/>
    <mergeCell ref="B548:C548"/>
    <mergeCell ref="D548:G548"/>
    <mergeCell ref="H548:I548"/>
    <mergeCell ref="A530:B530"/>
    <mergeCell ref="C530:I530"/>
    <mergeCell ref="B535:C535"/>
    <mergeCell ref="D535:G535"/>
    <mergeCell ref="H535:I535"/>
    <mergeCell ref="B537:J538"/>
    <mergeCell ref="B522:C522"/>
    <mergeCell ref="D522:G522"/>
    <mergeCell ref="H522:I522"/>
    <mergeCell ref="B524:J525"/>
    <mergeCell ref="A526:C526"/>
    <mergeCell ref="D526:F526"/>
    <mergeCell ref="G526:I526"/>
    <mergeCell ref="B511:J512"/>
    <mergeCell ref="A513:C513"/>
    <mergeCell ref="D513:F513"/>
    <mergeCell ref="G513:I513"/>
    <mergeCell ref="A517:B517"/>
    <mergeCell ref="C517:I517"/>
    <mergeCell ref="A500:C500"/>
    <mergeCell ref="D500:F500"/>
    <mergeCell ref="G500:I500"/>
    <mergeCell ref="A504:B504"/>
    <mergeCell ref="C504:I504"/>
    <mergeCell ref="B509:C509"/>
    <mergeCell ref="D509:G509"/>
    <mergeCell ref="H509:I509"/>
    <mergeCell ref="A491:B491"/>
    <mergeCell ref="C491:I491"/>
    <mergeCell ref="B496:C496"/>
    <mergeCell ref="D496:G496"/>
    <mergeCell ref="H496:I496"/>
    <mergeCell ref="B498:J499"/>
    <mergeCell ref="B483:C483"/>
    <mergeCell ref="D483:G483"/>
    <mergeCell ref="H483:I483"/>
    <mergeCell ref="B485:J486"/>
    <mergeCell ref="A487:C487"/>
    <mergeCell ref="D487:F487"/>
    <mergeCell ref="G487:I487"/>
    <mergeCell ref="B472:J473"/>
    <mergeCell ref="A474:C474"/>
    <mergeCell ref="D474:F474"/>
    <mergeCell ref="G474:I474"/>
    <mergeCell ref="A478:B478"/>
    <mergeCell ref="C478:I478"/>
    <mergeCell ref="A461:C461"/>
    <mergeCell ref="D461:F461"/>
    <mergeCell ref="G461:I461"/>
    <mergeCell ref="A465:B465"/>
    <mergeCell ref="C465:I465"/>
    <mergeCell ref="B470:C470"/>
    <mergeCell ref="D470:G470"/>
    <mergeCell ref="H470:I470"/>
    <mergeCell ref="A452:B452"/>
    <mergeCell ref="C452:I452"/>
    <mergeCell ref="B457:C457"/>
    <mergeCell ref="D457:G457"/>
    <mergeCell ref="H457:I457"/>
    <mergeCell ref="B459:J460"/>
    <mergeCell ref="B444:C444"/>
    <mergeCell ref="D444:G444"/>
    <mergeCell ref="H444:I444"/>
    <mergeCell ref="B446:J447"/>
    <mergeCell ref="A448:C448"/>
    <mergeCell ref="D448:F448"/>
    <mergeCell ref="G448:I448"/>
    <mergeCell ref="B433:J434"/>
    <mergeCell ref="A435:C435"/>
    <mergeCell ref="D435:F435"/>
    <mergeCell ref="G435:I435"/>
    <mergeCell ref="A439:B439"/>
    <mergeCell ref="C439:I439"/>
    <mergeCell ref="A422:C422"/>
    <mergeCell ref="D422:F422"/>
    <mergeCell ref="G422:I422"/>
    <mergeCell ref="A426:B426"/>
    <mergeCell ref="C426:I426"/>
    <mergeCell ref="B431:C431"/>
    <mergeCell ref="D431:G431"/>
    <mergeCell ref="H431:I431"/>
    <mergeCell ref="A413:B413"/>
    <mergeCell ref="C413:I413"/>
    <mergeCell ref="B418:C418"/>
    <mergeCell ref="D418:G418"/>
    <mergeCell ref="H418:I418"/>
    <mergeCell ref="B420:J421"/>
    <mergeCell ref="B405:C405"/>
    <mergeCell ref="D405:G405"/>
    <mergeCell ref="H405:I405"/>
    <mergeCell ref="B407:J408"/>
    <mergeCell ref="A409:C409"/>
    <mergeCell ref="D409:F409"/>
    <mergeCell ref="G409:I409"/>
    <mergeCell ref="B394:J395"/>
    <mergeCell ref="A396:C396"/>
    <mergeCell ref="D396:F396"/>
    <mergeCell ref="G396:I396"/>
    <mergeCell ref="A400:B400"/>
    <mergeCell ref="C400:I400"/>
    <mergeCell ref="B392:C392"/>
    <mergeCell ref="D392:G392"/>
    <mergeCell ref="H392:I392"/>
    <mergeCell ref="A331:C331"/>
    <mergeCell ref="D331:F331"/>
    <mergeCell ref="G331:I331"/>
    <mergeCell ref="A335:B335"/>
    <mergeCell ref="C335:I335"/>
    <mergeCell ref="B342:J343"/>
    <mergeCell ref="A344:C344"/>
    <mergeCell ref="B355:J356"/>
    <mergeCell ref="A357:C357"/>
    <mergeCell ref="D357:F357"/>
    <mergeCell ref="G357:I357"/>
    <mergeCell ref="A361:B361"/>
    <mergeCell ref="C361:I361"/>
    <mergeCell ref="D344:F344"/>
    <mergeCell ref="G344:I344"/>
    <mergeCell ref="A348:B348"/>
    <mergeCell ref="C348:I348"/>
    <mergeCell ref="B353:C353"/>
    <mergeCell ref="D353:G353"/>
    <mergeCell ref="H353:I353"/>
    <mergeCell ref="A387:B387"/>
    <mergeCell ref="C309:I309"/>
    <mergeCell ref="A292:C292"/>
    <mergeCell ref="D292:F292"/>
    <mergeCell ref="G292:I292"/>
    <mergeCell ref="A296:B296"/>
    <mergeCell ref="C296:I296"/>
    <mergeCell ref="B301:C301"/>
    <mergeCell ref="D301:G301"/>
    <mergeCell ref="H301:I301"/>
    <mergeCell ref="A283:B283"/>
    <mergeCell ref="C283:I283"/>
    <mergeCell ref="B288:C288"/>
    <mergeCell ref="D288:G288"/>
    <mergeCell ref="H288:I288"/>
    <mergeCell ref="B290:J291"/>
    <mergeCell ref="B275:C275"/>
    <mergeCell ref="D275:G275"/>
    <mergeCell ref="H275:I275"/>
    <mergeCell ref="B277:J278"/>
    <mergeCell ref="A279:C279"/>
    <mergeCell ref="D279:F279"/>
    <mergeCell ref="G279:I279"/>
    <mergeCell ref="B264:J265"/>
    <mergeCell ref="A266:C266"/>
    <mergeCell ref="D266:F266"/>
    <mergeCell ref="G266:I266"/>
    <mergeCell ref="A270:B270"/>
    <mergeCell ref="C270:I270"/>
    <mergeCell ref="A253:C253"/>
    <mergeCell ref="D253:F253"/>
    <mergeCell ref="G253:I253"/>
    <mergeCell ref="A257:B257"/>
    <mergeCell ref="C257:I257"/>
    <mergeCell ref="B262:C262"/>
    <mergeCell ref="D262:G262"/>
    <mergeCell ref="H262:I262"/>
    <mergeCell ref="A244:B244"/>
    <mergeCell ref="C244:I244"/>
    <mergeCell ref="B249:C249"/>
    <mergeCell ref="D249:G249"/>
    <mergeCell ref="H249:I249"/>
    <mergeCell ref="B251:J252"/>
    <mergeCell ref="B236:C236"/>
    <mergeCell ref="D236:G236"/>
    <mergeCell ref="H236:I236"/>
    <mergeCell ref="B238:J239"/>
    <mergeCell ref="A240:C240"/>
    <mergeCell ref="D240:F240"/>
    <mergeCell ref="G240:I240"/>
    <mergeCell ref="D229:H229"/>
    <mergeCell ref="A231:B231"/>
    <mergeCell ref="C231:I231"/>
    <mergeCell ref="B223:C223"/>
    <mergeCell ref="D223:G223"/>
    <mergeCell ref="H223:I223"/>
    <mergeCell ref="B225:J226"/>
    <mergeCell ref="A227:C227"/>
    <mergeCell ref="D227:F227"/>
    <mergeCell ref="G227:I227"/>
    <mergeCell ref="B212:J213"/>
    <mergeCell ref="A214:C214"/>
    <mergeCell ref="D214:F214"/>
    <mergeCell ref="G214:I214"/>
    <mergeCell ref="D216:H216"/>
    <mergeCell ref="A218:B218"/>
    <mergeCell ref="C218:I218"/>
    <mergeCell ref="D203:H203"/>
    <mergeCell ref="A205:B205"/>
    <mergeCell ref="C205:I205"/>
    <mergeCell ref="B210:C210"/>
    <mergeCell ref="D210:G210"/>
    <mergeCell ref="H210:I210"/>
    <mergeCell ref="B197:C197"/>
    <mergeCell ref="D197:G197"/>
    <mergeCell ref="H197:I197"/>
    <mergeCell ref="B199:J200"/>
    <mergeCell ref="A201:C201"/>
    <mergeCell ref="D201:F201"/>
    <mergeCell ref="G201:I201"/>
    <mergeCell ref="B147:J148"/>
    <mergeCell ref="A149:C149"/>
    <mergeCell ref="D149:F149"/>
    <mergeCell ref="G149:I149"/>
    <mergeCell ref="D151:H151"/>
    <mergeCell ref="A153:B153"/>
    <mergeCell ref="C153:I153"/>
    <mergeCell ref="D164:H164"/>
    <mergeCell ref="A166:B166"/>
    <mergeCell ref="C166:I166"/>
    <mergeCell ref="B171:C171"/>
    <mergeCell ref="D171:G171"/>
    <mergeCell ref="H171:I171"/>
    <mergeCell ref="B158:C158"/>
    <mergeCell ref="D158:G158"/>
    <mergeCell ref="H158:I158"/>
    <mergeCell ref="B160:J161"/>
    <mergeCell ref="D138:H138"/>
    <mergeCell ref="A140:B140"/>
    <mergeCell ref="C140:I140"/>
    <mergeCell ref="B145:C145"/>
    <mergeCell ref="D145:G145"/>
    <mergeCell ref="H145:I145"/>
    <mergeCell ref="B132:C132"/>
    <mergeCell ref="D132:G132"/>
    <mergeCell ref="H132:I132"/>
    <mergeCell ref="B134:J135"/>
    <mergeCell ref="A136:C136"/>
    <mergeCell ref="D136:F136"/>
    <mergeCell ref="G136:I136"/>
    <mergeCell ref="B121:J122"/>
    <mergeCell ref="A123:C123"/>
    <mergeCell ref="D123:F123"/>
    <mergeCell ref="G123:I123"/>
    <mergeCell ref="D125:H125"/>
    <mergeCell ref="A127:B127"/>
    <mergeCell ref="C127:I127"/>
    <mergeCell ref="D112:H112"/>
    <mergeCell ref="A114:B114"/>
    <mergeCell ref="C114:I114"/>
    <mergeCell ref="B119:C119"/>
    <mergeCell ref="D119:G119"/>
    <mergeCell ref="H119:I119"/>
    <mergeCell ref="B106:C106"/>
    <mergeCell ref="D106:G106"/>
    <mergeCell ref="H106:I106"/>
    <mergeCell ref="B108:J109"/>
    <mergeCell ref="A110:C110"/>
    <mergeCell ref="D110:F110"/>
    <mergeCell ref="G110:I110"/>
    <mergeCell ref="B95:J96"/>
    <mergeCell ref="A97:C97"/>
    <mergeCell ref="D97:F97"/>
    <mergeCell ref="G97:I97"/>
    <mergeCell ref="D99:H99"/>
    <mergeCell ref="A101:B101"/>
    <mergeCell ref="C101:I101"/>
    <mergeCell ref="D86:H86"/>
    <mergeCell ref="A88:B88"/>
    <mergeCell ref="C88:I88"/>
    <mergeCell ref="B93:C93"/>
    <mergeCell ref="D93:G93"/>
    <mergeCell ref="H93:I93"/>
    <mergeCell ref="B80:C80"/>
    <mergeCell ref="D80:G80"/>
    <mergeCell ref="H80:I80"/>
    <mergeCell ref="B82:J83"/>
    <mergeCell ref="A84:C84"/>
    <mergeCell ref="D84:F84"/>
    <mergeCell ref="G84:I84"/>
    <mergeCell ref="B69:J70"/>
    <mergeCell ref="A71:C71"/>
    <mergeCell ref="D71:F71"/>
    <mergeCell ref="G71:I71"/>
    <mergeCell ref="D74:H74"/>
    <mergeCell ref="A75:B75"/>
    <mergeCell ref="C75:I75"/>
    <mergeCell ref="D60:H60"/>
    <mergeCell ref="A62:B62"/>
    <mergeCell ref="C62:I62"/>
    <mergeCell ref="B67:C67"/>
    <mergeCell ref="D67:G67"/>
    <mergeCell ref="H67:I67"/>
    <mergeCell ref="B54:C54"/>
    <mergeCell ref="D54:G54"/>
    <mergeCell ref="H54:I54"/>
    <mergeCell ref="B56:J57"/>
    <mergeCell ref="A58:C58"/>
    <mergeCell ref="D58:F58"/>
    <mergeCell ref="G58:I58"/>
    <mergeCell ref="B43:J44"/>
    <mergeCell ref="A45:C45"/>
    <mergeCell ref="D45:F45"/>
    <mergeCell ref="G45:I45"/>
    <mergeCell ref="D47:H47"/>
    <mergeCell ref="A49:B49"/>
    <mergeCell ref="C49:I49"/>
    <mergeCell ref="D35:H35"/>
    <mergeCell ref="A36:B36"/>
    <mergeCell ref="C36:I36"/>
    <mergeCell ref="B41:C41"/>
    <mergeCell ref="D41:G41"/>
    <mergeCell ref="H41:I41"/>
    <mergeCell ref="B28:C28"/>
    <mergeCell ref="D28:G28"/>
    <mergeCell ref="H28:I28"/>
    <mergeCell ref="B30:J31"/>
    <mergeCell ref="A32:C32"/>
    <mergeCell ref="D32:F32"/>
    <mergeCell ref="G32:I32"/>
    <mergeCell ref="D21:H21"/>
    <mergeCell ref="A23:B23"/>
    <mergeCell ref="C23:I23"/>
    <mergeCell ref="D8:H8"/>
    <mergeCell ref="A10:B10"/>
    <mergeCell ref="C10:I10"/>
    <mergeCell ref="B15:C15"/>
    <mergeCell ref="D15:G15"/>
    <mergeCell ref="H15:I15"/>
    <mergeCell ref="B2:C2"/>
    <mergeCell ref="D2:G2"/>
    <mergeCell ref="H2:I2"/>
    <mergeCell ref="B4:J5"/>
    <mergeCell ref="A6:C6"/>
    <mergeCell ref="D6:F6"/>
    <mergeCell ref="G6:I6"/>
    <mergeCell ref="B17:J18"/>
    <mergeCell ref="A19:C19"/>
    <mergeCell ref="D19:F19"/>
    <mergeCell ref="G19:I19"/>
  </mergeCells>
  <pageMargins left="0.47244094488188981" right="0.23622047244094491" top="0.47244094488188981" bottom="0.59055118110236227" header="0.15748031496062992" footer="0.31496062992125984"/>
  <pageSetup paperSize="9" scale="95" orientation="portrait" r:id="rId1"/>
  <headerFooter alignWithMargins="0"/>
  <rowBreaks count="7" manualBreakCount="7">
    <brk id="78" max="9" man="1"/>
    <brk id="156" max="9" man="1"/>
    <brk id="234" max="9" man="1"/>
    <brk id="312" max="9" man="1"/>
    <brk id="390" max="9" man="1"/>
    <brk id="468" max="9" man="1"/>
    <brk id="546" max="9"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M260"/>
  <sheetViews>
    <sheetView view="pageBreakPreview" zoomScaleNormal="100" workbookViewId="0">
      <selection activeCell="J1" sqref="J1:J1048576"/>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96" customWidth="1"/>
    <col min="11" max="11" width="18.85546875" customWidth="1"/>
  </cols>
  <sheetData>
    <row r="1" spans="1:13" s="119" customFormat="1" ht="10.5" customHeight="1" x14ac:dyDescent="0.2">
      <c r="A1" s="115"/>
      <c r="B1" s="116"/>
      <c r="C1" s="117"/>
      <c r="D1" s="117"/>
      <c r="E1" s="117"/>
      <c r="F1" s="117"/>
      <c r="G1" s="117"/>
      <c r="H1" s="117"/>
      <c r="I1" s="117"/>
      <c r="J1" s="489"/>
      <c r="K1" s="118"/>
    </row>
    <row r="2" spans="1:13" s="119" customFormat="1" ht="10.5" customHeight="1" x14ac:dyDescent="0.2">
      <c r="A2" s="120" t="s">
        <v>325</v>
      </c>
      <c r="B2" s="952"/>
      <c r="C2" s="952"/>
      <c r="D2" s="934" t="s">
        <v>326</v>
      </c>
      <c r="E2" s="934"/>
      <c r="F2" s="934"/>
      <c r="G2" s="934"/>
      <c r="H2" s="953">
        <f>'Акт отбора проб Почва'!E9</f>
        <v>45739</v>
      </c>
      <c r="I2" s="954"/>
      <c r="J2" s="490"/>
      <c r="K2" s="122" t="s">
        <v>327</v>
      </c>
    </row>
    <row r="3" spans="1:13" s="119" customFormat="1" ht="10.5" customHeight="1" x14ac:dyDescent="0.2">
      <c r="A3" s="120"/>
      <c r="B3" s="123"/>
      <c r="C3" s="121"/>
      <c r="D3" s="121"/>
      <c r="E3" s="121"/>
      <c r="F3" s="121"/>
      <c r="G3" s="121"/>
      <c r="H3" s="121"/>
      <c r="I3" s="121"/>
      <c r="J3" s="490"/>
      <c r="K3" s="122">
        <f>$B$2</f>
        <v>0</v>
      </c>
    </row>
    <row r="4" spans="1:13" s="119" customFormat="1" ht="10.5" customHeight="1" x14ac:dyDescent="0.2">
      <c r="A4" s="120" t="s">
        <v>0</v>
      </c>
      <c r="B4" s="955" t="str">
        <f>БОП!B4</f>
        <v>адрес вбить сюда</v>
      </c>
      <c r="C4" s="955"/>
      <c r="D4" s="955"/>
      <c r="E4" s="955"/>
      <c r="F4" s="955"/>
      <c r="G4" s="955"/>
      <c r="H4" s="955"/>
      <c r="I4" s="955"/>
      <c r="J4" s="956"/>
      <c r="K4" s="122"/>
    </row>
    <row r="5" spans="1:13" s="119" customFormat="1" ht="10.5" customHeight="1" x14ac:dyDescent="0.2">
      <c r="A5" s="120"/>
      <c r="B5" s="955"/>
      <c r="C5" s="955"/>
      <c r="D5" s="955"/>
      <c r="E5" s="955"/>
      <c r="F5" s="955"/>
      <c r="G5" s="955"/>
      <c r="H5" s="955"/>
      <c r="I5" s="955"/>
      <c r="J5" s="956"/>
      <c r="K5" s="122" t="s">
        <v>328</v>
      </c>
    </row>
    <row r="6" spans="1:13" s="119" customFormat="1" ht="10.5" customHeight="1" x14ac:dyDescent="0.2">
      <c r="A6" s="957" t="s">
        <v>329</v>
      </c>
      <c r="B6" s="958"/>
      <c r="C6" s="958"/>
      <c r="D6" s="941" t="str">
        <f>'Акт отбора проб МБ'!F20</f>
        <v>ПП1</v>
      </c>
      <c r="E6" s="941"/>
      <c r="F6" s="941"/>
      <c r="G6" s="959" t="s">
        <v>330</v>
      </c>
      <c r="H6" s="959"/>
      <c r="I6" s="959"/>
      <c r="J6" s="491" t="str">
        <f>'Акт отбора проб МБ'!B20</f>
        <v>0,0-0,2</v>
      </c>
      <c r="K6" s="126">
        <f>H2</f>
        <v>45739</v>
      </c>
    </row>
    <row r="7" spans="1:13" s="119" customFormat="1" ht="10.5" customHeight="1" x14ac:dyDescent="0.2">
      <c r="A7" s="120"/>
      <c r="B7" s="127"/>
      <c r="C7" s="124"/>
      <c r="D7" s="128"/>
      <c r="E7" s="128"/>
      <c r="F7" s="128"/>
      <c r="G7" s="125"/>
      <c r="H7" s="125"/>
      <c r="I7" s="125"/>
      <c r="J7" s="154"/>
      <c r="K7" s="122" t="s">
        <v>331</v>
      </c>
    </row>
    <row r="8" spans="1:13" s="119" customFormat="1" ht="10.5" customHeight="1" x14ac:dyDescent="0.2">
      <c r="A8" s="120" t="s">
        <v>331</v>
      </c>
      <c r="B8" s="129" t="str">
        <f>'Акт отбора проб МБ'!C20</f>
        <v>01АМ.01</v>
      </c>
      <c r="C8" s="124"/>
      <c r="D8" s="946"/>
      <c r="E8" s="946"/>
      <c r="F8" s="946"/>
      <c r="G8" s="946"/>
      <c r="H8" s="946"/>
      <c r="I8" s="125"/>
      <c r="J8" s="154"/>
      <c r="K8" s="122" t="str">
        <f>B8</f>
        <v>01АМ.01</v>
      </c>
    </row>
    <row r="9" spans="1:13" s="119" customFormat="1" ht="10.5" customHeight="1" x14ac:dyDescent="0.2">
      <c r="A9" s="120"/>
      <c r="B9" s="127"/>
      <c r="C9" s="124"/>
      <c r="D9" s="124"/>
      <c r="E9" s="124"/>
      <c r="F9" s="124"/>
      <c r="G9" s="124"/>
      <c r="H9" s="124"/>
      <c r="I9" s="124"/>
      <c r="J9" s="490"/>
      <c r="K9" s="122" t="s">
        <v>332</v>
      </c>
      <c r="M9" s="130"/>
    </row>
    <row r="10" spans="1:13" s="119" customFormat="1" ht="10.5" customHeight="1" x14ac:dyDescent="0.2">
      <c r="A10" s="957" t="s">
        <v>681</v>
      </c>
      <c r="B10" s="958"/>
      <c r="C10" s="947"/>
      <c r="D10" s="947"/>
      <c r="E10" s="947"/>
      <c r="F10" s="947"/>
      <c r="G10" s="947"/>
      <c r="H10" s="947"/>
      <c r="I10" s="947"/>
      <c r="J10" s="131"/>
      <c r="K10" s="122" t="str">
        <f>J6</f>
        <v>0,0-0,2</v>
      </c>
    </row>
    <row r="11" spans="1:13" s="119" customFormat="1" ht="10.5" customHeight="1" x14ac:dyDescent="0.2">
      <c r="A11" s="120" t="s">
        <v>333</v>
      </c>
      <c r="B11" s="127"/>
      <c r="C11" s="124"/>
      <c r="D11" s="132"/>
      <c r="E11" s="132"/>
      <c r="F11" s="132"/>
      <c r="G11" s="124"/>
      <c r="H11" s="124"/>
      <c r="I11" s="124"/>
      <c r="J11" s="490"/>
      <c r="K11" s="122" t="s">
        <v>334</v>
      </c>
    </row>
    <row r="12" spans="1:13" s="119" customFormat="1" ht="10.5" customHeight="1" x14ac:dyDescent="0.2">
      <c r="A12" s="120" t="s">
        <v>335</v>
      </c>
      <c r="B12" s="133"/>
      <c r="C12" s="134"/>
      <c r="D12" s="134"/>
      <c r="E12" s="134"/>
      <c r="F12" s="134"/>
      <c r="G12" s="134"/>
      <c r="H12" s="124"/>
      <c r="I12" s="124"/>
      <c r="J12" s="490"/>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92"/>
      <c r="K14" s="118"/>
    </row>
    <row r="15" spans="1:13" s="119" customFormat="1" ht="10.5" customHeight="1" x14ac:dyDescent="0.2">
      <c r="A15" s="120" t="s">
        <v>325</v>
      </c>
      <c r="B15" s="952">
        <f>$B$2</f>
        <v>0</v>
      </c>
      <c r="C15" s="952"/>
      <c r="D15" s="934" t="s">
        <v>326</v>
      </c>
      <c r="E15" s="934"/>
      <c r="F15" s="934"/>
      <c r="G15" s="934"/>
      <c r="H15" s="953">
        <f>$H$2</f>
        <v>45739</v>
      </c>
      <c r="I15" s="954"/>
      <c r="J15" s="493"/>
      <c r="K15" s="122" t="s">
        <v>327</v>
      </c>
    </row>
    <row r="16" spans="1:13" s="119" customFormat="1" ht="10.5" customHeight="1" x14ac:dyDescent="0.2">
      <c r="A16" s="120"/>
      <c r="B16" s="127"/>
      <c r="C16" s="124"/>
      <c r="D16" s="124"/>
      <c r="E16" s="124"/>
      <c r="F16" s="124"/>
      <c r="G16" s="124"/>
      <c r="H16" s="124"/>
      <c r="I16" s="124"/>
      <c r="J16" s="493"/>
      <c r="K16" s="122">
        <f>$B$2</f>
        <v>0</v>
      </c>
    </row>
    <row r="17" spans="1:11" s="119" customFormat="1" ht="10.5" customHeight="1" x14ac:dyDescent="0.2">
      <c r="A17" s="120" t="s">
        <v>0</v>
      </c>
      <c r="B17" s="960" t="str">
        <f>$B$4</f>
        <v>адрес вбить сюда</v>
      </c>
      <c r="C17" s="960"/>
      <c r="D17" s="960"/>
      <c r="E17" s="960"/>
      <c r="F17" s="960"/>
      <c r="G17" s="960"/>
      <c r="H17" s="960"/>
      <c r="I17" s="960"/>
      <c r="J17" s="961"/>
      <c r="K17" s="122"/>
    </row>
    <row r="18" spans="1:11" s="119" customFormat="1" ht="10.5" customHeight="1" x14ac:dyDescent="0.2">
      <c r="A18" s="120"/>
      <c r="B18" s="960"/>
      <c r="C18" s="960"/>
      <c r="D18" s="960"/>
      <c r="E18" s="960"/>
      <c r="F18" s="960"/>
      <c r="G18" s="960"/>
      <c r="H18" s="960"/>
      <c r="I18" s="960"/>
      <c r="J18" s="961"/>
      <c r="K18" s="122" t="s">
        <v>328</v>
      </c>
    </row>
    <row r="19" spans="1:11" s="119" customFormat="1" ht="10.5" customHeight="1" x14ac:dyDescent="0.2">
      <c r="A19" s="957" t="s">
        <v>329</v>
      </c>
      <c r="B19" s="958"/>
      <c r="C19" s="958"/>
      <c r="D19" s="945" t="str">
        <f>'Акт отбора проб МБ'!F21</f>
        <v>ПП2</v>
      </c>
      <c r="E19" s="945"/>
      <c r="F19" s="945"/>
      <c r="G19" s="959" t="s">
        <v>330</v>
      </c>
      <c r="H19" s="959"/>
      <c r="I19" s="959"/>
      <c r="J19" s="491" t="str">
        <f>'Акт отбора проб МБ'!B21</f>
        <v>0,0-0,2</v>
      </c>
      <c r="K19" s="126">
        <f>$H$2</f>
        <v>45739</v>
      </c>
    </row>
    <row r="20" spans="1:11" s="119" customFormat="1" ht="10.5" customHeight="1" x14ac:dyDescent="0.2">
      <c r="A20" s="120"/>
      <c r="B20" s="127"/>
      <c r="C20" s="124"/>
      <c r="D20" s="128"/>
      <c r="E20" s="128"/>
      <c r="F20" s="128"/>
      <c r="G20" s="125"/>
      <c r="H20" s="125"/>
      <c r="I20" s="125"/>
      <c r="J20" s="494"/>
      <c r="K20" s="122" t="s">
        <v>331</v>
      </c>
    </row>
    <row r="21" spans="1:11" s="119" customFormat="1" ht="10.5" customHeight="1" x14ac:dyDescent="0.2">
      <c r="A21" s="120" t="s">
        <v>331</v>
      </c>
      <c r="B21" s="129" t="str">
        <f>'Акт отбора проб МБ'!C21</f>
        <v>02АМ.01</v>
      </c>
      <c r="C21" s="124"/>
      <c r="D21" s="946"/>
      <c r="E21" s="946"/>
      <c r="F21" s="946"/>
      <c r="G21" s="946"/>
      <c r="H21" s="946"/>
      <c r="I21" s="125"/>
      <c r="J21" s="494"/>
      <c r="K21" s="122" t="str">
        <f>B21</f>
        <v>02АМ.01</v>
      </c>
    </row>
    <row r="22" spans="1:11" s="119" customFormat="1" ht="10.5" customHeight="1" x14ac:dyDescent="0.2">
      <c r="A22" s="120"/>
      <c r="B22" s="127"/>
      <c r="C22" s="124"/>
      <c r="D22" s="124"/>
      <c r="E22" s="124"/>
      <c r="F22" s="124"/>
      <c r="G22" s="124"/>
      <c r="H22" s="124"/>
      <c r="I22" s="124"/>
      <c r="J22" s="493"/>
      <c r="K22" s="122" t="s">
        <v>332</v>
      </c>
    </row>
    <row r="23" spans="1:11" s="119" customFormat="1" ht="10.5" customHeight="1" x14ac:dyDescent="0.2">
      <c r="A23" s="957" t="s">
        <v>681</v>
      </c>
      <c r="B23" s="958"/>
      <c r="C23" s="947"/>
      <c r="D23" s="947"/>
      <c r="E23" s="947"/>
      <c r="F23" s="947"/>
      <c r="G23" s="947"/>
      <c r="H23" s="947"/>
      <c r="I23" s="947"/>
      <c r="J23" s="144"/>
      <c r="K23" s="122" t="str">
        <f>J19</f>
        <v>0,0-0,2</v>
      </c>
    </row>
    <row r="24" spans="1:11" s="119" customFormat="1" ht="10.5" customHeight="1" x14ac:dyDescent="0.2">
      <c r="A24" s="120" t="s">
        <v>333</v>
      </c>
      <c r="B24" s="127"/>
      <c r="C24" s="124"/>
      <c r="D24" s="124"/>
      <c r="E24" s="124"/>
      <c r="F24" s="124"/>
      <c r="G24" s="124"/>
      <c r="H24" s="124"/>
      <c r="I24" s="124"/>
      <c r="J24" s="493"/>
      <c r="K24" s="122" t="s">
        <v>334</v>
      </c>
    </row>
    <row r="25" spans="1:11" s="119" customFormat="1" ht="10.5" customHeight="1" x14ac:dyDescent="0.2">
      <c r="A25" s="120" t="s">
        <v>335</v>
      </c>
      <c r="B25" s="133"/>
      <c r="C25" s="134"/>
      <c r="D25" s="134"/>
      <c r="E25" s="134"/>
      <c r="F25" s="134"/>
      <c r="G25" s="134"/>
      <c r="H25" s="124"/>
      <c r="I25" s="124"/>
      <c r="J25" s="493"/>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92"/>
      <c r="K27" s="118"/>
    </row>
    <row r="28" spans="1:11" s="119" customFormat="1" ht="10.5" customHeight="1" x14ac:dyDescent="0.2">
      <c r="A28" s="120" t="s">
        <v>325</v>
      </c>
      <c r="B28" s="952">
        <f>$B$2</f>
        <v>0</v>
      </c>
      <c r="C28" s="952"/>
      <c r="D28" s="934" t="s">
        <v>326</v>
      </c>
      <c r="E28" s="934"/>
      <c r="F28" s="934"/>
      <c r="G28" s="934"/>
      <c r="H28" s="953">
        <f>$H$2</f>
        <v>45739</v>
      </c>
      <c r="I28" s="954"/>
      <c r="J28" s="493"/>
      <c r="K28" s="122" t="s">
        <v>327</v>
      </c>
    </row>
    <row r="29" spans="1:11" s="119" customFormat="1" ht="10.5" customHeight="1" x14ac:dyDescent="0.2">
      <c r="A29" s="120"/>
      <c r="B29" s="127"/>
      <c r="C29" s="124"/>
      <c r="D29" s="124"/>
      <c r="E29" s="124"/>
      <c r="F29" s="124"/>
      <c r="G29" s="124"/>
      <c r="H29" s="124"/>
      <c r="I29" s="124"/>
      <c r="J29" s="493"/>
      <c r="K29" s="122">
        <f>$B$2</f>
        <v>0</v>
      </c>
    </row>
    <row r="30" spans="1:11" s="119" customFormat="1" ht="10.5" customHeight="1" x14ac:dyDescent="0.2">
      <c r="A30" s="120" t="s">
        <v>0</v>
      </c>
      <c r="B30" s="960" t="str">
        <f>B4</f>
        <v>адрес вбить сюда</v>
      </c>
      <c r="C30" s="960"/>
      <c r="D30" s="960"/>
      <c r="E30" s="960"/>
      <c r="F30" s="960"/>
      <c r="G30" s="960"/>
      <c r="H30" s="960"/>
      <c r="I30" s="960"/>
      <c r="J30" s="961"/>
      <c r="K30" s="122"/>
    </row>
    <row r="31" spans="1:11" s="119" customFormat="1" ht="10.5" customHeight="1" x14ac:dyDescent="0.2">
      <c r="A31" s="120"/>
      <c r="B31" s="960"/>
      <c r="C31" s="960"/>
      <c r="D31" s="960"/>
      <c r="E31" s="960"/>
      <c r="F31" s="960"/>
      <c r="G31" s="960"/>
      <c r="H31" s="960"/>
      <c r="I31" s="960"/>
      <c r="J31" s="961"/>
      <c r="K31" s="122" t="s">
        <v>328</v>
      </c>
    </row>
    <row r="32" spans="1:11" s="119" customFormat="1" ht="10.5" customHeight="1" x14ac:dyDescent="0.2">
      <c r="A32" s="957" t="s">
        <v>329</v>
      </c>
      <c r="B32" s="958"/>
      <c r="C32" s="958"/>
      <c r="D32" s="945" t="str">
        <f>'Акт отбора проб МБ'!F22</f>
        <v>ПП3</v>
      </c>
      <c r="E32" s="945"/>
      <c r="F32" s="945"/>
      <c r="G32" s="959" t="s">
        <v>330</v>
      </c>
      <c r="H32" s="959"/>
      <c r="I32" s="959"/>
      <c r="J32" s="491" t="str">
        <f>'Акт отбора проб МБ'!B22</f>
        <v>0,0-0,2</v>
      </c>
      <c r="K32" s="126">
        <f>$H$2</f>
        <v>45739</v>
      </c>
    </row>
    <row r="33" spans="1:11" s="119" customFormat="1" ht="10.5" customHeight="1" x14ac:dyDescent="0.2">
      <c r="A33" s="120"/>
      <c r="B33" s="127"/>
      <c r="C33" s="124"/>
      <c r="D33" s="128"/>
      <c r="E33" s="128"/>
      <c r="F33" s="128"/>
      <c r="G33" s="125"/>
      <c r="H33" s="125"/>
      <c r="I33" s="125"/>
      <c r="J33" s="494"/>
      <c r="K33" s="122" t="s">
        <v>331</v>
      </c>
    </row>
    <row r="34" spans="1:11" s="119" customFormat="1" ht="10.5" customHeight="1" x14ac:dyDescent="0.2">
      <c r="A34" s="120" t="s">
        <v>331</v>
      </c>
      <c r="B34" s="129" t="str">
        <f>'Акт отбора проб МБ'!C22</f>
        <v>03АМ.01</v>
      </c>
      <c r="C34" s="124"/>
      <c r="D34" s="128"/>
      <c r="E34" s="128"/>
      <c r="F34" s="128"/>
      <c r="G34" s="125"/>
      <c r="H34" s="125"/>
      <c r="I34" s="125"/>
      <c r="J34" s="494"/>
      <c r="K34" s="122" t="str">
        <f>B34</f>
        <v>03АМ.01</v>
      </c>
    </row>
    <row r="35" spans="1:11" s="119" customFormat="1" ht="10.5" customHeight="1" x14ac:dyDescent="0.2">
      <c r="A35" s="120"/>
      <c r="B35" s="127"/>
      <c r="C35" s="124"/>
      <c r="D35" s="946"/>
      <c r="E35" s="946"/>
      <c r="F35" s="946"/>
      <c r="G35" s="946"/>
      <c r="H35" s="946"/>
      <c r="I35" s="124"/>
      <c r="J35" s="493"/>
      <c r="K35" s="122" t="s">
        <v>332</v>
      </c>
    </row>
    <row r="36" spans="1:11" s="119" customFormat="1" ht="10.5" customHeight="1" x14ac:dyDescent="0.2">
      <c r="A36" s="957" t="s">
        <v>681</v>
      </c>
      <c r="B36" s="958"/>
      <c r="C36" s="947"/>
      <c r="D36" s="947"/>
      <c r="E36" s="947"/>
      <c r="F36" s="947"/>
      <c r="G36" s="947"/>
      <c r="H36" s="947"/>
      <c r="I36" s="947"/>
      <c r="J36" s="144"/>
      <c r="K36" s="122" t="str">
        <f>J32</f>
        <v>0,0-0,2</v>
      </c>
    </row>
    <row r="37" spans="1:11" s="119" customFormat="1" ht="10.5" customHeight="1" x14ac:dyDescent="0.2">
      <c r="A37" s="120" t="s">
        <v>333</v>
      </c>
      <c r="B37" s="127"/>
      <c r="C37" s="124"/>
      <c r="D37" s="124"/>
      <c r="E37" s="124"/>
      <c r="F37" s="124"/>
      <c r="G37" s="124"/>
      <c r="H37" s="124"/>
      <c r="I37" s="124"/>
      <c r="J37" s="493"/>
      <c r="K37" s="122" t="s">
        <v>334</v>
      </c>
    </row>
    <row r="38" spans="1:11" s="119" customFormat="1" ht="10.5" customHeight="1" x14ac:dyDescent="0.2">
      <c r="A38" s="120" t="s">
        <v>335</v>
      </c>
      <c r="B38" s="133"/>
      <c r="C38" s="134"/>
      <c r="D38" s="134"/>
      <c r="E38" s="134"/>
      <c r="F38" s="134"/>
      <c r="G38" s="134"/>
      <c r="H38" s="124"/>
      <c r="I38" s="124"/>
      <c r="J38" s="493"/>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92"/>
      <c r="K40" s="118"/>
    </row>
    <row r="41" spans="1:11" s="119" customFormat="1" ht="10.5" customHeight="1" x14ac:dyDescent="0.2">
      <c r="A41" s="120" t="s">
        <v>325</v>
      </c>
      <c r="B41" s="952">
        <f>B2</f>
        <v>0</v>
      </c>
      <c r="C41" s="952"/>
      <c r="D41" s="934" t="s">
        <v>326</v>
      </c>
      <c r="E41" s="934"/>
      <c r="F41" s="934"/>
      <c r="G41" s="934"/>
      <c r="H41" s="953">
        <f>$H$2</f>
        <v>45739</v>
      </c>
      <c r="I41" s="954"/>
      <c r="J41" s="493"/>
      <c r="K41" s="122" t="s">
        <v>327</v>
      </c>
    </row>
    <row r="42" spans="1:11" s="119" customFormat="1" ht="10.5" customHeight="1" x14ac:dyDescent="0.2">
      <c r="A42" s="120"/>
      <c r="B42" s="127"/>
      <c r="C42" s="124"/>
      <c r="D42" s="124"/>
      <c r="E42" s="124"/>
      <c r="F42" s="124"/>
      <c r="G42" s="124"/>
      <c r="H42" s="124"/>
      <c r="I42" s="124"/>
      <c r="J42" s="493"/>
      <c r="K42" s="122">
        <f>$B$2</f>
        <v>0</v>
      </c>
    </row>
    <row r="43" spans="1:11" s="119" customFormat="1" ht="10.5" customHeight="1" x14ac:dyDescent="0.2">
      <c r="A43" s="120" t="s">
        <v>0</v>
      </c>
      <c r="B43" s="960" t="str">
        <f>$B$4</f>
        <v>адрес вбить сюда</v>
      </c>
      <c r="C43" s="960"/>
      <c r="D43" s="960"/>
      <c r="E43" s="960"/>
      <c r="F43" s="960"/>
      <c r="G43" s="960"/>
      <c r="H43" s="960"/>
      <c r="I43" s="960"/>
      <c r="J43" s="961"/>
      <c r="K43" s="122"/>
    </row>
    <row r="44" spans="1:11" s="119" customFormat="1" ht="10.5" customHeight="1" x14ac:dyDescent="0.2">
      <c r="A44" s="120"/>
      <c r="B44" s="960"/>
      <c r="C44" s="960"/>
      <c r="D44" s="960"/>
      <c r="E44" s="960"/>
      <c r="F44" s="960"/>
      <c r="G44" s="960"/>
      <c r="H44" s="960"/>
      <c r="I44" s="960"/>
      <c r="J44" s="961"/>
      <c r="K44" s="122" t="s">
        <v>328</v>
      </c>
    </row>
    <row r="45" spans="1:11" s="119" customFormat="1" ht="10.5" customHeight="1" x14ac:dyDescent="0.2">
      <c r="A45" s="957" t="s">
        <v>329</v>
      </c>
      <c r="B45" s="958"/>
      <c r="C45" s="958"/>
      <c r="D45" s="945" t="str">
        <f>'Акт отбора проб МБ'!F23</f>
        <v>ПП4</v>
      </c>
      <c r="E45" s="945"/>
      <c r="F45" s="945"/>
      <c r="G45" s="959" t="s">
        <v>330</v>
      </c>
      <c r="H45" s="959"/>
      <c r="I45" s="959"/>
      <c r="J45" s="491" t="str">
        <f>'Акт отбора проб МБ'!B23</f>
        <v>0,0-0,2</v>
      </c>
      <c r="K45" s="126">
        <f>$H$2</f>
        <v>45739</v>
      </c>
    </row>
    <row r="46" spans="1:11" s="119" customFormat="1" ht="10.5" customHeight="1" x14ac:dyDescent="0.2">
      <c r="A46" s="120"/>
      <c r="B46" s="127"/>
      <c r="C46" s="124"/>
      <c r="D46" s="128"/>
      <c r="E46" s="128"/>
      <c r="F46" s="128"/>
      <c r="G46" s="125"/>
      <c r="H46" s="125"/>
      <c r="I46" s="125"/>
      <c r="J46" s="494"/>
      <c r="K46" s="122" t="s">
        <v>331</v>
      </c>
    </row>
    <row r="47" spans="1:11" s="119" customFormat="1" ht="10.5" customHeight="1" x14ac:dyDescent="0.2">
      <c r="A47" s="120" t="s">
        <v>331</v>
      </c>
      <c r="B47" s="129" t="str">
        <f>'Акт отбора проб МБ'!C23</f>
        <v>04АМ.01</v>
      </c>
      <c r="C47" s="124"/>
      <c r="D47" s="946"/>
      <c r="E47" s="946"/>
      <c r="F47" s="946"/>
      <c r="G47" s="946"/>
      <c r="H47" s="946"/>
      <c r="I47" s="125"/>
      <c r="J47" s="494"/>
      <c r="K47" s="122" t="str">
        <f>B47</f>
        <v>04АМ.01</v>
      </c>
    </row>
    <row r="48" spans="1:11" s="119" customFormat="1" ht="10.5" customHeight="1" x14ac:dyDescent="0.2">
      <c r="A48" s="120"/>
      <c r="B48" s="127"/>
      <c r="C48" s="124"/>
      <c r="D48" s="124"/>
      <c r="E48" s="124"/>
      <c r="F48" s="124"/>
      <c r="G48" s="124"/>
      <c r="H48" s="124"/>
      <c r="I48" s="124"/>
      <c r="J48" s="493"/>
      <c r="K48" s="122" t="s">
        <v>332</v>
      </c>
    </row>
    <row r="49" spans="1:11" s="119" customFormat="1" ht="10.5" customHeight="1" x14ac:dyDescent="0.2">
      <c r="A49" s="957" t="s">
        <v>681</v>
      </c>
      <c r="B49" s="958"/>
      <c r="C49" s="947"/>
      <c r="D49" s="947"/>
      <c r="E49" s="947"/>
      <c r="F49" s="947"/>
      <c r="G49" s="947"/>
      <c r="H49" s="947"/>
      <c r="I49" s="947"/>
      <c r="J49" s="144"/>
      <c r="K49" s="122" t="str">
        <f>J45</f>
        <v>0,0-0,2</v>
      </c>
    </row>
    <row r="50" spans="1:11" s="119" customFormat="1" ht="10.5" customHeight="1" x14ac:dyDescent="0.2">
      <c r="A50" s="120" t="s">
        <v>333</v>
      </c>
      <c r="B50" s="127"/>
      <c r="C50" s="124"/>
      <c r="D50" s="124"/>
      <c r="E50" s="124"/>
      <c r="F50" s="124"/>
      <c r="G50" s="124"/>
      <c r="H50" s="124"/>
      <c r="I50" s="124"/>
      <c r="J50" s="493"/>
      <c r="K50" s="122" t="s">
        <v>334</v>
      </c>
    </row>
    <row r="51" spans="1:11" s="119" customFormat="1" ht="10.5" customHeight="1" x14ac:dyDescent="0.2">
      <c r="A51" s="120" t="s">
        <v>335</v>
      </c>
      <c r="B51" s="133"/>
      <c r="C51" s="134"/>
      <c r="D51" s="134"/>
      <c r="E51" s="134"/>
      <c r="F51" s="134"/>
      <c r="G51" s="134"/>
      <c r="H51" s="124"/>
      <c r="I51" s="124"/>
      <c r="J51" s="493"/>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92"/>
      <c r="K53" s="118"/>
    </row>
    <row r="54" spans="1:11" s="119" customFormat="1" ht="10.5" customHeight="1" x14ac:dyDescent="0.2">
      <c r="A54" s="120" t="s">
        <v>325</v>
      </c>
      <c r="B54" s="952">
        <f>$B$2</f>
        <v>0</v>
      </c>
      <c r="C54" s="952"/>
      <c r="D54" s="934" t="s">
        <v>326</v>
      </c>
      <c r="E54" s="934"/>
      <c r="F54" s="934"/>
      <c r="G54" s="934"/>
      <c r="H54" s="953">
        <f>$H$2</f>
        <v>45739</v>
      </c>
      <c r="I54" s="954"/>
      <c r="J54" s="493"/>
      <c r="K54" s="122" t="s">
        <v>327</v>
      </c>
    </row>
    <row r="55" spans="1:11" s="119" customFormat="1" ht="10.5" customHeight="1" x14ac:dyDescent="0.2">
      <c r="A55" s="152"/>
      <c r="B55" s="127"/>
      <c r="C55" s="124"/>
      <c r="D55" s="124"/>
      <c r="E55" s="124"/>
      <c r="F55" s="124"/>
      <c r="G55" s="124"/>
      <c r="H55" s="124"/>
      <c r="I55" s="124"/>
      <c r="J55" s="493"/>
      <c r="K55" s="122">
        <f>$B$2</f>
        <v>0</v>
      </c>
    </row>
    <row r="56" spans="1:11" s="119" customFormat="1" ht="10.5" customHeight="1" x14ac:dyDescent="0.2">
      <c r="A56" s="120" t="s">
        <v>0</v>
      </c>
      <c r="B56" s="960" t="str">
        <f>$B$4</f>
        <v>адрес вбить сюда</v>
      </c>
      <c r="C56" s="960"/>
      <c r="D56" s="960"/>
      <c r="E56" s="960"/>
      <c r="F56" s="960"/>
      <c r="G56" s="960"/>
      <c r="H56" s="960"/>
      <c r="I56" s="960"/>
      <c r="J56" s="961"/>
      <c r="K56" s="122"/>
    </row>
    <row r="57" spans="1:11" s="119" customFormat="1" ht="10.5" customHeight="1" x14ac:dyDescent="0.2">
      <c r="A57" s="152"/>
      <c r="B57" s="960"/>
      <c r="C57" s="960"/>
      <c r="D57" s="960"/>
      <c r="E57" s="960"/>
      <c r="F57" s="960"/>
      <c r="G57" s="960"/>
      <c r="H57" s="960"/>
      <c r="I57" s="960"/>
      <c r="J57" s="961"/>
      <c r="K57" s="122" t="s">
        <v>328</v>
      </c>
    </row>
    <row r="58" spans="1:11" s="119" customFormat="1" ht="10.5" customHeight="1" x14ac:dyDescent="0.2">
      <c r="A58" s="962" t="s">
        <v>329</v>
      </c>
      <c r="B58" s="952"/>
      <c r="C58" s="952"/>
      <c r="D58" s="945" t="str">
        <f>'Акт отбора проб МБ'!F24</f>
        <v>ПП5</v>
      </c>
      <c r="E58" s="945"/>
      <c r="F58" s="945"/>
      <c r="G58" s="963" t="s">
        <v>330</v>
      </c>
      <c r="H58" s="963"/>
      <c r="I58" s="963"/>
      <c r="J58" s="491" t="str">
        <f>'Акт отбора проб МБ'!B24</f>
        <v>0,0-0,2</v>
      </c>
      <c r="K58" s="126">
        <f>$H$2</f>
        <v>45739</v>
      </c>
    </row>
    <row r="59" spans="1:11" s="119" customFormat="1" ht="10.5" customHeight="1" x14ac:dyDescent="0.2">
      <c r="A59" s="152"/>
      <c r="B59" s="123"/>
      <c r="C59" s="121"/>
      <c r="D59" s="154"/>
      <c r="E59" s="154"/>
      <c r="F59" s="154"/>
      <c r="G59" s="153"/>
      <c r="H59" s="153"/>
      <c r="I59" s="153"/>
      <c r="J59" s="494"/>
      <c r="K59" s="122" t="s">
        <v>331</v>
      </c>
    </row>
    <row r="60" spans="1:11" s="119" customFormat="1" ht="10.5" customHeight="1" x14ac:dyDescent="0.2">
      <c r="A60" s="120" t="s">
        <v>331</v>
      </c>
      <c r="B60" s="129" t="str">
        <f>'Акт отбора проб МБ'!C24</f>
        <v>05АМ.01</v>
      </c>
      <c r="C60" s="121"/>
      <c r="D60" s="946"/>
      <c r="E60" s="946"/>
      <c r="F60" s="946"/>
      <c r="G60" s="946"/>
      <c r="H60" s="946"/>
      <c r="I60" s="153"/>
      <c r="J60" s="494"/>
      <c r="K60" s="122" t="str">
        <f>B60</f>
        <v>05АМ.01</v>
      </c>
    </row>
    <row r="61" spans="1:11" s="119" customFormat="1" ht="10.5" customHeight="1" x14ac:dyDescent="0.2">
      <c r="A61" s="152"/>
      <c r="B61" s="123"/>
      <c r="C61" s="121"/>
      <c r="D61" s="121"/>
      <c r="E61" s="121"/>
      <c r="F61" s="121"/>
      <c r="G61" s="121"/>
      <c r="H61" s="121"/>
      <c r="I61" s="121"/>
      <c r="J61" s="493"/>
      <c r="K61" s="122" t="s">
        <v>332</v>
      </c>
    </row>
    <row r="62" spans="1:11" s="119" customFormat="1" ht="10.5" customHeight="1" x14ac:dyDescent="0.2">
      <c r="A62" s="962" t="s">
        <v>681</v>
      </c>
      <c r="B62" s="952"/>
      <c r="C62" s="950"/>
      <c r="D62" s="950"/>
      <c r="E62" s="950"/>
      <c r="F62" s="950"/>
      <c r="G62" s="950"/>
      <c r="H62" s="950"/>
      <c r="I62" s="950"/>
      <c r="J62" s="155"/>
      <c r="K62" s="122" t="str">
        <f>J58</f>
        <v>0,0-0,2</v>
      </c>
    </row>
    <row r="63" spans="1:11" s="119" customFormat="1" ht="10.5" customHeight="1" x14ac:dyDescent="0.2">
      <c r="A63" s="152" t="s">
        <v>333</v>
      </c>
      <c r="B63" s="123"/>
      <c r="C63" s="121"/>
      <c r="D63" s="121"/>
      <c r="E63" s="121"/>
      <c r="F63" s="121"/>
      <c r="G63" s="121"/>
      <c r="H63" s="121"/>
      <c r="I63" s="121"/>
      <c r="J63" s="493"/>
      <c r="K63" s="122" t="s">
        <v>334</v>
      </c>
    </row>
    <row r="64" spans="1:11" s="119" customFormat="1" ht="10.5" customHeight="1" x14ac:dyDescent="0.2">
      <c r="A64" s="152" t="s">
        <v>335</v>
      </c>
      <c r="B64" s="156"/>
      <c r="C64" s="157"/>
      <c r="D64" s="157"/>
      <c r="E64" s="157"/>
      <c r="F64" s="157"/>
      <c r="G64" s="157"/>
      <c r="H64" s="121"/>
      <c r="I64" s="121"/>
      <c r="J64" s="493"/>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95"/>
      <c r="K66" s="118"/>
    </row>
    <row r="67" spans="1:11" s="119" customFormat="1" ht="10.5" customHeight="1" x14ac:dyDescent="0.2">
      <c r="A67" s="120" t="s">
        <v>325</v>
      </c>
      <c r="B67" s="952">
        <f>$B$2</f>
        <v>0</v>
      </c>
      <c r="C67" s="952"/>
      <c r="D67" s="934" t="s">
        <v>326</v>
      </c>
      <c r="E67" s="934"/>
      <c r="F67" s="934"/>
      <c r="G67" s="934"/>
      <c r="H67" s="953">
        <f>$H$2</f>
        <v>45739</v>
      </c>
      <c r="I67" s="954"/>
      <c r="J67" s="493"/>
      <c r="K67" s="122" t="s">
        <v>327</v>
      </c>
    </row>
    <row r="68" spans="1:11" s="119" customFormat="1" ht="10.5" customHeight="1" x14ac:dyDescent="0.2">
      <c r="A68" s="120"/>
      <c r="B68" s="127"/>
      <c r="C68" s="124"/>
      <c r="D68" s="124"/>
      <c r="E68" s="124"/>
      <c r="F68" s="124"/>
      <c r="G68" s="124"/>
      <c r="H68" s="124"/>
      <c r="I68" s="124"/>
      <c r="J68" s="493"/>
      <c r="K68" s="122">
        <f>$B$2</f>
        <v>0</v>
      </c>
    </row>
    <row r="69" spans="1:11" s="119" customFormat="1" ht="10.5" customHeight="1" x14ac:dyDescent="0.2">
      <c r="A69" s="120" t="s">
        <v>0</v>
      </c>
      <c r="B69" s="960" t="str">
        <f>$B$4</f>
        <v>адрес вбить сюда</v>
      </c>
      <c r="C69" s="960"/>
      <c r="D69" s="960"/>
      <c r="E69" s="960"/>
      <c r="F69" s="960"/>
      <c r="G69" s="960"/>
      <c r="H69" s="960"/>
      <c r="I69" s="960"/>
      <c r="J69" s="961"/>
      <c r="K69" s="122"/>
    </row>
    <row r="70" spans="1:11" s="119" customFormat="1" ht="10.5" customHeight="1" x14ac:dyDescent="0.2">
      <c r="A70" s="120"/>
      <c r="B70" s="960"/>
      <c r="C70" s="960"/>
      <c r="D70" s="960"/>
      <c r="E70" s="960"/>
      <c r="F70" s="960"/>
      <c r="G70" s="960"/>
      <c r="H70" s="960"/>
      <c r="I70" s="960"/>
      <c r="J70" s="961"/>
      <c r="K70" s="122" t="s">
        <v>328</v>
      </c>
    </row>
    <row r="71" spans="1:11" s="119" customFormat="1" ht="10.5" customHeight="1" x14ac:dyDescent="0.2">
      <c r="A71" s="957" t="s">
        <v>329</v>
      </c>
      <c r="B71" s="958"/>
      <c r="C71" s="958"/>
      <c r="D71" s="945" t="str">
        <f>'Акт отбора проб МБ'!F25</f>
        <v>ПП6</v>
      </c>
      <c r="E71" s="945"/>
      <c r="F71" s="945"/>
      <c r="G71" s="959" t="s">
        <v>330</v>
      </c>
      <c r="H71" s="959"/>
      <c r="I71" s="959"/>
      <c r="J71" s="491" t="str">
        <f>'Акт отбора проб МБ'!B25</f>
        <v>0,0-0,2</v>
      </c>
      <c r="K71" s="126">
        <f>$H$2</f>
        <v>45739</v>
      </c>
    </row>
    <row r="72" spans="1:11" s="119" customFormat="1" ht="10.5" customHeight="1" x14ac:dyDescent="0.2">
      <c r="A72" s="120"/>
      <c r="B72" s="127"/>
      <c r="C72" s="124"/>
      <c r="D72" s="128"/>
      <c r="E72" s="128"/>
      <c r="F72" s="128"/>
      <c r="G72" s="125"/>
      <c r="H72" s="125"/>
      <c r="I72" s="125"/>
      <c r="J72" s="494"/>
      <c r="K72" s="122" t="s">
        <v>331</v>
      </c>
    </row>
    <row r="73" spans="1:11" s="119" customFormat="1" ht="10.5" customHeight="1" x14ac:dyDescent="0.2">
      <c r="A73" s="120" t="s">
        <v>331</v>
      </c>
      <c r="B73" s="129" t="str">
        <f>'Акт отбора проб МБ'!C25</f>
        <v>06АМ.01</v>
      </c>
      <c r="C73" s="124"/>
      <c r="D73" s="128"/>
      <c r="E73" s="128"/>
      <c r="F73" s="128"/>
      <c r="G73" s="125"/>
      <c r="H73" s="125"/>
      <c r="I73" s="125"/>
      <c r="J73" s="494"/>
      <c r="K73" s="122" t="str">
        <f>B73</f>
        <v>06АМ.01</v>
      </c>
    </row>
    <row r="74" spans="1:11" s="119" customFormat="1" ht="10.5" customHeight="1" x14ac:dyDescent="0.2">
      <c r="A74" s="120"/>
      <c r="B74" s="127"/>
      <c r="C74" s="124"/>
      <c r="D74" s="946"/>
      <c r="E74" s="946"/>
      <c r="F74" s="946"/>
      <c r="G74" s="946"/>
      <c r="H74" s="946"/>
      <c r="I74" s="124"/>
      <c r="J74" s="493"/>
      <c r="K74" s="122" t="s">
        <v>332</v>
      </c>
    </row>
    <row r="75" spans="1:11" s="119" customFormat="1" ht="10.5" customHeight="1" x14ac:dyDescent="0.2">
      <c r="A75" s="957" t="s">
        <v>681</v>
      </c>
      <c r="B75" s="958"/>
      <c r="C75" s="947"/>
      <c r="D75" s="947"/>
      <c r="E75" s="947"/>
      <c r="F75" s="947"/>
      <c r="G75" s="947"/>
      <c r="H75" s="947"/>
      <c r="I75" s="947"/>
      <c r="J75" s="144"/>
      <c r="K75" s="122" t="str">
        <f>J71</f>
        <v>0,0-0,2</v>
      </c>
    </row>
    <row r="76" spans="1:11" s="119" customFormat="1" ht="10.5" customHeight="1" x14ac:dyDescent="0.2">
      <c r="A76" s="120" t="s">
        <v>333</v>
      </c>
      <c r="B76" s="127"/>
      <c r="C76" s="124"/>
      <c r="D76" s="124"/>
      <c r="E76" s="124"/>
      <c r="F76" s="124"/>
      <c r="G76" s="124"/>
      <c r="H76" s="124"/>
      <c r="I76" s="124"/>
      <c r="J76" s="493"/>
      <c r="K76" s="122" t="s">
        <v>334</v>
      </c>
    </row>
    <row r="77" spans="1:11" s="119" customFormat="1" ht="10.5" customHeight="1" x14ac:dyDescent="0.2">
      <c r="A77" s="120" t="s">
        <v>335</v>
      </c>
      <c r="B77" s="133"/>
      <c r="C77" s="134"/>
      <c r="D77" s="134"/>
      <c r="E77" s="134"/>
      <c r="F77" s="134"/>
      <c r="G77" s="134"/>
      <c r="H77" s="124"/>
      <c r="I77" s="124"/>
      <c r="J77" s="493"/>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92"/>
      <c r="K79" s="118"/>
    </row>
    <row r="80" spans="1:11" s="119" customFormat="1" ht="10.5" customHeight="1" x14ac:dyDescent="0.2">
      <c r="A80" s="120" t="s">
        <v>325</v>
      </c>
      <c r="B80" s="952">
        <f>$B$2</f>
        <v>0</v>
      </c>
      <c r="C80" s="952"/>
      <c r="D80" s="934" t="s">
        <v>326</v>
      </c>
      <c r="E80" s="934"/>
      <c r="F80" s="934"/>
      <c r="G80" s="934"/>
      <c r="H80" s="953">
        <f>$H$2</f>
        <v>45739</v>
      </c>
      <c r="I80" s="954"/>
      <c r="J80" s="493"/>
      <c r="K80" s="122" t="s">
        <v>327</v>
      </c>
    </row>
    <row r="81" spans="1:11" s="119" customFormat="1" ht="10.5" customHeight="1" x14ac:dyDescent="0.2">
      <c r="A81" s="120"/>
      <c r="B81" s="127"/>
      <c r="C81" s="124"/>
      <c r="D81" s="124"/>
      <c r="E81" s="124"/>
      <c r="F81" s="124"/>
      <c r="G81" s="124"/>
      <c r="H81" s="124"/>
      <c r="I81" s="124"/>
      <c r="J81" s="493"/>
      <c r="K81" s="122">
        <f>$B$2</f>
        <v>0</v>
      </c>
    </row>
    <row r="82" spans="1:11" s="119" customFormat="1" ht="10.5" customHeight="1" x14ac:dyDescent="0.2">
      <c r="A82" s="120" t="s">
        <v>0</v>
      </c>
      <c r="B82" s="960" t="str">
        <f>$B$4</f>
        <v>адрес вбить сюда</v>
      </c>
      <c r="C82" s="960"/>
      <c r="D82" s="960"/>
      <c r="E82" s="960"/>
      <c r="F82" s="960"/>
      <c r="G82" s="960"/>
      <c r="H82" s="960"/>
      <c r="I82" s="960"/>
      <c r="J82" s="961"/>
      <c r="K82" s="122"/>
    </row>
    <row r="83" spans="1:11" s="119" customFormat="1" ht="10.5" customHeight="1" x14ac:dyDescent="0.2">
      <c r="A83" s="120"/>
      <c r="B83" s="960"/>
      <c r="C83" s="960"/>
      <c r="D83" s="960"/>
      <c r="E83" s="960"/>
      <c r="F83" s="960"/>
      <c r="G83" s="960"/>
      <c r="H83" s="960"/>
      <c r="I83" s="960"/>
      <c r="J83" s="961"/>
      <c r="K83" s="122" t="s">
        <v>328</v>
      </c>
    </row>
    <row r="84" spans="1:11" s="119" customFormat="1" ht="10.5" customHeight="1" x14ac:dyDescent="0.2">
      <c r="A84" s="957" t="s">
        <v>329</v>
      </c>
      <c r="B84" s="958"/>
      <c r="C84" s="958"/>
      <c r="D84" s="945" t="str">
        <f>'Акт отбора проб МБ'!F26</f>
        <v>ПП7</v>
      </c>
      <c r="E84" s="945"/>
      <c r="F84" s="945"/>
      <c r="G84" s="959" t="s">
        <v>330</v>
      </c>
      <c r="H84" s="959"/>
      <c r="I84" s="959"/>
      <c r="J84" s="491" t="str">
        <f>'Акт отбора проб МБ'!B26</f>
        <v>0,0-0,2</v>
      </c>
      <c r="K84" s="126">
        <f>$H$2</f>
        <v>45739</v>
      </c>
    </row>
    <row r="85" spans="1:11" s="119" customFormat="1" ht="10.5" customHeight="1" x14ac:dyDescent="0.2">
      <c r="A85" s="120"/>
      <c r="B85" s="127"/>
      <c r="C85" s="124"/>
      <c r="D85" s="128"/>
      <c r="E85" s="128"/>
      <c r="F85" s="128"/>
      <c r="G85" s="125"/>
      <c r="H85" s="125"/>
      <c r="I85" s="125"/>
      <c r="J85" s="494"/>
      <c r="K85" s="122" t="s">
        <v>331</v>
      </c>
    </row>
    <row r="86" spans="1:11" s="119" customFormat="1" ht="10.5" customHeight="1" x14ac:dyDescent="0.2">
      <c r="A86" s="120" t="s">
        <v>331</v>
      </c>
      <c r="B86" s="129" t="str">
        <f>'Акт отбора проб МБ'!C26</f>
        <v>07АМ.01</v>
      </c>
      <c r="C86" s="124"/>
      <c r="D86" s="946"/>
      <c r="E86" s="946"/>
      <c r="F86" s="946"/>
      <c r="G86" s="946"/>
      <c r="H86" s="946"/>
      <c r="I86" s="125"/>
      <c r="J86" s="494"/>
      <c r="K86" s="122" t="str">
        <f>B86</f>
        <v>07АМ.01</v>
      </c>
    </row>
    <row r="87" spans="1:11" s="119" customFormat="1" ht="10.5" customHeight="1" x14ac:dyDescent="0.2">
      <c r="A87" s="120"/>
      <c r="B87" s="127"/>
      <c r="C87" s="124"/>
      <c r="D87" s="124"/>
      <c r="E87" s="124"/>
      <c r="F87" s="124"/>
      <c r="G87" s="124"/>
      <c r="H87" s="124"/>
      <c r="I87" s="124"/>
      <c r="J87" s="493"/>
      <c r="K87" s="122" t="s">
        <v>332</v>
      </c>
    </row>
    <row r="88" spans="1:11" s="119" customFormat="1" ht="10.5" customHeight="1" x14ac:dyDescent="0.2">
      <c r="A88" s="957" t="s">
        <v>681</v>
      </c>
      <c r="B88" s="958"/>
      <c r="C88" s="947"/>
      <c r="D88" s="947"/>
      <c r="E88" s="947"/>
      <c r="F88" s="947"/>
      <c r="G88" s="947"/>
      <c r="H88" s="947"/>
      <c r="I88" s="947"/>
      <c r="J88" s="144"/>
      <c r="K88" s="122" t="str">
        <f>J84</f>
        <v>0,0-0,2</v>
      </c>
    </row>
    <row r="89" spans="1:11" s="119" customFormat="1" ht="10.5" customHeight="1" x14ac:dyDescent="0.2">
      <c r="A89" s="120" t="s">
        <v>333</v>
      </c>
      <c r="B89" s="127"/>
      <c r="C89" s="124"/>
      <c r="D89" s="124"/>
      <c r="E89" s="124"/>
      <c r="F89" s="124"/>
      <c r="G89" s="124"/>
      <c r="H89" s="124"/>
      <c r="I89" s="124"/>
      <c r="J89" s="493"/>
      <c r="K89" s="122" t="s">
        <v>334</v>
      </c>
    </row>
    <row r="90" spans="1:11" s="119" customFormat="1" ht="10.5" customHeight="1" x14ac:dyDescent="0.2">
      <c r="A90" s="120" t="s">
        <v>335</v>
      </c>
      <c r="B90" s="133"/>
      <c r="C90" s="134"/>
      <c r="D90" s="134"/>
      <c r="E90" s="134"/>
      <c r="F90" s="134"/>
      <c r="G90" s="134"/>
      <c r="H90" s="124"/>
      <c r="I90" s="124"/>
      <c r="J90" s="493"/>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92"/>
      <c r="K92" s="118"/>
    </row>
    <row r="93" spans="1:11" s="119" customFormat="1" ht="10.5" customHeight="1" x14ac:dyDescent="0.2">
      <c r="A93" s="120" t="s">
        <v>325</v>
      </c>
      <c r="B93" s="952">
        <f>$B$2</f>
        <v>0</v>
      </c>
      <c r="C93" s="952"/>
      <c r="D93" s="934" t="s">
        <v>326</v>
      </c>
      <c r="E93" s="934"/>
      <c r="F93" s="934"/>
      <c r="G93" s="934"/>
      <c r="H93" s="953">
        <f>$H$2</f>
        <v>45739</v>
      </c>
      <c r="I93" s="954"/>
      <c r="J93" s="493"/>
      <c r="K93" s="122" t="s">
        <v>327</v>
      </c>
    </row>
    <row r="94" spans="1:11" s="119" customFormat="1" ht="10.5" customHeight="1" x14ac:dyDescent="0.2">
      <c r="A94" s="120"/>
      <c r="B94" s="127"/>
      <c r="C94" s="124"/>
      <c r="D94" s="124"/>
      <c r="E94" s="124"/>
      <c r="F94" s="124"/>
      <c r="G94" s="124"/>
      <c r="H94" s="124"/>
      <c r="I94" s="124"/>
      <c r="J94" s="493"/>
      <c r="K94" s="122">
        <f>$B$2</f>
        <v>0</v>
      </c>
    </row>
    <row r="95" spans="1:11" s="119" customFormat="1" ht="10.5" customHeight="1" x14ac:dyDescent="0.2">
      <c r="A95" s="120" t="s">
        <v>0</v>
      </c>
      <c r="B95" s="960" t="str">
        <f>$B$4</f>
        <v>адрес вбить сюда</v>
      </c>
      <c r="C95" s="960"/>
      <c r="D95" s="960"/>
      <c r="E95" s="960"/>
      <c r="F95" s="960"/>
      <c r="G95" s="960"/>
      <c r="H95" s="960"/>
      <c r="I95" s="960"/>
      <c r="J95" s="961"/>
      <c r="K95" s="122"/>
    </row>
    <row r="96" spans="1:11" s="119" customFormat="1" ht="10.5" customHeight="1" x14ac:dyDescent="0.2">
      <c r="A96" s="120"/>
      <c r="B96" s="960"/>
      <c r="C96" s="960"/>
      <c r="D96" s="960"/>
      <c r="E96" s="960"/>
      <c r="F96" s="960"/>
      <c r="G96" s="960"/>
      <c r="H96" s="960"/>
      <c r="I96" s="960"/>
      <c r="J96" s="961"/>
      <c r="K96" s="122" t="s">
        <v>328</v>
      </c>
    </row>
    <row r="97" spans="1:11" s="119" customFormat="1" ht="10.5" customHeight="1" x14ac:dyDescent="0.2">
      <c r="A97" s="957" t="s">
        <v>329</v>
      </c>
      <c r="B97" s="958"/>
      <c r="C97" s="958"/>
      <c r="D97" s="945" t="str">
        <f>'Акт отбора проб МБ'!F27</f>
        <v>ПП8</v>
      </c>
      <c r="E97" s="945"/>
      <c r="F97" s="945"/>
      <c r="G97" s="959" t="s">
        <v>330</v>
      </c>
      <c r="H97" s="959"/>
      <c r="I97" s="959"/>
      <c r="J97" s="491" t="str">
        <f>'Акт отбора проб МБ'!B27</f>
        <v>0,0-0,2</v>
      </c>
      <c r="K97" s="126">
        <f>$H$2</f>
        <v>45739</v>
      </c>
    </row>
    <row r="98" spans="1:11" s="119" customFormat="1" ht="10.5" customHeight="1" x14ac:dyDescent="0.2">
      <c r="A98" s="120"/>
      <c r="B98" s="127"/>
      <c r="C98" s="124"/>
      <c r="D98" s="128"/>
      <c r="E98" s="128"/>
      <c r="F98" s="128"/>
      <c r="G98" s="125"/>
      <c r="H98" s="125"/>
      <c r="I98" s="125"/>
      <c r="J98" s="494"/>
      <c r="K98" s="122" t="s">
        <v>331</v>
      </c>
    </row>
    <row r="99" spans="1:11" s="119" customFormat="1" ht="10.5" customHeight="1" x14ac:dyDescent="0.2">
      <c r="A99" s="120" t="s">
        <v>331</v>
      </c>
      <c r="B99" s="129" t="str">
        <f>'Акт отбора проб МБ'!C27</f>
        <v>08АМ.01</v>
      </c>
      <c r="C99" s="124"/>
      <c r="D99" s="946"/>
      <c r="E99" s="946"/>
      <c r="F99" s="946"/>
      <c r="G99" s="946"/>
      <c r="H99" s="946"/>
      <c r="I99" s="125"/>
      <c r="J99" s="494"/>
      <c r="K99" s="122" t="str">
        <f>B99</f>
        <v>08АМ.01</v>
      </c>
    </row>
    <row r="100" spans="1:11" s="119" customFormat="1" ht="10.5" customHeight="1" x14ac:dyDescent="0.2">
      <c r="A100" s="120"/>
      <c r="B100" s="127"/>
      <c r="C100" s="124"/>
      <c r="D100" s="124"/>
      <c r="E100" s="124"/>
      <c r="F100" s="124"/>
      <c r="G100" s="124"/>
      <c r="H100" s="124"/>
      <c r="I100" s="124"/>
      <c r="J100" s="493"/>
      <c r="K100" s="122" t="s">
        <v>332</v>
      </c>
    </row>
    <row r="101" spans="1:11" s="119" customFormat="1" ht="10.5" customHeight="1" x14ac:dyDescent="0.2">
      <c r="A101" s="957" t="s">
        <v>681</v>
      </c>
      <c r="B101" s="958"/>
      <c r="C101" s="947"/>
      <c r="D101" s="947"/>
      <c r="E101" s="947"/>
      <c r="F101" s="947"/>
      <c r="G101" s="947"/>
      <c r="H101" s="947"/>
      <c r="I101" s="947"/>
      <c r="J101" s="144"/>
      <c r="K101" s="122" t="str">
        <f>J97</f>
        <v>0,0-0,2</v>
      </c>
    </row>
    <row r="102" spans="1:11" s="119" customFormat="1" ht="10.5" customHeight="1" x14ac:dyDescent="0.2">
      <c r="A102" s="120" t="s">
        <v>333</v>
      </c>
      <c r="B102" s="127"/>
      <c r="C102" s="124"/>
      <c r="D102" s="124"/>
      <c r="E102" s="124"/>
      <c r="F102" s="124"/>
      <c r="G102" s="124"/>
      <c r="H102" s="124"/>
      <c r="I102" s="124"/>
      <c r="J102" s="493"/>
      <c r="K102" s="122" t="s">
        <v>334</v>
      </c>
    </row>
    <row r="103" spans="1:11" s="119" customFormat="1" ht="10.5" customHeight="1" x14ac:dyDescent="0.2">
      <c r="A103" s="120" t="s">
        <v>335</v>
      </c>
      <c r="B103" s="133"/>
      <c r="C103" s="134"/>
      <c r="D103" s="134"/>
      <c r="E103" s="134"/>
      <c r="F103" s="134"/>
      <c r="G103" s="134"/>
      <c r="H103" s="124"/>
      <c r="I103" s="124"/>
      <c r="J103" s="493"/>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952">
        <f>$B$2</f>
        <v>0</v>
      </c>
      <c r="C106" s="952"/>
      <c r="D106" s="934" t="s">
        <v>326</v>
      </c>
      <c r="E106" s="934"/>
      <c r="F106" s="934"/>
      <c r="G106" s="934"/>
      <c r="H106" s="953">
        <f>$H$2</f>
        <v>45739</v>
      </c>
      <c r="I106" s="954"/>
      <c r="J106" s="493"/>
      <c r="K106" s="122" t="s">
        <v>327</v>
      </c>
    </row>
    <row r="107" spans="1:11" s="119" customFormat="1" ht="10.5" customHeight="1" x14ac:dyDescent="0.2">
      <c r="A107" s="120"/>
      <c r="B107" s="127"/>
      <c r="C107" s="124"/>
      <c r="D107" s="124"/>
      <c r="E107" s="124"/>
      <c r="F107" s="124"/>
      <c r="G107" s="124"/>
      <c r="H107" s="124"/>
      <c r="I107" s="124"/>
      <c r="J107" s="493"/>
      <c r="K107" s="122">
        <f>$B$2</f>
        <v>0</v>
      </c>
    </row>
    <row r="108" spans="1:11" s="119" customFormat="1" ht="10.5" customHeight="1" x14ac:dyDescent="0.2">
      <c r="A108" s="120" t="s">
        <v>0</v>
      </c>
      <c r="B108" s="960" t="str">
        <f>$B$4</f>
        <v>адрес вбить сюда</v>
      </c>
      <c r="C108" s="960"/>
      <c r="D108" s="960"/>
      <c r="E108" s="960"/>
      <c r="F108" s="960"/>
      <c r="G108" s="960"/>
      <c r="H108" s="960"/>
      <c r="I108" s="960"/>
      <c r="J108" s="961"/>
      <c r="K108" s="122"/>
    </row>
    <row r="109" spans="1:11" s="119" customFormat="1" ht="10.5" customHeight="1" x14ac:dyDescent="0.2">
      <c r="A109" s="120"/>
      <c r="B109" s="960"/>
      <c r="C109" s="960"/>
      <c r="D109" s="960"/>
      <c r="E109" s="960"/>
      <c r="F109" s="960"/>
      <c r="G109" s="960"/>
      <c r="H109" s="960"/>
      <c r="I109" s="960"/>
      <c r="J109" s="961"/>
      <c r="K109" s="122" t="s">
        <v>328</v>
      </c>
    </row>
    <row r="110" spans="1:11" s="119" customFormat="1" ht="10.5" customHeight="1" x14ac:dyDescent="0.2">
      <c r="A110" s="957" t="s">
        <v>329</v>
      </c>
      <c r="B110" s="958"/>
      <c r="C110" s="958"/>
      <c r="D110" s="945" t="str">
        <f>'Акт отбора проб МБ'!F28</f>
        <v>ПП9</v>
      </c>
      <c r="E110" s="945"/>
      <c r="F110" s="945"/>
      <c r="G110" s="959" t="s">
        <v>330</v>
      </c>
      <c r="H110" s="959"/>
      <c r="I110" s="959"/>
      <c r="J110" s="491" t="str">
        <f>'Акт отбора проб МБ'!B28</f>
        <v>0,0-0,2</v>
      </c>
      <c r="K110" s="126">
        <f>$H$2</f>
        <v>45739</v>
      </c>
    </row>
    <row r="111" spans="1:11" s="119" customFormat="1" ht="10.5" customHeight="1" x14ac:dyDescent="0.2">
      <c r="A111" s="120"/>
      <c r="B111" s="127"/>
      <c r="C111" s="124"/>
      <c r="D111" s="128"/>
      <c r="E111" s="128"/>
      <c r="F111" s="128"/>
      <c r="G111" s="125"/>
      <c r="H111" s="125"/>
      <c r="I111" s="125"/>
      <c r="J111" s="494"/>
      <c r="K111" s="122" t="s">
        <v>331</v>
      </c>
    </row>
    <row r="112" spans="1:11" s="119" customFormat="1" ht="10.5" customHeight="1" x14ac:dyDescent="0.2">
      <c r="A112" s="120" t="s">
        <v>331</v>
      </c>
      <c r="B112" s="129" t="str">
        <f>'Акт отбора проб МБ'!C28</f>
        <v>09АМ.01</v>
      </c>
      <c r="C112" s="124"/>
      <c r="D112" s="946"/>
      <c r="E112" s="946"/>
      <c r="F112" s="946"/>
      <c r="G112" s="946"/>
      <c r="H112" s="946"/>
      <c r="I112" s="125"/>
      <c r="J112" s="494"/>
      <c r="K112" s="122" t="str">
        <f>B112</f>
        <v>09АМ.01</v>
      </c>
    </row>
    <row r="113" spans="1:11" s="119" customFormat="1" ht="10.5" customHeight="1" x14ac:dyDescent="0.2">
      <c r="A113" s="120"/>
      <c r="B113" s="127"/>
      <c r="C113" s="124"/>
      <c r="D113" s="124"/>
      <c r="E113" s="124"/>
      <c r="F113" s="124"/>
      <c r="G113" s="124"/>
      <c r="H113" s="124"/>
      <c r="I113" s="124"/>
      <c r="J113" s="493"/>
      <c r="K113" s="122" t="s">
        <v>332</v>
      </c>
    </row>
    <row r="114" spans="1:11" s="119" customFormat="1" ht="10.5" customHeight="1" x14ac:dyDescent="0.2">
      <c r="A114" s="957" t="s">
        <v>681</v>
      </c>
      <c r="B114" s="958"/>
      <c r="C114" s="947"/>
      <c r="D114" s="947"/>
      <c r="E114" s="947"/>
      <c r="F114" s="947"/>
      <c r="G114" s="947"/>
      <c r="H114" s="947"/>
      <c r="I114" s="947"/>
      <c r="J114" s="144"/>
      <c r="K114" s="122" t="str">
        <f>J110</f>
        <v>0,0-0,2</v>
      </c>
    </row>
    <row r="115" spans="1:11" s="119" customFormat="1" ht="10.5" customHeight="1" x14ac:dyDescent="0.2">
      <c r="A115" s="120" t="s">
        <v>333</v>
      </c>
      <c r="B115" s="127"/>
      <c r="C115" s="124"/>
      <c r="D115" s="124"/>
      <c r="E115" s="124"/>
      <c r="F115" s="124"/>
      <c r="G115" s="124"/>
      <c r="H115" s="124"/>
      <c r="I115" s="124"/>
      <c r="J115" s="493"/>
      <c r="K115" s="122" t="s">
        <v>334</v>
      </c>
    </row>
    <row r="116" spans="1:11" s="119" customFormat="1" ht="10.5" customHeight="1" x14ac:dyDescent="0.2">
      <c r="A116" s="120" t="s">
        <v>335</v>
      </c>
      <c r="B116" s="133"/>
      <c r="C116" s="134"/>
      <c r="D116" s="134"/>
      <c r="E116" s="134"/>
      <c r="F116" s="134"/>
      <c r="G116" s="134"/>
      <c r="H116" s="124"/>
      <c r="I116" s="124"/>
      <c r="J116" s="493"/>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92"/>
      <c r="K118" s="118"/>
    </row>
    <row r="119" spans="1:11" s="119" customFormat="1" ht="10.5" customHeight="1" x14ac:dyDescent="0.2">
      <c r="A119" s="120" t="s">
        <v>325</v>
      </c>
      <c r="B119" s="952">
        <f>$B$2</f>
        <v>0</v>
      </c>
      <c r="C119" s="952"/>
      <c r="D119" s="934" t="s">
        <v>326</v>
      </c>
      <c r="E119" s="934"/>
      <c r="F119" s="934"/>
      <c r="G119" s="934"/>
      <c r="H119" s="953">
        <f>$H$2</f>
        <v>45739</v>
      </c>
      <c r="I119" s="954"/>
      <c r="J119" s="493"/>
      <c r="K119" s="122" t="s">
        <v>327</v>
      </c>
    </row>
    <row r="120" spans="1:11" s="119" customFormat="1" ht="10.5" customHeight="1" x14ac:dyDescent="0.2">
      <c r="A120" s="120"/>
      <c r="B120" s="127"/>
      <c r="C120" s="124"/>
      <c r="D120" s="124"/>
      <c r="E120" s="124"/>
      <c r="F120" s="124"/>
      <c r="G120" s="124"/>
      <c r="H120" s="124"/>
      <c r="I120" s="124"/>
      <c r="J120" s="493"/>
      <c r="K120" s="122">
        <f>$B$2</f>
        <v>0</v>
      </c>
    </row>
    <row r="121" spans="1:11" s="119" customFormat="1" ht="10.5" customHeight="1" x14ac:dyDescent="0.2">
      <c r="A121" s="120" t="s">
        <v>0</v>
      </c>
      <c r="B121" s="960" t="str">
        <f>$B$4</f>
        <v>адрес вбить сюда</v>
      </c>
      <c r="C121" s="960"/>
      <c r="D121" s="960"/>
      <c r="E121" s="960"/>
      <c r="F121" s="960"/>
      <c r="G121" s="960"/>
      <c r="H121" s="960"/>
      <c r="I121" s="960"/>
      <c r="J121" s="961"/>
      <c r="K121" s="122"/>
    </row>
    <row r="122" spans="1:11" s="119" customFormat="1" ht="10.5" customHeight="1" x14ac:dyDescent="0.2">
      <c r="A122" s="152"/>
      <c r="B122" s="960"/>
      <c r="C122" s="960"/>
      <c r="D122" s="960"/>
      <c r="E122" s="960"/>
      <c r="F122" s="960"/>
      <c r="G122" s="960"/>
      <c r="H122" s="960"/>
      <c r="I122" s="960"/>
      <c r="J122" s="961"/>
      <c r="K122" s="122" t="s">
        <v>328</v>
      </c>
    </row>
    <row r="123" spans="1:11" s="119" customFormat="1" ht="10.5" customHeight="1" x14ac:dyDescent="0.2">
      <c r="A123" s="962" t="s">
        <v>329</v>
      </c>
      <c r="B123" s="952"/>
      <c r="C123" s="952"/>
      <c r="D123" s="945" t="str">
        <f>'Акт отбора проб МБ'!F29</f>
        <v>ПП10</v>
      </c>
      <c r="E123" s="945"/>
      <c r="F123" s="945"/>
      <c r="G123" s="963" t="s">
        <v>330</v>
      </c>
      <c r="H123" s="963"/>
      <c r="I123" s="963"/>
      <c r="J123" s="491" t="str">
        <f>'Акт отбора проб МБ'!B29</f>
        <v>0,0-0,2</v>
      </c>
      <c r="K123" s="126">
        <f>$H$2</f>
        <v>45739</v>
      </c>
    </row>
    <row r="124" spans="1:11" s="119" customFormat="1" ht="10.5" customHeight="1" x14ac:dyDescent="0.2">
      <c r="A124" s="152"/>
      <c r="B124" s="123"/>
      <c r="C124" s="121"/>
      <c r="D124" s="154"/>
      <c r="E124" s="154"/>
      <c r="F124" s="154"/>
      <c r="G124" s="153"/>
      <c r="H124" s="153"/>
      <c r="I124" s="153"/>
      <c r="J124" s="494"/>
      <c r="K124" s="122" t="s">
        <v>331</v>
      </c>
    </row>
    <row r="125" spans="1:11" s="119" customFormat="1" ht="10.5" customHeight="1" x14ac:dyDescent="0.2">
      <c r="A125" s="120" t="s">
        <v>331</v>
      </c>
      <c r="B125" s="129" t="str">
        <f>'Акт отбора проб МБ'!C29</f>
        <v>10АМ.01</v>
      </c>
      <c r="C125" s="121"/>
      <c r="D125" s="946"/>
      <c r="E125" s="946"/>
      <c r="F125" s="946"/>
      <c r="G125" s="946"/>
      <c r="H125" s="946"/>
      <c r="I125" s="153"/>
      <c r="J125" s="494"/>
      <c r="K125" s="122" t="str">
        <f>B125</f>
        <v>10АМ.01</v>
      </c>
    </row>
    <row r="126" spans="1:11" s="119" customFormat="1" ht="10.5" customHeight="1" x14ac:dyDescent="0.2">
      <c r="A126" s="152"/>
      <c r="B126" s="123"/>
      <c r="C126" s="121"/>
      <c r="D126" s="121"/>
      <c r="E126" s="121"/>
      <c r="F126" s="121"/>
      <c r="G126" s="121"/>
      <c r="H126" s="121"/>
      <c r="I126" s="121"/>
      <c r="J126" s="493"/>
      <c r="K126" s="122" t="s">
        <v>332</v>
      </c>
    </row>
    <row r="127" spans="1:11" s="119" customFormat="1" ht="10.5" customHeight="1" x14ac:dyDescent="0.2">
      <c r="A127" s="962" t="s">
        <v>681</v>
      </c>
      <c r="B127" s="952"/>
      <c r="C127" s="947"/>
      <c r="D127" s="947"/>
      <c r="E127" s="947"/>
      <c r="F127" s="947"/>
      <c r="G127" s="947"/>
      <c r="H127" s="947"/>
      <c r="I127" s="947"/>
      <c r="J127" s="155"/>
      <c r="K127" s="122" t="str">
        <f>J123</f>
        <v>0,0-0,2</v>
      </c>
    </row>
    <row r="128" spans="1:11" s="119" customFormat="1" ht="10.5" customHeight="1" x14ac:dyDescent="0.2">
      <c r="A128" s="152" t="s">
        <v>333</v>
      </c>
      <c r="B128" s="123"/>
      <c r="C128" s="121"/>
      <c r="D128" s="121"/>
      <c r="E128" s="121"/>
      <c r="F128" s="121"/>
      <c r="G128" s="121"/>
      <c r="H128" s="121"/>
      <c r="I128" s="121"/>
      <c r="J128" s="493"/>
      <c r="K128" s="122" t="s">
        <v>334</v>
      </c>
    </row>
    <row r="129" spans="1:11" s="119" customFormat="1" ht="10.5" customHeight="1" x14ac:dyDescent="0.2">
      <c r="A129" s="152" t="s">
        <v>335</v>
      </c>
      <c r="B129" s="156"/>
      <c r="C129" s="157"/>
      <c r="D129" s="157"/>
      <c r="E129" s="157"/>
      <c r="F129" s="157"/>
      <c r="G129" s="157"/>
      <c r="H129" s="121"/>
      <c r="I129" s="121"/>
      <c r="J129" s="493"/>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95"/>
      <c r="K131" s="118"/>
    </row>
    <row r="132" spans="1:11" ht="10.5" customHeight="1" x14ac:dyDescent="0.2">
      <c r="A132" s="120" t="s">
        <v>325</v>
      </c>
      <c r="B132" s="952">
        <f>$B$2</f>
        <v>0</v>
      </c>
      <c r="C132" s="952"/>
      <c r="D132" s="934" t="s">
        <v>326</v>
      </c>
      <c r="E132" s="934"/>
      <c r="F132" s="934"/>
      <c r="G132" s="934"/>
      <c r="H132" s="953">
        <f>$H$2</f>
        <v>45739</v>
      </c>
      <c r="I132" s="954"/>
      <c r="J132" s="493"/>
      <c r="K132" s="122" t="s">
        <v>327</v>
      </c>
    </row>
    <row r="133" spans="1:11" ht="10.5" customHeight="1" x14ac:dyDescent="0.2">
      <c r="A133" s="120"/>
      <c r="B133" s="127"/>
      <c r="C133" s="124"/>
      <c r="D133" s="124"/>
      <c r="E133" s="124"/>
      <c r="F133" s="124"/>
      <c r="G133" s="124"/>
      <c r="H133" s="124"/>
      <c r="I133" s="124"/>
      <c r="J133" s="493"/>
      <c r="K133" s="122">
        <f>$B$2</f>
        <v>0</v>
      </c>
    </row>
    <row r="134" spans="1:11" ht="10.5" customHeight="1" x14ac:dyDescent="0.2">
      <c r="A134" s="120" t="s">
        <v>0</v>
      </c>
      <c r="B134" s="960" t="str">
        <f>$B$4</f>
        <v>адрес вбить сюда</v>
      </c>
      <c r="C134" s="960"/>
      <c r="D134" s="960"/>
      <c r="E134" s="960"/>
      <c r="F134" s="960"/>
      <c r="G134" s="960"/>
      <c r="H134" s="960"/>
      <c r="I134" s="960"/>
      <c r="J134" s="961"/>
      <c r="K134" s="122"/>
    </row>
    <row r="135" spans="1:11" ht="10.5" customHeight="1" x14ac:dyDescent="0.2">
      <c r="A135" s="120"/>
      <c r="B135" s="960"/>
      <c r="C135" s="960"/>
      <c r="D135" s="960"/>
      <c r="E135" s="960"/>
      <c r="F135" s="960"/>
      <c r="G135" s="960"/>
      <c r="H135" s="960"/>
      <c r="I135" s="960"/>
      <c r="J135" s="961"/>
      <c r="K135" s="122" t="s">
        <v>328</v>
      </c>
    </row>
    <row r="136" spans="1:11" ht="10.5" customHeight="1" x14ac:dyDescent="0.2">
      <c r="A136" s="957" t="s">
        <v>329</v>
      </c>
      <c r="B136" s="958"/>
      <c r="C136" s="958"/>
      <c r="D136" s="945" t="str">
        <f>'Акт отбора проб МБ'!F30</f>
        <v>ПП11</v>
      </c>
      <c r="E136" s="945"/>
      <c r="F136" s="945"/>
      <c r="G136" s="959" t="s">
        <v>330</v>
      </c>
      <c r="H136" s="959"/>
      <c r="I136" s="959"/>
      <c r="J136" s="491" t="str">
        <f>'Акт отбора проб МБ'!B30</f>
        <v>0,0-0,2</v>
      </c>
      <c r="K136" s="126">
        <f>$H$2</f>
        <v>45739</v>
      </c>
    </row>
    <row r="137" spans="1:11" ht="10.5" customHeight="1" x14ac:dyDescent="0.2">
      <c r="A137" s="120"/>
      <c r="B137" s="127"/>
      <c r="C137" s="124"/>
      <c r="D137" s="128"/>
      <c r="E137" s="128"/>
      <c r="F137" s="128"/>
      <c r="G137" s="125"/>
      <c r="H137" s="125"/>
      <c r="I137" s="125"/>
      <c r="J137" s="494"/>
      <c r="K137" s="122" t="s">
        <v>331</v>
      </c>
    </row>
    <row r="138" spans="1:11" ht="10.5" customHeight="1" x14ac:dyDescent="0.2">
      <c r="A138" s="120" t="s">
        <v>331</v>
      </c>
      <c r="B138" s="129" t="str">
        <f>'Акт отбора проб МБ'!C30</f>
        <v>11АМ.01</v>
      </c>
      <c r="C138" s="124"/>
      <c r="D138" s="946"/>
      <c r="E138" s="946"/>
      <c r="F138" s="946"/>
      <c r="G138" s="946"/>
      <c r="H138" s="946"/>
      <c r="I138" s="125"/>
      <c r="J138" s="494"/>
      <c r="K138" s="122" t="str">
        <f>B138</f>
        <v>11АМ.01</v>
      </c>
    </row>
    <row r="139" spans="1:11" ht="10.5" customHeight="1" x14ac:dyDescent="0.2">
      <c r="A139" s="120"/>
      <c r="B139" s="127"/>
      <c r="C139" s="124"/>
      <c r="D139" s="124"/>
      <c r="E139" s="124"/>
      <c r="F139" s="124"/>
      <c r="G139" s="124"/>
      <c r="H139" s="124"/>
      <c r="I139" s="124"/>
      <c r="J139" s="493"/>
      <c r="K139" s="122" t="s">
        <v>332</v>
      </c>
    </row>
    <row r="140" spans="1:11" ht="10.5" customHeight="1" x14ac:dyDescent="0.2">
      <c r="A140" s="957" t="s">
        <v>681</v>
      </c>
      <c r="B140" s="958"/>
      <c r="C140" s="947"/>
      <c r="D140" s="947"/>
      <c r="E140" s="947"/>
      <c r="F140" s="947"/>
      <c r="G140" s="947"/>
      <c r="H140" s="947"/>
      <c r="I140" s="947"/>
      <c r="J140" s="144"/>
      <c r="K140" s="122" t="str">
        <f>J136</f>
        <v>0,0-0,2</v>
      </c>
    </row>
    <row r="141" spans="1:11" ht="10.5" customHeight="1" x14ac:dyDescent="0.2">
      <c r="A141" s="120" t="s">
        <v>333</v>
      </c>
      <c r="B141" s="127"/>
      <c r="C141" s="124"/>
      <c r="D141" s="124"/>
      <c r="E141" s="124"/>
      <c r="F141" s="124"/>
      <c r="G141" s="124"/>
      <c r="H141" s="124"/>
      <c r="I141" s="124"/>
      <c r="J141" s="493"/>
      <c r="K141" s="122" t="s">
        <v>334</v>
      </c>
    </row>
    <row r="142" spans="1:11" ht="10.5" customHeight="1" x14ac:dyDescent="0.2">
      <c r="A142" s="120" t="s">
        <v>335</v>
      </c>
      <c r="B142" s="133"/>
      <c r="C142" s="134"/>
      <c r="D142" s="134"/>
      <c r="E142" s="134"/>
      <c r="F142" s="134"/>
      <c r="G142" s="134"/>
      <c r="H142" s="124"/>
      <c r="I142" s="124"/>
      <c r="J142" s="493"/>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92"/>
      <c r="K144" s="118"/>
    </row>
    <row r="145" spans="1:11" ht="10.5" customHeight="1" x14ac:dyDescent="0.2">
      <c r="A145" s="120" t="s">
        <v>325</v>
      </c>
      <c r="B145" s="952">
        <f>$B$2</f>
        <v>0</v>
      </c>
      <c r="C145" s="952"/>
      <c r="D145" s="934" t="s">
        <v>326</v>
      </c>
      <c r="E145" s="934"/>
      <c r="F145" s="934"/>
      <c r="G145" s="934"/>
      <c r="H145" s="953">
        <f>$H$2</f>
        <v>45739</v>
      </c>
      <c r="I145" s="954"/>
      <c r="J145" s="493"/>
      <c r="K145" s="122" t="s">
        <v>327</v>
      </c>
    </row>
    <row r="146" spans="1:11" ht="10.5" customHeight="1" x14ac:dyDescent="0.2">
      <c r="A146" s="120"/>
      <c r="B146" s="127"/>
      <c r="C146" s="124"/>
      <c r="D146" s="124"/>
      <c r="E146" s="124"/>
      <c r="F146" s="124"/>
      <c r="G146" s="124"/>
      <c r="H146" s="124"/>
      <c r="I146" s="124"/>
      <c r="J146" s="493"/>
      <c r="K146" s="122">
        <f>$B$2</f>
        <v>0</v>
      </c>
    </row>
    <row r="147" spans="1:11" ht="10.5" customHeight="1" x14ac:dyDescent="0.2">
      <c r="A147" s="120" t="s">
        <v>0</v>
      </c>
      <c r="B147" s="960" t="str">
        <f>$B$4</f>
        <v>адрес вбить сюда</v>
      </c>
      <c r="C147" s="960"/>
      <c r="D147" s="960"/>
      <c r="E147" s="960"/>
      <c r="F147" s="960"/>
      <c r="G147" s="960"/>
      <c r="H147" s="960"/>
      <c r="I147" s="960"/>
      <c r="J147" s="961"/>
      <c r="K147" s="122"/>
    </row>
    <row r="148" spans="1:11" ht="10.5" customHeight="1" x14ac:dyDescent="0.2">
      <c r="A148" s="120"/>
      <c r="B148" s="960"/>
      <c r="C148" s="960"/>
      <c r="D148" s="960"/>
      <c r="E148" s="960"/>
      <c r="F148" s="960"/>
      <c r="G148" s="960"/>
      <c r="H148" s="960"/>
      <c r="I148" s="960"/>
      <c r="J148" s="961"/>
      <c r="K148" s="122" t="s">
        <v>328</v>
      </c>
    </row>
    <row r="149" spans="1:11" ht="10.5" customHeight="1" x14ac:dyDescent="0.2">
      <c r="A149" s="957" t="s">
        <v>329</v>
      </c>
      <c r="B149" s="958"/>
      <c r="C149" s="958"/>
      <c r="D149" s="945" t="str">
        <f>'Акт отбора проб МБ'!F31</f>
        <v>ПП12</v>
      </c>
      <c r="E149" s="945"/>
      <c r="F149" s="945"/>
      <c r="G149" s="959" t="s">
        <v>330</v>
      </c>
      <c r="H149" s="959"/>
      <c r="I149" s="959"/>
      <c r="J149" s="491" t="str">
        <f>'Акт отбора проб МБ'!B31</f>
        <v>0,0-0,2</v>
      </c>
      <c r="K149" s="126">
        <f>$H$2</f>
        <v>45739</v>
      </c>
    </row>
    <row r="150" spans="1:11" ht="10.5" customHeight="1" x14ac:dyDescent="0.2">
      <c r="A150" s="120"/>
      <c r="B150" s="127"/>
      <c r="C150" s="124"/>
      <c r="D150" s="128"/>
      <c r="E150" s="128"/>
      <c r="F150" s="128"/>
      <c r="G150" s="125"/>
      <c r="H150" s="125"/>
      <c r="I150" s="125"/>
      <c r="J150" s="494"/>
      <c r="K150" s="122" t="s">
        <v>331</v>
      </c>
    </row>
    <row r="151" spans="1:11" ht="10.5" customHeight="1" x14ac:dyDescent="0.2">
      <c r="A151" s="120" t="s">
        <v>331</v>
      </c>
      <c r="B151" s="129" t="str">
        <f>'Акт отбора проб МБ'!C31</f>
        <v>12АМ.01</v>
      </c>
      <c r="C151" s="124"/>
      <c r="D151" s="946"/>
      <c r="E151" s="946"/>
      <c r="F151" s="946"/>
      <c r="G151" s="946"/>
      <c r="H151" s="946"/>
      <c r="I151" s="125"/>
      <c r="J151" s="494"/>
      <c r="K151" s="122" t="str">
        <f>B151</f>
        <v>12АМ.01</v>
      </c>
    </row>
    <row r="152" spans="1:11" ht="10.5" customHeight="1" x14ac:dyDescent="0.2">
      <c r="A152" s="120"/>
      <c r="B152" s="127"/>
      <c r="C152" s="124"/>
      <c r="D152" s="124"/>
      <c r="E152" s="124"/>
      <c r="F152" s="124"/>
      <c r="G152" s="124"/>
      <c r="H152" s="124"/>
      <c r="I152" s="124"/>
      <c r="J152" s="493"/>
      <c r="K152" s="122" t="s">
        <v>332</v>
      </c>
    </row>
    <row r="153" spans="1:11" ht="10.5" customHeight="1" x14ac:dyDescent="0.2">
      <c r="A153" s="957" t="s">
        <v>681</v>
      </c>
      <c r="B153" s="958"/>
      <c r="C153" s="947"/>
      <c r="D153" s="947"/>
      <c r="E153" s="947"/>
      <c r="F153" s="947"/>
      <c r="G153" s="947"/>
      <c r="H153" s="947"/>
      <c r="I153" s="947"/>
      <c r="J153" s="144"/>
      <c r="K153" s="122" t="str">
        <f>J149</f>
        <v>0,0-0,2</v>
      </c>
    </row>
    <row r="154" spans="1:11" ht="10.5" customHeight="1" x14ac:dyDescent="0.2">
      <c r="A154" s="120" t="s">
        <v>333</v>
      </c>
      <c r="B154" s="127"/>
      <c r="C154" s="124"/>
      <c r="D154" s="124"/>
      <c r="E154" s="124"/>
      <c r="F154" s="124"/>
      <c r="G154" s="124"/>
      <c r="H154" s="124"/>
      <c r="I154" s="124"/>
      <c r="J154" s="493"/>
      <c r="K154" s="122" t="s">
        <v>334</v>
      </c>
    </row>
    <row r="155" spans="1:11" ht="10.5" customHeight="1" x14ac:dyDescent="0.2">
      <c r="A155" s="120" t="s">
        <v>335</v>
      </c>
      <c r="B155" s="133"/>
      <c r="C155" s="134"/>
      <c r="D155" s="134"/>
      <c r="E155" s="134"/>
      <c r="F155" s="134"/>
      <c r="G155" s="134"/>
      <c r="H155" s="124"/>
      <c r="I155" s="124"/>
      <c r="J155" s="493"/>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92"/>
      <c r="K157" s="118"/>
    </row>
    <row r="158" spans="1:11" ht="10.5" customHeight="1" x14ac:dyDescent="0.2">
      <c r="A158" s="120" t="s">
        <v>325</v>
      </c>
      <c r="B158" s="952">
        <f>$B$2</f>
        <v>0</v>
      </c>
      <c r="C158" s="952"/>
      <c r="D158" s="934" t="s">
        <v>326</v>
      </c>
      <c r="E158" s="934"/>
      <c r="F158" s="934"/>
      <c r="G158" s="934"/>
      <c r="H158" s="953">
        <f>$H$2</f>
        <v>45739</v>
      </c>
      <c r="I158" s="953"/>
      <c r="J158" s="493"/>
      <c r="K158" s="122" t="s">
        <v>327</v>
      </c>
    </row>
    <row r="159" spans="1:11" ht="10.5" customHeight="1" x14ac:dyDescent="0.2">
      <c r="A159" s="120"/>
      <c r="B159" s="127"/>
      <c r="C159" s="124"/>
      <c r="D159" s="124"/>
      <c r="E159" s="124"/>
      <c r="F159" s="124"/>
      <c r="G159" s="124"/>
      <c r="H159" s="124"/>
      <c r="I159" s="124"/>
      <c r="J159" s="493"/>
      <c r="K159" s="122">
        <f>$B$2</f>
        <v>0</v>
      </c>
    </row>
    <row r="160" spans="1:11" ht="10.5" customHeight="1" x14ac:dyDescent="0.2">
      <c r="A160" s="120" t="s">
        <v>0</v>
      </c>
      <c r="B160" s="960" t="str">
        <f>$B$4</f>
        <v>адрес вбить сюда</v>
      </c>
      <c r="C160" s="960"/>
      <c r="D160" s="960"/>
      <c r="E160" s="960"/>
      <c r="F160" s="960"/>
      <c r="G160" s="960"/>
      <c r="H160" s="960"/>
      <c r="I160" s="960"/>
      <c r="J160" s="961"/>
      <c r="K160" s="122"/>
    </row>
    <row r="161" spans="1:11" ht="10.5" customHeight="1" x14ac:dyDescent="0.2">
      <c r="A161" s="120"/>
      <c r="B161" s="960"/>
      <c r="C161" s="960"/>
      <c r="D161" s="960"/>
      <c r="E161" s="960"/>
      <c r="F161" s="960"/>
      <c r="G161" s="960"/>
      <c r="H161" s="960"/>
      <c r="I161" s="960"/>
      <c r="J161" s="961"/>
      <c r="K161" s="122" t="s">
        <v>328</v>
      </c>
    </row>
    <row r="162" spans="1:11" ht="10.5" customHeight="1" x14ac:dyDescent="0.2">
      <c r="A162" s="957" t="s">
        <v>329</v>
      </c>
      <c r="B162" s="958"/>
      <c r="C162" s="958"/>
      <c r="D162" s="945" t="str">
        <f>'Акт отбора проб МБ'!F32</f>
        <v>ПП13</v>
      </c>
      <c r="E162" s="945"/>
      <c r="F162" s="945"/>
      <c r="G162" s="959" t="s">
        <v>330</v>
      </c>
      <c r="H162" s="959"/>
      <c r="I162" s="959"/>
      <c r="J162" s="491" t="str">
        <f>'Акт отбора проб МБ'!B32</f>
        <v>0,0-0,2</v>
      </c>
      <c r="K162" s="126">
        <f>$H$2</f>
        <v>45739</v>
      </c>
    </row>
    <row r="163" spans="1:11" ht="10.5" customHeight="1" x14ac:dyDescent="0.2">
      <c r="A163" s="120"/>
      <c r="B163" s="127"/>
      <c r="C163" s="124"/>
      <c r="D163" s="128"/>
      <c r="E163" s="128"/>
      <c r="F163" s="128"/>
      <c r="G163" s="125"/>
      <c r="H163" s="125"/>
      <c r="I163" s="125"/>
      <c r="J163" s="494"/>
      <c r="K163" s="122" t="s">
        <v>331</v>
      </c>
    </row>
    <row r="164" spans="1:11" ht="10.5" customHeight="1" x14ac:dyDescent="0.2">
      <c r="A164" s="120" t="s">
        <v>331</v>
      </c>
      <c r="B164" s="129" t="str">
        <f>'Акт отбора проб МБ'!C32</f>
        <v>13АМ.01</v>
      </c>
      <c r="C164" s="124"/>
      <c r="D164" s="946"/>
      <c r="E164" s="946"/>
      <c r="F164" s="946"/>
      <c r="G164" s="946"/>
      <c r="H164" s="946"/>
      <c r="I164" s="125"/>
      <c r="J164" s="494"/>
      <c r="K164" s="122" t="str">
        <f>B164</f>
        <v>13АМ.01</v>
      </c>
    </row>
    <row r="165" spans="1:11" ht="10.5" customHeight="1" x14ac:dyDescent="0.2">
      <c r="A165" s="120"/>
      <c r="B165" s="127"/>
      <c r="C165" s="124"/>
      <c r="D165" s="124"/>
      <c r="E165" s="124"/>
      <c r="F165" s="124"/>
      <c r="G165" s="124"/>
      <c r="H165" s="124"/>
      <c r="I165" s="124"/>
      <c r="J165" s="493"/>
      <c r="K165" s="122" t="s">
        <v>332</v>
      </c>
    </row>
    <row r="166" spans="1:11" ht="10.5" customHeight="1" x14ac:dyDescent="0.2">
      <c r="A166" s="957" t="s">
        <v>681</v>
      </c>
      <c r="B166" s="958"/>
      <c r="C166" s="947"/>
      <c r="D166" s="947"/>
      <c r="E166" s="947"/>
      <c r="F166" s="947"/>
      <c r="G166" s="947"/>
      <c r="H166" s="947"/>
      <c r="I166" s="947"/>
      <c r="J166" s="144"/>
      <c r="K166" s="122" t="str">
        <f>J162</f>
        <v>0,0-0,2</v>
      </c>
    </row>
    <row r="167" spans="1:11" ht="10.5" customHeight="1" x14ac:dyDescent="0.2">
      <c r="A167" s="120" t="s">
        <v>333</v>
      </c>
      <c r="B167" s="127"/>
      <c r="C167" s="124"/>
      <c r="D167" s="124"/>
      <c r="E167" s="124"/>
      <c r="F167" s="124"/>
      <c r="G167" s="124"/>
      <c r="H167" s="124"/>
      <c r="I167" s="124"/>
      <c r="J167" s="493"/>
      <c r="K167" s="122" t="s">
        <v>334</v>
      </c>
    </row>
    <row r="168" spans="1:11" ht="10.5" customHeight="1" x14ac:dyDescent="0.2">
      <c r="A168" s="120" t="s">
        <v>335</v>
      </c>
      <c r="B168" s="133"/>
      <c r="C168" s="134"/>
      <c r="D168" s="134"/>
      <c r="E168" s="134"/>
      <c r="F168" s="134"/>
      <c r="G168" s="134"/>
      <c r="H168" s="124"/>
      <c r="I168" s="124"/>
      <c r="J168" s="493"/>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92"/>
      <c r="K170" s="118"/>
    </row>
    <row r="171" spans="1:11" ht="10.5" customHeight="1" x14ac:dyDescent="0.2">
      <c r="A171" s="120" t="s">
        <v>325</v>
      </c>
      <c r="B171" s="952">
        <f>$B$2</f>
        <v>0</v>
      </c>
      <c r="C171" s="952"/>
      <c r="D171" s="934" t="s">
        <v>326</v>
      </c>
      <c r="E171" s="934"/>
      <c r="F171" s="934"/>
      <c r="G171" s="934"/>
      <c r="H171" s="953">
        <f>$H$2</f>
        <v>45739</v>
      </c>
      <c r="I171" s="953"/>
      <c r="J171" s="493"/>
      <c r="K171" s="122" t="s">
        <v>327</v>
      </c>
    </row>
    <row r="172" spans="1:11" ht="10.5" customHeight="1" x14ac:dyDescent="0.2">
      <c r="A172" s="120"/>
      <c r="B172" s="127"/>
      <c r="C172" s="124"/>
      <c r="D172" s="124"/>
      <c r="E172" s="124"/>
      <c r="F172" s="124"/>
      <c r="G172" s="124"/>
      <c r="H172" s="124"/>
      <c r="I172" s="124"/>
      <c r="J172" s="493"/>
      <c r="K172" s="122">
        <f>$B$2</f>
        <v>0</v>
      </c>
    </row>
    <row r="173" spans="1:11" ht="10.5" customHeight="1" x14ac:dyDescent="0.2">
      <c r="A173" s="120" t="s">
        <v>0</v>
      </c>
      <c r="B173" s="960" t="str">
        <f>$B$4</f>
        <v>адрес вбить сюда</v>
      </c>
      <c r="C173" s="960"/>
      <c r="D173" s="960"/>
      <c r="E173" s="960"/>
      <c r="F173" s="960"/>
      <c r="G173" s="960"/>
      <c r="H173" s="960"/>
      <c r="I173" s="960"/>
      <c r="J173" s="961"/>
      <c r="K173" s="122"/>
    </row>
    <row r="174" spans="1:11" ht="10.5" customHeight="1" x14ac:dyDescent="0.2">
      <c r="A174" s="120"/>
      <c r="B174" s="960"/>
      <c r="C174" s="960"/>
      <c r="D174" s="960"/>
      <c r="E174" s="960"/>
      <c r="F174" s="960"/>
      <c r="G174" s="960"/>
      <c r="H174" s="960"/>
      <c r="I174" s="960"/>
      <c r="J174" s="961"/>
      <c r="K174" s="122" t="s">
        <v>328</v>
      </c>
    </row>
    <row r="175" spans="1:11" ht="10.5" customHeight="1" x14ac:dyDescent="0.2">
      <c r="A175" s="957" t="s">
        <v>329</v>
      </c>
      <c r="B175" s="958"/>
      <c r="C175" s="958"/>
      <c r="D175" s="945" t="str">
        <f>'Акт отбора проб МБ'!F33</f>
        <v>ПП14</v>
      </c>
      <c r="E175" s="945"/>
      <c r="F175" s="945"/>
      <c r="G175" s="959" t="s">
        <v>330</v>
      </c>
      <c r="H175" s="959"/>
      <c r="I175" s="959"/>
      <c r="J175" s="491" t="str">
        <f>'Акт отбора проб МБ'!B33</f>
        <v>0,0-0,2</v>
      </c>
      <c r="K175" s="126">
        <f>$H$2</f>
        <v>45739</v>
      </c>
    </row>
    <row r="176" spans="1:11" ht="10.5" customHeight="1" x14ac:dyDescent="0.2">
      <c r="A176" s="120"/>
      <c r="B176" s="127"/>
      <c r="C176" s="124"/>
      <c r="D176" s="128"/>
      <c r="E176" s="128"/>
      <c r="F176" s="128"/>
      <c r="G176" s="125"/>
      <c r="H176" s="125"/>
      <c r="I176" s="125"/>
      <c r="J176" s="494"/>
      <c r="K176" s="122" t="s">
        <v>331</v>
      </c>
    </row>
    <row r="177" spans="1:11" ht="10.5" customHeight="1" x14ac:dyDescent="0.2">
      <c r="A177" s="120" t="s">
        <v>331</v>
      </c>
      <c r="B177" s="129" t="str">
        <f>'Акт отбора проб МБ'!C33</f>
        <v>14АМ.01</v>
      </c>
      <c r="C177" s="124"/>
      <c r="D177" s="946"/>
      <c r="E177" s="946"/>
      <c r="F177" s="946"/>
      <c r="G177" s="946"/>
      <c r="H177" s="946"/>
      <c r="I177" s="125"/>
      <c r="J177" s="494"/>
      <c r="K177" s="122" t="str">
        <f>B177</f>
        <v>14АМ.01</v>
      </c>
    </row>
    <row r="178" spans="1:11" ht="10.5" customHeight="1" x14ac:dyDescent="0.2">
      <c r="A178" s="120"/>
      <c r="B178" s="127"/>
      <c r="C178" s="124"/>
      <c r="D178" s="124"/>
      <c r="E178" s="124"/>
      <c r="F178" s="124"/>
      <c r="G178" s="124"/>
      <c r="H178" s="124"/>
      <c r="I178" s="124"/>
      <c r="J178" s="493"/>
      <c r="K178" s="122" t="s">
        <v>332</v>
      </c>
    </row>
    <row r="179" spans="1:11" ht="10.5" customHeight="1" x14ac:dyDescent="0.2">
      <c r="A179" s="957" t="s">
        <v>681</v>
      </c>
      <c r="B179" s="958"/>
      <c r="C179" s="947"/>
      <c r="D179" s="947"/>
      <c r="E179" s="947"/>
      <c r="F179" s="947"/>
      <c r="G179" s="947"/>
      <c r="H179" s="947"/>
      <c r="I179" s="947"/>
      <c r="J179" s="144"/>
      <c r="K179" s="122" t="str">
        <f>J175</f>
        <v>0,0-0,2</v>
      </c>
    </row>
    <row r="180" spans="1:11" ht="10.5" customHeight="1" x14ac:dyDescent="0.2">
      <c r="A180" s="120" t="s">
        <v>333</v>
      </c>
      <c r="B180" s="127"/>
      <c r="C180" s="124"/>
      <c r="D180" s="124"/>
      <c r="E180" s="124"/>
      <c r="F180" s="124"/>
      <c r="G180" s="124"/>
      <c r="H180" s="124"/>
      <c r="I180" s="124"/>
      <c r="J180" s="493"/>
      <c r="K180" s="122" t="s">
        <v>334</v>
      </c>
    </row>
    <row r="181" spans="1:11" ht="10.5" customHeight="1" x14ac:dyDescent="0.2">
      <c r="A181" s="120" t="s">
        <v>335</v>
      </c>
      <c r="B181" s="133"/>
      <c r="C181" s="134"/>
      <c r="D181" s="134"/>
      <c r="E181" s="134"/>
      <c r="F181" s="134"/>
      <c r="G181" s="134"/>
      <c r="H181" s="124"/>
      <c r="I181" s="124"/>
      <c r="J181" s="493"/>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92"/>
      <c r="K183" s="118"/>
    </row>
    <row r="184" spans="1:11" ht="10.5" customHeight="1" x14ac:dyDescent="0.2">
      <c r="A184" s="120" t="s">
        <v>325</v>
      </c>
      <c r="B184" s="952">
        <f>$B$2</f>
        <v>0</v>
      </c>
      <c r="C184" s="952"/>
      <c r="D184" s="934" t="s">
        <v>326</v>
      </c>
      <c r="E184" s="934"/>
      <c r="F184" s="934"/>
      <c r="G184" s="934"/>
      <c r="H184" s="953">
        <f>$H$2</f>
        <v>45739</v>
      </c>
      <c r="I184" s="953"/>
      <c r="J184" s="493"/>
      <c r="K184" s="122" t="s">
        <v>327</v>
      </c>
    </row>
    <row r="185" spans="1:11" ht="10.5" customHeight="1" x14ac:dyDescent="0.2">
      <c r="A185" s="120"/>
      <c r="B185" s="127"/>
      <c r="C185" s="124"/>
      <c r="D185" s="124"/>
      <c r="E185" s="124"/>
      <c r="F185" s="124"/>
      <c r="G185" s="124"/>
      <c r="H185" s="124"/>
      <c r="I185" s="124"/>
      <c r="J185" s="493"/>
      <c r="K185" s="122">
        <f>$B$2</f>
        <v>0</v>
      </c>
    </row>
    <row r="186" spans="1:11" ht="10.5" customHeight="1" x14ac:dyDescent="0.2">
      <c r="A186" s="120" t="s">
        <v>0</v>
      </c>
      <c r="B186" s="960" t="str">
        <f>$B$4</f>
        <v>адрес вбить сюда</v>
      </c>
      <c r="C186" s="960"/>
      <c r="D186" s="960"/>
      <c r="E186" s="960"/>
      <c r="F186" s="960"/>
      <c r="G186" s="960"/>
      <c r="H186" s="960"/>
      <c r="I186" s="960"/>
      <c r="J186" s="961"/>
      <c r="K186" s="122"/>
    </row>
    <row r="187" spans="1:11" ht="10.5" customHeight="1" x14ac:dyDescent="0.2">
      <c r="A187" s="120"/>
      <c r="B187" s="960"/>
      <c r="C187" s="960"/>
      <c r="D187" s="960"/>
      <c r="E187" s="960"/>
      <c r="F187" s="960"/>
      <c r="G187" s="960"/>
      <c r="H187" s="960"/>
      <c r="I187" s="960"/>
      <c r="J187" s="961"/>
      <c r="K187" s="122" t="s">
        <v>328</v>
      </c>
    </row>
    <row r="188" spans="1:11" ht="10.5" customHeight="1" x14ac:dyDescent="0.2">
      <c r="A188" s="957" t="s">
        <v>329</v>
      </c>
      <c r="B188" s="958"/>
      <c r="C188" s="958"/>
      <c r="D188" s="945" t="str">
        <f>'Акт отбора проб МБ'!F34</f>
        <v>ПП15</v>
      </c>
      <c r="E188" s="945"/>
      <c r="F188" s="945"/>
      <c r="G188" s="959" t="s">
        <v>330</v>
      </c>
      <c r="H188" s="959"/>
      <c r="I188" s="959"/>
      <c r="J188" s="491" t="str">
        <f>'Акт отбора проб МБ'!B34</f>
        <v>0,0-0,2</v>
      </c>
      <c r="K188" s="126">
        <f>$H$2</f>
        <v>45739</v>
      </c>
    </row>
    <row r="189" spans="1:11" ht="10.5" customHeight="1" x14ac:dyDescent="0.2">
      <c r="A189" s="120"/>
      <c r="B189" s="127"/>
      <c r="C189" s="124"/>
      <c r="D189" s="128"/>
      <c r="E189" s="128"/>
      <c r="F189" s="128"/>
      <c r="G189" s="125"/>
      <c r="H189" s="125"/>
      <c r="I189" s="125"/>
      <c r="J189" s="494"/>
      <c r="K189" s="122" t="s">
        <v>331</v>
      </c>
    </row>
    <row r="190" spans="1:11" ht="10.5" customHeight="1" x14ac:dyDescent="0.2">
      <c r="A190" s="120" t="s">
        <v>331</v>
      </c>
      <c r="B190" s="129" t="str">
        <f>'Акт отбора проб МБ'!C34</f>
        <v>15АМ.01</v>
      </c>
      <c r="C190" s="124"/>
      <c r="D190" s="946"/>
      <c r="E190" s="946"/>
      <c r="F190" s="946"/>
      <c r="G190" s="946"/>
      <c r="H190" s="946"/>
      <c r="I190" s="125"/>
      <c r="J190" s="494"/>
      <c r="K190" s="122" t="str">
        <f>B190</f>
        <v>15АМ.01</v>
      </c>
    </row>
    <row r="191" spans="1:11" ht="10.5" customHeight="1" x14ac:dyDescent="0.2">
      <c r="A191" s="120"/>
      <c r="B191" s="127"/>
      <c r="C191" s="124"/>
      <c r="D191" s="124"/>
      <c r="E191" s="124"/>
      <c r="F191" s="124"/>
      <c r="G191" s="124"/>
      <c r="H191" s="124"/>
      <c r="I191" s="124"/>
      <c r="J191" s="493"/>
      <c r="K191" s="122" t="s">
        <v>332</v>
      </c>
    </row>
    <row r="192" spans="1:11" ht="10.5" customHeight="1" x14ac:dyDescent="0.2">
      <c r="A192" s="957" t="s">
        <v>681</v>
      </c>
      <c r="B192" s="958"/>
      <c r="C192" s="947"/>
      <c r="D192" s="947"/>
      <c r="E192" s="947"/>
      <c r="F192" s="947"/>
      <c r="G192" s="947"/>
      <c r="H192" s="947"/>
      <c r="I192" s="947"/>
      <c r="J192" s="144"/>
      <c r="K192" s="122" t="str">
        <f>J188</f>
        <v>0,0-0,2</v>
      </c>
    </row>
    <row r="193" spans="1:11" ht="10.5" customHeight="1" x14ac:dyDescent="0.2">
      <c r="A193" s="120" t="s">
        <v>333</v>
      </c>
      <c r="B193" s="127"/>
      <c r="C193" s="124"/>
      <c r="D193" s="124"/>
      <c r="E193" s="124"/>
      <c r="F193" s="124"/>
      <c r="G193" s="124"/>
      <c r="H193" s="124"/>
      <c r="I193" s="124"/>
      <c r="J193" s="493"/>
      <c r="K193" s="122" t="s">
        <v>334</v>
      </c>
    </row>
    <row r="194" spans="1:11" ht="10.5" customHeight="1" x14ac:dyDescent="0.2">
      <c r="A194" s="120" t="s">
        <v>335</v>
      </c>
      <c r="B194" s="133"/>
      <c r="C194" s="134"/>
      <c r="D194" s="134"/>
      <c r="E194" s="134"/>
      <c r="F194" s="134"/>
      <c r="G194" s="134"/>
      <c r="H194" s="124"/>
      <c r="I194" s="124"/>
      <c r="J194" s="493"/>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92"/>
      <c r="K196" s="118"/>
    </row>
    <row r="197" spans="1:11" ht="10.5" customHeight="1" x14ac:dyDescent="0.2">
      <c r="A197" s="120" t="s">
        <v>325</v>
      </c>
      <c r="B197" s="952">
        <f>$B$2</f>
        <v>0</v>
      </c>
      <c r="C197" s="952"/>
      <c r="D197" s="934" t="s">
        <v>326</v>
      </c>
      <c r="E197" s="934"/>
      <c r="F197" s="934"/>
      <c r="G197" s="934"/>
      <c r="H197" s="953">
        <f>$H$2</f>
        <v>45739</v>
      </c>
      <c r="I197" s="953"/>
      <c r="J197" s="493"/>
      <c r="K197" s="122" t="s">
        <v>327</v>
      </c>
    </row>
    <row r="198" spans="1:11" ht="10.5" customHeight="1" x14ac:dyDescent="0.2">
      <c r="A198" s="120"/>
      <c r="B198" s="127"/>
      <c r="C198" s="124"/>
      <c r="D198" s="124"/>
      <c r="E198" s="124"/>
      <c r="F198" s="124"/>
      <c r="G198" s="124"/>
      <c r="H198" s="124"/>
      <c r="I198" s="124"/>
      <c r="J198" s="493"/>
      <c r="K198" s="122">
        <f>$B$2</f>
        <v>0</v>
      </c>
    </row>
    <row r="199" spans="1:11" ht="10.5" customHeight="1" x14ac:dyDescent="0.2">
      <c r="A199" s="120" t="s">
        <v>0</v>
      </c>
      <c r="B199" s="960" t="str">
        <f>$B$4</f>
        <v>адрес вбить сюда</v>
      </c>
      <c r="C199" s="960"/>
      <c r="D199" s="960"/>
      <c r="E199" s="960"/>
      <c r="F199" s="960"/>
      <c r="G199" s="960"/>
      <c r="H199" s="960"/>
      <c r="I199" s="960"/>
      <c r="J199" s="961"/>
      <c r="K199" s="122"/>
    </row>
    <row r="200" spans="1:11" ht="10.5" customHeight="1" x14ac:dyDescent="0.2">
      <c r="A200" s="120"/>
      <c r="B200" s="960"/>
      <c r="C200" s="960"/>
      <c r="D200" s="960"/>
      <c r="E200" s="960"/>
      <c r="F200" s="960"/>
      <c r="G200" s="960"/>
      <c r="H200" s="960"/>
      <c r="I200" s="960"/>
      <c r="J200" s="961"/>
      <c r="K200" s="122" t="s">
        <v>328</v>
      </c>
    </row>
    <row r="201" spans="1:11" ht="10.5" customHeight="1" x14ac:dyDescent="0.2">
      <c r="A201" s="957" t="s">
        <v>329</v>
      </c>
      <c r="B201" s="958"/>
      <c r="C201" s="958"/>
      <c r="D201" s="945" t="str">
        <f>'Акт отбора проб МБ'!F35</f>
        <v>ПП16</v>
      </c>
      <c r="E201" s="945"/>
      <c r="F201" s="945"/>
      <c r="G201" s="959" t="s">
        <v>330</v>
      </c>
      <c r="H201" s="959"/>
      <c r="I201" s="959"/>
      <c r="J201" s="491" t="str">
        <f>'Акт отбора проб МБ'!B35</f>
        <v>0,0-0,2</v>
      </c>
      <c r="K201" s="126">
        <f>$H$2</f>
        <v>45739</v>
      </c>
    </row>
    <row r="202" spans="1:11" ht="10.5" customHeight="1" x14ac:dyDescent="0.2">
      <c r="A202" s="120"/>
      <c r="B202" s="127"/>
      <c r="C202" s="124"/>
      <c r="D202" s="128"/>
      <c r="E202" s="128"/>
      <c r="F202" s="128"/>
      <c r="G202" s="125"/>
      <c r="H202" s="125"/>
      <c r="I202" s="125"/>
      <c r="J202" s="494"/>
      <c r="K202" s="122" t="s">
        <v>331</v>
      </c>
    </row>
    <row r="203" spans="1:11" ht="10.5" customHeight="1" x14ac:dyDescent="0.2">
      <c r="A203" s="120" t="s">
        <v>331</v>
      </c>
      <c r="B203" s="129" t="str">
        <f>'Акт отбора проб МБ'!C35</f>
        <v>16АМ.01</v>
      </c>
      <c r="C203" s="124"/>
      <c r="D203" s="946"/>
      <c r="E203" s="946"/>
      <c r="F203" s="946"/>
      <c r="G203" s="946"/>
      <c r="H203" s="946"/>
      <c r="I203" s="125"/>
      <c r="J203" s="494"/>
      <c r="K203" s="122" t="str">
        <f>B203</f>
        <v>16АМ.01</v>
      </c>
    </row>
    <row r="204" spans="1:11" ht="10.5" customHeight="1" x14ac:dyDescent="0.2">
      <c r="A204" s="120"/>
      <c r="B204" s="127"/>
      <c r="C204" s="124"/>
      <c r="D204" s="124"/>
      <c r="E204" s="124"/>
      <c r="F204" s="124"/>
      <c r="G204" s="124"/>
      <c r="H204" s="124"/>
      <c r="I204" s="124"/>
      <c r="J204" s="493"/>
      <c r="K204" s="122" t="s">
        <v>332</v>
      </c>
    </row>
    <row r="205" spans="1:11" ht="10.5" customHeight="1" x14ac:dyDescent="0.2">
      <c r="A205" s="957" t="s">
        <v>681</v>
      </c>
      <c r="B205" s="958"/>
      <c r="C205" s="947"/>
      <c r="D205" s="947"/>
      <c r="E205" s="947"/>
      <c r="F205" s="947"/>
      <c r="G205" s="947"/>
      <c r="H205" s="947"/>
      <c r="I205" s="947"/>
      <c r="J205" s="144"/>
      <c r="K205" s="122" t="str">
        <f>J201</f>
        <v>0,0-0,2</v>
      </c>
    </row>
    <row r="206" spans="1:11" ht="10.5" customHeight="1" x14ac:dyDescent="0.2">
      <c r="A206" s="120" t="s">
        <v>333</v>
      </c>
      <c r="B206" s="127"/>
      <c r="C206" s="124"/>
      <c r="D206" s="124"/>
      <c r="E206" s="124"/>
      <c r="F206" s="124"/>
      <c r="G206" s="124"/>
      <c r="H206" s="124"/>
      <c r="I206" s="124"/>
      <c r="J206" s="493"/>
      <c r="K206" s="122" t="s">
        <v>334</v>
      </c>
    </row>
    <row r="207" spans="1:11" ht="10.5" customHeight="1" x14ac:dyDescent="0.2">
      <c r="A207" s="120" t="s">
        <v>335</v>
      </c>
      <c r="B207" s="133"/>
      <c r="C207" s="134"/>
      <c r="D207" s="134"/>
      <c r="E207" s="134"/>
      <c r="F207" s="134"/>
      <c r="G207" s="134"/>
      <c r="H207" s="124"/>
      <c r="I207" s="124"/>
      <c r="J207" s="493"/>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92"/>
      <c r="K209" s="118"/>
    </row>
    <row r="210" spans="1:11" ht="10.5" customHeight="1" x14ac:dyDescent="0.2">
      <c r="A210" s="120" t="s">
        <v>325</v>
      </c>
      <c r="B210" s="952">
        <f>$B$2</f>
        <v>0</v>
      </c>
      <c r="C210" s="952"/>
      <c r="D210" s="934" t="s">
        <v>326</v>
      </c>
      <c r="E210" s="934"/>
      <c r="F210" s="934"/>
      <c r="G210" s="934"/>
      <c r="H210" s="953">
        <f>$H$2</f>
        <v>45739</v>
      </c>
      <c r="I210" s="954"/>
      <c r="J210" s="493"/>
      <c r="K210" s="122" t="s">
        <v>327</v>
      </c>
    </row>
    <row r="211" spans="1:11" ht="10.5" customHeight="1" x14ac:dyDescent="0.2">
      <c r="A211" s="120"/>
      <c r="B211" s="127"/>
      <c r="C211" s="124"/>
      <c r="D211" s="124"/>
      <c r="E211" s="124"/>
      <c r="F211" s="124"/>
      <c r="G211" s="124"/>
      <c r="H211" s="124"/>
      <c r="I211" s="124"/>
      <c r="J211" s="493"/>
      <c r="K211" s="122">
        <f>$B$2</f>
        <v>0</v>
      </c>
    </row>
    <row r="212" spans="1:11" ht="10.5" customHeight="1" x14ac:dyDescent="0.2">
      <c r="A212" s="120" t="s">
        <v>0</v>
      </c>
      <c r="B212" s="960" t="str">
        <f>$B$4</f>
        <v>адрес вбить сюда</v>
      </c>
      <c r="C212" s="960"/>
      <c r="D212" s="960"/>
      <c r="E212" s="960"/>
      <c r="F212" s="960"/>
      <c r="G212" s="960"/>
      <c r="H212" s="960"/>
      <c r="I212" s="960"/>
      <c r="J212" s="961"/>
      <c r="K212" s="122"/>
    </row>
    <row r="213" spans="1:11" ht="10.5" customHeight="1" x14ac:dyDescent="0.2">
      <c r="A213" s="120"/>
      <c r="B213" s="960"/>
      <c r="C213" s="960"/>
      <c r="D213" s="960"/>
      <c r="E213" s="960"/>
      <c r="F213" s="960"/>
      <c r="G213" s="960"/>
      <c r="H213" s="960"/>
      <c r="I213" s="960"/>
      <c r="J213" s="961"/>
      <c r="K213" s="122" t="s">
        <v>328</v>
      </c>
    </row>
    <row r="214" spans="1:11" ht="10.5" customHeight="1" x14ac:dyDescent="0.2">
      <c r="A214" s="957" t="s">
        <v>329</v>
      </c>
      <c r="B214" s="958"/>
      <c r="C214" s="958"/>
      <c r="D214" s="945" t="str">
        <f>'Акт отбора проб МБ'!F36</f>
        <v>ПП17</v>
      </c>
      <c r="E214" s="945"/>
      <c r="F214" s="945"/>
      <c r="G214" s="959" t="s">
        <v>330</v>
      </c>
      <c r="H214" s="959"/>
      <c r="I214" s="959"/>
      <c r="J214" s="491" t="str">
        <f>'Акт отбора проб МБ'!B36</f>
        <v>0,0-0,2</v>
      </c>
      <c r="K214" s="126">
        <f>$H$2</f>
        <v>45739</v>
      </c>
    </row>
    <row r="215" spans="1:11" ht="10.5" customHeight="1" x14ac:dyDescent="0.2">
      <c r="A215" s="120"/>
      <c r="B215" s="127"/>
      <c r="C215" s="124"/>
      <c r="D215" s="128"/>
      <c r="E215" s="128"/>
      <c r="F215" s="128"/>
      <c r="G215" s="125"/>
      <c r="H215" s="125"/>
      <c r="I215" s="125"/>
      <c r="J215" s="494"/>
      <c r="K215" s="122" t="s">
        <v>331</v>
      </c>
    </row>
    <row r="216" spans="1:11" ht="10.5" customHeight="1" x14ac:dyDescent="0.2">
      <c r="A216" s="120" t="s">
        <v>331</v>
      </c>
      <c r="B216" s="129" t="str">
        <f>'Акт отбора проб МБ'!C36</f>
        <v>17АМ.01</v>
      </c>
      <c r="C216" s="124"/>
      <c r="D216" s="946"/>
      <c r="E216" s="946"/>
      <c r="F216" s="946"/>
      <c r="G216" s="946"/>
      <c r="H216" s="946"/>
      <c r="I216" s="125"/>
      <c r="J216" s="494"/>
      <c r="K216" s="122" t="str">
        <f>B216</f>
        <v>17АМ.01</v>
      </c>
    </row>
    <row r="217" spans="1:11" ht="10.5" customHeight="1" x14ac:dyDescent="0.2">
      <c r="A217" s="120"/>
      <c r="B217" s="127"/>
      <c r="C217" s="124"/>
      <c r="D217" s="124"/>
      <c r="E217" s="124"/>
      <c r="F217" s="124"/>
      <c r="G217" s="124"/>
      <c r="H217" s="124"/>
      <c r="I217" s="124"/>
      <c r="J217" s="493"/>
      <c r="K217" s="122" t="s">
        <v>332</v>
      </c>
    </row>
    <row r="218" spans="1:11" ht="10.5" customHeight="1" x14ac:dyDescent="0.2">
      <c r="A218" s="957" t="s">
        <v>681</v>
      </c>
      <c r="B218" s="958"/>
      <c r="C218" s="947"/>
      <c r="D218" s="947"/>
      <c r="E218" s="947"/>
      <c r="F218" s="947"/>
      <c r="G218" s="947"/>
      <c r="H218" s="947"/>
      <c r="I218" s="947"/>
      <c r="J218" s="144"/>
      <c r="K218" s="122" t="str">
        <f>J214</f>
        <v>0,0-0,2</v>
      </c>
    </row>
    <row r="219" spans="1:11" ht="10.5" customHeight="1" x14ac:dyDescent="0.2">
      <c r="A219" s="120" t="s">
        <v>333</v>
      </c>
      <c r="B219" s="127"/>
      <c r="C219" s="124"/>
      <c r="D219" s="124"/>
      <c r="E219" s="124"/>
      <c r="F219" s="124"/>
      <c r="G219" s="124"/>
      <c r="H219" s="124"/>
      <c r="I219" s="124"/>
      <c r="J219" s="493"/>
      <c r="K219" s="122" t="s">
        <v>334</v>
      </c>
    </row>
    <row r="220" spans="1:11" ht="10.5" customHeight="1" x14ac:dyDescent="0.2">
      <c r="A220" s="120" t="s">
        <v>335</v>
      </c>
      <c r="B220" s="133"/>
      <c r="C220" s="134"/>
      <c r="D220" s="134"/>
      <c r="E220" s="134"/>
      <c r="F220" s="134"/>
      <c r="G220" s="134"/>
      <c r="H220" s="124"/>
      <c r="I220" s="124"/>
      <c r="J220" s="493"/>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92"/>
      <c r="K222" s="118"/>
    </row>
    <row r="223" spans="1:11" ht="10.5" customHeight="1" x14ac:dyDescent="0.2">
      <c r="A223" s="120" t="s">
        <v>325</v>
      </c>
      <c r="B223" s="952">
        <f>$B$2</f>
        <v>0</v>
      </c>
      <c r="C223" s="952"/>
      <c r="D223" s="934" t="s">
        <v>326</v>
      </c>
      <c r="E223" s="934"/>
      <c r="F223" s="934"/>
      <c r="G223" s="934"/>
      <c r="H223" s="953">
        <f>$H$2</f>
        <v>45739</v>
      </c>
      <c r="I223" s="954"/>
      <c r="J223" s="493"/>
      <c r="K223" s="122" t="s">
        <v>327</v>
      </c>
    </row>
    <row r="224" spans="1:11" ht="10.5" customHeight="1" x14ac:dyDescent="0.2">
      <c r="A224" s="120"/>
      <c r="B224" s="127"/>
      <c r="C224" s="124"/>
      <c r="D224" s="124"/>
      <c r="E224" s="124"/>
      <c r="F224" s="124"/>
      <c r="G224" s="124"/>
      <c r="H224" s="124"/>
      <c r="I224" s="124"/>
      <c r="J224" s="493"/>
      <c r="K224" s="122">
        <f>$B$2</f>
        <v>0</v>
      </c>
    </row>
    <row r="225" spans="1:11" ht="10.5" customHeight="1" x14ac:dyDescent="0.2">
      <c r="A225" s="120" t="s">
        <v>0</v>
      </c>
      <c r="B225" s="960" t="str">
        <f>$B$4</f>
        <v>адрес вбить сюда</v>
      </c>
      <c r="C225" s="960"/>
      <c r="D225" s="960"/>
      <c r="E225" s="960"/>
      <c r="F225" s="960"/>
      <c r="G225" s="960"/>
      <c r="H225" s="960"/>
      <c r="I225" s="960"/>
      <c r="J225" s="961"/>
      <c r="K225" s="122"/>
    </row>
    <row r="226" spans="1:11" ht="10.5" customHeight="1" x14ac:dyDescent="0.2">
      <c r="A226" s="120"/>
      <c r="B226" s="960"/>
      <c r="C226" s="960"/>
      <c r="D226" s="960"/>
      <c r="E226" s="960"/>
      <c r="F226" s="960"/>
      <c r="G226" s="960"/>
      <c r="H226" s="960"/>
      <c r="I226" s="960"/>
      <c r="J226" s="961"/>
      <c r="K226" s="122" t="s">
        <v>328</v>
      </c>
    </row>
    <row r="227" spans="1:11" ht="10.5" customHeight="1" x14ac:dyDescent="0.2">
      <c r="A227" s="957" t="s">
        <v>329</v>
      </c>
      <c r="B227" s="958"/>
      <c r="C227" s="958"/>
      <c r="D227" s="945" t="str">
        <f>'Акт отбора проб МБ'!F37</f>
        <v>ПП18</v>
      </c>
      <c r="E227" s="945"/>
      <c r="F227" s="945"/>
      <c r="G227" s="959" t="s">
        <v>330</v>
      </c>
      <c r="H227" s="959"/>
      <c r="I227" s="959"/>
      <c r="J227" s="491" t="str">
        <f>'Акт отбора проб МБ'!B37</f>
        <v>0,0-0,2</v>
      </c>
      <c r="K227" s="126">
        <f>$H$2</f>
        <v>45739</v>
      </c>
    </row>
    <row r="228" spans="1:11" ht="10.5" customHeight="1" x14ac:dyDescent="0.2">
      <c r="A228" s="120"/>
      <c r="B228" s="127"/>
      <c r="C228" s="124"/>
      <c r="D228" s="128"/>
      <c r="E228" s="128"/>
      <c r="F228" s="128"/>
      <c r="G228" s="125"/>
      <c r="H228" s="125"/>
      <c r="I228" s="125"/>
      <c r="J228" s="494"/>
      <c r="K228" s="122" t="s">
        <v>331</v>
      </c>
    </row>
    <row r="229" spans="1:11" ht="10.5" customHeight="1" x14ac:dyDescent="0.2">
      <c r="A229" s="120" t="s">
        <v>331</v>
      </c>
      <c r="B229" s="129" t="str">
        <f>'Акт отбора проб МБ'!C37</f>
        <v>18АМ.01</v>
      </c>
      <c r="C229" s="124"/>
      <c r="D229" s="946"/>
      <c r="E229" s="946"/>
      <c r="F229" s="946"/>
      <c r="G229" s="946"/>
      <c r="H229" s="946"/>
      <c r="I229" s="125"/>
      <c r="J229" s="494"/>
      <c r="K229" s="122" t="str">
        <f>B229</f>
        <v>18АМ.01</v>
      </c>
    </row>
    <row r="230" spans="1:11" ht="10.5" customHeight="1" x14ac:dyDescent="0.2">
      <c r="A230" s="120"/>
      <c r="B230" s="127"/>
      <c r="C230" s="124"/>
      <c r="D230" s="124"/>
      <c r="E230" s="124"/>
      <c r="F230" s="124"/>
      <c r="G230" s="124"/>
      <c r="H230" s="124"/>
      <c r="I230" s="124"/>
      <c r="J230" s="493"/>
      <c r="K230" s="122" t="s">
        <v>332</v>
      </c>
    </row>
    <row r="231" spans="1:11" ht="10.5" customHeight="1" x14ac:dyDescent="0.2">
      <c r="A231" s="957" t="s">
        <v>681</v>
      </c>
      <c r="B231" s="958"/>
      <c r="C231" s="951"/>
      <c r="D231" s="951"/>
      <c r="E231" s="951"/>
      <c r="F231" s="951"/>
      <c r="G231" s="951"/>
      <c r="H231" s="951"/>
      <c r="I231" s="951"/>
      <c r="J231" s="144"/>
      <c r="K231" s="122" t="str">
        <f>J227</f>
        <v>0,0-0,2</v>
      </c>
    </row>
    <row r="232" spans="1:11" ht="10.5" customHeight="1" x14ac:dyDescent="0.2">
      <c r="A232" s="120" t="s">
        <v>333</v>
      </c>
      <c r="B232" s="127"/>
      <c r="C232" s="124"/>
      <c r="D232" s="124"/>
      <c r="E232" s="124"/>
      <c r="F232" s="124"/>
      <c r="G232" s="124"/>
      <c r="H232" s="124"/>
      <c r="I232" s="124"/>
      <c r="J232" s="493"/>
      <c r="K232" s="122" t="s">
        <v>334</v>
      </c>
    </row>
    <row r="233" spans="1:11" ht="10.5" customHeight="1" x14ac:dyDescent="0.2">
      <c r="A233" s="120" t="s">
        <v>335</v>
      </c>
      <c r="B233" s="133"/>
      <c r="C233" s="134"/>
      <c r="D233" s="134"/>
      <c r="E233" s="134"/>
      <c r="F233" s="134"/>
      <c r="G233" s="134"/>
      <c r="H233" s="124"/>
      <c r="I233" s="124"/>
      <c r="J233" s="493"/>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92"/>
      <c r="K235" s="118"/>
    </row>
    <row r="236" spans="1:11" ht="10.5" customHeight="1" x14ac:dyDescent="0.2">
      <c r="A236" s="120" t="s">
        <v>325</v>
      </c>
      <c r="B236" s="952">
        <f>$B$2</f>
        <v>0</v>
      </c>
      <c r="C236" s="952"/>
      <c r="D236" s="934" t="s">
        <v>326</v>
      </c>
      <c r="E236" s="934"/>
      <c r="F236" s="934"/>
      <c r="G236" s="934"/>
      <c r="H236" s="953">
        <f>$H$2</f>
        <v>45739</v>
      </c>
      <c r="I236" s="954"/>
      <c r="J236" s="493"/>
      <c r="K236" s="122" t="s">
        <v>327</v>
      </c>
    </row>
    <row r="237" spans="1:11" ht="10.5" customHeight="1" x14ac:dyDescent="0.2">
      <c r="A237" s="120"/>
      <c r="B237" s="127"/>
      <c r="C237" s="124"/>
      <c r="D237" s="124"/>
      <c r="E237" s="124"/>
      <c r="F237" s="124"/>
      <c r="G237" s="124"/>
      <c r="H237" s="124"/>
      <c r="I237" s="124"/>
      <c r="J237" s="493"/>
      <c r="K237" s="122">
        <f>$B$2</f>
        <v>0</v>
      </c>
    </row>
    <row r="238" spans="1:11" ht="10.5" customHeight="1" x14ac:dyDescent="0.2">
      <c r="A238" s="120" t="s">
        <v>0</v>
      </c>
      <c r="B238" s="960" t="str">
        <f>$B$4</f>
        <v>адрес вбить сюда</v>
      </c>
      <c r="C238" s="960"/>
      <c r="D238" s="960"/>
      <c r="E238" s="960"/>
      <c r="F238" s="960"/>
      <c r="G238" s="960"/>
      <c r="H238" s="960"/>
      <c r="I238" s="960"/>
      <c r="J238" s="961"/>
      <c r="K238" s="122"/>
    </row>
    <row r="239" spans="1:11" ht="10.5" customHeight="1" x14ac:dyDescent="0.2">
      <c r="A239" s="120"/>
      <c r="B239" s="960"/>
      <c r="C239" s="960"/>
      <c r="D239" s="960"/>
      <c r="E239" s="960"/>
      <c r="F239" s="960"/>
      <c r="G239" s="960"/>
      <c r="H239" s="960"/>
      <c r="I239" s="960"/>
      <c r="J239" s="961"/>
      <c r="K239" s="122" t="s">
        <v>328</v>
      </c>
    </row>
    <row r="240" spans="1:11" ht="10.5" customHeight="1" x14ac:dyDescent="0.2">
      <c r="A240" s="957" t="s">
        <v>329</v>
      </c>
      <c r="B240" s="958"/>
      <c r="C240" s="958"/>
      <c r="D240" s="945" t="str">
        <f>'Акт отбора проб МБ'!F38</f>
        <v>ПП19</v>
      </c>
      <c r="E240" s="945"/>
      <c r="F240" s="945"/>
      <c r="G240" s="959" t="s">
        <v>330</v>
      </c>
      <c r="H240" s="959"/>
      <c r="I240" s="959"/>
      <c r="J240" s="491" t="str">
        <f>'Акт отбора проб МБ'!B38</f>
        <v>0,0-0,2</v>
      </c>
      <c r="K240" s="126">
        <f>$H$2</f>
        <v>45739</v>
      </c>
    </row>
    <row r="241" spans="1:11" ht="10.5" customHeight="1" x14ac:dyDescent="0.2">
      <c r="A241" s="120"/>
      <c r="B241" s="127"/>
      <c r="C241" s="124"/>
      <c r="D241" s="128"/>
      <c r="E241" s="128"/>
      <c r="F241" s="128"/>
      <c r="G241" s="125"/>
      <c r="H241" s="125"/>
      <c r="I241" s="125"/>
      <c r="J241" s="494"/>
      <c r="K241" s="122" t="s">
        <v>331</v>
      </c>
    </row>
    <row r="242" spans="1:11" ht="10.5" customHeight="1" x14ac:dyDescent="0.2">
      <c r="A242" s="120" t="s">
        <v>331</v>
      </c>
      <c r="B242" s="129" t="str">
        <f>'Акт отбора проб МБ'!C38</f>
        <v>19АМ.01</v>
      </c>
      <c r="C242" s="124"/>
      <c r="D242" s="946"/>
      <c r="E242" s="946"/>
      <c r="F242" s="946"/>
      <c r="G242" s="946"/>
      <c r="H242" s="946"/>
      <c r="I242" s="125"/>
      <c r="J242" s="494"/>
      <c r="K242" s="122" t="str">
        <f>B242</f>
        <v>19АМ.01</v>
      </c>
    </row>
    <row r="243" spans="1:11" ht="10.5" customHeight="1" x14ac:dyDescent="0.2">
      <c r="A243" s="120"/>
      <c r="B243" s="127"/>
      <c r="C243" s="124"/>
      <c r="D243" s="124"/>
      <c r="E243" s="124"/>
      <c r="F243" s="124"/>
      <c r="G243" s="124"/>
      <c r="H243" s="124"/>
      <c r="I243" s="124"/>
      <c r="J243" s="493"/>
      <c r="K243" s="122" t="s">
        <v>332</v>
      </c>
    </row>
    <row r="244" spans="1:11" ht="10.5" customHeight="1" x14ac:dyDescent="0.2">
      <c r="A244" s="957" t="s">
        <v>681</v>
      </c>
      <c r="B244" s="958"/>
      <c r="C244" s="951"/>
      <c r="D244" s="951"/>
      <c r="E244" s="951"/>
      <c r="F244" s="951"/>
      <c r="G244" s="951"/>
      <c r="H244" s="951"/>
      <c r="I244" s="951"/>
      <c r="J244" s="144"/>
      <c r="K244" s="122" t="str">
        <f>J240</f>
        <v>0,0-0,2</v>
      </c>
    </row>
    <row r="245" spans="1:11" ht="10.5" customHeight="1" x14ac:dyDescent="0.2">
      <c r="A245" s="120" t="s">
        <v>333</v>
      </c>
      <c r="B245" s="127"/>
      <c r="C245" s="124"/>
      <c r="D245" s="124"/>
      <c r="E245" s="124"/>
      <c r="F245" s="124"/>
      <c r="G245" s="124"/>
      <c r="H245" s="124"/>
      <c r="I245" s="124"/>
      <c r="J245" s="493"/>
      <c r="K245" s="122" t="s">
        <v>334</v>
      </c>
    </row>
    <row r="246" spans="1:11" ht="10.5" customHeight="1" x14ac:dyDescent="0.2">
      <c r="A246" s="120" t="s">
        <v>335</v>
      </c>
      <c r="B246" s="133"/>
      <c r="C246" s="134"/>
      <c r="D246" s="134"/>
      <c r="E246" s="134"/>
      <c r="F246" s="134"/>
      <c r="G246" s="134"/>
      <c r="H246" s="124"/>
      <c r="I246" s="124"/>
      <c r="J246" s="493"/>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92"/>
      <c r="K248" s="118"/>
    </row>
    <row r="249" spans="1:11" ht="10.5" customHeight="1" x14ac:dyDescent="0.2">
      <c r="A249" s="120" t="s">
        <v>325</v>
      </c>
      <c r="B249" s="952">
        <f>$B$2</f>
        <v>0</v>
      </c>
      <c r="C249" s="952"/>
      <c r="D249" s="934" t="s">
        <v>326</v>
      </c>
      <c r="E249" s="934"/>
      <c r="F249" s="934"/>
      <c r="G249" s="934"/>
      <c r="H249" s="953">
        <f>$H$2</f>
        <v>45739</v>
      </c>
      <c r="I249" s="954"/>
      <c r="J249" s="493"/>
      <c r="K249" s="122" t="s">
        <v>327</v>
      </c>
    </row>
    <row r="250" spans="1:11" ht="10.5" customHeight="1" x14ac:dyDescent="0.2">
      <c r="A250" s="120"/>
      <c r="B250" s="127"/>
      <c r="C250" s="124"/>
      <c r="D250" s="124"/>
      <c r="E250" s="124"/>
      <c r="F250" s="124"/>
      <c r="G250" s="124"/>
      <c r="H250" s="124"/>
      <c r="I250" s="124"/>
      <c r="J250" s="493"/>
      <c r="K250" s="122">
        <f>$B$2</f>
        <v>0</v>
      </c>
    </row>
    <row r="251" spans="1:11" ht="10.5" customHeight="1" x14ac:dyDescent="0.2">
      <c r="A251" s="120" t="s">
        <v>0</v>
      </c>
      <c r="B251" s="960" t="str">
        <f>$B$4</f>
        <v>адрес вбить сюда</v>
      </c>
      <c r="C251" s="960"/>
      <c r="D251" s="960"/>
      <c r="E251" s="960"/>
      <c r="F251" s="960"/>
      <c r="G251" s="960"/>
      <c r="H251" s="960"/>
      <c r="I251" s="960"/>
      <c r="J251" s="961"/>
      <c r="K251" s="122"/>
    </row>
    <row r="252" spans="1:11" ht="10.5" customHeight="1" x14ac:dyDescent="0.2">
      <c r="A252" s="120"/>
      <c r="B252" s="960"/>
      <c r="C252" s="960"/>
      <c r="D252" s="960"/>
      <c r="E252" s="960"/>
      <c r="F252" s="960"/>
      <c r="G252" s="960"/>
      <c r="H252" s="960"/>
      <c r="I252" s="960"/>
      <c r="J252" s="961"/>
      <c r="K252" s="122" t="s">
        <v>328</v>
      </c>
    </row>
    <row r="253" spans="1:11" ht="10.5" customHeight="1" x14ac:dyDescent="0.2">
      <c r="A253" s="957" t="s">
        <v>329</v>
      </c>
      <c r="B253" s="958"/>
      <c r="C253" s="958"/>
      <c r="D253" s="945" t="str">
        <f>'Акт отбора проб МБ'!F39</f>
        <v>ПП20</v>
      </c>
      <c r="E253" s="945"/>
      <c r="F253" s="945"/>
      <c r="G253" s="959" t="s">
        <v>330</v>
      </c>
      <c r="H253" s="959"/>
      <c r="I253" s="959"/>
      <c r="J253" s="491" t="str">
        <f>'Акт отбора проб МБ'!B39</f>
        <v>0,0-0,2</v>
      </c>
      <c r="K253" s="126">
        <f>$H$2</f>
        <v>45739</v>
      </c>
    </row>
    <row r="254" spans="1:11" ht="10.5" customHeight="1" x14ac:dyDescent="0.2">
      <c r="A254" s="120"/>
      <c r="B254" s="127"/>
      <c r="C254" s="124"/>
      <c r="D254" s="128"/>
      <c r="E254" s="128"/>
      <c r="F254" s="128"/>
      <c r="G254" s="125"/>
      <c r="H254" s="125"/>
      <c r="I254" s="125"/>
      <c r="J254" s="494"/>
      <c r="K254" s="122" t="s">
        <v>331</v>
      </c>
    </row>
    <row r="255" spans="1:11" ht="10.5" customHeight="1" x14ac:dyDescent="0.2">
      <c r="A255" s="120" t="s">
        <v>331</v>
      </c>
      <c r="B255" s="129" t="str">
        <f>'Акт отбора проб МБ'!C39</f>
        <v>20АМ.01</v>
      </c>
      <c r="C255" s="124"/>
      <c r="D255" s="128"/>
      <c r="E255" s="128"/>
      <c r="F255" s="128"/>
      <c r="G255" s="125"/>
      <c r="H255" s="125"/>
      <c r="I255" s="125"/>
      <c r="J255" s="494"/>
      <c r="K255" s="122" t="str">
        <f>B255</f>
        <v>20АМ.01</v>
      </c>
    </row>
    <row r="256" spans="1:11" ht="10.5" customHeight="1" x14ac:dyDescent="0.2">
      <c r="A256" s="120"/>
      <c r="B256" s="127"/>
      <c r="C256" s="124"/>
      <c r="D256" s="124"/>
      <c r="E256" s="124"/>
      <c r="F256" s="124"/>
      <c r="G256" s="124"/>
      <c r="H256" s="124"/>
      <c r="I256" s="124"/>
      <c r="J256" s="493"/>
      <c r="K256" s="122" t="s">
        <v>332</v>
      </c>
    </row>
    <row r="257" spans="1:11" ht="10.5" customHeight="1" x14ac:dyDescent="0.2">
      <c r="A257" s="957" t="s">
        <v>681</v>
      </c>
      <c r="B257" s="958"/>
      <c r="C257" s="951"/>
      <c r="D257" s="951"/>
      <c r="E257" s="951"/>
      <c r="F257" s="951"/>
      <c r="G257" s="951"/>
      <c r="H257" s="951"/>
      <c r="I257" s="951"/>
      <c r="J257" s="144"/>
      <c r="K257" s="122" t="str">
        <f>J253</f>
        <v>0,0-0,2</v>
      </c>
    </row>
    <row r="258" spans="1:11" ht="10.5" customHeight="1" x14ac:dyDescent="0.2">
      <c r="A258" s="120" t="s">
        <v>333</v>
      </c>
      <c r="B258" s="127"/>
      <c r="C258" s="124"/>
      <c r="D258" s="124"/>
      <c r="E258" s="124"/>
      <c r="F258" s="124"/>
      <c r="G258" s="124"/>
      <c r="H258" s="124"/>
      <c r="I258" s="124"/>
      <c r="J258" s="493"/>
      <c r="K258" s="122" t="s">
        <v>334</v>
      </c>
    </row>
    <row r="259" spans="1:11" ht="10.5" customHeight="1" x14ac:dyDescent="0.2">
      <c r="A259" s="120" t="s">
        <v>335</v>
      </c>
      <c r="B259" s="133"/>
      <c r="C259" s="134"/>
      <c r="D259" s="134"/>
      <c r="E259" s="134"/>
      <c r="F259" s="134"/>
      <c r="G259" s="134"/>
      <c r="H259" s="124"/>
      <c r="I259" s="124"/>
      <c r="J259" s="493"/>
      <c r="K259" s="122"/>
    </row>
    <row r="260" spans="1:11" ht="10.5" customHeight="1" thickBot="1" x14ac:dyDescent="0.25">
      <c r="A260" s="145"/>
      <c r="B260" s="146"/>
      <c r="C260" s="147" t="s">
        <v>336</v>
      </c>
      <c r="D260" s="147"/>
      <c r="E260" s="147"/>
      <c r="F260" s="147"/>
      <c r="G260" s="147"/>
      <c r="H260" s="147"/>
      <c r="I260" s="147"/>
      <c r="J260" s="394"/>
      <c r="K260" s="139"/>
    </row>
  </sheetData>
  <mergeCells count="199">
    <mergeCell ref="B251:J252"/>
    <mergeCell ref="A253:C253"/>
    <mergeCell ref="D253:F253"/>
    <mergeCell ref="G253:I253"/>
    <mergeCell ref="A257:B257"/>
    <mergeCell ref="C257:I257"/>
    <mergeCell ref="D242:H242"/>
    <mergeCell ref="A244:B244"/>
    <mergeCell ref="C244:I244"/>
    <mergeCell ref="B249:C249"/>
    <mergeCell ref="D249:G249"/>
    <mergeCell ref="H249:I249"/>
    <mergeCell ref="B236:C236"/>
    <mergeCell ref="D236:G236"/>
    <mergeCell ref="H236:I236"/>
    <mergeCell ref="B238:J239"/>
    <mergeCell ref="A240:C240"/>
    <mergeCell ref="D240:F240"/>
    <mergeCell ref="G240:I240"/>
    <mergeCell ref="B225:J226"/>
    <mergeCell ref="A227:C227"/>
    <mergeCell ref="D227:F227"/>
    <mergeCell ref="G227:I227"/>
    <mergeCell ref="D229:H229"/>
    <mergeCell ref="A231:B231"/>
    <mergeCell ref="C231:I231"/>
    <mergeCell ref="D216:H216"/>
    <mergeCell ref="A218:B218"/>
    <mergeCell ref="C218:I218"/>
    <mergeCell ref="B223:C223"/>
    <mergeCell ref="D223:G223"/>
    <mergeCell ref="H223:I223"/>
    <mergeCell ref="B210:C210"/>
    <mergeCell ref="D210:G210"/>
    <mergeCell ref="H210:I210"/>
    <mergeCell ref="B212:J213"/>
    <mergeCell ref="A214:C214"/>
    <mergeCell ref="D214:F214"/>
    <mergeCell ref="G214:I214"/>
    <mergeCell ref="B199:J200"/>
    <mergeCell ref="A201:C201"/>
    <mergeCell ref="D201:F201"/>
    <mergeCell ref="G201:I201"/>
    <mergeCell ref="D203:H203"/>
    <mergeCell ref="A205:B205"/>
    <mergeCell ref="C205:I205"/>
    <mergeCell ref="D190:H190"/>
    <mergeCell ref="A192:B192"/>
    <mergeCell ref="C192:I192"/>
    <mergeCell ref="B197:C197"/>
    <mergeCell ref="D197:G197"/>
    <mergeCell ref="H197:I197"/>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D164:H164"/>
    <mergeCell ref="A166:B166"/>
    <mergeCell ref="C166:I166"/>
    <mergeCell ref="B171:C171"/>
    <mergeCell ref="D171:G171"/>
    <mergeCell ref="H171:I171"/>
    <mergeCell ref="B158:C158"/>
    <mergeCell ref="D158:G158"/>
    <mergeCell ref="H158:I158"/>
    <mergeCell ref="B160:J161"/>
    <mergeCell ref="A162:C162"/>
    <mergeCell ref="D162:F162"/>
    <mergeCell ref="G162:I162"/>
    <mergeCell ref="B147:J148"/>
    <mergeCell ref="A149:C149"/>
    <mergeCell ref="D149:F149"/>
    <mergeCell ref="G149:I149"/>
    <mergeCell ref="D151:H151"/>
    <mergeCell ref="A153:B153"/>
    <mergeCell ref="C153:I153"/>
    <mergeCell ref="D138:H138"/>
    <mergeCell ref="A140:B140"/>
    <mergeCell ref="C140:I140"/>
    <mergeCell ref="B145:C145"/>
    <mergeCell ref="D145:G145"/>
    <mergeCell ref="H145:I145"/>
    <mergeCell ref="B132:C132"/>
    <mergeCell ref="D132:G132"/>
    <mergeCell ref="H132:I132"/>
    <mergeCell ref="B134:J135"/>
    <mergeCell ref="A136:C136"/>
    <mergeCell ref="D136:F136"/>
    <mergeCell ref="G136:I136"/>
    <mergeCell ref="B121:J122"/>
    <mergeCell ref="A123:C123"/>
    <mergeCell ref="D123:F123"/>
    <mergeCell ref="G123:I123"/>
    <mergeCell ref="D125:H125"/>
    <mergeCell ref="A127:B127"/>
    <mergeCell ref="C127:I127"/>
    <mergeCell ref="D112:H112"/>
    <mergeCell ref="A114:B114"/>
    <mergeCell ref="C114:I114"/>
    <mergeCell ref="B119:C119"/>
    <mergeCell ref="D119:G119"/>
    <mergeCell ref="H119:I119"/>
    <mergeCell ref="B106:C106"/>
    <mergeCell ref="D106:G106"/>
    <mergeCell ref="H106:I106"/>
    <mergeCell ref="B108:J109"/>
    <mergeCell ref="A110:C110"/>
    <mergeCell ref="D110:F110"/>
    <mergeCell ref="G110:I110"/>
    <mergeCell ref="B95:J96"/>
    <mergeCell ref="A97:C97"/>
    <mergeCell ref="D97:F97"/>
    <mergeCell ref="G97:I97"/>
    <mergeCell ref="D99:H99"/>
    <mergeCell ref="A101:B101"/>
    <mergeCell ref="C101:I101"/>
    <mergeCell ref="D86:H86"/>
    <mergeCell ref="A88:B88"/>
    <mergeCell ref="C88:I88"/>
    <mergeCell ref="B93:C93"/>
    <mergeCell ref="D93:G93"/>
    <mergeCell ref="H93:I93"/>
    <mergeCell ref="B80:C80"/>
    <mergeCell ref="D80:G80"/>
    <mergeCell ref="H80:I80"/>
    <mergeCell ref="B82:J83"/>
    <mergeCell ref="A84:C84"/>
    <mergeCell ref="D84:F84"/>
    <mergeCell ref="G84:I84"/>
    <mergeCell ref="B69:J70"/>
    <mergeCell ref="A71:C71"/>
    <mergeCell ref="D71:F71"/>
    <mergeCell ref="G71:I71"/>
    <mergeCell ref="D74:H74"/>
    <mergeCell ref="A75:B75"/>
    <mergeCell ref="C75:I75"/>
    <mergeCell ref="D60:H60"/>
    <mergeCell ref="A62:B62"/>
    <mergeCell ref="C62:I62"/>
    <mergeCell ref="B67:C67"/>
    <mergeCell ref="D67:G67"/>
    <mergeCell ref="H67:I67"/>
    <mergeCell ref="B54:C54"/>
    <mergeCell ref="D54:G54"/>
    <mergeCell ref="H54:I54"/>
    <mergeCell ref="B56:J57"/>
    <mergeCell ref="A58:C58"/>
    <mergeCell ref="D58:F58"/>
    <mergeCell ref="G58:I58"/>
    <mergeCell ref="D47:H47"/>
    <mergeCell ref="A49:B49"/>
    <mergeCell ref="C49:I49"/>
    <mergeCell ref="D35:H35"/>
    <mergeCell ref="A36:B36"/>
    <mergeCell ref="C36:I36"/>
    <mergeCell ref="B41:C41"/>
    <mergeCell ref="D41:G41"/>
    <mergeCell ref="H41:I41"/>
    <mergeCell ref="B30:J31"/>
    <mergeCell ref="A32:C32"/>
    <mergeCell ref="D32:F32"/>
    <mergeCell ref="G32:I32"/>
    <mergeCell ref="D21:H21"/>
    <mergeCell ref="A23:B23"/>
    <mergeCell ref="C23:I23"/>
    <mergeCell ref="B43:J44"/>
    <mergeCell ref="A45:C45"/>
    <mergeCell ref="D45:F45"/>
    <mergeCell ref="G45:I45"/>
    <mergeCell ref="B2:C2"/>
    <mergeCell ref="D2:G2"/>
    <mergeCell ref="H2:I2"/>
    <mergeCell ref="B4:J5"/>
    <mergeCell ref="A6:C6"/>
    <mergeCell ref="D6:F6"/>
    <mergeCell ref="G6:I6"/>
    <mergeCell ref="B28:C28"/>
    <mergeCell ref="D28:G28"/>
    <mergeCell ref="H28:I28"/>
    <mergeCell ref="B17:J18"/>
    <mergeCell ref="A19:C19"/>
    <mergeCell ref="D19:F19"/>
    <mergeCell ref="G19:I19"/>
    <mergeCell ref="D8:H8"/>
    <mergeCell ref="A10:B10"/>
    <mergeCell ref="C10:I10"/>
    <mergeCell ref="B15:C15"/>
    <mergeCell ref="D15:G15"/>
    <mergeCell ref="H15:I15"/>
  </mergeCells>
  <pageMargins left="0.46" right="0.24" top="0.48" bottom="0.59055118110236227" header="0.16" footer="0.31496062992125984"/>
  <pageSetup paperSize="9" scale="95" orientation="portrait" r:id="rId1"/>
  <headerFooter alignWithMargins="0"/>
  <rowBreaks count="3" manualBreakCount="3">
    <brk id="78" max="9" man="1"/>
    <brk id="156" max="9" man="1"/>
    <brk id="234" max="9"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M260"/>
  <sheetViews>
    <sheetView view="pageBreakPreview" zoomScaleNormal="100" workbookViewId="0">
      <selection activeCell="Q32" sqref="Q32"/>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96" customWidth="1"/>
    <col min="11" max="11" width="18.85546875" customWidth="1"/>
  </cols>
  <sheetData>
    <row r="1" spans="1:13" s="119" customFormat="1" ht="10.5" customHeight="1" x14ac:dyDescent="0.2">
      <c r="A1" s="115"/>
      <c r="B1" s="116"/>
      <c r="C1" s="117"/>
      <c r="D1" s="117"/>
      <c r="E1" s="117"/>
      <c r="F1" s="117"/>
      <c r="G1" s="117"/>
      <c r="H1" s="117"/>
      <c r="I1" s="117"/>
      <c r="J1" s="489"/>
      <c r="K1" s="118"/>
    </row>
    <row r="2" spans="1:13" s="119" customFormat="1" ht="10.5" customHeight="1" x14ac:dyDescent="0.2">
      <c r="A2" s="120" t="s">
        <v>325</v>
      </c>
      <c r="B2" s="952"/>
      <c r="C2" s="952"/>
      <c r="D2" s="934" t="s">
        <v>326</v>
      </c>
      <c r="E2" s="934"/>
      <c r="F2" s="934"/>
      <c r="G2" s="934"/>
      <c r="H2" s="953">
        <f>'Акт отбора проб Почва'!E9</f>
        <v>45739</v>
      </c>
      <c r="I2" s="954"/>
      <c r="J2" s="490"/>
      <c r="K2" s="122" t="s">
        <v>327</v>
      </c>
    </row>
    <row r="3" spans="1:13" s="119" customFormat="1" ht="10.5" customHeight="1" x14ac:dyDescent="0.2">
      <c r="A3" s="120"/>
      <c r="B3" s="123"/>
      <c r="C3" s="121"/>
      <c r="D3" s="121"/>
      <c r="E3" s="121"/>
      <c r="F3" s="121"/>
      <c r="G3" s="121"/>
      <c r="H3" s="121"/>
      <c r="I3" s="121"/>
      <c r="J3" s="490"/>
      <c r="K3" s="122">
        <f>$B$2</f>
        <v>0</v>
      </c>
    </row>
    <row r="4" spans="1:13" s="119" customFormat="1" ht="10.5" customHeight="1" x14ac:dyDescent="0.2">
      <c r="A4" s="120" t="s">
        <v>0</v>
      </c>
      <c r="B4" s="955" t="str">
        <f>БОП!B4</f>
        <v>адрес вбить сюда</v>
      </c>
      <c r="C4" s="955"/>
      <c r="D4" s="955"/>
      <c r="E4" s="955"/>
      <c r="F4" s="955"/>
      <c r="G4" s="955"/>
      <c r="H4" s="955"/>
      <c r="I4" s="955"/>
      <c r="J4" s="956"/>
      <c r="K4" s="122"/>
    </row>
    <row r="5" spans="1:13" s="119" customFormat="1" ht="10.5" customHeight="1" x14ac:dyDescent="0.2">
      <c r="A5" s="120"/>
      <c r="B5" s="955"/>
      <c r="C5" s="955"/>
      <c r="D5" s="955"/>
      <c r="E5" s="955"/>
      <c r="F5" s="955"/>
      <c r="G5" s="955"/>
      <c r="H5" s="955"/>
      <c r="I5" s="955"/>
      <c r="J5" s="956"/>
      <c r="K5" s="122" t="s">
        <v>328</v>
      </c>
    </row>
    <row r="6" spans="1:13" s="119" customFormat="1" ht="10.5" customHeight="1" x14ac:dyDescent="0.2">
      <c r="A6" s="957" t="s">
        <v>329</v>
      </c>
      <c r="B6" s="958"/>
      <c r="C6" s="958"/>
      <c r="D6" s="941" t="str">
        <f>'Акт отбора проб Почва'!F20</f>
        <v>ПП1</v>
      </c>
      <c r="E6" s="941"/>
      <c r="F6" s="941"/>
      <c r="G6" s="959" t="s">
        <v>330</v>
      </c>
      <c r="H6" s="959"/>
      <c r="I6" s="959"/>
      <c r="J6" s="491" t="str">
        <f>'Акт отбора проб МБ'!J20</f>
        <v>0,0-0,1</v>
      </c>
      <c r="K6" s="126">
        <f>H2</f>
        <v>45739</v>
      </c>
    </row>
    <row r="7" spans="1:13" s="119" customFormat="1" ht="10.5" customHeight="1" x14ac:dyDescent="0.2">
      <c r="A7" s="120"/>
      <c r="B7" s="127"/>
      <c r="C7" s="124"/>
      <c r="D7" s="128"/>
      <c r="E7" s="128"/>
      <c r="F7" s="128"/>
      <c r="G7" s="125"/>
      <c r="H7" s="125"/>
      <c r="I7" s="125"/>
      <c r="J7" s="154"/>
      <c r="K7" s="122" t="s">
        <v>331</v>
      </c>
    </row>
    <row r="8" spans="1:13" s="119" customFormat="1" ht="10.5" customHeight="1" x14ac:dyDescent="0.2">
      <c r="A8" s="120" t="s">
        <v>331</v>
      </c>
      <c r="B8" s="391" t="str">
        <f>'Акт отбора проб МБ'!K20</f>
        <v>01АП.01</v>
      </c>
      <c r="C8" s="124"/>
      <c r="D8" s="946"/>
      <c r="E8" s="946"/>
      <c r="F8" s="946"/>
      <c r="G8" s="946"/>
      <c r="H8" s="946"/>
      <c r="I8" s="125"/>
      <c r="J8" s="154"/>
      <c r="K8" s="122" t="str">
        <f>B8</f>
        <v>01АП.01</v>
      </c>
    </row>
    <row r="9" spans="1:13" s="119" customFormat="1" ht="10.5" customHeight="1" x14ac:dyDescent="0.2">
      <c r="A9" s="120"/>
      <c r="B9" s="127"/>
      <c r="C9" s="124"/>
      <c r="D9" s="124"/>
      <c r="E9" s="124"/>
      <c r="F9" s="124"/>
      <c r="G9" s="124"/>
      <c r="H9" s="124"/>
      <c r="I9" s="124"/>
      <c r="J9" s="490"/>
      <c r="K9" s="122" t="s">
        <v>332</v>
      </c>
      <c r="M9" s="130"/>
    </row>
    <row r="10" spans="1:13" s="119" customFormat="1" ht="10.5" customHeight="1" x14ac:dyDescent="0.2">
      <c r="A10" s="957" t="s">
        <v>681</v>
      </c>
      <c r="B10" s="958"/>
      <c r="C10" s="947"/>
      <c r="D10" s="947"/>
      <c r="E10" s="947"/>
      <c r="F10" s="947"/>
      <c r="G10" s="947"/>
      <c r="H10" s="947"/>
      <c r="I10" s="947"/>
      <c r="J10" s="131"/>
      <c r="K10" s="122" t="str">
        <f>J6</f>
        <v>0,0-0,1</v>
      </c>
    </row>
    <row r="11" spans="1:13" s="119" customFormat="1" ht="10.5" customHeight="1" x14ac:dyDescent="0.2">
      <c r="A11" s="120" t="s">
        <v>333</v>
      </c>
      <c r="B11" s="127"/>
      <c r="C11" s="124"/>
      <c r="D11" s="132"/>
      <c r="E11" s="132"/>
      <c r="F11" s="132"/>
      <c r="G11" s="124"/>
      <c r="H11" s="124"/>
      <c r="I11" s="124"/>
      <c r="J11" s="490"/>
      <c r="K11" s="122" t="s">
        <v>334</v>
      </c>
    </row>
    <row r="12" spans="1:13" s="119" customFormat="1" ht="10.5" customHeight="1" x14ac:dyDescent="0.2">
      <c r="A12" s="120" t="s">
        <v>335</v>
      </c>
      <c r="B12" s="133"/>
      <c r="C12" s="134"/>
      <c r="D12" s="134"/>
      <c r="E12" s="134"/>
      <c r="F12" s="134"/>
      <c r="G12" s="134"/>
      <c r="H12" s="124"/>
      <c r="I12" s="124"/>
      <c r="J12" s="490"/>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92"/>
      <c r="K14" s="118"/>
    </row>
    <row r="15" spans="1:13" s="119" customFormat="1" ht="10.5" customHeight="1" x14ac:dyDescent="0.2">
      <c r="A15" s="120" t="s">
        <v>325</v>
      </c>
      <c r="B15" s="952">
        <f>$B$2</f>
        <v>0</v>
      </c>
      <c r="C15" s="952"/>
      <c r="D15" s="934" t="s">
        <v>326</v>
      </c>
      <c r="E15" s="934"/>
      <c r="F15" s="934"/>
      <c r="G15" s="934"/>
      <c r="H15" s="953">
        <f>$H$2</f>
        <v>45739</v>
      </c>
      <c r="I15" s="954"/>
      <c r="J15" s="493"/>
      <c r="K15" s="122" t="s">
        <v>327</v>
      </c>
    </row>
    <row r="16" spans="1:13" s="119" customFormat="1" ht="10.5" customHeight="1" x14ac:dyDescent="0.2">
      <c r="A16" s="120"/>
      <c r="B16" s="127"/>
      <c r="C16" s="124"/>
      <c r="D16" s="124"/>
      <c r="E16" s="124"/>
      <c r="F16" s="124"/>
      <c r="G16" s="124"/>
      <c r="H16" s="124"/>
      <c r="I16" s="124"/>
      <c r="J16" s="493"/>
      <c r="K16" s="122">
        <f>$B$2</f>
        <v>0</v>
      </c>
    </row>
    <row r="17" spans="1:11" s="119" customFormat="1" ht="10.5" customHeight="1" x14ac:dyDescent="0.2">
      <c r="A17" s="120" t="s">
        <v>0</v>
      </c>
      <c r="B17" s="960" t="str">
        <f>$B$4</f>
        <v>адрес вбить сюда</v>
      </c>
      <c r="C17" s="960"/>
      <c r="D17" s="960"/>
      <c r="E17" s="960"/>
      <c r="F17" s="960"/>
      <c r="G17" s="960"/>
      <c r="H17" s="960"/>
      <c r="I17" s="960"/>
      <c r="J17" s="961"/>
      <c r="K17" s="122"/>
    </row>
    <row r="18" spans="1:11" s="119" customFormat="1" ht="10.5" customHeight="1" x14ac:dyDescent="0.2">
      <c r="A18" s="120"/>
      <c r="B18" s="960"/>
      <c r="C18" s="960"/>
      <c r="D18" s="960"/>
      <c r="E18" s="960"/>
      <c r="F18" s="960"/>
      <c r="G18" s="960"/>
      <c r="H18" s="960"/>
      <c r="I18" s="960"/>
      <c r="J18" s="961"/>
      <c r="K18" s="122" t="s">
        <v>328</v>
      </c>
    </row>
    <row r="19" spans="1:11" s="119" customFormat="1" ht="10.5" customHeight="1" x14ac:dyDescent="0.2">
      <c r="A19" s="957" t="s">
        <v>329</v>
      </c>
      <c r="B19" s="958"/>
      <c r="C19" s="958"/>
      <c r="D19" s="945" t="str">
        <f>'Акт отбора проб Почва'!F21</f>
        <v>ПП2</v>
      </c>
      <c r="E19" s="945"/>
      <c r="F19" s="945"/>
      <c r="G19" s="959" t="s">
        <v>330</v>
      </c>
      <c r="H19" s="959"/>
      <c r="I19" s="959"/>
      <c r="J19" s="491" t="str">
        <f>'Акт отбора проб МБ'!J21</f>
        <v>0,0-0,1</v>
      </c>
      <c r="K19" s="126">
        <f>$H$2</f>
        <v>45739</v>
      </c>
    </row>
    <row r="20" spans="1:11" s="119" customFormat="1" ht="10.5" customHeight="1" x14ac:dyDescent="0.2">
      <c r="A20" s="120"/>
      <c r="B20" s="127"/>
      <c r="C20" s="124"/>
      <c r="D20" s="128"/>
      <c r="E20" s="128"/>
      <c r="F20" s="128"/>
      <c r="G20" s="125"/>
      <c r="H20" s="125"/>
      <c r="I20" s="125"/>
      <c r="J20" s="494"/>
      <c r="K20" s="122" t="s">
        <v>331</v>
      </c>
    </row>
    <row r="21" spans="1:11" s="119" customFormat="1" ht="10.5" customHeight="1" x14ac:dyDescent="0.2">
      <c r="A21" s="120" t="s">
        <v>331</v>
      </c>
      <c r="B21" s="391" t="str">
        <f>'Акт отбора проб МБ'!K21</f>
        <v>02АП.01</v>
      </c>
      <c r="C21" s="124"/>
      <c r="D21" s="946"/>
      <c r="E21" s="946"/>
      <c r="F21" s="946"/>
      <c r="G21" s="946"/>
      <c r="H21" s="946"/>
      <c r="I21" s="125"/>
      <c r="J21" s="494"/>
      <c r="K21" s="122" t="str">
        <f>B21</f>
        <v>02АП.01</v>
      </c>
    </row>
    <row r="22" spans="1:11" s="119" customFormat="1" ht="10.5" customHeight="1" x14ac:dyDescent="0.2">
      <c r="A22" s="120"/>
      <c r="B22" s="127"/>
      <c r="C22" s="124"/>
      <c r="D22" s="124"/>
      <c r="E22" s="124"/>
      <c r="F22" s="124"/>
      <c r="G22" s="124"/>
      <c r="H22" s="124"/>
      <c r="I22" s="124"/>
      <c r="J22" s="493"/>
      <c r="K22" s="122" t="s">
        <v>332</v>
      </c>
    </row>
    <row r="23" spans="1:11" s="119" customFormat="1" ht="10.5" customHeight="1" x14ac:dyDescent="0.2">
      <c r="A23" s="957" t="s">
        <v>681</v>
      </c>
      <c r="B23" s="958"/>
      <c r="C23" s="947"/>
      <c r="D23" s="947"/>
      <c r="E23" s="947"/>
      <c r="F23" s="947"/>
      <c r="G23" s="947"/>
      <c r="H23" s="947"/>
      <c r="I23" s="947"/>
      <c r="J23" s="144"/>
      <c r="K23" s="122" t="str">
        <f>J19</f>
        <v>0,0-0,1</v>
      </c>
    </row>
    <row r="24" spans="1:11" s="119" customFormat="1" ht="10.5" customHeight="1" x14ac:dyDescent="0.2">
      <c r="A24" s="120" t="s">
        <v>333</v>
      </c>
      <c r="B24" s="127"/>
      <c r="C24" s="124"/>
      <c r="D24" s="124"/>
      <c r="E24" s="124"/>
      <c r="F24" s="124"/>
      <c r="G24" s="124"/>
      <c r="H24" s="124"/>
      <c r="I24" s="124"/>
      <c r="J24" s="493"/>
      <c r="K24" s="122" t="s">
        <v>334</v>
      </c>
    </row>
    <row r="25" spans="1:11" s="119" customFormat="1" ht="10.5" customHeight="1" x14ac:dyDescent="0.2">
      <c r="A25" s="120" t="s">
        <v>335</v>
      </c>
      <c r="B25" s="133"/>
      <c r="C25" s="134"/>
      <c r="D25" s="134"/>
      <c r="E25" s="134"/>
      <c r="F25" s="134"/>
      <c r="G25" s="134"/>
      <c r="H25" s="124"/>
      <c r="I25" s="124"/>
      <c r="J25" s="493"/>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92"/>
      <c r="K27" s="118"/>
    </row>
    <row r="28" spans="1:11" s="119" customFormat="1" ht="10.5" customHeight="1" x14ac:dyDescent="0.2">
      <c r="A28" s="120" t="s">
        <v>325</v>
      </c>
      <c r="B28" s="952">
        <f>$B$2</f>
        <v>0</v>
      </c>
      <c r="C28" s="952"/>
      <c r="D28" s="934" t="s">
        <v>326</v>
      </c>
      <c r="E28" s="934"/>
      <c r="F28" s="934"/>
      <c r="G28" s="934"/>
      <c r="H28" s="953">
        <f>$H$2</f>
        <v>45739</v>
      </c>
      <c r="I28" s="954"/>
      <c r="J28" s="493"/>
      <c r="K28" s="122" t="s">
        <v>327</v>
      </c>
    </row>
    <row r="29" spans="1:11" s="119" customFormat="1" ht="10.5" customHeight="1" x14ac:dyDescent="0.2">
      <c r="A29" s="120"/>
      <c r="B29" s="127"/>
      <c r="C29" s="124"/>
      <c r="D29" s="124"/>
      <c r="E29" s="124"/>
      <c r="F29" s="124"/>
      <c r="G29" s="124"/>
      <c r="H29" s="124"/>
      <c r="I29" s="124"/>
      <c r="J29" s="493"/>
      <c r="K29" s="122">
        <f>$B$2</f>
        <v>0</v>
      </c>
    </row>
    <row r="30" spans="1:11" s="119" customFormat="1" ht="10.5" customHeight="1" x14ac:dyDescent="0.2">
      <c r="A30" s="120" t="s">
        <v>0</v>
      </c>
      <c r="B30" s="960" t="str">
        <f>B4</f>
        <v>адрес вбить сюда</v>
      </c>
      <c r="C30" s="960"/>
      <c r="D30" s="960"/>
      <c r="E30" s="960"/>
      <c r="F30" s="960"/>
      <c r="G30" s="960"/>
      <c r="H30" s="960"/>
      <c r="I30" s="960"/>
      <c r="J30" s="961"/>
      <c r="K30" s="122"/>
    </row>
    <row r="31" spans="1:11" s="119" customFormat="1" ht="10.5" customHeight="1" x14ac:dyDescent="0.2">
      <c r="A31" s="120"/>
      <c r="B31" s="960"/>
      <c r="C31" s="960"/>
      <c r="D31" s="960"/>
      <c r="E31" s="960"/>
      <c r="F31" s="960"/>
      <c r="G31" s="960"/>
      <c r="H31" s="960"/>
      <c r="I31" s="960"/>
      <c r="J31" s="961"/>
      <c r="K31" s="122" t="s">
        <v>328</v>
      </c>
    </row>
    <row r="32" spans="1:11" s="119" customFormat="1" ht="10.5" customHeight="1" x14ac:dyDescent="0.2">
      <c r="A32" s="957" t="s">
        <v>329</v>
      </c>
      <c r="B32" s="958"/>
      <c r="C32" s="958"/>
      <c r="D32" s="945" t="str">
        <f>'Акт отбора проб Почва'!F22</f>
        <v>ПП3</v>
      </c>
      <c r="E32" s="945"/>
      <c r="F32" s="945"/>
      <c r="G32" s="959" t="s">
        <v>330</v>
      </c>
      <c r="H32" s="959"/>
      <c r="I32" s="959"/>
      <c r="J32" s="491" t="str">
        <f>'Акт отбора проб МБ'!J22</f>
        <v>0,0-0,1</v>
      </c>
      <c r="K32" s="126">
        <f>$H$2</f>
        <v>45739</v>
      </c>
    </row>
    <row r="33" spans="1:11" s="119" customFormat="1" ht="10.5" customHeight="1" x14ac:dyDescent="0.2">
      <c r="A33" s="120"/>
      <c r="B33" s="127"/>
      <c r="C33" s="124"/>
      <c r="D33" s="128"/>
      <c r="E33" s="128"/>
      <c r="F33" s="128"/>
      <c r="G33" s="125"/>
      <c r="H33" s="125"/>
      <c r="I33" s="125"/>
      <c r="J33" s="494"/>
      <c r="K33" s="122" t="s">
        <v>331</v>
      </c>
    </row>
    <row r="34" spans="1:11" s="119" customFormat="1" ht="10.5" customHeight="1" x14ac:dyDescent="0.2">
      <c r="A34" s="120" t="s">
        <v>331</v>
      </c>
      <c r="B34" s="391" t="str">
        <f>'Акт отбора проб МБ'!K22</f>
        <v>03АП.01</v>
      </c>
      <c r="C34" s="124"/>
      <c r="D34" s="128"/>
      <c r="E34" s="128"/>
      <c r="F34" s="128"/>
      <c r="G34" s="125"/>
      <c r="H34" s="125"/>
      <c r="I34" s="125"/>
      <c r="J34" s="494"/>
      <c r="K34" s="122" t="str">
        <f>B34</f>
        <v>03АП.01</v>
      </c>
    </row>
    <row r="35" spans="1:11" s="119" customFormat="1" ht="10.5" customHeight="1" x14ac:dyDescent="0.2">
      <c r="A35" s="120"/>
      <c r="B35" s="127"/>
      <c r="C35" s="124"/>
      <c r="D35" s="946"/>
      <c r="E35" s="946"/>
      <c r="F35" s="946"/>
      <c r="G35" s="946"/>
      <c r="H35" s="946"/>
      <c r="I35" s="124"/>
      <c r="J35" s="493"/>
      <c r="K35" s="122" t="s">
        <v>332</v>
      </c>
    </row>
    <row r="36" spans="1:11" s="119" customFormat="1" ht="10.5" customHeight="1" x14ac:dyDescent="0.2">
      <c r="A36" s="957" t="s">
        <v>681</v>
      </c>
      <c r="B36" s="958"/>
      <c r="C36" s="947"/>
      <c r="D36" s="947"/>
      <c r="E36" s="947"/>
      <c r="F36" s="947"/>
      <c r="G36" s="947"/>
      <c r="H36" s="947"/>
      <c r="I36" s="947"/>
      <c r="J36" s="144"/>
      <c r="K36" s="122" t="str">
        <f>J32</f>
        <v>0,0-0,1</v>
      </c>
    </row>
    <row r="37" spans="1:11" s="119" customFormat="1" ht="10.5" customHeight="1" x14ac:dyDescent="0.2">
      <c r="A37" s="120" t="s">
        <v>333</v>
      </c>
      <c r="B37" s="127"/>
      <c r="C37" s="124"/>
      <c r="D37" s="124"/>
      <c r="E37" s="124"/>
      <c r="F37" s="124"/>
      <c r="G37" s="124"/>
      <c r="H37" s="124"/>
      <c r="I37" s="124"/>
      <c r="J37" s="493"/>
      <c r="K37" s="122" t="s">
        <v>334</v>
      </c>
    </row>
    <row r="38" spans="1:11" s="119" customFormat="1" ht="10.5" customHeight="1" x14ac:dyDescent="0.2">
      <c r="A38" s="120" t="s">
        <v>335</v>
      </c>
      <c r="B38" s="133"/>
      <c r="C38" s="134"/>
      <c r="D38" s="134"/>
      <c r="E38" s="134"/>
      <c r="F38" s="134"/>
      <c r="G38" s="134"/>
      <c r="H38" s="124"/>
      <c r="I38" s="124"/>
      <c r="J38" s="493"/>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92"/>
      <c r="K40" s="118"/>
    </row>
    <row r="41" spans="1:11" s="119" customFormat="1" ht="10.5" customHeight="1" x14ac:dyDescent="0.2">
      <c r="A41" s="120" t="s">
        <v>325</v>
      </c>
      <c r="B41" s="952">
        <f>B2</f>
        <v>0</v>
      </c>
      <c r="C41" s="952"/>
      <c r="D41" s="934" t="s">
        <v>326</v>
      </c>
      <c r="E41" s="934"/>
      <c r="F41" s="934"/>
      <c r="G41" s="934"/>
      <c r="H41" s="953">
        <f>$H$2</f>
        <v>45739</v>
      </c>
      <c r="I41" s="954"/>
      <c r="J41" s="493"/>
      <c r="K41" s="122" t="s">
        <v>327</v>
      </c>
    </row>
    <row r="42" spans="1:11" s="119" customFormat="1" ht="10.5" customHeight="1" x14ac:dyDescent="0.2">
      <c r="A42" s="120"/>
      <c r="B42" s="127"/>
      <c r="C42" s="124"/>
      <c r="D42" s="124"/>
      <c r="E42" s="124"/>
      <c r="F42" s="124"/>
      <c r="G42" s="124"/>
      <c r="H42" s="124"/>
      <c r="I42" s="124"/>
      <c r="J42" s="493"/>
      <c r="K42" s="122">
        <f>$B$2</f>
        <v>0</v>
      </c>
    </row>
    <row r="43" spans="1:11" s="119" customFormat="1" ht="10.5" customHeight="1" x14ac:dyDescent="0.2">
      <c r="A43" s="120" t="s">
        <v>0</v>
      </c>
      <c r="B43" s="960" t="str">
        <f>$B$4</f>
        <v>адрес вбить сюда</v>
      </c>
      <c r="C43" s="960"/>
      <c r="D43" s="960"/>
      <c r="E43" s="960"/>
      <c r="F43" s="960"/>
      <c r="G43" s="960"/>
      <c r="H43" s="960"/>
      <c r="I43" s="960"/>
      <c r="J43" s="961"/>
      <c r="K43" s="122"/>
    </row>
    <row r="44" spans="1:11" s="119" customFormat="1" ht="10.5" customHeight="1" x14ac:dyDescent="0.2">
      <c r="A44" s="120"/>
      <c r="B44" s="960"/>
      <c r="C44" s="960"/>
      <c r="D44" s="960"/>
      <c r="E44" s="960"/>
      <c r="F44" s="960"/>
      <c r="G44" s="960"/>
      <c r="H44" s="960"/>
      <c r="I44" s="960"/>
      <c r="J44" s="961"/>
      <c r="K44" s="122" t="s">
        <v>328</v>
      </c>
    </row>
    <row r="45" spans="1:11" s="119" customFormat="1" ht="10.5" customHeight="1" x14ac:dyDescent="0.2">
      <c r="A45" s="957" t="s">
        <v>329</v>
      </c>
      <c r="B45" s="958"/>
      <c r="C45" s="958"/>
      <c r="D45" s="945" t="str">
        <f>'Акт отбора проб Почва'!F23</f>
        <v>ПП4</v>
      </c>
      <c r="E45" s="945"/>
      <c r="F45" s="945"/>
      <c r="G45" s="959" t="s">
        <v>330</v>
      </c>
      <c r="H45" s="959"/>
      <c r="I45" s="959"/>
      <c r="J45" s="491" t="str">
        <f>'Акт отбора проб МБ'!J23</f>
        <v>0,0-0,1</v>
      </c>
      <c r="K45" s="126">
        <f>$H$2</f>
        <v>45739</v>
      </c>
    </row>
    <row r="46" spans="1:11" s="119" customFormat="1" ht="10.5" customHeight="1" x14ac:dyDescent="0.2">
      <c r="A46" s="120"/>
      <c r="B46" s="127"/>
      <c r="C46" s="124"/>
      <c r="D46" s="128"/>
      <c r="E46" s="128"/>
      <c r="F46" s="128"/>
      <c r="G46" s="125"/>
      <c r="H46" s="125"/>
      <c r="I46" s="125"/>
      <c r="J46" s="494"/>
      <c r="K46" s="122" t="s">
        <v>331</v>
      </c>
    </row>
    <row r="47" spans="1:11" s="119" customFormat="1" ht="10.5" customHeight="1" x14ac:dyDescent="0.2">
      <c r="A47" s="120" t="s">
        <v>331</v>
      </c>
      <c r="B47" s="391" t="str">
        <f>'Акт отбора проб МБ'!K23</f>
        <v>04АП.01</v>
      </c>
      <c r="C47" s="124"/>
      <c r="D47" s="946"/>
      <c r="E47" s="946"/>
      <c r="F47" s="946"/>
      <c r="G47" s="946"/>
      <c r="H47" s="946"/>
      <c r="I47" s="125"/>
      <c r="J47" s="494"/>
      <c r="K47" s="122" t="str">
        <f>B47</f>
        <v>04АП.01</v>
      </c>
    </row>
    <row r="48" spans="1:11" s="119" customFormat="1" ht="10.5" customHeight="1" x14ac:dyDescent="0.2">
      <c r="A48" s="120"/>
      <c r="B48" s="127"/>
      <c r="C48" s="124"/>
      <c r="D48" s="124"/>
      <c r="E48" s="124"/>
      <c r="F48" s="124"/>
      <c r="G48" s="124"/>
      <c r="H48" s="124"/>
      <c r="I48" s="124"/>
      <c r="J48" s="493"/>
      <c r="K48" s="122" t="s">
        <v>332</v>
      </c>
    </row>
    <row r="49" spans="1:11" s="119" customFormat="1" ht="10.5" customHeight="1" x14ac:dyDescent="0.2">
      <c r="A49" s="957" t="s">
        <v>681</v>
      </c>
      <c r="B49" s="958"/>
      <c r="C49" s="947"/>
      <c r="D49" s="947"/>
      <c r="E49" s="947"/>
      <c r="F49" s="947"/>
      <c r="G49" s="947"/>
      <c r="H49" s="947"/>
      <c r="I49" s="947"/>
      <c r="J49" s="144"/>
      <c r="K49" s="122" t="str">
        <f>J45</f>
        <v>0,0-0,1</v>
      </c>
    </row>
    <row r="50" spans="1:11" s="119" customFormat="1" ht="10.5" customHeight="1" x14ac:dyDescent="0.2">
      <c r="A50" s="120" t="s">
        <v>333</v>
      </c>
      <c r="B50" s="127"/>
      <c r="C50" s="124"/>
      <c r="D50" s="124"/>
      <c r="E50" s="124"/>
      <c r="F50" s="124"/>
      <c r="G50" s="124"/>
      <c r="H50" s="124"/>
      <c r="I50" s="124"/>
      <c r="J50" s="493"/>
      <c r="K50" s="122" t="s">
        <v>334</v>
      </c>
    </row>
    <row r="51" spans="1:11" s="119" customFormat="1" ht="10.5" customHeight="1" x14ac:dyDescent="0.2">
      <c r="A51" s="120" t="s">
        <v>335</v>
      </c>
      <c r="B51" s="133"/>
      <c r="C51" s="134"/>
      <c r="D51" s="134"/>
      <c r="E51" s="134"/>
      <c r="F51" s="134"/>
      <c r="G51" s="134"/>
      <c r="H51" s="124"/>
      <c r="I51" s="124"/>
      <c r="J51" s="493"/>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92"/>
      <c r="K53" s="118"/>
    </row>
    <row r="54" spans="1:11" s="119" customFormat="1" ht="10.5" customHeight="1" x14ac:dyDescent="0.2">
      <c r="A54" s="120" t="s">
        <v>325</v>
      </c>
      <c r="B54" s="952">
        <f>$B$2</f>
        <v>0</v>
      </c>
      <c r="C54" s="952"/>
      <c r="D54" s="934" t="s">
        <v>326</v>
      </c>
      <c r="E54" s="934"/>
      <c r="F54" s="934"/>
      <c r="G54" s="934"/>
      <c r="H54" s="953">
        <f>$H$2</f>
        <v>45739</v>
      </c>
      <c r="I54" s="954"/>
      <c r="J54" s="493"/>
      <c r="K54" s="122" t="s">
        <v>327</v>
      </c>
    </row>
    <row r="55" spans="1:11" s="119" customFormat="1" ht="10.5" customHeight="1" x14ac:dyDescent="0.2">
      <c r="A55" s="152"/>
      <c r="B55" s="127"/>
      <c r="C55" s="124"/>
      <c r="D55" s="124"/>
      <c r="E55" s="124"/>
      <c r="F55" s="124"/>
      <c r="G55" s="124"/>
      <c r="H55" s="124"/>
      <c r="I55" s="124"/>
      <c r="J55" s="493"/>
      <c r="K55" s="122">
        <f>$B$2</f>
        <v>0</v>
      </c>
    </row>
    <row r="56" spans="1:11" s="119" customFormat="1" ht="10.5" customHeight="1" x14ac:dyDescent="0.2">
      <c r="A56" s="120" t="s">
        <v>0</v>
      </c>
      <c r="B56" s="960" t="str">
        <f>$B$4</f>
        <v>адрес вбить сюда</v>
      </c>
      <c r="C56" s="960"/>
      <c r="D56" s="960"/>
      <c r="E56" s="960"/>
      <c r="F56" s="960"/>
      <c r="G56" s="960"/>
      <c r="H56" s="960"/>
      <c r="I56" s="960"/>
      <c r="J56" s="961"/>
      <c r="K56" s="122"/>
    </row>
    <row r="57" spans="1:11" s="119" customFormat="1" ht="10.5" customHeight="1" x14ac:dyDescent="0.2">
      <c r="A57" s="152"/>
      <c r="B57" s="960"/>
      <c r="C57" s="960"/>
      <c r="D57" s="960"/>
      <c r="E57" s="960"/>
      <c r="F57" s="960"/>
      <c r="G57" s="960"/>
      <c r="H57" s="960"/>
      <c r="I57" s="960"/>
      <c r="J57" s="961"/>
      <c r="K57" s="122" t="s">
        <v>328</v>
      </c>
    </row>
    <row r="58" spans="1:11" s="119" customFormat="1" ht="10.5" customHeight="1" x14ac:dyDescent="0.2">
      <c r="A58" s="962" t="s">
        <v>329</v>
      </c>
      <c r="B58" s="952"/>
      <c r="C58" s="952"/>
      <c r="D58" s="945" t="str">
        <f>'Акт отбора проб Почва'!F24</f>
        <v>ПП5</v>
      </c>
      <c r="E58" s="945"/>
      <c r="F58" s="945"/>
      <c r="G58" s="963" t="s">
        <v>330</v>
      </c>
      <c r="H58" s="963"/>
      <c r="I58" s="963"/>
      <c r="J58" s="491" t="str">
        <f>'Акт отбора проб МБ'!J24</f>
        <v>0,0-0,1</v>
      </c>
      <c r="K58" s="126">
        <f>$H$2</f>
        <v>45739</v>
      </c>
    </row>
    <row r="59" spans="1:11" s="119" customFormat="1" ht="10.5" customHeight="1" x14ac:dyDescent="0.2">
      <c r="A59" s="152"/>
      <c r="B59" s="123"/>
      <c r="C59" s="121"/>
      <c r="D59" s="154"/>
      <c r="E59" s="154"/>
      <c r="F59" s="154"/>
      <c r="G59" s="153"/>
      <c r="H59" s="153"/>
      <c r="I59" s="153"/>
      <c r="J59" s="494"/>
      <c r="K59" s="122" t="s">
        <v>331</v>
      </c>
    </row>
    <row r="60" spans="1:11" s="119" customFormat="1" ht="10.5" customHeight="1" x14ac:dyDescent="0.2">
      <c r="A60" s="120" t="s">
        <v>331</v>
      </c>
      <c r="B60" s="391" t="str">
        <f>'Акт отбора проб МБ'!K24</f>
        <v>05АП.01</v>
      </c>
      <c r="C60" s="121"/>
      <c r="D60" s="946"/>
      <c r="E60" s="946"/>
      <c r="F60" s="946"/>
      <c r="G60" s="946"/>
      <c r="H60" s="946"/>
      <c r="I60" s="153"/>
      <c r="J60" s="494"/>
      <c r="K60" s="122" t="str">
        <f>B60</f>
        <v>05АП.01</v>
      </c>
    </row>
    <row r="61" spans="1:11" s="119" customFormat="1" ht="10.5" customHeight="1" x14ac:dyDescent="0.2">
      <c r="A61" s="152"/>
      <c r="B61" s="123"/>
      <c r="C61" s="121"/>
      <c r="D61" s="121"/>
      <c r="E61" s="121"/>
      <c r="F61" s="121"/>
      <c r="G61" s="121"/>
      <c r="H61" s="121"/>
      <c r="I61" s="121"/>
      <c r="J61" s="493"/>
      <c r="K61" s="122" t="s">
        <v>332</v>
      </c>
    </row>
    <row r="62" spans="1:11" s="119" customFormat="1" ht="10.5" customHeight="1" x14ac:dyDescent="0.2">
      <c r="A62" s="962" t="s">
        <v>681</v>
      </c>
      <c r="B62" s="952"/>
      <c r="C62" s="950"/>
      <c r="D62" s="950"/>
      <c r="E62" s="950"/>
      <c r="F62" s="950"/>
      <c r="G62" s="950"/>
      <c r="H62" s="950"/>
      <c r="I62" s="950"/>
      <c r="J62" s="155"/>
      <c r="K62" s="122" t="str">
        <f>J58</f>
        <v>0,0-0,1</v>
      </c>
    </row>
    <row r="63" spans="1:11" s="119" customFormat="1" ht="10.5" customHeight="1" x14ac:dyDescent="0.2">
      <c r="A63" s="152" t="s">
        <v>333</v>
      </c>
      <c r="B63" s="123"/>
      <c r="C63" s="121"/>
      <c r="D63" s="121"/>
      <c r="E63" s="121"/>
      <c r="F63" s="121"/>
      <c r="G63" s="121"/>
      <c r="H63" s="121"/>
      <c r="I63" s="121"/>
      <c r="J63" s="493"/>
      <c r="K63" s="122" t="s">
        <v>334</v>
      </c>
    </row>
    <row r="64" spans="1:11" s="119" customFormat="1" ht="10.5" customHeight="1" x14ac:dyDescent="0.2">
      <c r="A64" s="152" t="s">
        <v>335</v>
      </c>
      <c r="B64" s="156"/>
      <c r="C64" s="157"/>
      <c r="D64" s="157"/>
      <c r="E64" s="157"/>
      <c r="F64" s="157"/>
      <c r="G64" s="157"/>
      <c r="H64" s="121"/>
      <c r="I64" s="121"/>
      <c r="J64" s="493"/>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95"/>
      <c r="K66" s="118"/>
    </row>
    <row r="67" spans="1:11" s="119" customFormat="1" ht="10.5" customHeight="1" x14ac:dyDescent="0.2">
      <c r="A67" s="120" t="s">
        <v>325</v>
      </c>
      <c r="B67" s="952">
        <f>$B$2</f>
        <v>0</v>
      </c>
      <c r="C67" s="952"/>
      <c r="D67" s="934" t="s">
        <v>326</v>
      </c>
      <c r="E67" s="934"/>
      <c r="F67" s="934"/>
      <c r="G67" s="934"/>
      <c r="H67" s="953">
        <f>$H$2</f>
        <v>45739</v>
      </c>
      <c r="I67" s="954"/>
      <c r="J67" s="493"/>
      <c r="K67" s="122" t="s">
        <v>327</v>
      </c>
    </row>
    <row r="68" spans="1:11" s="119" customFormat="1" ht="10.5" customHeight="1" x14ac:dyDescent="0.2">
      <c r="A68" s="120"/>
      <c r="B68" s="127"/>
      <c r="C68" s="124"/>
      <c r="D68" s="124"/>
      <c r="E68" s="124"/>
      <c r="F68" s="124"/>
      <c r="G68" s="124"/>
      <c r="H68" s="124"/>
      <c r="I68" s="124"/>
      <c r="J68" s="493"/>
      <c r="K68" s="122">
        <f>$B$2</f>
        <v>0</v>
      </c>
    </row>
    <row r="69" spans="1:11" s="119" customFormat="1" ht="10.5" customHeight="1" x14ac:dyDescent="0.2">
      <c r="A69" s="120" t="s">
        <v>0</v>
      </c>
      <c r="B69" s="960" t="str">
        <f>$B$4</f>
        <v>адрес вбить сюда</v>
      </c>
      <c r="C69" s="960"/>
      <c r="D69" s="960"/>
      <c r="E69" s="960"/>
      <c r="F69" s="960"/>
      <c r="G69" s="960"/>
      <c r="H69" s="960"/>
      <c r="I69" s="960"/>
      <c r="J69" s="961"/>
      <c r="K69" s="122"/>
    </row>
    <row r="70" spans="1:11" s="119" customFormat="1" ht="10.5" customHeight="1" x14ac:dyDescent="0.2">
      <c r="A70" s="120"/>
      <c r="B70" s="960"/>
      <c r="C70" s="960"/>
      <c r="D70" s="960"/>
      <c r="E70" s="960"/>
      <c r="F70" s="960"/>
      <c r="G70" s="960"/>
      <c r="H70" s="960"/>
      <c r="I70" s="960"/>
      <c r="J70" s="961"/>
      <c r="K70" s="122" t="s">
        <v>328</v>
      </c>
    </row>
    <row r="71" spans="1:11" s="119" customFormat="1" ht="10.5" customHeight="1" x14ac:dyDescent="0.2">
      <c r="A71" s="957" t="s">
        <v>329</v>
      </c>
      <c r="B71" s="958"/>
      <c r="C71" s="958"/>
      <c r="D71" s="945" t="str">
        <f>'Акт отбора проб Почва'!F25</f>
        <v>ПП6</v>
      </c>
      <c r="E71" s="945"/>
      <c r="F71" s="945"/>
      <c r="G71" s="959" t="s">
        <v>330</v>
      </c>
      <c r="H71" s="959"/>
      <c r="I71" s="959"/>
      <c r="J71" s="491" t="str">
        <f>'Акт отбора проб МБ'!J25</f>
        <v>0,0-0,1</v>
      </c>
      <c r="K71" s="126">
        <f>$H$2</f>
        <v>45739</v>
      </c>
    </row>
    <row r="72" spans="1:11" s="119" customFormat="1" ht="10.5" customHeight="1" x14ac:dyDescent="0.2">
      <c r="A72" s="120"/>
      <c r="B72" s="127"/>
      <c r="C72" s="124"/>
      <c r="D72" s="128"/>
      <c r="E72" s="128"/>
      <c r="F72" s="128"/>
      <c r="G72" s="125"/>
      <c r="H72" s="125"/>
      <c r="I72" s="125"/>
      <c r="J72" s="494"/>
      <c r="K72" s="122" t="s">
        <v>331</v>
      </c>
    </row>
    <row r="73" spans="1:11" s="119" customFormat="1" ht="10.5" customHeight="1" x14ac:dyDescent="0.2">
      <c r="A73" s="120" t="s">
        <v>331</v>
      </c>
      <c r="B73" s="391" t="str">
        <f>'Акт отбора проб МБ'!K25</f>
        <v>06АП.01</v>
      </c>
      <c r="C73" s="124"/>
      <c r="D73" s="128"/>
      <c r="E73" s="128"/>
      <c r="F73" s="128"/>
      <c r="G73" s="125"/>
      <c r="H73" s="125"/>
      <c r="I73" s="125"/>
      <c r="J73" s="494"/>
      <c r="K73" s="122" t="str">
        <f>B73</f>
        <v>06АП.01</v>
      </c>
    </row>
    <row r="74" spans="1:11" s="119" customFormat="1" ht="10.5" customHeight="1" x14ac:dyDescent="0.2">
      <c r="A74" s="120"/>
      <c r="B74" s="127"/>
      <c r="C74" s="124"/>
      <c r="D74" s="946"/>
      <c r="E74" s="946"/>
      <c r="F74" s="946"/>
      <c r="G74" s="946"/>
      <c r="H74" s="946"/>
      <c r="I74" s="124"/>
      <c r="J74" s="493"/>
      <c r="K74" s="122" t="s">
        <v>332</v>
      </c>
    </row>
    <row r="75" spans="1:11" s="119" customFormat="1" ht="10.5" customHeight="1" x14ac:dyDescent="0.2">
      <c r="A75" s="957" t="s">
        <v>681</v>
      </c>
      <c r="B75" s="958"/>
      <c r="C75" s="947"/>
      <c r="D75" s="947"/>
      <c r="E75" s="947"/>
      <c r="F75" s="947"/>
      <c r="G75" s="947"/>
      <c r="H75" s="947"/>
      <c r="I75" s="947"/>
      <c r="J75" s="144"/>
      <c r="K75" s="122" t="str">
        <f>J71</f>
        <v>0,0-0,1</v>
      </c>
    </row>
    <row r="76" spans="1:11" s="119" customFormat="1" ht="10.5" customHeight="1" x14ac:dyDescent="0.2">
      <c r="A76" s="120" t="s">
        <v>333</v>
      </c>
      <c r="B76" s="127"/>
      <c r="C76" s="124"/>
      <c r="D76" s="124"/>
      <c r="E76" s="124"/>
      <c r="F76" s="124"/>
      <c r="G76" s="124"/>
      <c r="H76" s="124"/>
      <c r="I76" s="124"/>
      <c r="J76" s="493"/>
      <c r="K76" s="122" t="s">
        <v>334</v>
      </c>
    </row>
    <row r="77" spans="1:11" s="119" customFormat="1" ht="10.5" customHeight="1" x14ac:dyDescent="0.2">
      <c r="A77" s="120" t="s">
        <v>335</v>
      </c>
      <c r="B77" s="133"/>
      <c r="C77" s="134"/>
      <c r="D77" s="134"/>
      <c r="E77" s="134"/>
      <c r="F77" s="134"/>
      <c r="G77" s="134"/>
      <c r="H77" s="124"/>
      <c r="I77" s="124"/>
      <c r="J77" s="493"/>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92"/>
      <c r="K79" s="118"/>
    </row>
    <row r="80" spans="1:11" s="119" customFormat="1" ht="10.5" customHeight="1" x14ac:dyDescent="0.2">
      <c r="A80" s="120" t="s">
        <v>325</v>
      </c>
      <c r="B80" s="952">
        <f>$B$2</f>
        <v>0</v>
      </c>
      <c r="C80" s="952"/>
      <c r="D80" s="934" t="s">
        <v>326</v>
      </c>
      <c r="E80" s="934"/>
      <c r="F80" s="934"/>
      <c r="G80" s="934"/>
      <c r="H80" s="953">
        <f>$H$2</f>
        <v>45739</v>
      </c>
      <c r="I80" s="954"/>
      <c r="J80" s="493"/>
      <c r="K80" s="122" t="s">
        <v>327</v>
      </c>
    </row>
    <row r="81" spans="1:11" s="119" customFormat="1" ht="10.5" customHeight="1" x14ac:dyDescent="0.2">
      <c r="A81" s="120"/>
      <c r="B81" s="127"/>
      <c r="C81" s="124"/>
      <c r="D81" s="124"/>
      <c r="E81" s="124"/>
      <c r="F81" s="124"/>
      <c r="G81" s="124"/>
      <c r="H81" s="124"/>
      <c r="I81" s="124"/>
      <c r="J81" s="493"/>
      <c r="K81" s="122">
        <f>$B$2</f>
        <v>0</v>
      </c>
    </row>
    <row r="82" spans="1:11" s="119" customFormat="1" ht="10.5" customHeight="1" x14ac:dyDescent="0.2">
      <c r="A82" s="120" t="s">
        <v>0</v>
      </c>
      <c r="B82" s="960" t="str">
        <f>$B$4</f>
        <v>адрес вбить сюда</v>
      </c>
      <c r="C82" s="960"/>
      <c r="D82" s="960"/>
      <c r="E82" s="960"/>
      <c r="F82" s="960"/>
      <c r="G82" s="960"/>
      <c r="H82" s="960"/>
      <c r="I82" s="960"/>
      <c r="J82" s="961"/>
      <c r="K82" s="122"/>
    </row>
    <row r="83" spans="1:11" s="119" customFormat="1" ht="10.5" customHeight="1" x14ac:dyDescent="0.2">
      <c r="A83" s="120"/>
      <c r="B83" s="960"/>
      <c r="C83" s="960"/>
      <c r="D83" s="960"/>
      <c r="E83" s="960"/>
      <c r="F83" s="960"/>
      <c r="G83" s="960"/>
      <c r="H83" s="960"/>
      <c r="I83" s="960"/>
      <c r="J83" s="961"/>
      <c r="K83" s="122" t="s">
        <v>328</v>
      </c>
    </row>
    <row r="84" spans="1:11" s="119" customFormat="1" ht="10.5" customHeight="1" x14ac:dyDescent="0.2">
      <c r="A84" s="957" t="s">
        <v>329</v>
      </c>
      <c r="B84" s="958"/>
      <c r="C84" s="958"/>
      <c r="D84" s="945" t="str">
        <f>'Акт отбора проб МБ'!F26</f>
        <v>ПП7</v>
      </c>
      <c r="E84" s="945"/>
      <c r="F84" s="945"/>
      <c r="G84" s="959" t="s">
        <v>330</v>
      </c>
      <c r="H84" s="959"/>
      <c r="I84" s="959"/>
      <c r="J84" s="491" t="str">
        <f>'Акт отбора проб МБ'!J26</f>
        <v>0,0-0,1</v>
      </c>
      <c r="K84" s="126">
        <f>$H$2</f>
        <v>45739</v>
      </c>
    </row>
    <row r="85" spans="1:11" s="119" customFormat="1" ht="10.5" customHeight="1" x14ac:dyDescent="0.2">
      <c r="A85" s="120"/>
      <c r="B85" s="127"/>
      <c r="C85" s="124"/>
      <c r="D85" s="128"/>
      <c r="E85" s="128"/>
      <c r="F85" s="128"/>
      <c r="G85" s="125"/>
      <c r="H85" s="125"/>
      <c r="I85" s="125"/>
      <c r="J85" s="494"/>
      <c r="K85" s="122" t="s">
        <v>331</v>
      </c>
    </row>
    <row r="86" spans="1:11" s="119" customFormat="1" ht="10.5" customHeight="1" x14ac:dyDescent="0.2">
      <c r="A86" s="120" t="s">
        <v>331</v>
      </c>
      <c r="B86" s="391" t="str">
        <f>'Акт отбора проб МБ'!K26</f>
        <v>07АП.01</v>
      </c>
      <c r="C86" s="124"/>
      <c r="D86" s="946"/>
      <c r="E86" s="946"/>
      <c r="F86" s="946"/>
      <c r="G86" s="946"/>
      <c r="H86" s="946"/>
      <c r="I86" s="125"/>
      <c r="J86" s="494"/>
      <c r="K86" s="122" t="str">
        <f>B86</f>
        <v>07АП.01</v>
      </c>
    </row>
    <row r="87" spans="1:11" s="119" customFormat="1" ht="10.5" customHeight="1" x14ac:dyDescent="0.2">
      <c r="A87" s="120"/>
      <c r="B87" s="127"/>
      <c r="C87" s="124"/>
      <c r="D87" s="124"/>
      <c r="E87" s="124"/>
      <c r="F87" s="124"/>
      <c r="G87" s="124"/>
      <c r="H87" s="124"/>
      <c r="I87" s="124"/>
      <c r="J87" s="493"/>
      <c r="K87" s="122" t="s">
        <v>332</v>
      </c>
    </row>
    <row r="88" spans="1:11" s="119" customFormat="1" ht="10.5" customHeight="1" x14ac:dyDescent="0.2">
      <c r="A88" s="957" t="s">
        <v>681</v>
      </c>
      <c r="B88" s="958"/>
      <c r="C88" s="947"/>
      <c r="D88" s="947"/>
      <c r="E88" s="947"/>
      <c r="F88" s="947"/>
      <c r="G88" s="947"/>
      <c r="H88" s="947"/>
      <c r="I88" s="947"/>
      <c r="J88" s="144"/>
      <c r="K88" s="122" t="str">
        <f>J84</f>
        <v>0,0-0,1</v>
      </c>
    </row>
    <row r="89" spans="1:11" s="119" customFormat="1" ht="10.5" customHeight="1" x14ac:dyDescent="0.2">
      <c r="A89" s="120" t="s">
        <v>333</v>
      </c>
      <c r="B89" s="127"/>
      <c r="C89" s="124"/>
      <c r="D89" s="124"/>
      <c r="E89" s="124"/>
      <c r="F89" s="124"/>
      <c r="G89" s="124"/>
      <c r="H89" s="124"/>
      <c r="I89" s="124"/>
      <c r="J89" s="493"/>
      <c r="K89" s="122" t="s">
        <v>334</v>
      </c>
    </row>
    <row r="90" spans="1:11" s="119" customFormat="1" ht="10.5" customHeight="1" x14ac:dyDescent="0.2">
      <c r="A90" s="120" t="s">
        <v>335</v>
      </c>
      <c r="B90" s="133"/>
      <c r="C90" s="134"/>
      <c r="D90" s="134"/>
      <c r="E90" s="134"/>
      <c r="F90" s="134"/>
      <c r="G90" s="134"/>
      <c r="H90" s="124"/>
      <c r="I90" s="124"/>
      <c r="J90" s="493"/>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92"/>
      <c r="K92" s="118"/>
    </row>
    <row r="93" spans="1:11" s="119" customFormat="1" ht="10.5" customHeight="1" x14ac:dyDescent="0.2">
      <c r="A93" s="120" t="s">
        <v>325</v>
      </c>
      <c r="B93" s="952">
        <f>$B$2</f>
        <v>0</v>
      </c>
      <c r="C93" s="952"/>
      <c r="D93" s="934" t="s">
        <v>326</v>
      </c>
      <c r="E93" s="934"/>
      <c r="F93" s="934"/>
      <c r="G93" s="934"/>
      <c r="H93" s="953">
        <f>$H$2</f>
        <v>45739</v>
      </c>
      <c r="I93" s="954"/>
      <c r="J93" s="493"/>
      <c r="K93" s="122" t="s">
        <v>327</v>
      </c>
    </row>
    <row r="94" spans="1:11" s="119" customFormat="1" ht="10.5" customHeight="1" x14ac:dyDescent="0.2">
      <c r="A94" s="120"/>
      <c r="B94" s="127"/>
      <c r="C94" s="124"/>
      <c r="D94" s="124"/>
      <c r="E94" s="124"/>
      <c r="F94" s="124"/>
      <c r="G94" s="124"/>
      <c r="H94" s="124"/>
      <c r="I94" s="124"/>
      <c r="J94" s="493"/>
      <c r="K94" s="122">
        <f>$B$2</f>
        <v>0</v>
      </c>
    </row>
    <row r="95" spans="1:11" s="119" customFormat="1" ht="10.5" customHeight="1" x14ac:dyDescent="0.2">
      <c r="A95" s="120" t="s">
        <v>0</v>
      </c>
      <c r="B95" s="960" t="str">
        <f>$B$4</f>
        <v>адрес вбить сюда</v>
      </c>
      <c r="C95" s="960"/>
      <c r="D95" s="960"/>
      <c r="E95" s="960"/>
      <c r="F95" s="960"/>
      <c r="G95" s="960"/>
      <c r="H95" s="960"/>
      <c r="I95" s="960"/>
      <c r="J95" s="961"/>
      <c r="K95" s="122"/>
    </row>
    <row r="96" spans="1:11" s="119" customFormat="1" ht="10.5" customHeight="1" x14ac:dyDescent="0.2">
      <c r="A96" s="120"/>
      <c r="B96" s="960"/>
      <c r="C96" s="960"/>
      <c r="D96" s="960"/>
      <c r="E96" s="960"/>
      <c r="F96" s="960"/>
      <c r="G96" s="960"/>
      <c r="H96" s="960"/>
      <c r="I96" s="960"/>
      <c r="J96" s="961"/>
      <c r="K96" s="122" t="s">
        <v>328</v>
      </c>
    </row>
    <row r="97" spans="1:11" s="119" customFormat="1" ht="10.5" customHeight="1" x14ac:dyDescent="0.2">
      <c r="A97" s="957" t="s">
        <v>329</v>
      </c>
      <c r="B97" s="958"/>
      <c r="C97" s="958"/>
      <c r="D97" s="945" t="str">
        <f>'Акт отбора проб МБ'!F27</f>
        <v>ПП8</v>
      </c>
      <c r="E97" s="945"/>
      <c r="F97" s="945"/>
      <c r="G97" s="959" t="s">
        <v>330</v>
      </c>
      <c r="H97" s="959"/>
      <c r="I97" s="959"/>
      <c r="J97" s="491" t="str">
        <f>'Акт отбора проб МБ'!J27</f>
        <v>0,0-0,1</v>
      </c>
      <c r="K97" s="126">
        <f>$H$2</f>
        <v>45739</v>
      </c>
    </row>
    <row r="98" spans="1:11" s="119" customFormat="1" ht="10.5" customHeight="1" x14ac:dyDescent="0.2">
      <c r="A98" s="120"/>
      <c r="B98" s="127"/>
      <c r="C98" s="124"/>
      <c r="D98" s="128"/>
      <c r="E98" s="128"/>
      <c r="F98" s="128"/>
      <c r="G98" s="125"/>
      <c r="H98" s="125"/>
      <c r="I98" s="125"/>
      <c r="J98" s="494"/>
      <c r="K98" s="122" t="s">
        <v>331</v>
      </c>
    </row>
    <row r="99" spans="1:11" s="119" customFormat="1" ht="10.5" customHeight="1" x14ac:dyDescent="0.2">
      <c r="A99" s="120" t="s">
        <v>331</v>
      </c>
      <c r="B99" s="391" t="str">
        <f>'Акт отбора проб МБ'!K27</f>
        <v>08АП.01</v>
      </c>
      <c r="C99" s="124"/>
      <c r="D99" s="946"/>
      <c r="E99" s="946"/>
      <c r="F99" s="946"/>
      <c r="G99" s="946"/>
      <c r="H99" s="946"/>
      <c r="I99" s="125"/>
      <c r="J99" s="494"/>
      <c r="K99" s="122" t="str">
        <f>B99</f>
        <v>08АП.01</v>
      </c>
    </row>
    <row r="100" spans="1:11" s="119" customFormat="1" ht="10.5" customHeight="1" x14ac:dyDescent="0.2">
      <c r="A100" s="120"/>
      <c r="B100" s="127"/>
      <c r="C100" s="124"/>
      <c r="D100" s="124"/>
      <c r="E100" s="124"/>
      <c r="F100" s="124"/>
      <c r="G100" s="124"/>
      <c r="H100" s="124"/>
      <c r="I100" s="124"/>
      <c r="J100" s="493"/>
      <c r="K100" s="122" t="s">
        <v>332</v>
      </c>
    </row>
    <row r="101" spans="1:11" s="119" customFormat="1" ht="10.5" customHeight="1" x14ac:dyDescent="0.2">
      <c r="A101" s="957" t="s">
        <v>681</v>
      </c>
      <c r="B101" s="958"/>
      <c r="C101" s="947"/>
      <c r="D101" s="947"/>
      <c r="E101" s="947"/>
      <c r="F101" s="947"/>
      <c r="G101" s="947"/>
      <c r="H101" s="947"/>
      <c r="I101" s="947"/>
      <c r="J101" s="144"/>
      <c r="K101" s="122" t="str">
        <f>J97</f>
        <v>0,0-0,1</v>
      </c>
    </row>
    <row r="102" spans="1:11" s="119" customFormat="1" ht="10.5" customHeight="1" x14ac:dyDescent="0.2">
      <c r="A102" s="120" t="s">
        <v>333</v>
      </c>
      <c r="B102" s="127"/>
      <c r="C102" s="124"/>
      <c r="D102" s="124"/>
      <c r="E102" s="124"/>
      <c r="F102" s="124"/>
      <c r="G102" s="124"/>
      <c r="H102" s="124"/>
      <c r="I102" s="124"/>
      <c r="J102" s="493"/>
      <c r="K102" s="122" t="s">
        <v>334</v>
      </c>
    </row>
    <row r="103" spans="1:11" s="119" customFormat="1" ht="10.5" customHeight="1" x14ac:dyDescent="0.2">
      <c r="A103" s="120" t="s">
        <v>335</v>
      </c>
      <c r="B103" s="133"/>
      <c r="C103" s="134"/>
      <c r="D103" s="134"/>
      <c r="E103" s="134"/>
      <c r="F103" s="134"/>
      <c r="G103" s="134"/>
      <c r="H103" s="124"/>
      <c r="I103" s="124"/>
      <c r="J103" s="493"/>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952">
        <f>$B$2</f>
        <v>0</v>
      </c>
      <c r="C106" s="952"/>
      <c r="D106" s="934" t="s">
        <v>326</v>
      </c>
      <c r="E106" s="934"/>
      <c r="F106" s="934"/>
      <c r="G106" s="934"/>
      <c r="H106" s="953">
        <f>$H$2</f>
        <v>45739</v>
      </c>
      <c r="I106" s="954"/>
      <c r="J106" s="493"/>
      <c r="K106" s="122" t="s">
        <v>327</v>
      </c>
    </row>
    <row r="107" spans="1:11" s="119" customFormat="1" ht="10.5" customHeight="1" x14ac:dyDescent="0.2">
      <c r="A107" s="120"/>
      <c r="B107" s="127"/>
      <c r="C107" s="124"/>
      <c r="D107" s="124"/>
      <c r="E107" s="124"/>
      <c r="F107" s="124"/>
      <c r="G107" s="124"/>
      <c r="H107" s="124"/>
      <c r="I107" s="124"/>
      <c r="J107" s="493"/>
      <c r="K107" s="122">
        <f>$B$2</f>
        <v>0</v>
      </c>
    </row>
    <row r="108" spans="1:11" s="119" customFormat="1" ht="10.5" customHeight="1" x14ac:dyDescent="0.2">
      <c r="A108" s="120" t="s">
        <v>0</v>
      </c>
      <c r="B108" s="960" t="str">
        <f>$B$4</f>
        <v>адрес вбить сюда</v>
      </c>
      <c r="C108" s="960"/>
      <c r="D108" s="960"/>
      <c r="E108" s="960"/>
      <c r="F108" s="960"/>
      <c r="G108" s="960"/>
      <c r="H108" s="960"/>
      <c r="I108" s="960"/>
      <c r="J108" s="961"/>
      <c r="K108" s="122"/>
    </row>
    <row r="109" spans="1:11" s="119" customFormat="1" ht="10.5" customHeight="1" x14ac:dyDescent="0.2">
      <c r="A109" s="120"/>
      <c r="B109" s="960"/>
      <c r="C109" s="960"/>
      <c r="D109" s="960"/>
      <c r="E109" s="960"/>
      <c r="F109" s="960"/>
      <c r="G109" s="960"/>
      <c r="H109" s="960"/>
      <c r="I109" s="960"/>
      <c r="J109" s="961"/>
      <c r="K109" s="122" t="s">
        <v>328</v>
      </c>
    </row>
    <row r="110" spans="1:11" s="119" customFormat="1" ht="10.5" customHeight="1" x14ac:dyDescent="0.2">
      <c r="A110" s="957" t="s">
        <v>329</v>
      </c>
      <c r="B110" s="958"/>
      <c r="C110" s="958"/>
      <c r="D110" s="945" t="str">
        <f>'Акт отбора проб МБ'!F28</f>
        <v>ПП9</v>
      </c>
      <c r="E110" s="945"/>
      <c r="F110" s="945"/>
      <c r="G110" s="959" t="s">
        <v>330</v>
      </c>
      <c r="H110" s="959"/>
      <c r="I110" s="959"/>
      <c r="J110" s="491" t="str">
        <f>'Акт отбора проб МБ'!J28</f>
        <v>0,0-0,1</v>
      </c>
      <c r="K110" s="126">
        <f>$H$2</f>
        <v>45739</v>
      </c>
    </row>
    <row r="111" spans="1:11" s="119" customFormat="1" ht="10.5" customHeight="1" x14ac:dyDescent="0.2">
      <c r="A111" s="120"/>
      <c r="B111" s="127"/>
      <c r="C111" s="124"/>
      <c r="D111" s="128"/>
      <c r="E111" s="128"/>
      <c r="F111" s="128"/>
      <c r="G111" s="125"/>
      <c r="H111" s="125"/>
      <c r="I111" s="125"/>
      <c r="J111" s="494"/>
      <c r="K111" s="122" t="s">
        <v>331</v>
      </c>
    </row>
    <row r="112" spans="1:11" s="119" customFormat="1" ht="10.5" customHeight="1" x14ac:dyDescent="0.2">
      <c r="A112" s="120" t="s">
        <v>331</v>
      </c>
      <c r="B112" s="391" t="str">
        <f>'Акт отбора проб МБ'!K28</f>
        <v>09АП.01</v>
      </c>
      <c r="C112" s="124"/>
      <c r="D112" s="946"/>
      <c r="E112" s="946"/>
      <c r="F112" s="946"/>
      <c r="G112" s="946"/>
      <c r="H112" s="946"/>
      <c r="I112" s="125"/>
      <c r="J112" s="494"/>
      <c r="K112" s="122" t="str">
        <f>B112</f>
        <v>09АП.01</v>
      </c>
    </row>
    <row r="113" spans="1:11" s="119" customFormat="1" ht="10.5" customHeight="1" x14ac:dyDescent="0.2">
      <c r="A113" s="120"/>
      <c r="B113" s="127"/>
      <c r="C113" s="124"/>
      <c r="D113" s="124"/>
      <c r="E113" s="124"/>
      <c r="F113" s="124"/>
      <c r="G113" s="124"/>
      <c r="H113" s="124"/>
      <c r="I113" s="124"/>
      <c r="J113" s="493"/>
      <c r="K113" s="122" t="s">
        <v>332</v>
      </c>
    </row>
    <row r="114" spans="1:11" s="119" customFormat="1" ht="10.5" customHeight="1" x14ac:dyDescent="0.2">
      <c r="A114" s="957" t="s">
        <v>681</v>
      </c>
      <c r="B114" s="958"/>
      <c r="C114" s="947"/>
      <c r="D114" s="947"/>
      <c r="E114" s="947"/>
      <c r="F114" s="947"/>
      <c r="G114" s="947"/>
      <c r="H114" s="947"/>
      <c r="I114" s="947"/>
      <c r="J114" s="144"/>
      <c r="K114" s="122" t="str">
        <f>J110</f>
        <v>0,0-0,1</v>
      </c>
    </row>
    <row r="115" spans="1:11" s="119" customFormat="1" ht="10.5" customHeight="1" x14ac:dyDescent="0.2">
      <c r="A115" s="120" t="s">
        <v>333</v>
      </c>
      <c r="B115" s="127"/>
      <c r="C115" s="124"/>
      <c r="D115" s="124"/>
      <c r="E115" s="124"/>
      <c r="F115" s="124"/>
      <c r="G115" s="124"/>
      <c r="H115" s="124"/>
      <c r="I115" s="124"/>
      <c r="J115" s="493"/>
      <c r="K115" s="122" t="s">
        <v>334</v>
      </c>
    </row>
    <row r="116" spans="1:11" s="119" customFormat="1" ht="10.5" customHeight="1" x14ac:dyDescent="0.2">
      <c r="A116" s="120" t="s">
        <v>335</v>
      </c>
      <c r="B116" s="133"/>
      <c r="C116" s="134"/>
      <c r="D116" s="134"/>
      <c r="E116" s="134"/>
      <c r="F116" s="134"/>
      <c r="G116" s="134"/>
      <c r="H116" s="124"/>
      <c r="I116" s="124"/>
      <c r="J116" s="493"/>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92"/>
      <c r="K118" s="118"/>
    </row>
    <row r="119" spans="1:11" s="119" customFormat="1" ht="10.5" customHeight="1" x14ac:dyDescent="0.2">
      <c r="A119" s="120" t="s">
        <v>325</v>
      </c>
      <c r="B119" s="952">
        <f>$B$2</f>
        <v>0</v>
      </c>
      <c r="C119" s="952"/>
      <c r="D119" s="934" t="s">
        <v>326</v>
      </c>
      <c r="E119" s="934"/>
      <c r="F119" s="934"/>
      <c r="G119" s="934"/>
      <c r="H119" s="953">
        <f>$H$2</f>
        <v>45739</v>
      </c>
      <c r="I119" s="954"/>
      <c r="J119" s="493"/>
      <c r="K119" s="122" t="s">
        <v>327</v>
      </c>
    </row>
    <row r="120" spans="1:11" s="119" customFormat="1" ht="10.5" customHeight="1" x14ac:dyDescent="0.2">
      <c r="A120" s="120"/>
      <c r="B120" s="127"/>
      <c r="C120" s="124"/>
      <c r="D120" s="124"/>
      <c r="E120" s="124"/>
      <c r="F120" s="124"/>
      <c r="G120" s="124"/>
      <c r="H120" s="124"/>
      <c r="I120" s="124"/>
      <c r="J120" s="493"/>
      <c r="K120" s="122">
        <f>$B$2</f>
        <v>0</v>
      </c>
    </row>
    <row r="121" spans="1:11" s="119" customFormat="1" ht="10.5" customHeight="1" x14ac:dyDescent="0.2">
      <c r="A121" s="120" t="s">
        <v>0</v>
      </c>
      <c r="B121" s="960" t="str">
        <f>$B$4</f>
        <v>адрес вбить сюда</v>
      </c>
      <c r="C121" s="960"/>
      <c r="D121" s="960"/>
      <c r="E121" s="960"/>
      <c r="F121" s="960"/>
      <c r="G121" s="960"/>
      <c r="H121" s="960"/>
      <c r="I121" s="960"/>
      <c r="J121" s="961"/>
      <c r="K121" s="122"/>
    </row>
    <row r="122" spans="1:11" s="119" customFormat="1" ht="10.5" customHeight="1" x14ac:dyDescent="0.2">
      <c r="A122" s="152"/>
      <c r="B122" s="960"/>
      <c r="C122" s="960"/>
      <c r="D122" s="960"/>
      <c r="E122" s="960"/>
      <c r="F122" s="960"/>
      <c r="G122" s="960"/>
      <c r="H122" s="960"/>
      <c r="I122" s="960"/>
      <c r="J122" s="961"/>
      <c r="K122" s="122" t="s">
        <v>328</v>
      </c>
    </row>
    <row r="123" spans="1:11" s="119" customFormat="1" ht="10.5" customHeight="1" x14ac:dyDescent="0.2">
      <c r="A123" s="962" t="s">
        <v>329</v>
      </c>
      <c r="B123" s="952"/>
      <c r="C123" s="952"/>
      <c r="D123" s="945" t="str">
        <f>'Акт отбора проб МБ'!F29</f>
        <v>ПП10</v>
      </c>
      <c r="E123" s="945"/>
      <c r="F123" s="945"/>
      <c r="G123" s="963" t="s">
        <v>330</v>
      </c>
      <c r="H123" s="963"/>
      <c r="I123" s="963"/>
      <c r="J123" s="491" t="str">
        <f>'Акт отбора проб МБ'!J29</f>
        <v>0,0-0,1</v>
      </c>
      <c r="K123" s="126">
        <f>$H$2</f>
        <v>45739</v>
      </c>
    </row>
    <row r="124" spans="1:11" s="119" customFormat="1" ht="10.5" customHeight="1" x14ac:dyDescent="0.2">
      <c r="A124" s="152"/>
      <c r="B124" s="123"/>
      <c r="C124" s="121"/>
      <c r="D124" s="154"/>
      <c r="E124" s="154"/>
      <c r="F124" s="154"/>
      <c r="G124" s="153"/>
      <c r="H124" s="153"/>
      <c r="I124" s="153"/>
      <c r="J124" s="494"/>
      <c r="K124" s="122" t="s">
        <v>331</v>
      </c>
    </row>
    <row r="125" spans="1:11" s="119" customFormat="1" ht="10.5" customHeight="1" x14ac:dyDescent="0.2">
      <c r="A125" s="120" t="s">
        <v>331</v>
      </c>
      <c r="B125" s="391" t="str">
        <f>'Акт отбора проб МБ'!K29</f>
        <v>10АП.01</v>
      </c>
      <c r="C125" s="121"/>
      <c r="D125" s="946"/>
      <c r="E125" s="946"/>
      <c r="F125" s="946"/>
      <c r="G125" s="946"/>
      <c r="H125" s="946"/>
      <c r="I125" s="153"/>
      <c r="J125" s="494"/>
      <c r="K125" s="122" t="str">
        <f>B125</f>
        <v>10АП.01</v>
      </c>
    </row>
    <row r="126" spans="1:11" s="119" customFormat="1" ht="10.5" customHeight="1" x14ac:dyDescent="0.2">
      <c r="A126" s="152"/>
      <c r="B126" s="123"/>
      <c r="C126" s="121"/>
      <c r="D126" s="121"/>
      <c r="E126" s="121"/>
      <c r="F126" s="121"/>
      <c r="G126" s="121"/>
      <c r="H126" s="121"/>
      <c r="I126" s="121"/>
      <c r="J126" s="493"/>
      <c r="K126" s="122" t="s">
        <v>332</v>
      </c>
    </row>
    <row r="127" spans="1:11" s="119" customFormat="1" ht="10.5" customHeight="1" x14ac:dyDescent="0.2">
      <c r="A127" s="962" t="s">
        <v>681</v>
      </c>
      <c r="B127" s="952"/>
      <c r="C127" s="947"/>
      <c r="D127" s="947"/>
      <c r="E127" s="947"/>
      <c r="F127" s="947"/>
      <c r="G127" s="947"/>
      <c r="H127" s="947"/>
      <c r="I127" s="947"/>
      <c r="J127" s="155"/>
      <c r="K127" s="122" t="str">
        <f>J123</f>
        <v>0,0-0,1</v>
      </c>
    </row>
    <row r="128" spans="1:11" s="119" customFormat="1" ht="10.5" customHeight="1" x14ac:dyDescent="0.2">
      <c r="A128" s="152" t="s">
        <v>333</v>
      </c>
      <c r="B128" s="123"/>
      <c r="C128" s="121"/>
      <c r="D128" s="121"/>
      <c r="E128" s="121"/>
      <c r="F128" s="121"/>
      <c r="G128" s="121"/>
      <c r="H128" s="121"/>
      <c r="I128" s="121"/>
      <c r="J128" s="493"/>
      <c r="K128" s="122" t="s">
        <v>334</v>
      </c>
    </row>
    <row r="129" spans="1:11" s="119" customFormat="1" ht="10.5" customHeight="1" x14ac:dyDescent="0.2">
      <c r="A129" s="152" t="s">
        <v>335</v>
      </c>
      <c r="B129" s="156"/>
      <c r="C129" s="157"/>
      <c r="D129" s="157"/>
      <c r="E129" s="157"/>
      <c r="F129" s="157"/>
      <c r="G129" s="157"/>
      <c r="H129" s="121"/>
      <c r="I129" s="121"/>
      <c r="J129" s="493"/>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95"/>
      <c r="K131" s="118"/>
    </row>
    <row r="132" spans="1:11" ht="10.5" customHeight="1" x14ac:dyDescent="0.2">
      <c r="A132" s="120" t="s">
        <v>325</v>
      </c>
      <c r="B132" s="952">
        <f>$B$2</f>
        <v>0</v>
      </c>
      <c r="C132" s="952"/>
      <c r="D132" s="934" t="s">
        <v>326</v>
      </c>
      <c r="E132" s="934"/>
      <c r="F132" s="934"/>
      <c r="G132" s="934"/>
      <c r="H132" s="953">
        <f>$H$2</f>
        <v>45739</v>
      </c>
      <c r="I132" s="954"/>
      <c r="J132" s="493"/>
      <c r="K132" s="122" t="s">
        <v>327</v>
      </c>
    </row>
    <row r="133" spans="1:11" ht="10.5" customHeight="1" x14ac:dyDescent="0.2">
      <c r="A133" s="120"/>
      <c r="B133" s="127"/>
      <c r="C133" s="124"/>
      <c r="D133" s="124"/>
      <c r="E133" s="124"/>
      <c r="F133" s="124"/>
      <c r="G133" s="124"/>
      <c r="H133" s="124"/>
      <c r="I133" s="124"/>
      <c r="J133" s="493"/>
      <c r="K133" s="122">
        <f>$B$2</f>
        <v>0</v>
      </c>
    </row>
    <row r="134" spans="1:11" ht="10.5" customHeight="1" x14ac:dyDescent="0.2">
      <c r="A134" s="120" t="s">
        <v>0</v>
      </c>
      <c r="B134" s="960" t="str">
        <f>$B$4</f>
        <v>адрес вбить сюда</v>
      </c>
      <c r="C134" s="960"/>
      <c r="D134" s="960"/>
      <c r="E134" s="960"/>
      <c r="F134" s="960"/>
      <c r="G134" s="960"/>
      <c r="H134" s="960"/>
      <c r="I134" s="960"/>
      <c r="J134" s="961"/>
      <c r="K134" s="122"/>
    </row>
    <row r="135" spans="1:11" ht="10.5" customHeight="1" x14ac:dyDescent="0.2">
      <c r="A135" s="120"/>
      <c r="B135" s="960"/>
      <c r="C135" s="960"/>
      <c r="D135" s="960"/>
      <c r="E135" s="960"/>
      <c r="F135" s="960"/>
      <c r="G135" s="960"/>
      <c r="H135" s="960"/>
      <c r="I135" s="960"/>
      <c r="J135" s="961"/>
      <c r="K135" s="122" t="s">
        <v>328</v>
      </c>
    </row>
    <row r="136" spans="1:11" ht="10.5" customHeight="1" x14ac:dyDescent="0.2">
      <c r="A136" s="957" t="s">
        <v>329</v>
      </c>
      <c r="B136" s="958"/>
      <c r="C136" s="958"/>
      <c r="D136" s="945" t="str">
        <f>'Акт отбора проб Почва'!F30</f>
        <v>СК5</v>
      </c>
      <c r="E136" s="945"/>
      <c r="F136" s="945"/>
      <c r="G136" s="959" t="s">
        <v>330</v>
      </c>
      <c r="H136" s="959"/>
      <c r="I136" s="959"/>
      <c r="J136" s="491" t="str">
        <f>'Акт отбора проб МБ'!J30</f>
        <v>0,0-0,1</v>
      </c>
      <c r="K136" s="126">
        <f>$H$2</f>
        <v>45739</v>
      </c>
    </row>
    <row r="137" spans="1:11" ht="10.5" customHeight="1" x14ac:dyDescent="0.2">
      <c r="A137" s="120"/>
      <c r="B137" s="127"/>
      <c r="C137" s="124"/>
      <c r="D137" s="128"/>
      <c r="E137" s="128"/>
      <c r="F137" s="128"/>
      <c r="G137" s="125"/>
      <c r="H137" s="125"/>
      <c r="I137" s="125"/>
      <c r="J137" s="494"/>
      <c r="K137" s="122" t="s">
        <v>331</v>
      </c>
    </row>
    <row r="138" spans="1:11" ht="10.5" customHeight="1" x14ac:dyDescent="0.2">
      <c r="A138" s="120" t="s">
        <v>331</v>
      </c>
      <c r="B138" s="391" t="str">
        <f>'Акт отбора проб МБ'!K30</f>
        <v>11АП.01</v>
      </c>
      <c r="C138" s="124"/>
      <c r="D138" s="946"/>
      <c r="E138" s="946"/>
      <c r="F138" s="946"/>
      <c r="G138" s="946"/>
      <c r="H138" s="946"/>
      <c r="I138" s="125"/>
      <c r="J138" s="494"/>
      <c r="K138" s="122" t="str">
        <f>B138</f>
        <v>11АП.01</v>
      </c>
    </row>
    <row r="139" spans="1:11" ht="10.5" customHeight="1" x14ac:dyDescent="0.2">
      <c r="A139" s="120"/>
      <c r="B139" s="127"/>
      <c r="C139" s="124"/>
      <c r="D139" s="124"/>
      <c r="E139" s="124"/>
      <c r="F139" s="124"/>
      <c r="G139" s="124"/>
      <c r="H139" s="124"/>
      <c r="I139" s="124"/>
      <c r="J139" s="493"/>
      <c r="K139" s="122" t="s">
        <v>332</v>
      </c>
    </row>
    <row r="140" spans="1:11" ht="10.5" customHeight="1" x14ac:dyDescent="0.2">
      <c r="A140" s="957" t="s">
        <v>681</v>
      </c>
      <c r="B140" s="958"/>
      <c r="C140" s="947"/>
      <c r="D140" s="947"/>
      <c r="E140" s="947"/>
      <c r="F140" s="947"/>
      <c r="G140" s="947"/>
      <c r="H140" s="947"/>
      <c r="I140" s="947"/>
      <c r="J140" s="144"/>
      <c r="K140" s="122" t="str">
        <f>J136</f>
        <v>0,0-0,1</v>
      </c>
    </row>
    <row r="141" spans="1:11" ht="10.5" customHeight="1" x14ac:dyDescent="0.2">
      <c r="A141" s="120" t="s">
        <v>333</v>
      </c>
      <c r="B141" s="127"/>
      <c r="C141" s="124"/>
      <c r="D141" s="124"/>
      <c r="E141" s="124"/>
      <c r="F141" s="124"/>
      <c r="G141" s="124"/>
      <c r="H141" s="124"/>
      <c r="I141" s="124"/>
      <c r="J141" s="493"/>
      <c r="K141" s="122" t="s">
        <v>334</v>
      </c>
    </row>
    <row r="142" spans="1:11" ht="10.5" customHeight="1" x14ac:dyDescent="0.2">
      <c r="A142" s="120" t="s">
        <v>335</v>
      </c>
      <c r="B142" s="133"/>
      <c r="C142" s="134"/>
      <c r="D142" s="134"/>
      <c r="E142" s="134"/>
      <c r="F142" s="134"/>
      <c r="G142" s="134"/>
      <c r="H142" s="124"/>
      <c r="I142" s="124"/>
      <c r="J142" s="493"/>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92"/>
      <c r="K144" s="118"/>
    </row>
    <row r="145" spans="1:11" ht="10.5" customHeight="1" x14ac:dyDescent="0.2">
      <c r="A145" s="120" t="s">
        <v>325</v>
      </c>
      <c r="B145" s="952">
        <f>$B$2</f>
        <v>0</v>
      </c>
      <c r="C145" s="952"/>
      <c r="D145" s="934" t="s">
        <v>326</v>
      </c>
      <c r="E145" s="934"/>
      <c r="F145" s="934"/>
      <c r="G145" s="934"/>
      <c r="H145" s="953">
        <f>$H$2</f>
        <v>45739</v>
      </c>
      <c r="I145" s="954"/>
      <c r="J145" s="493"/>
      <c r="K145" s="122" t="s">
        <v>327</v>
      </c>
    </row>
    <row r="146" spans="1:11" ht="10.5" customHeight="1" x14ac:dyDescent="0.2">
      <c r="A146" s="120"/>
      <c r="B146" s="127"/>
      <c r="C146" s="124"/>
      <c r="D146" s="124"/>
      <c r="E146" s="124"/>
      <c r="F146" s="124"/>
      <c r="G146" s="124"/>
      <c r="H146" s="124"/>
      <c r="I146" s="124"/>
      <c r="J146" s="493"/>
      <c r="K146" s="122">
        <f>$B$2</f>
        <v>0</v>
      </c>
    </row>
    <row r="147" spans="1:11" ht="10.5" customHeight="1" x14ac:dyDescent="0.2">
      <c r="A147" s="120" t="s">
        <v>0</v>
      </c>
      <c r="B147" s="960" t="str">
        <f>$B$4</f>
        <v>адрес вбить сюда</v>
      </c>
      <c r="C147" s="960"/>
      <c r="D147" s="960"/>
      <c r="E147" s="960"/>
      <c r="F147" s="960"/>
      <c r="G147" s="960"/>
      <c r="H147" s="960"/>
      <c r="I147" s="960"/>
      <c r="J147" s="961"/>
      <c r="K147" s="122"/>
    </row>
    <row r="148" spans="1:11" ht="10.5" customHeight="1" x14ac:dyDescent="0.2">
      <c r="A148" s="120"/>
      <c r="B148" s="960"/>
      <c r="C148" s="960"/>
      <c r="D148" s="960"/>
      <c r="E148" s="960"/>
      <c r="F148" s="960"/>
      <c r="G148" s="960"/>
      <c r="H148" s="960"/>
      <c r="I148" s="960"/>
      <c r="J148" s="961"/>
      <c r="K148" s="122" t="s">
        <v>328</v>
      </c>
    </row>
    <row r="149" spans="1:11" ht="10.5" customHeight="1" x14ac:dyDescent="0.2">
      <c r="A149" s="957" t="s">
        <v>329</v>
      </c>
      <c r="B149" s="958"/>
      <c r="C149" s="958"/>
      <c r="D149" s="945" t="str">
        <f>'Акт отбора проб Почва'!F31</f>
        <v>СК6</v>
      </c>
      <c r="E149" s="945"/>
      <c r="F149" s="945"/>
      <c r="G149" s="959" t="s">
        <v>330</v>
      </c>
      <c r="H149" s="959"/>
      <c r="I149" s="959"/>
      <c r="J149" s="491" t="str">
        <f>'Акт отбора проб МБ'!J31</f>
        <v>0,0-0,1</v>
      </c>
      <c r="K149" s="126">
        <f>$H$2</f>
        <v>45739</v>
      </c>
    </row>
    <row r="150" spans="1:11" ht="10.5" customHeight="1" x14ac:dyDescent="0.2">
      <c r="A150" s="120"/>
      <c r="B150" s="127"/>
      <c r="C150" s="124"/>
      <c r="D150" s="128"/>
      <c r="E150" s="128"/>
      <c r="F150" s="128"/>
      <c r="G150" s="125"/>
      <c r="H150" s="125"/>
      <c r="I150" s="125"/>
      <c r="J150" s="494"/>
      <c r="K150" s="122" t="s">
        <v>331</v>
      </c>
    </row>
    <row r="151" spans="1:11" ht="10.5" customHeight="1" x14ac:dyDescent="0.2">
      <c r="A151" s="120" t="s">
        <v>331</v>
      </c>
      <c r="B151" s="391" t="str">
        <f>'Акт отбора проб МБ'!K31</f>
        <v>12АП.01</v>
      </c>
      <c r="C151" s="124"/>
      <c r="D151" s="946"/>
      <c r="E151" s="946"/>
      <c r="F151" s="946"/>
      <c r="G151" s="946"/>
      <c r="H151" s="946"/>
      <c r="I151" s="125"/>
      <c r="J151" s="494"/>
      <c r="K151" s="122" t="str">
        <f>B151</f>
        <v>12АП.01</v>
      </c>
    </row>
    <row r="152" spans="1:11" ht="10.5" customHeight="1" x14ac:dyDescent="0.2">
      <c r="A152" s="120"/>
      <c r="B152" s="127"/>
      <c r="C152" s="124"/>
      <c r="D152" s="124"/>
      <c r="E152" s="124"/>
      <c r="F152" s="124"/>
      <c r="G152" s="124"/>
      <c r="H152" s="124"/>
      <c r="I152" s="124"/>
      <c r="J152" s="493"/>
      <c r="K152" s="122" t="s">
        <v>332</v>
      </c>
    </row>
    <row r="153" spans="1:11" ht="10.5" customHeight="1" x14ac:dyDescent="0.2">
      <c r="A153" s="957" t="s">
        <v>681</v>
      </c>
      <c r="B153" s="958"/>
      <c r="C153" s="947"/>
      <c r="D153" s="947"/>
      <c r="E153" s="947"/>
      <c r="F153" s="947"/>
      <c r="G153" s="947"/>
      <c r="H153" s="947"/>
      <c r="I153" s="947"/>
      <c r="J153" s="144"/>
      <c r="K153" s="122" t="str">
        <f>J149</f>
        <v>0,0-0,1</v>
      </c>
    </row>
    <row r="154" spans="1:11" ht="10.5" customHeight="1" x14ac:dyDescent="0.2">
      <c r="A154" s="120" t="s">
        <v>333</v>
      </c>
      <c r="B154" s="127"/>
      <c r="C154" s="124"/>
      <c r="D154" s="124"/>
      <c r="E154" s="124"/>
      <c r="F154" s="124"/>
      <c r="G154" s="124"/>
      <c r="H154" s="124"/>
      <c r="I154" s="124"/>
      <c r="J154" s="493"/>
      <c r="K154" s="122" t="s">
        <v>334</v>
      </c>
    </row>
    <row r="155" spans="1:11" ht="10.5" customHeight="1" x14ac:dyDescent="0.2">
      <c r="A155" s="120" t="s">
        <v>335</v>
      </c>
      <c r="B155" s="133"/>
      <c r="C155" s="134"/>
      <c r="D155" s="134"/>
      <c r="E155" s="134"/>
      <c r="F155" s="134"/>
      <c r="G155" s="134"/>
      <c r="H155" s="124"/>
      <c r="I155" s="124"/>
      <c r="J155" s="493"/>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92"/>
      <c r="K157" s="118"/>
    </row>
    <row r="158" spans="1:11" ht="10.5" customHeight="1" x14ac:dyDescent="0.2">
      <c r="A158" s="120" t="s">
        <v>325</v>
      </c>
      <c r="B158" s="952">
        <f>$B$2</f>
        <v>0</v>
      </c>
      <c r="C158" s="952"/>
      <c r="D158" s="934" t="s">
        <v>326</v>
      </c>
      <c r="E158" s="934"/>
      <c r="F158" s="934"/>
      <c r="G158" s="934"/>
      <c r="H158" s="953">
        <f>$H$2</f>
        <v>45739</v>
      </c>
      <c r="I158" s="953"/>
      <c r="J158" s="493"/>
      <c r="K158" s="122" t="s">
        <v>327</v>
      </c>
    </row>
    <row r="159" spans="1:11" ht="10.5" customHeight="1" x14ac:dyDescent="0.2">
      <c r="A159" s="120"/>
      <c r="B159" s="127"/>
      <c r="C159" s="124"/>
      <c r="D159" s="124"/>
      <c r="E159" s="124"/>
      <c r="F159" s="124"/>
      <c r="G159" s="124"/>
      <c r="H159" s="124"/>
      <c r="I159" s="124"/>
      <c r="J159" s="493"/>
      <c r="K159" s="122">
        <f>$B$2</f>
        <v>0</v>
      </c>
    </row>
    <row r="160" spans="1:11" ht="10.5" customHeight="1" x14ac:dyDescent="0.2">
      <c r="A160" s="120" t="s">
        <v>0</v>
      </c>
      <c r="B160" s="960" t="str">
        <f>$B$4</f>
        <v>адрес вбить сюда</v>
      </c>
      <c r="C160" s="960"/>
      <c r="D160" s="960"/>
      <c r="E160" s="960"/>
      <c r="F160" s="960"/>
      <c r="G160" s="960"/>
      <c r="H160" s="960"/>
      <c r="I160" s="960"/>
      <c r="J160" s="961"/>
      <c r="K160" s="122"/>
    </row>
    <row r="161" spans="1:11" ht="10.5" customHeight="1" x14ac:dyDescent="0.2">
      <c r="A161" s="120"/>
      <c r="B161" s="960"/>
      <c r="C161" s="960"/>
      <c r="D161" s="960"/>
      <c r="E161" s="960"/>
      <c r="F161" s="960"/>
      <c r="G161" s="960"/>
      <c r="H161" s="960"/>
      <c r="I161" s="960"/>
      <c r="J161" s="961"/>
      <c r="K161" s="122" t="s">
        <v>328</v>
      </c>
    </row>
    <row r="162" spans="1:11" ht="10.5" customHeight="1" x14ac:dyDescent="0.2">
      <c r="A162" s="957" t="s">
        <v>329</v>
      </c>
      <c r="B162" s="958"/>
      <c r="C162" s="958"/>
      <c r="D162" s="945" t="str">
        <f>'Акт отбора проб Почва'!F32</f>
        <v>СК1</v>
      </c>
      <c r="E162" s="945"/>
      <c r="F162" s="945"/>
      <c r="G162" s="959" t="s">
        <v>330</v>
      </c>
      <c r="H162" s="959"/>
      <c r="I162" s="959"/>
      <c r="J162" s="491" t="str">
        <f>'Акт отбора проб МБ'!J32</f>
        <v>0,0-0,1</v>
      </c>
      <c r="K162" s="126">
        <f>$H$2</f>
        <v>45739</v>
      </c>
    </row>
    <row r="163" spans="1:11" ht="10.5" customHeight="1" x14ac:dyDescent="0.2">
      <c r="A163" s="120"/>
      <c r="B163" s="127"/>
      <c r="C163" s="124"/>
      <c r="D163" s="128"/>
      <c r="E163" s="128"/>
      <c r="F163" s="128"/>
      <c r="G163" s="125"/>
      <c r="H163" s="125"/>
      <c r="I163" s="125"/>
      <c r="J163" s="494"/>
      <c r="K163" s="122" t="s">
        <v>331</v>
      </c>
    </row>
    <row r="164" spans="1:11" ht="10.5" customHeight="1" x14ac:dyDescent="0.2">
      <c r="A164" s="120" t="s">
        <v>331</v>
      </c>
      <c r="B164" s="391" t="str">
        <f>'Акт отбора проб МБ'!K32</f>
        <v>13АП.01</v>
      </c>
      <c r="C164" s="124"/>
      <c r="D164" s="946"/>
      <c r="E164" s="946"/>
      <c r="F164" s="946"/>
      <c r="G164" s="946"/>
      <c r="H164" s="946"/>
      <c r="I164" s="125"/>
      <c r="J164" s="494"/>
      <c r="K164" s="122" t="str">
        <f>B164</f>
        <v>13АП.01</v>
      </c>
    </row>
    <row r="165" spans="1:11" ht="10.5" customHeight="1" x14ac:dyDescent="0.2">
      <c r="A165" s="120"/>
      <c r="B165" s="127"/>
      <c r="C165" s="124"/>
      <c r="D165" s="124"/>
      <c r="E165" s="124"/>
      <c r="F165" s="124"/>
      <c r="G165" s="124"/>
      <c r="H165" s="124"/>
      <c r="I165" s="124"/>
      <c r="J165" s="493"/>
      <c r="K165" s="122" t="s">
        <v>332</v>
      </c>
    </row>
    <row r="166" spans="1:11" ht="10.5" customHeight="1" x14ac:dyDescent="0.2">
      <c r="A166" s="957" t="s">
        <v>681</v>
      </c>
      <c r="B166" s="958"/>
      <c r="C166" s="947"/>
      <c r="D166" s="947"/>
      <c r="E166" s="947"/>
      <c r="F166" s="947"/>
      <c r="G166" s="947"/>
      <c r="H166" s="947"/>
      <c r="I166" s="947"/>
      <c r="J166" s="144"/>
      <c r="K166" s="122" t="str">
        <f>J162</f>
        <v>0,0-0,1</v>
      </c>
    </row>
    <row r="167" spans="1:11" ht="10.5" customHeight="1" x14ac:dyDescent="0.2">
      <c r="A167" s="120" t="s">
        <v>333</v>
      </c>
      <c r="B167" s="127"/>
      <c r="C167" s="124"/>
      <c r="D167" s="124"/>
      <c r="E167" s="124"/>
      <c r="F167" s="124"/>
      <c r="G167" s="124"/>
      <c r="H167" s="124"/>
      <c r="I167" s="124"/>
      <c r="J167" s="493"/>
      <c r="K167" s="122" t="s">
        <v>334</v>
      </c>
    </row>
    <row r="168" spans="1:11" ht="10.5" customHeight="1" x14ac:dyDescent="0.2">
      <c r="A168" s="120" t="s">
        <v>335</v>
      </c>
      <c r="B168" s="133"/>
      <c r="C168" s="134"/>
      <c r="D168" s="134"/>
      <c r="E168" s="134"/>
      <c r="F168" s="134"/>
      <c r="G168" s="134"/>
      <c r="H168" s="124"/>
      <c r="I168" s="124"/>
      <c r="J168" s="493"/>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92"/>
      <c r="K170" s="118"/>
    </row>
    <row r="171" spans="1:11" ht="10.5" customHeight="1" x14ac:dyDescent="0.2">
      <c r="A171" s="120" t="s">
        <v>325</v>
      </c>
      <c r="B171" s="952">
        <f>$B$2</f>
        <v>0</v>
      </c>
      <c r="C171" s="952"/>
      <c r="D171" s="934" t="s">
        <v>326</v>
      </c>
      <c r="E171" s="934"/>
      <c r="F171" s="934"/>
      <c r="G171" s="934"/>
      <c r="H171" s="953">
        <f>$H$2</f>
        <v>45739</v>
      </c>
      <c r="I171" s="953"/>
      <c r="J171" s="493"/>
      <c r="K171" s="122" t="s">
        <v>327</v>
      </c>
    </row>
    <row r="172" spans="1:11" ht="10.5" customHeight="1" x14ac:dyDescent="0.2">
      <c r="A172" s="120"/>
      <c r="B172" s="127"/>
      <c r="C172" s="124"/>
      <c r="D172" s="124"/>
      <c r="E172" s="124"/>
      <c r="F172" s="124"/>
      <c r="G172" s="124"/>
      <c r="H172" s="124"/>
      <c r="I172" s="124"/>
      <c r="J172" s="493"/>
      <c r="K172" s="122">
        <f>$B$2</f>
        <v>0</v>
      </c>
    </row>
    <row r="173" spans="1:11" ht="10.5" customHeight="1" x14ac:dyDescent="0.2">
      <c r="A173" s="120" t="s">
        <v>0</v>
      </c>
      <c r="B173" s="960" t="str">
        <f>$B$4</f>
        <v>адрес вбить сюда</v>
      </c>
      <c r="C173" s="960"/>
      <c r="D173" s="960"/>
      <c r="E173" s="960"/>
      <c r="F173" s="960"/>
      <c r="G173" s="960"/>
      <c r="H173" s="960"/>
      <c r="I173" s="960"/>
      <c r="J173" s="961"/>
      <c r="K173" s="122"/>
    </row>
    <row r="174" spans="1:11" ht="10.5" customHeight="1" x14ac:dyDescent="0.2">
      <c r="A174" s="120"/>
      <c r="B174" s="960"/>
      <c r="C174" s="960"/>
      <c r="D174" s="960"/>
      <c r="E174" s="960"/>
      <c r="F174" s="960"/>
      <c r="G174" s="960"/>
      <c r="H174" s="960"/>
      <c r="I174" s="960"/>
      <c r="J174" s="961"/>
      <c r="K174" s="122" t="s">
        <v>328</v>
      </c>
    </row>
    <row r="175" spans="1:11" ht="10.5" customHeight="1" x14ac:dyDescent="0.2">
      <c r="A175" s="957" t="s">
        <v>329</v>
      </c>
      <c r="B175" s="958"/>
      <c r="C175" s="958"/>
      <c r="D175" s="945" t="str">
        <f>'Акт отбора проб Почва'!F33</f>
        <v>СК2</v>
      </c>
      <c r="E175" s="945"/>
      <c r="F175" s="945"/>
      <c r="G175" s="959" t="s">
        <v>330</v>
      </c>
      <c r="H175" s="959"/>
      <c r="I175" s="959"/>
      <c r="J175" s="491" t="str">
        <f>'Акт отбора проб МБ'!J33</f>
        <v>0,0-0,1</v>
      </c>
      <c r="K175" s="126">
        <f>$H$2</f>
        <v>45739</v>
      </c>
    </row>
    <row r="176" spans="1:11" ht="10.5" customHeight="1" x14ac:dyDescent="0.2">
      <c r="A176" s="120"/>
      <c r="B176" s="127"/>
      <c r="C176" s="124"/>
      <c r="D176" s="128"/>
      <c r="E176" s="128"/>
      <c r="F176" s="128"/>
      <c r="G176" s="125"/>
      <c r="H176" s="125"/>
      <c r="I176" s="125"/>
      <c r="J176" s="494"/>
      <c r="K176" s="122" t="s">
        <v>331</v>
      </c>
    </row>
    <row r="177" spans="1:11" ht="10.5" customHeight="1" x14ac:dyDescent="0.2">
      <c r="A177" s="120" t="s">
        <v>331</v>
      </c>
      <c r="B177" s="391" t="str">
        <f>'Акт отбора проб МБ'!K33</f>
        <v>14АП.01</v>
      </c>
      <c r="C177" s="124"/>
      <c r="D177" s="946"/>
      <c r="E177" s="946"/>
      <c r="F177" s="946"/>
      <c r="G177" s="946"/>
      <c r="H177" s="946"/>
      <c r="I177" s="125"/>
      <c r="J177" s="494"/>
      <c r="K177" s="122" t="str">
        <f>B177</f>
        <v>14АП.01</v>
      </c>
    </row>
    <row r="178" spans="1:11" ht="10.5" customHeight="1" x14ac:dyDescent="0.2">
      <c r="A178" s="120"/>
      <c r="B178" s="127"/>
      <c r="C178" s="124"/>
      <c r="D178" s="124"/>
      <c r="E178" s="124"/>
      <c r="F178" s="124"/>
      <c r="G178" s="124"/>
      <c r="H178" s="124"/>
      <c r="I178" s="124"/>
      <c r="J178" s="493"/>
      <c r="K178" s="122" t="s">
        <v>332</v>
      </c>
    </row>
    <row r="179" spans="1:11" ht="10.5" customHeight="1" x14ac:dyDescent="0.2">
      <c r="A179" s="957" t="s">
        <v>681</v>
      </c>
      <c r="B179" s="958"/>
      <c r="C179" s="947"/>
      <c r="D179" s="947"/>
      <c r="E179" s="947"/>
      <c r="F179" s="947"/>
      <c r="G179" s="947"/>
      <c r="H179" s="947"/>
      <c r="I179" s="947"/>
      <c r="J179" s="144"/>
      <c r="K179" s="122" t="str">
        <f>J175</f>
        <v>0,0-0,1</v>
      </c>
    </row>
    <row r="180" spans="1:11" ht="10.5" customHeight="1" x14ac:dyDescent="0.2">
      <c r="A180" s="120" t="s">
        <v>333</v>
      </c>
      <c r="B180" s="127"/>
      <c r="C180" s="124"/>
      <c r="D180" s="124"/>
      <c r="E180" s="124"/>
      <c r="F180" s="124"/>
      <c r="G180" s="124"/>
      <c r="H180" s="124"/>
      <c r="I180" s="124"/>
      <c r="J180" s="493"/>
      <c r="K180" s="122" t="s">
        <v>334</v>
      </c>
    </row>
    <row r="181" spans="1:11" ht="10.5" customHeight="1" x14ac:dyDescent="0.2">
      <c r="A181" s="120" t="s">
        <v>335</v>
      </c>
      <c r="B181" s="133"/>
      <c r="C181" s="134"/>
      <c r="D181" s="134"/>
      <c r="E181" s="134"/>
      <c r="F181" s="134"/>
      <c r="G181" s="134"/>
      <c r="H181" s="124"/>
      <c r="I181" s="124"/>
      <c r="J181" s="493"/>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92"/>
      <c r="K183" s="118"/>
    </row>
    <row r="184" spans="1:11" ht="10.5" customHeight="1" x14ac:dyDescent="0.2">
      <c r="A184" s="120" t="s">
        <v>325</v>
      </c>
      <c r="B184" s="952">
        <f>$B$2</f>
        <v>0</v>
      </c>
      <c r="C184" s="952"/>
      <c r="D184" s="934" t="s">
        <v>326</v>
      </c>
      <c r="E184" s="934"/>
      <c r="F184" s="934"/>
      <c r="G184" s="934"/>
      <c r="H184" s="953">
        <f>$H$2</f>
        <v>45739</v>
      </c>
      <c r="I184" s="953"/>
      <c r="J184" s="493"/>
      <c r="K184" s="122" t="s">
        <v>327</v>
      </c>
    </row>
    <row r="185" spans="1:11" ht="10.5" customHeight="1" x14ac:dyDescent="0.2">
      <c r="A185" s="120"/>
      <c r="B185" s="127"/>
      <c r="C185" s="124"/>
      <c r="D185" s="124"/>
      <c r="E185" s="124"/>
      <c r="F185" s="124"/>
      <c r="G185" s="124"/>
      <c r="H185" s="124"/>
      <c r="I185" s="124"/>
      <c r="J185" s="493"/>
      <c r="K185" s="122">
        <f>$B$2</f>
        <v>0</v>
      </c>
    </row>
    <row r="186" spans="1:11" ht="10.5" customHeight="1" x14ac:dyDescent="0.2">
      <c r="A186" s="120" t="s">
        <v>0</v>
      </c>
      <c r="B186" s="960" t="str">
        <f>$B$4</f>
        <v>адрес вбить сюда</v>
      </c>
      <c r="C186" s="960"/>
      <c r="D186" s="960"/>
      <c r="E186" s="960"/>
      <c r="F186" s="960"/>
      <c r="G186" s="960"/>
      <c r="H186" s="960"/>
      <c r="I186" s="960"/>
      <c r="J186" s="961"/>
      <c r="K186" s="122"/>
    </row>
    <row r="187" spans="1:11" ht="10.5" customHeight="1" x14ac:dyDescent="0.2">
      <c r="A187" s="120"/>
      <c r="B187" s="960"/>
      <c r="C187" s="960"/>
      <c r="D187" s="960"/>
      <c r="E187" s="960"/>
      <c r="F187" s="960"/>
      <c r="G187" s="960"/>
      <c r="H187" s="960"/>
      <c r="I187" s="960"/>
      <c r="J187" s="961"/>
      <c r="K187" s="122" t="s">
        <v>328</v>
      </c>
    </row>
    <row r="188" spans="1:11" ht="10.5" customHeight="1" x14ac:dyDescent="0.2">
      <c r="A188" s="957" t="s">
        <v>329</v>
      </c>
      <c r="B188" s="958"/>
      <c r="C188" s="958"/>
      <c r="D188" s="945" t="str">
        <f>'Акт отбора проб Почва'!F34</f>
        <v>СК3</v>
      </c>
      <c r="E188" s="945"/>
      <c r="F188" s="945"/>
      <c r="G188" s="959" t="s">
        <v>330</v>
      </c>
      <c r="H188" s="959"/>
      <c r="I188" s="959"/>
      <c r="J188" s="491" t="str">
        <f>'Акт отбора проб МБ'!J34</f>
        <v>0,0-0,1</v>
      </c>
      <c r="K188" s="126">
        <f>$H$2</f>
        <v>45739</v>
      </c>
    </row>
    <row r="189" spans="1:11" ht="10.5" customHeight="1" x14ac:dyDescent="0.2">
      <c r="A189" s="120"/>
      <c r="B189" s="127"/>
      <c r="C189" s="124"/>
      <c r="D189" s="128"/>
      <c r="E189" s="128"/>
      <c r="F189" s="128"/>
      <c r="G189" s="125"/>
      <c r="H189" s="125"/>
      <c r="I189" s="125"/>
      <c r="J189" s="494"/>
      <c r="K189" s="122" t="s">
        <v>331</v>
      </c>
    </row>
    <row r="190" spans="1:11" ht="10.5" customHeight="1" x14ac:dyDescent="0.2">
      <c r="A190" s="120" t="s">
        <v>331</v>
      </c>
      <c r="B190" s="391" t="str">
        <f>'Акт отбора проб МБ'!K34</f>
        <v>15АП.01</v>
      </c>
      <c r="C190" s="124"/>
      <c r="D190" s="946"/>
      <c r="E190" s="946"/>
      <c r="F190" s="946"/>
      <c r="G190" s="946"/>
      <c r="H190" s="946"/>
      <c r="I190" s="125"/>
      <c r="J190" s="494"/>
      <c r="K190" s="122" t="str">
        <f>B190</f>
        <v>15АП.01</v>
      </c>
    </row>
    <row r="191" spans="1:11" ht="10.5" customHeight="1" x14ac:dyDescent="0.2">
      <c r="A191" s="120"/>
      <c r="B191" s="127"/>
      <c r="C191" s="124"/>
      <c r="D191" s="124"/>
      <c r="E191" s="124"/>
      <c r="F191" s="124"/>
      <c r="G191" s="124"/>
      <c r="H191" s="124"/>
      <c r="I191" s="124"/>
      <c r="J191" s="493"/>
      <c r="K191" s="122" t="s">
        <v>332</v>
      </c>
    </row>
    <row r="192" spans="1:11" ht="10.5" customHeight="1" x14ac:dyDescent="0.2">
      <c r="A192" s="957" t="s">
        <v>681</v>
      </c>
      <c r="B192" s="958"/>
      <c r="C192" s="947"/>
      <c r="D192" s="947"/>
      <c r="E192" s="947"/>
      <c r="F192" s="947"/>
      <c r="G192" s="947"/>
      <c r="H192" s="947"/>
      <c r="I192" s="947"/>
      <c r="J192" s="144"/>
      <c r="K192" s="122" t="str">
        <f>J188</f>
        <v>0,0-0,1</v>
      </c>
    </row>
    <row r="193" spans="1:11" ht="10.5" customHeight="1" x14ac:dyDescent="0.2">
      <c r="A193" s="120" t="s">
        <v>333</v>
      </c>
      <c r="B193" s="127"/>
      <c r="C193" s="124"/>
      <c r="D193" s="124"/>
      <c r="E193" s="124"/>
      <c r="F193" s="124"/>
      <c r="G193" s="124"/>
      <c r="H193" s="124"/>
      <c r="I193" s="124"/>
      <c r="J193" s="493"/>
      <c r="K193" s="122" t="s">
        <v>334</v>
      </c>
    </row>
    <row r="194" spans="1:11" ht="10.5" customHeight="1" x14ac:dyDescent="0.2">
      <c r="A194" s="120" t="s">
        <v>335</v>
      </c>
      <c r="B194" s="133"/>
      <c r="C194" s="134"/>
      <c r="D194" s="134"/>
      <c r="E194" s="134"/>
      <c r="F194" s="134"/>
      <c r="G194" s="134"/>
      <c r="H194" s="124"/>
      <c r="I194" s="124"/>
      <c r="J194" s="493"/>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92"/>
      <c r="K196" s="118"/>
    </row>
    <row r="197" spans="1:11" ht="10.5" customHeight="1" x14ac:dyDescent="0.2">
      <c r="A197" s="120" t="s">
        <v>325</v>
      </c>
      <c r="B197" s="952">
        <f>$B$2</f>
        <v>0</v>
      </c>
      <c r="C197" s="952"/>
      <c r="D197" s="934" t="s">
        <v>326</v>
      </c>
      <c r="E197" s="934"/>
      <c r="F197" s="934"/>
      <c r="G197" s="934"/>
      <c r="H197" s="953">
        <f>$H$2</f>
        <v>45739</v>
      </c>
      <c r="I197" s="953"/>
      <c r="J197" s="493"/>
      <c r="K197" s="122" t="s">
        <v>327</v>
      </c>
    </row>
    <row r="198" spans="1:11" ht="10.5" customHeight="1" x14ac:dyDescent="0.2">
      <c r="A198" s="120"/>
      <c r="B198" s="127"/>
      <c r="C198" s="124"/>
      <c r="D198" s="124"/>
      <c r="E198" s="124"/>
      <c r="F198" s="124"/>
      <c r="G198" s="124"/>
      <c r="H198" s="124"/>
      <c r="I198" s="124"/>
      <c r="J198" s="493"/>
      <c r="K198" s="122">
        <f>$B$2</f>
        <v>0</v>
      </c>
    </row>
    <row r="199" spans="1:11" ht="10.5" customHeight="1" x14ac:dyDescent="0.2">
      <c r="A199" s="120" t="s">
        <v>0</v>
      </c>
      <c r="B199" s="960" t="str">
        <f>$B$4</f>
        <v>адрес вбить сюда</v>
      </c>
      <c r="C199" s="960"/>
      <c r="D199" s="960"/>
      <c r="E199" s="960"/>
      <c r="F199" s="960"/>
      <c r="G199" s="960"/>
      <c r="H199" s="960"/>
      <c r="I199" s="960"/>
      <c r="J199" s="961"/>
      <c r="K199" s="122"/>
    </row>
    <row r="200" spans="1:11" ht="10.5" customHeight="1" x14ac:dyDescent="0.2">
      <c r="A200" s="120"/>
      <c r="B200" s="960"/>
      <c r="C200" s="960"/>
      <c r="D200" s="960"/>
      <c r="E200" s="960"/>
      <c r="F200" s="960"/>
      <c r="G200" s="960"/>
      <c r="H200" s="960"/>
      <c r="I200" s="960"/>
      <c r="J200" s="961"/>
      <c r="K200" s="122" t="s">
        <v>328</v>
      </c>
    </row>
    <row r="201" spans="1:11" ht="10.5" customHeight="1" x14ac:dyDescent="0.2">
      <c r="A201" s="957" t="s">
        <v>329</v>
      </c>
      <c r="B201" s="958"/>
      <c r="C201" s="958"/>
      <c r="D201" s="945" t="str">
        <f>'Акт отбора проб Почва'!F35</f>
        <v>СК4</v>
      </c>
      <c r="E201" s="945"/>
      <c r="F201" s="945"/>
      <c r="G201" s="959" t="s">
        <v>330</v>
      </c>
      <c r="H201" s="959"/>
      <c r="I201" s="959"/>
      <c r="J201" s="491" t="str">
        <f>'Акт отбора проб Почва'!B35</f>
        <v>0,5-1,0</v>
      </c>
      <c r="K201" s="126">
        <f>$H$2</f>
        <v>45739</v>
      </c>
    </row>
    <row r="202" spans="1:11" ht="10.5" customHeight="1" x14ac:dyDescent="0.2">
      <c r="A202" s="120"/>
      <c r="B202" s="127"/>
      <c r="C202" s="124"/>
      <c r="D202" s="128"/>
      <c r="E202" s="128"/>
      <c r="F202" s="128"/>
      <c r="G202" s="125"/>
      <c r="H202" s="125"/>
      <c r="I202" s="125"/>
      <c r="J202" s="494"/>
      <c r="K202" s="122" t="s">
        <v>331</v>
      </c>
    </row>
    <row r="203" spans="1:11" ht="10.5" customHeight="1" x14ac:dyDescent="0.2">
      <c r="A203" s="120" t="s">
        <v>331</v>
      </c>
      <c r="B203" s="391"/>
      <c r="C203" s="124"/>
      <c r="D203" s="946"/>
      <c r="E203" s="946"/>
      <c r="F203" s="946"/>
      <c r="G203" s="946"/>
      <c r="H203" s="946"/>
      <c r="I203" s="125"/>
      <c r="J203" s="494"/>
      <c r="K203" s="122">
        <f>B203</f>
        <v>0</v>
      </c>
    </row>
    <row r="204" spans="1:11" ht="10.5" customHeight="1" x14ac:dyDescent="0.2">
      <c r="A204" s="120"/>
      <c r="B204" s="127"/>
      <c r="C204" s="124"/>
      <c r="D204" s="124"/>
      <c r="E204" s="124"/>
      <c r="F204" s="124"/>
      <c r="G204" s="124"/>
      <c r="H204" s="124"/>
      <c r="I204" s="124"/>
      <c r="J204" s="493"/>
      <c r="K204" s="122" t="s">
        <v>332</v>
      </c>
    </row>
    <row r="205" spans="1:11" ht="10.5" customHeight="1" x14ac:dyDescent="0.2">
      <c r="A205" s="957" t="s">
        <v>681</v>
      </c>
      <c r="B205" s="958"/>
      <c r="C205" s="947"/>
      <c r="D205" s="947"/>
      <c r="E205" s="947"/>
      <c r="F205" s="947"/>
      <c r="G205" s="947"/>
      <c r="H205" s="947"/>
      <c r="I205" s="947"/>
      <c r="J205" s="144"/>
      <c r="K205" s="122" t="str">
        <f>J201</f>
        <v>0,5-1,0</v>
      </c>
    </row>
    <row r="206" spans="1:11" ht="10.5" customHeight="1" x14ac:dyDescent="0.2">
      <c r="A206" s="120" t="s">
        <v>333</v>
      </c>
      <c r="B206" s="127"/>
      <c r="C206" s="124"/>
      <c r="D206" s="124"/>
      <c r="E206" s="124"/>
      <c r="F206" s="124"/>
      <c r="G206" s="124"/>
      <c r="H206" s="124"/>
      <c r="I206" s="124"/>
      <c r="J206" s="493"/>
      <c r="K206" s="122" t="s">
        <v>334</v>
      </c>
    </row>
    <row r="207" spans="1:11" ht="10.5" customHeight="1" x14ac:dyDescent="0.2">
      <c r="A207" s="120" t="s">
        <v>335</v>
      </c>
      <c r="B207" s="133"/>
      <c r="C207" s="134"/>
      <c r="D207" s="134"/>
      <c r="E207" s="134"/>
      <c r="F207" s="134"/>
      <c r="G207" s="134"/>
      <c r="H207" s="124"/>
      <c r="I207" s="124"/>
      <c r="J207" s="493"/>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92"/>
      <c r="K209" s="118"/>
    </row>
    <row r="210" spans="1:11" ht="10.5" customHeight="1" x14ac:dyDescent="0.2">
      <c r="A210" s="120" t="s">
        <v>325</v>
      </c>
      <c r="B210" s="952">
        <f>$B$2</f>
        <v>0</v>
      </c>
      <c r="C210" s="952"/>
      <c r="D210" s="934" t="s">
        <v>326</v>
      </c>
      <c r="E210" s="934"/>
      <c r="F210" s="934"/>
      <c r="G210" s="934"/>
      <c r="H210" s="953">
        <f>$H$2</f>
        <v>45739</v>
      </c>
      <c r="I210" s="954"/>
      <c r="J210" s="493"/>
      <c r="K210" s="122" t="s">
        <v>327</v>
      </c>
    </row>
    <row r="211" spans="1:11" ht="10.5" customHeight="1" x14ac:dyDescent="0.2">
      <c r="A211" s="120"/>
      <c r="B211" s="127"/>
      <c r="C211" s="124"/>
      <c r="D211" s="124"/>
      <c r="E211" s="124"/>
      <c r="F211" s="124"/>
      <c r="G211" s="124"/>
      <c r="H211" s="124"/>
      <c r="I211" s="124"/>
      <c r="J211" s="493"/>
      <c r="K211" s="122">
        <f>$B$2</f>
        <v>0</v>
      </c>
    </row>
    <row r="212" spans="1:11" ht="10.5" customHeight="1" x14ac:dyDescent="0.2">
      <c r="A212" s="120" t="s">
        <v>0</v>
      </c>
      <c r="B212" s="960" t="str">
        <f>$B$4</f>
        <v>адрес вбить сюда</v>
      </c>
      <c r="C212" s="960"/>
      <c r="D212" s="960"/>
      <c r="E212" s="960"/>
      <c r="F212" s="960"/>
      <c r="G212" s="960"/>
      <c r="H212" s="960"/>
      <c r="I212" s="960"/>
      <c r="J212" s="961"/>
      <c r="K212" s="122"/>
    </row>
    <row r="213" spans="1:11" ht="10.5" customHeight="1" x14ac:dyDescent="0.2">
      <c r="A213" s="120"/>
      <c r="B213" s="960"/>
      <c r="C213" s="960"/>
      <c r="D213" s="960"/>
      <c r="E213" s="960"/>
      <c r="F213" s="960"/>
      <c r="G213" s="960"/>
      <c r="H213" s="960"/>
      <c r="I213" s="960"/>
      <c r="J213" s="961"/>
      <c r="K213" s="122" t="s">
        <v>328</v>
      </c>
    </row>
    <row r="214" spans="1:11" ht="10.5" customHeight="1" x14ac:dyDescent="0.2">
      <c r="A214" s="957" t="s">
        <v>329</v>
      </c>
      <c r="B214" s="958"/>
      <c r="C214" s="958"/>
      <c r="D214" s="945" t="str">
        <f>'Акт отбора проб Почва'!F36</f>
        <v>СК5</v>
      </c>
      <c r="E214" s="945"/>
      <c r="F214" s="945"/>
      <c r="G214" s="959" t="s">
        <v>330</v>
      </c>
      <c r="H214" s="959"/>
      <c r="I214" s="959"/>
      <c r="J214" s="491" t="str">
        <f>'Акт отбора проб Почва'!B36</f>
        <v>0,5-1,0</v>
      </c>
      <c r="K214" s="126">
        <f>$H$2</f>
        <v>45739</v>
      </c>
    </row>
    <row r="215" spans="1:11" ht="10.5" customHeight="1" x14ac:dyDescent="0.2">
      <c r="A215" s="120"/>
      <c r="B215" s="127"/>
      <c r="C215" s="124"/>
      <c r="D215" s="128"/>
      <c r="E215" s="128"/>
      <c r="F215" s="128"/>
      <c r="G215" s="125"/>
      <c r="H215" s="125"/>
      <c r="I215" s="125"/>
      <c r="J215" s="494"/>
      <c r="K215" s="122" t="s">
        <v>331</v>
      </c>
    </row>
    <row r="216" spans="1:11" ht="10.5" customHeight="1" x14ac:dyDescent="0.2">
      <c r="A216" s="120" t="s">
        <v>331</v>
      </c>
      <c r="B216" s="129"/>
      <c r="C216" s="124"/>
      <c r="D216" s="946"/>
      <c r="E216" s="946"/>
      <c r="F216" s="946"/>
      <c r="G216" s="946"/>
      <c r="H216" s="946"/>
      <c r="I216" s="125"/>
      <c r="J216" s="494"/>
      <c r="K216" s="122">
        <f>B216</f>
        <v>0</v>
      </c>
    </row>
    <row r="217" spans="1:11" ht="10.5" customHeight="1" x14ac:dyDescent="0.2">
      <c r="A217" s="120"/>
      <c r="B217" s="127"/>
      <c r="C217" s="124"/>
      <c r="D217" s="124"/>
      <c r="E217" s="124"/>
      <c r="F217" s="124"/>
      <c r="G217" s="124"/>
      <c r="H217" s="124"/>
      <c r="I217" s="124"/>
      <c r="J217" s="493"/>
      <c r="K217" s="122" t="s">
        <v>332</v>
      </c>
    </row>
    <row r="218" spans="1:11" ht="10.5" customHeight="1" x14ac:dyDescent="0.2">
      <c r="A218" s="957" t="s">
        <v>681</v>
      </c>
      <c r="B218" s="958"/>
      <c r="C218" s="947"/>
      <c r="D218" s="947"/>
      <c r="E218" s="947"/>
      <c r="F218" s="947"/>
      <c r="G218" s="947"/>
      <c r="H218" s="947"/>
      <c r="I218" s="947"/>
      <c r="J218" s="144"/>
      <c r="K218" s="122" t="str">
        <f>J214</f>
        <v>0,5-1,0</v>
      </c>
    </row>
    <row r="219" spans="1:11" ht="10.5" customHeight="1" x14ac:dyDescent="0.2">
      <c r="A219" s="120" t="s">
        <v>333</v>
      </c>
      <c r="B219" s="127"/>
      <c r="C219" s="124"/>
      <c r="D219" s="124"/>
      <c r="E219" s="124"/>
      <c r="F219" s="124"/>
      <c r="G219" s="124"/>
      <c r="H219" s="124"/>
      <c r="I219" s="124"/>
      <c r="J219" s="493"/>
      <c r="K219" s="122" t="s">
        <v>334</v>
      </c>
    </row>
    <row r="220" spans="1:11" ht="10.5" customHeight="1" x14ac:dyDescent="0.2">
      <c r="A220" s="120" t="s">
        <v>335</v>
      </c>
      <c r="B220" s="133"/>
      <c r="C220" s="134"/>
      <c r="D220" s="134"/>
      <c r="E220" s="134"/>
      <c r="F220" s="134"/>
      <c r="G220" s="134"/>
      <c r="H220" s="124"/>
      <c r="I220" s="124"/>
      <c r="J220" s="493"/>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92"/>
      <c r="K222" s="118"/>
    </row>
    <row r="223" spans="1:11" ht="10.5" customHeight="1" x14ac:dyDescent="0.2">
      <c r="A223" s="120" t="s">
        <v>325</v>
      </c>
      <c r="B223" s="952">
        <f>$B$2</f>
        <v>0</v>
      </c>
      <c r="C223" s="952"/>
      <c r="D223" s="934" t="s">
        <v>326</v>
      </c>
      <c r="E223" s="934"/>
      <c r="F223" s="934"/>
      <c r="G223" s="934"/>
      <c r="H223" s="953">
        <f>$H$2</f>
        <v>45739</v>
      </c>
      <c r="I223" s="954"/>
      <c r="J223" s="493"/>
      <c r="K223" s="122" t="s">
        <v>327</v>
      </c>
    </row>
    <row r="224" spans="1:11" ht="10.5" customHeight="1" x14ac:dyDescent="0.2">
      <c r="A224" s="120"/>
      <c r="B224" s="127"/>
      <c r="C224" s="124"/>
      <c r="D224" s="124"/>
      <c r="E224" s="124"/>
      <c r="F224" s="124"/>
      <c r="G224" s="124"/>
      <c r="H224" s="124"/>
      <c r="I224" s="124"/>
      <c r="J224" s="493"/>
      <c r="K224" s="122">
        <f>$B$2</f>
        <v>0</v>
      </c>
    </row>
    <row r="225" spans="1:11" ht="10.5" customHeight="1" x14ac:dyDescent="0.2">
      <c r="A225" s="120" t="s">
        <v>0</v>
      </c>
      <c r="B225" s="960" t="str">
        <f>$B$4</f>
        <v>адрес вбить сюда</v>
      </c>
      <c r="C225" s="960"/>
      <c r="D225" s="960"/>
      <c r="E225" s="960"/>
      <c r="F225" s="960"/>
      <c r="G225" s="960"/>
      <c r="H225" s="960"/>
      <c r="I225" s="960"/>
      <c r="J225" s="961"/>
      <c r="K225" s="122"/>
    </row>
    <row r="226" spans="1:11" ht="10.5" customHeight="1" x14ac:dyDescent="0.2">
      <c r="A226" s="120"/>
      <c r="B226" s="960"/>
      <c r="C226" s="960"/>
      <c r="D226" s="960"/>
      <c r="E226" s="960"/>
      <c r="F226" s="960"/>
      <c r="G226" s="960"/>
      <c r="H226" s="960"/>
      <c r="I226" s="960"/>
      <c r="J226" s="961"/>
      <c r="K226" s="122" t="s">
        <v>328</v>
      </c>
    </row>
    <row r="227" spans="1:11" ht="10.5" customHeight="1" x14ac:dyDescent="0.2">
      <c r="A227" s="957" t="s">
        <v>329</v>
      </c>
      <c r="B227" s="958"/>
      <c r="C227" s="958"/>
      <c r="D227" s="945" t="str">
        <f>'Акт отбора проб Почва'!F37</f>
        <v>СК6</v>
      </c>
      <c r="E227" s="945"/>
      <c r="F227" s="945"/>
      <c r="G227" s="959" t="s">
        <v>330</v>
      </c>
      <c r="H227" s="959"/>
      <c r="I227" s="959"/>
      <c r="J227" s="491" t="str">
        <f>'Акт отбора проб Почва'!B37</f>
        <v>0,5-1,0</v>
      </c>
      <c r="K227" s="126">
        <f>$H$2</f>
        <v>45739</v>
      </c>
    </row>
    <row r="228" spans="1:11" ht="10.5" customHeight="1" x14ac:dyDescent="0.2">
      <c r="A228" s="120"/>
      <c r="B228" s="127"/>
      <c r="C228" s="124"/>
      <c r="D228" s="128"/>
      <c r="E228" s="128"/>
      <c r="F228" s="128"/>
      <c r="G228" s="125"/>
      <c r="H228" s="125"/>
      <c r="I228" s="125"/>
      <c r="J228" s="494"/>
      <c r="K228" s="122" t="s">
        <v>331</v>
      </c>
    </row>
    <row r="229" spans="1:11" ht="10.5" customHeight="1" x14ac:dyDescent="0.2">
      <c r="A229" s="120" t="s">
        <v>331</v>
      </c>
      <c r="B229" s="129"/>
      <c r="C229" s="124"/>
      <c r="D229" s="946"/>
      <c r="E229" s="946"/>
      <c r="F229" s="946"/>
      <c r="G229" s="946"/>
      <c r="H229" s="946"/>
      <c r="I229" s="125"/>
      <c r="J229" s="494"/>
      <c r="K229" s="122">
        <f>B229</f>
        <v>0</v>
      </c>
    </row>
    <row r="230" spans="1:11" ht="10.5" customHeight="1" x14ac:dyDescent="0.2">
      <c r="A230" s="120"/>
      <c r="B230" s="127"/>
      <c r="C230" s="124"/>
      <c r="D230" s="124"/>
      <c r="E230" s="124"/>
      <c r="F230" s="124"/>
      <c r="G230" s="124"/>
      <c r="H230" s="124"/>
      <c r="I230" s="124"/>
      <c r="J230" s="493"/>
      <c r="K230" s="122" t="s">
        <v>332</v>
      </c>
    </row>
    <row r="231" spans="1:11" ht="10.5" customHeight="1" x14ac:dyDescent="0.2">
      <c r="A231" s="957" t="s">
        <v>681</v>
      </c>
      <c r="B231" s="958"/>
      <c r="C231" s="951"/>
      <c r="D231" s="951"/>
      <c r="E231" s="951"/>
      <c r="F231" s="951"/>
      <c r="G231" s="951"/>
      <c r="H231" s="951"/>
      <c r="I231" s="951"/>
      <c r="J231" s="144"/>
      <c r="K231" s="122" t="str">
        <f>J227</f>
        <v>0,5-1,0</v>
      </c>
    </row>
    <row r="232" spans="1:11" ht="10.5" customHeight="1" x14ac:dyDescent="0.2">
      <c r="A232" s="120" t="s">
        <v>333</v>
      </c>
      <c r="B232" s="127"/>
      <c r="C232" s="124"/>
      <c r="D232" s="124"/>
      <c r="E232" s="124"/>
      <c r="F232" s="124"/>
      <c r="G232" s="124"/>
      <c r="H232" s="124"/>
      <c r="I232" s="124"/>
      <c r="J232" s="493"/>
      <c r="K232" s="122" t="s">
        <v>334</v>
      </c>
    </row>
    <row r="233" spans="1:11" ht="10.5" customHeight="1" x14ac:dyDescent="0.2">
      <c r="A233" s="120" t="s">
        <v>335</v>
      </c>
      <c r="B233" s="133"/>
      <c r="C233" s="134"/>
      <c r="D233" s="134"/>
      <c r="E233" s="134"/>
      <c r="F233" s="134"/>
      <c r="G233" s="134"/>
      <c r="H233" s="124"/>
      <c r="I233" s="124"/>
      <c r="J233" s="493"/>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92"/>
      <c r="K235" s="118"/>
    </row>
    <row r="236" spans="1:11" ht="10.5" customHeight="1" x14ac:dyDescent="0.2">
      <c r="A236" s="120" t="s">
        <v>325</v>
      </c>
      <c r="B236" s="952">
        <f>$B$2</f>
        <v>0</v>
      </c>
      <c r="C236" s="952"/>
      <c r="D236" s="934" t="s">
        <v>326</v>
      </c>
      <c r="E236" s="934"/>
      <c r="F236" s="934"/>
      <c r="G236" s="934"/>
      <c r="H236" s="953">
        <f>$H$2</f>
        <v>45739</v>
      </c>
      <c r="I236" s="954"/>
      <c r="J236" s="493"/>
      <c r="K236" s="122" t="s">
        <v>327</v>
      </c>
    </row>
    <row r="237" spans="1:11" ht="10.5" customHeight="1" x14ac:dyDescent="0.2">
      <c r="A237" s="120"/>
      <c r="B237" s="127"/>
      <c r="C237" s="124"/>
      <c r="D237" s="124"/>
      <c r="E237" s="124"/>
      <c r="F237" s="124"/>
      <c r="G237" s="124"/>
      <c r="H237" s="124"/>
      <c r="I237" s="124"/>
      <c r="J237" s="493"/>
      <c r="K237" s="122">
        <f>$B$2</f>
        <v>0</v>
      </c>
    </row>
    <row r="238" spans="1:11" ht="10.5" customHeight="1" x14ac:dyDescent="0.2">
      <c r="A238" s="120" t="s">
        <v>0</v>
      </c>
      <c r="B238" s="960" t="str">
        <f>$B$4</f>
        <v>адрес вбить сюда</v>
      </c>
      <c r="C238" s="960"/>
      <c r="D238" s="960"/>
      <c r="E238" s="960"/>
      <c r="F238" s="960"/>
      <c r="G238" s="960"/>
      <c r="H238" s="960"/>
      <c r="I238" s="960"/>
      <c r="J238" s="961"/>
      <c r="K238" s="122"/>
    </row>
    <row r="239" spans="1:11" ht="10.5" customHeight="1" x14ac:dyDescent="0.2">
      <c r="A239" s="120"/>
      <c r="B239" s="960"/>
      <c r="C239" s="960"/>
      <c r="D239" s="960"/>
      <c r="E239" s="960"/>
      <c r="F239" s="960"/>
      <c r="G239" s="960"/>
      <c r="H239" s="960"/>
      <c r="I239" s="960"/>
      <c r="J239" s="961"/>
      <c r="K239" s="122" t="s">
        <v>328</v>
      </c>
    </row>
    <row r="240" spans="1:11" ht="10.5" customHeight="1" x14ac:dyDescent="0.2">
      <c r="A240" s="957" t="s">
        <v>329</v>
      </c>
      <c r="B240" s="958"/>
      <c r="C240" s="958"/>
      <c r="D240" s="945" t="e">
        <f>'Акт отбора проб Почва'!#REF!</f>
        <v>#REF!</v>
      </c>
      <c r="E240" s="945"/>
      <c r="F240" s="945"/>
      <c r="G240" s="959" t="s">
        <v>330</v>
      </c>
      <c r="H240" s="959"/>
      <c r="I240" s="959"/>
      <c r="J240" s="491" t="e">
        <f>'Акт отбора проб Почва'!#REF!</f>
        <v>#REF!</v>
      </c>
      <c r="K240" s="126">
        <f>$H$2</f>
        <v>45739</v>
      </c>
    </row>
    <row r="241" spans="1:11" ht="10.5" customHeight="1" x14ac:dyDescent="0.2">
      <c r="A241" s="120"/>
      <c r="B241" s="127"/>
      <c r="C241" s="124"/>
      <c r="D241" s="128"/>
      <c r="E241" s="128"/>
      <c r="F241" s="128"/>
      <c r="G241" s="125"/>
      <c r="H241" s="125"/>
      <c r="I241" s="125"/>
      <c r="J241" s="494"/>
      <c r="K241" s="122" t="s">
        <v>331</v>
      </c>
    </row>
    <row r="242" spans="1:11" ht="10.5" customHeight="1" x14ac:dyDescent="0.2">
      <c r="A242" s="120" t="s">
        <v>331</v>
      </c>
      <c r="B242" s="129"/>
      <c r="C242" s="124"/>
      <c r="D242" s="946"/>
      <c r="E242" s="946"/>
      <c r="F242" s="946"/>
      <c r="G242" s="946"/>
      <c r="H242" s="946"/>
      <c r="I242" s="125"/>
      <c r="J242" s="494"/>
      <c r="K242" s="122">
        <f>B242</f>
        <v>0</v>
      </c>
    </row>
    <row r="243" spans="1:11" ht="10.5" customHeight="1" x14ac:dyDescent="0.2">
      <c r="A243" s="120"/>
      <c r="B243" s="127"/>
      <c r="C243" s="124"/>
      <c r="D243" s="124"/>
      <c r="E243" s="124"/>
      <c r="F243" s="124"/>
      <c r="G243" s="124"/>
      <c r="H243" s="124"/>
      <c r="I243" s="124"/>
      <c r="J243" s="493"/>
      <c r="K243" s="122" t="s">
        <v>332</v>
      </c>
    </row>
    <row r="244" spans="1:11" ht="10.5" customHeight="1" x14ac:dyDescent="0.2">
      <c r="A244" s="957" t="s">
        <v>681</v>
      </c>
      <c r="B244" s="958"/>
      <c r="C244" s="951"/>
      <c r="D244" s="951"/>
      <c r="E244" s="951"/>
      <c r="F244" s="951"/>
      <c r="G244" s="951"/>
      <c r="H244" s="951"/>
      <c r="I244" s="951"/>
      <c r="J244" s="144"/>
      <c r="K244" s="122" t="e">
        <f>J240</f>
        <v>#REF!</v>
      </c>
    </row>
    <row r="245" spans="1:11" ht="10.5" customHeight="1" x14ac:dyDescent="0.2">
      <c r="A245" s="120" t="s">
        <v>333</v>
      </c>
      <c r="B245" s="127"/>
      <c r="C245" s="124"/>
      <c r="D245" s="124"/>
      <c r="E245" s="124"/>
      <c r="F245" s="124"/>
      <c r="G245" s="124"/>
      <c r="H245" s="124"/>
      <c r="I245" s="124"/>
      <c r="J245" s="493"/>
      <c r="K245" s="122" t="s">
        <v>334</v>
      </c>
    </row>
    <row r="246" spans="1:11" ht="10.5" customHeight="1" x14ac:dyDescent="0.2">
      <c r="A246" s="120" t="s">
        <v>335</v>
      </c>
      <c r="B246" s="133"/>
      <c r="C246" s="134"/>
      <c r="D246" s="134"/>
      <c r="E246" s="134"/>
      <c r="F246" s="134"/>
      <c r="G246" s="134"/>
      <c r="H246" s="124"/>
      <c r="I246" s="124"/>
      <c r="J246" s="493"/>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92"/>
      <c r="K248" s="118"/>
    </row>
    <row r="249" spans="1:11" ht="10.5" customHeight="1" x14ac:dyDescent="0.2">
      <c r="A249" s="120" t="s">
        <v>325</v>
      </c>
      <c r="B249" s="952">
        <f>$B$2</f>
        <v>0</v>
      </c>
      <c r="C249" s="952"/>
      <c r="D249" s="934" t="s">
        <v>326</v>
      </c>
      <c r="E249" s="934"/>
      <c r="F249" s="934"/>
      <c r="G249" s="934"/>
      <c r="H249" s="953">
        <f>$H$2</f>
        <v>45739</v>
      </c>
      <c r="I249" s="954"/>
      <c r="J249" s="493"/>
      <c r="K249" s="122" t="s">
        <v>327</v>
      </c>
    </row>
    <row r="250" spans="1:11" ht="10.5" customHeight="1" x14ac:dyDescent="0.2">
      <c r="A250" s="120"/>
      <c r="B250" s="127"/>
      <c r="C250" s="124"/>
      <c r="D250" s="124"/>
      <c r="E250" s="124"/>
      <c r="F250" s="124"/>
      <c r="G250" s="124"/>
      <c r="H250" s="124"/>
      <c r="I250" s="124"/>
      <c r="J250" s="493"/>
      <c r="K250" s="122">
        <f>$B$2</f>
        <v>0</v>
      </c>
    </row>
    <row r="251" spans="1:11" ht="10.5" customHeight="1" x14ac:dyDescent="0.2">
      <c r="A251" s="120" t="s">
        <v>0</v>
      </c>
      <c r="B251" s="960" t="str">
        <f>$B$4</f>
        <v>адрес вбить сюда</v>
      </c>
      <c r="C251" s="960"/>
      <c r="D251" s="960"/>
      <c r="E251" s="960"/>
      <c r="F251" s="960"/>
      <c r="G251" s="960"/>
      <c r="H251" s="960"/>
      <c r="I251" s="960"/>
      <c r="J251" s="961"/>
      <c r="K251" s="122"/>
    </row>
    <row r="252" spans="1:11" ht="10.5" customHeight="1" x14ac:dyDescent="0.2">
      <c r="A252" s="120"/>
      <c r="B252" s="960"/>
      <c r="C252" s="960"/>
      <c r="D252" s="960"/>
      <c r="E252" s="960"/>
      <c r="F252" s="960"/>
      <c r="G252" s="960"/>
      <c r="H252" s="960"/>
      <c r="I252" s="960"/>
      <c r="J252" s="961"/>
      <c r="K252" s="122" t="s">
        <v>328</v>
      </c>
    </row>
    <row r="253" spans="1:11" ht="10.5" customHeight="1" x14ac:dyDescent="0.2">
      <c r="A253" s="957" t="s">
        <v>329</v>
      </c>
      <c r="B253" s="958"/>
      <c r="C253" s="958"/>
      <c r="D253" s="945" t="str">
        <f>'Акт отбора проб Почва'!F38</f>
        <v>СК1</v>
      </c>
      <c r="E253" s="945"/>
      <c r="F253" s="945"/>
      <c r="G253" s="959" t="s">
        <v>330</v>
      </c>
      <c r="H253" s="959"/>
      <c r="I253" s="959"/>
      <c r="J253" s="491" t="str">
        <f>'Акт отбора проб Почва'!B38</f>
        <v>0,2-1,0</v>
      </c>
      <c r="K253" s="126">
        <f>$H$2</f>
        <v>45739</v>
      </c>
    </row>
    <row r="254" spans="1:11" ht="10.5" customHeight="1" x14ac:dyDescent="0.2">
      <c r="A254" s="120"/>
      <c r="B254" s="127"/>
      <c r="C254" s="124"/>
      <c r="D254" s="128"/>
      <c r="E254" s="128"/>
      <c r="F254" s="128"/>
      <c r="G254" s="125"/>
      <c r="H254" s="125"/>
      <c r="I254" s="125"/>
      <c r="J254" s="494"/>
      <c r="K254" s="122" t="s">
        <v>331</v>
      </c>
    </row>
    <row r="255" spans="1:11" ht="10.5" customHeight="1" x14ac:dyDescent="0.2">
      <c r="A255" s="120" t="s">
        <v>331</v>
      </c>
      <c r="B255" s="129"/>
      <c r="C255" s="124"/>
      <c r="D255" s="128"/>
      <c r="E255" s="128"/>
      <c r="F255" s="128"/>
      <c r="G255" s="125"/>
      <c r="H255" s="125"/>
      <c r="I255" s="125"/>
      <c r="J255" s="494"/>
      <c r="K255" s="122">
        <f>B255</f>
        <v>0</v>
      </c>
    </row>
    <row r="256" spans="1:11" ht="10.5" customHeight="1" x14ac:dyDescent="0.2">
      <c r="A256" s="120"/>
      <c r="B256" s="127"/>
      <c r="C256" s="124"/>
      <c r="D256" s="124"/>
      <c r="E256" s="124"/>
      <c r="F256" s="124"/>
      <c r="G256" s="124"/>
      <c r="H256" s="124"/>
      <c r="I256" s="124"/>
      <c r="J256" s="493"/>
      <c r="K256" s="122" t="s">
        <v>332</v>
      </c>
    </row>
    <row r="257" spans="1:11" ht="10.5" customHeight="1" x14ac:dyDescent="0.2">
      <c r="A257" s="957" t="s">
        <v>681</v>
      </c>
      <c r="B257" s="958"/>
      <c r="C257" s="951"/>
      <c r="D257" s="951"/>
      <c r="E257" s="951"/>
      <c r="F257" s="951"/>
      <c r="G257" s="951"/>
      <c r="H257" s="951"/>
      <c r="I257" s="951"/>
      <c r="J257" s="144"/>
      <c r="K257" s="122" t="str">
        <f>J253</f>
        <v>0,2-1,0</v>
      </c>
    </row>
    <row r="258" spans="1:11" ht="10.5" customHeight="1" x14ac:dyDescent="0.2">
      <c r="A258" s="120" t="s">
        <v>333</v>
      </c>
      <c r="B258" s="127"/>
      <c r="C258" s="124"/>
      <c r="D258" s="124"/>
      <c r="E258" s="124"/>
      <c r="F258" s="124"/>
      <c r="G258" s="124"/>
      <c r="H258" s="124"/>
      <c r="I258" s="124"/>
      <c r="J258" s="493"/>
      <c r="K258" s="122" t="s">
        <v>334</v>
      </c>
    </row>
    <row r="259" spans="1:11" ht="10.5" customHeight="1" x14ac:dyDescent="0.2">
      <c r="A259" s="120" t="s">
        <v>335</v>
      </c>
      <c r="B259" s="133"/>
      <c r="C259" s="134"/>
      <c r="D259" s="134"/>
      <c r="E259" s="134"/>
      <c r="F259" s="134"/>
      <c r="G259" s="134"/>
      <c r="H259" s="124"/>
      <c r="I259" s="124"/>
      <c r="J259" s="493"/>
      <c r="K259" s="122"/>
    </row>
    <row r="260" spans="1:11" ht="10.5" customHeight="1" thickBot="1" x14ac:dyDescent="0.25">
      <c r="A260" s="145"/>
      <c r="B260" s="146"/>
      <c r="C260" s="147" t="s">
        <v>336</v>
      </c>
      <c r="D260" s="147"/>
      <c r="E260" s="147"/>
      <c r="F260" s="147"/>
      <c r="G260" s="147"/>
      <c r="H260" s="147"/>
      <c r="I260" s="147"/>
      <c r="J260" s="394"/>
      <c r="K260" s="139"/>
    </row>
  </sheetData>
  <mergeCells count="199">
    <mergeCell ref="B2:C2"/>
    <mergeCell ref="D2:G2"/>
    <mergeCell ref="H2:I2"/>
    <mergeCell ref="B4:J5"/>
    <mergeCell ref="A6:C6"/>
    <mergeCell ref="D6:F6"/>
    <mergeCell ref="G6:I6"/>
    <mergeCell ref="D8:H8"/>
    <mergeCell ref="A10:B10"/>
    <mergeCell ref="C10:I10"/>
    <mergeCell ref="B15:C15"/>
    <mergeCell ref="D15:G15"/>
    <mergeCell ref="H15:I15"/>
    <mergeCell ref="B17:J18"/>
    <mergeCell ref="A19:C19"/>
    <mergeCell ref="D19:F19"/>
    <mergeCell ref="G19:I19"/>
    <mergeCell ref="D21:H21"/>
    <mergeCell ref="A23:B23"/>
    <mergeCell ref="C23:I23"/>
    <mergeCell ref="B28:C28"/>
    <mergeCell ref="D28:G28"/>
    <mergeCell ref="H28:I28"/>
    <mergeCell ref="B30:J31"/>
    <mergeCell ref="A32:C32"/>
    <mergeCell ref="D32:F32"/>
    <mergeCell ref="G32:I32"/>
    <mergeCell ref="D35:H35"/>
    <mergeCell ref="A36:B36"/>
    <mergeCell ref="C36:I36"/>
    <mergeCell ref="B41:C41"/>
    <mergeCell ref="D41:G41"/>
    <mergeCell ref="H41:I41"/>
    <mergeCell ref="B43:J44"/>
    <mergeCell ref="A45:C45"/>
    <mergeCell ref="D45:F45"/>
    <mergeCell ref="G45:I45"/>
    <mergeCell ref="D47:H47"/>
    <mergeCell ref="A49:B49"/>
    <mergeCell ref="C49:I49"/>
    <mergeCell ref="B54:C54"/>
    <mergeCell ref="D54:G54"/>
    <mergeCell ref="H54:I54"/>
    <mergeCell ref="B56:J57"/>
    <mergeCell ref="A58:C58"/>
    <mergeCell ref="D58:F58"/>
    <mergeCell ref="G58:I58"/>
    <mergeCell ref="D60:H60"/>
    <mergeCell ref="A62:B62"/>
    <mergeCell ref="C62:I62"/>
    <mergeCell ref="B67:C67"/>
    <mergeCell ref="D67:G67"/>
    <mergeCell ref="H67:I67"/>
    <mergeCell ref="B69:J70"/>
    <mergeCell ref="A71:C71"/>
    <mergeCell ref="D71:F71"/>
    <mergeCell ref="G71:I71"/>
    <mergeCell ref="D74:H74"/>
    <mergeCell ref="A75:B75"/>
    <mergeCell ref="C75:I75"/>
    <mergeCell ref="B80:C80"/>
    <mergeCell ref="D80:G80"/>
    <mergeCell ref="H80:I80"/>
    <mergeCell ref="B82:J83"/>
    <mergeCell ref="A84:C84"/>
    <mergeCell ref="D84:F84"/>
    <mergeCell ref="G84:I84"/>
    <mergeCell ref="D86:H86"/>
    <mergeCell ref="A88:B88"/>
    <mergeCell ref="C88:I88"/>
    <mergeCell ref="B93:C93"/>
    <mergeCell ref="D93:G93"/>
    <mergeCell ref="H93:I93"/>
    <mergeCell ref="B95:J96"/>
    <mergeCell ref="A97:C97"/>
    <mergeCell ref="D97:F97"/>
    <mergeCell ref="G97:I97"/>
    <mergeCell ref="D99:H99"/>
    <mergeCell ref="A101:B101"/>
    <mergeCell ref="C101:I101"/>
    <mergeCell ref="B106:C106"/>
    <mergeCell ref="D106:G106"/>
    <mergeCell ref="H106:I106"/>
    <mergeCell ref="B108:J109"/>
    <mergeCell ref="A110:C110"/>
    <mergeCell ref="D110:F110"/>
    <mergeCell ref="G110:I110"/>
    <mergeCell ref="D112:H112"/>
    <mergeCell ref="A114:B114"/>
    <mergeCell ref="C114:I114"/>
    <mergeCell ref="B119:C119"/>
    <mergeCell ref="D119:G119"/>
    <mergeCell ref="H119:I119"/>
    <mergeCell ref="B121:J122"/>
    <mergeCell ref="A123:C123"/>
    <mergeCell ref="D123:F123"/>
    <mergeCell ref="G123:I123"/>
    <mergeCell ref="D125:H125"/>
    <mergeCell ref="A127:B127"/>
    <mergeCell ref="C127:I127"/>
    <mergeCell ref="B132:C132"/>
    <mergeCell ref="D132:G132"/>
    <mergeCell ref="H132:I132"/>
    <mergeCell ref="B134:J135"/>
    <mergeCell ref="A136:C136"/>
    <mergeCell ref="D136:F136"/>
    <mergeCell ref="G136:I136"/>
    <mergeCell ref="D138:H138"/>
    <mergeCell ref="A140:B140"/>
    <mergeCell ref="C140:I140"/>
    <mergeCell ref="B145:C145"/>
    <mergeCell ref="D145:G145"/>
    <mergeCell ref="H145:I145"/>
    <mergeCell ref="B147:J148"/>
    <mergeCell ref="A149:C149"/>
    <mergeCell ref="D149:F149"/>
    <mergeCell ref="G149:I149"/>
    <mergeCell ref="D151:H151"/>
    <mergeCell ref="A153:B153"/>
    <mergeCell ref="C153:I153"/>
    <mergeCell ref="B158:C158"/>
    <mergeCell ref="D158:G158"/>
    <mergeCell ref="H158:I158"/>
    <mergeCell ref="B160:J161"/>
    <mergeCell ref="A162:C162"/>
    <mergeCell ref="D162:F162"/>
    <mergeCell ref="G162:I162"/>
    <mergeCell ref="D164:H164"/>
    <mergeCell ref="A166:B166"/>
    <mergeCell ref="C166:I166"/>
    <mergeCell ref="B171:C171"/>
    <mergeCell ref="D171:G171"/>
    <mergeCell ref="H171:I171"/>
    <mergeCell ref="B173:J174"/>
    <mergeCell ref="A175:C175"/>
    <mergeCell ref="D175:F175"/>
    <mergeCell ref="G175:I175"/>
    <mergeCell ref="D177:H177"/>
    <mergeCell ref="A179:B179"/>
    <mergeCell ref="C179:I179"/>
    <mergeCell ref="B184:C184"/>
    <mergeCell ref="D184:G184"/>
    <mergeCell ref="H184:I184"/>
    <mergeCell ref="B186:J187"/>
    <mergeCell ref="A188:C188"/>
    <mergeCell ref="D188:F188"/>
    <mergeCell ref="G188:I188"/>
    <mergeCell ref="D190:H190"/>
    <mergeCell ref="A192:B192"/>
    <mergeCell ref="C192:I192"/>
    <mergeCell ref="B197:C197"/>
    <mergeCell ref="D197:G197"/>
    <mergeCell ref="H197:I197"/>
    <mergeCell ref="B199:J200"/>
    <mergeCell ref="A201:C201"/>
    <mergeCell ref="D201:F201"/>
    <mergeCell ref="G201:I201"/>
    <mergeCell ref="D203:H203"/>
    <mergeCell ref="A205:B205"/>
    <mergeCell ref="C205:I205"/>
    <mergeCell ref="B210:C210"/>
    <mergeCell ref="D210:G210"/>
    <mergeCell ref="H210:I210"/>
    <mergeCell ref="B212:J213"/>
    <mergeCell ref="A214:C214"/>
    <mergeCell ref="D214:F214"/>
    <mergeCell ref="G214:I214"/>
    <mergeCell ref="D216:H216"/>
    <mergeCell ref="A218:B218"/>
    <mergeCell ref="C218:I218"/>
    <mergeCell ref="B223:C223"/>
    <mergeCell ref="D223:G223"/>
    <mergeCell ref="H223:I223"/>
    <mergeCell ref="B225:J226"/>
    <mergeCell ref="A227:C227"/>
    <mergeCell ref="D227:F227"/>
    <mergeCell ref="G227:I227"/>
    <mergeCell ref="D229:H229"/>
    <mergeCell ref="A231:B231"/>
    <mergeCell ref="C231:I231"/>
    <mergeCell ref="B236:C236"/>
    <mergeCell ref="D236:G236"/>
    <mergeCell ref="H236:I236"/>
    <mergeCell ref="B238:J239"/>
    <mergeCell ref="A240:C240"/>
    <mergeCell ref="D240:F240"/>
    <mergeCell ref="G240:I240"/>
    <mergeCell ref="D242:H242"/>
    <mergeCell ref="A244:B244"/>
    <mergeCell ref="C244:I244"/>
    <mergeCell ref="B249:C249"/>
    <mergeCell ref="D249:G249"/>
    <mergeCell ref="H249:I249"/>
    <mergeCell ref="B251:J252"/>
    <mergeCell ref="A253:C253"/>
    <mergeCell ref="D253:F253"/>
    <mergeCell ref="G253:I253"/>
    <mergeCell ref="A257:B257"/>
    <mergeCell ref="C257:I257"/>
  </mergeCells>
  <pageMargins left="0.46" right="0.24" top="0.48" bottom="0.59055118110236227" header="0.16" footer="0.31496062992125984"/>
  <pageSetup paperSize="9" scale="95" orientation="portrait" r:id="rId1"/>
  <headerFooter alignWithMargins="0"/>
  <rowBreaks count="2" manualBreakCount="2">
    <brk id="78" max="9" man="1"/>
    <brk id="156" max="9"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M949"/>
  <sheetViews>
    <sheetView view="pageBreakPreview" topLeftCell="A169" zoomScaleNormal="100" workbookViewId="0">
      <selection activeCell="J201" sqref="J201"/>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44" customWidth="1"/>
    <col min="11" max="11" width="18.85546875" customWidth="1"/>
  </cols>
  <sheetData>
    <row r="1" spans="1:13" s="119" customFormat="1" ht="10.5" customHeight="1" x14ac:dyDescent="0.2">
      <c r="A1" s="115"/>
      <c r="B1" s="116"/>
      <c r="C1" s="117"/>
      <c r="D1" s="117"/>
      <c r="E1" s="117"/>
      <c r="F1" s="117"/>
      <c r="G1" s="117"/>
      <c r="H1" s="117"/>
      <c r="I1" s="117"/>
      <c r="J1" s="436"/>
      <c r="K1" s="118"/>
    </row>
    <row r="2" spans="1:13" s="119" customFormat="1" ht="10.5" customHeight="1" x14ac:dyDescent="0.2">
      <c r="A2" s="120" t="s">
        <v>325</v>
      </c>
      <c r="B2" s="952" t="e">
        <f>#REF!</f>
        <v>#REF!</v>
      </c>
      <c r="C2" s="952"/>
      <c r="D2" s="934" t="s">
        <v>326</v>
      </c>
      <c r="E2" s="934"/>
      <c r="F2" s="934"/>
      <c r="G2" s="934"/>
      <c r="H2" s="953">
        <f>'Акт отбора проб Почва'!E9</f>
        <v>45739</v>
      </c>
      <c r="I2" s="954"/>
      <c r="J2" s="437"/>
      <c r="K2" s="122" t="s">
        <v>327</v>
      </c>
    </row>
    <row r="3" spans="1:13" s="119" customFormat="1" ht="10.5" customHeight="1" x14ac:dyDescent="0.2">
      <c r="A3" s="120"/>
      <c r="B3" s="123"/>
      <c r="C3" s="121"/>
      <c r="D3" s="121"/>
      <c r="E3" s="121"/>
      <c r="F3" s="121"/>
      <c r="G3" s="121"/>
      <c r="H3" s="121"/>
      <c r="I3" s="121"/>
      <c r="J3" s="437"/>
      <c r="K3" s="122" t="e">
        <f>$B$2</f>
        <v>#REF!</v>
      </c>
    </row>
    <row r="4" spans="1:13" s="119" customFormat="1" ht="10.5" customHeight="1" x14ac:dyDescent="0.2">
      <c r="A4" s="120" t="s">
        <v>0</v>
      </c>
      <c r="B4" s="955" t="s">
        <v>969</v>
      </c>
      <c r="C4" s="955"/>
      <c r="D4" s="955"/>
      <c r="E4" s="955"/>
      <c r="F4" s="955"/>
      <c r="G4" s="955"/>
      <c r="H4" s="955"/>
      <c r="I4" s="955"/>
      <c r="J4" s="956"/>
      <c r="K4" s="122"/>
    </row>
    <row r="5" spans="1:13" s="119" customFormat="1" ht="10.5" customHeight="1" x14ac:dyDescent="0.2">
      <c r="A5" s="120"/>
      <c r="B5" s="955"/>
      <c r="C5" s="955"/>
      <c r="D5" s="955"/>
      <c r="E5" s="955"/>
      <c r="F5" s="955"/>
      <c r="G5" s="955"/>
      <c r="H5" s="955"/>
      <c r="I5" s="955"/>
      <c r="J5" s="956"/>
      <c r="K5" s="122" t="s">
        <v>328</v>
      </c>
    </row>
    <row r="6" spans="1:13" s="119" customFormat="1" ht="10.5" customHeight="1" x14ac:dyDescent="0.2">
      <c r="A6" s="957" t="s">
        <v>329</v>
      </c>
      <c r="B6" s="958"/>
      <c r="C6" s="958"/>
      <c r="D6" s="941" t="str">
        <f>'Акт отбора проб ДО'!F20</f>
        <v>ДО1</v>
      </c>
      <c r="E6" s="941"/>
      <c r="F6" s="941"/>
      <c r="G6" s="959" t="s">
        <v>330</v>
      </c>
      <c r="H6" s="959"/>
      <c r="I6" s="959"/>
      <c r="J6" s="438" t="str">
        <f>'Акт отбора проб ДО'!B20</f>
        <v>0,0-0,2</v>
      </c>
      <c r="K6" s="126">
        <f>H2</f>
        <v>45739</v>
      </c>
    </row>
    <row r="7" spans="1:13" s="119" customFormat="1" ht="10.5" customHeight="1" x14ac:dyDescent="0.2">
      <c r="A7" s="120"/>
      <c r="B7" s="127"/>
      <c r="C7" s="124"/>
      <c r="D7" s="128"/>
      <c r="E7" s="128"/>
      <c r="F7" s="128"/>
      <c r="G7" s="125"/>
      <c r="H7" s="125"/>
      <c r="I7" s="125"/>
      <c r="J7" s="439"/>
      <c r="K7" s="122" t="s">
        <v>331</v>
      </c>
    </row>
    <row r="8" spans="1:13" s="119" customFormat="1" ht="10.5" customHeight="1" x14ac:dyDescent="0.2">
      <c r="A8" s="120" t="s">
        <v>331</v>
      </c>
      <c r="B8" s="129" t="str">
        <f>'Акт отбора проб ДО'!C20</f>
        <v>01БХ.01</v>
      </c>
      <c r="C8" s="124"/>
      <c r="D8" s="946"/>
      <c r="E8" s="946"/>
      <c r="F8" s="946"/>
      <c r="G8" s="946"/>
      <c r="H8" s="946"/>
      <c r="I8" s="125"/>
      <c r="J8" s="439"/>
      <c r="K8" s="122" t="str">
        <f>B8</f>
        <v>01БХ.01</v>
      </c>
    </row>
    <row r="9" spans="1:13" s="119" customFormat="1" ht="10.5" customHeight="1" x14ac:dyDescent="0.2">
      <c r="A9" s="120"/>
      <c r="B9" s="127"/>
      <c r="C9" s="124"/>
      <c r="D9" s="124"/>
      <c r="E9" s="124"/>
      <c r="F9" s="124"/>
      <c r="G9" s="124"/>
      <c r="H9" s="124"/>
      <c r="I9" s="124"/>
      <c r="J9" s="437"/>
      <c r="K9" s="122" t="s">
        <v>332</v>
      </c>
      <c r="M9" s="130"/>
    </row>
    <row r="10" spans="1:13" s="119" customFormat="1" ht="10.5" customHeight="1" x14ac:dyDescent="0.2">
      <c r="A10" s="957" t="s">
        <v>681</v>
      </c>
      <c r="B10" s="958"/>
      <c r="C10" s="947"/>
      <c r="D10" s="947"/>
      <c r="E10" s="947"/>
      <c r="F10" s="947"/>
      <c r="G10" s="947"/>
      <c r="H10" s="947"/>
      <c r="I10" s="947"/>
      <c r="J10" s="131"/>
      <c r="K10" s="122" t="str">
        <f>J6</f>
        <v>0,0-0,2</v>
      </c>
    </row>
    <row r="11" spans="1:13" s="119" customFormat="1" ht="10.5" customHeight="1" x14ac:dyDescent="0.2">
      <c r="A11" s="120" t="s">
        <v>333</v>
      </c>
      <c r="B11" s="127"/>
      <c r="C11" s="124"/>
      <c r="D11" s="132"/>
      <c r="E11" s="132"/>
      <c r="F11" s="132"/>
      <c r="G11" s="124"/>
      <c r="H11" s="124"/>
      <c r="I11" s="124"/>
      <c r="J11" s="437"/>
      <c r="K11" s="122" t="s">
        <v>334</v>
      </c>
    </row>
    <row r="12" spans="1:13" s="119" customFormat="1" ht="10.5" customHeight="1" x14ac:dyDescent="0.2">
      <c r="A12" s="120" t="s">
        <v>335</v>
      </c>
      <c r="B12" s="133"/>
      <c r="C12" s="134"/>
      <c r="D12" s="134"/>
      <c r="E12" s="134"/>
      <c r="F12" s="134"/>
      <c r="G12" s="134"/>
      <c r="H12" s="124"/>
      <c r="I12" s="124"/>
      <c r="J12" s="437"/>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40"/>
      <c r="K14" s="118"/>
    </row>
    <row r="15" spans="1:13" s="119" customFormat="1" ht="10.5" customHeight="1" x14ac:dyDescent="0.2">
      <c r="A15" s="120" t="s">
        <v>325</v>
      </c>
      <c r="B15" s="952" t="e">
        <f>$B$2</f>
        <v>#REF!</v>
      </c>
      <c r="C15" s="952"/>
      <c r="D15" s="934" t="s">
        <v>326</v>
      </c>
      <c r="E15" s="934"/>
      <c r="F15" s="934"/>
      <c r="G15" s="934"/>
      <c r="H15" s="953">
        <f>$H$2</f>
        <v>45739</v>
      </c>
      <c r="I15" s="954"/>
      <c r="J15" s="441"/>
      <c r="K15" s="122" t="s">
        <v>327</v>
      </c>
    </row>
    <row r="16" spans="1:13" s="119" customFormat="1" ht="10.5" customHeight="1" x14ac:dyDescent="0.2">
      <c r="A16" s="120"/>
      <c r="B16" s="127"/>
      <c r="C16" s="124"/>
      <c r="D16" s="124"/>
      <c r="E16" s="124"/>
      <c r="F16" s="124"/>
      <c r="G16" s="124"/>
      <c r="H16" s="124"/>
      <c r="I16" s="124"/>
      <c r="J16" s="441"/>
      <c r="K16" s="122" t="e">
        <f>$B$2</f>
        <v>#REF!</v>
      </c>
    </row>
    <row r="17" spans="1:11" s="119" customFormat="1" ht="10.5" customHeight="1" x14ac:dyDescent="0.2">
      <c r="A17" s="120" t="s">
        <v>0</v>
      </c>
      <c r="B17" s="960" t="str">
        <f>$B$4</f>
        <v>адрес вбить сюда</v>
      </c>
      <c r="C17" s="960"/>
      <c r="D17" s="960"/>
      <c r="E17" s="960"/>
      <c r="F17" s="960"/>
      <c r="G17" s="960"/>
      <c r="H17" s="960"/>
      <c r="I17" s="960"/>
      <c r="J17" s="961"/>
      <c r="K17" s="122"/>
    </row>
    <row r="18" spans="1:11" s="119" customFormat="1" ht="10.5" customHeight="1" x14ac:dyDescent="0.2">
      <c r="A18" s="120"/>
      <c r="B18" s="960"/>
      <c r="C18" s="960"/>
      <c r="D18" s="960"/>
      <c r="E18" s="960"/>
      <c r="F18" s="960"/>
      <c r="G18" s="960"/>
      <c r="H18" s="960"/>
      <c r="I18" s="960"/>
      <c r="J18" s="961"/>
      <c r="K18" s="122" t="s">
        <v>328</v>
      </c>
    </row>
    <row r="19" spans="1:11" s="119" customFormat="1" ht="10.5" customHeight="1" x14ac:dyDescent="0.2">
      <c r="A19" s="957" t="s">
        <v>329</v>
      </c>
      <c r="B19" s="958"/>
      <c r="C19" s="958"/>
      <c r="D19" s="945" t="str">
        <f>'Акт отбора проб ДО'!F21</f>
        <v>ДО2</v>
      </c>
      <c r="E19" s="945"/>
      <c r="F19" s="945"/>
      <c r="G19" s="959" t="s">
        <v>330</v>
      </c>
      <c r="H19" s="959"/>
      <c r="I19" s="959"/>
      <c r="J19" s="438" t="str">
        <f>J6</f>
        <v>0,0-0,2</v>
      </c>
      <c r="K19" s="126">
        <f>$H$2</f>
        <v>45739</v>
      </c>
    </row>
    <row r="20" spans="1:11" s="119" customFormat="1" ht="10.5" customHeight="1" x14ac:dyDescent="0.2">
      <c r="A20" s="120"/>
      <c r="B20" s="127"/>
      <c r="C20" s="124"/>
      <c r="D20" s="128"/>
      <c r="E20" s="128"/>
      <c r="F20" s="128"/>
      <c r="G20" s="125"/>
      <c r="H20" s="125"/>
      <c r="I20" s="125"/>
      <c r="J20" s="442"/>
      <c r="K20" s="122" t="s">
        <v>331</v>
      </c>
    </row>
    <row r="21" spans="1:11" s="119" customFormat="1" ht="10.5" customHeight="1" x14ac:dyDescent="0.2">
      <c r="A21" s="120" t="s">
        <v>331</v>
      </c>
      <c r="B21" s="129" t="str">
        <f>'Акт отбора проб ДО'!C21</f>
        <v>02БХ.01</v>
      </c>
      <c r="C21" s="124"/>
      <c r="D21" s="946"/>
      <c r="E21" s="946"/>
      <c r="F21" s="946"/>
      <c r="G21" s="946"/>
      <c r="H21" s="946"/>
      <c r="I21" s="125"/>
      <c r="J21" s="442"/>
      <c r="K21" s="122" t="str">
        <f>B21</f>
        <v>02БХ.01</v>
      </c>
    </row>
    <row r="22" spans="1:11" s="119" customFormat="1" ht="10.5" customHeight="1" x14ac:dyDescent="0.2">
      <c r="A22" s="120"/>
      <c r="B22" s="127"/>
      <c r="C22" s="124"/>
      <c r="D22" s="124"/>
      <c r="E22" s="124"/>
      <c r="F22" s="124"/>
      <c r="G22" s="124"/>
      <c r="H22" s="124"/>
      <c r="I22" s="124"/>
      <c r="J22" s="441"/>
      <c r="K22" s="122" t="s">
        <v>332</v>
      </c>
    </row>
    <row r="23" spans="1:11" s="119" customFormat="1" ht="10.5" customHeight="1" x14ac:dyDescent="0.2">
      <c r="A23" s="957" t="s">
        <v>681</v>
      </c>
      <c r="B23" s="958"/>
      <c r="C23" s="947"/>
      <c r="D23" s="947"/>
      <c r="E23" s="947"/>
      <c r="F23" s="947"/>
      <c r="G23" s="947"/>
      <c r="H23" s="947"/>
      <c r="I23" s="947"/>
      <c r="J23" s="144"/>
      <c r="K23" s="122" t="str">
        <f>J19</f>
        <v>0,0-0,2</v>
      </c>
    </row>
    <row r="24" spans="1:11" s="119" customFormat="1" ht="10.5" customHeight="1" x14ac:dyDescent="0.2">
      <c r="A24" s="120" t="s">
        <v>333</v>
      </c>
      <c r="B24" s="127"/>
      <c r="C24" s="124"/>
      <c r="D24" s="124"/>
      <c r="E24" s="124"/>
      <c r="F24" s="124"/>
      <c r="G24" s="124"/>
      <c r="H24" s="124"/>
      <c r="I24" s="124"/>
      <c r="J24" s="441"/>
      <c r="K24" s="122" t="s">
        <v>334</v>
      </c>
    </row>
    <row r="25" spans="1:11" s="119" customFormat="1" ht="10.5" customHeight="1" x14ac:dyDescent="0.2">
      <c r="A25" s="120" t="s">
        <v>335</v>
      </c>
      <c r="B25" s="133"/>
      <c r="C25" s="134"/>
      <c r="D25" s="134"/>
      <c r="E25" s="134"/>
      <c r="F25" s="134"/>
      <c r="G25" s="134"/>
      <c r="H25" s="124"/>
      <c r="I25" s="124"/>
      <c r="J25" s="441"/>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40"/>
      <c r="K27" s="118"/>
    </row>
    <row r="28" spans="1:11" s="119" customFormat="1" ht="10.5" customHeight="1" x14ac:dyDescent="0.2">
      <c r="A28" s="120" t="s">
        <v>325</v>
      </c>
      <c r="B28" s="952" t="e">
        <f>$B$2</f>
        <v>#REF!</v>
      </c>
      <c r="C28" s="952"/>
      <c r="D28" s="934" t="s">
        <v>326</v>
      </c>
      <c r="E28" s="934"/>
      <c r="F28" s="934"/>
      <c r="G28" s="934"/>
      <c r="H28" s="953">
        <f>$H$2</f>
        <v>45739</v>
      </c>
      <c r="I28" s="954"/>
      <c r="J28" s="441"/>
      <c r="K28" s="122" t="s">
        <v>327</v>
      </c>
    </row>
    <row r="29" spans="1:11" s="119" customFormat="1" ht="10.5" customHeight="1" x14ac:dyDescent="0.2">
      <c r="A29" s="120"/>
      <c r="B29" s="127"/>
      <c r="C29" s="124"/>
      <c r="D29" s="124"/>
      <c r="E29" s="124"/>
      <c r="F29" s="124"/>
      <c r="G29" s="124"/>
      <c r="H29" s="124"/>
      <c r="I29" s="124"/>
      <c r="J29" s="441"/>
      <c r="K29" s="122" t="e">
        <f>$B$2</f>
        <v>#REF!</v>
      </c>
    </row>
    <row r="30" spans="1:11" s="119" customFormat="1" ht="10.5" customHeight="1" x14ac:dyDescent="0.2">
      <c r="A30" s="120" t="s">
        <v>0</v>
      </c>
      <c r="B30" s="960" t="str">
        <f>B4</f>
        <v>адрес вбить сюда</v>
      </c>
      <c r="C30" s="960"/>
      <c r="D30" s="960"/>
      <c r="E30" s="960"/>
      <c r="F30" s="960"/>
      <c r="G30" s="960"/>
      <c r="H30" s="960"/>
      <c r="I30" s="960"/>
      <c r="J30" s="961"/>
      <c r="K30" s="122"/>
    </row>
    <row r="31" spans="1:11" s="119" customFormat="1" ht="10.5" customHeight="1" x14ac:dyDescent="0.2">
      <c r="A31" s="120"/>
      <c r="B31" s="960"/>
      <c r="C31" s="960"/>
      <c r="D31" s="960"/>
      <c r="E31" s="960"/>
      <c r="F31" s="960"/>
      <c r="G31" s="960"/>
      <c r="H31" s="960"/>
      <c r="I31" s="960"/>
      <c r="J31" s="961"/>
      <c r="K31" s="122" t="s">
        <v>328</v>
      </c>
    </row>
    <row r="32" spans="1:11" s="119" customFormat="1" ht="10.5" customHeight="1" x14ac:dyDescent="0.2">
      <c r="A32" s="957" t="s">
        <v>329</v>
      </c>
      <c r="B32" s="958"/>
      <c r="C32" s="958"/>
      <c r="D32" s="945" t="str">
        <f>'Акт отбора проб ДО'!F22</f>
        <v>ДО3</v>
      </c>
      <c r="E32" s="945"/>
      <c r="F32" s="945"/>
      <c r="G32" s="959" t="s">
        <v>330</v>
      </c>
      <c r="H32" s="959"/>
      <c r="I32" s="959"/>
      <c r="J32" s="438" t="str">
        <f>J19</f>
        <v>0,0-0,2</v>
      </c>
      <c r="K32" s="126">
        <f>$H$2</f>
        <v>45739</v>
      </c>
    </row>
    <row r="33" spans="1:11" s="119" customFormat="1" ht="10.5" customHeight="1" x14ac:dyDescent="0.2">
      <c r="A33" s="120"/>
      <c r="B33" s="127"/>
      <c r="C33" s="124"/>
      <c r="D33" s="128"/>
      <c r="E33" s="128"/>
      <c r="F33" s="128"/>
      <c r="G33" s="125"/>
      <c r="H33" s="125"/>
      <c r="I33" s="125"/>
      <c r="J33" s="442"/>
      <c r="K33" s="122" t="s">
        <v>331</v>
      </c>
    </row>
    <row r="34" spans="1:11" s="119" customFormat="1" ht="10.5" customHeight="1" x14ac:dyDescent="0.2">
      <c r="A34" s="120" t="s">
        <v>331</v>
      </c>
      <c r="B34" s="129" t="str">
        <f>'Акт отбора проб ДО'!C22</f>
        <v>03БХ.01</v>
      </c>
      <c r="C34" s="124"/>
      <c r="D34" s="128"/>
      <c r="E34" s="128"/>
      <c r="F34" s="128"/>
      <c r="G34" s="125"/>
      <c r="H34" s="125"/>
      <c r="I34" s="125"/>
      <c r="J34" s="442"/>
      <c r="K34" s="122" t="str">
        <f>B34</f>
        <v>03БХ.01</v>
      </c>
    </row>
    <row r="35" spans="1:11" s="119" customFormat="1" ht="10.5" customHeight="1" x14ac:dyDescent="0.2">
      <c r="A35" s="120"/>
      <c r="B35" s="127"/>
      <c r="C35" s="124"/>
      <c r="D35" s="946"/>
      <c r="E35" s="946"/>
      <c r="F35" s="946"/>
      <c r="G35" s="946"/>
      <c r="H35" s="946"/>
      <c r="I35" s="124"/>
      <c r="J35" s="441"/>
      <c r="K35" s="122" t="s">
        <v>332</v>
      </c>
    </row>
    <row r="36" spans="1:11" s="119" customFormat="1" ht="10.5" customHeight="1" x14ac:dyDescent="0.2">
      <c r="A36" s="957" t="s">
        <v>681</v>
      </c>
      <c r="B36" s="958"/>
      <c r="C36" s="947"/>
      <c r="D36" s="947"/>
      <c r="E36" s="947"/>
      <c r="F36" s="947"/>
      <c r="G36" s="947"/>
      <c r="H36" s="947"/>
      <c r="I36" s="947"/>
      <c r="J36" s="144"/>
      <c r="K36" s="122" t="str">
        <f>J32</f>
        <v>0,0-0,2</v>
      </c>
    </row>
    <row r="37" spans="1:11" s="119" customFormat="1" ht="10.5" customHeight="1" x14ac:dyDescent="0.2">
      <c r="A37" s="120" t="s">
        <v>333</v>
      </c>
      <c r="B37" s="127"/>
      <c r="C37" s="124"/>
      <c r="D37" s="124"/>
      <c r="E37" s="124"/>
      <c r="F37" s="124"/>
      <c r="G37" s="124"/>
      <c r="H37" s="124"/>
      <c r="I37" s="124"/>
      <c r="J37" s="441"/>
      <c r="K37" s="122" t="s">
        <v>334</v>
      </c>
    </row>
    <row r="38" spans="1:11" s="119" customFormat="1" ht="10.5" customHeight="1" x14ac:dyDescent="0.2">
      <c r="A38" s="120" t="s">
        <v>335</v>
      </c>
      <c r="B38" s="133"/>
      <c r="C38" s="134"/>
      <c r="D38" s="134"/>
      <c r="E38" s="134"/>
      <c r="F38" s="134"/>
      <c r="G38" s="134"/>
      <c r="H38" s="124"/>
      <c r="I38" s="124"/>
      <c r="J38" s="441"/>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40"/>
      <c r="K40" s="118"/>
    </row>
    <row r="41" spans="1:11" s="119" customFormat="1" ht="10.5" customHeight="1" x14ac:dyDescent="0.2">
      <c r="A41" s="120" t="s">
        <v>325</v>
      </c>
      <c r="B41" s="952" t="e">
        <f>B2</f>
        <v>#REF!</v>
      </c>
      <c r="C41" s="952"/>
      <c r="D41" s="934" t="s">
        <v>326</v>
      </c>
      <c r="E41" s="934"/>
      <c r="F41" s="934"/>
      <c r="G41" s="934"/>
      <c r="H41" s="953">
        <f>$H$2</f>
        <v>45739</v>
      </c>
      <c r="I41" s="954"/>
      <c r="J41" s="441"/>
      <c r="K41" s="122" t="s">
        <v>327</v>
      </c>
    </row>
    <row r="42" spans="1:11" s="119" customFormat="1" ht="10.5" customHeight="1" x14ac:dyDescent="0.2">
      <c r="A42" s="120"/>
      <c r="B42" s="127"/>
      <c r="C42" s="124"/>
      <c r="D42" s="124"/>
      <c r="E42" s="124"/>
      <c r="F42" s="124"/>
      <c r="G42" s="124"/>
      <c r="H42" s="124"/>
      <c r="I42" s="124"/>
      <c r="J42" s="441"/>
      <c r="K42" s="122" t="e">
        <f>$B$2</f>
        <v>#REF!</v>
      </c>
    </row>
    <row r="43" spans="1:11" s="119" customFormat="1" ht="10.5" customHeight="1" x14ac:dyDescent="0.2">
      <c r="A43" s="120" t="s">
        <v>0</v>
      </c>
      <c r="B43" s="960" t="str">
        <f>$B$4</f>
        <v>адрес вбить сюда</v>
      </c>
      <c r="C43" s="960"/>
      <c r="D43" s="960"/>
      <c r="E43" s="960"/>
      <c r="F43" s="960"/>
      <c r="G43" s="960"/>
      <c r="H43" s="960"/>
      <c r="I43" s="960"/>
      <c r="J43" s="961"/>
      <c r="K43" s="122"/>
    </row>
    <row r="44" spans="1:11" s="119" customFormat="1" ht="10.5" customHeight="1" x14ac:dyDescent="0.2">
      <c r="A44" s="120"/>
      <c r="B44" s="960"/>
      <c r="C44" s="960"/>
      <c r="D44" s="960"/>
      <c r="E44" s="960"/>
      <c r="F44" s="960"/>
      <c r="G44" s="960"/>
      <c r="H44" s="960"/>
      <c r="I44" s="960"/>
      <c r="J44" s="961"/>
      <c r="K44" s="122" t="s">
        <v>328</v>
      </c>
    </row>
    <row r="45" spans="1:11" s="119" customFormat="1" ht="10.5" customHeight="1" x14ac:dyDescent="0.2">
      <c r="A45" s="957" t="s">
        <v>329</v>
      </c>
      <c r="B45" s="958"/>
      <c r="C45" s="958"/>
      <c r="D45" s="945" t="str">
        <f>'Акт отбора проб ДО'!F23</f>
        <v>ДО4</v>
      </c>
      <c r="E45" s="945"/>
      <c r="F45" s="945"/>
      <c r="G45" s="959" t="s">
        <v>330</v>
      </c>
      <c r="H45" s="959"/>
      <c r="I45" s="959"/>
      <c r="J45" s="438" t="str">
        <f>J32</f>
        <v>0,0-0,2</v>
      </c>
      <c r="K45" s="126">
        <f>$H$2</f>
        <v>45739</v>
      </c>
    </row>
    <row r="46" spans="1:11" s="119" customFormat="1" ht="10.5" customHeight="1" x14ac:dyDescent="0.2">
      <c r="A46" s="120"/>
      <c r="B46" s="127"/>
      <c r="C46" s="124"/>
      <c r="D46" s="128"/>
      <c r="E46" s="128"/>
      <c r="F46" s="128"/>
      <c r="G46" s="125"/>
      <c r="H46" s="125"/>
      <c r="I46" s="125"/>
      <c r="J46" s="442"/>
      <c r="K46" s="122" t="s">
        <v>331</v>
      </c>
    </row>
    <row r="47" spans="1:11" s="119" customFormat="1" ht="10.5" customHeight="1" x14ac:dyDescent="0.2">
      <c r="A47" s="120" t="s">
        <v>331</v>
      </c>
      <c r="B47" s="129" t="str">
        <f>'Акт отбора проб ДО'!C23</f>
        <v>04БХ.01</v>
      </c>
      <c r="C47" s="124"/>
      <c r="D47" s="946"/>
      <c r="E47" s="946"/>
      <c r="F47" s="946"/>
      <c r="G47" s="946"/>
      <c r="H47" s="946"/>
      <c r="I47" s="125"/>
      <c r="J47" s="442"/>
      <c r="K47" s="122" t="str">
        <f>B47</f>
        <v>04БХ.01</v>
      </c>
    </row>
    <row r="48" spans="1:11" s="119" customFormat="1" ht="10.5" customHeight="1" x14ac:dyDescent="0.2">
      <c r="A48" s="120"/>
      <c r="B48" s="127"/>
      <c r="C48" s="124"/>
      <c r="D48" s="124"/>
      <c r="E48" s="124"/>
      <c r="F48" s="124"/>
      <c r="G48" s="124"/>
      <c r="H48" s="124"/>
      <c r="I48" s="124"/>
      <c r="J48" s="441"/>
      <c r="K48" s="122" t="s">
        <v>332</v>
      </c>
    </row>
    <row r="49" spans="1:11" s="119" customFormat="1" ht="10.5" customHeight="1" x14ac:dyDescent="0.2">
      <c r="A49" s="957" t="s">
        <v>681</v>
      </c>
      <c r="B49" s="958"/>
      <c r="C49" s="947"/>
      <c r="D49" s="947"/>
      <c r="E49" s="947"/>
      <c r="F49" s="947"/>
      <c r="G49" s="947"/>
      <c r="H49" s="947"/>
      <c r="I49" s="947"/>
      <c r="J49" s="144"/>
      <c r="K49" s="122" t="str">
        <f>J45</f>
        <v>0,0-0,2</v>
      </c>
    </row>
    <row r="50" spans="1:11" s="119" customFormat="1" ht="10.5" customHeight="1" x14ac:dyDescent="0.2">
      <c r="A50" s="120" t="s">
        <v>333</v>
      </c>
      <c r="B50" s="127"/>
      <c r="C50" s="124"/>
      <c r="D50" s="124"/>
      <c r="E50" s="124"/>
      <c r="F50" s="124"/>
      <c r="G50" s="124"/>
      <c r="H50" s="124"/>
      <c r="I50" s="124"/>
      <c r="J50" s="441"/>
      <c r="K50" s="122" t="s">
        <v>334</v>
      </c>
    </row>
    <row r="51" spans="1:11" s="119" customFormat="1" ht="10.5" customHeight="1" x14ac:dyDescent="0.2">
      <c r="A51" s="120" t="s">
        <v>335</v>
      </c>
      <c r="B51" s="133"/>
      <c r="C51" s="134"/>
      <c r="D51" s="134"/>
      <c r="E51" s="134"/>
      <c r="F51" s="134"/>
      <c r="G51" s="134"/>
      <c r="H51" s="124"/>
      <c r="I51" s="124"/>
      <c r="J51" s="441"/>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40"/>
      <c r="K53" s="118"/>
    </row>
    <row r="54" spans="1:11" s="119" customFormat="1" ht="10.5" customHeight="1" x14ac:dyDescent="0.2">
      <c r="A54" s="120" t="s">
        <v>325</v>
      </c>
      <c r="B54" s="952" t="e">
        <f>$B$2</f>
        <v>#REF!</v>
      </c>
      <c r="C54" s="952"/>
      <c r="D54" s="934" t="s">
        <v>326</v>
      </c>
      <c r="E54" s="934"/>
      <c r="F54" s="934"/>
      <c r="G54" s="934"/>
      <c r="H54" s="953">
        <f>$H$2</f>
        <v>45739</v>
      </c>
      <c r="I54" s="954"/>
      <c r="J54" s="441"/>
      <c r="K54" s="122" t="s">
        <v>327</v>
      </c>
    </row>
    <row r="55" spans="1:11" s="119" customFormat="1" ht="10.5" customHeight="1" x14ac:dyDescent="0.2">
      <c r="A55" s="152"/>
      <c r="B55" s="127"/>
      <c r="C55" s="124"/>
      <c r="D55" s="124"/>
      <c r="E55" s="124"/>
      <c r="F55" s="124"/>
      <c r="G55" s="124"/>
      <c r="H55" s="124"/>
      <c r="I55" s="124"/>
      <c r="J55" s="441"/>
      <c r="K55" s="122" t="e">
        <f>$B$2</f>
        <v>#REF!</v>
      </c>
    </row>
    <row r="56" spans="1:11" s="119" customFormat="1" ht="10.5" customHeight="1" x14ac:dyDescent="0.2">
      <c r="A56" s="120" t="s">
        <v>0</v>
      </c>
      <c r="B56" s="960" t="str">
        <f>$B$4</f>
        <v>адрес вбить сюда</v>
      </c>
      <c r="C56" s="960"/>
      <c r="D56" s="960"/>
      <c r="E56" s="960"/>
      <c r="F56" s="960"/>
      <c r="G56" s="960"/>
      <c r="H56" s="960"/>
      <c r="I56" s="960"/>
      <c r="J56" s="961"/>
      <c r="K56" s="122"/>
    </row>
    <row r="57" spans="1:11" s="119" customFormat="1" ht="10.5" customHeight="1" x14ac:dyDescent="0.2">
      <c r="A57" s="152"/>
      <c r="B57" s="960"/>
      <c r="C57" s="960"/>
      <c r="D57" s="960"/>
      <c r="E57" s="960"/>
      <c r="F57" s="960"/>
      <c r="G57" s="960"/>
      <c r="H57" s="960"/>
      <c r="I57" s="960"/>
      <c r="J57" s="961"/>
      <c r="K57" s="122" t="s">
        <v>328</v>
      </c>
    </row>
    <row r="58" spans="1:11" s="119" customFormat="1" ht="10.5" customHeight="1" x14ac:dyDescent="0.2">
      <c r="A58" s="962" t="s">
        <v>329</v>
      </c>
      <c r="B58" s="952"/>
      <c r="C58" s="952"/>
      <c r="D58" s="945" t="str">
        <f>'Акт отбора проб ДО'!F24</f>
        <v>ДО5</v>
      </c>
      <c r="E58" s="945"/>
      <c r="F58" s="945"/>
      <c r="G58" s="963" t="s">
        <v>330</v>
      </c>
      <c r="H58" s="963"/>
      <c r="I58" s="963"/>
      <c r="J58" s="438" t="str">
        <f>J45</f>
        <v>0,0-0,2</v>
      </c>
      <c r="K58" s="126">
        <f>$H$2</f>
        <v>45739</v>
      </c>
    </row>
    <row r="59" spans="1:11" s="119" customFormat="1" ht="10.5" customHeight="1" x14ac:dyDescent="0.2">
      <c r="A59" s="152"/>
      <c r="B59" s="123"/>
      <c r="C59" s="121"/>
      <c r="D59" s="154"/>
      <c r="E59" s="154"/>
      <c r="F59" s="154"/>
      <c r="G59" s="153"/>
      <c r="H59" s="153"/>
      <c r="I59" s="153"/>
      <c r="J59" s="442"/>
      <c r="K59" s="122" t="s">
        <v>331</v>
      </c>
    </row>
    <row r="60" spans="1:11" s="119" customFormat="1" ht="10.5" customHeight="1" x14ac:dyDescent="0.2">
      <c r="A60" s="120" t="s">
        <v>331</v>
      </c>
      <c r="B60" s="129" t="str">
        <f>'Акт отбора проб ДО'!C24</f>
        <v>05БХ.01</v>
      </c>
      <c r="C60" s="121"/>
      <c r="D60" s="946"/>
      <c r="E60" s="946"/>
      <c r="F60" s="946"/>
      <c r="G60" s="946"/>
      <c r="H60" s="946"/>
      <c r="I60" s="153"/>
      <c r="J60" s="442"/>
      <c r="K60" s="122" t="str">
        <f>B60</f>
        <v>05БХ.01</v>
      </c>
    </row>
    <row r="61" spans="1:11" s="119" customFormat="1" ht="10.5" customHeight="1" x14ac:dyDescent="0.2">
      <c r="A61" s="152"/>
      <c r="B61" s="123"/>
      <c r="C61" s="121"/>
      <c r="D61" s="121"/>
      <c r="E61" s="121"/>
      <c r="F61" s="121"/>
      <c r="G61" s="121"/>
      <c r="H61" s="121"/>
      <c r="I61" s="121"/>
      <c r="J61" s="441"/>
      <c r="K61" s="122" t="s">
        <v>332</v>
      </c>
    </row>
    <row r="62" spans="1:11" s="119" customFormat="1" ht="10.5" customHeight="1" x14ac:dyDescent="0.2">
      <c r="A62" s="962" t="s">
        <v>681</v>
      </c>
      <c r="B62" s="952"/>
      <c r="C62" s="950"/>
      <c r="D62" s="950"/>
      <c r="E62" s="950"/>
      <c r="F62" s="950"/>
      <c r="G62" s="950"/>
      <c r="H62" s="950"/>
      <c r="I62" s="950"/>
      <c r="J62" s="155"/>
      <c r="K62" s="122" t="str">
        <f>J58</f>
        <v>0,0-0,2</v>
      </c>
    </row>
    <row r="63" spans="1:11" s="119" customFormat="1" ht="10.5" customHeight="1" x14ac:dyDescent="0.2">
      <c r="A63" s="152" t="s">
        <v>333</v>
      </c>
      <c r="B63" s="123"/>
      <c r="C63" s="121"/>
      <c r="D63" s="121"/>
      <c r="E63" s="121"/>
      <c r="F63" s="121"/>
      <c r="G63" s="121"/>
      <c r="H63" s="121"/>
      <c r="I63" s="121"/>
      <c r="J63" s="441"/>
      <c r="K63" s="122" t="s">
        <v>334</v>
      </c>
    </row>
    <row r="64" spans="1:11" s="119" customFormat="1" ht="10.5" customHeight="1" x14ac:dyDescent="0.2">
      <c r="A64" s="152" t="s">
        <v>335</v>
      </c>
      <c r="B64" s="156"/>
      <c r="C64" s="157"/>
      <c r="D64" s="157"/>
      <c r="E64" s="157"/>
      <c r="F64" s="157"/>
      <c r="G64" s="157"/>
      <c r="H64" s="121"/>
      <c r="I64" s="121"/>
      <c r="J64" s="441"/>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43"/>
      <c r="K66" s="118"/>
    </row>
    <row r="67" spans="1:11" s="119" customFormat="1" ht="10.5" customHeight="1" x14ac:dyDescent="0.2">
      <c r="A67" s="120" t="s">
        <v>325</v>
      </c>
      <c r="B67" s="952" t="e">
        <f>$B$2</f>
        <v>#REF!</v>
      </c>
      <c r="C67" s="952"/>
      <c r="D67" s="934" t="s">
        <v>326</v>
      </c>
      <c r="E67" s="934"/>
      <c r="F67" s="934"/>
      <c r="G67" s="934"/>
      <c r="H67" s="953">
        <f>$H$2</f>
        <v>45739</v>
      </c>
      <c r="I67" s="954"/>
      <c r="J67" s="441"/>
      <c r="K67" s="122" t="s">
        <v>327</v>
      </c>
    </row>
    <row r="68" spans="1:11" s="119" customFormat="1" ht="10.5" customHeight="1" x14ac:dyDescent="0.2">
      <c r="A68" s="120"/>
      <c r="B68" s="127"/>
      <c r="C68" s="124"/>
      <c r="D68" s="124"/>
      <c r="E68" s="124"/>
      <c r="F68" s="124"/>
      <c r="G68" s="124"/>
      <c r="H68" s="124"/>
      <c r="I68" s="124"/>
      <c r="J68" s="441"/>
      <c r="K68" s="122" t="e">
        <f>$B$2</f>
        <v>#REF!</v>
      </c>
    </row>
    <row r="69" spans="1:11" s="119" customFormat="1" ht="10.5" customHeight="1" x14ac:dyDescent="0.2">
      <c r="A69" s="120" t="s">
        <v>0</v>
      </c>
      <c r="B69" s="960" t="str">
        <f>$B$4</f>
        <v>адрес вбить сюда</v>
      </c>
      <c r="C69" s="960"/>
      <c r="D69" s="960"/>
      <c r="E69" s="960"/>
      <c r="F69" s="960"/>
      <c r="G69" s="960"/>
      <c r="H69" s="960"/>
      <c r="I69" s="960"/>
      <c r="J69" s="961"/>
      <c r="K69" s="122"/>
    </row>
    <row r="70" spans="1:11" s="119" customFormat="1" ht="10.5" customHeight="1" x14ac:dyDescent="0.2">
      <c r="A70" s="120"/>
      <c r="B70" s="960"/>
      <c r="C70" s="960"/>
      <c r="D70" s="960"/>
      <c r="E70" s="960"/>
      <c r="F70" s="960"/>
      <c r="G70" s="960"/>
      <c r="H70" s="960"/>
      <c r="I70" s="960"/>
      <c r="J70" s="961"/>
      <c r="K70" s="122" t="s">
        <v>328</v>
      </c>
    </row>
    <row r="71" spans="1:11" s="119" customFormat="1" ht="10.5" customHeight="1" x14ac:dyDescent="0.2">
      <c r="A71" s="957" t="s">
        <v>329</v>
      </c>
      <c r="B71" s="958"/>
      <c r="C71" s="958"/>
      <c r="D71" s="945" t="str">
        <f>'Акт отбора проб ДО'!F25</f>
        <v>ДО6</v>
      </c>
      <c r="E71" s="945"/>
      <c r="F71" s="945"/>
      <c r="G71" s="959" t="s">
        <v>330</v>
      </c>
      <c r="H71" s="959"/>
      <c r="I71" s="959"/>
      <c r="J71" s="438" t="str">
        <f>J58</f>
        <v>0,0-0,2</v>
      </c>
      <c r="K71" s="126">
        <f>$H$2</f>
        <v>45739</v>
      </c>
    </row>
    <row r="72" spans="1:11" s="119" customFormat="1" ht="10.5" customHeight="1" x14ac:dyDescent="0.2">
      <c r="A72" s="120"/>
      <c r="B72" s="127"/>
      <c r="C72" s="124"/>
      <c r="D72" s="128"/>
      <c r="E72" s="128"/>
      <c r="F72" s="128"/>
      <c r="G72" s="125"/>
      <c r="H72" s="125"/>
      <c r="I72" s="125"/>
      <c r="J72" s="442"/>
      <c r="K72" s="122" t="s">
        <v>331</v>
      </c>
    </row>
    <row r="73" spans="1:11" s="119" customFormat="1" ht="10.5" customHeight="1" x14ac:dyDescent="0.2">
      <c r="A73" s="120" t="s">
        <v>331</v>
      </c>
      <c r="B73" s="129" t="str">
        <f>'Акт отбора проб ДО'!C25</f>
        <v>06БХ.01</v>
      </c>
      <c r="C73" s="124"/>
      <c r="D73" s="128"/>
      <c r="E73" s="128"/>
      <c r="F73" s="128"/>
      <c r="G73" s="125"/>
      <c r="H73" s="125"/>
      <c r="I73" s="125"/>
      <c r="J73" s="442"/>
      <c r="K73" s="122" t="str">
        <f>B73</f>
        <v>06БХ.01</v>
      </c>
    </row>
    <row r="74" spans="1:11" s="119" customFormat="1" ht="10.5" customHeight="1" x14ac:dyDescent="0.2">
      <c r="A74" s="120"/>
      <c r="B74" s="127"/>
      <c r="C74" s="124"/>
      <c r="D74" s="946"/>
      <c r="E74" s="946"/>
      <c r="F74" s="946"/>
      <c r="G74" s="946"/>
      <c r="H74" s="946"/>
      <c r="I74" s="124"/>
      <c r="J74" s="441"/>
      <c r="K74" s="122" t="s">
        <v>332</v>
      </c>
    </row>
    <row r="75" spans="1:11" s="119" customFormat="1" ht="10.5" customHeight="1" x14ac:dyDescent="0.2">
      <c r="A75" s="957" t="s">
        <v>681</v>
      </c>
      <c r="B75" s="958"/>
      <c r="C75" s="947"/>
      <c r="D75" s="947"/>
      <c r="E75" s="947"/>
      <c r="F75" s="947"/>
      <c r="G75" s="947"/>
      <c r="H75" s="947"/>
      <c r="I75" s="947"/>
      <c r="J75" s="144"/>
      <c r="K75" s="122" t="str">
        <f>J71</f>
        <v>0,0-0,2</v>
      </c>
    </row>
    <row r="76" spans="1:11" s="119" customFormat="1" ht="10.5" customHeight="1" x14ac:dyDescent="0.2">
      <c r="A76" s="120" t="s">
        <v>333</v>
      </c>
      <c r="B76" s="127"/>
      <c r="C76" s="124"/>
      <c r="D76" s="124"/>
      <c r="E76" s="124"/>
      <c r="F76" s="124"/>
      <c r="G76" s="124"/>
      <c r="H76" s="124"/>
      <c r="I76" s="124"/>
      <c r="J76" s="441"/>
      <c r="K76" s="122" t="s">
        <v>334</v>
      </c>
    </row>
    <row r="77" spans="1:11" s="119" customFormat="1" ht="10.5" customHeight="1" x14ac:dyDescent="0.2">
      <c r="A77" s="120" t="s">
        <v>335</v>
      </c>
      <c r="B77" s="133"/>
      <c r="C77" s="134"/>
      <c r="D77" s="134"/>
      <c r="E77" s="134"/>
      <c r="F77" s="134"/>
      <c r="G77" s="134"/>
      <c r="H77" s="124"/>
      <c r="I77" s="124"/>
      <c r="J77" s="441"/>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40"/>
      <c r="K79" s="118"/>
    </row>
    <row r="80" spans="1:11" s="119" customFormat="1" ht="10.5" customHeight="1" x14ac:dyDescent="0.2">
      <c r="A80" s="120" t="s">
        <v>325</v>
      </c>
      <c r="B80" s="952" t="e">
        <f>$B$2</f>
        <v>#REF!</v>
      </c>
      <c r="C80" s="952"/>
      <c r="D80" s="934" t="s">
        <v>326</v>
      </c>
      <c r="E80" s="934"/>
      <c r="F80" s="934"/>
      <c r="G80" s="934"/>
      <c r="H80" s="953">
        <f>$H$2</f>
        <v>45739</v>
      </c>
      <c r="I80" s="954"/>
      <c r="J80" s="441"/>
      <c r="K80" s="122" t="s">
        <v>327</v>
      </c>
    </row>
    <row r="81" spans="1:11" s="119" customFormat="1" ht="10.5" customHeight="1" x14ac:dyDescent="0.2">
      <c r="A81" s="120"/>
      <c r="B81" s="127"/>
      <c r="C81" s="124"/>
      <c r="D81" s="124"/>
      <c r="E81" s="124"/>
      <c r="F81" s="124"/>
      <c r="G81" s="124"/>
      <c r="H81" s="124"/>
      <c r="I81" s="124"/>
      <c r="J81" s="441"/>
      <c r="K81" s="122" t="e">
        <f>$B$2</f>
        <v>#REF!</v>
      </c>
    </row>
    <row r="82" spans="1:11" s="119" customFormat="1" ht="10.5" customHeight="1" x14ac:dyDescent="0.2">
      <c r="A82" s="120" t="s">
        <v>0</v>
      </c>
      <c r="B82" s="960" t="str">
        <f>$B$4</f>
        <v>адрес вбить сюда</v>
      </c>
      <c r="C82" s="960"/>
      <c r="D82" s="960"/>
      <c r="E82" s="960"/>
      <c r="F82" s="960"/>
      <c r="G82" s="960"/>
      <c r="H82" s="960"/>
      <c r="I82" s="960"/>
      <c r="J82" s="961"/>
      <c r="K82" s="122"/>
    </row>
    <row r="83" spans="1:11" s="119" customFormat="1" ht="10.5" customHeight="1" x14ac:dyDescent="0.2">
      <c r="A83" s="120"/>
      <c r="B83" s="960"/>
      <c r="C83" s="960"/>
      <c r="D83" s="960"/>
      <c r="E83" s="960"/>
      <c r="F83" s="960"/>
      <c r="G83" s="960"/>
      <c r="H83" s="960"/>
      <c r="I83" s="960"/>
      <c r="J83" s="961"/>
      <c r="K83" s="122" t="s">
        <v>328</v>
      </c>
    </row>
    <row r="84" spans="1:11" s="119" customFormat="1" ht="10.5" customHeight="1" x14ac:dyDescent="0.2">
      <c r="A84" s="957" t="s">
        <v>329</v>
      </c>
      <c r="B84" s="958"/>
      <c r="C84" s="958"/>
      <c r="D84" s="945" t="str">
        <f>'Акт отбора проб ДО'!F26</f>
        <v>ДО7</v>
      </c>
      <c r="E84" s="945"/>
      <c r="F84" s="945"/>
      <c r="G84" s="959" t="s">
        <v>330</v>
      </c>
      <c r="H84" s="959"/>
      <c r="I84" s="959"/>
      <c r="J84" s="438" t="str">
        <f>J71</f>
        <v>0,0-0,2</v>
      </c>
      <c r="K84" s="126">
        <f>$H$2</f>
        <v>45739</v>
      </c>
    </row>
    <row r="85" spans="1:11" s="119" customFormat="1" ht="10.5" customHeight="1" x14ac:dyDescent="0.2">
      <c r="A85" s="120"/>
      <c r="B85" s="127"/>
      <c r="C85" s="124"/>
      <c r="D85" s="128"/>
      <c r="E85" s="128"/>
      <c r="F85" s="128"/>
      <c r="G85" s="125"/>
      <c r="H85" s="125"/>
      <c r="I85" s="125"/>
      <c r="J85" s="442"/>
      <c r="K85" s="122" t="s">
        <v>331</v>
      </c>
    </row>
    <row r="86" spans="1:11" s="119" customFormat="1" ht="10.5" customHeight="1" x14ac:dyDescent="0.2">
      <c r="A86" s="120" t="s">
        <v>331</v>
      </c>
      <c r="B86" s="129" t="str">
        <f>'Акт отбора проб ДО'!C26</f>
        <v>07БХ.01</v>
      </c>
      <c r="C86" s="124"/>
      <c r="D86" s="946"/>
      <c r="E86" s="946"/>
      <c r="F86" s="946"/>
      <c r="G86" s="946"/>
      <c r="H86" s="946"/>
      <c r="I86" s="125"/>
      <c r="J86" s="442"/>
      <c r="K86" s="122" t="str">
        <f>B86</f>
        <v>07БХ.01</v>
      </c>
    </row>
    <row r="87" spans="1:11" s="119" customFormat="1" ht="10.5" customHeight="1" x14ac:dyDescent="0.2">
      <c r="A87" s="120"/>
      <c r="B87" s="127"/>
      <c r="C87" s="124"/>
      <c r="D87" s="124"/>
      <c r="E87" s="124"/>
      <c r="F87" s="124"/>
      <c r="G87" s="124"/>
      <c r="H87" s="124"/>
      <c r="I87" s="124"/>
      <c r="J87" s="441"/>
      <c r="K87" s="122" t="s">
        <v>332</v>
      </c>
    </row>
    <row r="88" spans="1:11" s="119" customFormat="1" ht="10.5" customHeight="1" x14ac:dyDescent="0.2">
      <c r="A88" s="957" t="s">
        <v>681</v>
      </c>
      <c r="B88" s="958"/>
      <c r="C88" s="947"/>
      <c r="D88" s="947"/>
      <c r="E88" s="947"/>
      <c r="F88" s="947"/>
      <c r="G88" s="947"/>
      <c r="H88" s="947"/>
      <c r="I88" s="947"/>
      <c r="J88" s="144"/>
      <c r="K88" s="122" t="str">
        <f>J84</f>
        <v>0,0-0,2</v>
      </c>
    </row>
    <row r="89" spans="1:11" s="119" customFormat="1" ht="10.5" customHeight="1" x14ac:dyDescent="0.2">
      <c r="A89" s="120" t="s">
        <v>333</v>
      </c>
      <c r="B89" s="127"/>
      <c r="C89" s="124"/>
      <c r="D89" s="124"/>
      <c r="E89" s="124"/>
      <c r="F89" s="124"/>
      <c r="G89" s="124"/>
      <c r="H89" s="124"/>
      <c r="I89" s="124"/>
      <c r="J89" s="441"/>
      <c r="K89" s="122" t="s">
        <v>334</v>
      </c>
    </row>
    <row r="90" spans="1:11" s="119" customFormat="1" ht="10.5" customHeight="1" x14ac:dyDescent="0.2">
      <c r="A90" s="120" t="s">
        <v>335</v>
      </c>
      <c r="B90" s="133"/>
      <c r="C90" s="134"/>
      <c r="D90" s="134"/>
      <c r="E90" s="134"/>
      <c r="F90" s="134"/>
      <c r="G90" s="134"/>
      <c r="H90" s="124"/>
      <c r="I90" s="124"/>
      <c r="J90" s="441"/>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40"/>
      <c r="K92" s="118"/>
    </row>
    <row r="93" spans="1:11" s="119" customFormat="1" ht="10.5" customHeight="1" x14ac:dyDescent="0.2">
      <c r="A93" s="120" t="s">
        <v>325</v>
      </c>
      <c r="B93" s="952" t="e">
        <f>$B$2</f>
        <v>#REF!</v>
      </c>
      <c r="C93" s="952"/>
      <c r="D93" s="934" t="s">
        <v>326</v>
      </c>
      <c r="E93" s="934"/>
      <c r="F93" s="934"/>
      <c r="G93" s="934"/>
      <c r="H93" s="953">
        <f>$H$2</f>
        <v>45739</v>
      </c>
      <c r="I93" s="954"/>
      <c r="J93" s="441"/>
      <c r="K93" s="122" t="s">
        <v>327</v>
      </c>
    </row>
    <row r="94" spans="1:11" s="119" customFormat="1" ht="10.5" customHeight="1" x14ac:dyDescent="0.2">
      <c r="A94" s="120"/>
      <c r="B94" s="127"/>
      <c r="C94" s="124"/>
      <c r="D94" s="124"/>
      <c r="E94" s="124"/>
      <c r="F94" s="124"/>
      <c r="G94" s="124"/>
      <c r="H94" s="124"/>
      <c r="I94" s="124"/>
      <c r="J94" s="441"/>
      <c r="K94" s="122" t="e">
        <f>$B$2</f>
        <v>#REF!</v>
      </c>
    </row>
    <row r="95" spans="1:11" s="119" customFormat="1" ht="10.5" customHeight="1" x14ac:dyDescent="0.2">
      <c r="A95" s="120" t="s">
        <v>0</v>
      </c>
      <c r="B95" s="960" t="str">
        <f>$B$4</f>
        <v>адрес вбить сюда</v>
      </c>
      <c r="C95" s="960"/>
      <c r="D95" s="960"/>
      <c r="E95" s="960"/>
      <c r="F95" s="960"/>
      <c r="G95" s="960"/>
      <c r="H95" s="960"/>
      <c r="I95" s="960"/>
      <c r="J95" s="961"/>
      <c r="K95" s="122"/>
    </row>
    <row r="96" spans="1:11" s="119" customFormat="1" ht="10.5" customHeight="1" x14ac:dyDescent="0.2">
      <c r="A96" s="120"/>
      <c r="B96" s="960"/>
      <c r="C96" s="960"/>
      <c r="D96" s="960"/>
      <c r="E96" s="960"/>
      <c r="F96" s="960"/>
      <c r="G96" s="960"/>
      <c r="H96" s="960"/>
      <c r="I96" s="960"/>
      <c r="J96" s="961"/>
      <c r="K96" s="122" t="s">
        <v>328</v>
      </c>
    </row>
    <row r="97" spans="1:11" s="119" customFormat="1" ht="10.5" customHeight="1" x14ac:dyDescent="0.2">
      <c r="A97" s="957" t="s">
        <v>329</v>
      </c>
      <c r="B97" s="958"/>
      <c r="C97" s="958"/>
      <c r="D97" s="945" t="str">
        <f>'Акт отбора проб ДО'!F27</f>
        <v>ДО8</v>
      </c>
      <c r="E97" s="945"/>
      <c r="F97" s="945"/>
      <c r="G97" s="959" t="s">
        <v>330</v>
      </c>
      <c r="H97" s="959"/>
      <c r="I97" s="959"/>
      <c r="J97" s="438" t="str">
        <f>J84</f>
        <v>0,0-0,2</v>
      </c>
      <c r="K97" s="126">
        <f>$H$2</f>
        <v>45739</v>
      </c>
    </row>
    <row r="98" spans="1:11" s="119" customFormat="1" ht="10.5" customHeight="1" x14ac:dyDescent="0.2">
      <c r="A98" s="120"/>
      <c r="B98" s="127"/>
      <c r="C98" s="124"/>
      <c r="D98" s="128"/>
      <c r="E98" s="128"/>
      <c r="F98" s="128"/>
      <c r="G98" s="125"/>
      <c r="H98" s="125"/>
      <c r="I98" s="125"/>
      <c r="J98" s="442"/>
      <c r="K98" s="122" t="s">
        <v>331</v>
      </c>
    </row>
    <row r="99" spans="1:11" s="119" customFormat="1" ht="10.5" customHeight="1" x14ac:dyDescent="0.2">
      <c r="A99" s="120" t="s">
        <v>331</v>
      </c>
      <c r="B99" s="129" t="str">
        <f>'Акт отбора проб ДО'!C27</f>
        <v>08БХ.01</v>
      </c>
      <c r="C99" s="124"/>
      <c r="D99" s="946"/>
      <c r="E99" s="946"/>
      <c r="F99" s="946"/>
      <c r="G99" s="946"/>
      <c r="H99" s="946"/>
      <c r="I99" s="125"/>
      <c r="J99" s="442"/>
      <c r="K99" s="122" t="str">
        <f>B99</f>
        <v>08БХ.01</v>
      </c>
    </row>
    <row r="100" spans="1:11" s="119" customFormat="1" ht="10.5" customHeight="1" x14ac:dyDescent="0.2">
      <c r="A100" s="120"/>
      <c r="B100" s="127"/>
      <c r="C100" s="124"/>
      <c r="D100" s="124"/>
      <c r="E100" s="124"/>
      <c r="F100" s="124"/>
      <c r="G100" s="124"/>
      <c r="H100" s="124"/>
      <c r="I100" s="124"/>
      <c r="J100" s="441"/>
      <c r="K100" s="122" t="s">
        <v>332</v>
      </c>
    </row>
    <row r="101" spans="1:11" s="119" customFormat="1" ht="10.5" customHeight="1" x14ac:dyDescent="0.2">
      <c r="A101" s="957" t="s">
        <v>681</v>
      </c>
      <c r="B101" s="958"/>
      <c r="C101" s="947"/>
      <c r="D101" s="947"/>
      <c r="E101" s="947"/>
      <c r="F101" s="947"/>
      <c r="G101" s="947"/>
      <c r="H101" s="947"/>
      <c r="I101" s="947"/>
      <c r="J101" s="144"/>
      <c r="K101" s="122" t="str">
        <f>J97</f>
        <v>0,0-0,2</v>
      </c>
    </row>
    <row r="102" spans="1:11" s="119" customFormat="1" ht="10.5" customHeight="1" x14ac:dyDescent="0.2">
      <c r="A102" s="120" t="s">
        <v>333</v>
      </c>
      <c r="B102" s="127"/>
      <c r="C102" s="124"/>
      <c r="D102" s="124"/>
      <c r="E102" s="124"/>
      <c r="F102" s="124"/>
      <c r="G102" s="124"/>
      <c r="H102" s="124"/>
      <c r="I102" s="124"/>
      <c r="J102" s="441"/>
      <c r="K102" s="122" t="s">
        <v>334</v>
      </c>
    </row>
    <row r="103" spans="1:11" s="119" customFormat="1" ht="10.5" customHeight="1" x14ac:dyDescent="0.2">
      <c r="A103" s="120" t="s">
        <v>335</v>
      </c>
      <c r="B103" s="133"/>
      <c r="C103" s="134"/>
      <c r="D103" s="134"/>
      <c r="E103" s="134"/>
      <c r="F103" s="134"/>
      <c r="G103" s="134"/>
      <c r="H103" s="124"/>
      <c r="I103" s="124"/>
      <c r="J103" s="441"/>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952" t="e">
        <f>$B$2</f>
        <v>#REF!</v>
      </c>
      <c r="C106" s="952"/>
      <c r="D106" s="934" t="s">
        <v>326</v>
      </c>
      <c r="E106" s="934"/>
      <c r="F106" s="934"/>
      <c r="G106" s="934"/>
      <c r="H106" s="953">
        <f>$H$2</f>
        <v>45739</v>
      </c>
      <c r="I106" s="954"/>
      <c r="J106" s="441"/>
      <c r="K106" s="122" t="s">
        <v>327</v>
      </c>
    </row>
    <row r="107" spans="1:11" s="119" customFormat="1" ht="10.5" customHeight="1" x14ac:dyDescent="0.2">
      <c r="A107" s="120"/>
      <c r="B107" s="127"/>
      <c r="C107" s="124"/>
      <c r="D107" s="124"/>
      <c r="E107" s="124"/>
      <c r="F107" s="124"/>
      <c r="G107" s="124"/>
      <c r="H107" s="124"/>
      <c r="I107" s="124"/>
      <c r="J107" s="441"/>
      <c r="K107" s="122" t="e">
        <f>$B$2</f>
        <v>#REF!</v>
      </c>
    </row>
    <row r="108" spans="1:11" s="119" customFormat="1" ht="10.5" customHeight="1" x14ac:dyDescent="0.2">
      <c r="A108" s="120" t="s">
        <v>0</v>
      </c>
      <c r="B108" s="960" t="str">
        <f>$B$4</f>
        <v>адрес вбить сюда</v>
      </c>
      <c r="C108" s="960"/>
      <c r="D108" s="960"/>
      <c r="E108" s="960"/>
      <c r="F108" s="960"/>
      <c r="G108" s="960"/>
      <c r="H108" s="960"/>
      <c r="I108" s="960"/>
      <c r="J108" s="961"/>
      <c r="K108" s="122"/>
    </row>
    <row r="109" spans="1:11" s="119" customFormat="1" ht="10.5" customHeight="1" x14ac:dyDescent="0.2">
      <c r="A109" s="120"/>
      <c r="B109" s="960"/>
      <c r="C109" s="960"/>
      <c r="D109" s="960"/>
      <c r="E109" s="960"/>
      <c r="F109" s="960"/>
      <c r="G109" s="960"/>
      <c r="H109" s="960"/>
      <c r="I109" s="960"/>
      <c r="J109" s="961"/>
      <c r="K109" s="122" t="s">
        <v>328</v>
      </c>
    </row>
    <row r="110" spans="1:11" s="119" customFormat="1" ht="10.5" customHeight="1" x14ac:dyDescent="0.2">
      <c r="A110" s="957" t="s">
        <v>329</v>
      </c>
      <c r="B110" s="958"/>
      <c r="C110" s="958"/>
      <c r="D110" s="945" t="str">
        <f>'Акт отбора проб ДО'!F28</f>
        <v>ДО9</v>
      </c>
      <c r="E110" s="945"/>
      <c r="F110" s="945"/>
      <c r="G110" s="959" t="s">
        <v>330</v>
      </c>
      <c r="H110" s="959"/>
      <c r="I110" s="959"/>
      <c r="J110" s="438" t="str">
        <f>J97</f>
        <v>0,0-0,2</v>
      </c>
      <c r="K110" s="126">
        <f>$H$2</f>
        <v>45739</v>
      </c>
    </row>
    <row r="111" spans="1:11" s="119" customFormat="1" ht="10.5" customHeight="1" x14ac:dyDescent="0.2">
      <c r="A111" s="120"/>
      <c r="B111" s="127"/>
      <c r="C111" s="124"/>
      <c r="D111" s="128"/>
      <c r="E111" s="128"/>
      <c r="F111" s="128"/>
      <c r="G111" s="125"/>
      <c r="H111" s="125"/>
      <c r="I111" s="125"/>
      <c r="J111" s="442"/>
      <c r="K111" s="122" t="s">
        <v>331</v>
      </c>
    </row>
    <row r="112" spans="1:11" s="119" customFormat="1" ht="10.5" customHeight="1" x14ac:dyDescent="0.2">
      <c r="A112" s="120" t="s">
        <v>331</v>
      </c>
      <c r="B112" s="129" t="str">
        <f>'Акт отбора проб ДО'!C28</f>
        <v>09БХ.01</v>
      </c>
      <c r="C112" s="124"/>
      <c r="D112" s="946"/>
      <c r="E112" s="946"/>
      <c r="F112" s="946"/>
      <c r="G112" s="946"/>
      <c r="H112" s="946"/>
      <c r="I112" s="125"/>
      <c r="J112" s="442"/>
      <c r="K112" s="122" t="str">
        <f>B112</f>
        <v>09БХ.01</v>
      </c>
    </row>
    <row r="113" spans="1:11" s="119" customFormat="1" ht="10.5" customHeight="1" x14ac:dyDescent="0.2">
      <c r="A113" s="120"/>
      <c r="B113" s="127"/>
      <c r="C113" s="124"/>
      <c r="D113" s="124"/>
      <c r="E113" s="124"/>
      <c r="F113" s="124"/>
      <c r="G113" s="124"/>
      <c r="H113" s="124"/>
      <c r="I113" s="124"/>
      <c r="J113" s="441"/>
      <c r="K113" s="122" t="s">
        <v>332</v>
      </c>
    </row>
    <row r="114" spans="1:11" s="119" customFormat="1" ht="10.5" customHeight="1" x14ac:dyDescent="0.2">
      <c r="A114" s="957" t="s">
        <v>681</v>
      </c>
      <c r="B114" s="958"/>
      <c r="C114" s="947"/>
      <c r="D114" s="947"/>
      <c r="E114" s="947"/>
      <c r="F114" s="947"/>
      <c r="G114" s="947"/>
      <c r="H114" s="947"/>
      <c r="I114" s="947"/>
      <c r="J114" s="144"/>
      <c r="K114" s="122" t="str">
        <f>J110</f>
        <v>0,0-0,2</v>
      </c>
    </row>
    <row r="115" spans="1:11" s="119" customFormat="1" ht="10.5" customHeight="1" x14ac:dyDescent="0.2">
      <c r="A115" s="120" t="s">
        <v>333</v>
      </c>
      <c r="B115" s="127"/>
      <c r="C115" s="124"/>
      <c r="D115" s="124"/>
      <c r="E115" s="124"/>
      <c r="F115" s="124"/>
      <c r="G115" s="124"/>
      <c r="H115" s="124"/>
      <c r="I115" s="124"/>
      <c r="J115" s="441"/>
      <c r="K115" s="122" t="s">
        <v>334</v>
      </c>
    </row>
    <row r="116" spans="1:11" s="119" customFormat="1" ht="10.5" customHeight="1" x14ac:dyDescent="0.2">
      <c r="A116" s="120" t="s">
        <v>335</v>
      </c>
      <c r="B116" s="133"/>
      <c r="C116" s="134"/>
      <c r="D116" s="134"/>
      <c r="E116" s="134"/>
      <c r="F116" s="134"/>
      <c r="G116" s="134"/>
      <c r="H116" s="124"/>
      <c r="I116" s="124"/>
      <c r="J116" s="441"/>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40"/>
      <c r="K118" s="118"/>
    </row>
    <row r="119" spans="1:11" s="119" customFormat="1" ht="10.5" customHeight="1" x14ac:dyDescent="0.2">
      <c r="A119" s="120" t="s">
        <v>325</v>
      </c>
      <c r="B119" s="952" t="e">
        <f>$B$2</f>
        <v>#REF!</v>
      </c>
      <c r="C119" s="952"/>
      <c r="D119" s="934" t="s">
        <v>326</v>
      </c>
      <c r="E119" s="934"/>
      <c r="F119" s="934"/>
      <c r="G119" s="934"/>
      <c r="H119" s="953">
        <f>$H$2</f>
        <v>45739</v>
      </c>
      <c r="I119" s="954"/>
      <c r="J119" s="441"/>
      <c r="K119" s="122" t="s">
        <v>327</v>
      </c>
    </row>
    <row r="120" spans="1:11" s="119" customFormat="1" ht="10.5" customHeight="1" x14ac:dyDescent="0.2">
      <c r="A120" s="120"/>
      <c r="B120" s="127"/>
      <c r="C120" s="124"/>
      <c r="D120" s="124"/>
      <c r="E120" s="124"/>
      <c r="F120" s="124"/>
      <c r="G120" s="124"/>
      <c r="H120" s="124"/>
      <c r="I120" s="124"/>
      <c r="J120" s="441"/>
      <c r="K120" s="122" t="e">
        <f>$B$2</f>
        <v>#REF!</v>
      </c>
    </row>
    <row r="121" spans="1:11" s="119" customFormat="1" ht="10.5" customHeight="1" x14ac:dyDescent="0.2">
      <c r="A121" s="120" t="s">
        <v>0</v>
      </c>
      <c r="B121" s="960" t="str">
        <f>$B$4</f>
        <v>адрес вбить сюда</v>
      </c>
      <c r="C121" s="960"/>
      <c r="D121" s="960"/>
      <c r="E121" s="960"/>
      <c r="F121" s="960"/>
      <c r="G121" s="960"/>
      <c r="H121" s="960"/>
      <c r="I121" s="960"/>
      <c r="J121" s="961"/>
      <c r="K121" s="122"/>
    </row>
    <row r="122" spans="1:11" s="119" customFormat="1" ht="10.5" customHeight="1" x14ac:dyDescent="0.2">
      <c r="A122" s="152"/>
      <c r="B122" s="960"/>
      <c r="C122" s="960"/>
      <c r="D122" s="960"/>
      <c r="E122" s="960"/>
      <c r="F122" s="960"/>
      <c r="G122" s="960"/>
      <c r="H122" s="960"/>
      <c r="I122" s="960"/>
      <c r="J122" s="961"/>
      <c r="K122" s="122" t="s">
        <v>328</v>
      </c>
    </row>
    <row r="123" spans="1:11" s="119" customFormat="1" ht="10.5" customHeight="1" x14ac:dyDescent="0.2">
      <c r="A123" s="962" t="s">
        <v>329</v>
      </c>
      <c r="B123" s="952"/>
      <c r="C123" s="952"/>
      <c r="D123" s="945" t="str">
        <f>'Акт отбора проб ДО'!F29</f>
        <v>ДО10</v>
      </c>
      <c r="E123" s="945"/>
      <c r="F123" s="945"/>
      <c r="G123" s="963" t="s">
        <v>330</v>
      </c>
      <c r="H123" s="963"/>
      <c r="I123" s="963"/>
      <c r="J123" s="438" t="str">
        <f>J110</f>
        <v>0,0-0,2</v>
      </c>
      <c r="K123" s="126">
        <f>$H$2</f>
        <v>45739</v>
      </c>
    </row>
    <row r="124" spans="1:11" s="119" customFormat="1" ht="10.5" customHeight="1" x14ac:dyDescent="0.2">
      <c r="A124" s="152"/>
      <c r="B124" s="123"/>
      <c r="C124" s="121"/>
      <c r="D124" s="154"/>
      <c r="E124" s="154"/>
      <c r="F124" s="154"/>
      <c r="G124" s="153"/>
      <c r="H124" s="153"/>
      <c r="I124" s="153"/>
      <c r="J124" s="442"/>
      <c r="K124" s="122" t="s">
        <v>331</v>
      </c>
    </row>
    <row r="125" spans="1:11" s="119" customFormat="1" ht="10.5" customHeight="1" x14ac:dyDescent="0.2">
      <c r="A125" s="120" t="s">
        <v>331</v>
      </c>
      <c r="B125" s="129" t="str">
        <f>'Акт отбора проб ДО'!C29</f>
        <v>10БХ.01</v>
      </c>
      <c r="C125" s="121"/>
      <c r="D125" s="946"/>
      <c r="E125" s="946"/>
      <c r="F125" s="946"/>
      <c r="G125" s="946"/>
      <c r="H125" s="946"/>
      <c r="I125" s="153"/>
      <c r="J125" s="442"/>
      <c r="K125" s="122" t="str">
        <f>B125</f>
        <v>10БХ.01</v>
      </c>
    </row>
    <row r="126" spans="1:11" s="119" customFormat="1" ht="10.5" customHeight="1" x14ac:dyDescent="0.2">
      <c r="A126" s="152"/>
      <c r="B126" s="123"/>
      <c r="C126" s="121"/>
      <c r="D126" s="121"/>
      <c r="E126" s="121"/>
      <c r="F126" s="121"/>
      <c r="G126" s="121"/>
      <c r="H126" s="121"/>
      <c r="I126" s="121"/>
      <c r="J126" s="441"/>
      <c r="K126" s="122" t="s">
        <v>332</v>
      </c>
    </row>
    <row r="127" spans="1:11" s="119" customFormat="1" ht="10.5" customHeight="1" x14ac:dyDescent="0.2">
      <c r="A127" s="962" t="s">
        <v>681</v>
      </c>
      <c r="B127" s="952"/>
      <c r="C127" s="947"/>
      <c r="D127" s="947"/>
      <c r="E127" s="947"/>
      <c r="F127" s="947"/>
      <c r="G127" s="947"/>
      <c r="H127" s="947"/>
      <c r="I127" s="947"/>
      <c r="J127" s="155"/>
      <c r="K127" s="122" t="str">
        <f>J123</f>
        <v>0,0-0,2</v>
      </c>
    </row>
    <row r="128" spans="1:11" s="119" customFormat="1" ht="10.5" customHeight="1" x14ac:dyDescent="0.2">
      <c r="A128" s="152" t="s">
        <v>333</v>
      </c>
      <c r="B128" s="123"/>
      <c r="C128" s="121"/>
      <c r="D128" s="121"/>
      <c r="E128" s="121"/>
      <c r="F128" s="121"/>
      <c r="G128" s="121"/>
      <c r="H128" s="121"/>
      <c r="I128" s="121"/>
      <c r="J128" s="441"/>
      <c r="K128" s="122" t="s">
        <v>334</v>
      </c>
    </row>
    <row r="129" spans="1:11" s="119" customFormat="1" ht="10.5" customHeight="1" x14ac:dyDescent="0.2">
      <c r="A129" s="152" t="s">
        <v>335</v>
      </c>
      <c r="B129" s="156"/>
      <c r="C129" s="157"/>
      <c r="D129" s="157"/>
      <c r="E129" s="157"/>
      <c r="F129" s="157"/>
      <c r="G129" s="157"/>
      <c r="H129" s="121"/>
      <c r="I129" s="121"/>
      <c r="J129" s="441"/>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43"/>
      <c r="K131" s="118"/>
    </row>
    <row r="132" spans="1:11" ht="10.5" customHeight="1" x14ac:dyDescent="0.2">
      <c r="A132" s="120" t="s">
        <v>325</v>
      </c>
      <c r="B132" s="952" t="e">
        <f>$B$2</f>
        <v>#REF!</v>
      </c>
      <c r="C132" s="952"/>
      <c r="D132" s="934" t="s">
        <v>326</v>
      </c>
      <c r="E132" s="934"/>
      <c r="F132" s="934"/>
      <c r="G132" s="934"/>
      <c r="H132" s="953">
        <f>$H$2</f>
        <v>45739</v>
      </c>
      <c r="I132" s="954"/>
      <c r="J132" s="441"/>
      <c r="K132" s="122" t="s">
        <v>327</v>
      </c>
    </row>
    <row r="133" spans="1:11" ht="10.5" customHeight="1" x14ac:dyDescent="0.2">
      <c r="A133" s="120"/>
      <c r="B133" s="127"/>
      <c r="C133" s="124"/>
      <c r="D133" s="124"/>
      <c r="E133" s="124"/>
      <c r="F133" s="124"/>
      <c r="G133" s="124"/>
      <c r="H133" s="124"/>
      <c r="I133" s="124"/>
      <c r="J133" s="441"/>
      <c r="K133" s="122" t="e">
        <f>$B$2</f>
        <v>#REF!</v>
      </c>
    </row>
    <row r="134" spans="1:11" ht="10.5" customHeight="1" x14ac:dyDescent="0.2">
      <c r="A134" s="120" t="s">
        <v>0</v>
      </c>
      <c r="B134" s="960" t="str">
        <f>$B$4</f>
        <v>адрес вбить сюда</v>
      </c>
      <c r="C134" s="960"/>
      <c r="D134" s="960"/>
      <c r="E134" s="960"/>
      <c r="F134" s="960"/>
      <c r="G134" s="960"/>
      <c r="H134" s="960"/>
      <c r="I134" s="960"/>
      <c r="J134" s="961"/>
      <c r="K134" s="122"/>
    </row>
    <row r="135" spans="1:11" ht="10.5" customHeight="1" x14ac:dyDescent="0.2">
      <c r="A135" s="120"/>
      <c r="B135" s="960"/>
      <c r="C135" s="960"/>
      <c r="D135" s="960"/>
      <c r="E135" s="960"/>
      <c r="F135" s="960"/>
      <c r="G135" s="960"/>
      <c r="H135" s="960"/>
      <c r="I135" s="960"/>
      <c r="J135" s="961"/>
      <c r="K135" s="122" t="s">
        <v>328</v>
      </c>
    </row>
    <row r="136" spans="1:11" ht="10.5" customHeight="1" x14ac:dyDescent="0.2">
      <c r="A136" s="957" t="s">
        <v>329</v>
      </c>
      <c r="B136" s="958"/>
      <c r="C136" s="958"/>
      <c r="D136" s="945" t="str">
        <f>'Акт отбора проб ДО'!F30</f>
        <v>ДО11</v>
      </c>
      <c r="E136" s="945"/>
      <c r="F136" s="945"/>
      <c r="G136" s="959" t="s">
        <v>330</v>
      </c>
      <c r="H136" s="959"/>
      <c r="I136" s="959"/>
      <c r="J136" s="438" t="str">
        <f>J123</f>
        <v>0,0-0,2</v>
      </c>
      <c r="K136" s="126">
        <f>$H$2</f>
        <v>45739</v>
      </c>
    </row>
    <row r="137" spans="1:11" ht="10.5" customHeight="1" x14ac:dyDescent="0.2">
      <c r="A137" s="120"/>
      <c r="B137" s="127"/>
      <c r="C137" s="124"/>
      <c r="D137" s="128"/>
      <c r="E137" s="128"/>
      <c r="F137" s="128"/>
      <c r="G137" s="125"/>
      <c r="H137" s="125"/>
      <c r="I137" s="125"/>
      <c r="J137" s="442"/>
      <c r="K137" s="122" t="s">
        <v>331</v>
      </c>
    </row>
    <row r="138" spans="1:11" ht="10.5" customHeight="1" x14ac:dyDescent="0.2">
      <c r="A138" s="120" t="s">
        <v>331</v>
      </c>
      <c r="B138" s="129" t="str">
        <f>'Акт отбора проб ДО'!C30</f>
        <v>11БХ.01</v>
      </c>
      <c r="C138" s="124"/>
      <c r="D138" s="946"/>
      <c r="E138" s="946"/>
      <c r="F138" s="946"/>
      <c r="G138" s="946"/>
      <c r="H138" s="946"/>
      <c r="I138" s="125"/>
      <c r="J138" s="442"/>
      <c r="K138" s="122" t="str">
        <f>B138</f>
        <v>11БХ.01</v>
      </c>
    </row>
    <row r="139" spans="1:11" ht="10.5" customHeight="1" x14ac:dyDescent="0.2">
      <c r="A139" s="120"/>
      <c r="B139" s="127"/>
      <c r="C139" s="124"/>
      <c r="D139" s="124"/>
      <c r="E139" s="124"/>
      <c r="F139" s="124"/>
      <c r="G139" s="124"/>
      <c r="H139" s="124"/>
      <c r="I139" s="124"/>
      <c r="J139" s="441"/>
      <c r="K139" s="122" t="s">
        <v>332</v>
      </c>
    </row>
    <row r="140" spans="1:11" ht="10.5" customHeight="1" x14ac:dyDescent="0.2">
      <c r="A140" s="957" t="s">
        <v>681</v>
      </c>
      <c r="B140" s="958"/>
      <c r="C140" s="947"/>
      <c r="D140" s="947"/>
      <c r="E140" s="947"/>
      <c r="F140" s="947"/>
      <c r="G140" s="947"/>
      <c r="H140" s="947"/>
      <c r="I140" s="947"/>
      <c r="J140" s="144"/>
      <c r="K140" s="122" t="str">
        <f>J136</f>
        <v>0,0-0,2</v>
      </c>
    </row>
    <row r="141" spans="1:11" ht="10.5" customHeight="1" x14ac:dyDescent="0.2">
      <c r="A141" s="120" t="s">
        <v>333</v>
      </c>
      <c r="B141" s="127"/>
      <c r="C141" s="124"/>
      <c r="D141" s="124"/>
      <c r="E141" s="124"/>
      <c r="F141" s="124"/>
      <c r="G141" s="124"/>
      <c r="H141" s="124"/>
      <c r="I141" s="124"/>
      <c r="J141" s="441"/>
      <c r="K141" s="122" t="s">
        <v>334</v>
      </c>
    </row>
    <row r="142" spans="1:11" ht="10.5" customHeight="1" x14ac:dyDescent="0.2">
      <c r="A142" s="120" t="s">
        <v>335</v>
      </c>
      <c r="B142" s="133"/>
      <c r="C142" s="134"/>
      <c r="D142" s="134"/>
      <c r="E142" s="134"/>
      <c r="F142" s="134"/>
      <c r="G142" s="134"/>
      <c r="H142" s="124"/>
      <c r="I142" s="124"/>
      <c r="J142" s="441"/>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40"/>
      <c r="K144" s="118"/>
    </row>
    <row r="145" spans="1:11" ht="10.5" customHeight="1" x14ac:dyDescent="0.2">
      <c r="A145" s="120" t="s">
        <v>325</v>
      </c>
      <c r="B145" s="952" t="e">
        <f>$B$2</f>
        <v>#REF!</v>
      </c>
      <c r="C145" s="952"/>
      <c r="D145" s="934" t="s">
        <v>326</v>
      </c>
      <c r="E145" s="934"/>
      <c r="F145" s="934"/>
      <c r="G145" s="934"/>
      <c r="H145" s="953">
        <f>$H$2</f>
        <v>45739</v>
      </c>
      <c r="I145" s="954"/>
      <c r="J145" s="441"/>
      <c r="K145" s="122" t="s">
        <v>327</v>
      </c>
    </row>
    <row r="146" spans="1:11" ht="10.5" customHeight="1" x14ac:dyDescent="0.2">
      <c r="A146" s="120"/>
      <c r="B146" s="127"/>
      <c r="C146" s="124"/>
      <c r="D146" s="124"/>
      <c r="E146" s="124"/>
      <c r="F146" s="124"/>
      <c r="G146" s="124"/>
      <c r="H146" s="124"/>
      <c r="I146" s="124"/>
      <c r="J146" s="441"/>
      <c r="K146" s="122" t="e">
        <f>$B$2</f>
        <v>#REF!</v>
      </c>
    </row>
    <row r="147" spans="1:11" ht="10.5" customHeight="1" x14ac:dyDescent="0.2">
      <c r="A147" s="120" t="s">
        <v>0</v>
      </c>
      <c r="B147" s="960" t="str">
        <f>$B$4</f>
        <v>адрес вбить сюда</v>
      </c>
      <c r="C147" s="960"/>
      <c r="D147" s="960"/>
      <c r="E147" s="960"/>
      <c r="F147" s="960"/>
      <c r="G147" s="960"/>
      <c r="H147" s="960"/>
      <c r="I147" s="960"/>
      <c r="J147" s="961"/>
      <c r="K147" s="122"/>
    </row>
    <row r="148" spans="1:11" ht="10.5" customHeight="1" x14ac:dyDescent="0.2">
      <c r="A148" s="120"/>
      <c r="B148" s="960"/>
      <c r="C148" s="960"/>
      <c r="D148" s="960"/>
      <c r="E148" s="960"/>
      <c r="F148" s="960"/>
      <c r="G148" s="960"/>
      <c r="H148" s="960"/>
      <c r="I148" s="960"/>
      <c r="J148" s="961"/>
      <c r="K148" s="122" t="s">
        <v>328</v>
      </c>
    </row>
    <row r="149" spans="1:11" ht="10.5" customHeight="1" x14ac:dyDescent="0.2">
      <c r="A149" s="957" t="s">
        <v>329</v>
      </c>
      <c r="B149" s="958"/>
      <c r="C149" s="958"/>
      <c r="D149" s="945" t="str">
        <f>'Акт отбора проб ДО'!F31</f>
        <v>ДО12</v>
      </c>
      <c r="E149" s="945"/>
      <c r="F149" s="945"/>
      <c r="G149" s="959" t="s">
        <v>330</v>
      </c>
      <c r="H149" s="959"/>
      <c r="I149" s="959"/>
      <c r="J149" s="438" t="str">
        <f>J136</f>
        <v>0,0-0,2</v>
      </c>
      <c r="K149" s="126">
        <f>$H$2</f>
        <v>45739</v>
      </c>
    </row>
    <row r="150" spans="1:11" ht="10.5" customHeight="1" x14ac:dyDescent="0.2">
      <c r="A150" s="120"/>
      <c r="B150" s="127"/>
      <c r="C150" s="124"/>
      <c r="D150" s="128"/>
      <c r="E150" s="128"/>
      <c r="F150" s="128"/>
      <c r="G150" s="125"/>
      <c r="H150" s="125"/>
      <c r="I150" s="125"/>
      <c r="J150" s="442"/>
      <c r="K150" s="122" t="s">
        <v>331</v>
      </c>
    </row>
    <row r="151" spans="1:11" ht="10.5" customHeight="1" x14ac:dyDescent="0.2">
      <c r="A151" s="120" t="s">
        <v>331</v>
      </c>
      <c r="B151" s="129" t="str">
        <f>'Акт отбора проб ДО'!C31</f>
        <v>12БХ.01</v>
      </c>
      <c r="C151" s="124"/>
      <c r="D151" s="946"/>
      <c r="E151" s="946"/>
      <c r="F151" s="946"/>
      <c r="G151" s="946"/>
      <c r="H151" s="946"/>
      <c r="I151" s="125"/>
      <c r="J151" s="442"/>
      <c r="K151" s="122" t="str">
        <f>B151</f>
        <v>12БХ.01</v>
      </c>
    </row>
    <row r="152" spans="1:11" ht="10.5" customHeight="1" x14ac:dyDescent="0.2">
      <c r="A152" s="120"/>
      <c r="B152" s="127"/>
      <c r="C152" s="124"/>
      <c r="D152" s="124"/>
      <c r="E152" s="124"/>
      <c r="F152" s="124"/>
      <c r="G152" s="124"/>
      <c r="H152" s="124"/>
      <c r="I152" s="124"/>
      <c r="J152" s="441"/>
      <c r="K152" s="122" t="s">
        <v>332</v>
      </c>
    </row>
    <row r="153" spans="1:11" ht="10.5" customHeight="1" x14ac:dyDescent="0.2">
      <c r="A153" s="957" t="s">
        <v>681</v>
      </c>
      <c r="B153" s="958"/>
      <c r="C153" s="947"/>
      <c r="D153" s="947"/>
      <c r="E153" s="947"/>
      <c r="F153" s="947"/>
      <c r="G153" s="947"/>
      <c r="H153" s="947"/>
      <c r="I153" s="947"/>
      <c r="J153" s="144"/>
      <c r="K153" s="122" t="str">
        <f>J149</f>
        <v>0,0-0,2</v>
      </c>
    </row>
    <row r="154" spans="1:11" ht="10.5" customHeight="1" x14ac:dyDescent="0.2">
      <c r="A154" s="120" t="s">
        <v>333</v>
      </c>
      <c r="B154" s="127"/>
      <c r="C154" s="124"/>
      <c r="D154" s="124"/>
      <c r="E154" s="124"/>
      <c r="F154" s="124"/>
      <c r="G154" s="124"/>
      <c r="H154" s="124"/>
      <c r="I154" s="124"/>
      <c r="J154" s="441"/>
      <c r="K154" s="122" t="s">
        <v>334</v>
      </c>
    </row>
    <row r="155" spans="1:11" ht="10.5" customHeight="1" x14ac:dyDescent="0.2">
      <c r="A155" s="120" t="s">
        <v>335</v>
      </c>
      <c r="B155" s="133"/>
      <c r="C155" s="134"/>
      <c r="D155" s="134"/>
      <c r="E155" s="134"/>
      <c r="F155" s="134"/>
      <c r="G155" s="134"/>
      <c r="H155" s="124"/>
      <c r="I155" s="124"/>
      <c r="J155" s="441"/>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40"/>
      <c r="K157" s="118"/>
    </row>
    <row r="158" spans="1:11" ht="10.5" customHeight="1" x14ac:dyDescent="0.2">
      <c r="A158" s="120" t="s">
        <v>325</v>
      </c>
      <c r="B158" s="952" t="e">
        <f>$B$2</f>
        <v>#REF!</v>
      </c>
      <c r="C158" s="952"/>
      <c r="D158" s="934" t="s">
        <v>326</v>
      </c>
      <c r="E158" s="934"/>
      <c r="F158" s="934"/>
      <c r="G158" s="934"/>
      <c r="H158" s="953">
        <f>$H$2</f>
        <v>45739</v>
      </c>
      <c r="I158" s="953"/>
      <c r="J158" s="441"/>
      <c r="K158" s="122" t="s">
        <v>327</v>
      </c>
    </row>
    <row r="159" spans="1:11" ht="10.5" customHeight="1" x14ac:dyDescent="0.2">
      <c r="A159" s="120"/>
      <c r="B159" s="127"/>
      <c r="C159" s="124"/>
      <c r="D159" s="124"/>
      <c r="E159" s="124"/>
      <c r="F159" s="124"/>
      <c r="G159" s="124"/>
      <c r="H159" s="124"/>
      <c r="I159" s="124"/>
      <c r="J159" s="441"/>
      <c r="K159" s="122" t="e">
        <f>$B$2</f>
        <v>#REF!</v>
      </c>
    </row>
    <row r="160" spans="1:11" ht="10.5" customHeight="1" x14ac:dyDescent="0.2">
      <c r="A160" s="120" t="s">
        <v>0</v>
      </c>
      <c r="B160" s="960" t="str">
        <f>$B$4</f>
        <v>адрес вбить сюда</v>
      </c>
      <c r="C160" s="960"/>
      <c r="D160" s="960"/>
      <c r="E160" s="960"/>
      <c r="F160" s="960"/>
      <c r="G160" s="960"/>
      <c r="H160" s="960"/>
      <c r="I160" s="960"/>
      <c r="J160" s="961"/>
      <c r="K160" s="122"/>
    </row>
    <row r="161" spans="1:11" ht="10.5" customHeight="1" x14ac:dyDescent="0.2">
      <c r="A161" s="120"/>
      <c r="B161" s="960"/>
      <c r="C161" s="960"/>
      <c r="D161" s="960"/>
      <c r="E161" s="960"/>
      <c r="F161" s="960"/>
      <c r="G161" s="960"/>
      <c r="H161" s="960"/>
      <c r="I161" s="960"/>
      <c r="J161" s="961"/>
      <c r="K161" s="122" t="s">
        <v>328</v>
      </c>
    </row>
    <row r="162" spans="1:11" ht="10.5" customHeight="1" x14ac:dyDescent="0.2">
      <c r="A162" s="957" t="s">
        <v>329</v>
      </c>
      <c r="B162" s="958"/>
      <c r="C162" s="958"/>
      <c r="D162" s="945" t="str">
        <f>'Акт отбора проб ДО'!F32</f>
        <v>ДО13</v>
      </c>
      <c r="E162" s="945"/>
      <c r="F162" s="945"/>
      <c r="G162" s="959" t="s">
        <v>330</v>
      </c>
      <c r="H162" s="959"/>
      <c r="I162" s="959"/>
      <c r="J162" s="438" t="str">
        <f>J149</f>
        <v>0,0-0,2</v>
      </c>
      <c r="K162" s="126">
        <f>$H$2</f>
        <v>45739</v>
      </c>
    </row>
    <row r="163" spans="1:11" ht="10.5" customHeight="1" x14ac:dyDescent="0.2">
      <c r="A163" s="120"/>
      <c r="B163" s="127"/>
      <c r="C163" s="124"/>
      <c r="D163" s="128"/>
      <c r="E163" s="128"/>
      <c r="F163" s="128"/>
      <c r="G163" s="125"/>
      <c r="H163" s="125"/>
      <c r="I163" s="125"/>
      <c r="J163" s="442"/>
      <c r="K163" s="122" t="s">
        <v>331</v>
      </c>
    </row>
    <row r="164" spans="1:11" ht="10.5" customHeight="1" x14ac:dyDescent="0.2">
      <c r="A164" s="120" t="s">
        <v>331</v>
      </c>
      <c r="B164" s="129" t="str">
        <f>'Акт отбора проб ДО'!C32</f>
        <v>13БХ.01</v>
      </c>
      <c r="C164" s="124"/>
      <c r="D164" s="946"/>
      <c r="E164" s="946"/>
      <c r="F164" s="946"/>
      <c r="G164" s="946"/>
      <c r="H164" s="946"/>
      <c r="I164" s="125"/>
      <c r="J164" s="442"/>
      <c r="K164" s="122" t="str">
        <f>B164</f>
        <v>13БХ.01</v>
      </c>
    </row>
    <row r="165" spans="1:11" ht="10.5" customHeight="1" x14ac:dyDescent="0.2">
      <c r="A165" s="120"/>
      <c r="B165" s="127"/>
      <c r="C165" s="124"/>
      <c r="D165" s="124"/>
      <c r="E165" s="124"/>
      <c r="F165" s="124"/>
      <c r="G165" s="124"/>
      <c r="H165" s="124"/>
      <c r="I165" s="124"/>
      <c r="J165" s="441"/>
      <c r="K165" s="122" t="s">
        <v>332</v>
      </c>
    </row>
    <row r="166" spans="1:11" ht="10.5" customHeight="1" x14ac:dyDescent="0.2">
      <c r="A166" s="957" t="s">
        <v>681</v>
      </c>
      <c r="B166" s="958"/>
      <c r="C166" s="947"/>
      <c r="D166" s="947"/>
      <c r="E166" s="947"/>
      <c r="F166" s="947"/>
      <c r="G166" s="947"/>
      <c r="H166" s="947"/>
      <c r="I166" s="947"/>
      <c r="J166" s="144"/>
      <c r="K166" s="122" t="str">
        <f>J162</f>
        <v>0,0-0,2</v>
      </c>
    </row>
    <row r="167" spans="1:11" ht="10.5" customHeight="1" x14ac:dyDescent="0.2">
      <c r="A167" s="120" t="s">
        <v>333</v>
      </c>
      <c r="B167" s="127"/>
      <c r="C167" s="124"/>
      <c r="D167" s="124"/>
      <c r="E167" s="124"/>
      <c r="F167" s="124"/>
      <c r="G167" s="124"/>
      <c r="H167" s="124"/>
      <c r="I167" s="124"/>
      <c r="J167" s="441"/>
      <c r="K167" s="122" t="s">
        <v>334</v>
      </c>
    </row>
    <row r="168" spans="1:11" ht="10.5" customHeight="1" x14ac:dyDescent="0.2">
      <c r="A168" s="120" t="s">
        <v>335</v>
      </c>
      <c r="B168" s="133"/>
      <c r="C168" s="134"/>
      <c r="D168" s="134"/>
      <c r="E168" s="134"/>
      <c r="F168" s="134"/>
      <c r="G168" s="134"/>
      <c r="H168" s="124"/>
      <c r="I168" s="124"/>
      <c r="J168" s="441"/>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40"/>
      <c r="K170" s="118"/>
    </row>
    <row r="171" spans="1:11" ht="10.5" customHeight="1" x14ac:dyDescent="0.2">
      <c r="A171" s="120" t="s">
        <v>325</v>
      </c>
      <c r="B171" s="952" t="e">
        <f>$B$2</f>
        <v>#REF!</v>
      </c>
      <c r="C171" s="952"/>
      <c r="D171" s="934" t="s">
        <v>326</v>
      </c>
      <c r="E171" s="934"/>
      <c r="F171" s="934"/>
      <c r="G171" s="934"/>
      <c r="H171" s="953">
        <f>$H$2</f>
        <v>45739</v>
      </c>
      <c r="I171" s="953"/>
      <c r="J171" s="441"/>
      <c r="K171" s="122" t="s">
        <v>327</v>
      </c>
    </row>
    <row r="172" spans="1:11" ht="10.5" customHeight="1" x14ac:dyDescent="0.2">
      <c r="A172" s="120"/>
      <c r="B172" s="127"/>
      <c r="C172" s="124"/>
      <c r="D172" s="124"/>
      <c r="E172" s="124"/>
      <c r="F172" s="124"/>
      <c r="G172" s="124"/>
      <c r="H172" s="124"/>
      <c r="I172" s="124"/>
      <c r="J172" s="441"/>
      <c r="K172" s="122" t="e">
        <f>$B$2</f>
        <v>#REF!</v>
      </c>
    </row>
    <row r="173" spans="1:11" ht="10.5" customHeight="1" x14ac:dyDescent="0.2">
      <c r="A173" s="120" t="s">
        <v>0</v>
      </c>
      <c r="B173" s="960" t="str">
        <f>$B$4</f>
        <v>адрес вбить сюда</v>
      </c>
      <c r="C173" s="960"/>
      <c r="D173" s="960"/>
      <c r="E173" s="960"/>
      <c r="F173" s="960"/>
      <c r="G173" s="960"/>
      <c r="H173" s="960"/>
      <c r="I173" s="960"/>
      <c r="J173" s="961"/>
      <c r="K173" s="122"/>
    </row>
    <row r="174" spans="1:11" ht="10.5" customHeight="1" x14ac:dyDescent="0.2">
      <c r="A174" s="120"/>
      <c r="B174" s="960"/>
      <c r="C174" s="960"/>
      <c r="D174" s="960"/>
      <c r="E174" s="960"/>
      <c r="F174" s="960"/>
      <c r="G174" s="960"/>
      <c r="H174" s="960"/>
      <c r="I174" s="960"/>
      <c r="J174" s="961"/>
      <c r="K174" s="122" t="s">
        <v>328</v>
      </c>
    </row>
    <row r="175" spans="1:11" ht="10.5" customHeight="1" x14ac:dyDescent="0.2">
      <c r="A175" s="957" t="s">
        <v>329</v>
      </c>
      <c r="B175" s="958"/>
      <c r="C175" s="958"/>
      <c r="D175" s="945" t="str">
        <f>'Акт отбора проб ДО'!F33</f>
        <v>ДО14</v>
      </c>
      <c r="E175" s="945"/>
      <c r="F175" s="945"/>
      <c r="G175" s="959" t="s">
        <v>330</v>
      </c>
      <c r="H175" s="959"/>
      <c r="I175" s="959"/>
      <c r="J175" s="438" t="str">
        <f>J162</f>
        <v>0,0-0,2</v>
      </c>
      <c r="K175" s="126">
        <f>$H$2</f>
        <v>45739</v>
      </c>
    </row>
    <row r="176" spans="1:11" ht="10.5" customHeight="1" x14ac:dyDescent="0.2">
      <c r="A176" s="120"/>
      <c r="B176" s="127"/>
      <c r="C176" s="124"/>
      <c r="D176" s="128"/>
      <c r="E176" s="128"/>
      <c r="F176" s="128"/>
      <c r="G176" s="125"/>
      <c r="H176" s="125"/>
      <c r="I176" s="125"/>
      <c r="J176" s="442"/>
      <c r="K176" s="122" t="s">
        <v>331</v>
      </c>
    </row>
    <row r="177" spans="1:11" ht="10.5" customHeight="1" x14ac:dyDescent="0.2">
      <c r="A177" s="120" t="s">
        <v>331</v>
      </c>
      <c r="B177" s="129" t="str">
        <f>'Акт отбора проб ДО'!C33</f>
        <v>14БХ.01</v>
      </c>
      <c r="C177" s="124"/>
      <c r="D177" s="946"/>
      <c r="E177" s="946"/>
      <c r="F177" s="946"/>
      <c r="G177" s="946"/>
      <c r="H177" s="946"/>
      <c r="I177" s="125"/>
      <c r="J177" s="442"/>
      <c r="K177" s="122" t="str">
        <f>B177</f>
        <v>14БХ.01</v>
      </c>
    </row>
    <row r="178" spans="1:11" ht="10.5" customHeight="1" x14ac:dyDescent="0.2">
      <c r="A178" s="120"/>
      <c r="B178" s="127"/>
      <c r="C178" s="124"/>
      <c r="D178" s="124"/>
      <c r="E178" s="124"/>
      <c r="F178" s="124"/>
      <c r="G178" s="124"/>
      <c r="H178" s="124"/>
      <c r="I178" s="124"/>
      <c r="J178" s="441"/>
      <c r="K178" s="122" t="s">
        <v>332</v>
      </c>
    </row>
    <row r="179" spans="1:11" ht="10.5" customHeight="1" x14ac:dyDescent="0.2">
      <c r="A179" s="957" t="s">
        <v>681</v>
      </c>
      <c r="B179" s="958"/>
      <c r="C179" s="947"/>
      <c r="D179" s="947"/>
      <c r="E179" s="947"/>
      <c r="F179" s="947"/>
      <c r="G179" s="947"/>
      <c r="H179" s="947"/>
      <c r="I179" s="947"/>
      <c r="J179" s="144"/>
      <c r="K179" s="122" t="str">
        <f>J175</f>
        <v>0,0-0,2</v>
      </c>
    </row>
    <row r="180" spans="1:11" ht="10.5" customHeight="1" x14ac:dyDescent="0.2">
      <c r="A180" s="120" t="s">
        <v>333</v>
      </c>
      <c r="B180" s="127"/>
      <c r="C180" s="124"/>
      <c r="D180" s="124"/>
      <c r="E180" s="124"/>
      <c r="F180" s="124"/>
      <c r="G180" s="124"/>
      <c r="H180" s="124"/>
      <c r="I180" s="124"/>
      <c r="J180" s="441"/>
      <c r="K180" s="122" t="s">
        <v>334</v>
      </c>
    </row>
    <row r="181" spans="1:11" ht="10.5" customHeight="1" x14ac:dyDescent="0.2">
      <c r="A181" s="120" t="s">
        <v>335</v>
      </c>
      <c r="B181" s="133"/>
      <c r="C181" s="134"/>
      <c r="D181" s="134"/>
      <c r="E181" s="134"/>
      <c r="F181" s="134"/>
      <c r="G181" s="134"/>
      <c r="H181" s="124"/>
      <c r="I181" s="124"/>
      <c r="J181" s="441"/>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40"/>
      <c r="K183" s="118"/>
    </row>
    <row r="184" spans="1:11" ht="10.5" customHeight="1" x14ac:dyDescent="0.2">
      <c r="A184" s="120" t="s">
        <v>325</v>
      </c>
      <c r="B184" s="952" t="e">
        <f>$B$2</f>
        <v>#REF!</v>
      </c>
      <c r="C184" s="952"/>
      <c r="D184" s="934" t="s">
        <v>326</v>
      </c>
      <c r="E184" s="934"/>
      <c r="F184" s="934"/>
      <c r="G184" s="934"/>
      <c r="H184" s="953">
        <f>$H$2</f>
        <v>45739</v>
      </c>
      <c r="I184" s="953"/>
      <c r="J184" s="441"/>
      <c r="K184" s="122" t="s">
        <v>327</v>
      </c>
    </row>
    <row r="185" spans="1:11" ht="10.5" customHeight="1" x14ac:dyDescent="0.2">
      <c r="A185" s="120"/>
      <c r="B185" s="127"/>
      <c r="C185" s="124"/>
      <c r="D185" s="124"/>
      <c r="E185" s="124"/>
      <c r="F185" s="124"/>
      <c r="G185" s="124"/>
      <c r="H185" s="124"/>
      <c r="I185" s="124"/>
      <c r="J185" s="441"/>
      <c r="K185" s="122" t="e">
        <f>$B$2</f>
        <v>#REF!</v>
      </c>
    </row>
    <row r="186" spans="1:11" ht="10.5" customHeight="1" x14ac:dyDescent="0.2">
      <c r="A186" s="120" t="s">
        <v>0</v>
      </c>
      <c r="B186" s="960" t="str">
        <f>$B$4</f>
        <v>адрес вбить сюда</v>
      </c>
      <c r="C186" s="960"/>
      <c r="D186" s="960"/>
      <c r="E186" s="960"/>
      <c r="F186" s="960"/>
      <c r="G186" s="960"/>
      <c r="H186" s="960"/>
      <c r="I186" s="960"/>
      <c r="J186" s="961"/>
      <c r="K186" s="122"/>
    </row>
    <row r="187" spans="1:11" ht="10.5" customHeight="1" x14ac:dyDescent="0.2">
      <c r="A187" s="120"/>
      <c r="B187" s="960"/>
      <c r="C187" s="960"/>
      <c r="D187" s="960"/>
      <c r="E187" s="960"/>
      <c r="F187" s="960"/>
      <c r="G187" s="960"/>
      <c r="H187" s="960"/>
      <c r="I187" s="960"/>
      <c r="J187" s="961"/>
      <c r="K187" s="122" t="s">
        <v>328</v>
      </c>
    </row>
    <row r="188" spans="1:11" ht="10.5" customHeight="1" x14ac:dyDescent="0.2">
      <c r="A188" s="957" t="s">
        <v>329</v>
      </c>
      <c r="B188" s="958"/>
      <c r="C188" s="958"/>
      <c r="D188" s="945" t="str">
        <f>'Акт отбора проб ДО'!F34</f>
        <v>ДО15</v>
      </c>
      <c r="E188" s="945"/>
      <c r="F188" s="945"/>
      <c r="G188" s="959" t="s">
        <v>330</v>
      </c>
      <c r="H188" s="959"/>
      <c r="I188" s="959"/>
      <c r="J188" s="438" t="str">
        <f>J175</f>
        <v>0,0-0,2</v>
      </c>
      <c r="K188" s="126">
        <f>$H$2</f>
        <v>45739</v>
      </c>
    </row>
    <row r="189" spans="1:11" ht="10.5" customHeight="1" x14ac:dyDescent="0.2">
      <c r="A189" s="120"/>
      <c r="B189" s="127"/>
      <c r="C189" s="124"/>
      <c r="D189" s="128"/>
      <c r="E189" s="128"/>
      <c r="F189" s="128"/>
      <c r="G189" s="125"/>
      <c r="H189" s="125"/>
      <c r="I189" s="125"/>
      <c r="J189" s="442"/>
      <c r="K189" s="122" t="s">
        <v>331</v>
      </c>
    </row>
    <row r="190" spans="1:11" ht="10.5" customHeight="1" x14ac:dyDescent="0.2">
      <c r="A190" s="120" t="s">
        <v>331</v>
      </c>
      <c r="B190" s="129" t="str">
        <f>'Акт отбора проб ДО'!C34</f>
        <v>15БХ.01</v>
      </c>
      <c r="C190" s="124"/>
      <c r="D190" s="946"/>
      <c r="E190" s="946"/>
      <c r="F190" s="946"/>
      <c r="G190" s="946"/>
      <c r="H190" s="946"/>
      <c r="I190" s="125"/>
      <c r="J190" s="442"/>
      <c r="K190" s="122" t="str">
        <f>B190</f>
        <v>15БХ.01</v>
      </c>
    </row>
    <row r="191" spans="1:11" ht="10.5" customHeight="1" x14ac:dyDescent="0.2">
      <c r="A191" s="120"/>
      <c r="B191" s="127"/>
      <c r="C191" s="124"/>
      <c r="D191" s="124"/>
      <c r="E191" s="124"/>
      <c r="F191" s="124"/>
      <c r="G191" s="124"/>
      <c r="H191" s="124"/>
      <c r="I191" s="124"/>
      <c r="J191" s="441"/>
      <c r="K191" s="122" t="s">
        <v>332</v>
      </c>
    </row>
    <row r="192" spans="1:11" ht="10.5" customHeight="1" x14ac:dyDescent="0.2">
      <c r="A192" s="957" t="s">
        <v>681</v>
      </c>
      <c r="B192" s="958"/>
      <c r="C192" s="947"/>
      <c r="D192" s="947"/>
      <c r="E192" s="947"/>
      <c r="F192" s="947"/>
      <c r="G192" s="947"/>
      <c r="H192" s="947"/>
      <c r="I192" s="947"/>
      <c r="J192" s="144"/>
      <c r="K192" s="122" t="str">
        <f>J188</f>
        <v>0,0-0,2</v>
      </c>
    </row>
    <row r="193" spans="1:11" ht="10.5" customHeight="1" x14ac:dyDescent="0.2">
      <c r="A193" s="120" t="s">
        <v>333</v>
      </c>
      <c r="B193" s="127"/>
      <c r="C193" s="124"/>
      <c r="D193" s="124"/>
      <c r="E193" s="124"/>
      <c r="F193" s="124"/>
      <c r="G193" s="124"/>
      <c r="H193" s="124"/>
      <c r="I193" s="124"/>
      <c r="J193" s="441"/>
      <c r="K193" s="122" t="s">
        <v>334</v>
      </c>
    </row>
    <row r="194" spans="1:11" ht="10.5" customHeight="1" x14ac:dyDescent="0.2">
      <c r="A194" s="120" t="s">
        <v>335</v>
      </c>
      <c r="B194" s="133"/>
      <c r="C194" s="134"/>
      <c r="D194" s="134"/>
      <c r="E194" s="134"/>
      <c r="F194" s="134"/>
      <c r="G194" s="134"/>
      <c r="H194" s="124"/>
      <c r="I194" s="124"/>
      <c r="J194" s="441"/>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40"/>
      <c r="K196" s="118"/>
    </row>
    <row r="197" spans="1:11" ht="10.5" customHeight="1" x14ac:dyDescent="0.2">
      <c r="A197" s="120" t="s">
        <v>325</v>
      </c>
      <c r="B197" s="952" t="e">
        <f>$B$2</f>
        <v>#REF!</v>
      </c>
      <c r="C197" s="952"/>
      <c r="D197" s="934" t="s">
        <v>326</v>
      </c>
      <c r="E197" s="934"/>
      <c r="F197" s="934"/>
      <c r="G197" s="934"/>
      <c r="H197" s="953">
        <f>$H$2</f>
        <v>45739</v>
      </c>
      <c r="I197" s="953"/>
      <c r="J197" s="441"/>
      <c r="K197" s="122" t="s">
        <v>327</v>
      </c>
    </row>
    <row r="198" spans="1:11" ht="10.5" customHeight="1" x14ac:dyDescent="0.2">
      <c r="A198" s="120"/>
      <c r="B198" s="127"/>
      <c r="C198" s="124"/>
      <c r="D198" s="124"/>
      <c r="E198" s="124"/>
      <c r="F198" s="124"/>
      <c r="G198" s="124"/>
      <c r="H198" s="124"/>
      <c r="I198" s="124"/>
      <c r="J198" s="441"/>
      <c r="K198" s="122" t="e">
        <f>$B$2</f>
        <v>#REF!</v>
      </c>
    </row>
    <row r="199" spans="1:11" ht="10.5" customHeight="1" x14ac:dyDescent="0.2">
      <c r="A199" s="120" t="s">
        <v>0</v>
      </c>
      <c r="B199" s="960" t="str">
        <f>$B$4</f>
        <v>адрес вбить сюда</v>
      </c>
      <c r="C199" s="960"/>
      <c r="D199" s="960"/>
      <c r="E199" s="960"/>
      <c r="F199" s="960"/>
      <c r="G199" s="960"/>
      <c r="H199" s="960"/>
      <c r="I199" s="960"/>
      <c r="J199" s="961"/>
      <c r="K199" s="122"/>
    </row>
    <row r="200" spans="1:11" ht="10.5" customHeight="1" x14ac:dyDescent="0.2">
      <c r="A200" s="120"/>
      <c r="B200" s="960"/>
      <c r="C200" s="960"/>
      <c r="D200" s="960"/>
      <c r="E200" s="960"/>
      <c r="F200" s="960"/>
      <c r="G200" s="960"/>
      <c r="H200" s="960"/>
      <c r="I200" s="960"/>
      <c r="J200" s="961"/>
      <c r="K200" s="122" t="s">
        <v>328</v>
      </c>
    </row>
    <row r="201" spans="1:11" ht="10.5" customHeight="1" x14ac:dyDescent="0.2">
      <c r="A201" s="957" t="s">
        <v>329</v>
      </c>
      <c r="B201" s="958"/>
      <c r="C201" s="958"/>
      <c r="D201" s="945" t="str">
        <f>'Акт отбора проб Почва'!F35</f>
        <v>СК4</v>
      </c>
      <c r="E201" s="945"/>
      <c r="F201" s="945"/>
      <c r="G201" s="959" t="s">
        <v>330</v>
      </c>
      <c r="H201" s="959"/>
      <c r="I201" s="959"/>
      <c r="J201" s="438" t="str">
        <f>'Акт отбора проб Почва'!B35</f>
        <v>0,5-1,0</v>
      </c>
      <c r="K201" s="126">
        <f>$H$2</f>
        <v>45739</v>
      </c>
    </row>
    <row r="202" spans="1:11" ht="10.5" customHeight="1" x14ac:dyDescent="0.2">
      <c r="A202" s="120"/>
      <c r="B202" s="127"/>
      <c r="C202" s="124"/>
      <c r="D202" s="128"/>
      <c r="E202" s="128"/>
      <c r="F202" s="128"/>
      <c r="G202" s="125"/>
      <c r="H202" s="125"/>
      <c r="I202" s="125"/>
      <c r="J202" s="442"/>
      <c r="K202" s="122" t="s">
        <v>331</v>
      </c>
    </row>
    <row r="203" spans="1:11" ht="10.5" customHeight="1" x14ac:dyDescent="0.2">
      <c r="A203" s="120" t="s">
        <v>331</v>
      </c>
      <c r="B203" s="129" t="str">
        <f>'Акт отбора проб Почва'!C35</f>
        <v>04АХ.03</v>
      </c>
      <c r="C203" s="124"/>
      <c r="D203" s="946"/>
      <c r="E203" s="946"/>
      <c r="F203" s="946"/>
      <c r="G203" s="946"/>
      <c r="H203" s="946"/>
      <c r="I203" s="125"/>
      <c r="J203" s="442"/>
      <c r="K203" s="122" t="str">
        <f>B203</f>
        <v>04АХ.03</v>
      </c>
    </row>
    <row r="204" spans="1:11" ht="10.5" customHeight="1" x14ac:dyDescent="0.2">
      <c r="A204" s="120"/>
      <c r="B204" s="127"/>
      <c r="C204" s="124"/>
      <c r="D204" s="124"/>
      <c r="E204" s="124"/>
      <c r="F204" s="124"/>
      <c r="G204" s="124"/>
      <c r="H204" s="124"/>
      <c r="I204" s="124"/>
      <c r="J204" s="441"/>
      <c r="K204" s="122" t="s">
        <v>332</v>
      </c>
    </row>
    <row r="205" spans="1:11" ht="10.5" customHeight="1" x14ac:dyDescent="0.2">
      <c r="A205" s="957" t="s">
        <v>681</v>
      </c>
      <c r="B205" s="958"/>
      <c r="C205" s="947"/>
      <c r="D205" s="947"/>
      <c r="E205" s="947"/>
      <c r="F205" s="947"/>
      <c r="G205" s="947"/>
      <c r="H205" s="947"/>
      <c r="I205" s="947"/>
      <c r="J205" s="144"/>
      <c r="K205" s="122" t="str">
        <f>J201</f>
        <v>0,5-1,0</v>
      </c>
    </row>
    <row r="206" spans="1:11" ht="10.5" customHeight="1" x14ac:dyDescent="0.2">
      <c r="A206" s="120" t="s">
        <v>333</v>
      </c>
      <c r="B206" s="127"/>
      <c r="C206" s="124"/>
      <c r="D206" s="124"/>
      <c r="E206" s="124"/>
      <c r="F206" s="124"/>
      <c r="G206" s="124"/>
      <c r="H206" s="124"/>
      <c r="I206" s="124"/>
      <c r="J206" s="441"/>
      <c r="K206" s="122" t="s">
        <v>334</v>
      </c>
    </row>
    <row r="207" spans="1:11" ht="10.5" customHeight="1" x14ac:dyDescent="0.2">
      <c r="A207" s="120" t="s">
        <v>335</v>
      </c>
      <c r="B207" s="133"/>
      <c r="C207" s="134"/>
      <c r="D207" s="134"/>
      <c r="E207" s="134"/>
      <c r="F207" s="134"/>
      <c r="G207" s="134"/>
      <c r="H207" s="124"/>
      <c r="I207" s="124"/>
      <c r="J207" s="441"/>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40"/>
      <c r="K209" s="118"/>
    </row>
    <row r="210" spans="1:11" ht="10.5" customHeight="1" x14ac:dyDescent="0.2">
      <c r="A210" s="120" t="s">
        <v>325</v>
      </c>
      <c r="B210" s="952" t="e">
        <f>$B$2</f>
        <v>#REF!</v>
      </c>
      <c r="C210" s="952"/>
      <c r="D210" s="934" t="s">
        <v>326</v>
      </c>
      <c r="E210" s="934"/>
      <c r="F210" s="934"/>
      <c r="G210" s="934"/>
      <c r="H210" s="953">
        <f>$H$2</f>
        <v>45739</v>
      </c>
      <c r="I210" s="954"/>
      <c r="J210" s="441"/>
      <c r="K210" s="122" t="s">
        <v>327</v>
      </c>
    </row>
    <row r="211" spans="1:11" ht="10.5" customHeight="1" x14ac:dyDescent="0.2">
      <c r="A211" s="120"/>
      <c r="B211" s="127"/>
      <c r="C211" s="124"/>
      <c r="D211" s="124"/>
      <c r="E211" s="124"/>
      <c r="F211" s="124"/>
      <c r="G211" s="124"/>
      <c r="H211" s="124"/>
      <c r="I211" s="124"/>
      <c r="J211" s="441"/>
      <c r="K211" s="122" t="e">
        <f>$B$2</f>
        <v>#REF!</v>
      </c>
    </row>
    <row r="212" spans="1:11" ht="10.5" customHeight="1" x14ac:dyDescent="0.2">
      <c r="A212" s="120" t="s">
        <v>0</v>
      </c>
      <c r="B212" s="960" t="str">
        <f>$B$4</f>
        <v>адрес вбить сюда</v>
      </c>
      <c r="C212" s="960"/>
      <c r="D212" s="960"/>
      <c r="E212" s="960"/>
      <c r="F212" s="960"/>
      <c r="G212" s="960"/>
      <c r="H212" s="960"/>
      <c r="I212" s="960"/>
      <c r="J212" s="961"/>
      <c r="K212" s="122"/>
    </row>
    <row r="213" spans="1:11" ht="10.5" customHeight="1" x14ac:dyDescent="0.2">
      <c r="A213" s="120"/>
      <c r="B213" s="960"/>
      <c r="C213" s="960"/>
      <c r="D213" s="960"/>
      <c r="E213" s="960"/>
      <c r="F213" s="960"/>
      <c r="G213" s="960"/>
      <c r="H213" s="960"/>
      <c r="I213" s="960"/>
      <c r="J213" s="961"/>
      <c r="K213" s="122" t="s">
        <v>328</v>
      </c>
    </row>
    <row r="214" spans="1:11" ht="10.5" customHeight="1" x14ac:dyDescent="0.2">
      <c r="A214" s="957" t="s">
        <v>329</v>
      </c>
      <c r="B214" s="958"/>
      <c r="C214" s="958"/>
      <c r="D214" s="945" t="str">
        <f>'Акт отбора проб Почва'!F36</f>
        <v>СК5</v>
      </c>
      <c r="E214" s="945"/>
      <c r="F214" s="945"/>
      <c r="G214" s="959" t="s">
        <v>330</v>
      </c>
      <c r="H214" s="959"/>
      <c r="I214" s="959"/>
      <c r="J214" s="438" t="str">
        <f>'Акт отбора проб Почва'!B36</f>
        <v>0,5-1,0</v>
      </c>
      <c r="K214" s="126">
        <f>$H$2</f>
        <v>45739</v>
      </c>
    </row>
    <row r="215" spans="1:11" ht="10.5" customHeight="1" x14ac:dyDescent="0.2">
      <c r="A215" s="120"/>
      <c r="B215" s="127"/>
      <c r="C215" s="124"/>
      <c r="D215" s="128"/>
      <c r="E215" s="128"/>
      <c r="F215" s="128"/>
      <c r="G215" s="125"/>
      <c r="H215" s="125"/>
      <c r="I215" s="125"/>
      <c r="J215" s="442"/>
      <c r="K215" s="122" t="s">
        <v>331</v>
      </c>
    </row>
    <row r="216" spans="1:11" ht="10.5" customHeight="1" x14ac:dyDescent="0.2">
      <c r="A216" s="120" t="s">
        <v>331</v>
      </c>
      <c r="B216" s="129" t="str">
        <f>'Акт отбора проб Почва'!C36</f>
        <v>05АХ.03</v>
      </c>
      <c r="C216" s="124"/>
      <c r="D216" s="946"/>
      <c r="E216" s="946"/>
      <c r="F216" s="946"/>
      <c r="G216" s="946"/>
      <c r="H216" s="946"/>
      <c r="I216" s="125"/>
      <c r="J216" s="442"/>
      <c r="K216" s="122" t="str">
        <f>B216</f>
        <v>05АХ.03</v>
      </c>
    </row>
    <row r="217" spans="1:11" ht="10.5" customHeight="1" x14ac:dyDescent="0.2">
      <c r="A217" s="120"/>
      <c r="B217" s="127"/>
      <c r="C217" s="124"/>
      <c r="D217" s="124"/>
      <c r="E217" s="124"/>
      <c r="F217" s="124"/>
      <c r="G217" s="124"/>
      <c r="H217" s="124"/>
      <c r="I217" s="124"/>
      <c r="J217" s="441"/>
      <c r="K217" s="122" t="s">
        <v>332</v>
      </c>
    </row>
    <row r="218" spans="1:11" ht="10.5" customHeight="1" x14ac:dyDescent="0.2">
      <c r="A218" s="957" t="s">
        <v>681</v>
      </c>
      <c r="B218" s="958"/>
      <c r="C218" s="947"/>
      <c r="D218" s="947"/>
      <c r="E218" s="947"/>
      <c r="F218" s="947"/>
      <c r="G218" s="947"/>
      <c r="H218" s="947"/>
      <c r="I218" s="947"/>
      <c r="J218" s="144"/>
      <c r="K218" s="122" t="str">
        <f>J214</f>
        <v>0,5-1,0</v>
      </c>
    </row>
    <row r="219" spans="1:11" ht="10.5" customHeight="1" x14ac:dyDescent="0.2">
      <c r="A219" s="120" t="s">
        <v>333</v>
      </c>
      <c r="B219" s="127"/>
      <c r="C219" s="124"/>
      <c r="D219" s="124"/>
      <c r="E219" s="124"/>
      <c r="F219" s="124"/>
      <c r="G219" s="124"/>
      <c r="H219" s="124"/>
      <c r="I219" s="124"/>
      <c r="J219" s="441"/>
      <c r="K219" s="122" t="s">
        <v>334</v>
      </c>
    </row>
    <row r="220" spans="1:11" ht="10.5" customHeight="1" x14ac:dyDescent="0.2">
      <c r="A220" s="120" t="s">
        <v>335</v>
      </c>
      <c r="B220" s="133"/>
      <c r="C220" s="134"/>
      <c r="D220" s="134"/>
      <c r="E220" s="134"/>
      <c r="F220" s="134"/>
      <c r="G220" s="134"/>
      <c r="H220" s="124"/>
      <c r="I220" s="124"/>
      <c r="J220" s="441"/>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40"/>
      <c r="K222" s="118"/>
    </row>
    <row r="223" spans="1:11" ht="10.5" customHeight="1" x14ac:dyDescent="0.2">
      <c r="A223" s="120" t="s">
        <v>325</v>
      </c>
      <c r="B223" s="952" t="e">
        <f>$B$2</f>
        <v>#REF!</v>
      </c>
      <c r="C223" s="952"/>
      <c r="D223" s="934" t="s">
        <v>326</v>
      </c>
      <c r="E223" s="934"/>
      <c r="F223" s="934"/>
      <c r="G223" s="934"/>
      <c r="H223" s="953">
        <f>$H$2</f>
        <v>45739</v>
      </c>
      <c r="I223" s="954"/>
      <c r="J223" s="441"/>
      <c r="K223" s="122" t="s">
        <v>327</v>
      </c>
    </row>
    <row r="224" spans="1:11" ht="10.5" customHeight="1" x14ac:dyDescent="0.2">
      <c r="A224" s="120"/>
      <c r="B224" s="127"/>
      <c r="C224" s="124"/>
      <c r="D224" s="124"/>
      <c r="E224" s="124"/>
      <c r="F224" s="124"/>
      <c r="G224" s="124"/>
      <c r="H224" s="124"/>
      <c r="I224" s="124"/>
      <c r="J224" s="441"/>
      <c r="K224" s="122" t="e">
        <f>$B$2</f>
        <v>#REF!</v>
      </c>
    </row>
    <row r="225" spans="1:11" ht="10.5" customHeight="1" x14ac:dyDescent="0.2">
      <c r="A225" s="120" t="s">
        <v>0</v>
      </c>
      <c r="B225" s="960" t="str">
        <f>$B$4</f>
        <v>адрес вбить сюда</v>
      </c>
      <c r="C225" s="960"/>
      <c r="D225" s="960"/>
      <c r="E225" s="960"/>
      <c r="F225" s="960"/>
      <c r="G225" s="960"/>
      <c r="H225" s="960"/>
      <c r="I225" s="960"/>
      <c r="J225" s="961"/>
      <c r="K225" s="122"/>
    </row>
    <row r="226" spans="1:11" ht="10.5" customHeight="1" x14ac:dyDescent="0.2">
      <c r="A226" s="120"/>
      <c r="B226" s="960"/>
      <c r="C226" s="960"/>
      <c r="D226" s="960"/>
      <c r="E226" s="960"/>
      <c r="F226" s="960"/>
      <c r="G226" s="960"/>
      <c r="H226" s="960"/>
      <c r="I226" s="960"/>
      <c r="J226" s="961"/>
      <c r="K226" s="122" t="s">
        <v>328</v>
      </c>
    </row>
    <row r="227" spans="1:11" ht="10.5" customHeight="1" x14ac:dyDescent="0.2">
      <c r="A227" s="957" t="s">
        <v>329</v>
      </c>
      <c r="B227" s="958"/>
      <c r="C227" s="958"/>
      <c r="D227" s="945" t="str">
        <f>'Акт отбора проб Почва'!F37</f>
        <v>СК6</v>
      </c>
      <c r="E227" s="945"/>
      <c r="F227" s="945"/>
      <c r="G227" s="959" t="s">
        <v>330</v>
      </c>
      <c r="H227" s="959"/>
      <c r="I227" s="959"/>
      <c r="J227" s="438" t="str">
        <f>'Акт отбора проб Почва'!B37</f>
        <v>0,5-1,0</v>
      </c>
      <c r="K227" s="126">
        <f>$H$2</f>
        <v>45739</v>
      </c>
    </row>
    <row r="228" spans="1:11" ht="10.5" customHeight="1" x14ac:dyDescent="0.2">
      <c r="A228" s="120"/>
      <c r="B228" s="127"/>
      <c r="C228" s="124"/>
      <c r="D228" s="128"/>
      <c r="E228" s="128"/>
      <c r="F228" s="128"/>
      <c r="G228" s="125"/>
      <c r="H228" s="125"/>
      <c r="I228" s="125"/>
      <c r="J228" s="442"/>
      <c r="K228" s="122" t="s">
        <v>331</v>
      </c>
    </row>
    <row r="229" spans="1:11" ht="10.5" customHeight="1" x14ac:dyDescent="0.2">
      <c r="A229" s="120" t="s">
        <v>331</v>
      </c>
      <c r="B229" s="129" t="str">
        <f>'Акт отбора проб Почва'!C37</f>
        <v>06АХ.03</v>
      </c>
      <c r="C229" s="124"/>
      <c r="D229" s="946"/>
      <c r="E229" s="946"/>
      <c r="F229" s="946"/>
      <c r="G229" s="946"/>
      <c r="H229" s="946"/>
      <c r="I229" s="125"/>
      <c r="J229" s="442"/>
      <c r="K229" s="122" t="str">
        <f>B229</f>
        <v>06АХ.03</v>
      </c>
    </row>
    <row r="230" spans="1:11" ht="10.5" customHeight="1" x14ac:dyDescent="0.2">
      <c r="A230" s="120"/>
      <c r="B230" s="127"/>
      <c r="C230" s="124"/>
      <c r="D230" s="124"/>
      <c r="E230" s="124"/>
      <c r="F230" s="124"/>
      <c r="G230" s="124"/>
      <c r="H230" s="124"/>
      <c r="I230" s="124"/>
      <c r="J230" s="441"/>
      <c r="K230" s="122" t="s">
        <v>332</v>
      </c>
    </row>
    <row r="231" spans="1:11" ht="10.5" customHeight="1" x14ac:dyDescent="0.2">
      <c r="A231" s="957" t="s">
        <v>681</v>
      </c>
      <c r="B231" s="958"/>
      <c r="C231" s="951"/>
      <c r="D231" s="951"/>
      <c r="E231" s="951"/>
      <c r="F231" s="951"/>
      <c r="G231" s="951"/>
      <c r="H231" s="951"/>
      <c r="I231" s="951"/>
      <c r="J231" s="144"/>
      <c r="K231" s="122" t="str">
        <f>J227</f>
        <v>0,5-1,0</v>
      </c>
    </row>
    <row r="232" spans="1:11" ht="10.5" customHeight="1" x14ac:dyDescent="0.2">
      <c r="A232" s="120" t="s">
        <v>333</v>
      </c>
      <c r="B232" s="127"/>
      <c r="C232" s="124"/>
      <c r="D232" s="124"/>
      <c r="E232" s="124"/>
      <c r="F232" s="124"/>
      <c r="G232" s="124"/>
      <c r="H232" s="124"/>
      <c r="I232" s="124"/>
      <c r="J232" s="441"/>
      <c r="K232" s="122" t="s">
        <v>334</v>
      </c>
    </row>
    <row r="233" spans="1:11" ht="10.5" customHeight="1" x14ac:dyDescent="0.2">
      <c r="A233" s="120" t="s">
        <v>335</v>
      </c>
      <c r="B233" s="133"/>
      <c r="C233" s="134"/>
      <c r="D233" s="134"/>
      <c r="E233" s="134"/>
      <c r="F233" s="134"/>
      <c r="G233" s="134"/>
      <c r="H233" s="124"/>
      <c r="I233" s="124"/>
      <c r="J233" s="441"/>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40"/>
      <c r="K235" s="118"/>
    </row>
    <row r="236" spans="1:11" ht="10.5" customHeight="1" x14ac:dyDescent="0.2">
      <c r="A236" s="120" t="s">
        <v>325</v>
      </c>
      <c r="B236" s="952" t="e">
        <f>$B$2</f>
        <v>#REF!</v>
      </c>
      <c r="C236" s="952"/>
      <c r="D236" s="934" t="s">
        <v>326</v>
      </c>
      <c r="E236" s="934"/>
      <c r="F236" s="934"/>
      <c r="G236" s="934"/>
      <c r="H236" s="953">
        <f>$H$2</f>
        <v>45739</v>
      </c>
      <c r="I236" s="954"/>
      <c r="J236" s="441"/>
      <c r="K236" s="122" t="s">
        <v>327</v>
      </c>
    </row>
    <row r="237" spans="1:11" ht="10.5" customHeight="1" x14ac:dyDescent="0.2">
      <c r="A237" s="120"/>
      <c r="B237" s="127"/>
      <c r="C237" s="124"/>
      <c r="D237" s="124"/>
      <c r="E237" s="124"/>
      <c r="F237" s="124"/>
      <c r="G237" s="124"/>
      <c r="H237" s="124"/>
      <c r="I237" s="124"/>
      <c r="J237" s="441"/>
      <c r="K237" s="122" t="e">
        <f>$B$2</f>
        <v>#REF!</v>
      </c>
    </row>
    <row r="238" spans="1:11" ht="10.5" customHeight="1" x14ac:dyDescent="0.2">
      <c r="A238" s="120" t="s">
        <v>0</v>
      </c>
      <c r="B238" s="960" t="str">
        <f>$B$4</f>
        <v>адрес вбить сюда</v>
      </c>
      <c r="C238" s="960"/>
      <c r="D238" s="960"/>
      <c r="E238" s="960"/>
      <c r="F238" s="960"/>
      <c r="G238" s="960"/>
      <c r="H238" s="960"/>
      <c r="I238" s="960"/>
      <c r="J238" s="961"/>
      <c r="K238" s="122"/>
    </row>
    <row r="239" spans="1:11" ht="10.5" customHeight="1" x14ac:dyDescent="0.2">
      <c r="A239" s="120"/>
      <c r="B239" s="960"/>
      <c r="C239" s="960"/>
      <c r="D239" s="960"/>
      <c r="E239" s="960"/>
      <c r="F239" s="960"/>
      <c r="G239" s="960"/>
      <c r="H239" s="960"/>
      <c r="I239" s="960"/>
      <c r="J239" s="961"/>
      <c r="K239" s="122" t="s">
        <v>328</v>
      </c>
    </row>
    <row r="240" spans="1:11" ht="10.5" customHeight="1" x14ac:dyDescent="0.2">
      <c r="A240" s="957" t="s">
        <v>329</v>
      </c>
      <c r="B240" s="958"/>
      <c r="C240" s="958"/>
      <c r="D240" s="945" t="e">
        <f>'Акт отбора проб Почва'!#REF!</f>
        <v>#REF!</v>
      </c>
      <c r="E240" s="945"/>
      <c r="F240" s="945"/>
      <c r="G240" s="959" t="s">
        <v>330</v>
      </c>
      <c r="H240" s="959"/>
      <c r="I240" s="959"/>
      <c r="J240" s="438" t="e">
        <f>'Акт отбора проб Почва'!#REF!</f>
        <v>#REF!</v>
      </c>
      <c r="K240" s="126">
        <f>$H$2</f>
        <v>45739</v>
      </c>
    </row>
    <row r="241" spans="1:11" ht="10.5" customHeight="1" x14ac:dyDescent="0.2">
      <c r="A241" s="120"/>
      <c r="B241" s="127"/>
      <c r="C241" s="124"/>
      <c r="D241" s="128"/>
      <c r="E241" s="128"/>
      <c r="F241" s="128"/>
      <c r="G241" s="125"/>
      <c r="H241" s="125"/>
      <c r="I241" s="125"/>
      <c r="J241" s="442"/>
      <c r="K241" s="122" t="s">
        <v>331</v>
      </c>
    </row>
    <row r="242" spans="1:11" ht="10.5" customHeight="1" x14ac:dyDescent="0.2">
      <c r="A242" s="120" t="s">
        <v>331</v>
      </c>
      <c r="B242" s="129" t="e">
        <f>'Акт отбора проб Почва'!#REF!</f>
        <v>#REF!</v>
      </c>
      <c r="C242" s="124"/>
      <c r="D242" s="946"/>
      <c r="E242" s="946"/>
      <c r="F242" s="946"/>
      <c r="G242" s="946"/>
      <c r="H242" s="946"/>
      <c r="I242" s="125"/>
      <c r="J242" s="442"/>
      <c r="K242" s="122" t="e">
        <f>B242</f>
        <v>#REF!</v>
      </c>
    </row>
    <row r="243" spans="1:11" ht="10.5" customHeight="1" x14ac:dyDescent="0.2">
      <c r="A243" s="120"/>
      <c r="B243" s="127"/>
      <c r="C243" s="124"/>
      <c r="D243" s="124"/>
      <c r="E243" s="124"/>
      <c r="F243" s="124"/>
      <c r="G243" s="124"/>
      <c r="H243" s="124"/>
      <c r="I243" s="124"/>
      <c r="J243" s="441"/>
      <c r="K243" s="122" t="s">
        <v>332</v>
      </c>
    </row>
    <row r="244" spans="1:11" ht="10.5" customHeight="1" x14ac:dyDescent="0.2">
      <c r="A244" s="957" t="s">
        <v>681</v>
      </c>
      <c r="B244" s="958"/>
      <c r="C244" s="951"/>
      <c r="D244" s="951"/>
      <c r="E244" s="951"/>
      <c r="F244" s="951"/>
      <c r="G244" s="951"/>
      <c r="H244" s="951"/>
      <c r="I244" s="951"/>
      <c r="J244" s="144"/>
      <c r="K244" s="122" t="e">
        <f>J240</f>
        <v>#REF!</v>
      </c>
    </row>
    <row r="245" spans="1:11" ht="10.5" customHeight="1" x14ac:dyDescent="0.2">
      <c r="A245" s="120" t="s">
        <v>333</v>
      </c>
      <c r="B245" s="127"/>
      <c r="C245" s="124"/>
      <c r="D245" s="124"/>
      <c r="E245" s="124"/>
      <c r="F245" s="124"/>
      <c r="G245" s="124"/>
      <c r="H245" s="124"/>
      <c r="I245" s="124"/>
      <c r="J245" s="441"/>
      <c r="K245" s="122" t="s">
        <v>334</v>
      </c>
    </row>
    <row r="246" spans="1:11" ht="10.5" customHeight="1" x14ac:dyDescent="0.2">
      <c r="A246" s="120" t="s">
        <v>335</v>
      </c>
      <c r="B246" s="133"/>
      <c r="C246" s="134"/>
      <c r="D246" s="134"/>
      <c r="E246" s="134"/>
      <c r="F246" s="134"/>
      <c r="G246" s="134"/>
      <c r="H246" s="124"/>
      <c r="I246" s="124"/>
      <c r="J246" s="441"/>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40"/>
      <c r="K248" s="118"/>
    </row>
    <row r="249" spans="1:11" ht="10.5" customHeight="1" x14ac:dyDescent="0.2">
      <c r="A249" s="120" t="s">
        <v>325</v>
      </c>
      <c r="B249" s="952" t="e">
        <f>$B$2</f>
        <v>#REF!</v>
      </c>
      <c r="C249" s="952"/>
      <c r="D249" s="934" t="s">
        <v>326</v>
      </c>
      <c r="E249" s="934"/>
      <c r="F249" s="934"/>
      <c r="G249" s="934"/>
      <c r="H249" s="953">
        <f>$H$2</f>
        <v>45739</v>
      </c>
      <c r="I249" s="954"/>
      <c r="J249" s="441"/>
      <c r="K249" s="122" t="s">
        <v>327</v>
      </c>
    </row>
    <row r="250" spans="1:11" ht="10.5" customHeight="1" x14ac:dyDescent="0.2">
      <c r="A250" s="120"/>
      <c r="B250" s="127"/>
      <c r="C250" s="124"/>
      <c r="D250" s="124"/>
      <c r="E250" s="124"/>
      <c r="F250" s="124"/>
      <c r="G250" s="124"/>
      <c r="H250" s="124"/>
      <c r="I250" s="124"/>
      <c r="J250" s="441"/>
      <c r="K250" s="122" t="e">
        <f>$B$2</f>
        <v>#REF!</v>
      </c>
    </row>
    <row r="251" spans="1:11" ht="10.5" customHeight="1" x14ac:dyDescent="0.2">
      <c r="A251" s="120" t="s">
        <v>0</v>
      </c>
      <c r="B251" s="960" t="str">
        <f>$B$4</f>
        <v>адрес вбить сюда</v>
      </c>
      <c r="C251" s="960"/>
      <c r="D251" s="960"/>
      <c r="E251" s="960"/>
      <c r="F251" s="960"/>
      <c r="G251" s="960"/>
      <c r="H251" s="960"/>
      <c r="I251" s="960"/>
      <c r="J251" s="961"/>
      <c r="K251" s="122"/>
    </row>
    <row r="252" spans="1:11" ht="10.5" customHeight="1" x14ac:dyDescent="0.2">
      <c r="A252" s="120"/>
      <c r="B252" s="960"/>
      <c r="C252" s="960"/>
      <c r="D252" s="960"/>
      <c r="E252" s="960"/>
      <c r="F252" s="960"/>
      <c r="G252" s="960"/>
      <c r="H252" s="960"/>
      <c r="I252" s="960"/>
      <c r="J252" s="961"/>
      <c r="K252" s="122" t="s">
        <v>328</v>
      </c>
    </row>
    <row r="253" spans="1:11" ht="10.5" customHeight="1" x14ac:dyDescent="0.2">
      <c r="A253" s="957" t="s">
        <v>329</v>
      </c>
      <c r="B253" s="958"/>
      <c r="C253" s="958"/>
      <c r="D253" s="945" t="str">
        <f>'Акт отбора проб Почва'!F38</f>
        <v>СК1</v>
      </c>
      <c r="E253" s="945"/>
      <c r="F253" s="945"/>
      <c r="G253" s="959" t="s">
        <v>330</v>
      </c>
      <c r="H253" s="959"/>
      <c r="I253" s="959"/>
      <c r="J253" s="438" t="str">
        <f>'Акт отбора проб Почва'!B38</f>
        <v>0,2-1,0</v>
      </c>
      <c r="K253" s="126">
        <f>$H$2</f>
        <v>45739</v>
      </c>
    </row>
    <row r="254" spans="1:11" ht="10.5" customHeight="1" x14ac:dyDescent="0.2">
      <c r="A254" s="120"/>
      <c r="B254" s="127"/>
      <c r="C254" s="124"/>
      <c r="D254" s="128"/>
      <c r="E254" s="128"/>
      <c r="F254" s="128"/>
      <c r="G254" s="125"/>
      <c r="H254" s="125"/>
      <c r="I254" s="125"/>
      <c r="J254" s="442"/>
      <c r="K254" s="122" t="s">
        <v>331</v>
      </c>
    </row>
    <row r="255" spans="1:11" ht="10.5" customHeight="1" x14ac:dyDescent="0.2">
      <c r="A255" s="120" t="s">
        <v>331</v>
      </c>
      <c r="B255" s="129" t="str">
        <f>'Акт отбора проб Почва'!C38</f>
        <v>01АХ.02</v>
      </c>
      <c r="C255" s="124"/>
      <c r="D255" s="128"/>
      <c r="E255" s="128"/>
      <c r="F255" s="128"/>
      <c r="G255" s="125"/>
      <c r="H255" s="125"/>
      <c r="I255" s="125"/>
      <c r="J255" s="442"/>
      <c r="K255" s="122" t="str">
        <f>B255</f>
        <v>01АХ.02</v>
      </c>
    </row>
    <row r="256" spans="1:11" ht="10.5" customHeight="1" x14ac:dyDescent="0.2">
      <c r="A256" s="120"/>
      <c r="B256" s="127"/>
      <c r="C256" s="124"/>
      <c r="D256" s="124"/>
      <c r="E256" s="124"/>
      <c r="F256" s="124"/>
      <c r="G256" s="124"/>
      <c r="H256" s="124"/>
      <c r="I256" s="124"/>
      <c r="J256" s="441"/>
      <c r="K256" s="122" t="s">
        <v>332</v>
      </c>
    </row>
    <row r="257" spans="1:13" ht="10.5" customHeight="1" x14ac:dyDescent="0.2">
      <c r="A257" s="957" t="s">
        <v>681</v>
      </c>
      <c r="B257" s="958"/>
      <c r="C257" s="951"/>
      <c r="D257" s="951"/>
      <c r="E257" s="951"/>
      <c r="F257" s="951"/>
      <c r="G257" s="951"/>
      <c r="H257" s="951"/>
      <c r="I257" s="951"/>
      <c r="J257" s="144"/>
      <c r="K257" s="122" t="str">
        <f>J253</f>
        <v>0,2-1,0</v>
      </c>
    </row>
    <row r="258" spans="1:13" ht="10.5" customHeight="1" x14ac:dyDescent="0.2">
      <c r="A258" s="120" t="s">
        <v>333</v>
      </c>
      <c r="B258" s="127"/>
      <c r="C258" s="124"/>
      <c r="D258" s="124"/>
      <c r="E258" s="124"/>
      <c r="F258" s="124"/>
      <c r="G258" s="124"/>
      <c r="H258" s="124"/>
      <c r="I258" s="124"/>
      <c r="J258" s="441"/>
      <c r="K258" s="122" t="s">
        <v>334</v>
      </c>
    </row>
    <row r="259" spans="1:13" ht="10.5" customHeight="1" x14ac:dyDescent="0.2">
      <c r="A259" s="120" t="s">
        <v>335</v>
      </c>
      <c r="B259" s="133"/>
      <c r="C259" s="134"/>
      <c r="D259" s="134"/>
      <c r="E259" s="134"/>
      <c r="F259" s="134"/>
      <c r="G259" s="134"/>
      <c r="H259" s="124"/>
      <c r="I259" s="124"/>
      <c r="J259" s="441"/>
      <c r="K259" s="122"/>
    </row>
    <row r="260" spans="1:13" ht="10.5" customHeight="1" thickBot="1" x14ac:dyDescent="0.25">
      <c r="A260" s="145"/>
      <c r="B260" s="146"/>
      <c r="C260" s="147" t="s">
        <v>336</v>
      </c>
      <c r="D260" s="147"/>
      <c r="E260" s="147"/>
      <c r="F260" s="147"/>
      <c r="G260" s="147"/>
      <c r="H260" s="147"/>
      <c r="I260" s="147"/>
      <c r="J260" s="394"/>
      <c r="K260" s="139"/>
    </row>
    <row r="261" spans="1:13" ht="10.5" customHeight="1" x14ac:dyDescent="0.2">
      <c r="A261" s="141"/>
      <c r="B261" s="142"/>
      <c r="C261" s="143"/>
      <c r="D261" s="143"/>
      <c r="E261" s="143"/>
      <c r="F261" s="143"/>
      <c r="G261" s="143"/>
      <c r="H261" s="143"/>
      <c r="I261" s="143"/>
      <c r="J261" s="440"/>
      <c r="K261" s="118"/>
    </row>
    <row r="262" spans="1:13" ht="10.5" customHeight="1" x14ac:dyDescent="0.2">
      <c r="A262" s="120" t="s">
        <v>325</v>
      </c>
      <c r="B262" s="952" t="e">
        <f>$B$2</f>
        <v>#REF!</v>
      </c>
      <c r="C262" s="952"/>
      <c r="D262" s="934" t="s">
        <v>326</v>
      </c>
      <c r="E262" s="934"/>
      <c r="F262" s="934"/>
      <c r="G262" s="934"/>
      <c r="H262" s="953">
        <f>$H$2</f>
        <v>45739</v>
      </c>
      <c r="I262" s="954"/>
      <c r="J262" s="441"/>
      <c r="K262" s="122" t="s">
        <v>327</v>
      </c>
      <c r="M262" t="s">
        <v>338</v>
      </c>
    </row>
    <row r="263" spans="1:13" ht="10.5" customHeight="1" x14ac:dyDescent="0.2">
      <c r="A263" s="120"/>
      <c r="B263" s="127"/>
      <c r="C263" s="124"/>
      <c r="D263" s="124"/>
      <c r="E263" s="124"/>
      <c r="F263" s="124"/>
      <c r="G263" s="124"/>
      <c r="H263" s="124"/>
      <c r="I263" s="124"/>
      <c r="J263" s="441"/>
      <c r="K263" s="122" t="e">
        <f>$B$2</f>
        <v>#REF!</v>
      </c>
    </row>
    <row r="264" spans="1:13" ht="10.5" customHeight="1" x14ac:dyDescent="0.2">
      <c r="A264" s="120" t="s">
        <v>0</v>
      </c>
      <c r="B264" s="960" t="str">
        <f>$B$4</f>
        <v>адрес вбить сюда</v>
      </c>
      <c r="C264" s="960"/>
      <c r="D264" s="960"/>
      <c r="E264" s="960"/>
      <c r="F264" s="960"/>
      <c r="G264" s="960"/>
      <c r="H264" s="960"/>
      <c r="I264" s="960"/>
      <c r="J264" s="961"/>
      <c r="K264" s="122"/>
    </row>
    <row r="265" spans="1:13" ht="10.5" customHeight="1" x14ac:dyDescent="0.2">
      <c r="A265" s="120"/>
      <c r="B265" s="960"/>
      <c r="C265" s="960"/>
      <c r="D265" s="960"/>
      <c r="E265" s="960"/>
      <c r="F265" s="960"/>
      <c r="G265" s="960"/>
      <c r="H265" s="960"/>
      <c r="I265" s="960"/>
      <c r="J265" s="961"/>
      <c r="K265" s="122" t="s">
        <v>328</v>
      </c>
    </row>
    <row r="266" spans="1:13" ht="10.5" customHeight="1" x14ac:dyDescent="0.2">
      <c r="A266" s="957" t="s">
        <v>329</v>
      </c>
      <c r="B266" s="958"/>
      <c r="C266" s="958"/>
      <c r="D266" s="945" t="str">
        <f>'Акт отбора проб Почва'!F39</f>
        <v>СК2</v>
      </c>
      <c r="E266" s="945"/>
      <c r="F266" s="945"/>
      <c r="G266" s="959" t="s">
        <v>330</v>
      </c>
      <c r="H266" s="959"/>
      <c r="I266" s="959"/>
      <c r="J266" s="438" t="str">
        <f>'Акт отбора проб Почва'!B39</f>
        <v>0,2-1,0</v>
      </c>
      <c r="K266" s="126">
        <f>$H$2</f>
        <v>45739</v>
      </c>
    </row>
    <row r="267" spans="1:13" ht="10.5" customHeight="1" x14ac:dyDescent="0.2">
      <c r="A267" s="120"/>
      <c r="B267" s="127"/>
      <c r="C267" s="124"/>
      <c r="D267" s="128"/>
      <c r="E267" s="128"/>
      <c r="F267" s="128"/>
      <c r="G267" s="125"/>
      <c r="H267" s="125"/>
      <c r="I267" s="125"/>
      <c r="J267" s="442"/>
      <c r="K267" s="122" t="s">
        <v>331</v>
      </c>
    </row>
    <row r="268" spans="1:13" ht="10.5" customHeight="1" x14ac:dyDescent="0.2">
      <c r="A268" s="120" t="s">
        <v>331</v>
      </c>
      <c r="B268" s="129" t="str">
        <f>'Акт отбора проб Почва'!C39</f>
        <v>02АХ.02</v>
      </c>
      <c r="C268" s="124"/>
      <c r="D268" s="128"/>
      <c r="E268" s="128"/>
      <c r="F268" s="128"/>
      <c r="G268" s="125"/>
      <c r="H268" s="125"/>
      <c r="I268" s="125"/>
      <c r="J268" s="442"/>
      <c r="K268" s="122" t="str">
        <f>B268</f>
        <v>02АХ.02</v>
      </c>
    </row>
    <row r="269" spans="1:13" ht="10.5" customHeight="1" x14ac:dyDescent="0.2">
      <c r="A269" s="120"/>
      <c r="B269" s="127"/>
      <c r="C269" s="124"/>
      <c r="D269" s="124"/>
      <c r="E269" s="124"/>
      <c r="F269" s="124"/>
      <c r="G269" s="124"/>
      <c r="H269" s="124"/>
      <c r="I269" s="124"/>
      <c r="J269" s="441"/>
      <c r="K269" s="122" t="s">
        <v>332</v>
      </c>
    </row>
    <row r="270" spans="1:13" ht="10.5" customHeight="1" x14ac:dyDescent="0.2">
      <c r="A270" s="957" t="s">
        <v>681</v>
      </c>
      <c r="B270" s="958"/>
      <c r="C270" s="951"/>
      <c r="D270" s="951"/>
      <c r="E270" s="951"/>
      <c r="F270" s="951"/>
      <c r="G270" s="951"/>
      <c r="H270" s="951"/>
      <c r="I270" s="951"/>
      <c r="J270" s="144"/>
      <c r="K270" s="122" t="str">
        <f>J266</f>
        <v>0,2-1,0</v>
      </c>
    </row>
    <row r="271" spans="1:13" ht="10.5" customHeight="1" x14ac:dyDescent="0.2">
      <c r="A271" s="120" t="s">
        <v>333</v>
      </c>
      <c r="B271" s="127"/>
      <c r="C271" s="124"/>
      <c r="D271" s="124"/>
      <c r="E271" s="124"/>
      <c r="F271" s="124"/>
      <c r="G271" s="124"/>
      <c r="H271" s="124"/>
      <c r="I271" s="124"/>
      <c r="J271" s="441"/>
      <c r="K271" s="122" t="s">
        <v>334</v>
      </c>
    </row>
    <row r="272" spans="1:13" ht="10.5" customHeight="1" x14ac:dyDescent="0.2">
      <c r="A272" s="120" t="s">
        <v>335</v>
      </c>
      <c r="B272" s="133"/>
      <c r="C272" s="134"/>
      <c r="D272" s="134"/>
      <c r="E272" s="134"/>
      <c r="F272" s="134"/>
      <c r="G272" s="134"/>
      <c r="H272" s="124"/>
      <c r="I272" s="124"/>
      <c r="J272" s="441"/>
      <c r="K272" s="122"/>
    </row>
    <row r="273" spans="1:11" ht="10.5" customHeight="1" thickBot="1" x14ac:dyDescent="0.25">
      <c r="A273" s="145"/>
      <c r="B273" s="146"/>
      <c r="C273" s="147" t="s">
        <v>336</v>
      </c>
      <c r="D273" s="147"/>
      <c r="E273" s="147"/>
      <c r="F273" s="147"/>
      <c r="G273" s="147"/>
      <c r="H273" s="147"/>
      <c r="I273" s="147"/>
      <c r="J273" s="394"/>
      <c r="K273" s="139"/>
    </row>
    <row r="274" spans="1:11" ht="10.5" customHeight="1" x14ac:dyDescent="0.2">
      <c r="A274" s="141"/>
      <c r="B274" s="142"/>
      <c r="C274" s="143"/>
      <c r="D274" s="143"/>
      <c r="E274" s="143"/>
      <c r="F274" s="143"/>
      <c r="G274" s="143"/>
      <c r="H274" s="143"/>
      <c r="I274" s="143"/>
      <c r="J274" s="440"/>
      <c r="K274" s="118"/>
    </row>
    <row r="275" spans="1:11" ht="10.5" customHeight="1" x14ac:dyDescent="0.2">
      <c r="A275" s="120" t="s">
        <v>325</v>
      </c>
      <c r="B275" s="952" t="e">
        <f>$B$2</f>
        <v>#REF!</v>
      </c>
      <c r="C275" s="952"/>
      <c r="D275" s="934" t="s">
        <v>326</v>
      </c>
      <c r="E275" s="934"/>
      <c r="F275" s="934"/>
      <c r="G275" s="934"/>
      <c r="H275" s="953">
        <f>$H$2</f>
        <v>45739</v>
      </c>
      <c r="I275" s="954"/>
      <c r="J275" s="441"/>
      <c r="K275" s="122" t="s">
        <v>327</v>
      </c>
    </row>
    <row r="276" spans="1:11" ht="10.5" customHeight="1" x14ac:dyDescent="0.2">
      <c r="A276" s="120"/>
      <c r="B276" s="127"/>
      <c r="C276" s="124"/>
      <c r="D276" s="124"/>
      <c r="E276" s="124"/>
      <c r="F276" s="124"/>
      <c r="G276" s="124"/>
      <c r="H276" s="124"/>
      <c r="I276" s="124"/>
      <c r="J276" s="441"/>
      <c r="K276" s="122" t="e">
        <f>$B$2</f>
        <v>#REF!</v>
      </c>
    </row>
    <row r="277" spans="1:11" ht="10.5" customHeight="1" x14ac:dyDescent="0.2">
      <c r="A277" s="120" t="s">
        <v>0</v>
      </c>
      <c r="B277" s="960" t="str">
        <f>$B$4</f>
        <v>адрес вбить сюда</v>
      </c>
      <c r="C277" s="960"/>
      <c r="D277" s="960"/>
      <c r="E277" s="960"/>
      <c r="F277" s="960"/>
      <c r="G277" s="960"/>
      <c r="H277" s="960"/>
      <c r="I277" s="960"/>
      <c r="J277" s="961"/>
      <c r="K277" s="122"/>
    </row>
    <row r="278" spans="1:11" ht="10.5" customHeight="1" x14ac:dyDescent="0.2">
      <c r="A278" s="120"/>
      <c r="B278" s="960"/>
      <c r="C278" s="960"/>
      <c r="D278" s="960"/>
      <c r="E278" s="960"/>
      <c r="F278" s="960"/>
      <c r="G278" s="960"/>
      <c r="H278" s="960"/>
      <c r="I278" s="960"/>
      <c r="J278" s="961"/>
      <c r="K278" s="122" t="s">
        <v>328</v>
      </c>
    </row>
    <row r="279" spans="1:11" ht="10.5" customHeight="1" x14ac:dyDescent="0.2">
      <c r="A279" s="957" t="s">
        <v>329</v>
      </c>
      <c r="B279" s="958"/>
      <c r="C279" s="958"/>
      <c r="D279" s="945" t="str">
        <f>'Акт отбора проб Почва'!F40</f>
        <v>СК3</v>
      </c>
      <c r="E279" s="945"/>
      <c r="F279" s="945"/>
      <c r="G279" s="959" t="s">
        <v>330</v>
      </c>
      <c r="H279" s="959"/>
      <c r="I279" s="959"/>
      <c r="J279" s="438" t="str">
        <f>'Акт отбора проб Почва'!B40</f>
        <v>0,2-1,0</v>
      </c>
      <c r="K279" s="126">
        <f>$H$2</f>
        <v>45739</v>
      </c>
    </row>
    <row r="280" spans="1:11" ht="10.5" customHeight="1" x14ac:dyDescent="0.2">
      <c r="A280" s="120"/>
      <c r="B280" s="127"/>
      <c r="C280" s="124"/>
      <c r="D280" s="128"/>
      <c r="E280" s="128"/>
      <c r="F280" s="128"/>
      <c r="G280" s="125"/>
      <c r="H280" s="125"/>
      <c r="I280" s="125"/>
      <c r="J280" s="442"/>
      <c r="K280" s="122" t="s">
        <v>331</v>
      </c>
    </row>
    <row r="281" spans="1:11" ht="10.5" customHeight="1" x14ac:dyDescent="0.2">
      <c r="A281" s="120" t="s">
        <v>331</v>
      </c>
      <c r="B281" s="129" t="str">
        <f>'Акт отбора проб Почва'!C40</f>
        <v>03АХ.02</v>
      </c>
      <c r="C281" s="124"/>
      <c r="D281" s="128"/>
      <c r="E281" s="128"/>
      <c r="F281" s="128"/>
      <c r="G281" s="125"/>
      <c r="H281" s="125"/>
      <c r="I281" s="125"/>
      <c r="J281" s="442"/>
      <c r="K281" s="122" t="str">
        <f>B281</f>
        <v>03АХ.02</v>
      </c>
    </row>
    <row r="282" spans="1:11" ht="10.5" customHeight="1" x14ac:dyDescent="0.2">
      <c r="A282" s="120"/>
      <c r="B282" s="127"/>
      <c r="C282" s="124"/>
      <c r="D282" s="124"/>
      <c r="E282" s="124"/>
      <c r="F282" s="124"/>
      <c r="G282" s="124"/>
      <c r="H282" s="124"/>
      <c r="I282" s="124"/>
      <c r="J282" s="441"/>
      <c r="K282" s="122" t="s">
        <v>332</v>
      </c>
    </row>
    <row r="283" spans="1:11" ht="10.5" customHeight="1" x14ac:dyDescent="0.2">
      <c r="A283" s="957" t="s">
        <v>681</v>
      </c>
      <c r="B283" s="958"/>
      <c r="C283" s="951"/>
      <c r="D283" s="951"/>
      <c r="E283" s="951"/>
      <c r="F283" s="951"/>
      <c r="G283" s="951"/>
      <c r="H283" s="951"/>
      <c r="I283" s="951"/>
      <c r="J283" s="144"/>
      <c r="K283" s="122" t="str">
        <f>J279</f>
        <v>0,2-1,0</v>
      </c>
    </row>
    <row r="284" spans="1:11" ht="10.5" customHeight="1" x14ac:dyDescent="0.2">
      <c r="A284" s="120" t="s">
        <v>333</v>
      </c>
      <c r="B284" s="127"/>
      <c r="C284" s="124"/>
      <c r="D284" s="124"/>
      <c r="E284" s="124"/>
      <c r="F284" s="124"/>
      <c r="G284" s="124"/>
      <c r="H284" s="124"/>
      <c r="I284" s="124"/>
      <c r="J284" s="441"/>
      <c r="K284" s="122" t="s">
        <v>334</v>
      </c>
    </row>
    <row r="285" spans="1:11" ht="10.5" customHeight="1" x14ac:dyDescent="0.2">
      <c r="A285" s="120" t="s">
        <v>335</v>
      </c>
      <c r="B285" s="133"/>
      <c r="C285" s="134"/>
      <c r="D285" s="134"/>
      <c r="E285" s="134"/>
      <c r="F285" s="134"/>
      <c r="G285" s="134"/>
      <c r="H285" s="124"/>
      <c r="I285" s="124"/>
      <c r="J285" s="441"/>
      <c r="K285" s="122"/>
    </row>
    <row r="286" spans="1:11" ht="10.5" customHeight="1" thickBot="1" x14ac:dyDescent="0.25">
      <c r="A286" s="145"/>
      <c r="B286" s="146"/>
      <c r="C286" s="147" t="s">
        <v>336</v>
      </c>
      <c r="D286" s="147"/>
      <c r="E286" s="147"/>
      <c r="F286" s="147"/>
      <c r="G286" s="147"/>
      <c r="H286" s="147"/>
      <c r="I286" s="147"/>
      <c r="J286" s="394"/>
      <c r="K286" s="139"/>
    </row>
    <row r="287" spans="1:11" ht="10.5" customHeight="1" x14ac:dyDescent="0.2">
      <c r="A287" s="141"/>
      <c r="B287" s="142"/>
      <c r="C287" s="143"/>
      <c r="D287" s="143"/>
      <c r="E287" s="143"/>
      <c r="F287" s="143"/>
      <c r="G287" s="143"/>
      <c r="H287" s="143"/>
      <c r="I287" s="143"/>
      <c r="J287" s="440"/>
      <c r="K287" s="118"/>
    </row>
    <row r="288" spans="1:11" ht="10.5" customHeight="1" x14ac:dyDescent="0.2">
      <c r="A288" s="120" t="s">
        <v>325</v>
      </c>
      <c r="B288" s="952" t="e">
        <f>$B$2</f>
        <v>#REF!</v>
      </c>
      <c r="C288" s="952"/>
      <c r="D288" s="934" t="s">
        <v>326</v>
      </c>
      <c r="E288" s="934"/>
      <c r="F288" s="934"/>
      <c r="G288" s="934"/>
      <c r="H288" s="953">
        <f>$H$2</f>
        <v>45739</v>
      </c>
      <c r="I288" s="954"/>
      <c r="J288" s="441"/>
      <c r="K288" s="122" t="s">
        <v>327</v>
      </c>
    </row>
    <row r="289" spans="1:11" ht="10.5" customHeight="1" x14ac:dyDescent="0.2">
      <c r="A289" s="120"/>
      <c r="B289" s="127"/>
      <c r="C289" s="124"/>
      <c r="D289" s="124"/>
      <c r="E289" s="124"/>
      <c r="F289" s="124"/>
      <c r="G289" s="124"/>
      <c r="H289" s="124"/>
      <c r="I289" s="124"/>
      <c r="J289" s="441"/>
      <c r="K289" s="122" t="e">
        <f>$B$2</f>
        <v>#REF!</v>
      </c>
    </row>
    <row r="290" spans="1:11" ht="10.5" customHeight="1" x14ac:dyDescent="0.2">
      <c r="A290" s="120" t="s">
        <v>0</v>
      </c>
      <c r="B290" s="960" t="str">
        <f>$B$4</f>
        <v>адрес вбить сюда</v>
      </c>
      <c r="C290" s="960"/>
      <c r="D290" s="960"/>
      <c r="E290" s="960"/>
      <c r="F290" s="960"/>
      <c r="G290" s="960"/>
      <c r="H290" s="960"/>
      <c r="I290" s="960"/>
      <c r="J290" s="961"/>
      <c r="K290" s="122"/>
    </row>
    <row r="291" spans="1:11" ht="10.5" customHeight="1" x14ac:dyDescent="0.2">
      <c r="A291" s="120"/>
      <c r="B291" s="960"/>
      <c r="C291" s="960"/>
      <c r="D291" s="960"/>
      <c r="E291" s="960"/>
      <c r="F291" s="960"/>
      <c r="G291" s="960"/>
      <c r="H291" s="960"/>
      <c r="I291" s="960"/>
      <c r="J291" s="961"/>
      <c r="K291" s="122" t="s">
        <v>328</v>
      </c>
    </row>
    <row r="292" spans="1:11" ht="10.5" customHeight="1" x14ac:dyDescent="0.2">
      <c r="A292" s="957" t="s">
        <v>329</v>
      </c>
      <c r="B292" s="958"/>
      <c r="C292" s="958"/>
      <c r="D292" s="945" t="str">
        <f>'Акт отбора проб Почва'!F41</f>
        <v>СК4</v>
      </c>
      <c r="E292" s="945"/>
      <c r="F292" s="945"/>
      <c r="G292" s="959" t="s">
        <v>330</v>
      </c>
      <c r="H292" s="959"/>
      <c r="I292" s="959"/>
      <c r="J292" s="438" t="str">
        <f>'Акт отбора проб Почва'!B41</f>
        <v>0,2-1,0</v>
      </c>
      <c r="K292" s="126">
        <f>$H$2</f>
        <v>45739</v>
      </c>
    </row>
    <row r="293" spans="1:11" ht="10.5" customHeight="1" x14ac:dyDescent="0.2">
      <c r="A293" s="120"/>
      <c r="B293" s="127"/>
      <c r="C293" s="124"/>
      <c r="D293" s="128"/>
      <c r="E293" s="128"/>
      <c r="F293" s="128"/>
      <c r="G293" s="125"/>
      <c r="H293" s="125"/>
      <c r="I293" s="125"/>
      <c r="J293" s="442"/>
      <c r="K293" s="122" t="s">
        <v>331</v>
      </c>
    </row>
    <row r="294" spans="1:11" ht="10.5" customHeight="1" x14ac:dyDescent="0.2">
      <c r="A294" s="120" t="s">
        <v>331</v>
      </c>
      <c r="B294" s="129" t="str">
        <f>'Акт отбора проб Почва'!C41</f>
        <v>04АХ.02</v>
      </c>
      <c r="C294" s="124"/>
      <c r="D294" s="128"/>
      <c r="E294" s="128"/>
      <c r="F294" s="128"/>
      <c r="G294" s="125"/>
      <c r="H294" s="125"/>
      <c r="I294" s="125"/>
      <c r="J294" s="442"/>
      <c r="K294" s="122" t="str">
        <f>B294</f>
        <v>04АХ.02</v>
      </c>
    </row>
    <row r="295" spans="1:11" ht="10.5" customHeight="1" x14ac:dyDescent="0.2">
      <c r="A295" s="120"/>
      <c r="B295" s="127"/>
      <c r="C295" s="124"/>
      <c r="D295" s="124"/>
      <c r="E295" s="124"/>
      <c r="F295" s="124"/>
      <c r="G295" s="124"/>
      <c r="H295" s="124"/>
      <c r="I295" s="124"/>
      <c r="J295" s="441"/>
      <c r="K295" s="122" t="s">
        <v>332</v>
      </c>
    </row>
    <row r="296" spans="1:11" ht="10.5" customHeight="1" x14ac:dyDescent="0.2">
      <c r="A296" s="957" t="s">
        <v>681</v>
      </c>
      <c r="B296" s="958"/>
      <c r="C296" s="951"/>
      <c r="D296" s="951"/>
      <c r="E296" s="951"/>
      <c r="F296" s="951"/>
      <c r="G296" s="951"/>
      <c r="H296" s="951"/>
      <c r="I296" s="951"/>
      <c r="J296" s="144"/>
      <c r="K296" s="122" t="str">
        <f>J292</f>
        <v>0,2-1,0</v>
      </c>
    </row>
    <row r="297" spans="1:11" ht="10.5" customHeight="1" x14ac:dyDescent="0.2">
      <c r="A297" s="120" t="s">
        <v>333</v>
      </c>
      <c r="B297" s="127"/>
      <c r="C297" s="124"/>
      <c r="D297" s="124"/>
      <c r="E297" s="124"/>
      <c r="F297" s="124"/>
      <c r="G297" s="124"/>
      <c r="H297" s="124"/>
      <c r="I297" s="124"/>
      <c r="J297" s="441"/>
      <c r="K297" s="122" t="s">
        <v>334</v>
      </c>
    </row>
    <row r="298" spans="1:11" ht="10.5" customHeight="1" x14ac:dyDescent="0.2">
      <c r="A298" s="120" t="s">
        <v>335</v>
      </c>
      <c r="B298" s="133"/>
      <c r="C298" s="134"/>
      <c r="D298" s="134"/>
      <c r="E298" s="134"/>
      <c r="F298" s="134"/>
      <c r="G298" s="134"/>
      <c r="H298" s="124"/>
      <c r="I298" s="124"/>
      <c r="J298" s="441"/>
      <c r="K298" s="122"/>
    </row>
    <row r="299" spans="1:11" ht="10.5" customHeight="1" thickBot="1" x14ac:dyDescent="0.25">
      <c r="A299" s="145"/>
      <c r="B299" s="146"/>
      <c r="C299" s="147" t="s">
        <v>336</v>
      </c>
      <c r="D299" s="147"/>
      <c r="E299" s="147"/>
      <c r="F299" s="147"/>
      <c r="G299" s="147"/>
      <c r="H299" s="147"/>
      <c r="I299" s="147"/>
      <c r="J299" s="394"/>
      <c r="K299" s="139"/>
    </row>
    <row r="300" spans="1:11" ht="10.5" customHeight="1" x14ac:dyDescent="0.2">
      <c r="A300" s="141"/>
      <c r="B300" s="142"/>
      <c r="C300" s="143"/>
      <c r="D300" s="143"/>
      <c r="E300" s="143"/>
      <c r="F300" s="143"/>
      <c r="G300" s="143"/>
      <c r="H300" s="143"/>
      <c r="I300" s="143"/>
      <c r="J300" s="440"/>
      <c r="K300" s="118"/>
    </row>
    <row r="301" spans="1:11" ht="10.5" customHeight="1" x14ac:dyDescent="0.2">
      <c r="A301" s="120" t="s">
        <v>325</v>
      </c>
      <c r="B301" s="952" t="e">
        <f>$B$2</f>
        <v>#REF!</v>
      </c>
      <c r="C301" s="952"/>
      <c r="D301" s="934" t="s">
        <v>326</v>
      </c>
      <c r="E301" s="934"/>
      <c r="F301" s="934"/>
      <c r="G301" s="934"/>
      <c r="H301" s="953">
        <f>$H$2</f>
        <v>45739</v>
      </c>
      <c r="I301" s="954"/>
      <c r="J301" s="441"/>
      <c r="K301" s="122" t="s">
        <v>327</v>
      </c>
    </row>
    <row r="302" spans="1:11" ht="10.5" customHeight="1" x14ac:dyDescent="0.2">
      <c r="A302" s="120"/>
      <c r="B302" s="127"/>
      <c r="C302" s="124"/>
      <c r="D302" s="124"/>
      <c r="E302" s="124"/>
      <c r="F302" s="124"/>
      <c r="G302" s="124"/>
      <c r="H302" s="124"/>
      <c r="I302" s="124"/>
      <c r="J302" s="441"/>
      <c r="K302" s="122" t="e">
        <f>$B$2</f>
        <v>#REF!</v>
      </c>
    </row>
    <row r="303" spans="1:11" ht="10.5" customHeight="1" x14ac:dyDescent="0.2">
      <c r="A303" s="120" t="s">
        <v>0</v>
      </c>
      <c r="B303" s="960" t="str">
        <f>$B$4</f>
        <v>адрес вбить сюда</v>
      </c>
      <c r="C303" s="960"/>
      <c r="D303" s="960"/>
      <c r="E303" s="960"/>
      <c r="F303" s="960"/>
      <c r="G303" s="960"/>
      <c r="H303" s="960"/>
      <c r="I303" s="960"/>
      <c r="J303" s="961"/>
      <c r="K303" s="122"/>
    </row>
    <row r="304" spans="1:11" ht="10.5" customHeight="1" x14ac:dyDescent="0.2">
      <c r="A304" s="120"/>
      <c r="B304" s="960"/>
      <c r="C304" s="960"/>
      <c r="D304" s="960"/>
      <c r="E304" s="960"/>
      <c r="F304" s="960"/>
      <c r="G304" s="960"/>
      <c r="H304" s="960"/>
      <c r="I304" s="960"/>
      <c r="J304" s="961"/>
      <c r="K304" s="122" t="s">
        <v>328</v>
      </c>
    </row>
    <row r="305" spans="1:11" ht="10.5" customHeight="1" x14ac:dyDescent="0.2">
      <c r="A305" s="957" t="s">
        <v>329</v>
      </c>
      <c r="B305" s="958"/>
      <c r="C305" s="958"/>
      <c r="D305" s="945" t="str">
        <f>'Акт отбора проб Почва'!F42</f>
        <v>СК5</v>
      </c>
      <c r="E305" s="945"/>
      <c r="F305" s="945"/>
      <c r="G305" s="959" t="s">
        <v>330</v>
      </c>
      <c r="H305" s="959"/>
      <c r="I305" s="959"/>
      <c r="J305" s="438" t="str">
        <f>'Акт отбора проб Почва'!B42</f>
        <v>0,2-1,0</v>
      </c>
      <c r="K305" s="126">
        <f>$H$2</f>
        <v>45739</v>
      </c>
    </row>
    <row r="306" spans="1:11" ht="10.5" customHeight="1" x14ac:dyDescent="0.2">
      <c r="A306" s="120"/>
      <c r="B306" s="127"/>
      <c r="C306" s="124"/>
      <c r="D306" s="128"/>
      <c r="E306" s="128"/>
      <c r="F306" s="128"/>
      <c r="G306" s="125"/>
      <c r="H306" s="125"/>
      <c r="I306" s="125"/>
      <c r="J306" s="442"/>
      <c r="K306" s="122" t="s">
        <v>331</v>
      </c>
    </row>
    <row r="307" spans="1:11" ht="10.5" customHeight="1" x14ac:dyDescent="0.2">
      <c r="A307" s="120" t="s">
        <v>331</v>
      </c>
      <c r="B307" s="129" t="str">
        <f>'Акт отбора проб Почва'!C42</f>
        <v>05АХ.02</v>
      </c>
      <c r="C307" s="124"/>
      <c r="D307" s="128"/>
      <c r="E307" s="128"/>
      <c r="F307" s="128"/>
      <c r="G307" s="125"/>
      <c r="H307" s="125"/>
      <c r="I307" s="125"/>
      <c r="J307" s="442"/>
      <c r="K307" s="122" t="str">
        <f>B307</f>
        <v>05АХ.02</v>
      </c>
    </row>
    <row r="308" spans="1:11" ht="10.5" customHeight="1" x14ac:dyDescent="0.2">
      <c r="A308" s="120"/>
      <c r="B308" s="127"/>
      <c r="C308" s="124"/>
      <c r="D308" s="124"/>
      <c r="E308" s="124"/>
      <c r="F308" s="124"/>
      <c r="G308" s="124"/>
      <c r="H308" s="124"/>
      <c r="I308" s="124"/>
      <c r="J308" s="441"/>
      <c r="K308" s="122" t="s">
        <v>332</v>
      </c>
    </row>
    <row r="309" spans="1:11" ht="10.5" customHeight="1" x14ac:dyDescent="0.2">
      <c r="A309" s="957" t="s">
        <v>681</v>
      </c>
      <c r="B309" s="958"/>
      <c r="C309" s="951"/>
      <c r="D309" s="951"/>
      <c r="E309" s="951"/>
      <c r="F309" s="951"/>
      <c r="G309" s="951"/>
      <c r="H309" s="951"/>
      <c r="I309" s="951"/>
      <c r="J309" s="144"/>
      <c r="K309" s="122" t="str">
        <f>J305</f>
        <v>0,2-1,0</v>
      </c>
    </row>
    <row r="310" spans="1:11" ht="10.5" customHeight="1" x14ac:dyDescent="0.2">
      <c r="A310" s="120" t="s">
        <v>333</v>
      </c>
      <c r="B310" s="127"/>
      <c r="C310" s="124"/>
      <c r="D310" s="124"/>
      <c r="E310" s="124"/>
      <c r="F310" s="124"/>
      <c r="G310" s="124"/>
      <c r="H310" s="124"/>
      <c r="I310" s="124"/>
      <c r="J310" s="441"/>
      <c r="K310" s="122" t="s">
        <v>334</v>
      </c>
    </row>
    <row r="311" spans="1:11" ht="10.5" customHeight="1" x14ac:dyDescent="0.2">
      <c r="A311" s="120" t="s">
        <v>335</v>
      </c>
      <c r="B311" s="133"/>
      <c r="C311" s="134"/>
      <c r="D311" s="134"/>
      <c r="E311" s="134"/>
      <c r="F311" s="134"/>
      <c r="G311" s="134"/>
      <c r="H311" s="124"/>
      <c r="I311" s="124"/>
      <c r="J311" s="441"/>
      <c r="K311" s="122"/>
    </row>
    <row r="312" spans="1:11" ht="10.5" customHeight="1" thickBot="1" x14ac:dyDescent="0.25">
      <c r="A312" s="145"/>
      <c r="B312" s="146"/>
      <c r="C312" s="147" t="s">
        <v>336</v>
      </c>
      <c r="D312" s="147"/>
      <c r="E312" s="147"/>
      <c r="F312" s="147"/>
      <c r="G312" s="147"/>
      <c r="H312" s="147"/>
      <c r="I312" s="147"/>
      <c r="J312" s="394"/>
      <c r="K312" s="139"/>
    </row>
    <row r="313" spans="1:11" ht="10.5" customHeight="1" x14ac:dyDescent="0.2">
      <c r="A313" s="141"/>
      <c r="B313" s="142"/>
      <c r="C313" s="143"/>
      <c r="D313" s="143"/>
      <c r="E313" s="143"/>
      <c r="F313" s="143"/>
      <c r="G313" s="143"/>
      <c r="H313" s="143"/>
      <c r="I313" s="143"/>
      <c r="J313" s="440"/>
      <c r="K313" s="118"/>
    </row>
    <row r="314" spans="1:11" ht="10.5" customHeight="1" x14ac:dyDescent="0.2">
      <c r="A314" s="120" t="s">
        <v>325</v>
      </c>
      <c r="B314" s="952" t="e">
        <f>$B$2</f>
        <v>#REF!</v>
      </c>
      <c r="C314" s="952"/>
      <c r="D314" s="934" t="s">
        <v>326</v>
      </c>
      <c r="E314" s="934"/>
      <c r="F314" s="934"/>
      <c r="G314" s="934"/>
      <c r="H314" s="953">
        <f>$H$2</f>
        <v>45739</v>
      </c>
      <c r="I314" s="954"/>
      <c r="J314" s="441"/>
      <c r="K314" s="122" t="s">
        <v>327</v>
      </c>
    </row>
    <row r="315" spans="1:11" ht="10.5" customHeight="1" x14ac:dyDescent="0.2">
      <c r="A315" s="120"/>
      <c r="B315" s="127"/>
      <c r="C315" s="124"/>
      <c r="D315" s="124"/>
      <c r="E315" s="124"/>
      <c r="F315" s="124"/>
      <c r="G315" s="124"/>
      <c r="H315" s="124"/>
      <c r="I315" s="124"/>
      <c r="J315" s="441"/>
      <c r="K315" s="122" t="e">
        <f>$B$2</f>
        <v>#REF!</v>
      </c>
    </row>
    <row r="316" spans="1:11" ht="10.5" customHeight="1" x14ac:dyDescent="0.2">
      <c r="A316" s="120" t="s">
        <v>0</v>
      </c>
      <c r="B316" s="960" t="str">
        <f>$B$4</f>
        <v>адрес вбить сюда</v>
      </c>
      <c r="C316" s="960"/>
      <c r="D316" s="960"/>
      <c r="E316" s="960"/>
      <c r="F316" s="960"/>
      <c r="G316" s="960"/>
      <c r="H316" s="960"/>
      <c r="I316" s="960"/>
      <c r="J316" s="961"/>
      <c r="K316" s="122"/>
    </row>
    <row r="317" spans="1:11" ht="10.5" customHeight="1" x14ac:dyDescent="0.2">
      <c r="A317" s="120"/>
      <c r="B317" s="960"/>
      <c r="C317" s="960"/>
      <c r="D317" s="960"/>
      <c r="E317" s="960"/>
      <c r="F317" s="960"/>
      <c r="G317" s="960"/>
      <c r="H317" s="960"/>
      <c r="I317" s="960"/>
      <c r="J317" s="961"/>
      <c r="K317" s="122" t="s">
        <v>328</v>
      </c>
    </row>
    <row r="318" spans="1:11" ht="10.5" customHeight="1" x14ac:dyDescent="0.2">
      <c r="A318" s="957" t="s">
        <v>329</v>
      </c>
      <c r="B318" s="958"/>
      <c r="C318" s="958"/>
      <c r="D318" s="945" t="e">
        <f>'Акт отбора проб Почва'!#REF!</f>
        <v>#REF!</v>
      </c>
      <c r="E318" s="945"/>
      <c r="F318" s="945"/>
      <c r="G318" s="959" t="s">
        <v>330</v>
      </c>
      <c r="H318" s="959"/>
      <c r="I318" s="959"/>
      <c r="J318" s="438" t="e">
        <f>'Акт отбора проб Почва'!#REF!</f>
        <v>#REF!</v>
      </c>
      <c r="K318" s="126">
        <f>$H$2</f>
        <v>45739</v>
      </c>
    </row>
    <row r="319" spans="1:11" ht="10.5" customHeight="1" x14ac:dyDescent="0.2">
      <c r="A319" s="120"/>
      <c r="B319" s="127"/>
      <c r="C319" s="124"/>
      <c r="D319" s="128"/>
      <c r="E319" s="128"/>
      <c r="F319" s="128"/>
      <c r="G319" s="125"/>
      <c r="H319" s="125"/>
      <c r="I319" s="125"/>
      <c r="J319" s="442"/>
      <c r="K319" s="122" t="s">
        <v>331</v>
      </c>
    </row>
    <row r="320" spans="1:11" ht="10.5" customHeight="1" x14ac:dyDescent="0.2">
      <c r="A320" s="120" t="s">
        <v>331</v>
      </c>
      <c r="B320" s="129" t="e">
        <f>'Акт отбора проб Почва'!#REF!</f>
        <v>#REF!</v>
      </c>
      <c r="C320" s="124"/>
      <c r="D320" s="128"/>
      <c r="E320" s="128"/>
      <c r="F320" s="128"/>
      <c r="G320" s="125"/>
      <c r="H320" s="125"/>
      <c r="I320" s="125"/>
      <c r="J320" s="442"/>
      <c r="K320" s="122" t="e">
        <f>B320</f>
        <v>#REF!</v>
      </c>
    </row>
    <row r="321" spans="1:11" ht="10.5" customHeight="1" x14ac:dyDescent="0.2">
      <c r="A321" s="120"/>
      <c r="B321" s="127"/>
      <c r="C321" s="124"/>
      <c r="D321" s="124"/>
      <c r="E321" s="124"/>
      <c r="F321" s="124"/>
      <c r="G321" s="124"/>
      <c r="H321" s="124"/>
      <c r="I321" s="124"/>
      <c r="J321" s="441"/>
      <c r="K321" s="122" t="s">
        <v>332</v>
      </c>
    </row>
    <row r="322" spans="1:11" ht="10.5" customHeight="1" x14ac:dyDescent="0.2">
      <c r="A322" s="957" t="s">
        <v>681</v>
      </c>
      <c r="B322" s="958"/>
      <c r="C322" s="951"/>
      <c r="D322" s="951"/>
      <c r="E322" s="951"/>
      <c r="F322" s="951"/>
      <c r="G322" s="951"/>
      <c r="H322" s="951"/>
      <c r="I322" s="951"/>
      <c r="J322" s="144"/>
      <c r="K322" s="122" t="e">
        <f>J318</f>
        <v>#REF!</v>
      </c>
    </row>
    <row r="323" spans="1:11" ht="10.5" customHeight="1" x14ac:dyDescent="0.2">
      <c r="A323" s="120" t="s">
        <v>333</v>
      </c>
      <c r="B323" s="127"/>
      <c r="C323" s="124"/>
      <c r="D323" s="124"/>
      <c r="E323" s="124"/>
      <c r="F323" s="124"/>
      <c r="G323" s="124"/>
      <c r="H323" s="124"/>
      <c r="I323" s="124"/>
      <c r="J323" s="441"/>
      <c r="K323" s="122" t="s">
        <v>334</v>
      </c>
    </row>
    <row r="324" spans="1:11" ht="10.5" customHeight="1" x14ac:dyDescent="0.2">
      <c r="A324" s="120" t="s">
        <v>335</v>
      </c>
      <c r="B324" s="133"/>
      <c r="C324" s="134"/>
      <c r="D324" s="134"/>
      <c r="E324" s="134"/>
      <c r="F324" s="134"/>
      <c r="G324" s="134"/>
      <c r="H324" s="124"/>
      <c r="I324" s="124"/>
      <c r="J324" s="441"/>
      <c r="K324" s="122"/>
    </row>
    <row r="325" spans="1:11" ht="10.5" customHeight="1" thickBot="1" x14ac:dyDescent="0.25">
      <c r="A325" s="145"/>
      <c r="B325" s="146"/>
      <c r="C325" s="147" t="s">
        <v>336</v>
      </c>
      <c r="D325" s="147"/>
      <c r="E325" s="147"/>
      <c r="F325" s="147"/>
      <c r="G325" s="147"/>
      <c r="H325" s="147"/>
      <c r="I325" s="147"/>
      <c r="J325" s="394"/>
      <c r="K325" s="139"/>
    </row>
    <row r="326" spans="1:11" ht="10.5" customHeight="1" x14ac:dyDescent="0.2">
      <c r="A326" s="141"/>
      <c r="B326" s="142"/>
      <c r="C326" s="143"/>
      <c r="D326" s="143"/>
      <c r="E326" s="143"/>
      <c r="F326" s="143"/>
      <c r="G326" s="143"/>
      <c r="H326" s="143"/>
      <c r="I326" s="143"/>
      <c r="J326" s="440"/>
      <c r="K326" s="118"/>
    </row>
    <row r="327" spans="1:11" ht="10.5" customHeight="1" x14ac:dyDescent="0.2">
      <c r="A327" s="120" t="s">
        <v>325</v>
      </c>
      <c r="B327" s="952" t="e">
        <f>$B$2</f>
        <v>#REF!</v>
      </c>
      <c r="C327" s="952"/>
      <c r="D327" s="934" t="s">
        <v>326</v>
      </c>
      <c r="E327" s="934"/>
      <c r="F327" s="934"/>
      <c r="G327" s="934"/>
      <c r="H327" s="953">
        <f>$H$2</f>
        <v>45739</v>
      </c>
      <c r="I327" s="954"/>
      <c r="J327" s="441"/>
      <c r="K327" s="122" t="s">
        <v>327</v>
      </c>
    </row>
    <row r="328" spans="1:11" ht="10.5" customHeight="1" x14ac:dyDescent="0.2">
      <c r="A328" s="120"/>
      <c r="B328" s="127"/>
      <c r="C328" s="124"/>
      <c r="D328" s="124"/>
      <c r="E328" s="124"/>
      <c r="F328" s="124"/>
      <c r="G328" s="124"/>
      <c r="H328" s="124"/>
      <c r="I328" s="124"/>
      <c r="J328" s="441"/>
      <c r="K328" s="122" t="e">
        <f>$B$2</f>
        <v>#REF!</v>
      </c>
    </row>
    <row r="329" spans="1:11" ht="10.5" customHeight="1" x14ac:dyDescent="0.2">
      <c r="A329" s="120" t="s">
        <v>0</v>
      </c>
      <c r="B329" s="960" t="str">
        <f>$B$4</f>
        <v>адрес вбить сюда</v>
      </c>
      <c r="C329" s="960"/>
      <c r="D329" s="960"/>
      <c r="E329" s="960"/>
      <c r="F329" s="960"/>
      <c r="G329" s="960"/>
      <c r="H329" s="960"/>
      <c r="I329" s="960"/>
      <c r="J329" s="961"/>
      <c r="K329" s="122"/>
    </row>
    <row r="330" spans="1:11" ht="10.5" customHeight="1" x14ac:dyDescent="0.2">
      <c r="A330" s="120"/>
      <c r="B330" s="960"/>
      <c r="C330" s="960"/>
      <c r="D330" s="960"/>
      <c r="E330" s="960"/>
      <c r="F330" s="960"/>
      <c r="G330" s="960"/>
      <c r="H330" s="960"/>
      <c r="I330" s="960"/>
      <c r="J330" s="961"/>
      <c r="K330" s="122" t="s">
        <v>328</v>
      </c>
    </row>
    <row r="331" spans="1:11" ht="10.5" customHeight="1" x14ac:dyDescent="0.2">
      <c r="A331" s="957" t="s">
        <v>329</v>
      </c>
      <c r="B331" s="958"/>
      <c r="C331" s="958"/>
      <c r="D331" s="945" t="e">
        <f>'Акт отбора проб Почва'!#REF!</f>
        <v>#REF!</v>
      </c>
      <c r="E331" s="945"/>
      <c r="F331" s="945"/>
      <c r="G331" s="959" t="s">
        <v>330</v>
      </c>
      <c r="H331" s="959"/>
      <c r="I331" s="959"/>
      <c r="J331" s="438" t="e">
        <f>'Акт отбора проб Почва'!#REF!</f>
        <v>#REF!</v>
      </c>
      <c r="K331" s="126">
        <f>$H$2</f>
        <v>45739</v>
      </c>
    </row>
    <row r="332" spans="1:11" ht="10.5" customHeight="1" x14ac:dyDescent="0.2">
      <c r="A332" s="120"/>
      <c r="B332" s="127"/>
      <c r="C332" s="124"/>
      <c r="D332" s="128"/>
      <c r="E332" s="128"/>
      <c r="F332" s="128"/>
      <c r="G332" s="125"/>
      <c r="H332" s="125"/>
      <c r="I332" s="125"/>
      <c r="J332" s="442"/>
      <c r="K332" s="122" t="s">
        <v>331</v>
      </c>
    </row>
    <row r="333" spans="1:11" ht="10.5" customHeight="1" x14ac:dyDescent="0.2">
      <c r="A333" s="120" t="s">
        <v>331</v>
      </c>
      <c r="B333" s="129" t="e">
        <f>'Акт отбора проб Почва'!#REF!</f>
        <v>#REF!</v>
      </c>
      <c r="C333" s="124"/>
      <c r="D333" s="128"/>
      <c r="E333" s="128"/>
      <c r="F333" s="128"/>
      <c r="G333" s="125"/>
      <c r="H333" s="125"/>
      <c r="I333" s="125"/>
      <c r="J333" s="442"/>
      <c r="K333" s="122" t="e">
        <f>B333</f>
        <v>#REF!</v>
      </c>
    </row>
    <row r="334" spans="1:11" ht="10.5" customHeight="1" x14ac:dyDescent="0.2">
      <c r="A334" s="120"/>
      <c r="B334" s="127"/>
      <c r="C334" s="124"/>
      <c r="D334" s="124"/>
      <c r="E334" s="124"/>
      <c r="F334" s="124"/>
      <c r="G334" s="124"/>
      <c r="H334" s="124"/>
      <c r="I334" s="124"/>
      <c r="J334" s="441"/>
      <c r="K334" s="122" t="s">
        <v>332</v>
      </c>
    </row>
    <row r="335" spans="1:11" ht="10.5" customHeight="1" x14ac:dyDescent="0.2">
      <c r="A335" s="957" t="s">
        <v>681</v>
      </c>
      <c r="B335" s="958"/>
      <c r="C335" s="951"/>
      <c r="D335" s="951"/>
      <c r="E335" s="951"/>
      <c r="F335" s="951"/>
      <c r="G335" s="951"/>
      <c r="H335" s="951"/>
      <c r="I335" s="951"/>
      <c r="J335" s="144"/>
      <c r="K335" s="122" t="e">
        <f>J331</f>
        <v>#REF!</v>
      </c>
    </row>
    <row r="336" spans="1:11" ht="10.5" customHeight="1" x14ac:dyDescent="0.2">
      <c r="A336" s="120" t="s">
        <v>333</v>
      </c>
      <c r="B336" s="127"/>
      <c r="C336" s="124"/>
      <c r="D336" s="124"/>
      <c r="E336" s="124"/>
      <c r="F336" s="124"/>
      <c r="G336" s="124"/>
      <c r="H336" s="124"/>
      <c r="I336" s="124"/>
      <c r="J336" s="441"/>
      <c r="K336" s="122" t="s">
        <v>334</v>
      </c>
    </row>
    <row r="337" spans="1:11" ht="10.5" customHeight="1" x14ac:dyDescent="0.2">
      <c r="A337" s="120" t="s">
        <v>335</v>
      </c>
      <c r="B337" s="133"/>
      <c r="C337" s="134"/>
      <c r="D337" s="134"/>
      <c r="E337" s="134"/>
      <c r="F337" s="134"/>
      <c r="G337" s="134"/>
      <c r="H337" s="124"/>
      <c r="I337" s="124"/>
      <c r="J337" s="441"/>
      <c r="K337" s="122"/>
    </row>
    <row r="338" spans="1:11" ht="10.5" customHeight="1" thickBot="1" x14ac:dyDescent="0.25">
      <c r="A338" s="145"/>
      <c r="B338" s="146"/>
      <c r="C338" s="147" t="s">
        <v>336</v>
      </c>
      <c r="D338" s="147"/>
      <c r="E338" s="147"/>
      <c r="F338" s="147"/>
      <c r="G338" s="147"/>
      <c r="H338" s="147"/>
      <c r="I338" s="147"/>
      <c r="J338" s="394"/>
      <c r="K338" s="139"/>
    </row>
    <row r="339" spans="1:11" ht="10.5" customHeight="1" x14ac:dyDescent="0.2">
      <c r="A339" s="149"/>
      <c r="B339" s="150"/>
      <c r="C339" s="151"/>
      <c r="D339" s="151"/>
      <c r="E339" s="151"/>
      <c r="F339" s="151"/>
      <c r="G339" s="151"/>
      <c r="H339" s="151"/>
      <c r="I339" s="151"/>
      <c r="J339" s="440"/>
      <c r="K339" s="118"/>
    </row>
    <row r="340" spans="1:11" ht="10.5" customHeight="1" x14ac:dyDescent="0.2">
      <c r="A340" s="120" t="s">
        <v>325</v>
      </c>
      <c r="B340" s="952" t="e">
        <f>$B$2</f>
        <v>#REF!</v>
      </c>
      <c r="C340" s="952"/>
      <c r="D340" s="934" t="s">
        <v>326</v>
      </c>
      <c r="E340" s="934"/>
      <c r="F340" s="934"/>
      <c r="G340" s="934"/>
      <c r="H340" s="953">
        <f>$H$2</f>
        <v>45739</v>
      </c>
      <c r="I340" s="954"/>
      <c r="J340" s="441"/>
      <c r="K340" s="122" t="s">
        <v>327</v>
      </c>
    </row>
    <row r="341" spans="1:11" ht="10.5" customHeight="1" x14ac:dyDescent="0.2">
      <c r="A341" s="152"/>
      <c r="B341" s="127"/>
      <c r="C341" s="124"/>
      <c r="D341" s="124"/>
      <c r="E341" s="124"/>
      <c r="F341" s="124"/>
      <c r="G341" s="124"/>
      <c r="H341" s="124"/>
      <c r="I341" s="124"/>
      <c r="J341" s="441"/>
      <c r="K341" s="122" t="e">
        <f>$B$2</f>
        <v>#REF!</v>
      </c>
    </row>
    <row r="342" spans="1:11" ht="10.5" customHeight="1" x14ac:dyDescent="0.2">
      <c r="A342" s="152" t="s">
        <v>0</v>
      </c>
      <c r="B342" s="960" t="str">
        <f>$B$4</f>
        <v>адрес вбить сюда</v>
      </c>
      <c r="C342" s="960"/>
      <c r="D342" s="960"/>
      <c r="E342" s="960"/>
      <c r="F342" s="960"/>
      <c r="G342" s="960"/>
      <c r="H342" s="960"/>
      <c r="I342" s="960"/>
      <c r="J342" s="961"/>
      <c r="K342" s="122"/>
    </row>
    <row r="343" spans="1:11" ht="10.5" customHeight="1" x14ac:dyDescent="0.2">
      <c r="A343" s="152"/>
      <c r="B343" s="960"/>
      <c r="C343" s="960"/>
      <c r="D343" s="960"/>
      <c r="E343" s="960"/>
      <c r="F343" s="960"/>
      <c r="G343" s="960"/>
      <c r="H343" s="960"/>
      <c r="I343" s="960"/>
      <c r="J343" s="961"/>
      <c r="K343" s="122" t="s">
        <v>328</v>
      </c>
    </row>
    <row r="344" spans="1:11" ht="10.5" customHeight="1" x14ac:dyDescent="0.2">
      <c r="A344" s="962" t="s">
        <v>329</v>
      </c>
      <c r="B344" s="952"/>
      <c r="C344" s="952"/>
      <c r="D344" s="945" t="e">
        <f>'Акт отбора проб Почва'!#REF!</f>
        <v>#REF!</v>
      </c>
      <c r="E344" s="945"/>
      <c r="F344" s="945"/>
      <c r="G344" s="963" t="s">
        <v>330</v>
      </c>
      <c r="H344" s="963"/>
      <c r="I344" s="963"/>
      <c r="J344" s="438" t="e">
        <f>'Акт отбора проб Почва'!#REF!</f>
        <v>#REF!</v>
      </c>
      <c r="K344" s="126">
        <f>$H$2</f>
        <v>45739</v>
      </c>
    </row>
    <row r="345" spans="1:11" ht="10.5" customHeight="1" x14ac:dyDescent="0.2">
      <c r="A345" s="152"/>
      <c r="B345" s="123"/>
      <c r="C345" s="121"/>
      <c r="D345" s="154"/>
      <c r="E345" s="154"/>
      <c r="F345" s="154"/>
      <c r="G345" s="153"/>
      <c r="H345" s="153"/>
      <c r="I345" s="153"/>
      <c r="J345" s="442"/>
      <c r="K345" s="122" t="s">
        <v>331</v>
      </c>
    </row>
    <row r="346" spans="1:11" ht="10.5" customHeight="1" x14ac:dyDescent="0.2">
      <c r="A346" s="120" t="s">
        <v>331</v>
      </c>
      <c r="B346" s="129" t="e">
        <f>'Акт отбора проб Почва'!#REF!</f>
        <v>#REF!</v>
      </c>
      <c r="C346" s="121"/>
      <c r="D346" s="154"/>
      <c r="E346" s="154"/>
      <c r="F346" s="154"/>
      <c r="G346" s="153"/>
      <c r="H346" s="153"/>
      <c r="I346" s="153"/>
      <c r="J346" s="442"/>
      <c r="K346" s="122" t="e">
        <f>B346</f>
        <v>#REF!</v>
      </c>
    </row>
    <row r="347" spans="1:11" ht="10.5" customHeight="1" x14ac:dyDescent="0.2">
      <c r="A347" s="152"/>
      <c r="B347" s="123"/>
      <c r="C347" s="121"/>
      <c r="D347" s="121"/>
      <c r="E347" s="121"/>
      <c r="F347" s="121"/>
      <c r="G347" s="121"/>
      <c r="H347" s="121"/>
      <c r="I347" s="121"/>
      <c r="J347" s="441"/>
      <c r="K347" s="122" t="s">
        <v>332</v>
      </c>
    </row>
    <row r="348" spans="1:11" ht="10.5" customHeight="1" x14ac:dyDescent="0.2">
      <c r="A348" s="962" t="s">
        <v>681</v>
      </c>
      <c r="B348" s="952"/>
      <c r="C348" s="951"/>
      <c r="D348" s="951"/>
      <c r="E348" s="951"/>
      <c r="F348" s="951"/>
      <c r="G348" s="951"/>
      <c r="H348" s="951"/>
      <c r="I348" s="951"/>
      <c r="J348" s="155"/>
      <c r="K348" s="122" t="e">
        <f>J344</f>
        <v>#REF!</v>
      </c>
    </row>
    <row r="349" spans="1:11" ht="10.5" customHeight="1" x14ac:dyDescent="0.2">
      <c r="A349" s="152" t="s">
        <v>333</v>
      </c>
      <c r="B349" s="123"/>
      <c r="C349" s="121"/>
      <c r="D349" s="121"/>
      <c r="E349" s="121"/>
      <c r="F349" s="121"/>
      <c r="G349" s="121"/>
      <c r="H349" s="121"/>
      <c r="I349" s="121"/>
      <c r="J349" s="441"/>
      <c r="K349" s="122" t="s">
        <v>334</v>
      </c>
    </row>
    <row r="350" spans="1:11" ht="10.5" customHeight="1" x14ac:dyDescent="0.2">
      <c r="A350" s="152" t="s">
        <v>335</v>
      </c>
      <c r="B350" s="156"/>
      <c r="C350" s="157"/>
      <c r="D350" s="157"/>
      <c r="E350" s="157"/>
      <c r="F350" s="157"/>
      <c r="G350" s="157"/>
      <c r="H350" s="121"/>
      <c r="I350" s="121"/>
      <c r="J350" s="441"/>
      <c r="K350" s="122"/>
    </row>
    <row r="351" spans="1:11" ht="10.5" customHeight="1" thickBot="1" x14ac:dyDescent="0.25">
      <c r="A351" s="158"/>
      <c r="B351" s="159"/>
      <c r="C351" s="138" t="s">
        <v>336</v>
      </c>
      <c r="D351" s="138"/>
      <c r="E351" s="138"/>
      <c r="F351" s="138"/>
      <c r="G351" s="138"/>
      <c r="H351" s="138"/>
      <c r="I351" s="138"/>
      <c r="J351" s="393"/>
      <c r="K351" s="139"/>
    </row>
    <row r="352" spans="1:11" ht="10.5" customHeight="1" x14ac:dyDescent="0.2">
      <c r="A352" s="149"/>
      <c r="B352" s="150"/>
      <c r="C352" s="151"/>
      <c r="D352" s="151"/>
      <c r="E352" s="151"/>
      <c r="F352" s="151"/>
      <c r="G352" s="151"/>
      <c r="H352" s="151"/>
      <c r="I352" s="151"/>
      <c r="J352" s="440"/>
      <c r="K352" s="118"/>
    </row>
    <row r="353" spans="1:11" ht="10.5" customHeight="1" x14ac:dyDescent="0.2">
      <c r="A353" s="120" t="s">
        <v>325</v>
      </c>
      <c r="B353" s="952" t="e">
        <f>$B$2</f>
        <v>#REF!</v>
      </c>
      <c r="C353" s="952"/>
      <c r="D353" s="934" t="s">
        <v>326</v>
      </c>
      <c r="E353" s="934"/>
      <c r="F353" s="934"/>
      <c r="G353" s="934"/>
      <c r="H353" s="953">
        <f>$H$2</f>
        <v>45739</v>
      </c>
      <c r="I353" s="954"/>
      <c r="J353" s="441"/>
      <c r="K353" s="122" t="s">
        <v>327</v>
      </c>
    </row>
    <row r="354" spans="1:11" ht="10.5" customHeight="1" x14ac:dyDescent="0.2">
      <c r="A354" s="152"/>
      <c r="B354" s="127"/>
      <c r="C354" s="124"/>
      <c r="D354" s="124"/>
      <c r="E354" s="124"/>
      <c r="F354" s="124"/>
      <c r="G354" s="124"/>
      <c r="H354" s="124"/>
      <c r="I354" s="124"/>
      <c r="J354" s="441"/>
      <c r="K354" s="122" t="e">
        <f>$B$2</f>
        <v>#REF!</v>
      </c>
    </row>
    <row r="355" spans="1:11" ht="10.5" customHeight="1" x14ac:dyDescent="0.2">
      <c r="A355" s="152" t="s">
        <v>0</v>
      </c>
      <c r="B355" s="960" t="str">
        <f>$B$4</f>
        <v>адрес вбить сюда</v>
      </c>
      <c r="C355" s="960"/>
      <c r="D355" s="960"/>
      <c r="E355" s="960"/>
      <c r="F355" s="960"/>
      <c r="G355" s="960"/>
      <c r="H355" s="960"/>
      <c r="I355" s="960"/>
      <c r="J355" s="961"/>
      <c r="K355" s="122"/>
    </row>
    <row r="356" spans="1:11" ht="10.5" customHeight="1" x14ac:dyDescent="0.2">
      <c r="A356" s="152"/>
      <c r="B356" s="960"/>
      <c r="C356" s="960"/>
      <c r="D356" s="960"/>
      <c r="E356" s="960"/>
      <c r="F356" s="960"/>
      <c r="G356" s="960"/>
      <c r="H356" s="960"/>
      <c r="I356" s="960"/>
      <c r="J356" s="961"/>
      <c r="K356" s="122" t="s">
        <v>328</v>
      </c>
    </row>
    <row r="357" spans="1:11" ht="10.5" customHeight="1" x14ac:dyDescent="0.2">
      <c r="A357" s="962" t="s">
        <v>329</v>
      </c>
      <c r="B357" s="952"/>
      <c r="C357" s="952"/>
      <c r="D357" s="945" t="e">
        <f>'Акт отбора проб Почва'!#REF!</f>
        <v>#REF!</v>
      </c>
      <c r="E357" s="945"/>
      <c r="F357" s="945"/>
      <c r="G357" s="963" t="s">
        <v>330</v>
      </c>
      <c r="H357" s="963"/>
      <c r="I357" s="963"/>
      <c r="J357" s="438" t="e">
        <f>'Акт отбора проб Почва'!#REF!</f>
        <v>#REF!</v>
      </c>
      <c r="K357" s="126">
        <f>$H$2</f>
        <v>45739</v>
      </c>
    </row>
    <row r="358" spans="1:11" ht="10.5" customHeight="1" x14ac:dyDescent="0.2">
      <c r="A358" s="152"/>
      <c r="B358" s="123"/>
      <c r="C358" s="121"/>
      <c r="D358" s="154"/>
      <c r="E358" s="154"/>
      <c r="F358" s="154"/>
      <c r="G358" s="153"/>
      <c r="H358" s="153"/>
      <c r="I358" s="153"/>
      <c r="J358" s="442"/>
      <c r="K358" s="122" t="s">
        <v>331</v>
      </c>
    </row>
    <row r="359" spans="1:11" ht="10.5" customHeight="1" x14ac:dyDescent="0.2">
      <c r="A359" s="120" t="s">
        <v>331</v>
      </c>
      <c r="B359" s="129" t="e">
        <f>'Акт отбора проб Почва'!#REF!</f>
        <v>#REF!</v>
      </c>
      <c r="C359" s="121"/>
      <c r="D359" s="154"/>
      <c r="E359" s="154"/>
      <c r="F359" s="154"/>
      <c r="G359" s="153"/>
      <c r="H359" s="153"/>
      <c r="I359" s="153"/>
      <c r="J359" s="442"/>
      <c r="K359" s="122" t="e">
        <f>B359</f>
        <v>#REF!</v>
      </c>
    </row>
    <row r="360" spans="1:11" ht="10.5" customHeight="1" x14ac:dyDescent="0.2">
      <c r="A360" s="152"/>
      <c r="B360" s="123"/>
      <c r="C360" s="121"/>
      <c r="D360" s="121"/>
      <c r="E360" s="121"/>
      <c r="F360" s="121"/>
      <c r="G360" s="121"/>
      <c r="H360" s="121"/>
      <c r="I360" s="121"/>
      <c r="J360" s="441"/>
      <c r="K360" s="122" t="s">
        <v>332</v>
      </c>
    </row>
    <row r="361" spans="1:11" ht="10.5" customHeight="1" x14ac:dyDescent="0.2">
      <c r="A361" s="962" t="s">
        <v>681</v>
      </c>
      <c r="B361" s="952"/>
      <c r="C361" s="951"/>
      <c r="D361" s="951"/>
      <c r="E361" s="951"/>
      <c r="F361" s="951"/>
      <c r="G361" s="951"/>
      <c r="H361" s="951"/>
      <c r="I361" s="951"/>
      <c r="J361" s="155"/>
      <c r="K361" s="122" t="e">
        <f>J357</f>
        <v>#REF!</v>
      </c>
    </row>
    <row r="362" spans="1:11" ht="10.5" customHeight="1" x14ac:dyDescent="0.2">
      <c r="A362" s="152" t="s">
        <v>333</v>
      </c>
      <c r="B362" s="123"/>
      <c r="C362" s="121"/>
      <c r="D362" s="121"/>
      <c r="E362" s="121"/>
      <c r="F362" s="121"/>
      <c r="G362" s="121"/>
      <c r="H362" s="121"/>
      <c r="I362" s="121"/>
      <c r="J362" s="441"/>
      <c r="K362" s="122" t="s">
        <v>334</v>
      </c>
    </row>
    <row r="363" spans="1:11" ht="10.5" customHeight="1" x14ac:dyDescent="0.2">
      <c r="A363" s="152" t="s">
        <v>335</v>
      </c>
      <c r="B363" s="156"/>
      <c r="C363" s="157"/>
      <c r="D363" s="157"/>
      <c r="E363" s="157"/>
      <c r="F363" s="157"/>
      <c r="G363" s="157"/>
      <c r="H363" s="121"/>
      <c r="I363" s="121"/>
      <c r="J363" s="441"/>
      <c r="K363" s="122"/>
    </row>
    <row r="364" spans="1:11" ht="10.5" customHeight="1" thickBot="1" x14ac:dyDescent="0.25">
      <c r="A364" s="158"/>
      <c r="B364" s="159"/>
      <c r="C364" s="138" t="s">
        <v>336</v>
      </c>
      <c r="D364" s="138"/>
      <c r="E364" s="138"/>
      <c r="F364" s="138"/>
      <c r="G364" s="138"/>
      <c r="H364" s="138"/>
      <c r="I364" s="138"/>
      <c r="J364" s="393"/>
      <c r="K364" s="139"/>
    </row>
    <row r="365" spans="1:11" ht="10.5" customHeight="1" x14ac:dyDescent="0.2">
      <c r="A365" s="149"/>
      <c r="B365" s="150"/>
      <c r="C365" s="151"/>
      <c r="D365" s="151"/>
      <c r="E365" s="151"/>
      <c r="F365" s="151"/>
      <c r="G365" s="151"/>
      <c r="H365" s="151"/>
      <c r="I365" s="151"/>
      <c r="J365" s="440"/>
      <c r="K365" s="118"/>
    </row>
    <row r="366" spans="1:11" ht="10.5" customHeight="1" x14ac:dyDescent="0.2">
      <c r="A366" s="120" t="s">
        <v>325</v>
      </c>
      <c r="B366" s="952" t="e">
        <f>$B$2</f>
        <v>#REF!</v>
      </c>
      <c r="C366" s="952"/>
      <c r="D366" s="934" t="s">
        <v>326</v>
      </c>
      <c r="E366" s="934"/>
      <c r="F366" s="934"/>
      <c r="G366" s="934"/>
      <c r="H366" s="953">
        <f>$H$2</f>
        <v>45739</v>
      </c>
      <c r="I366" s="954"/>
      <c r="J366" s="441"/>
      <c r="K366" s="122" t="s">
        <v>327</v>
      </c>
    </row>
    <row r="367" spans="1:11" ht="10.5" customHeight="1" x14ac:dyDescent="0.2">
      <c r="A367" s="152"/>
      <c r="B367" s="127"/>
      <c r="C367" s="124"/>
      <c r="D367" s="124"/>
      <c r="E367" s="124"/>
      <c r="F367" s="124"/>
      <c r="G367" s="124"/>
      <c r="H367" s="124"/>
      <c r="I367" s="124"/>
      <c r="J367" s="441"/>
      <c r="K367" s="122" t="e">
        <f>$B$2</f>
        <v>#REF!</v>
      </c>
    </row>
    <row r="368" spans="1:11" ht="10.5" customHeight="1" x14ac:dyDescent="0.2">
      <c r="A368" s="152" t="s">
        <v>0</v>
      </c>
      <c r="B368" s="960" t="str">
        <f>$B$4</f>
        <v>адрес вбить сюда</v>
      </c>
      <c r="C368" s="960"/>
      <c r="D368" s="960"/>
      <c r="E368" s="960"/>
      <c r="F368" s="960"/>
      <c r="G368" s="960"/>
      <c r="H368" s="960"/>
      <c r="I368" s="960"/>
      <c r="J368" s="961"/>
      <c r="K368" s="122"/>
    </row>
    <row r="369" spans="1:11" ht="10.5" customHeight="1" x14ac:dyDescent="0.2">
      <c r="A369" s="152"/>
      <c r="B369" s="960"/>
      <c r="C369" s="960"/>
      <c r="D369" s="960"/>
      <c r="E369" s="960"/>
      <c r="F369" s="960"/>
      <c r="G369" s="960"/>
      <c r="H369" s="960"/>
      <c r="I369" s="960"/>
      <c r="J369" s="961"/>
      <c r="K369" s="122" t="s">
        <v>328</v>
      </c>
    </row>
    <row r="370" spans="1:11" ht="10.5" customHeight="1" x14ac:dyDescent="0.2">
      <c r="A370" s="962" t="s">
        <v>329</v>
      </c>
      <c r="B370" s="952"/>
      <c r="C370" s="952"/>
      <c r="D370" s="945" t="e">
        <f>'Акт отбора проб Почва'!#REF!</f>
        <v>#REF!</v>
      </c>
      <c r="E370" s="945"/>
      <c r="F370" s="945"/>
      <c r="G370" s="963" t="s">
        <v>330</v>
      </c>
      <c r="H370" s="963"/>
      <c r="I370" s="963"/>
      <c r="J370" s="438" t="e">
        <f>'Акт отбора проб Почва'!#REF!</f>
        <v>#REF!</v>
      </c>
      <c r="K370" s="126">
        <f>$H$2</f>
        <v>45739</v>
      </c>
    </row>
    <row r="371" spans="1:11" ht="10.5" customHeight="1" x14ac:dyDescent="0.2">
      <c r="A371" s="152"/>
      <c r="B371" s="123"/>
      <c r="C371" s="121"/>
      <c r="D371" s="154"/>
      <c r="E371" s="154"/>
      <c r="F371" s="154"/>
      <c r="G371" s="153"/>
      <c r="H371" s="153"/>
      <c r="I371" s="153"/>
      <c r="J371" s="442"/>
      <c r="K371" s="122" t="s">
        <v>331</v>
      </c>
    </row>
    <row r="372" spans="1:11" ht="10.5" customHeight="1" x14ac:dyDescent="0.2">
      <c r="A372" s="120" t="s">
        <v>331</v>
      </c>
      <c r="B372" s="129" t="e">
        <f>'Акт отбора проб Почва'!#REF!</f>
        <v>#REF!</v>
      </c>
      <c r="C372" s="121"/>
      <c r="D372" s="154"/>
      <c r="E372" s="154"/>
      <c r="F372" s="154"/>
      <c r="G372" s="153"/>
      <c r="H372" s="153"/>
      <c r="I372" s="153"/>
      <c r="J372" s="442"/>
      <c r="K372" s="122" t="e">
        <f>B372</f>
        <v>#REF!</v>
      </c>
    </row>
    <row r="373" spans="1:11" ht="10.5" customHeight="1" x14ac:dyDescent="0.2">
      <c r="A373" s="152"/>
      <c r="B373" s="123"/>
      <c r="C373" s="121"/>
      <c r="D373" s="121"/>
      <c r="E373" s="121"/>
      <c r="F373" s="121"/>
      <c r="G373" s="121"/>
      <c r="H373" s="121"/>
      <c r="I373" s="121"/>
      <c r="J373" s="441"/>
      <c r="K373" s="122" t="s">
        <v>332</v>
      </c>
    </row>
    <row r="374" spans="1:11" ht="10.5" customHeight="1" x14ac:dyDescent="0.2">
      <c r="A374" s="962" t="s">
        <v>681</v>
      </c>
      <c r="B374" s="952"/>
      <c r="C374" s="951"/>
      <c r="D374" s="951"/>
      <c r="E374" s="951"/>
      <c r="F374" s="951"/>
      <c r="G374" s="951"/>
      <c r="H374" s="951"/>
      <c r="I374" s="951"/>
      <c r="J374" s="155"/>
      <c r="K374" s="122" t="e">
        <f>J370</f>
        <v>#REF!</v>
      </c>
    </row>
    <row r="375" spans="1:11" ht="10.5" customHeight="1" x14ac:dyDescent="0.2">
      <c r="A375" s="152" t="s">
        <v>333</v>
      </c>
      <c r="B375" s="123"/>
      <c r="C375" s="121"/>
      <c r="D375" s="121"/>
      <c r="E375" s="121"/>
      <c r="F375" s="121"/>
      <c r="G375" s="121"/>
      <c r="H375" s="121"/>
      <c r="I375" s="121"/>
      <c r="J375" s="441"/>
      <c r="K375" s="122" t="s">
        <v>334</v>
      </c>
    </row>
    <row r="376" spans="1:11" ht="10.5" customHeight="1" x14ac:dyDescent="0.2">
      <c r="A376" s="152" t="s">
        <v>335</v>
      </c>
      <c r="B376" s="156"/>
      <c r="C376" s="157"/>
      <c r="D376" s="157"/>
      <c r="E376" s="157"/>
      <c r="F376" s="157"/>
      <c r="G376" s="157"/>
      <c r="H376" s="121"/>
      <c r="I376" s="121"/>
      <c r="J376" s="441"/>
      <c r="K376" s="122"/>
    </row>
    <row r="377" spans="1:11" ht="10.5" customHeight="1" thickBot="1" x14ac:dyDescent="0.25">
      <c r="A377" s="158"/>
      <c r="B377" s="159"/>
      <c r="C377" s="138" t="s">
        <v>336</v>
      </c>
      <c r="D377" s="138"/>
      <c r="E377" s="138"/>
      <c r="F377" s="138"/>
      <c r="G377" s="138"/>
      <c r="H377" s="138"/>
      <c r="I377" s="138"/>
      <c r="J377" s="393"/>
      <c r="K377" s="139"/>
    </row>
    <row r="378" spans="1:11" ht="10.5" customHeight="1" x14ac:dyDescent="0.2">
      <c r="A378" s="149"/>
      <c r="B378" s="150"/>
      <c r="C378" s="151"/>
      <c r="D378" s="151"/>
      <c r="E378" s="151"/>
      <c r="F378" s="151"/>
      <c r="G378" s="151"/>
      <c r="H378" s="151"/>
      <c r="I378" s="151"/>
      <c r="J378" s="440"/>
      <c r="K378" s="118"/>
    </row>
    <row r="379" spans="1:11" ht="10.5" customHeight="1" x14ac:dyDescent="0.2">
      <c r="A379" s="120" t="s">
        <v>325</v>
      </c>
      <c r="B379" s="952" t="e">
        <f>$B$2</f>
        <v>#REF!</v>
      </c>
      <c r="C379" s="952"/>
      <c r="D379" s="934" t="s">
        <v>326</v>
      </c>
      <c r="E379" s="934"/>
      <c r="F379" s="934"/>
      <c r="G379" s="934"/>
      <c r="H379" s="953">
        <f>$H$2</f>
        <v>45739</v>
      </c>
      <c r="I379" s="954"/>
      <c r="J379" s="441"/>
      <c r="K379" s="122" t="s">
        <v>327</v>
      </c>
    </row>
    <row r="380" spans="1:11" ht="10.5" customHeight="1" x14ac:dyDescent="0.2">
      <c r="A380" s="152"/>
      <c r="B380" s="127"/>
      <c r="C380" s="124"/>
      <c r="D380" s="124"/>
      <c r="E380" s="124"/>
      <c r="F380" s="124"/>
      <c r="G380" s="124"/>
      <c r="H380" s="124"/>
      <c r="I380" s="124"/>
      <c r="J380" s="441"/>
      <c r="K380" s="122" t="e">
        <f>$B$2</f>
        <v>#REF!</v>
      </c>
    </row>
    <row r="381" spans="1:11" ht="10.5" customHeight="1" x14ac:dyDescent="0.2">
      <c r="A381" s="152" t="s">
        <v>0</v>
      </c>
      <c r="B381" s="960" t="str">
        <f>$B$4</f>
        <v>адрес вбить сюда</v>
      </c>
      <c r="C381" s="960"/>
      <c r="D381" s="960"/>
      <c r="E381" s="960"/>
      <c r="F381" s="960"/>
      <c r="G381" s="960"/>
      <c r="H381" s="960"/>
      <c r="I381" s="960"/>
      <c r="J381" s="961"/>
      <c r="K381" s="122"/>
    </row>
    <row r="382" spans="1:11" ht="10.5" customHeight="1" x14ac:dyDescent="0.2">
      <c r="A382" s="152"/>
      <c r="B382" s="960"/>
      <c r="C382" s="960"/>
      <c r="D382" s="960"/>
      <c r="E382" s="960"/>
      <c r="F382" s="960"/>
      <c r="G382" s="960"/>
      <c r="H382" s="960"/>
      <c r="I382" s="960"/>
      <c r="J382" s="961"/>
      <c r="K382" s="122" t="s">
        <v>328</v>
      </c>
    </row>
    <row r="383" spans="1:11" ht="10.5" customHeight="1" x14ac:dyDescent="0.2">
      <c r="A383" s="962" t="s">
        <v>329</v>
      </c>
      <c r="B383" s="952"/>
      <c r="C383" s="952"/>
      <c r="D383" s="945" t="str">
        <f>'Акт отбора проб Почва'!F43</f>
        <v>СК6</v>
      </c>
      <c r="E383" s="945"/>
      <c r="F383" s="945"/>
      <c r="G383" s="963" t="s">
        <v>330</v>
      </c>
      <c r="H383" s="963"/>
      <c r="I383" s="963"/>
      <c r="J383" s="438" t="str">
        <f>'Акт отбора проб Почва'!B43</f>
        <v>0,2-1,0</v>
      </c>
      <c r="K383" s="126">
        <f>$H$2</f>
        <v>45739</v>
      </c>
    </row>
    <row r="384" spans="1:11" ht="10.5" customHeight="1" x14ac:dyDescent="0.2">
      <c r="A384" s="152"/>
      <c r="B384" s="123"/>
      <c r="C384" s="121"/>
      <c r="D384" s="154"/>
      <c r="E384" s="154"/>
      <c r="F384" s="154"/>
      <c r="G384" s="153"/>
      <c r="H384" s="153"/>
      <c r="I384" s="153"/>
      <c r="J384" s="442"/>
      <c r="K384" s="122" t="s">
        <v>331</v>
      </c>
    </row>
    <row r="385" spans="1:11" ht="10.5" customHeight="1" x14ac:dyDescent="0.2">
      <c r="A385" s="120" t="s">
        <v>331</v>
      </c>
      <c r="B385" s="129" t="str">
        <f>'Акт отбора проб Почва'!C70</f>
        <v>03АХ.08</v>
      </c>
      <c r="C385" s="121"/>
      <c r="D385" s="154"/>
      <c r="E385" s="154"/>
      <c r="F385" s="154"/>
      <c r="G385" s="153"/>
      <c r="H385" s="153"/>
      <c r="I385" s="153"/>
      <c r="J385" s="442"/>
      <c r="K385" s="122" t="str">
        <f>B385</f>
        <v>03АХ.08</v>
      </c>
    </row>
    <row r="386" spans="1:11" ht="10.5" customHeight="1" x14ac:dyDescent="0.2">
      <c r="A386" s="152"/>
      <c r="B386" s="123"/>
      <c r="C386" s="121"/>
      <c r="D386" s="121"/>
      <c r="E386" s="121"/>
      <c r="F386" s="121"/>
      <c r="G386" s="121"/>
      <c r="H386" s="121"/>
      <c r="I386" s="121"/>
      <c r="J386" s="441"/>
      <c r="K386" s="122" t="s">
        <v>332</v>
      </c>
    </row>
    <row r="387" spans="1:11" ht="10.5" customHeight="1" x14ac:dyDescent="0.2">
      <c r="A387" s="962" t="s">
        <v>681</v>
      </c>
      <c r="B387" s="952"/>
      <c r="C387" s="951"/>
      <c r="D387" s="951"/>
      <c r="E387" s="951"/>
      <c r="F387" s="951"/>
      <c r="G387" s="951"/>
      <c r="H387" s="951"/>
      <c r="I387" s="951"/>
      <c r="J387" s="155"/>
      <c r="K387" s="122" t="str">
        <f>J383</f>
        <v>0,2-1,0</v>
      </c>
    </row>
    <row r="388" spans="1:11" ht="10.5" customHeight="1" x14ac:dyDescent="0.2">
      <c r="A388" s="152" t="s">
        <v>333</v>
      </c>
      <c r="B388" s="123"/>
      <c r="C388" s="121"/>
      <c r="D388" s="121"/>
      <c r="E388" s="121"/>
      <c r="F388" s="121"/>
      <c r="G388" s="121"/>
      <c r="H388" s="121"/>
      <c r="I388" s="121"/>
      <c r="J388" s="441"/>
      <c r="K388" s="122" t="s">
        <v>334</v>
      </c>
    </row>
    <row r="389" spans="1:11" ht="10.5" customHeight="1" x14ac:dyDescent="0.2">
      <c r="A389" s="152" t="s">
        <v>335</v>
      </c>
      <c r="B389" s="156"/>
      <c r="C389" s="157"/>
      <c r="D389" s="157"/>
      <c r="E389" s="157"/>
      <c r="F389" s="157"/>
      <c r="G389" s="157"/>
      <c r="H389" s="121"/>
      <c r="I389" s="121"/>
      <c r="J389" s="441"/>
      <c r="K389" s="122"/>
    </row>
    <row r="390" spans="1:11" ht="10.5" customHeight="1" thickBot="1" x14ac:dyDescent="0.25">
      <c r="A390" s="158"/>
      <c r="B390" s="159"/>
      <c r="C390" s="138" t="s">
        <v>336</v>
      </c>
      <c r="D390" s="138"/>
      <c r="E390" s="138"/>
      <c r="F390" s="138"/>
      <c r="G390" s="138"/>
      <c r="H390" s="138"/>
      <c r="I390" s="138"/>
      <c r="J390" s="393"/>
      <c r="K390" s="139"/>
    </row>
    <row r="391" spans="1:11" ht="10.5" customHeight="1" x14ac:dyDescent="0.2">
      <c r="A391" s="141"/>
      <c r="B391" s="142"/>
      <c r="C391" s="143"/>
      <c r="D391" s="143"/>
      <c r="E391" s="143"/>
      <c r="F391" s="143"/>
      <c r="G391" s="143"/>
      <c r="H391" s="143"/>
      <c r="I391" s="143"/>
      <c r="J391" s="440"/>
      <c r="K391" s="118"/>
    </row>
    <row r="392" spans="1:11" ht="10.5" customHeight="1" x14ac:dyDescent="0.2">
      <c r="A392" s="120" t="s">
        <v>325</v>
      </c>
      <c r="B392" s="952" t="e">
        <f>$B$2</f>
        <v>#REF!</v>
      </c>
      <c r="C392" s="952"/>
      <c r="D392" s="934" t="s">
        <v>326</v>
      </c>
      <c r="E392" s="934"/>
      <c r="F392" s="934"/>
      <c r="G392" s="934"/>
      <c r="H392" s="953">
        <f>$H$2</f>
        <v>45739</v>
      </c>
      <c r="I392" s="954"/>
      <c r="J392" s="441"/>
      <c r="K392" s="122" t="s">
        <v>327</v>
      </c>
    </row>
    <row r="393" spans="1:11" ht="10.5" customHeight="1" x14ac:dyDescent="0.2">
      <c r="A393" s="120"/>
      <c r="B393" s="127"/>
      <c r="C393" s="124"/>
      <c r="D393" s="124"/>
      <c r="E393" s="124"/>
      <c r="F393" s="124"/>
      <c r="G393" s="124"/>
      <c r="H393" s="124"/>
      <c r="I393" s="124"/>
      <c r="J393" s="441"/>
      <c r="K393" s="122" t="e">
        <f>$B$2</f>
        <v>#REF!</v>
      </c>
    </row>
    <row r="394" spans="1:11" ht="10.5" customHeight="1" x14ac:dyDescent="0.2">
      <c r="A394" s="120" t="s">
        <v>0</v>
      </c>
      <c r="B394" s="960" t="str">
        <f>$B$4</f>
        <v>адрес вбить сюда</v>
      </c>
      <c r="C394" s="960"/>
      <c r="D394" s="960"/>
      <c r="E394" s="960"/>
      <c r="F394" s="960"/>
      <c r="G394" s="960"/>
      <c r="H394" s="960"/>
      <c r="I394" s="960"/>
      <c r="J394" s="961"/>
      <c r="K394" s="122"/>
    </row>
    <row r="395" spans="1:11" ht="10.5" customHeight="1" x14ac:dyDescent="0.2">
      <c r="A395" s="120"/>
      <c r="B395" s="960"/>
      <c r="C395" s="960"/>
      <c r="D395" s="960"/>
      <c r="E395" s="960"/>
      <c r="F395" s="960"/>
      <c r="G395" s="960"/>
      <c r="H395" s="960"/>
      <c r="I395" s="960"/>
      <c r="J395" s="961"/>
      <c r="K395" s="122" t="s">
        <v>328</v>
      </c>
    </row>
    <row r="396" spans="1:11" ht="10.5" customHeight="1" x14ac:dyDescent="0.2">
      <c r="A396" s="957" t="s">
        <v>329</v>
      </c>
      <c r="B396" s="958"/>
      <c r="C396" s="958"/>
      <c r="D396" s="945" t="str">
        <f>'Акт отбора проб Почва'!F44</f>
        <v>СК1</v>
      </c>
      <c r="E396" s="945"/>
      <c r="F396" s="945"/>
      <c r="G396" s="959" t="s">
        <v>330</v>
      </c>
      <c r="H396" s="959"/>
      <c r="I396" s="959"/>
      <c r="J396" s="438" t="str">
        <f>'Акт отбора проб Почва'!B44</f>
        <v>1,0-2,0</v>
      </c>
      <c r="K396" s="126">
        <f>$H$2</f>
        <v>45739</v>
      </c>
    </row>
    <row r="397" spans="1:11" ht="10.5" customHeight="1" x14ac:dyDescent="0.2">
      <c r="A397" s="120"/>
      <c r="B397" s="127"/>
      <c r="C397" s="124"/>
      <c r="D397" s="128"/>
      <c r="E397" s="128"/>
      <c r="F397" s="128"/>
      <c r="G397" s="125"/>
      <c r="H397" s="125"/>
      <c r="I397" s="125"/>
      <c r="J397" s="442"/>
      <c r="K397" s="122" t="s">
        <v>331</v>
      </c>
    </row>
    <row r="398" spans="1:11" ht="10.5" customHeight="1" x14ac:dyDescent="0.2">
      <c r="A398" s="120" t="s">
        <v>331</v>
      </c>
      <c r="B398" s="129" t="str">
        <f>'Акт отбора проб Почва'!C44</f>
        <v>01АХ.04</v>
      </c>
      <c r="C398" s="124"/>
      <c r="D398" s="128"/>
      <c r="E398" s="128"/>
      <c r="F398" s="128"/>
      <c r="G398" s="125"/>
      <c r="H398" s="125"/>
      <c r="I398" s="125"/>
      <c r="J398" s="442"/>
      <c r="K398" s="122" t="str">
        <f>B398</f>
        <v>01АХ.04</v>
      </c>
    </row>
    <row r="399" spans="1:11" ht="10.5" customHeight="1" x14ac:dyDescent="0.2">
      <c r="A399" s="120"/>
      <c r="B399" s="127"/>
      <c r="C399" s="124"/>
      <c r="D399" s="124"/>
      <c r="E399" s="124"/>
      <c r="F399" s="124"/>
      <c r="G399" s="124"/>
      <c r="H399" s="124"/>
      <c r="I399" s="124"/>
      <c r="J399" s="441"/>
      <c r="K399" s="122" t="s">
        <v>332</v>
      </c>
    </row>
    <row r="400" spans="1:11" ht="10.5" customHeight="1" x14ac:dyDescent="0.2">
      <c r="A400" s="957" t="s">
        <v>681</v>
      </c>
      <c r="B400" s="958"/>
      <c r="C400" s="951"/>
      <c r="D400" s="951"/>
      <c r="E400" s="951"/>
      <c r="F400" s="951"/>
      <c r="G400" s="951"/>
      <c r="H400" s="951"/>
      <c r="I400" s="951"/>
      <c r="J400" s="144"/>
      <c r="K400" s="122" t="str">
        <f>J396</f>
        <v>1,0-2,0</v>
      </c>
    </row>
    <row r="401" spans="1:11" ht="10.5" customHeight="1" x14ac:dyDescent="0.2">
      <c r="A401" s="120" t="s">
        <v>333</v>
      </c>
      <c r="B401" s="127"/>
      <c r="C401" s="124"/>
      <c r="D401" s="124"/>
      <c r="E401" s="124"/>
      <c r="F401" s="124"/>
      <c r="G401" s="124"/>
      <c r="H401" s="124"/>
      <c r="I401" s="124"/>
      <c r="J401" s="441"/>
      <c r="K401" s="122" t="s">
        <v>334</v>
      </c>
    </row>
    <row r="402" spans="1:11" ht="10.5" customHeight="1" x14ac:dyDescent="0.2">
      <c r="A402" s="120" t="s">
        <v>335</v>
      </c>
      <c r="B402" s="133"/>
      <c r="C402" s="134"/>
      <c r="D402" s="134"/>
      <c r="E402" s="134"/>
      <c r="F402" s="134"/>
      <c r="G402" s="134"/>
      <c r="H402" s="124"/>
      <c r="I402" s="124"/>
      <c r="J402" s="441"/>
      <c r="K402" s="122"/>
    </row>
    <row r="403" spans="1:11" ht="10.5" customHeight="1" thickBot="1" x14ac:dyDescent="0.25">
      <c r="A403" s="145"/>
      <c r="B403" s="146"/>
      <c r="C403" s="147" t="s">
        <v>336</v>
      </c>
      <c r="D403" s="147"/>
      <c r="E403" s="147"/>
      <c r="F403" s="147"/>
      <c r="G403" s="147"/>
      <c r="H403" s="147"/>
      <c r="I403" s="147"/>
      <c r="J403" s="394"/>
      <c r="K403" s="139"/>
    </row>
    <row r="404" spans="1:11" ht="10.5" customHeight="1" x14ac:dyDescent="0.2">
      <c r="A404" s="149"/>
      <c r="B404" s="150"/>
      <c r="C404" s="151"/>
      <c r="D404" s="151"/>
      <c r="E404" s="151"/>
      <c r="F404" s="151"/>
      <c r="G404" s="151"/>
      <c r="H404" s="151"/>
      <c r="I404" s="151"/>
      <c r="J404" s="440"/>
      <c r="K404" s="118"/>
    </row>
    <row r="405" spans="1:11" ht="10.5" customHeight="1" x14ac:dyDescent="0.2">
      <c r="A405" s="120" t="s">
        <v>325</v>
      </c>
      <c r="B405" s="952" t="e">
        <f>$B$2</f>
        <v>#REF!</v>
      </c>
      <c r="C405" s="952"/>
      <c r="D405" s="934" t="s">
        <v>326</v>
      </c>
      <c r="E405" s="934"/>
      <c r="F405" s="934"/>
      <c r="G405" s="934"/>
      <c r="H405" s="953">
        <f>$H$2</f>
        <v>45739</v>
      </c>
      <c r="I405" s="954"/>
      <c r="J405" s="441"/>
      <c r="K405" s="122" t="s">
        <v>327</v>
      </c>
    </row>
    <row r="406" spans="1:11" ht="10.5" customHeight="1" x14ac:dyDescent="0.2">
      <c r="A406" s="152"/>
      <c r="B406" s="127"/>
      <c r="C406" s="124"/>
      <c r="D406" s="124"/>
      <c r="E406" s="124"/>
      <c r="F406" s="124"/>
      <c r="G406" s="124"/>
      <c r="H406" s="124"/>
      <c r="I406" s="124"/>
      <c r="J406" s="441"/>
      <c r="K406" s="122" t="e">
        <f>$B$2</f>
        <v>#REF!</v>
      </c>
    </row>
    <row r="407" spans="1:11" ht="10.5" customHeight="1" x14ac:dyDescent="0.2">
      <c r="A407" s="152" t="s">
        <v>0</v>
      </c>
      <c r="B407" s="960" t="str">
        <f>$B$4</f>
        <v>адрес вбить сюда</v>
      </c>
      <c r="C407" s="960"/>
      <c r="D407" s="960"/>
      <c r="E407" s="960"/>
      <c r="F407" s="960"/>
      <c r="G407" s="960"/>
      <c r="H407" s="960"/>
      <c r="I407" s="960"/>
      <c r="J407" s="961"/>
      <c r="K407" s="122"/>
    </row>
    <row r="408" spans="1:11" ht="10.5" customHeight="1" x14ac:dyDescent="0.2">
      <c r="A408" s="152"/>
      <c r="B408" s="960"/>
      <c r="C408" s="960"/>
      <c r="D408" s="960"/>
      <c r="E408" s="960"/>
      <c r="F408" s="960"/>
      <c r="G408" s="960"/>
      <c r="H408" s="960"/>
      <c r="I408" s="960"/>
      <c r="J408" s="961"/>
      <c r="K408" s="122" t="s">
        <v>328</v>
      </c>
    </row>
    <row r="409" spans="1:11" ht="10.5" customHeight="1" x14ac:dyDescent="0.2">
      <c r="A409" s="962" t="s">
        <v>329</v>
      </c>
      <c r="B409" s="952"/>
      <c r="C409" s="952"/>
      <c r="D409" s="945" t="str">
        <f>'Акт отбора проб Почва'!F45</f>
        <v>СК2</v>
      </c>
      <c r="E409" s="945"/>
      <c r="F409" s="945"/>
      <c r="G409" s="963" t="s">
        <v>330</v>
      </c>
      <c r="H409" s="963"/>
      <c r="I409" s="963"/>
      <c r="J409" s="438" t="str">
        <f>'Акт отбора проб Почва'!B45</f>
        <v>1,0-2,0</v>
      </c>
      <c r="K409" s="126">
        <f>$H$2</f>
        <v>45739</v>
      </c>
    </row>
    <row r="410" spans="1:11" ht="10.5" customHeight="1" x14ac:dyDescent="0.2">
      <c r="A410" s="152"/>
      <c r="B410" s="123"/>
      <c r="C410" s="121"/>
      <c r="D410" s="154"/>
      <c r="E410" s="154"/>
      <c r="F410" s="154"/>
      <c r="G410" s="153"/>
      <c r="H410" s="153"/>
      <c r="I410" s="153"/>
      <c r="J410" s="442"/>
      <c r="K410" s="122" t="s">
        <v>331</v>
      </c>
    </row>
    <row r="411" spans="1:11" ht="10.5" customHeight="1" x14ac:dyDescent="0.2">
      <c r="A411" s="120" t="s">
        <v>331</v>
      </c>
      <c r="B411" s="129" t="str">
        <f>'Акт отбора проб Почва'!C45</f>
        <v>02АХ.04</v>
      </c>
      <c r="C411" s="121"/>
      <c r="D411" s="154"/>
      <c r="E411" s="154"/>
      <c r="F411" s="154"/>
      <c r="G411" s="153"/>
      <c r="H411" s="153"/>
      <c r="I411" s="153"/>
      <c r="J411" s="442"/>
      <c r="K411" s="122" t="str">
        <f>B411</f>
        <v>02АХ.04</v>
      </c>
    </row>
    <row r="412" spans="1:11" ht="10.5" customHeight="1" x14ac:dyDescent="0.2">
      <c r="A412" s="152"/>
      <c r="B412" s="123"/>
      <c r="C412" s="121"/>
      <c r="D412" s="121"/>
      <c r="E412" s="121"/>
      <c r="F412" s="121"/>
      <c r="G412" s="121"/>
      <c r="H412" s="121"/>
      <c r="I412" s="121"/>
      <c r="J412" s="441"/>
      <c r="K412" s="122" t="s">
        <v>332</v>
      </c>
    </row>
    <row r="413" spans="1:11" ht="10.5" customHeight="1" x14ac:dyDescent="0.2">
      <c r="A413" s="962" t="s">
        <v>681</v>
      </c>
      <c r="B413" s="952"/>
      <c r="C413" s="951"/>
      <c r="D413" s="951"/>
      <c r="E413" s="951"/>
      <c r="F413" s="951"/>
      <c r="G413" s="951"/>
      <c r="H413" s="951"/>
      <c r="I413" s="951"/>
      <c r="J413" s="155"/>
      <c r="K413" s="122" t="str">
        <f>J409</f>
        <v>1,0-2,0</v>
      </c>
    </row>
    <row r="414" spans="1:11" ht="10.5" customHeight="1" x14ac:dyDescent="0.2">
      <c r="A414" s="152" t="s">
        <v>333</v>
      </c>
      <c r="B414" s="123"/>
      <c r="C414" s="121"/>
      <c r="D414" s="121"/>
      <c r="E414" s="121"/>
      <c r="F414" s="121"/>
      <c r="G414" s="121"/>
      <c r="H414" s="121"/>
      <c r="I414" s="121"/>
      <c r="J414" s="441"/>
      <c r="K414" s="122" t="s">
        <v>334</v>
      </c>
    </row>
    <row r="415" spans="1:11" ht="10.5" customHeight="1" x14ac:dyDescent="0.2">
      <c r="A415" s="152" t="s">
        <v>335</v>
      </c>
      <c r="B415" s="156"/>
      <c r="C415" s="157"/>
      <c r="D415" s="157"/>
      <c r="E415" s="157"/>
      <c r="F415" s="157"/>
      <c r="G415" s="157"/>
      <c r="H415" s="121"/>
      <c r="I415" s="121"/>
      <c r="J415" s="441"/>
      <c r="K415" s="122"/>
    </row>
    <row r="416" spans="1:11" ht="10.5" customHeight="1" thickBot="1" x14ac:dyDescent="0.25">
      <c r="A416" s="158"/>
      <c r="B416" s="159"/>
      <c r="C416" s="138" t="s">
        <v>336</v>
      </c>
      <c r="D416" s="138"/>
      <c r="E416" s="138"/>
      <c r="F416" s="138"/>
      <c r="G416" s="138"/>
      <c r="H416" s="138"/>
      <c r="I416" s="138"/>
      <c r="J416" s="393"/>
      <c r="K416" s="139"/>
    </row>
    <row r="417" spans="1:11" ht="10.5" customHeight="1" x14ac:dyDescent="0.2">
      <c r="A417" s="149"/>
      <c r="B417" s="150"/>
      <c r="C417" s="151"/>
      <c r="D417" s="151"/>
      <c r="E417" s="151"/>
      <c r="F417" s="151"/>
      <c r="G417" s="151"/>
      <c r="H417" s="151"/>
      <c r="I417" s="151"/>
      <c r="J417" s="440"/>
      <c r="K417" s="118"/>
    </row>
    <row r="418" spans="1:11" ht="10.5" customHeight="1" x14ac:dyDescent="0.2">
      <c r="A418" s="120" t="s">
        <v>325</v>
      </c>
      <c r="B418" s="952" t="e">
        <f>$B$2</f>
        <v>#REF!</v>
      </c>
      <c r="C418" s="952"/>
      <c r="D418" s="934" t="s">
        <v>326</v>
      </c>
      <c r="E418" s="934"/>
      <c r="F418" s="934"/>
      <c r="G418" s="934"/>
      <c r="H418" s="953">
        <f>$H$2</f>
        <v>45739</v>
      </c>
      <c r="I418" s="954"/>
      <c r="J418" s="441"/>
      <c r="K418" s="122" t="s">
        <v>327</v>
      </c>
    </row>
    <row r="419" spans="1:11" ht="10.5" customHeight="1" x14ac:dyDescent="0.2">
      <c r="A419" s="152"/>
      <c r="B419" s="127"/>
      <c r="C419" s="124"/>
      <c r="D419" s="124"/>
      <c r="E419" s="124"/>
      <c r="F419" s="124"/>
      <c r="G419" s="124"/>
      <c r="H419" s="124"/>
      <c r="I419" s="124"/>
      <c r="J419" s="441"/>
      <c r="K419" s="122" t="e">
        <f>$B$2</f>
        <v>#REF!</v>
      </c>
    </row>
    <row r="420" spans="1:11" ht="10.5" customHeight="1" x14ac:dyDescent="0.2">
      <c r="A420" s="152" t="s">
        <v>0</v>
      </c>
      <c r="B420" s="960" t="str">
        <f>$B$4</f>
        <v>адрес вбить сюда</v>
      </c>
      <c r="C420" s="960"/>
      <c r="D420" s="960"/>
      <c r="E420" s="960"/>
      <c r="F420" s="960"/>
      <c r="G420" s="960"/>
      <c r="H420" s="960"/>
      <c r="I420" s="960"/>
      <c r="J420" s="961"/>
      <c r="K420" s="122"/>
    </row>
    <row r="421" spans="1:11" ht="10.5" customHeight="1" x14ac:dyDescent="0.2">
      <c r="A421" s="152"/>
      <c r="B421" s="960"/>
      <c r="C421" s="960"/>
      <c r="D421" s="960"/>
      <c r="E421" s="960"/>
      <c r="F421" s="960"/>
      <c r="G421" s="960"/>
      <c r="H421" s="960"/>
      <c r="I421" s="960"/>
      <c r="J421" s="961"/>
      <c r="K421" s="122" t="s">
        <v>328</v>
      </c>
    </row>
    <row r="422" spans="1:11" ht="10.5" customHeight="1" x14ac:dyDescent="0.2">
      <c r="A422" s="962" t="s">
        <v>329</v>
      </c>
      <c r="B422" s="952"/>
      <c r="C422" s="952"/>
      <c r="D422" s="945" t="str">
        <f>'Акт отбора проб Почва'!F46</f>
        <v>СК3</v>
      </c>
      <c r="E422" s="945"/>
      <c r="F422" s="945"/>
      <c r="G422" s="963" t="s">
        <v>330</v>
      </c>
      <c r="H422" s="963"/>
      <c r="I422" s="963"/>
      <c r="J422" s="438" t="str">
        <f>'Акт отбора проб Почва'!B46</f>
        <v>1,0-2,0</v>
      </c>
      <c r="K422" s="126">
        <f>$H$2</f>
        <v>45739</v>
      </c>
    </row>
    <row r="423" spans="1:11" ht="10.5" customHeight="1" x14ac:dyDescent="0.2">
      <c r="A423" s="152"/>
      <c r="B423" s="123"/>
      <c r="C423" s="121"/>
      <c r="D423" s="154"/>
      <c r="E423" s="154"/>
      <c r="F423" s="154"/>
      <c r="G423" s="153"/>
      <c r="H423" s="153"/>
      <c r="I423" s="153"/>
      <c r="J423" s="442"/>
      <c r="K423" s="122" t="s">
        <v>331</v>
      </c>
    </row>
    <row r="424" spans="1:11" ht="10.5" customHeight="1" x14ac:dyDescent="0.2">
      <c r="A424" s="120" t="s">
        <v>331</v>
      </c>
      <c r="B424" s="129" t="str">
        <f>'Акт отбора проб Почва'!C46</f>
        <v>03АХ.04</v>
      </c>
      <c r="C424" s="121"/>
      <c r="D424" s="154"/>
      <c r="E424" s="154"/>
      <c r="F424" s="154"/>
      <c r="G424" s="153"/>
      <c r="H424" s="153"/>
      <c r="I424" s="153"/>
      <c r="J424" s="442"/>
      <c r="K424" s="122" t="str">
        <f>B424</f>
        <v>03АХ.04</v>
      </c>
    </row>
    <row r="425" spans="1:11" ht="10.5" customHeight="1" x14ac:dyDescent="0.2">
      <c r="A425" s="152"/>
      <c r="B425" s="123"/>
      <c r="C425" s="121"/>
      <c r="D425" s="121"/>
      <c r="E425" s="121"/>
      <c r="F425" s="121"/>
      <c r="G425" s="121"/>
      <c r="H425" s="121"/>
      <c r="I425" s="121"/>
      <c r="J425" s="441"/>
      <c r="K425" s="122" t="s">
        <v>332</v>
      </c>
    </row>
    <row r="426" spans="1:11" ht="10.5" customHeight="1" x14ac:dyDescent="0.2">
      <c r="A426" s="962" t="s">
        <v>681</v>
      </c>
      <c r="B426" s="952"/>
      <c r="C426" s="951"/>
      <c r="D426" s="951"/>
      <c r="E426" s="951"/>
      <c r="F426" s="951"/>
      <c r="G426" s="951"/>
      <c r="H426" s="951"/>
      <c r="I426" s="951"/>
      <c r="J426" s="155"/>
      <c r="K426" s="122" t="str">
        <f>J422</f>
        <v>1,0-2,0</v>
      </c>
    </row>
    <row r="427" spans="1:11" ht="10.5" customHeight="1" x14ac:dyDescent="0.2">
      <c r="A427" s="152" t="s">
        <v>333</v>
      </c>
      <c r="B427" s="123"/>
      <c r="C427" s="121"/>
      <c r="D427" s="121"/>
      <c r="E427" s="121"/>
      <c r="F427" s="121"/>
      <c r="G427" s="121"/>
      <c r="H427" s="121"/>
      <c r="I427" s="121"/>
      <c r="J427" s="441"/>
      <c r="K427" s="122" t="s">
        <v>334</v>
      </c>
    </row>
    <row r="428" spans="1:11" ht="10.5" customHeight="1" x14ac:dyDescent="0.2">
      <c r="A428" s="152" t="s">
        <v>335</v>
      </c>
      <c r="B428" s="156"/>
      <c r="C428" s="157"/>
      <c r="D428" s="157"/>
      <c r="E428" s="157"/>
      <c r="F428" s="157"/>
      <c r="G428" s="157"/>
      <c r="H428" s="121"/>
      <c r="I428" s="121"/>
      <c r="J428" s="441"/>
      <c r="K428" s="122"/>
    </row>
    <row r="429" spans="1:11" ht="10.5" customHeight="1" thickBot="1" x14ac:dyDescent="0.25">
      <c r="A429" s="158"/>
      <c r="B429" s="159"/>
      <c r="C429" s="138" t="s">
        <v>336</v>
      </c>
      <c r="D429" s="138"/>
      <c r="E429" s="138"/>
      <c r="F429" s="138"/>
      <c r="G429" s="138"/>
      <c r="H429" s="138"/>
      <c r="I429" s="138"/>
      <c r="J429" s="393"/>
      <c r="K429" s="139"/>
    </row>
    <row r="430" spans="1:11" ht="10.5" customHeight="1" x14ac:dyDescent="0.2">
      <c r="A430" s="141"/>
      <c r="B430" s="142"/>
      <c r="C430" s="143"/>
      <c r="D430" s="143"/>
      <c r="E430" s="143"/>
      <c r="F430" s="143"/>
      <c r="G430" s="143"/>
      <c r="H430" s="143"/>
      <c r="I430" s="143"/>
      <c r="J430" s="440"/>
      <c r="K430" s="118"/>
    </row>
    <row r="431" spans="1:11" ht="10.5" customHeight="1" x14ac:dyDescent="0.2">
      <c r="A431" s="120" t="s">
        <v>325</v>
      </c>
      <c r="B431" s="952" t="e">
        <f>$B$2</f>
        <v>#REF!</v>
      </c>
      <c r="C431" s="952"/>
      <c r="D431" s="934" t="s">
        <v>326</v>
      </c>
      <c r="E431" s="934"/>
      <c r="F431" s="934"/>
      <c r="G431" s="934"/>
      <c r="H431" s="953">
        <f>$H$2</f>
        <v>45739</v>
      </c>
      <c r="I431" s="954"/>
      <c r="J431" s="441"/>
      <c r="K431" s="122" t="s">
        <v>327</v>
      </c>
    </row>
    <row r="432" spans="1:11" ht="10.5" customHeight="1" x14ac:dyDescent="0.2">
      <c r="A432" s="120"/>
      <c r="B432" s="127"/>
      <c r="C432" s="124"/>
      <c r="D432" s="124"/>
      <c r="E432" s="124"/>
      <c r="F432" s="124"/>
      <c r="G432" s="124"/>
      <c r="H432" s="124"/>
      <c r="I432" s="124"/>
      <c r="J432" s="441"/>
      <c r="K432" s="122" t="e">
        <f>$B$2</f>
        <v>#REF!</v>
      </c>
    </row>
    <row r="433" spans="1:11" ht="10.5" customHeight="1" x14ac:dyDescent="0.2">
      <c r="A433" s="120" t="s">
        <v>0</v>
      </c>
      <c r="B433" s="960" t="str">
        <f>$B$4</f>
        <v>адрес вбить сюда</v>
      </c>
      <c r="C433" s="960"/>
      <c r="D433" s="960"/>
      <c r="E433" s="960"/>
      <c r="F433" s="960"/>
      <c r="G433" s="960"/>
      <c r="H433" s="960"/>
      <c r="I433" s="960"/>
      <c r="J433" s="961"/>
      <c r="K433" s="122"/>
    </row>
    <row r="434" spans="1:11" ht="10.5" customHeight="1" x14ac:dyDescent="0.2">
      <c r="A434" s="120"/>
      <c r="B434" s="960"/>
      <c r="C434" s="960"/>
      <c r="D434" s="960"/>
      <c r="E434" s="960"/>
      <c r="F434" s="960"/>
      <c r="G434" s="960"/>
      <c r="H434" s="960"/>
      <c r="I434" s="960"/>
      <c r="J434" s="961"/>
      <c r="K434" s="122" t="s">
        <v>328</v>
      </c>
    </row>
    <row r="435" spans="1:11" ht="10.5" customHeight="1" x14ac:dyDescent="0.2">
      <c r="A435" s="957" t="s">
        <v>329</v>
      </c>
      <c r="B435" s="958"/>
      <c r="C435" s="958"/>
      <c r="D435" s="945" t="str">
        <f>'Акт отбора проб Почва'!F47</f>
        <v>СК4</v>
      </c>
      <c r="E435" s="945"/>
      <c r="F435" s="945"/>
      <c r="G435" s="959" t="s">
        <v>330</v>
      </c>
      <c r="H435" s="959"/>
      <c r="I435" s="959"/>
      <c r="J435" s="438" t="str">
        <f>'Акт отбора проб Почва'!B47</f>
        <v>1,0-2,0</v>
      </c>
      <c r="K435" s="126">
        <f>$H$2</f>
        <v>45739</v>
      </c>
    </row>
    <row r="436" spans="1:11" ht="10.5" customHeight="1" x14ac:dyDescent="0.2">
      <c r="A436" s="120"/>
      <c r="B436" s="127"/>
      <c r="C436" s="124"/>
      <c r="D436" s="128"/>
      <c r="E436" s="128"/>
      <c r="F436" s="128"/>
      <c r="G436" s="125"/>
      <c r="H436" s="125"/>
      <c r="I436" s="125"/>
      <c r="J436" s="442"/>
      <c r="K436" s="122" t="s">
        <v>331</v>
      </c>
    </row>
    <row r="437" spans="1:11" ht="10.5" customHeight="1" x14ac:dyDescent="0.2">
      <c r="A437" s="120" t="s">
        <v>331</v>
      </c>
      <c r="B437" s="129" t="str">
        <f>'Акт отбора проб Почва'!C47</f>
        <v>04АХ.04</v>
      </c>
      <c r="C437" s="124"/>
      <c r="D437" s="128"/>
      <c r="E437" s="128"/>
      <c r="F437" s="128"/>
      <c r="G437" s="125"/>
      <c r="H437" s="125"/>
      <c r="I437" s="125"/>
      <c r="J437" s="442"/>
      <c r="K437" s="122" t="str">
        <f>B437</f>
        <v>04АХ.04</v>
      </c>
    </row>
    <row r="438" spans="1:11" ht="10.5" customHeight="1" x14ac:dyDescent="0.2">
      <c r="A438" s="120"/>
      <c r="B438" s="127"/>
      <c r="C438" s="124"/>
      <c r="D438" s="124"/>
      <c r="E438" s="124"/>
      <c r="F438" s="124"/>
      <c r="G438" s="124"/>
      <c r="H438" s="124"/>
      <c r="I438" s="124"/>
      <c r="J438" s="441"/>
      <c r="K438" s="122" t="s">
        <v>332</v>
      </c>
    </row>
    <row r="439" spans="1:11" ht="10.5" customHeight="1" x14ac:dyDescent="0.2">
      <c r="A439" s="957" t="s">
        <v>681</v>
      </c>
      <c r="B439" s="958"/>
      <c r="C439" s="951"/>
      <c r="D439" s="951"/>
      <c r="E439" s="951"/>
      <c r="F439" s="951"/>
      <c r="G439" s="951"/>
      <c r="H439" s="951"/>
      <c r="I439" s="951"/>
      <c r="J439" s="144"/>
      <c r="K439" s="122" t="str">
        <f>J435</f>
        <v>1,0-2,0</v>
      </c>
    </row>
    <row r="440" spans="1:11" ht="10.5" customHeight="1" x14ac:dyDescent="0.2">
      <c r="A440" s="120" t="s">
        <v>333</v>
      </c>
      <c r="B440" s="127"/>
      <c r="C440" s="124"/>
      <c r="D440" s="124"/>
      <c r="E440" s="124"/>
      <c r="F440" s="124"/>
      <c r="G440" s="124"/>
      <c r="H440" s="124"/>
      <c r="I440" s="124"/>
      <c r="J440" s="441"/>
      <c r="K440" s="122" t="s">
        <v>334</v>
      </c>
    </row>
    <row r="441" spans="1:11" ht="10.5" customHeight="1" x14ac:dyDescent="0.2">
      <c r="A441" s="120" t="s">
        <v>335</v>
      </c>
      <c r="B441" s="133"/>
      <c r="C441" s="134"/>
      <c r="D441" s="134"/>
      <c r="E441" s="134"/>
      <c r="F441" s="134"/>
      <c r="G441" s="134"/>
      <c r="H441" s="124"/>
      <c r="I441" s="124"/>
      <c r="J441" s="441"/>
      <c r="K441" s="122"/>
    </row>
    <row r="442" spans="1:11" ht="10.5" customHeight="1" thickBot="1" x14ac:dyDescent="0.25">
      <c r="A442" s="145"/>
      <c r="B442" s="146"/>
      <c r="C442" s="147" t="s">
        <v>336</v>
      </c>
      <c r="D442" s="147"/>
      <c r="E442" s="147"/>
      <c r="F442" s="147"/>
      <c r="G442" s="147"/>
      <c r="H442" s="147"/>
      <c r="I442" s="147"/>
      <c r="J442" s="394"/>
      <c r="K442" s="139"/>
    </row>
    <row r="443" spans="1:11" ht="10.5" customHeight="1" x14ac:dyDescent="0.2">
      <c r="A443" s="141"/>
      <c r="B443" s="142"/>
      <c r="C443" s="143"/>
      <c r="D443" s="143"/>
      <c r="E443" s="143"/>
      <c r="F443" s="143"/>
      <c r="G443" s="143"/>
      <c r="H443" s="143"/>
      <c r="I443" s="143"/>
      <c r="J443" s="440"/>
      <c r="K443" s="118"/>
    </row>
    <row r="444" spans="1:11" ht="10.5" customHeight="1" x14ac:dyDescent="0.2">
      <c r="A444" s="120" t="s">
        <v>325</v>
      </c>
      <c r="B444" s="952" t="e">
        <f>$B$2</f>
        <v>#REF!</v>
      </c>
      <c r="C444" s="952"/>
      <c r="D444" s="934" t="s">
        <v>326</v>
      </c>
      <c r="E444" s="934"/>
      <c r="F444" s="934"/>
      <c r="G444" s="934"/>
      <c r="H444" s="953">
        <f>$H$2</f>
        <v>45739</v>
      </c>
      <c r="I444" s="954"/>
      <c r="J444" s="441"/>
      <c r="K444" s="122" t="s">
        <v>327</v>
      </c>
    </row>
    <row r="445" spans="1:11" ht="10.5" customHeight="1" x14ac:dyDescent="0.2">
      <c r="A445" s="120"/>
      <c r="B445" s="127"/>
      <c r="C445" s="124"/>
      <c r="D445" s="124"/>
      <c r="E445" s="124"/>
      <c r="F445" s="124"/>
      <c r="G445" s="124"/>
      <c r="H445" s="124"/>
      <c r="I445" s="124"/>
      <c r="J445" s="441"/>
      <c r="K445" s="122" t="e">
        <f>$B$2</f>
        <v>#REF!</v>
      </c>
    </row>
    <row r="446" spans="1:11" ht="10.5" customHeight="1" x14ac:dyDescent="0.2">
      <c r="A446" s="120" t="s">
        <v>0</v>
      </c>
      <c r="B446" s="960" t="str">
        <f>$B$4</f>
        <v>адрес вбить сюда</v>
      </c>
      <c r="C446" s="960"/>
      <c r="D446" s="960"/>
      <c r="E446" s="960"/>
      <c r="F446" s="960"/>
      <c r="G446" s="960"/>
      <c r="H446" s="960"/>
      <c r="I446" s="960"/>
      <c r="J446" s="961"/>
      <c r="K446" s="122"/>
    </row>
    <row r="447" spans="1:11" ht="10.5" customHeight="1" x14ac:dyDescent="0.2">
      <c r="A447" s="120"/>
      <c r="B447" s="960"/>
      <c r="C447" s="960"/>
      <c r="D447" s="960"/>
      <c r="E447" s="960"/>
      <c r="F447" s="960"/>
      <c r="G447" s="960"/>
      <c r="H447" s="960"/>
      <c r="I447" s="960"/>
      <c r="J447" s="961"/>
      <c r="K447" s="122" t="s">
        <v>328</v>
      </c>
    </row>
    <row r="448" spans="1:11" ht="10.5" customHeight="1" x14ac:dyDescent="0.2">
      <c r="A448" s="957" t="s">
        <v>329</v>
      </c>
      <c r="B448" s="958"/>
      <c r="C448" s="958"/>
      <c r="D448" s="945" t="str">
        <f>'Акт отбора проб Почва'!F48</f>
        <v>СК5</v>
      </c>
      <c r="E448" s="945"/>
      <c r="F448" s="945"/>
      <c r="G448" s="959" t="s">
        <v>330</v>
      </c>
      <c r="H448" s="959"/>
      <c r="I448" s="959"/>
      <c r="J448" s="438" t="str">
        <f>'Акт отбора проб Почва'!B48</f>
        <v>1,0-2,0</v>
      </c>
      <c r="K448" s="126">
        <f>$H$2</f>
        <v>45739</v>
      </c>
    </row>
    <row r="449" spans="1:11" ht="10.5" customHeight="1" x14ac:dyDescent="0.2">
      <c r="A449" s="120"/>
      <c r="B449" s="127"/>
      <c r="C449" s="124"/>
      <c r="D449" s="128"/>
      <c r="E449" s="128"/>
      <c r="F449" s="128"/>
      <c r="G449" s="125"/>
      <c r="H449" s="125"/>
      <c r="I449" s="125"/>
      <c r="J449" s="442"/>
      <c r="K449" s="122" t="s">
        <v>331</v>
      </c>
    </row>
    <row r="450" spans="1:11" ht="10.5" customHeight="1" x14ac:dyDescent="0.2">
      <c r="A450" s="120" t="s">
        <v>331</v>
      </c>
      <c r="B450" s="129" t="str">
        <f>'Акт отбора проб Почва'!C48</f>
        <v>05АХ.04</v>
      </c>
      <c r="C450" s="124"/>
      <c r="D450" s="128"/>
      <c r="E450" s="128"/>
      <c r="F450" s="128"/>
      <c r="G450" s="125"/>
      <c r="H450" s="125"/>
      <c r="I450" s="125"/>
      <c r="J450" s="442"/>
      <c r="K450" s="122" t="str">
        <f>B450</f>
        <v>05АХ.04</v>
      </c>
    </row>
    <row r="451" spans="1:11" ht="10.5" customHeight="1" x14ac:dyDescent="0.2">
      <c r="A451" s="120"/>
      <c r="B451" s="127"/>
      <c r="C451" s="124"/>
      <c r="D451" s="124"/>
      <c r="E451" s="124"/>
      <c r="F451" s="124"/>
      <c r="G451" s="124"/>
      <c r="H451" s="124"/>
      <c r="I451" s="124"/>
      <c r="J451" s="441"/>
      <c r="K451" s="122" t="s">
        <v>332</v>
      </c>
    </row>
    <row r="452" spans="1:11" ht="10.5" customHeight="1" x14ac:dyDescent="0.2">
      <c r="A452" s="957" t="s">
        <v>681</v>
      </c>
      <c r="B452" s="958"/>
      <c r="C452" s="951"/>
      <c r="D452" s="951"/>
      <c r="E452" s="951"/>
      <c r="F452" s="951"/>
      <c r="G452" s="951"/>
      <c r="H452" s="951"/>
      <c r="I452" s="951"/>
      <c r="J452" s="144"/>
      <c r="K452" s="122" t="str">
        <f>J448</f>
        <v>1,0-2,0</v>
      </c>
    </row>
    <row r="453" spans="1:11" ht="10.5" customHeight="1" x14ac:dyDescent="0.2">
      <c r="A453" s="120" t="s">
        <v>333</v>
      </c>
      <c r="B453" s="127"/>
      <c r="C453" s="124"/>
      <c r="D453" s="124"/>
      <c r="E453" s="124"/>
      <c r="F453" s="124"/>
      <c r="G453" s="124"/>
      <c r="H453" s="124"/>
      <c r="I453" s="124"/>
      <c r="J453" s="441"/>
      <c r="K453" s="122" t="s">
        <v>334</v>
      </c>
    </row>
    <row r="454" spans="1:11" ht="10.5" customHeight="1" x14ac:dyDescent="0.2">
      <c r="A454" s="120" t="s">
        <v>335</v>
      </c>
      <c r="B454" s="133"/>
      <c r="C454" s="134"/>
      <c r="D454" s="134"/>
      <c r="E454" s="134"/>
      <c r="F454" s="134"/>
      <c r="G454" s="134"/>
      <c r="H454" s="124"/>
      <c r="I454" s="124"/>
      <c r="J454" s="441"/>
      <c r="K454" s="122"/>
    </row>
    <row r="455" spans="1:11" ht="10.5" customHeight="1" thickBot="1" x14ac:dyDescent="0.25">
      <c r="A455" s="145"/>
      <c r="B455" s="146"/>
      <c r="C455" s="147" t="s">
        <v>336</v>
      </c>
      <c r="D455" s="147"/>
      <c r="E455" s="147"/>
      <c r="F455" s="147"/>
      <c r="G455" s="147"/>
      <c r="H455" s="147"/>
      <c r="I455" s="147"/>
      <c r="J455" s="394"/>
      <c r="K455" s="139"/>
    </row>
    <row r="456" spans="1:11" ht="10.5" customHeight="1" x14ac:dyDescent="0.2">
      <c r="A456" s="141"/>
      <c r="B456" s="142"/>
      <c r="C456" s="143"/>
      <c r="D456" s="143"/>
      <c r="E456" s="143"/>
      <c r="F456" s="143"/>
      <c r="G456" s="143"/>
      <c r="H456" s="143"/>
      <c r="I456" s="143"/>
      <c r="J456" s="440"/>
      <c r="K456" s="118"/>
    </row>
    <row r="457" spans="1:11" ht="10.5" customHeight="1" x14ac:dyDescent="0.2">
      <c r="A457" s="120" t="s">
        <v>325</v>
      </c>
      <c r="B457" s="952" t="e">
        <f>$B$2</f>
        <v>#REF!</v>
      </c>
      <c r="C457" s="952"/>
      <c r="D457" s="934" t="s">
        <v>326</v>
      </c>
      <c r="E457" s="934"/>
      <c r="F457" s="934"/>
      <c r="G457" s="934"/>
      <c r="H457" s="953">
        <f>$H$2</f>
        <v>45739</v>
      </c>
      <c r="I457" s="954"/>
      <c r="J457" s="441"/>
      <c r="K457" s="122" t="s">
        <v>327</v>
      </c>
    </row>
    <row r="458" spans="1:11" ht="10.5" customHeight="1" x14ac:dyDescent="0.2">
      <c r="A458" s="120"/>
      <c r="B458" s="127"/>
      <c r="C458" s="124"/>
      <c r="D458" s="124"/>
      <c r="E458" s="124"/>
      <c r="F458" s="124"/>
      <c r="G458" s="124"/>
      <c r="H458" s="124"/>
      <c r="I458" s="124"/>
      <c r="J458" s="441"/>
      <c r="K458" s="122" t="e">
        <f>$B$2</f>
        <v>#REF!</v>
      </c>
    </row>
    <row r="459" spans="1:11" ht="10.5" customHeight="1" x14ac:dyDescent="0.2">
      <c r="A459" s="120" t="s">
        <v>0</v>
      </c>
      <c r="B459" s="960" t="str">
        <f>$B$4</f>
        <v>адрес вбить сюда</v>
      </c>
      <c r="C459" s="960"/>
      <c r="D459" s="960"/>
      <c r="E459" s="960"/>
      <c r="F459" s="960"/>
      <c r="G459" s="960"/>
      <c r="H459" s="960"/>
      <c r="I459" s="960"/>
      <c r="J459" s="961"/>
      <c r="K459" s="122"/>
    </row>
    <row r="460" spans="1:11" ht="10.5" customHeight="1" x14ac:dyDescent="0.2">
      <c r="A460" s="120"/>
      <c r="B460" s="960"/>
      <c r="C460" s="960"/>
      <c r="D460" s="960"/>
      <c r="E460" s="960"/>
      <c r="F460" s="960"/>
      <c r="G460" s="960"/>
      <c r="H460" s="960"/>
      <c r="I460" s="960"/>
      <c r="J460" s="961"/>
      <c r="K460" s="122" t="s">
        <v>328</v>
      </c>
    </row>
    <row r="461" spans="1:11" ht="10.5" customHeight="1" x14ac:dyDescent="0.2">
      <c r="A461" s="957" t="s">
        <v>329</v>
      </c>
      <c r="B461" s="958"/>
      <c r="C461" s="958"/>
      <c r="D461" s="945" t="str">
        <f>'Акт отбора проб Почва'!F49</f>
        <v>СК6</v>
      </c>
      <c r="E461" s="945"/>
      <c r="F461" s="945"/>
      <c r="G461" s="959" t="s">
        <v>330</v>
      </c>
      <c r="H461" s="959"/>
      <c r="I461" s="959"/>
      <c r="J461" s="438" t="str">
        <f>'Акт отбора проб Почва'!B49</f>
        <v>1,0-2,0</v>
      </c>
      <c r="K461" s="126">
        <f>$H$2</f>
        <v>45739</v>
      </c>
    </row>
    <row r="462" spans="1:11" ht="10.5" customHeight="1" x14ac:dyDescent="0.2">
      <c r="A462" s="120"/>
      <c r="B462" s="127"/>
      <c r="C462" s="124"/>
      <c r="D462" s="128"/>
      <c r="E462" s="128"/>
      <c r="F462" s="128"/>
      <c r="G462" s="125"/>
      <c r="H462" s="125"/>
      <c r="I462" s="125"/>
      <c r="J462" s="442"/>
      <c r="K462" s="122" t="s">
        <v>331</v>
      </c>
    </row>
    <row r="463" spans="1:11" ht="10.5" customHeight="1" x14ac:dyDescent="0.2">
      <c r="A463" s="120" t="s">
        <v>331</v>
      </c>
      <c r="B463" s="129" t="str">
        <f>'Акт отбора проб Почва'!C49</f>
        <v>06АХ.04</v>
      </c>
      <c r="C463" s="124"/>
      <c r="D463" s="128"/>
      <c r="E463" s="128"/>
      <c r="F463" s="128"/>
      <c r="G463" s="125"/>
      <c r="H463" s="125"/>
      <c r="I463" s="125"/>
      <c r="J463" s="442"/>
      <c r="K463" s="122" t="str">
        <f>B463</f>
        <v>06АХ.04</v>
      </c>
    </row>
    <row r="464" spans="1:11" ht="10.5" customHeight="1" x14ac:dyDescent="0.2">
      <c r="A464" s="120"/>
      <c r="B464" s="127"/>
      <c r="C464" s="124"/>
      <c r="D464" s="124"/>
      <c r="E464" s="124"/>
      <c r="F464" s="124"/>
      <c r="G464" s="124"/>
      <c r="H464" s="124"/>
      <c r="I464" s="124"/>
      <c r="J464" s="441"/>
      <c r="K464" s="122" t="s">
        <v>332</v>
      </c>
    </row>
    <row r="465" spans="1:11" ht="10.5" customHeight="1" x14ac:dyDescent="0.2">
      <c r="A465" s="957" t="s">
        <v>681</v>
      </c>
      <c r="B465" s="958"/>
      <c r="C465" s="951"/>
      <c r="D465" s="951"/>
      <c r="E465" s="951"/>
      <c r="F465" s="951"/>
      <c r="G465" s="951"/>
      <c r="H465" s="951"/>
      <c r="I465" s="951"/>
      <c r="J465" s="144"/>
      <c r="K465" s="122" t="str">
        <f>J461</f>
        <v>1,0-2,0</v>
      </c>
    </row>
    <row r="466" spans="1:11" ht="10.5" customHeight="1" x14ac:dyDescent="0.2">
      <c r="A466" s="120" t="s">
        <v>333</v>
      </c>
      <c r="B466" s="127"/>
      <c r="C466" s="124"/>
      <c r="D466" s="124"/>
      <c r="E466" s="124"/>
      <c r="F466" s="124"/>
      <c r="G466" s="124"/>
      <c r="H466" s="124"/>
      <c r="I466" s="124"/>
      <c r="J466" s="441"/>
      <c r="K466" s="122" t="s">
        <v>334</v>
      </c>
    </row>
    <row r="467" spans="1:11" ht="10.5" customHeight="1" x14ac:dyDescent="0.2">
      <c r="A467" s="120" t="s">
        <v>335</v>
      </c>
      <c r="B467" s="133"/>
      <c r="C467" s="134"/>
      <c r="D467" s="134"/>
      <c r="E467" s="134"/>
      <c r="F467" s="134"/>
      <c r="G467" s="134"/>
      <c r="H467" s="124"/>
      <c r="I467" s="124"/>
      <c r="J467" s="441"/>
      <c r="K467" s="122"/>
    </row>
    <row r="468" spans="1:11" ht="10.5" customHeight="1" thickBot="1" x14ac:dyDescent="0.25">
      <c r="A468" s="145"/>
      <c r="B468" s="146"/>
      <c r="C468" s="147" t="s">
        <v>336</v>
      </c>
      <c r="D468" s="147"/>
      <c r="E468" s="147"/>
      <c r="F468" s="147"/>
      <c r="G468" s="147"/>
      <c r="H468" s="147"/>
      <c r="I468" s="147"/>
      <c r="J468" s="394"/>
      <c r="K468" s="139"/>
    </row>
    <row r="469" spans="1:11" ht="10.5" customHeight="1" x14ac:dyDescent="0.2">
      <c r="A469" s="149"/>
      <c r="B469" s="150"/>
      <c r="C469" s="151"/>
      <c r="D469" s="151"/>
      <c r="E469" s="151"/>
      <c r="F469" s="151"/>
      <c r="G469" s="151"/>
      <c r="H469" s="151"/>
      <c r="I469" s="151"/>
      <c r="J469" s="440"/>
      <c r="K469" s="118"/>
    </row>
    <row r="470" spans="1:11" ht="10.5" customHeight="1" x14ac:dyDescent="0.2">
      <c r="A470" s="120" t="s">
        <v>325</v>
      </c>
      <c r="B470" s="952" t="e">
        <f>$B$2</f>
        <v>#REF!</v>
      </c>
      <c r="C470" s="952"/>
      <c r="D470" s="934" t="s">
        <v>326</v>
      </c>
      <c r="E470" s="934"/>
      <c r="F470" s="934"/>
      <c r="G470" s="934"/>
      <c r="H470" s="953">
        <f>$H$2</f>
        <v>45739</v>
      </c>
      <c r="I470" s="954"/>
      <c r="J470" s="441"/>
      <c r="K470" s="122" t="s">
        <v>327</v>
      </c>
    </row>
    <row r="471" spans="1:11" ht="10.5" customHeight="1" x14ac:dyDescent="0.2">
      <c r="A471" s="152"/>
      <c r="B471" s="127"/>
      <c r="C471" s="124"/>
      <c r="D471" s="124"/>
      <c r="E471" s="124"/>
      <c r="F471" s="124"/>
      <c r="G471" s="124"/>
      <c r="H471" s="124"/>
      <c r="I471" s="124"/>
      <c r="J471" s="441"/>
      <c r="K471" s="122" t="e">
        <f>$B$2</f>
        <v>#REF!</v>
      </c>
    </row>
    <row r="472" spans="1:11" ht="10.5" customHeight="1" x14ac:dyDescent="0.2">
      <c r="A472" s="152" t="s">
        <v>0</v>
      </c>
      <c r="B472" s="960" t="str">
        <f>$B$4</f>
        <v>адрес вбить сюда</v>
      </c>
      <c r="C472" s="960"/>
      <c r="D472" s="960"/>
      <c r="E472" s="960"/>
      <c r="F472" s="960"/>
      <c r="G472" s="960"/>
      <c r="H472" s="960"/>
      <c r="I472" s="960"/>
      <c r="J472" s="961"/>
      <c r="K472" s="122"/>
    </row>
    <row r="473" spans="1:11" ht="10.5" customHeight="1" x14ac:dyDescent="0.2">
      <c r="A473" s="152"/>
      <c r="B473" s="960"/>
      <c r="C473" s="960"/>
      <c r="D473" s="960"/>
      <c r="E473" s="960"/>
      <c r="F473" s="960"/>
      <c r="G473" s="960"/>
      <c r="H473" s="960"/>
      <c r="I473" s="960"/>
      <c r="J473" s="961"/>
      <c r="K473" s="122" t="s">
        <v>328</v>
      </c>
    </row>
    <row r="474" spans="1:11" ht="10.5" customHeight="1" x14ac:dyDescent="0.2">
      <c r="A474" s="962" t="s">
        <v>329</v>
      </c>
      <c r="B474" s="952"/>
      <c r="C474" s="952"/>
      <c r="D474" s="945" t="e">
        <f>'Акт отбора проб Почва'!#REF!</f>
        <v>#REF!</v>
      </c>
      <c r="E474" s="945"/>
      <c r="F474" s="945"/>
      <c r="G474" s="963" t="s">
        <v>330</v>
      </c>
      <c r="H474" s="963"/>
      <c r="I474" s="963"/>
      <c r="J474" s="438" t="e">
        <f>'Акт отбора проб Почва'!#REF!</f>
        <v>#REF!</v>
      </c>
      <c r="K474" s="126">
        <f>$H$2</f>
        <v>45739</v>
      </c>
    </row>
    <row r="475" spans="1:11" ht="10.5" customHeight="1" x14ac:dyDescent="0.2">
      <c r="A475" s="152"/>
      <c r="B475" s="123"/>
      <c r="C475" s="121"/>
      <c r="D475" s="154"/>
      <c r="E475" s="154"/>
      <c r="F475" s="154"/>
      <c r="G475" s="153"/>
      <c r="H475" s="153"/>
      <c r="I475" s="153"/>
      <c r="J475" s="442"/>
      <c r="K475" s="122" t="s">
        <v>331</v>
      </c>
    </row>
    <row r="476" spans="1:11" ht="10.5" customHeight="1" x14ac:dyDescent="0.2">
      <c r="A476" s="120" t="s">
        <v>331</v>
      </c>
      <c r="B476" s="129" t="e">
        <f>'Акт отбора проб Почва'!#REF!</f>
        <v>#REF!</v>
      </c>
      <c r="C476" s="121"/>
      <c r="D476" s="154"/>
      <c r="E476" s="154"/>
      <c r="F476" s="154"/>
      <c r="G476" s="153"/>
      <c r="H476" s="153"/>
      <c r="I476" s="153"/>
      <c r="J476" s="442"/>
      <c r="K476" s="122" t="e">
        <f>B476</f>
        <v>#REF!</v>
      </c>
    </row>
    <row r="477" spans="1:11" ht="10.5" customHeight="1" x14ac:dyDescent="0.2">
      <c r="A477" s="152"/>
      <c r="B477" s="123"/>
      <c r="C477" s="121"/>
      <c r="D477" s="121"/>
      <c r="E477" s="121"/>
      <c r="F477" s="121"/>
      <c r="G477" s="121"/>
      <c r="H477" s="121"/>
      <c r="I477" s="121"/>
      <c r="J477" s="441"/>
      <c r="K477" s="122" t="s">
        <v>332</v>
      </c>
    </row>
    <row r="478" spans="1:11" ht="10.5" customHeight="1" x14ac:dyDescent="0.2">
      <c r="A478" s="962" t="s">
        <v>681</v>
      </c>
      <c r="B478" s="952"/>
      <c r="C478" s="951"/>
      <c r="D478" s="951"/>
      <c r="E478" s="951"/>
      <c r="F478" s="951"/>
      <c r="G478" s="951"/>
      <c r="H478" s="951"/>
      <c r="I478" s="951"/>
      <c r="J478" s="155"/>
      <c r="K478" s="122" t="e">
        <f>J474</f>
        <v>#REF!</v>
      </c>
    </row>
    <row r="479" spans="1:11" ht="10.5" customHeight="1" x14ac:dyDescent="0.2">
      <c r="A479" s="152" t="s">
        <v>333</v>
      </c>
      <c r="B479" s="123"/>
      <c r="C479" s="121"/>
      <c r="D479" s="121"/>
      <c r="E479" s="121"/>
      <c r="F479" s="121"/>
      <c r="G479" s="121"/>
      <c r="H479" s="121"/>
      <c r="I479" s="121"/>
      <c r="J479" s="441"/>
      <c r="K479" s="122" t="s">
        <v>334</v>
      </c>
    </row>
    <row r="480" spans="1:11" ht="10.5" customHeight="1" x14ac:dyDescent="0.2">
      <c r="A480" s="152" t="s">
        <v>335</v>
      </c>
      <c r="B480" s="156"/>
      <c r="C480" s="157"/>
      <c r="D480" s="157"/>
      <c r="E480" s="157"/>
      <c r="F480" s="157"/>
      <c r="G480" s="157"/>
      <c r="H480" s="121"/>
      <c r="I480" s="121"/>
      <c r="J480" s="441"/>
      <c r="K480" s="122"/>
    </row>
    <row r="481" spans="1:11" ht="10.5" customHeight="1" thickBot="1" x14ac:dyDescent="0.25">
      <c r="A481" s="158"/>
      <c r="B481" s="159"/>
      <c r="C481" s="138" t="s">
        <v>336</v>
      </c>
      <c r="D481" s="138"/>
      <c r="E481" s="138"/>
      <c r="F481" s="138"/>
      <c r="G481" s="138"/>
      <c r="H481" s="138"/>
      <c r="I481" s="138"/>
      <c r="J481" s="393"/>
      <c r="K481" s="139"/>
    </row>
    <row r="482" spans="1:11" ht="10.5" customHeight="1" x14ac:dyDescent="0.2">
      <c r="A482" s="149"/>
      <c r="B482" s="150"/>
      <c r="C482" s="151"/>
      <c r="D482" s="151"/>
      <c r="E482" s="151"/>
      <c r="F482" s="151"/>
      <c r="G482" s="151"/>
      <c r="H482" s="151"/>
      <c r="I482" s="151"/>
      <c r="J482" s="440"/>
      <c r="K482" s="118"/>
    </row>
    <row r="483" spans="1:11" ht="10.5" customHeight="1" x14ac:dyDescent="0.2">
      <c r="A483" s="120" t="s">
        <v>325</v>
      </c>
      <c r="B483" s="952" t="e">
        <f>$B$2</f>
        <v>#REF!</v>
      </c>
      <c r="C483" s="952"/>
      <c r="D483" s="934" t="s">
        <v>326</v>
      </c>
      <c r="E483" s="934"/>
      <c r="F483" s="934"/>
      <c r="G483" s="934"/>
      <c r="H483" s="953">
        <f>$H$2</f>
        <v>45739</v>
      </c>
      <c r="I483" s="954"/>
      <c r="J483" s="441"/>
      <c r="K483" s="122" t="s">
        <v>327</v>
      </c>
    </row>
    <row r="484" spans="1:11" ht="10.5" customHeight="1" x14ac:dyDescent="0.2">
      <c r="A484" s="152"/>
      <c r="B484" s="127"/>
      <c r="C484" s="124"/>
      <c r="D484" s="124"/>
      <c r="E484" s="124"/>
      <c r="F484" s="124"/>
      <c r="G484" s="124"/>
      <c r="H484" s="124"/>
      <c r="I484" s="124"/>
      <c r="J484" s="441"/>
      <c r="K484" s="122" t="e">
        <f>$B$2</f>
        <v>#REF!</v>
      </c>
    </row>
    <row r="485" spans="1:11" ht="10.5" customHeight="1" x14ac:dyDescent="0.2">
      <c r="A485" s="152" t="s">
        <v>0</v>
      </c>
      <c r="B485" s="960" t="str">
        <f>$B$4</f>
        <v>адрес вбить сюда</v>
      </c>
      <c r="C485" s="960"/>
      <c r="D485" s="960"/>
      <c r="E485" s="960"/>
      <c r="F485" s="960"/>
      <c r="G485" s="960"/>
      <c r="H485" s="960"/>
      <c r="I485" s="960"/>
      <c r="J485" s="961"/>
      <c r="K485" s="122"/>
    </row>
    <row r="486" spans="1:11" ht="10.5" customHeight="1" x14ac:dyDescent="0.2">
      <c r="A486" s="152"/>
      <c r="B486" s="960"/>
      <c r="C486" s="960"/>
      <c r="D486" s="960"/>
      <c r="E486" s="960"/>
      <c r="F486" s="960"/>
      <c r="G486" s="960"/>
      <c r="H486" s="960"/>
      <c r="I486" s="960"/>
      <c r="J486" s="961"/>
      <c r="K486" s="122" t="s">
        <v>328</v>
      </c>
    </row>
    <row r="487" spans="1:11" ht="10.5" customHeight="1" x14ac:dyDescent="0.2">
      <c r="A487" s="962" t="s">
        <v>329</v>
      </c>
      <c r="B487" s="952"/>
      <c r="C487" s="952"/>
      <c r="D487" s="945" t="e">
        <f>'Акт отбора проб Почва'!#REF!</f>
        <v>#REF!</v>
      </c>
      <c r="E487" s="945"/>
      <c r="F487" s="945"/>
      <c r="G487" s="963" t="s">
        <v>330</v>
      </c>
      <c r="H487" s="963"/>
      <c r="I487" s="963"/>
      <c r="J487" s="438" t="e">
        <f>'Акт отбора проб Почва'!#REF!</f>
        <v>#REF!</v>
      </c>
      <c r="K487" s="126">
        <f>$H$2</f>
        <v>45739</v>
      </c>
    </row>
    <row r="488" spans="1:11" ht="10.5" customHeight="1" x14ac:dyDescent="0.2">
      <c r="A488" s="152"/>
      <c r="B488" s="123"/>
      <c r="C488" s="121"/>
      <c r="D488" s="154"/>
      <c r="E488" s="154"/>
      <c r="F488" s="154"/>
      <c r="G488" s="153"/>
      <c r="H488" s="153"/>
      <c r="I488" s="153"/>
      <c r="J488" s="442"/>
      <c r="K488" s="122" t="s">
        <v>331</v>
      </c>
    </row>
    <row r="489" spans="1:11" ht="10.5" customHeight="1" x14ac:dyDescent="0.2">
      <c r="A489" s="120" t="s">
        <v>331</v>
      </c>
      <c r="B489" s="129" t="e">
        <f>'Акт отбора проб Почва'!#REF!</f>
        <v>#REF!</v>
      </c>
      <c r="C489" s="121"/>
      <c r="D489" s="154"/>
      <c r="E489" s="154"/>
      <c r="F489" s="154"/>
      <c r="G489" s="153"/>
      <c r="H489" s="153"/>
      <c r="I489" s="153"/>
      <c r="J489" s="442"/>
      <c r="K489" s="122" t="e">
        <f>B489</f>
        <v>#REF!</v>
      </c>
    </row>
    <row r="490" spans="1:11" ht="10.5" customHeight="1" x14ac:dyDescent="0.2">
      <c r="A490" s="152"/>
      <c r="B490" s="123"/>
      <c r="C490" s="121"/>
      <c r="D490" s="121"/>
      <c r="E490" s="121"/>
      <c r="F490" s="121"/>
      <c r="G490" s="121"/>
      <c r="H490" s="121"/>
      <c r="I490" s="121"/>
      <c r="J490" s="441"/>
      <c r="K490" s="122" t="s">
        <v>332</v>
      </c>
    </row>
    <row r="491" spans="1:11" ht="10.5" customHeight="1" x14ac:dyDescent="0.2">
      <c r="A491" s="962" t="s">
        <v>681</v>
      </c>
      <c r="B491" s="952"/>
      <c r="C491" s="951"/>
      <c r="D491" s="951"/>
      <c r="E491" s="951"/>
      <c r="F491" s="951"/>
      <c r="G491" s="951"/>
      <c r="H491" s="951"/>
      <c r="I491" s="951"/>
      <c r="J491" s="155"/>
      <c r="K491" s="122" t="e">
        <f>J487</f>
        <v>#REF!</v>
      </c>
    </row>
    <row r="492" spans="1:11" ht="10.5" customHeight="1" x14ac:dyDescent="0.2">
      <c r="A492" s="152" t="s">
        <v>333</v>
      </c>
      <c r="B492" s="123"/>
      <c r="C492" s="121"/>
      <c r="D492" s="121"/>
      <c r="E492" s="121"/>
      <c r="F492" s="121"/>
      <c r="G492" s="121"/>
      <c r="H492" s="121"/>
      <c r="I492" s="121"/>
      <c r="J492" s="441"/>
      <c r="K492" s="122" t="s">
        <v>334</v>
      </c>
    </row>
    <row r="493" spans="1:11" ht="10.5" customHeight="1" x14ac:dyDescent="0.2">
      <c r="A493" s="152" t="s">
        <v>335</v>
      </c>
      <c r="B493" s="156"/>
      <c r="C493" s="157"/>
      <c r="D493" s="157"/>
      <c r="E493" s="157"/>
      <c r="F493" s="157"/>
      <c r="G493" s="157"/>
      <c r="H493" s="121"/>
      <c r="I493" s="121"/>
      <c r="J493" s="441"/>
      <c r="K493" s="122"/>
    </row>
    <row r="494" spans="1:11" ht="10.5" customHeight="1" thickBot="1" x14ac:dyDescent="0.25">
      <c r="A494" s="158"/>
      <c r="B494" s="159"/>
      <c r="C494" s="138" t="s">
        <v>336</v>
      </c>
      <c r="D494" s="138"/>
      <c r="E494" s="138"/>
      <c r="F494" s="138"/>
      <c r="G494" s="138"/>
      <c r="H494" s="138"/>
      <c r="I494" s="138"/>
      <c r="J494" s="393"/>
      <c r="K494" s="139"/>
    </row>
    <row r="495" spans="1:11" ht="10.5" customHeight="1" x14ac:dyDescent="0.2">
      <c r="A495" s="141"/>
      <c r="B495" s="142"/>
      <c r="C495" s="143"/>
      <c r="D495" s="143"/>
      <c r="E495" s="143"/>
      <c r="F495" s="143"/>
      <c r="G495" s="143"/>
      <c r="H495" s="143"/>
      <c r="I495" s="143"/>
      <c r="J495" s="440"/>
      <c r="K495" s="118"/>
    </row>
    <row r="496" spans="1:11" ht="10.5" customHeight="1" x14ac:dyDescent="0.2">
      <c r="A496" s="120" t="s">
        <v>325</v>
      </c>
      <c r="B496" s="952" t="e">
        <f>$B$2</f>
        <v>#REF!</v>
      </c>
      <c r="C496" s="952"/>
      <c r="D496" s="934" t="s">
        <v>326</v>
      </c>
      <c r="E496" s="934"/>
      <c r="F496" s="934"/>
      <c r="G496" s="934"/>
      <c r="H496" s="953">
        <f>$H$2</f>
        <v>45739</v>
      </c>
      <c r="I496" s="954"/>
      <c r="J496" s="441"/>
      <c r="K496" s="122" t="s">
        <v>327</v>
      </c>
    </row>
    <row r="497" spans="1:11" ht="10.5" customHeight="1" x14ac:dyDescent="0.2">
      <c r="A497" s="120"/>
      <c r="B497" s="127"/>
      <c r="C497" s="124"/>
      <c r="D497" s="124"/>
      <c r="E497" s="124"/>
      <c r="F497" s="124"/>
      <c r="G497" s="124"/>
      <c r="H497" s="124"/>
      <c r="I497" s="124"/>
      <c r="J497" s="441"/>
      <c r="K497" s="122" t="e">
        <f>$B$2</f>
        <v>#REF!</v>
      </c>
    </row>
    <row r="498" spans="1:11" ht="10.5" customHeight="1" x14ac:dyDescent="0.2">
      <c r="A498" s="120" t="s">
        <v>0</v>
      </c>
      <c r="B498" s="960" t="str">
        <f>$B$4</f>
        <v>адрес вбить сюда</v>
      </c>
      <c r="C498" s="960"/>
      <c r="D498" s="960"/>
      <c r="E498" s="960"/>
      <c r="F498" s="960"/>
      <c r="G498" s="960"/>
      <c r="H498" s="960"/>
      <c r="I498" s="960"/>
      <c r="J498" s="961"/>
      <c r="K498" s="122"/>
    </row>
    <row r="499" spans="1:11" ht="10.5" customHeight="1" x14ac:dyDescent="0.2">
      <c r="A499" s="120"/>
      <c r="B499" s="960"/>
      <c r="C499" s="960"/>
      <c r="D499" s="960"/>
      <c r="E499" s="960"/>
      <c r="F499" s="960"/>
      <c r="G499" s="960"/>
      <c r="H499" s="960"/>
      <c r="I499" s="960"/>
      <c r="J499" s="961"/>
      <c r="K499" s="122" t="s">
        <v>328</v>
      </c>
    </row>
    <row r="500" spans="1:11" ht="10.5" customHeight="1" x14ac:dyDescent="0.2">
      <c r="A500" s="957" t="s">
        <v>329</v>
      </c>
      <c r="B500" s="958"/>
      <c r="C500" s="958"/>
      <c r="D500" s="945" t="e">
        <f>'Акт отбора проб Почва'!#REF!</f>
        <v>#REF!</v>
      </c>
      <c r="E500" s="945"/>
      <c r="F500" s="945"/>
      <c r="G500" s="959" t="s">
        <v>330</v>
      </c>
      <c r="H500" s="959"/>
      <c r="I500" s="959"/>
      <c r="J500" s="438" t="e">
        <f>'Акт отбора проб Почва'!#REF!</f>
        <v>#REF!</v>
      </c>
      <c r="K500" s="126">
        <f>$H$2</f>
        <v>45739</v>
      </c>
    </row>
    <row r="501" spans="1:11" ht="10.5" customHeight="1" x14ac:dyDescent="0.2">
      <c r="A501" s="120"/>
      <c r="B501" s="127"/>
      <c r="C501" s="124"/>
      <c r="D501" s="128"/>
      <c r="E501" s="128"/>
      <c r="F501" s="128"/>
      <c r="G501" s="125"/>
      <c r="H501" s="125"/>
      <c r="I501" s="125"/>
      <c r="J501" s="442"/>
      <c r="K501" s="122" t="s">
        <v>331</v>
      </c>
    </row>
    <row r="502" spans="1:11" ht="10.5" customHeight="1" x14ac:dyDescent="0.2">
      <c r="A502" s="120" t="s">
        <v>331</v>
      </c>
      <c r="B502" s="129" t="e">
        <f>'Акт отбора проб Почва'!#REF!</f>
        <v>#REF!</v>
      </c>
      <c r="C502" s="124"/>
      <c r="D502" s="128"/>
      <c r="E502" s="128"/>
      <c r="F502" s="128"/>
      <c r="G502" s="125"/>
      <c r="H502" s="125"/>
      <c r="I502" s="125"/>
      <c r="J502" s="442"/>
      <c r="K502" s="122" t="e">
        <f>B502</f>
        <v>#REF!</v>
      </c>
    </row>
    <row r="503" spans="1:11" ht="10.5" customHeight="1" x14ac:dyDescent="0.2">
      <c r="A503" s="120"/>
      <c r="B503" s="127"/>
      <c r="C503" s="124"/>
      <c r="D503" s="124"/>
      <c r="E503" s="124"/>
      <c r="F503" s="124"/>
      <c r="G503" s="124"/>
      <c r="H503" s="124"/>
      <c r="I503" s="124"/>
      <c r="J503" s="441"/>
      <c r="K503" s="122" t="s">
        <v>332</v>
      </c>
    </row>
    <row r="504" spans="1:11" ht="10.5" customHeight="1" x14ac:dyDescent="0.2">
      <c r="A504" s="957" t="s">
        <v>681</v>
      </c>
      <c r="B504" s="958"/>
      <c r="C504" s="951"/>
      <c r="D504" s="951"/>
      <c r="E504" s="951"/>
      <c r="F504" s="951"/>
      <c r="G504" s="951"/>
      <c r="H504" s="951"/>
      <c r="I504" s="951"/>
      <c r="J504" s="144"/>
      <c r="K504" s="122" t="e">
        <f>J500</f>
        <v>#REF!</v>
      </c>
    </row>
    <row r="505" spans="1:11" ht="10.5" customHeight="1" x14ac:dyDescent="0.2">
      <c r="A505" s="120" t="s">
        <v>333</v>
      </c>
      <c r="B505" s="127"/>
      <c r="C505" s="124"/>
      <c r="D505" s="124"/>
      <c r="E505" s="124"/>
      <c r="F505" s="124"/>
      <c r="G505" s="124"/>
      <c r="H505" s="124"/>
      <c r="I505" s="124"/>
      <c r="J505" s="441"/>
      <c r="K505" s="122" t="s">
        <v>334</v>
      </c>
    </row>
    <row r="506" spans="1:11" ht="10.5" customHeight="1" x14ac:dyDescent="0.2">
      <c r="A506" s="120" t="s">
        <v>335</v>
      </c>
      <c r="B506" s="133"/>
      <c r="C506" s="134"/>
      <c r="D506" s="134"/>
      <c r="E506" s="134"/>
      <c r="F506" s="134"/>
      <c r="G506" s="134"/>
      <c r="H506" s="124"/>
      <c r="I506" s="124"/>
      <c r="J506" s="441"/>
      <c r="K506" s="122"/>
    </row>
    <row r="507" spans="1:11" ht="10.5" customHeight="1" thickBot="1" x14ac:dyDescent="0.25">
      <c r="A507" s="145"/>
      <c r="B507" s="146"/>
      <c r="C507" s="147" t="s">
        <v>336</v>
      </c>
      <c r="D507" s="147"/>
      <c r="E507" s="147"/>
      <c r="F507" s="147"/>
      <c r="G507" s="147"/>
      <c r="H507" s="147"/>
      <c r="I507" s="147"/>
      <c r="J507" s="394"/>
      <c r="K507" s="139"/>
    </row>
    <row r="508" spans="1:11" ht="10.5" customHeight="1" x14ac:dyDescent="0.2">
      <c r="A508" s="141"/>
      <c r="B508" s="142"/>
      <c r="C508" s="143"/>
      <c r="D508" s="143"/>
      <c r="E508" s="143"/>
      <c r="F508" s="143"/>
      <c r="G508" s="143"/>
      <c r="H508" s="143"/>
      <c r="I508" s="143"/>
      <c r="J508" s="440"/>
      <c r="K508" s="118"/>
    </row>
    <row r="509" spans="1:11" ht="10.5" customHeight="1" x14ac:dyDescent="0.2">
      <c r="A509" s="120" t="s">
        <v>325</v>
      </c>
      <c r="B509" s="952" t="e">
        <f>$B$2</f>
        <v>#REF!</v>
      </c>
      <c r="C509" s="952"/>
      <c r="D509" s="934" t="s">
        <v>326</v>
      </c>
      <c r="E509" s="934"/>
      <c r="F509" s="934"/>
      <c r="G509" s="934"/>
      <c r="H509" s="953">
        <f>$H$2</f>
        <v>45739</v>
      </c>
      <c r="I509" s="954"/>
      <c r="J509" s="441"/>
      <c r="K509" s="122" t="s">
        <v>327</v>
      </c>
    </row>
    <row r="510" spans="1:11" ht="10.5" customHeight="1" x14ac:dyDescent="0.2">
      <c r="A510" s="120"/>
      <c r="B510" s="127"/>
      <c r="C510" s="124"/>
      <c r="D510" s="124"/>
      <c r="E510" s="124"/>
      <c r="F510" s="124"/>
      <c r="G510" s="124"/>
      <c r="H510" s="124"/>
      <c r="I510" s="124"/>
      <c r="J510" s="441"/>
      <c r="K510" s="122" t="e">
        <f>$B$2</f>
        <v>#REF!</v>
      </c>
    </row>
    <row r="511" spans="1:11" ht="10.5" customHeight="1" x14ac:dyDescent="0.2">
      <c r="A511" s="120" t="s">
        <v>0</v>
      </c>
      <c r="B511" s="960" t="str">
        <f>$B$4</f>
        <v>адрес вбить сюда</v>
      </c>
      <c r="C511" s="960"/>
      <c r="D511" s="960"/>
      <c r="E511" s="960"/>
      <c r="F511" s="960"/>
      <c r="G511" s="960"/>
      <c r="H511" s="960"/>
      <c r="I511" s="960"/>
      <c r="J511" s="961"/>
      <c r="K511" s="122"/>
    </row>
    <row r="512" spans="1:11" ht="10.5" customHeight="1" x14ac:dyDescent="0.2">
      <c r="A512" s="120"/>
      <c r="B512" s="960"/>
      <c r="C512" s="960"/>
      <c r="D512" s="960"/>
      <c r="E512" s="960"/>
      <c r="F512" s="960"/>
      <c r="G512" s="960"/>
      <c r="H512" s="960"/>
      <c r="I512" s="960"/>
      <c r="J512" s="961"/>
      <c r="K512" s="122" t="s">
        <v>328</v>
      </c>
    </row>
    <row r="513" spans="1:11" ht="10.5" customHeight="1" x14ac:dyDescent="0.2">
      <c r="A513" s="957" t="s">
        <v>329</v>
      </c>
      <c r="B513" s="958"/>
      <c r="C513" s="958"/>
      <c r="D513" s="945" t="e">
        <f>'Акт отбора проб Почва'!#REF!</f>
        <v>#REF!</v>
      </c>
      <c r="E513" s="945"/>
      <c r="F513" s="945"/>
      <c r="G513" s="959" t="s">
        <v>330</v>
      </c>
      <c r="H513" s="959"/>
      <c r="I513" s="959"/>
      <c r="J513" s="438" t="e">
        <f>'Акт отбора проб Почва'!#REF!</f>
        <v>#REF!</v>
      </c>
      <c r="K513" s="126">
        <f>$H$2</f>
        <v>45739</v>
      </c>
    </row>
    <row r="514" spans="1:11" ht="10.5" customHeight="1" x14ac:dyDescent="0.2">
      <c r="A514" s="120"/>
      <c r="B514" s="127"/>
      <c r="C514" s="124"/>
      <c r="D514" s="128"/>
      <c r="E514" s="128"/>
      <c r="F514" s="128"/>
      <c r="G514" s="125"/>
      <c r="H514" s="125"/>
      <c r="I514" s="125"/>
      <c r="J514" s="442"/>
      <c r="K514" s="122" t="s">
        <v>331</v>
      </c>
    </row>
    <row r="515" spans="1:11" ht="10.5" customHeight="1" x14ac:dyDescent="0.2">
      <c r="A515" s="120" t="s">
        <v>331</v>
      </c>
      <c r="B515" s="129" t="e">
        <f>'Акт отбора проб Почва'!#REF!</f>
        <v>#REF!</v>
      </c>
      <c r="C515" s="124"/>
      <c r="D515" s="128"/>
      <c r="E515" s="128"/>
      <c r="F515" s="128"/>
      <c r="G515" s="125"/>
      <c r="H515" s="125"/>
      <c r="I515" s="125"/>
      <c r="J515" s="442"/>
      <c r="K515" s="122" t="e">
        <f>B515</f>
        <v>#REF!</v>
      </c>
    </row>
    <row r="516" spans="1:11" ht="10.5" customHeight="1" x14ac:dyDescent="0.2">
      <c r="A516" s="120"/>
      <c r="B516" s="127"/>
      <c r="C516" s="124"/>
      <c r="D516" s="124"/>
      <c r="E516" s="124"/>
      <c r="F516" s="124"/>
      <c r="G516" s="124"/>
      <c r="H516" s="124"/>
      <c r="I516" s="124"/>
      <c r="J516" s="441"/>
      <c r="K516" s="122" t="s">
        <v>332</v>
      </c>
    </row>
    <row r="517" spans="1:11" ht="10.5" customHeight="1" x14ac:dyDescent="0.2">
      <c r="A517" s="957" t="s">
        <v>681</v>
      </c>
      <c r="B517" s="958"/>
      <c r="C517" s="951"/>
      <c r="D517" s="951"/>
      <c r="E517" s="951"/>
      <c r="F517" s="951"/>
      <c r="G517" s="951"/>
      <c r="H517" s="951"/>
      <c r="I517" s="951"/>
      <c r="J517" s="144"/>
      <c r="K517" s="122" t="e">
        <f>J513</f>
        <v>#REF!</v>
      </c>
    </row>
    <row r="518" spans="1:11" ht="10.5" customHeight="1" x14ac:dyDescent="0.2">
      <c r="A518" s="120" t="s">
        <v>333</v>
      </c>
      <c r="B518" s="127"/>
      <c r="C518" s="124"/>
      <c r="D518" s="124"/>
      <c r="E518" s="124"/>
      <c r="F518" s="124"/>
      <c r="G518" s="124"/>
      <c r="H518" s="124"/>
      <c r="I518" s="124"/>
      <c r="J518" s="441"/>
      <c r="K518" s="122" t="s">
        <v>334</v>
      </c>
    </row>
    <row r="519" spans="1:11" ht="10.5" customHeight="1" x14ac:dyDescent="0.2">
      <c r="A519" s="120" t="s">
        <v>335</v>
      </c>
      <c r="B519" s="133"/>
      <c r="C519" s="134"/>
      <c r="D519" s="134"/>
      <c r="E519" s="134"/>
      <c r="F519" s="134"/>
      <c r="G519" s="134"/>
      <c r="H519" s="124"/>
      <c r="I519" s="124"/>
      <c r="J519" s="441"/>
      <c r="K519" s="122"/>
    </row>
    <row r="520" spans="1:11" ht="10.5" customHeight="1" thickBot="1" x14ac:dyDescent="0.25">
      <c r="A520" s="145"/>
      <c r="B520" s="146"/>
      <c r="C520" s="147" t="s">
        <v>336</v>
      </c>
      <c r="D520" s="147"/>
      <c r="E520" s="147"/>
      <c r="F520" s="147"/>
      <c r="G520" s="147"/>
      <c r="H520" s="147"/>
      <c r="I520" s="147"/>
      <c r="J520" s="394"/>
      <c r="K520" s="139"/>
    </row>
    <row r="521" spans="1:11" ht="10.5" customHeight="1" x14ac:dyDescent="0.2">
      <c r="A521" s="141"/>
      <c r="B521" s="142"/>
      <c r="C521" s="143"/>
      <c r="D521" s="143"/>
      <c r="E521" s="143"/>
      <c r="F521" s="143"/>
      <c r="G521" s="143"/>
      <c r="H521" s="143"/>
      <c r="I521" s="143"/>
      <c r="J521" s="440"/>
      <c r="K521" s="118"/>
    </row>
    <row r="522" spans="1:11" ht="10.5" customHeight="1" x14ac:dyDescent="0.2">
      <c r="A522" s="120" t="s">
        <v>325</v>
      </c>
      <c r="B522" s="952" t="e">
        <f>$B$2</f>
        <v>#REF!</v>
      </c>
      <c r="C522" s="952"/>
      <c r="D522" s="934" t="s">
        <v>326</v>
      </c>
      <c r="E522" s="934"/>
      <c r="F522" s="934"/>
      <c r="G522" s="934"/>
      <c r="H522" s="953">
        <f>$H$2</f>
        <v>45739</v>
      </c>
      <c r="I522" s="954"/>
      <c r="J522" s="441"/>
      <c r="K522" s="122" t="s">
        <v>327</v>
      </c>
    </row>
    <row r="523" spans="1:11" ht="10.5" customHeight="1" x14ac:dyDescent="0.2">
      <c r="A523" s="120"/>
      <c r="B523" s="127"/>
      <c r="C523" s="124"/>
      <c r="D523" s="124"/>
      <c r="E523" s="124"/>
      <c r="F523" s="124"/>
      <c r="G523" s="124"/>
      <c r="H523" s="124"/>
      <c r="I523" s="124"/>
      <c r="J523" s="441"/>
      <c r="K523" s="122" t="e">
        <f>$B$2</f>
        <v>#REF!</v>
      </c>
    </row>
    <row r="524" spans="1:11" ht="10.5" customHeight="1" x14ac:dyDescent="0.2">
      <c r="A524" s="120" t="s">
        <v>0</v>
      </c>
      <c r="B524" s="960" t="str">
        <f>$B$4</f>
        <v>адрес вбить сюда</v>
      </c>
      <c r="C524" s="960"/>
      <c r="D524" s="960"/>
      <c r="E524" s="960"/>
      <c r="F524" s="960"/>
      <c r="G524" s="960"/>
      <c r="H524" s="960"/>
      <c r="I524" s="960"/>
      <c r="J524" s="961"/>
      <c r="K524" s="122"/>
    </row>
    <row r="525" spans="1:11" ht="10.5" customHeight="1" x14ac:dyDescent="0.2">
      <c r="A525" s="120"/>
      <c r="B525" s="960"/>
      <c r="C525" s="960"/>
      <c r="D525" s="960"/>
      <c r="E525" s="960"/>
      <c r="F525" s="960"/>
      <c r="G525" s="960"/>
      <c r="H525" s="960"/>
      <c r="I525" s="960"/>
      <c r="J525" s="961"/>
      <c r="K525" s="122" t="s">
        <v>328</v>
      </c>
    </row>
    <row r="526" spans="1:11" ht="10.5" customHeight="1" x14ac:dyDescent="0.2">
      <c r="A526" s="957" t="s">
        <v>329</v>
      </c>
      <c r="B526" s="958"/>
      <c r="C526" s="958"/>
      <c r="D526" s="945" t="e">
        <f>'Акт отбора проб Почва'!#REF!</f>
        <v>#REF!</v>
      </c>
      <c r="E526" s="945"/>
      <c r="F526" s="945"/>
      <c r="G526" s="959" t="s">
        <v>330</v>
      </c>
      <c r="H526" s="959"/>
      <c r="I526" s="959"/>
      <c r="J526" s="438" t="e">
        <f>'Акт отбора проб Почва'!#REF!</f>
        <v>#REF!</v>
      </c>
      <c r="K526" s="126">
        <f>$H$2</f>
        <v>45739</v>
      </c>
    </row>
    <row r="527" spans="1:11" ht="10.5" customHeight="1" x14ac:dyDescent="0.2">
      <c r="A527" s="120"/>
      <c r="B527" s="127"/>
      <c r="C527" s="124"/>
      <c r="D527" s="128"/>
      <c r="E527" s="128"/>
      <c r="F527" s="128"/>
      <c r="G527" s="125"/>
      <c r="H527" s="125"/>
      <c r="I527" s="125"/>
      <c r="J527" s="442"/>
      <c r="K527" s="122" t="s">
        <v>331</v>
      </c>
    </row>
    <row r="528" spans="1:11" ht="10.5" customHeight="1" x14ac:dyDescent="0.2">
      <c r="A528" s="120" t="s">
        <v>331</v>
      </c>
      <c r="B528" s="129" t="e">
        <f>'Акт отбора проб Почва'!#REF!</f>
        <v>#REF!</v>
      </c>
      <c r="C528" s="124"/>
      <c r="D528" s="128"/>
      <c r="E528" s="128"/>
      <c r="F528" s="128"/>
      <c r="G528" s="125"/>
      <c r="H528" s="125"/>
      <c r="I528" s="125"/>
      <c r="J528" s="442"/>
      <c r="K528" s="122" t="e">
        <f>B528</f>
        <v>#REF!</v>
      </c>
    </row>
    <row r="529" spans="1:11" ht="10.5" customHeight="1" x14ac:dyDescent="0.2">
      <c r="A529" s="120"/>
      <c r="B529" s="127"/>
      <c r="C529" s="124"/>
      <c r="D529" s="124"/>
      <c r="E529" s="124"/>
      <c r="F529" s="124"/>
      <c r="G529" s="124"/>
      <c r="H529" s="124"/>
      <c r="I529" s="124"/>
      <c r="J529" s="441"/>
      <c r="K529" s="122" t="s">
        <v>332</v>
      </c>
    </row>
    <row r="530" spans="1:11" ht="10.5" customHeight="1" x14ac:dyDescent="0.2">
      <c r="A530" s="957" t="s">
        <v>681</v>
      </c>
      <c r="B530" s="958"/>
      <c r="C530" s="951"/>
      <c r="D530" s="951"/>
      <c r="E530" s="951"/>
      <c r="F530" s="951"/>
      <c r="G530" s="951"/>
      <c r="H530" s="951"/>
      <c r="I530" s="951"/>
      <c r="J530" s="144"/>
      <c r="K530" s="122" t="e">
        <f>J526</f>
        <v>#REF!</v>
      </c>
    </row>
    <row r="531" spans="1:11" ht="10.5" customHeight="1" x14ac:dyDescent="0.2">
      <c r="A531" s="120" t="s">
        <v>333</v>
      </c>
      <c r="B531" s="127"/>
      <c r="C531" s="124"/>
      <c r="D531" s="124"/>
      <c r="E531" s="124"/>
      <c r="F531" s="124"/>
      <c r="G531" s="124"/>
      <c r="H531" s="124"/>
      <c r="I531" s="124"/>
      <c r="J531" s="441"/>
      <c r="K531" s="122" t="s">
        <v>334</v>
      </c>
    </row>
    <row r="532" spans="1:11" ht="10.5" customHeight="1" x14ac:dyDescent="0.2">
      <c r="A532" s="120" t="s">
        <v>335</v>
      </c>
      <c r="B532" s="133"/>
      <c r="C532" s="134"/>
      <c r="D532" s="134"/>
      <c r="E532" s="134"/>
      <c r="F532" s="134"/>
      <c r="G532" s="134"/>
      <c r="H532" s="124"/>
      <c r="I532" s="124"/>
      <c r="J532" s="441"/>
      <c r="K532" s="122"/>
    </row>
    <row r="533" spans="1:11" ht="10.5" customHeight="1" thickBot="1" x14ac:dyDescent="0.25">
      <c r="A533" s="145"/>
      <c r="B533" s="146"/>
      <c r="C533" s="147" t="s">
        <v>336</v>
      </c>
      <c r="D533" s="147"/>
      <c r="E533" s="147"/>
      <c r="F533" s="147"/>
      <c r="G533" s="147"/>
      <c r="H533" s="147"/>
      <c r="I533" s="147"/>
      <c r="J533" s="394"/>
      <c r="K533" s="139"/>
    </row>
    <row r="534" spans="1:11" ht="10.5" customHeight="1" x14ac:dyDescent="0.2">
      <c r="A534" s="141"/>
      <c r="B534" s="142"/>
      <c r="C534" s="143"/>
      <c r="D534" s="143"/>
      <c r="E534" s="143"/>
      <c r="F534" s="143"/>
      <c r="G534" s="143"/>
      <c r="H534" s="143"/>
      <c r="I534" s="143"/>
      <c r="J534" s="440"/>
      <c r="K534" s="118"/>
    </row>
    <row r="535" spans="1:11" ht="10.5" customHeight="1" x14ac:dyDescent="0.2">
      <c r="A535" s="120" t="s">
        <v>325</v>
      </c>
      <c r="B535" s="952" t="e">
        <f>$B$2</f>
        <v>#REF!</v>
      </c>
      <c r="C535" s="952"/>
      <c r="D535" s="934" t="s">
        <v>326</v>
      </c>
      <c r="E535" s="934"/>
      <c r="F535" s="934"/>
      <c r="G535" s="934"/>
      <c r="H535" s="953">
        <f>$H$2</f>
        <v>45739</v>
      </c>
      <c r="I535" s="954"/>
      <c r="J535" s="441"/>
      <c r="K535" s="122" t="s">
        <v>327</v>
      </c>
    </row>
    <row r="536" spans="1:11" ht="10.5" customHeight="1" x14ac:dyDescent="0.2">
      <c r="A536" s="120"/>
      <c r="B536" s="127"/>
      <c r="C536" s="124"/>
      <c r="D536" s="124"/>
      <c r="E536" s="124"/>
      <c r="F536" s="124"/>
      <c r="G536" s="124"/>
      <c r="H536" s="124"/>
      <c r="I536" s="124"/>
      <c r="J536" s="441"/>
      <c r="K536" s="122" t="e">
        <f>$B$2</f>
        <v>#REF!</v>
      </c>
    </row>
    <row r="537" spans="1:11" ht="10.5" customHeight="1" x14ac:dyDescent="0.2">
      <c r="A537" s="120" t="s">
        <v>0</v>
      </c>
      <c r="B537" s="960" t="str">
        <f>$B$4</f>
        <v>адрес вбить сюда</v>
      </c>
      <c r="C537" s="960"/>
      <c r="D537" s="960"/>
      <c r="E537" s="960"/>
      <c r="F537" s="960"/>
      <c r="G537" s="960"/>
      <c r="H537" s="960"/>
      <c r="I537" s="960"/>
      <c r="J537" s="961"/>
      <c r="K537" s="122"/>
    </row>
    <row r="538" spans="1:11" ht="10.5" customHeight="1" x14ac:dyDescent="0.2">
      <c r="A538" s="120"/>
      <c r="B538" s="960"/>
      <c r="C538" s="960"/>
      <c r="D538" s="960"/>
      <c r="E538" s="960"/>
      <c r="F538" s="960"/>
      <c r="G538" s="960"/>
      <c r="H538" s="960"/>
      <c r="I538" s="960"/>
      <c r="J538" s="961"/>
      <c r="K538" s="122" t="s">
        <v>328</v>
      </c>
    </row>
    <row r="539" spans="1:11" ht="10.5" customHeight="1" x14ac:dyDescent="0.2">
      <c r="A539" s="957" t="s">
        <v>329</v>
      </c>
      <c r="B539" s="958"/>
      <c r="C539" s="958"/>
      <c r="D539" s="945" t="e">
        <f>'Акт отбора проб Почва'!#REF!</f>
        <v>#REF!</v>
      </c>
      <c r="E539" s="945"/>
      <c r="F539" s="945"/>
      <c r="G539" s="959" t="s">
        <v>330</v>
      </c>
      <c r="H539" s="959"/>
      <c r="I539" s="959"/>
      <c r="J539" s="438" t="e">
        <f>'Акт отбора проб Почва'!#REF!</f>
        <v>#REF!</v>
      </c>
      <c r="K539" s="126">
        <f>$H$2</f>
        <v>45739</v>
      </c>
    </row>
    <row r="540" spans="1:11" ht="10.5" customHeight="1" x14ac:dyDescent="0.2">
      <c r="A540" s="120"/>
      <c r="B540" s="127"/>
      <c r="C540" s="124"/>
      <c r="D540" s="128"/>
      <c r="E540" s="128"/>
      <c r="F540" s="128"/>
      <c r="G540" s="125"/>
      <c r="H540" s="125"/>
      <c r="I540" s="125"/>
      <c r="J540" s="442"/>
      <c r="K540" s="122" t="s">
        <v>331</v>
      </c>
    </row>
    <row r="541" spans="1:11" ht="10.5" customHeight="1" x14ac:dyDescent="0.2">
      <c r="A541" s="120" t="s">
        <v>331</v>
      </c>
      <c r="B541" s="129" t="e">
        <f>'Акт отбора проб Почва'!#REF!</f>
        <v>#REF!</v>
      </c>
      <c r="C541" s="124"/>
      <c r="D541" s="128"/>
      <c r="E541" s="128"/>
      <c r="F541" s="128"/>
      <c r="G541" s="125"/>
      <c r="H541" s="125"/>
      <c r="I541" s="125"/>
      <c r="J541" s="442"/>
      <c r="K541" s="122" t="e">
        <f>B541</f>
        <v>#REF!</v>
      </c>
    </row>
    <row r="542" spans="1:11" ht="10.5" customHeight="1" x14ac:dyDescent="0.2">
      <c r="A542" s="120"/>
      <c r="B542" s="127"/>
      <c r="C542" s="124"/>
      <c r="D542" s="124"/>
      <c r="E542" s="124"/>
      <c r="F542" s="124"/>
      <c r="G542" s="124"/>
      <c r="H542" s="124"/>
      <c r="I542" s="124"/>
      <c r="J542" s="441"/>
      <c r="K542" s="122" t="s">
        <v>332</v>
      </c>
    </row>
    <row r="543" spans="1:11" ht="10.5" customHeight="1" x14ac:dyDescent="0.2">
      <c r="A543" s="957" t="s">
        <v>681</v>
      </c>
      <c r="B543" s="958"/>
      <c r="C543" s="951"/>
      <c r="D543" s="951"/>
      <c r="E543" s="951"/>
      <c r="F543" s="951"/>
      <c r="G543" s="951"/>
      <c r="H543" s="951"/>
      <c r="I543" s="951"/>
      <c r="J543" s="144"/>
      <c r="K543" s="122" t="e">
        <f>J539</f>
        <v>#REF!</v>
      </c>
    </row>
    <row r="544" spans="1:11" ht="10.5" customHeight="1" x14ac:dyDescent="0.2">
      <c r="A544" s="120" t="s">
        <v>333</v>
      </c>
      <c r="B544" s="127"/>
      <c r="C544" s="124"/>
      <c r="D544" s="124"/>
      <c r="E544" s="124"/>
      <c r="F544" s="124"/>
      <c r="G544" s="124"/>
      <c r="H544" s="124"/>
      <c r="I544" s="124"/>
      <c r="J544" s="441"/>
      <c r="K544" s="122" t="s">
        <v>334</v>
      </c>
    </row>
    <row r="545" spans="1:11" ht="10.5" customHeight="1" x14ac:dyDescent="0.2">
      <c r="A545" s="120" t="s">
        <v>335</v>
      </c>
      <c r="B545" s="133"/>
      <c r="C545" s="134"/>
      <c r="D545" s="134"/>
      <c r="E545" s="134"/>
      <c r="F545" s="134"/>
      <c r="G545" s="134"/>
      <c r="H545" s="124"/>
      <c r="I545" s="124"/>
      <c r="J545" s="441"/>
      <c r="K545" s="122"/>
    </row>
    <row r="546" spans="1:11" ht="10.5" customHeight="1" thickBot="1" x14ac:dyDescent="0.25">
      <c r="A546" s="145"/>
      <c r="B546" s="146"/>
      <c r="C546" s="147" t="s">
        <v>336</v>
      </c>
      <c r="D546" s="147"/>
      <c r="E546" s="147"/>
      <c r="F546" s="147"/>
      <c r="G546" s="147"/>
      <c r="H546" s="147"/>
      <c r="I546" s="147"/>
      <c r="J546" s="394"/>
      <c r="K546" s="139"/>
    </row>
    <row r="547" spans="1:11" ht="10.5" customHeight="1" x14ac:dyDescent="0.2">
      <c r="A547" s="141"/>
      <c r="B547" s="142"/>
      <c r="C547" s="143"/>
      <c r="D547" s="143"/>
      <c r="E547" s="143"/>
      <c r="F547" s="143"/>
      <c r="G547" s="143"/>
      <c r="H547" s="143"/>
      <c r="I547" s="143"/>
      <c r="J547" s="440"/>
      <c r="K547" s="118"/>
    </row>
    <row r="548" spans="1:11" ht="10.5" customHeight="1" x14ac:dyDescent="0.2">
      <c r="A548" s="120" t="s">
        <v>325</v>
      </c>
      <c r="B548" s="952" t="e">
        <f>$B$2</f>
        <v>#REF!</v>
      </c>
      <c r="C548" s="952"/>
      <c r="D548" s="934" t="s">
        <v>326</v>
      </c>
      <c r="E548" s="934"/>
      <c r="F548" s="934"/>
      <c r="G548" s="934"/>
      <c r="H548" s="953">
        <f>$H$2</f>
        <v>45739</v>
      </c>
      <c r="I548" s="954"/>
      <c r="J548" s="441"/>
      <c r="K548" s="122" t="s">
        <v>327</v>
      </c>
    </row>
    <row r="549" spans="1:11" ht="10.5" customHeight="1" x14ac:dyDescent="0.2">
      <c r="A549" s="120"/>
      <c r="B549" s="127"/>
      <c r="C549" s="124"/>
      <c r="D549" s="124"/>
      <c r="E549" s="124"/>
      <c r="F549" s="124"/>
      <c r="G549" s="124"/>
      <c r="H549" s="124"/>
      <c r="I549" s="124"/>
      <c r="J549" s="441"/>
      <c r="K549" s="122" t="e">
        <f>$B$2</f>
        <v>#REF!</v>
      </c>
    </row>
    <row r="550" spans="1:11" ht="10.5" customHeight="1" x14ac:dyDescent="0.2">
      <c r="A550" s="120" t="s">
        <v>0</v>
      </c>
      <c r="B550" s="960" t="str">
        <f>$B$4</f>
        <v>адрес вбить сюда</v>
      </c>
      <c r="C550" s="960"/>
      <c r="D550" s="960"/>
      <c r="E550" s="960"/>
      <c r="F550" s="960"/>
      <c r="G550" s="960"/>
      <c r="H550" s="960"/>
      <c r="I550" s="960"/>
      <c r="J550" s="961"/>
      <c r="K550" s="122"/>
    </row>
    <row r="551" spans="1:11" ht="10.5" customHeight="1" x14ac:dyDescent="0.2">
      <c r="A551" s="120"/>
      <c r="B551" s="960"/>
      <c r="C551" s="960"/>
      <c r="D551" s="960"/>
      <c r="E551" s="960"/>
      <c r="F551" s="960"/>
      <c r="G551" s="960"/>
      <c r="H551" s="960"/>
      <c r="I551" s="960"/>
      <c r="J551" s="961"/>
      <c r="K551" s="122" t="s">
        <v>328</v>
      </c>
    </row>
    <row r="552" spans="1:11" ht="10.5" customHeight="1" x14ac:dyDescent="0.2">
      <c r="A552" s="957" t="s">
        <v>329</v>
      </c>
      <c r="B552" s="958"/>
      <c r="C552" s="958"/>
      <c r="D552" s="945" t="e">
        <f>'Акт отбора проб Почва'!#REF!</f>
        <v>#REF!</v>
      </c>
      <c r="E552" s="945"/>
      <c r="F552" s="945"/>
      <c r="G552" s="959" t="s">
        <v>330</v>
      </c>
      <c r="H552" s="959"/>
      <c r="I552" s="959"/>
      <c r="J552" s="438" t="e">
        <f>'Акт отбора проб Почва'!#REF!</f>
        <v>#REF!</v>
      </c>
      <c r="K552" s="126">
        <f>$H$2</f>
        <v>45739</v>
      </c>
    </row>
    <row r="553" spans="1:11" ht="10.5" customHeight="1" x14ac:dyDescent="0.2">
      <c r="A553" s="120"/>
      <c r="B553" s="127"/>
      <c r="C553" s="124"/>
      <c r="D553" s="128"/>
      <c r="E553" s="128"/>
      <c r="F553" s="128"/>
      <c r="G553" s="125"/>
      <c r="H553" s="125"/>
      <c r="I553" s="125"/>
      <c r="J553" s="442"/>
      <c r="K553" s="122" t="s">
        <v>331</v>
      </c>
    </row>
    <row r="554" spans="1:11" ht="10.5" customHeight="1" x14ac:dyDescent="0.2">
      <c r="A554" s="120" t="s">
        <v>331</v>
      </c>
      <c r="B554" s="129" t="e">
        <f>'Акт отбора проб Почва'!#REF!</f>
        <v>#REF!</v>
      </c>
      <c r="C554" s="124"/>
      <c r="D554" s="128"/>
      <c r="E554" s="128"/>
      <c r="F554" s="128"/>
      <c r="G554" s="125"/>
      <c r="H554" s="125"/>
      <c r="I554" s="125"/>
      <c r="J554" s="442"/>
      <c r="K554" s="122" t="e">
        <f>B554</f>
        <v>#REF!</v>
      </c>
    </row>
    <row r="555" spans="1:11" ht="10.5" customHeight="1" x14ac:dyDescent="0.2">
      <c r="A555" s="120"/>
      <c r="B555" s="127"/>
      <c r="C555" s="124"/>
      <c r="D555" s="124"/>
      <c r="E555" s="124"/>
      <c r="F555" s="124"/>
      <c r="G555" s="124"/>
      <c r="H555" s="124"/>
      <c r="I555" s="124"/>
      <c r="J555" s="441"/>
      <c r="K555" s="122" t="s">
        <v>332</v>
      </c>
    </row>
    <row r="556" spans="1:11" ht="10.5" customHeight="1" x14ac:dyDescent="0.2">
      <c r="A556" s="957" t="s">
        <v>681</v>
      </c>
      <c r="B556" s="958"/>
      <c r="C556" s="951"/>
      <c r="D556" s="951"/>
      <c r="E556" s="951"/>
      <c r="F556" s="951"/>
      <c r="G556" s="951"/>
      <c r="H556" s="951"/>
      <c r="I556" s="951"/>
      <c r="J556" s="144"/>
      <c r="K556" s="122" t="e">
        <f>J552</f>
        <v>#REF!</v>
      </c>
    </row>
    <row r="557" spans="1:11" ht="10.5" customHeight="1" x14ac:dyDescent="0.2">
      <c r="A557" s="120" t="s">
        <v>333</v>
      </c>
      <c r="B557" s="127"/>
      <c r="C557" s="124"/>
      <c r="D557" s="124"/>
      <c r="E557" s="124"/>
      <c r="F557" s="124"/>
      <c r="G557" s="124"/>
      <c r="H557" s="124"/>
      <c r="I557" s="124"/>
      <c r="J557" s="441"/>
      <c r="K557" s="122" t="s">
        <v>334</v>
      </c>
    </row>
    <row r="558" spans="1:11" ht="10.5" customHeight="1" x14ac:dyDescent="0.2">
      <c r="A558" s="120" t="s">
        <v>335</v>
      </c>
      <c r="B558" s="133"/>
      <c r="C558" s="134"/>
      <c r="D558" s="134"/>
      <c r="E558" s="134"/>
      <c r="F558" s="134"/>
      <c r="G558" s="134"/>
      <c r="H558" s="124"/>
      <c r="I558" s="124"/>
      <c r="J558" s="441"/>
      <c r="K558" s="122"/>
    </row>
    <row r="559" spans="1:11" ht="10.5" customHeight="1" thickBot="1" x14ac:dyDescent="0.25">
      <c r="A559" s="145"/>
      <c r="B559" s="146"/>
      <c r="C559" s="147" t="s">
        <v>336</v>
      </c>
      <c r="D559" s="147"/>
      <c r="E559" s="147"/>
      <c r="F559" s="147"/>
      <c r="G559" s="147"/>
      <c r="H559" s="147"/>
      <c r="I559" s="147"/>
      <c r="J559" s="394"/>
      <c r="K559" s="139"/>
    </row>
    <row r="560" spans="1:11" ht="10.5" customHeight="1" x14ac:dyDescent="0.2">
      <c r="A560" s="141"/>
      <c r="B560" s="142"/>
      <c r="C560" s="143"/>
      <c r="D560" s="143"/>
      <c r="E560" s="143"/>
      <c r="F560" s="143"/>
      <c r="G560" s="143"/>
      <c r="H560" s="143"/>
      <c r="I560" s="143"/>
      <c r="J560" s="440"/>
      <c r="K560" s="118"/>
    </row>
    <row r="561" spans="1:11" ht="10.5" customHeight="1" x14ac:dyDescent="0.2">
      <c r="A561" s="120" t="s">
        <v>325</v>
      </c>
      <c r="B561" s="952" t="e">
        <f>$B$2</f>
        <v>#REF!</v>
      </c>
      <c r="C561" s="952"/>
      <c r="D561" s="934" t="s">
        <v>326</v>
      </c>
      <c r="E561" s="934"/>
      <c r="F561" s="934"/>
      <c r="G561" s="934"/>
      <c r="H561" s="953">
        <f>$H$2</f>
        <v>45739</v>
      </c>
      <c r="I561" s="954"/>
      <c r="J561" s="441"/>
      <c r="K561" s="122" t="s">
        <v>327</v>
      </c>
    </row>
    <row r="562" spans="1:11" ht="10.5" customHeight="1" x14ac:dyDescent="0.2">
      <c r="A562" s="120"/>
      <c r="B562" s="127"/>
      <c r="C562" s="124"/>
      <c r="D562" s="124"/>
      <c r="E562" s="124"/>
      <c r="F562" s="124"/>
      <c r="G562" s="124"/>
      <c r="H562" s="124"/>
      <c r="I562" s="124"/>
      <c r="J562" s="441"/>
      <c r="K562" s="122" t="e">
        <f>$B$2</f>
        <v>#REF!</v>
      </c>
    </row>
    <row r="563" spans="1:11" ht="10.5" customHeight="1" x14ac:dyDescent="0.2">
      <c r="A563" s="120" t="s">
        <v>0</v>
      </c>
      <c r="B563" s="960" t="str">
        <f>$B$4</f>
        <v>адрес вбить сюда</v>
      </c>
      <c r="C563" s="960"/>
      <c r="D563" s="960"/>
      <c r="E563" s="960"/>
      <c r="F563" s="960"/>
      <c r="G563" s="960"/>
      <c r="H563" s="960"/>
      <c r="I563" s="960"/>
      <c r="J563" s="961"/>
      <c r="K563" s="122"/>
    </row>
    <row r="564" spans="1:11" ht="10.5" customHeight="1" x14ac:dyDescent="0.2">
      <c r="A564" s="120"/>
      <c r="B564" s="960"/>
      <c r="C564" s="960"/>
      <c r="D564" s="960"/>
      <c r="E564" s="960"/>
      <c r="F564" s="960"/>
      <c r="G564" s="960"/>
      <c r="H564" s="960"/>
      <c r="I564" s="960"/>
      <c r="J564" s="961"/>
      <c r="K564" s="122" t="s">
        <v>328</v>
      </c>
    </row>
    <row r="565" spans="1:11" ht="10.5" customHeight="1" x14ac:dyDescent="0.2">
      <c r="A565" s="957" t="s">
        <v>329</v>
      </c>
      <c r="B565" s="958"/>
      <c r="C565" s="958"/>
      <c r="D565" s="945" t="e">
        <f>'Акт отбора проб Почва'!#REF!</f>
        <v>#REF!</v>
      </c>
      <c r="E565" s="945"/>
      <c r="F565" s="945"/>
      <c r="G565" s="959" t="s">
        <v>330</v>
      </c>
      <c r="H565" s="959"/>
      <c r="I565" s="959"/>
      <c r="J565" s="438" t="e">
        <f>'Акт отбора проб Почва'!#REF!</f>
        <v>#REF!</v>
      </c>
      <c r="K565" s="126">
        <f>$H$2</f>
        <v>45739</v>
      </c>
    </row>
    <row r="566" spans="1:11" ht="10.5" customHeight="1" x14ac:dyDescent="0.2">
      <c r="A566" s="120"/>
      <c r="B566" s="127"/>
      <c r="C566" s="124"/>
      <c r="D566" s="128"/>
      <c r="E566" s="128"/>
      <c r="F566" s="128"/>
      <c r="G566" s="125"/>
      <c r="H566" s="125"/>
      <c r="I566" s="125"/>
      <c r="J566" s="442"/>
      <c r="K566" s="122" t="s">
        <v>331</v>
      </c>
    </row>
    <row r="567" spans="1:11" ht="10.5" customHeight="1" x14ac:dyDescent="0.2">
      <c r="A567" s="120" t="s">
        <v>331</v>
      </c>
      <c r="B567" s="129" t="e">
        <f>'Акт отбора проб Почва'!#REF!</f>
        <v>#REF!</v>
      </c>
      <c r="C567" s="124"/>
      <c r="D567" s="128"/>
      <c r="E567" s="128"/>
      <c r="F567" s="128"/>
      <c r="G567" s="125"/>
      <c r="H567" s="125"/>
      <c r="I567" s="125"/>
      <c r="J567" s="442"/>
      <c r="K567" s="122" t="e">
        <f>B567</f>
        <v>#REF!</v>
      </c>
    </row>
    <row r="568" spans="1:11" ht="10.5" customHeight="1" x14ac:dyDescent="0.2">
      <c r="A568" s="120"/>
      <c r="B568" s="127"/>
      <c r="C568" s="124"/>
      <c r="D568" s="124"/>
      <c r="E568" s="124"/>
      <c r="F568" s="124"/>
      <c r="G568" s="124"/>
      <c r="H568" s="124"/>
      <c r="I568" s="124"/>
      <c r="J568" s="441"/>
      <c r="K568" s="122" t="s">
        <v>332</v>
      </c>
    </row>
    <row r="569" spans="1:11" ht="10.5" customHeight="1" x14ac:dyDescent="0.2">
      <c r="A569" s="957" t="s">
        <v>681</v>
      </c>
      <c r="B569" s="958"/>
      <c r="C569" s="951"/>
      <c r="D569" s="951"/>
      <c r="E569" s="951"/>
      <c r="F569" s="951"/>
      <c r="G569" s="951"/>
      <c r="H569" s="951"/>
      <c r="I569" s="951"/>
      <c r="J569" s="144"/>
      <c r="K569" s="122" t="e">
        <f>J565</f>
        <v>#REF!</v>
      </c>
    </row>
    <row r="570" spans="1:11" ht="10.5" customHeight="1" x14ac:dyDescent="0.2">
      <c r="A570" s="120" t="s">
        <v>333</v>
      </c>
      <c r="B570" s="127"/>
      <c r="C570" s="124"/>
      <c r="D570" s="124"/>
      <c r="E570" s="124"/>
      <c r="F570" s="124"/>
      <c r="G570" s="124"/>
      <c r="H570" s="124"/>
      <c r="I570" s="124"/>
      <c r="J570" s="441"/>
      <c r="K570" s="122" t="s">
        <v>334</v>
      </c>
    </row>
    <row r="571" spans="1:11" ht="10.5" customHeight="1" x14ac:dyDescent="0.2">
      <c r="A571" s="120" t="s">
        <v>335</v>
      </c>
      <c r="B571" s="133"/>
      <c r="C571" s="134"/>
      <c r="D571" s="134"/>
      <c r="E571" s="134"/>
      <c r="F571" s="134"/>
      <c r="G571" s="134"/>
      <c r="H571" s="124"/>
      <c r="I571" s="124"/>
      <c r="J571" s="441"/>
      <c r="K571" s="122"/>
    </row>
    <row r="572" spans="1:11" ht="10.5" customHeight="1" thickBot="1" x14ac:dyDescent="0.25">
      <c r="A572" s="145"/>
      <c r="B572" s="146"/>
      <c r="C572" s="147" t="s">
        <v>336</v>
      </c>
      <c r="D572" s="147"/>
      <c r="E572" s="147"/>
      <c r="F572" s="147"/>
      <c r="G572" s="147"/>
      <c r="H572" s="147"/>
      <c r="I572" s="147"/>
      <c r="J572" s="394"/>
      <c r="K572" s="139"/>
    </row>
    <row r="573" spans="1:11" ht="10.5" customHeight="1" x14ac:dyDescent="0.2">
      <c r="A573" s="141"/>
      <c r="B573" s="142"/>
      <c r="C573" s="143"/>
      <c r="D573" s="143"/>
      <c r="E573" s="143"/>
      <c r="F573" s="143"/>
      <c r="G573" s="143"/>
      <c r="H573" s="143"/>
      <c r="I573" s="143"/>
      <c r="J573" s="440"/>
      <c r="K573" s="118"/>
    </row>
    <row r="574" spans="1:11" ht="10.5" customHeight="1" x14ac:dyDescent="0.2">
      <c r="A574" s="120" t="s">
        <v>325</v>
      </c>
      <c r="B574" s="952" t="e">
        <f>$B$2</f>
        <v>#REF!</v>
      </c>
      <c r="C574" s="952"/>
      <c r="D574" s="934" t="s">
        <v>326</v>
      </c>
      <c r="E574" s="934"/>
      <c r="F574" s="934"/>
      <c r="G574" s="934"/>
      <c r="H574" s="953">
        <f>$H$2</f>
        <v>45739</v>
      </c>
      <c r="I574" s="954"/>
      <c r="J574" s="441"/>
      <c r="K574" s="122" t="s">
        <v>327</v>
      </c>
    </row>
    <row r="575" spans="1:11" ht="10.5" customHeight="1" x14ac:dyDescent="0.2">
      <c r="A575" s="120"/>
      <c r="B575" s="127"/>
      <c r="C575" s="124"/>
      <c r="D575" s="124"/>
      <c r="E575" s="124"/>
      <c r="F575" s="124"/>
      <c r="G575" s="124"/>
      <c r="H575" s="124"/>
      <c r="I575" s="124"/>
      <c r="J575" s="441"/>
      <c r="K575" s="122" t="e">
        <f>$B$2</f>
        <v>#REF!</v>
      </c>
    </row>
    <row r="576" spans="1:11" ht="10.5" customHeight="1" x14ac:dyDescent="0.2">
      <c r="A576" s="120" t="s">
        <v>0</v>
      </c>
      <c r="B576" s="960" t="str">
        <f>$B$4</f>
        <v>адрес вбить сюда</v>
      </c>
      <c r="C576" s="960"/>
      <c r="D576" s="960"/>
      <c r="E576" s="960"/>
      <c r="F576" s="960"/>
      <c r="G576" s="960"/>
      <c r="H576" s="960"/>
      <c r="I576" s="960"/>
      <c r="J576" s="961"/>
      <c r="K576" s="122"/>
    </row>
    <row r="577" spans="1:11" ht="10.5" customHeight="1" x14ac:dyDescent="0.2">
      <c r="A577" s="120"/>
      <c r="B577" s="960"/>
      <c r="C577" s="960"/>
      <c r="D577" s="960"/>
      <c r="E577" s="960"/>
      <c r="F577" s="960"/>
      <c r="G577" s="960"/>
      <c r="H577" s="960"/>
      <c r="I577" s="960"/>
      <c r="J577" s="961"/>
      <c r="K577" s="122" t="s">
        <v>328</v>
      </c>
    </row>
    <row r="578" spans="1:11" ht="10.5" customHeight="1" x14ac:dyDescent="0.2">
      <c r="A578" s="957" t="s">
        <v>329</v>
      </c>
      <c r="B578" s="958"/>
      <c r="C578" s="958"/>
      <c r="D578" s="945" t="e">
        <f>'Акт отбора проб Почва'!#REF!</f>
        <v>#REF!</v>
      </c>
      <c r="E578" s="945"/>
      <c r="F578" s="945"/>
      <c r="G578" s="959" t="s">
        <v>330</v>
      </c>
      <c r="H578" s="959"/>
      <c r="I578" s="959"/>
      <c r="J578" s="438" t="e">
        <f>'Акт отбора проб Почва'!#REF!</f>
        <v>#REF!</v>
      </c>
      <c r="K578" s="126">
        <f>$H$2</f>
        <v>45739</v>
      </c>
    </row>
    <row r="579" spans="1:11" ht="10.5" customHeight="1" x14ac:dyDescent="0.2">
      <c r="A579" s="120"/>
      <c r="B579" s="127"/>
      <c r="C579" s="124"/>
      <c r="D579" s="128"/>
      <c r="E579" s="128"/>
      <c r="F579" s="128"/>
      <c r="G579" s="125"/>
      <c r="H579" s="125"/>
      <c r="I579" s="125"/>
      <c r="J579" s="442"/>
      <c r="K579" s="122" t="s">
        <v>331</v>
      </c>
    </row>
    <row r="580" spans="1:11" ht="10.5" customHeight="1" x14ac:dyDescent="0.2">
      <c r="A580" s="120" t="s">
        <v>331</v>
      </c>
      <c r="B580" s="129" t="e">
        <f>'Акт отбора проб Почва'!#REF!</f>
        <v>#REF!</v>
      </c>
      <c r="C580" s="124"/>
      <c r="D580" s="128"/>
      <c r="E580" s="128"/>
      <c r="F580" s="128"/>
      <c r="G580" s="125"/>
      <c r="H580" s="125"/>
      <c r="I580" s="125"/>
      <c r="J580" s="442"/>
      <c r="K580" s="122" t="e">
        <f>B580</f>
        <v>#REF!</v>
      </c>
    </row>
    <row r="581" spans="1:11" ht="10.5" customHeight="1" x14ac:dyDescent="0.2">
      <c r="A581" s="120"/>
      <c r="B581" s="127"/>
      <c r="C581" s="124"/>
      <c r="D581" s="124"/>
      <c r="E581" s="124"/>
      <c r="F581" s="124"/>
      <c r="G581" s="124"/>
      <c r="H581" s="124"/>
      <c r="I581" s="124"/>
      <c r="J581" s="441"/>
      <c r="K581" s="122" t="s">
        <v>332</v>
      </c>
    </row>
    <row r="582" spans="1:11" ht="10.5" customHeight="1" x14ac:dyDescent="0.2">
      <c r="A582" s="957" t="s">
        <v>681</v>
      </c>
      <c r="B582" s="958"/>
      <c r="C582" s="951"/>
      <c r="D582" s="951"/>
      <c r="E582" s="951"/>
      <c r="F582" s="951"/>
      <c r="G582" s="951"/>
      <c r="H582" s="951"/>
      <c r="I582" s="951"/>
      <c r="J582" s="144"/>
      <c r="K582" s="122" t="e">
        <f>J578</f>
        <v>#REF!</v>
      </c>
    </row>
    <row r="583" spans="1:11" ht="10.5" customHeight="1" x14ac:dyDescent="0.2">
      <c r="A583" s="120" t="s">
        <v>333</v>
      </c>
      <c r="B583" s="127"/>
      <c r="C583" s="124"/>
      <c r="D583" s="124"/>
      <c r="E583" s="124"/>
      <c r="F583" s="124"/>
      <c r="G583" s="124"/>
      <c r="H583" s="124"/>
      <c r="I583" s="124"/>
      <c r="J583" s="441"/>
      <c r="K583" s="122" t="s">
        <v>334</v>
      </c>
    </row>
    <row r="584" spans="1:11" ht="10.5" customHeight="1" x14ac:dyDescent="0.2">
      <c r="A584" s="120" t="s">
        <v>335</v>
      </c>
      <c r="B584" s="133"/>
      <c r="C584" s="134"/>
      <c r="D584" s="134"/>
      <c r="E584" s="134"/>
      <c r="F584" s="134"/>
      <c r="G584" s="134"/>
      <c r="H584" s="124"/>
      <c r="I584" s="124"/>
      <c r="J584" s="441"/>
      <c r="K584" s="122"/>
    </row>
    <row r="585" spans="1:11" ht="10.5" customHeight="1" thickBot="1" x14ac:dyDescent="0.25">
      <c r="A585" s="145"/>
      <c r="B585" s="146"/>
      <c r="C585" s="147" t="s">
        <v>336</v>
      </c>
      <c r="D585" s="147"/>
      <c r="E585" s="147"/>
      <c r="F585" s="147"/>
      <c r="G585" s="147"/>
      <c r="H585" s="147"/>
      <c r="I585" s="147"/>
      <c r="J585" s="394"/>
      <c r="K585" s="139"/>
    </row>
    <row r="586" spans="1:11" ht="10.5" customHeight="1" x14ac:dyDescent="0.2">
      <c r="A586" s="141"/>
      <c r="B586" s="142"/>
      <c r="C586" s="143"/>
      <c r="D586" s="143"/>
      <c r="E586" s="143"/>
      <c r="F586" s="143"/>
      <c r="G586" s="143"/>
      <c r="H586" s="143"/>
      <c r="I586" s="143"/>
      <c r="J586" s="440"/>
      <c r="K586" s="118"/>
    </row>
    <row r="587" spans="1:11" ht="10.5" customHeight="1" x14ac:dyDescent="0.2">
      <c r="A587" s="120" t="s">
        <v>325</v>
      </c>
      <c r="B587" s="952" t="e">
        <f>$B$2</f>
        <v>#REF!</v>
      </c>
      <c r="C587" s="952"/>
      <c r="D587" s="934" t="s">
        <v>326</v>
      </c>
      <c r="E587" s="934"/>
      <c r="F587" s="934"/>
      <c r="G587" s="934"/>
      <c r="H587" s="953">
        <f>$H$2</f>
        <v>45739</v>
      </c>
      <c r="I587" s="954"/>
      <c r="J587" s="441"/>
      <c r="K587" s="122" t="s">
        <v>327</v>
      </c>
    </row>
    <row r="588" spans="1:11" ht="10.5" customHeight="1" x14ac:dyDescent="0.2">
      <c r="A588" s="120"/>
      <c r="B588" s="127"/>
      <c r="C588" s="124"/>
      <c r="D588" s="124"/>
      <c r="E588" s="124"/>
      <c r="F588" s="124"/>
      <c r="G588" s="124"/>
      <c r="H588" s="124"/>
      <c r="I588" s="124"/>
      <c r="J588" s="441"/>
      <c r="K588" s="122" t="e">
        <f>$B$2</f>
        <v>#REF!</v>
      </c>
    </row>
    <row r="589" spans="1:11" ht="10.5" customHeight="1" x14ac:dyDescent="0.2">
      <c r="A589" s="120" t="s">
        <v>0</v>
      </c>
      <c r="B589" s="960" t="str">
        <f>$B$4</f>
        <v>адрес вбить сюда</v>
      </c>
      <c r="C589" s="960"/>
      <c r="D589" s="960"/>
      <c r="E589" s="960"/>
      <c r="F589" s="960"/>
      <c r="G589" s="960"/>
      <c r="H589" s="960"/>
      <c r="I589" s="960"/>
      <c r="J589" s="961"/>
      <c r="K589" s="122"/>
    </row>
    <row r="590" spans="1:11" ht="10.5" customHeight="1" x14ac:dyDescent="0.2">
      <c r="A590" s="120"/>
      <c r="B590" s="960"/>
      <c r="C590" s="960"/>
      <c r="D590" s="960"/>
      <c r="E590" s="960"/>
      <c r="F590" s="960"/>
      <c r="G590" s="960"/>
      <c r="H590" s="960"/>
      <c r="I590" s="960"/>
      <c r="J590" s="961"/>
      <c r="K590" s="122" t="s">
        <v>328</v>
      </c>
    </row>
    <row r="591" spans="1:11" ht="10.5" customHeight="1" x14ac:dyDescent="0.2">
      <c r="A591" s="957" t="s">
        <v>329</v>
      </c>
      <c r="B591" s="958"/>
      <c r="C591" s="958"/>
      <c r="D591" s="945" t="str">
        <f>'Акт отбора проб Почва'!F50</f>
        <v>СК1</v>
      </c>
      <c r="E591" s="945"/>
      <c r="F591" s="945"/>
      <c r="G591" s="959" t="s">
        <v>330</v>
      </c>
      <c r="H591" s="959"/>
      <c r="I591" s="959"/>
      <c r="J591" s="438" t="str">
        <f>'Акт отбора проб Почва'!B50</f>
        <v>2,0-3,0</v>
      </c>
      <c r="K591" s="126">
        <f>$H$2</f>
        <v>45739</v>
      </c>
    </row>
    <row r="592" spans="1:11" ht="10.5" customHeight="1" x14ac:dyDescent="0.2">
      <c r="A592" s="120"/>
      <c r="B592" s="127"/>
      <c r="C592" s="124"/>
      <c r="D592" s="128"/>
      <c r="E592" s="128"/>
      <c r="F592" s="128"/>
      <c r="G592" s="125"/>
      <c r="H592" s="125"/>
      <c r="I592" s="125"/>
      <c r="J592" s="442"/>
      <c r="K592" s="122" t="s">
        <v>331</v>
      </c>
    </row>
    <row r="593" spans="1:11" ht="10.5" customHeight="1" x14ac:dyDescent="0.2">
      <c r="A593" s="120" t="s">
        <v>331</v>
      </c>
      <c r="B593" s="129" t="str">
        <f>'Акт отбора проб Почва'!C50</f>
        <v>01АХ.05</v>
      </c>
      <c r="C593" s="124"/>
      <c r="D593" s="128"/>
      <c r="E593" s="128"/>
      <c r="F593" s="128"/>
      <c r="G593" s="125"/>
      <c r="H593" s="125"/>
      <c r="I593" s="125"/>
      <c r="J593" s="442"/>
      <c r="K593" s="122" t="str">
        <f>B593</f>
        <v>01АХ.05</v>
      </c>
    </row>
    <row r="594" spans="1:11" ht="10.5" customHeight="1" x14ac:dyDescent="0.2">
      <c r="A594" s="120"/>
      <c r="B594" s="129"/>
      <c r="C594" s="124"/>
      <c r="D594" s="124"/>
      <c r="E594" s="124"/>
      <c r="F594" s="124"/>
      <c r="G594" s="124"/>
      <c r="H594" s="124"/>
      <c r="I594" s="124"/>
      <c r="J594" s="441"/>
      <c r="K594" s="122" t="s">
        <v>332</v>
      </c>
    </row>
    <row r="595" spans="1:11" ht="10.5" customHeight="1" x14ac:dyDescent="0.2">
      <c r="A595" s="957" t="s">
        <v>681</v>
      </c>
      <c r="B595" s="958"/>
      <c r="C595" s="951"/>
      <c r="D595" s="951"/>
      <c r="E595" s="951"/>
      <c r="F595" s="951"/>
      <c r="G595" s="951"/>
      <c r="H595" s="951"/>
      <c r="I595" s="951"/>
      <c r="J595" s="144"/>
      <c r="K595" s="122" t="str">
        <f>J591</f>
        <v>2,0-3,0</v>
      </c>
    </row>
    <row r="596" spans="1:11" ht="10.5" customHeight="1" x14ac:dyDescent="0.2">
      <c r="A596" s="120" t="s">
        <v>333</v>
      </c>
      <c r="B596" s="127"/>
      <c r="C596" s="124"/>
      <c r="D596" s="124"/>
      <c r="E596" s="124"/>
      <c r="F596" s="124"/>
      <c r="G596" s="124"/>
      <c r="H596" s="124"/>
      <c r="I596" s="124"/>
      <c r="J596" s="441"/>
      <c r="K596" s="122" t="s">
        <v>334</v>
      </c>
    </row>
    <row r="597" spans="1:11" ht="10.5" customHeight="1" x14ac:dyDescent="0.2">
      <c r="A597" s="120" t="s">
        <v>335</v>
      </c>
      <c r="B597" s="133"/>
      <c r="C597" s="134"/>
      <c r="D597" s="134"/>
      <c r="E597" s="134"/>
      <c r="F597" s="134"/>
      <c r="G597" s="134"/>
      <c r="H597" s="124"/>
      <c r="I597" s="124"/>
      <c r="J597" s="441"/>
      <c r="K597" s="122"/>
    </row>
    <row r="598" spans="1:11" ht="10.5" customHeight="1" thickBot="1" x14ac:dyDescent="0.25">
      <c r="A598" s="145"/>
      <c r="B598" s="146"/>
      <c r="C598" s="147" t="s">
        <v>336</v>
      </c>
      <c r="D598" s="147"/>
      <c r="E598" s="147"/>
      <c r="F598" s="147"/>
      <c r="G598" s="147"/>
      <c r="H598" s="147"/>
      <c r="I598" s="147"/>
      <c r="J598" s="394"/>
      <c r="K598" s="139"/>
    </row>
    <row r="599" spans="1:11" ht="10.5" customHeight="1" x14ac:dyDescent="0.2">
      <c r="A599" s="141"/>
      <c r="B599" s="142"/>
      <c r="C599" s="143"/>
      <c r="D599" s="143"/>
      <c r="E599" s="143"/>
      <c r="F599" s="143"/>
      <c r="G599" s="143"/>
      <c r="H599" s="143"/>
      <c r="I599" s="143"/>
      <c r="J599" s="440"/>
      <c r="K599" s="118"/>
    </row>
    <row r="600" spans="1:11" ht="10.5" customHeight="1" x14ac:dyDescent="0.2">
      <c r="A600" s="120" t="s">
        <v>325</v>
      </c>
      <c r="B600" s="952" t="e">
        <f>$B$2</f>
        <v>#REF!</v>
      </c>
      <c r="C600" s="952"/>
      <c r="D600" s="934" t="s">
        <v>326</v>
      </c>
      <c r="E600" s="934"/>
      <c r="F600" s="934"/>
      <c r="G600" s="934"/>
      <c r="H600" s="953">
        <f>$H$2</f>
        <v>45739</v>
      </c>
      <c r="I600" s="954"/>
      <c r="J600" s="441"/>
      <c r="K600" s="122" t="s">
        <v>327</v>
      </c>
    </row>
    <row r="601" spans="1:11" ht="10.5" customHeight="1" x14ac:dyDescent="0.2">
      <c r="A601" s="120"/>
      <c r="B601" s="127"/>
      <c r="C601" s="124"/>
      <c r="D601" s="124"/>
      <c r="E601" s="124"/>
      <c r="F601" s="124"/>
      <c r="G601" s="124"/>
      <c r="H601" s="124"/>
      <c r="I601" s="124"/>
      <c r="J601" s="441"/>
      <c r="K601" s="122" t="e">
        <f>$B$2</f>
        <v>#REF!</v>
      </c>
    </row>
    <row r="602" spans="1:11" ht="10.5" customHeight="1" x14ac:dyDescent="0.2">
      <c r="A602" s="120" t="s">
        <v>0</v>
      </c>
      <c r="B602" s="960" t="str">
        <f>$B$4</f>
        <v>адрес вбить сюда</v>
      </c>
      <c r="C602" s="960"/>
      <c r="D602" s="960"/>
      <c r="E602" s="960"/>
      <c r="F602" s="960"/>
      <c r="G602" s="960"/>
      <c r="H602" s="960"/>
      <c r="I602" s="960"/>
      <c r="J602" s="961"/>
      <c r="K602" s="122"/>
    </row>
    <row r="603" spans="1:11" ht="10.5" customHeight="1" x14ac:dyDescent="0.2">
      <c r="A603" s="120"/>
      <c r="B603" s="960"/>
      <c r="C603" s="960"/>
      <c r="D603" s="960"/>
      <c r="E603" s="960"/>
      <c r="F603" s="960"/>
      <c r="G603" s="960"/>
      <c r="H603" s="960"/>
      <c r="I603" s="960"/>
      <c r="J603" s="961"/>
      <c r="K603" s="122" t="s">
        <v>328</v>
      </c>
    </row>
    <row r="604" spans="1:11" ht="10.5" customHeight="1" x14ac:dyDescent="0.2">
      <c r="A604" s="957" t="s">
        <v>329</v>
      </c>
      <c r="B604" s="958"/>
      <c r="C604" s="958"/>
      <c r="D604" s="945" t="str">
        <f>'Акт отбора проб Почва'!F51</f>
        <v>СК2</v>
      </c>
      <c r="E604" s="945"/>
      <c r="F604" s="945"/>
      <c r="G604" s="959" t="s">
        <v>330</v>
      </c>
      <c r="H604" s="959"/>
      <c r="I604" s="959"/>
      <c r="J604" s="438" t="str">
        <f>'Акт отбора проб Почва'!B51</f>
        <v>2,0-3,0</v>
      </c>
      <c r="K604" s="126">
        <f>$H$2</f>
        <v>45739</v>
      </c>
    </row>
    <row r="605" spans="1:11" ht="10.5" customHeight="1" x14ac:dyDescent="0.2">
      <c r="A605" s="120"/>
      <c r="B605" s="127"/>
      <c r="C605" s="124"/>
      <c r="D605" s="128"/>
      <c r="E605" s="128"/>
      <c r="F605" s="128"/>
      <c r="G605" s="125"/>
      <c r="H605" s="125"/>
      <c r="I605" s="125"/>
      <c r="J605" s="442"/>
      <c r="K605" s="122" t="s">
        <v>331</v>
      </c>
    </row>
    <row r="606" spans="1:11" ht="10.5" customHeight="1" x14ac:dyDescent="0.2">
      <c r="A606" s="120" t="s">
        <v>331</v>
      </c>
      <c r="B606" s="129" t="str">
        <f>'Акт отбора проб Почва'!C51</f>
        <v>02АХ.05</v>
      </c>
      <c r="C606" s="124"/>
      <c r="D606" s="128"/>
      <c r="E606" s="128"/>
      <c r="F606" s="128"/>
      <c r="G606" s="125"/>
      <c r="H606" s="125"/>
      <c r="I606" s="125"/>
      <c r="J606" s="442"/>
      <c r="K606" s="122" t="str">
        <f>B606</f>
        <v>02АХ.05</v>
      </c>
    </row>
    <row r="607" spans="1:11" ht="10.5" customHeight="1" x14ac:dyDescent="0.2">
      <c r="A607" s="120"/>
      <c r="B607" s="127"/>
      <c r="C607" s="124"/>
      <c r="D607" s="124"/>
      <c r="E607" s="124"/>
      <c r="F607" s="124"/>
      <c r="G607" s="124"/>
      <c r="H607" s="124"/>
      <c r="I607" s="124"/>
      <c r="J607" s="441"/>
      <c r="K607" s="122" t="s">
        <v>332</v>
      </c>
    </row>
    <row r="608" spans="1:11" ht="10.5" customHeight="1" x14ac:dyDescent="0.2">
      <c r="A608" s="957" t="s">
        <v>681</v>
      </c>
      <c r="B608" s="958"/>
      <c r="C608" s="951"/>
      <c r="D608" s="951"/>
      <c r="E608" s="951"/>
      <c r="F608" s="951"/>
      <c r="G608" s="951"/>
      <c r="H608" s="951"/>
      <c r="I608" s="951"/>
      <c r="J608" s="144"/>
      <c r="K608" s="122" t="str">
        <f>J604</f>
        <v>2,0-3,0</v>
      </c>
    </row>
    <row r="609" spans="1:11" ht="10.5" customHeight="1" x14ac:dyDescent="0.2">
      <c r="A609" s="120" t="s">
        <v>333</v>
      </c>
      <c r="B609" s="127"/>
      <c r="C609" s="124"/>
      <c r="D609" s="124"/>
      <c r="E609" s="124"/>
      <c r="F609" s="124"/>
      <c r="G609" s="124"/>
      <c r="H609" s="124"/>
      <c r="I609" s="124"/>
      <c r="J609" s="441"/>
      <c r="K609" s="122" t="s">
        <v>334</v>
      </c>
    </row>
    <row r="610" spans="1:11" ht="10.5" customHeight="1" x14ac:dyDescent="0.2">
      <c r="A610" s="120" t="s">
        <v>335</v>
      </c>
      <c r="B610" s="133"/>
      <c r="C610" s="134"/>
      <c r="D610" s="134"/>
      <c r="E610" s="134"/>
      <c r="F610" s="134"/>
      <c r="G610" s="134"/>
      <c r="H610" s="124"/>
      <c r="I610" s="124"/>
      <c r="J610" s="441"/>
      <c r="K610" s="122"/>
    </row>
    <row r="611" spans="1:11" ht="10.5" customHeight="1" thickBot="1" x14ac:dyDescent="0.25">
      <c r="A611" s="145"/>
      <c r="B611" s="146"/>
      <c r="C611" s="147" t="s">
        <v>336</v>
      </c>
      <c r="D611" s="147"/>
      <c r="E611" s="147"/>
      <c r="F611" s="147"/>
      <c r="G611" s="147"/>
      <c r="H611" s="147"/>
      <c r="I611" s="147"/>
      <c r="J611" s="394"/>
      <c r="K611" s="139"/>
    </row>
    <row r="612" spans="1:11" ht="10.5" customHeight="1" x14ac:dyDescent="0.2">
      <c r="A612" s="141"/>
      <c r="B612" s="142"/>
      <c r="C612" s="143"/>
      <c r="D612" s="143"/>
      <c r="E612" s="143"/>
      <c r="F612" s="143"/>
      <c r="G612" s="143"/>
      <c r="H612" s="143"/>
      <c r="I612" s="143"/>
      <c r="J612" s="440"/>
      <c r="K612" s="118"/>
    </row>
    <row r="613" spans="1:11" ht="10.5" customHeight="1" x14ac:dyDescent="0.2">
      <c r="A613" s="120" t="s">
        <v>325</v>
      </c>
      <c r="B613" s="952" t="e">
        <f>$B$2</f>
        <v>#REF!</v>
      </c>
      <c r="C613" s="952"/>
      <c r="D613" s="934" t="s">
        <v>326</v>
      </c>
      <c r="E613" s="934"/>
      <c r="F613" s="934"/>
      <c r="G613" s="934"/>
      <c r="H613" s="953">
        <f>$H$2</f>
        <v>45739</v>
      </c>
      <c r="I613" s="954"/>
      <c r="J613" s="441"/>
      <c r="K613" s="122" t="s">
        <v>327</v>
      </c>
    </row>
    <row r="614" spans="1:11" ht="10.5" customHeight="1" x14ac:dyDescent="0.2">
      <c r="A614" s="120"/>
      <c r="B614" s="127"/>
      <c r="C614" s="124"/>
      <c r="D614" s="124"/>
      <c r="E614" s="124"/>
      <c r="F614" s="124"/>
      <c r="G614" s="124"/>
      <c r="H614" s="124"/>
      <c r="I614" s="124"/>
      <c r="J614" s="441"/>
      <c r="K614" s="122" t="e">
        <f>$B$2</f>
        <v>#REF!</v>
      </c>
    </row>
    <row r="615" spans="1:11" ht="10.5" customHeight="1" x14ac:dyDescent="0.2">
      <c r="A615" s="120" t="s">
        <v>0</v>
      </c>
      <c r="B615" s="960" t="str">
        <f>$B$4</f>
        <v>адрес вбить сюда</v>
      </c>
      <c r="C615" s="960"/>
      <c r="D615" s="960"/>
      <c r="E615" s="960"/>
      <c r="F615" s="960"/>
      <c r="G615" s="960"/>
      <c r="H615" s="960"/>
      <c r="I615" s="960"/>
      <c r="J615" s="961"/>
      <c r="K615" s="122"/>
    </row>
    <row r="616" spans="1:11" ht="10.5" customHeight="1" x14ac:dyDescent="0.2">
      <c r="A616" s="120"/>
      <c r="B616" s="960"/>
      <c r="C616" s="960"/>
      <c r="D616" s="960"/>
      <c r="E616" s="960"/>
      <c r="F616" s="960"/>
      <c r="G616" s="960"/>
      <c r="H616" s="960"/>
      <c r="I616" s="960"/>
      <c r="J616" s="961"/>
      <c r="K616" s="122" t="s">
        <v>328</v>
      </c>
    </row>
    <row r="617" spans="1:11" ht="10.5" customHeight="1" x14ac:dyDescent="0.2">
      <c r="A617" s="957" t="s">
        <v>329</v>
      </c>
      <c r="B617" s="958"/>
      <c r="C617" s="958"/>
      <c r="D617" s="945" t="str">
        <f>'Акт отбора проб Почва'!F52</f>
        <v>СК3</v>
      </c>
      <c r="E617" s="945"/>
      <c r="F617" s="945"/>
      <c r="G617" s="959" t="s">
        <v>330</v>
      </c>
      <c r="H617" s="959"/>
      <c r="I617" s="959"/>
      <c r="J617" s="438" t="str">
        <f>'Акт отбора проб Почва'!B52</f>
        <v>2,0-3,0</v>
      </c>
      <c r="K617" s="126">
        <f>$H$2</f>
        <v>45739</v>
      </c>
    </row>
    <row r="618" spans="1:11" ht="10.5" customHeight="1" x14ac:dyDescent="0.2">
      <c r="A618" s="120"/>
      <c r="B618" s="127"/>
      <c r="C618" s="124"/>
      <c r="D618" s="128"/>
      <c r="E618" s="128"/>
      <c r="F618" s="128"/>
      <c r="G618" s="125"/>
      <c r="H618" s="125"/>
      <c r="I618" s="125"/>
      <c r="J618" s="442"/>
      <c r="K618" s="122" t="s">
        <v>331</v>
      </c>
    </row>
    <row r="619" spans="1:11" ht="10.5" customHeight="1" x14ac:dyDescent="0.2">
      <c r="A619" s="120" t="s">
        <v>331</v>
      </c>
      <c r="B619" s="129" t="str">
        <f>'Акт отбора проб Почва'!C52</f>
        <v>03АХ.05</v>
      </c>
      <c r="C619" s="124"/>
      <c r="D619" s="128"/>
      <c r="E619" s="128"/>
      <c r="F619" s="128"/>
      <c r="G619" s="125"/>
      <c r="H619" s="125"/>
      <c r="I619" s="125"/>
      <c r="J619" s="442"/>
      <c r="K619" s="122" t="str">
        <f>B619</f>
        <v>03АХ.05</v>
      </c>
    </row>
    <row r="620" spans="1:11" ht="10.5" customHeight="1" x14ac:dyDescent="0.2">
      <c r="A620" s="120"/>
      <c r="B620" s="127"/>
      <c r="C620" s="124"/>
      <c r="D620" s="124"/>
      <c r="E620" s="124"/>
      <c r="F620" s="124"/>
      <c r="G620" s="124"/>
      <c r="H620" s="124"/>
      <c r="I620" s="124"/>
      <c r="J620" s="441"/>
      <c r="K620" s="122" t="s">
        <v>332</v>
      </c>
    </row>
    <row r="621" spans="1:11" ht="10.5" customHeight="1" x14ac:dyDescent="0.2">
      <c r="A621" s="957" t="s">
        <v>681</v>
      </c>
      <c r="B621" s="958"/>
      <c r="C621" s="951"/>
      <c r="D621" s="951"/>
      <c r="E621" s="951"/>
      <c r="F621" s="951"/>
      <c r="G621" s="951"/>
      <c r="H621" s="951"/>
      <c r="I621" s="951"/>
      <c r="J621" s="144"/>
      <c r="K621" s="122" t="str">
        <f>J617</f>
        <v>2,0-3,0</v>
      </c>
    </row>
    <row r="622" spans="1:11" ht="10.5" customHeight="1" x14ac:dyDescent="0.2">
      <c r="A622" s="120" t="s">
        <v>333</v>
      </c>
      <c r="B622" s="127"/>
      <c r="C622" s="124"/>
      <c r="D622" s="124"/>
      <c r="E622" s="124"/>
      <c r="F622" s="124"/>
      <c r="G622" s="124"/>
      <c r="H622" s="124"/>
      <c r="I622" s="124"/>
      <c r="J622" s="441"/>
      <c r="K622" s="122" t="s">
        <v>334</v>
      </c>
    </row>
    <row r="623" spans="1:11" ht="10.5" customHeight="1" x14ac:dyDescent="0.2">
      <c r="A623" s="120" t="s">
        <v>335</v>
      </c>
      <c r="B623" s="133"/>
      <c r="C623" s="134"/>
      <c r="D623" s="134"/>
      <c r="E623" s="134"/>
      <c r="F623" s="134"/>
      <c r="G623" s="134"/>
      <c r="H623" s="124"/>
      <c r="I623" s="124"/>
      <c r="J623" s="441"/>
      <c r="K623" s="122"/>
    </row>
    <row r="624" spans="1:11" ht="10.5" customHeight="1" thickBot="1" x14ac:dyDescent="0.25">
      <c r="A624" s="145"/>
      <c r="B624" s="146"/>
      <c r="C624" s="147" t="s">
        <v>336</v>
      </c>
      <c r="D624" s="147"/>
      <c r="E624" s="147"/>
      <c r="F624" s="147"/>
      <c r="G624" s="147"/>
      <c r="H624" s="147"/>
      <c r="I624" s="147"/>
      <c r="J624" s="394"/>
      <c r="K624" s="139"/>
    </row>
    <row r="625" spans="1:11" ht="10.5" customHeight="1" x14ac:dyDescent="0.2">
      <c r="A625" s="141"/>
      <c r="B625" s="142"/>
      <c r="C625" s="143"/>
      <c r="D625" s="143"/>
      <c r="E625" s="143"/>
      <c r="F625" s="143"/>
      <c r="G625" s="143"/>
      <c r="H625" s="143"/>
      <c r="I625" s="143"/>
      <c r="J625" s="440"/>
      <c r="K625" s="118"/>
    </row>
    <row r="626" spans="1:11" ht="10.5" customHeight="1" x14ac:dyDescent="0.2">
      <c r="A626" s="120" t="s">
        <v>325</v>
      </c>
      <c r="B626" s="952" t="e">
        <f>$B$2</f>
        <v>#REF!</v>
      </c>
      <c r="C626" s="952"/>
      <c r="D626" s="934" t="s">
        <v>326</v>
      </c>
      <c r="E626" s="934"/>
      <c r="F626" s="934"/>
      <c r="G626" s="934"/>
      <c r="H626" s="953">
        <f>$H$2</f>
        <v>45739</v>
      </c>
      <c r="I626" s="954"/>
      <c r="J626" s="441"/>
      <c r="K626" s="122" t="s">
        <v>327</v>
      </c>
    </row>
    <row r="627" spans="1:11" ht="10.5" customHeight="1" x14ac:dyDescent="0.2">
      <c r="A627" s="120"/>
      <c r="B627" s="127"/>
      <c r="C627" s="124"/>
      <c r="D627" s="124"/>
      <c r="E627" s="124"/>
      <c r="F627" s="124"/>
      <c r="G627" s="124"/>
      <c r="H627" s="124"/>
      <c r="I627" s="124"/>
      <c r="J627" s="441"/>
      <c r="K627" s="122" t="e">
        <f>$B$2</f>
        <v>#REF!</v>
      </c>
    </row>
    <row r="628" spans="1:11" ht="10.5" customHeight="1" x14ac:dyDescent="0.2">
      <c r="A628" s="120" t="s">
        <v>0</v>
      </c>
      <c r="B628" s="960" t="str">
        <f>$B$4</f>
        <v>адрес вбить сюда</v>
      </c>
      <c r="C628" s="960"/>
      <c r="D628" s="960"/>
      <c r="E628" s="960"/>
      <c r="F628" s="960"/>
      <c r="G628" s="960"/>
      <c r="H628" s="960"/>
      <c r="I628" s="960"/>
      <c r="J628" s="961"/>
      <c r="K628" s="122"/>
    </row>
    <row r="629" spans="1:11" ht="10.5" customHeight="1" x14ac:dyDescent="0.2">
      <c r="A629" s="120"/>
      <c r="B629" s="960"/>
      <c r="C629" s="960"/>
      <c r="D629" s="960"/>
      <c r="E629" s="960"/>
      <c r="F629" s="960"/>
      <c r="G629" s="960"/>
      <c r="H629" s="960"/>
      <c r="I629" s="960"/>
      <c r="J629" s="961"/>
      <c r="K629" s="122" t="s">
        <v>328</v>
      </c>
    </row>
    <row r="630" spans="1:11" ht="10.5" customHeight="1" x14ac:dyDescent="0.2">
      <c r="A630" s="957" t="s">
        <v>329</v>
      </c>
      <c r="B630" s="958"/>
      <c r="C630" s="958"/>
      <c r="D630" s="945" t="str">
        <f>'Акт отбора проб Почва'!F53</f>
        <v>СК4</v>
      </c>
      <c r="E630" s="945"/>
      <c r="F630" s="945"/>
      <c r="G630" s="959" t="s">
        <v>330</v>
      </c>
      <c r="H630" s="959"/>
      <c r="I630" s="959"/>
      <c r="J630" s="438" t="str">
        <f>'Акт отбора проб Почва'!B53</f>
        <v>2,0-3,0</v>
      </c>
      <c r="K630" s="126">
        <f>$H$2</f>
        <v>45739</v>
      </c>
    </row>
    <row r="631" spans="1:11" ht="10.5" customHeight="1" x14ac:dyDescent="0.2">
      <c r="A631" s="120"/>
      <c r="B631" s="127"/>
      <c r="C631" s="124"/>
      <c r="D631" s="128"/>
      <c r="E631" s="128"/>
      <c r="F631" s="128"/>
      <c r="G631" s="125"/>
      <c r="H631" s="125"/>
      <c r="I631" s="125"/>
      <c r="J631" s="442"/>
      <c r="K631" s="122" t="s">
        <v>331</v>
      </c>
    </row>
    <row r="632" spans="1:11" ht="10.5" customHeight="1" x14ac:dyDescent="0.2">
      <c r="A632" s="120" t="s">
        <v>331</v>
      </c>
      <c r="B632" s="129" t="str">
        <f>'Акт отбора проб Почва'!C53</f>
        <v>04АХ.05</v>
      </c>
      <c r="C632" s="124"/>
      <c r="D632" s="128"/>
      <c r="E632" s="128"/>
      <c r="F632" s="128"/>
      <c r="G632" s="125"/>
      <c r="H632" s="125"/>
      <c r="I632" s="125"/>
      <c r="J632" s="442"/>
      <c r="K632" s="122" t="str">
        <f>B632</f>
        <v>04АХ.05</v>
      </c>
    </row>
    <row r="633" spans="1:11" ht="10.5" customHeight="1" x14ac:dyDescent="0.2">
      <c r="A633" s="120"/>
      <c r="B633" s="127"/>
      <c r="C633" s="124"/>
      <c r="D633" s="124"/>
      <c r="E633" s="124"/>
      <c r="F633" s="124"/>
      <c r="G633" s="124"/>
      <c r="H633" s="124"/>
      <c r="I633" s="124"/>
      <c r="J633" s="441"/>
      <c r="K633" s="122" t="s">
        <v>332</v>
      </c>
    </row>
    <row r="634" spans="1:11" ht="10.5" customHeight="1" x14ac:dyDescent="0.2">
      <c r="A634" s="957" t="s">
        <v>681</v>
      </c>
      <c r="B634" s="958"/>
      <c r="C634" s="951"/>
      <c r="D634" s="951"/>
      <c r="E634" s="951"/>
      <c r="F634" s="951"/>
      <c r="G634" s="951"/>
      <c r="H634" s="951"/>
      <c r="I634" s="951"/>
      <c r="J634" s="144"/>
      <c r="K634" s="122" t="str">
        <f>J630</f>
        <v>2,0-3,0</v>
      </c>
    </row>
    <row r="635" spans="1:11" ht="10.5" customHeight="1" x14ac:dyDescent="0.2">
      <c r="A635" s="120" t="s">
        <v>333</v>
      </c>
      <c r="B635" s="127"/>
      <c r="C635" s="124"/>
      <c r="D635" s="124"/>
      <c r="E635" s="124"/>
      <c r="F635" s="124"/>
      <c r="G635" s="124"/>
      <c r="H635" s="124"/>
      <c r="I635" s="124"/>
      <c r="J635" s="441"/>
      <c r="K635" s="122" t="s">
        <v>334</v>
      </c>
    </row>
    <row r="636" spans="1:11" ht="10.5" customHeight="1" x14ac:dyDescent="0.2">
      <c r="A636" s="120" t="s">
        <v>335</v>
      </c>
      <c r="B636" s="133"/>
      <c r="C636" s="134"/>
      <c r="D636" s="134"/>
      <c r="E636" s="134"/>
      <c r="F636" s="134"/>
      <c r="G636" s="134"/>
      <c r="H636" s="124"/>
      <c r="I636" s="124"/>
      <c r="J636" s="441"/>
      <c r="K636" s="122"/>
    </row>
    <row r="637" spans="1:11" ht="10.5" customHeight="1" thickBot="1" x14ac:dyDescent="0.25">
      <c r="A637" s="145"/>
      <c r="B637" s="146"/>
      <c r="C637" s="147" t="s">
        <v>336</v>
      </c>
      <c r="D637" s="147"/>
      <c r="E637" s="147"/>
      <c r="F637" s="147"/>
      <c r="G637" s="147"/>
      <c r="H637" s="147"/>
      <c r="I637" s="147"/>
      <c r="J637" s="394"/>
      <c r="K637" s="139"/>
    </row>
    <row r="638" spans="1:11" ht="10.5" customHeight="1" x14ac:dyDescent="0.2">
      <c r="A638" s="141"/>
      <c r="B638" s="142"/>
      <c r="C638" s="143"/>
      <c r="D638" s="143"/>
      <c r="E638" s="143"/>
      <c r="F638" s="143"/>
      <c r="G638" s="143"/>
      <c r="H638" s="143"/>
      <c r="I638" s="143"/>
      <c r="J638" s="440"/>
      <c r="K638" s="118"/>
    </row>
    <row r="639" spans="1:11" ht="10.5" customHeight="1" x14ac:dyDescent="0.2">
      <c r="A639" s="120" t="s">
        <v>325</v>
      </c>
      <c r="B639" s="952" t="e">
        <f>$B$2</f>
        <v>#REF!</v>
      </c>
      <c r="C639" s="952"/>
      <c r="D639" s="934" t="s">
        <v>326</v>
      </c>
      <c r="E639" s="934"/>
      <c r="F639" s="934"/>
      <c r="G639" s="934"/>
      <c r="H639" s="953">
        <f>$H$2</f>
        <v>45739</v>
      </c>
      <c r="I639" s="954"/>
      <c r="J639" s="441"/>
      <c r="K639" s="122" t="s">
        <v>327</v>
      </c>
    </row>
    <row r="640" spans="1:11" ht="10.5" customHeight="1" x14ac:dyDescent="0.2">
      <c r="A640" s="120"/>
      <c r="B640" s="127"/>
      <c r="C640" s="124"/>
      <c r="D640" s="124"/>
      <c r="E640" s="124"/>
      <c r="F640" s="124"/>
      <c r="G640" s="124"/>
      <c r="H640" s="124"/>
      <c r="I640" s="124"/>
      <c r="J640" s="441"/>
      <c r="K640" s="122" t="e">
        <f>$B$2</f>
        <v>#REF!</v>
      </c>
    </row>
    <row r="641" spans="1:11" ht="10.5" customHeight="1" x14ac:dyDescent="0.2">
      <c r="A641" s="120" t="s">
        <v>0</v>
      </c>
      <c r="B641" s="960" t="str">
        <f>$B$4</f>
        <v>адрес вбить сюда</v>
      </c>
      <c r="C641" s="960"/>
      <c r="D641" s="960"/>
      <c r="E641" s="960"/>
      <c r="F641" s="960"/>
      <c r="G641" s="960"/>
      <c r="H641" s="960"/>
      <c r="I641" s="960"/>
      <c r="J641" s="961"/>
      <c r="K641" s="122"/>
    </row>
    <row r="642" spans="1:11" ht="10.5" customHeight="1" x14ac:dyDescent="0.2">
      <c r="A642" s="120"/>
      <c r="B642" s="960"/>
      <c r="C642" s="960"/>
      <c r="D642" s="960"/>
      <c r="E642" s="960"/>
      <c r="F642" s="960"/>
      <c r="G642" s="960"/>
      <c r="H642" s="960"/>
      <c r="I642" s="960"/>
      <c r="J642" s="961"/>
      <c r="K642" s="122" t="s">
        <v>328</v>
      </c>
    </row>
    <row r="643" spans="1:11" ht="10.5" customHeight="1" x14ac:dyDescent="0.2">
      <c r="A643" s="957" t="s">
        <v>329</v>
      </c>
      <c r="B643" s="958"/>
      <c r="C643" s="958"/>
      <c r="D643" s="945" t="str">
        <f>'Акт отбора проб Почва'!F54</f>
        <v>СК5</v>
      </c>
      <c r="E643" s="945"/>
      <c r="F643" s="945"/>
      <c r="G643" s="959" t="s">
        <v>330</v>
      </c>
      <c r="H643" s="959"/>
      <c r="I643" s="959"/>
      <c r="J643" s="438" t="str">
        <f>'Акт отбора проб Почва'!B54</f>
        <v>2,0-3,0</v>
      </c>
      <c r="K643" s="126">
        <f>$H$2</f>
        <v>45739</v>
      </c>
    </row>
    <row r="644" spans="1:11" ht="10.5" customHeight="1" x14ac:dyDescent="0.2">
      <c r="A644" s="120"/>
      <c r="B644" s="127"/>
      <c r="C644" s="124"/>
      <c r="D644" s="128"/>
      <c r="E644" s="128"/>
      <c r="F644" s="128"/>
      <c r="G644" s="125"/>
      <c r="H644" s="125"/>
      <c r="I644" s="125"/>
      <c r="J644" s="442"/>
      <c r="K644" s="122" t="s">
        <v>331</v>
      </c>
    </row>
    <row r="645" spans="1:11" ht="10.5" customHeight="1" x14ac:dyDescent="0.2">
      <c r="A645" s="120" t="s">
        <v>331</v>
      </c>
      <c r="B645" s="129" t="str">
        <f>'Акт отбора проб Почва'!C54</f>
        <v>05АХ.05</v>
      </c>
      <c r="C645" s="124"/>
      <c r="D645" s="128"/>
      <c r="E645" s="128"/>
      <c r="F645" s="128"/>
      <c r="G645" s="125"/>
      <c r="H645" s="125"/>
      <c r="I645" s="125"/>
      <c r="J645" s="442"/>
      <c r="K645" s="122" t="str">
        <f>B645</f>
        <v>05АХ.05</v>
      </c>
    </row>
    <row r="646" spans="1:11" ht="10.5" customHeight="1" x14ac:dyDescent="0.2">
      <c r="A646" s="120"/>
      <c r="B646" s="127"/>
      <c r="C646" s="124"/>
      <c r="D646" s="124"/>
      <c r="E646" s="124"/>
      <c r="F646" s="124"/>
      <c r="G646" s="124"/>
      <c r="H646" s="124"/>
      <c r="I646" s="124"/>
      <c r="J646" s="441"/>
      <c r="K646" s="122" t="s">
        <v>332</v>
      </c>
    </row>
    <row r="647" spans="1:11" ht="10.5" customHeight="1" x14ac:dyDescent="0.2">
      <c r="A647" s="957" t="s">
        <v>681</v>
      </c>
      <c r="B647" s="958"/>
      <c r="C647" s="951"/>
      <c r="D647" s="951"/>
      <c r="E647" s="951"/>
      <c r="F647" s="951"/>
      <c r="G647" s="951"/>
      <c r="H647" s="951"/>
      <c r="I647" s="951"/>
      <c r="J647" s="144"/>
      <c r="K647" s="122" t="str">
        <f>J643</f>
        <v>2,0-3,0</v>
      </c>
    </row>
    <row r="648" spans="1:11" ht="10.5" customHeight="1" x14ac:dyDescent="0.2">
      <c r="A648" s="120" t="s">
        <v>333</v>
      </c>
      <c r="B648" s="127"/>
      <c r="C648" s="124"/>
      <c r="D648" s="124"/>
      <c r="E648" s="124"/>
      <c r="F648" s="124"/>
      <c r="G648" s="124"/>
      <c r="H648" s="124"/>
      <c r="I648" s="124"/>
      <c r="J648" s="441"/>
      <c r="K648" s="122" t="s">
        <v>334</v>
      </c>
    </row>
    <row r="649" spans="1:11" ht="10.5" customHeight="1" x14ac:dyDescent="0.2">
      <c r="A649" s="120" t="s">
        <v>335</v>
      </c>
      <c r="B649" s="133"/>
      <c r="C649" s="134"/>
      <c r="D649" s="134"/>
      <c r="E649" s="134"/>
      <c r="F649" s="134"/>
      <c r="G649" s="134"/>
      <c r="H649" s="124"/>
      <c r="I649" s="124"/>
      <c r="J649" s="441"/>
      <c r="K649" s="122"/>
    </row>
    <row r="650" spans="1:11" ht="10.5" customHeight="1" thickBot="1" x14ac:dyDescent="0.25">
      <c r="A650" s="145"/>
      <c r="B650" s="146"/>
      <c r="C650" s="147" t="s">
        <v>336</v>
      </c>
      <c r="D650" s="147"/>
      <c r="E650" s="147"/>
      <c r="F650" s="147"/>
      <c r="G650" s="147"/>
      <c r="H650" s="147"/>
      <c r="I650" s="147"/>
      <c r="J650" s="394"/>
      <c r="K650" s="139"/>
    </row>
    <row r="651" spans="1:11" ht="10.5" customHeight="1" x14ac:dyDescent="0.2">
      <c r="A651" s="141"/>
      <c r="B651" s="142"/>
      <c r="C651" s="143"/>
      <c r="D651" s="143"/>
      <c r="E651" s="143"/>
      <c r="F651" s="143"/>
      <c r="G651" s="143"/>
      <c r="H651" s="143"/>
      <c r="I651" s="143"/>
      <c r="J651" s="440"/>
      <c r="K651" s="118"/>
    </row>
    <row r="652" spans="1:11" ht="10.5" customHeight="1" x14ac:dyDescent="0.2">
      <c r="A652" s="120" t="s">
        <v>325</v>
      </c>
      <c r="B652" s="952" t="e">
        <f>$B$2</f>
        <v>#REF!</v>
      </c>
      <c r="C652" s="952"/>
      <c r="D652" s="934" t="s">
        <v>326</v>
      </c>
      <c r="E652" s="934"/>
      <c r="F652" s="934"/>
      <c r="G652" s="934"/>
      <c r="H652" s="953">
        <f>$H$2</f>
        <v>45739</v>
      </c>
      <c r="I652" s="954"/>
      <c r="J652" s="441"/>
      <c r="K652" s="122" t="s">
        <v>327</v>
      </c>
    </row>
    <row r="653" spans="1:11" ht="10.5" customHeight="1" x14ac:dyDescent="0.2">
      <c r="A653" s="120"/>
      <c r="B653" s="127"/>
      <c r="C653" s="124"/>
      <c r="D653" s="124"/>
      <c r="E653" s="124"/>
      <c r="F653" s="124"/>
      <c r="G653" s="124"/>
      <c r="H653" s="124"/>
      <c r="I653" s="124"/>
      <c r="J653" s="441"/>
      <c r="K653" s="122" t="e">
        <f>$B$2</f>
        <v>#REF!</v>
      </c>
    </row>
    <row r="654" spans="1:11" ht="10.5" customHeight="1" x14ac:dyDescent="0.2">
      <c r="A654" s="120" t="s">
        <v>0</v>
      </c>
      <c r="B654" s="960" t="str">
        <f>$B$4</f>
        <v>адрес вбить сюда</v>
      </c>
      <c r="C654" s="960"/>
      <c r="D654" s="960"/>
      <c r="E654" s="960"/>
      <c r="F654" s="960"/>
      <c r="G654" s="960"/>
      <c r="H654" s="960"/>
      <c r="I654" s="960"/>
      <c r="J654" s="961"/>
      <c r="K654" s="122"/>
    </row>
    <row r="655" spans="1:11" ht="10.5" customHeight="1" x14ac:dyDescent="0.2">
      <c r="A655" s="120"/>
      <c r="B655" s="960"/>
      <c r="C655" s="960"/>
      <c r="D655" s="960"/>
      <c r="E655" s="960"/>
      <c r="F655" s="960"/>
      <c r="G655" s="960"/>
      <c r="H655" s="960"/>
      <c r="I655" s="960"/>
      <c r="J655" s="961"/>
      <c r="K655" s="122" t="s">
        <v>328</v>
      </c>
    </row>
    <row r="656" spans="1:11" ht="10.5" customHeight="1" x14ac:dyDescent="0.2">
      <c r="A656" s="957" t="s">
        <v>329</v>
      </c>
      <c r="B656" s="958"/>
      <c r="C656" s="958"/>
      <c r="D656" s="945" t="str">
        <f>'Акт отбора проб Почва'!F55</f>
        <v>СК6</v>
      </c>
      <c r="E656" s="945"/>
      <c r="F656" s="945"/>
      <c r="G656" s="959" t="s">
        <v>330</v>
      </c>
      <c r="H656" s="959"/>
      <c r="I656" s="959"/>
      <c r="J656" s="438" t="str">
        <f>'Акт отбора проб Почва'!B55</f>
        <v>2,0-3,0</v>
      </c>
      <c r="K656" s="126">
        <f>$H$2</f>
        <v>45739</v>
      </c>
    </row>
    <row r="657" spans="1:11" ht="10.5" customHeight="1" x14ac:dyDescent="0.2">
      <c r="A657" s="120"/>
      <c r="B657" s="127"/>
      <c r="C657" s="124"/>
      <c r="D657" s="128"/>
      <c r="E657" s="128"/>
      <c r="F657" s="128"/>
      <c r="G657" s="125"/>
      <c r="H657" s="125"/>
      <c r="I657" s="125"/>
      <c r="J657" s="442"/>
      <c r="K657" s="122" t="s">
        <v>331</v>
      </c>
    </row>
    <row r="658" spans="1:11" ht="10.5" customHeight="1" x14ac:dyDescent="0.2">
      <c r="A658" s="120" t="s">
        <v>331</v>
      </c>
      <c r="B658" s="129" t="str">
        <f>'Акт отбора проб Почва'!C55</f>
        <v>06АХ.05</v>
      </c>
      <c r="C658" s="124"/>
      <c r="D658" s="128"/>
      <c r="E658" s="128"/>
      <c r="F658" s="128"/>
      <c r="G658" s="125"/>
      <c r="H658" s="125"/>
      <c r="I658" s="125"/>
      <c r="J658" s="442"/>
      <c r="K658" s="122" t="str">
        <f>B658</f>
        <v>06АХ.05</v>
      </c>
    </row>
    <row r="659" spans="1:11" ht="10.5" customHeight="1" x14ac:dyDescent="0.2">
      <c r="A659" s="120"/>
      <c r="B659" s="127"/>
      <c r="C659" s="124"/>
      <c r="D659" s="124"/>
      <c r="E659" s="124"/>
      <c r="F659" s="124"/>
      <c r="G659" s="124"/>
      <c r="H659" s="124"/>
      <c r="I659" s="124"/>
      <c r="J659" s="441"/>
      <c r="K659" s="122" t="s">
        <v>332</v>
      </c>
    </row>
    <row r="660" spans="1:11" ht="10.5" customHeight="1" x14ac:dyDescent="0.2">
      <c r="A660" s="957" t="s">
        <v>681</v>
      </c>
      <c r="B660" s="958"/>
      <c r="C660" s="951"/>
      <c r="D660" s="951"/>
      <c r="E660" s="951"/>
      <c r="F660" s="951"/>
      <c r="G660" s="951"/>
      <c r="H660" s="951"/>
      <c r="I660" s="951"/>
      <c r="J660" s="144"/>
      <c r="K660" s="122" t="str">
        <f>J656</f>
        <v>2,0-3,0</v>
      </c>
    </row>
    <row r="661" spans="1:11" ht="10.5" customHeight="1" x14ac:dyDescent="0.2">
      <c r="A661" s="120" t="s">
        <v>333</v>
      </c>
      <c r="B661" s="127"/>
      <c r="C661" s="124"/>
      <c r="D661" s="124"/>
      <c r="E661" s="124"/>
      <c r="F661" s="124"/>
      <c r="G661" s="124"/>
      <c r="H661" s="124"/>
      <c r="I661" s="124"/>
      <c r="J661" s="441"/>
      <c r="K661" s="122" t="s">
        <v>334</v>
      </c>
    </row>
    <row r="662" spans="1:11" ht="10.5" customHeight="1" x14ac:dyDescent="0.2">
      <c r="A662" s="120" t="s">
        <v>335</v>
      </c>
      <c r="B662" s="133"/>
      <c r="C662" s="134"/>
      <c r="D662" s="134"/>
      <c r="E662" s="134"/>
      <c r="F662" s="134"/>
      <c r="G662" s="134"/>
      <c r="H662" s="124"/>
      <c r="I662" s="124"/>
      <c r="J662" s="441"/>
      <c r="K662" s="122"/>
    </row>
    <row r="663" spans="1:11" ht="10.5" customHeight="1" thickBot="1" x14ac:dyDescent="0.25">
      <c r="A663" s="145"/>
      <c r="B663" s="146"/>
      <c r="C663" s="147" t="s">
        <v>336</v>
      </c>
      <c r="D663" s="147"/>
      <c r="E663" s="147"/>
      <c r="F663" s="147"/>
      <c r="G663" s="147"/>
      <c r="H663" s="147"/>
      <c r="I663" s="147"/>
      <c r="J663" s="394"/>
      <c r="K663" s="139"/>
    </row>
    <row r="664" spans="1:11" ht="10.5" customHeight="1" x14ac:dyDescent="0.2">
      <c r="A664" s="141"/>
      <c r="B664" s="142"/>
      <c r="C664" s="143"/>
      <c r="D664" s="143"/>
      <c r="E664" s="143"/>
      <c r="F664" s="143"/>
      <c r="G664" s="143"/>
      <c r="H664" s="143"/>
      <c r="I664" s="143"/>
      <c r="J664" s="440"/>
      <c r="K664" s="118"/>
    </row>
    <row r="665" spans="1:11" ht="10.5" customHeight="1" x14ac:dyDescent="0.2">
      <c r="A665" s="120" t="s">
        <v>325</v>
      </c>
      <c r="B665" s="952" t="e">
        <f>$B$2</f>
        <v>#REF!</v>
      </c>
      <c r="C665" s="952"/>
      <c r="D665" s="934" t="s">
        <v>326</v>
      </c>
      <c r="E665" s="934"/>
      <c r="F665" s="934"/>
      <c r="G665" s="934"/>
      <c r="H665" s="953">
        <f>$H$2</f>
        <v>45739</v>
      </c>
      <c r="I665" s="954"/>
      <c r="J665" s="441"/>
      <c r="K665" s="122" t="s">
        <v>327</v>
      </c>
    </row>
    <row r="666" spans="1:11" ht="10.5" customHeight="1" x14ac:dyDescent="0.2">
      <c r="A666" s="120"/>
      <c r="B666" s="127"/>
      <c r="C666" s="124"/>
      <c r="D666" s="124"/>
      <c r="E666" s="124"/>
      <c r="F666" s="124"/>
      <c r="G666" s="124"/>
      <c r="H666" s="124"/>
      <c r="I666" s="124"/>
      <c r="J666" s="441"/>
      <c r="K666" s="122" t="e">
        <f>$B$2</f>
        <v>#REF!</v>
      </c>
    </row>
    <row r="667" spans="1:11" ht="10.5" customHeight="1" x14ac:dyDescent="0.2">
      <c r="A667" s="120" t="s">
        <v>0</v>
      </c>
      <c r="B667" s="960" t="str">
        <f>$B$4</f>
        <v>адрес вбить сюда</v>
      </c>
      <c r="C667" s="960"/>
      <c r="D667" s="960"/>
      <c r="E667" s="960"/>
      <c r="F667" s="960"/>
      <c r="G667" s="960"/>
      <c r="H667" s="960"/>
      <c r="I667" s="960"/>
      <c r="J667" s="961"/>
      <c r="K667" s="122"/>
    </row>
    <row r="668" spans="1:11" ht="10.5" customHeight="1" x14ac:dyDescent="0.2">
      <c r="A668" s="120"/>
      <c r="B668" s="960"/>
      <c r="C668" s="960"/>
      <c r="D668" s="960"/>
      <c r="E668" s="960"/>
      <c r="F668" s="960"/>
      <c r="G668" s="960"/>
      <c r="H668" s="960"/>
      <c r="I668" s="960"/>
      <c r="J668" s="961"/>
      <c r="K668" s="122" t="s">
        <v>328</v>
      </c>
    </row>
    <row r="669" spans="1:11" ht="10.5" customHeight="1" x14ac:dyDescent="0.2">
      <c r="A669" s="957" t="s">
        <v>329</v>
      </c>
      <c r="B669" s="958"/>
      <c r="C669" s="958"/>
      <c r="D669" s="945" t="str">
        <f>'Акт отбора проб Почва'!F56</f>
        <v>СК1</v>
      </c>
      <c r="E669" s="945"/>
      <c r="F669" s="945"/>
      <c r="G669" s="959" t="s">
        <v>330</v>
      </c>
      <c r="H669" s="959"/>
      <c r="I669" s="959"/>
      <c r="J669" s="438" t="str">
        <f>'Акт отбора проб Почва'!B56</f>
        <v>3,0-4,0</v>
      </c>
      <c r="K669" s="126">
        <f>$H$2</f>
        <v>45739</v>
      </c>
    </row>
    <row r="670" spans="1:11" ht="10.5" customHeight="1" x14ac:dyDescent="0.2">
      <c r="A670" s="120"/>
      <c r="B670" s="127"/>
      <c r="C670" s="124"/>
      <c r="D670" s="128"/>
      <c r="E670" s="128"/>
      <c r="F670" s="128"/>
      <c r="G670" s="125"/>
      <c r="H670" s="125"/>
      <c r="I670" s="125"/>
      <c r="J670" s="442"/>
      <c r="K670" s="122" t="s">
        <v>331</v>
      </c>
    </row>
    <row r="671" spans="1:11" ht="10.5" customHeight="1" x14ac:dyDescent="0.2">
      <c r="A671" s="120" t="s">
        <v>331</v>
      </c>
      <c r="B671" s="129" t="str">
        <f>'Акт отбора проб Почва'!C56</f>
        <v>01АХ.06</v>
      </c>
      <c r="C671" s="124"/>
      <c r="D671" s="128"/>
      <c r="E671" s="128"/>
      <c r="F671" s="128"/>
      <c r="G671" s="125"/>
      <c r="H671" s="125"/>
      <c r="I671" s="125"/>
      <c r="J671" s="442"/>
      <c r="K671" s="122" t="str">
        <f>B671</f>
        <v>01АХ.06</v>
      </c>
    </row>
    <row r="672" spans="1:11" ht="10.5" customHeight="1" x14ac:dyDescent="0.2">
      <c r="A672" s="120"/>
      <c r="B672" s="127"/>
      <c r="C672" s="124"/>
      <c r="D672" s="124"/>
      <c r="E672" s="124"/>
      <c r="F672" s="124"/>
      <c r="G672" s="124"/>
      <c r="H672" s="124"/>
      <c r="I672" s="124"/>
      <c r="J672" s="441"/>
      <c r="K672" s="122" t="s">
        <v>332</v>
      </c>
    </row>
    <row r="673" spans="1:11" ht="10.5" customHeight="1" x14ac:dyDescent="0.2">
      <c r="A673" s="957" t="s">
        <v>681</v>
      </c>
      <c r="B673" s="958"/>
      <c r="C673" s="951"/>
      <c r="D673" s="951"/>
      <c r="E673" s="951"/>
      <c r="F673" s="951"/>
      <c r="G673" s="951"/>
      <c r="H673" s="951"/>
      <c r="I673" s="951"/>
      <c r="J673" s="144"/>
      <c r="K673" s="122" t="str">
        <f>J669</f>
        <v>3,0-4,0</v>
      </c>
    </row>
    <row r="674" spans="1:11" ht="10.5" customHeight="1" x14ac:dyDescent="0.2">
      <c r="A674" s="120" t="s">
        <v>333</v>
      </c>
      <c r="B674" s="127"/>
      <c r="C674" s="124"/>
      <c r="D674" s="124"/>
      <c r="E674" s="124"/>
      <c r="F674" s="124"/>
      <c r="G674" s="124"/>
      <c r="H674" s="124"/>
      <c r="I674" s="124"/>
      <c r="J674" s="441"/>
      <c r="K674" s="122" t="s">
        <v>334</v>
      </c>
    </row>
    <row r="675" spans="1:11" ht="10.5" customHeight="1" x14ac:dyDescent="0.2">
      <c r="A675" s="120" t="s">
        <v>335</v>
      </c>
      <c r="B675" s="133"/>
      <c r="C675" s="134"/>
      <c r="D675" s="134"/>
      <c r="E675" s="134"/>
      <c r="F675" s="134"/>
      <c r="G675" s="134"/>
      <c r="H675" s="124"/>
      <c r="I675" s="124"/>
      <c r="J675" s="441"/>
      <c r="K675" s="122"/>
    </row>
    <row r="676" spans="1:11" ht="10.5" customHeight="1" thickBot="1" x14ac:dyDescent="0.25">
      <c r="A676" s="145"/>
      <c r="B676" s="146"/>
      <c r="C676" s="147" t="s">
        <v>336</v>
      </c>
      <c r="D676" s="147"/>
      <c r="E676" s="147"/>
      <c r="F676" s="147"/>
      <c r="G676" s="147"/>
      <c r="H676" s="147"/>
      <c r="I676" s="147"/>
      <c r="J676" s="394"/>
      <c r="K676" s="139"/>
    </row>
    <row r="677" spans="1:11" ht="10.5" customHeight="1" x14ac:dyDescent="0.2">
      <c r="A677" s="141"/>
      <c r="B677" s="142"/>
      <c r="C677" s="143"/>
      <c r="D677" s="143"/>
      <c r="E677" s="143"/>
      <c r="F677" s="143"/>
      <c r="G677" s="143"/>
      <c r="H677" s="143"/>
      <c r="I677" s="143"/>
      <c r="J677" s="440"/>
      <c r="K677" s="118"/>
    </row>
    <row r="678" spans="1:11" ht="10.5" customHeight="1" x14ac:dyDescent="0.2">
      <c r="A678" s="120" t="s">
        <v>325</v>
      </c>
      <c r="B678" s="952" t="e">
        <f>$B$2</f>
        <v>#REF!</v>
      </c>
      <c r="C678" s="952"/>
      <c r="D678" s="934" t="s">
        <v>326</v>
      </c>
      <c r="E678" s="934"/>
      <c r="F678" s="934"/>
      <c r="G678" s="934"/>
      <c r="H678" s="953">
        <f>$H$2</f>
        <v>45739</v>
      </c>
      <c r="I678" s="954"/>
      <c r="J678" s="441"/>
      <c r="K678" s="122" t="s">
        <v>327</v>
      </c>
    </row>
    <row r="679" spans="1:11" ht="10.5" customHeight="1" x14ac:dyDescent="0.2">
      <c r="A679" s="120"/>
      <c r="B679" s="127"/>
      <c r="C679" s="124"/>
      <c r="D679" s="124"/>
      <c r="E679" s="124"/>
      <c r="F679" s="124"/>
      <c r="G679" s="124"/>
      <c r="H679" s="124"/>
      <c r="I679" s="124"/>
      <c r="J679" s="441"/>
      <c r="K679" s="122" t="e">
        <f>$B$2</f>
        <v>#REF!</v>
      </c>
    </row>
    <row r="680" spans="1:11" ht="10.5" customHeight="1" x14ac:dyDescent="0.2">
      <c r="A680" s="120" t="s">
        <v>0</v>
      </c>
      <c r="B680" s="960" t="str">
        <f>$B$4</f>
        <v>адрес вбить сюда</v>
      </c>
      <c r="C680" s="960"/>
      <c r="D680" s="960"/>
      <c r="E680" s="960"/>
      <c r="F680" s="960"/>
      <c r="G680" s="960"/>
      <c r="H680" s="960"/>
      <c r="I680" s="960"/>
      <c r="J680" s="961"/>
      <c r="K680" s="122"/>
    </row>
    <row r="681" spans="1:11" ht="10.5" customHeight="1" x14ac:dyDescent="0.2">
      <c r="A681" s="120"/>
      <c r="B681" s="960"/>
      <c r="C681" s="960"/>
      <c r="D681" s="960"/>
      <c r="E681" s="960"/>
      <c r="F681" s="960"/>
      <c r="G681" s="960"/>
      <c r="H681" s="960"/>
      <c r="I681" s="960"/>
      <c r="J681" s="961"/>
      <c r="K681" s="122" t="s">
        <v>328</v>
      </c>
    </row>
    <row r="682" spans="1:11" ht="10.5" customHeight="1" x14ac:dyDescent="0.2">
      <c r="A682" s="957" t="s">
        <v>329</v>
      </c>
      <c r="B682" s="958"/>
      <c r="C682" s="958"/>
      <c r="D682" s="945" t="str">
        <f>'Акт отбора проб Почва'!F57</f>
        <v>СК2</v>
      </c>
      <c r="E682" s="945"/>
      <c r="F682" s="945"/>
      <c r="G682" s="959" t="s">
        <v>330</v>
      </c>
      <c r="H682" s="959"/>
      <c r="I682" s="959"/>
      <c r="J682" s="438" t="str">
        <f>'Акт отбора проб Почва'!B57</f>
        <v>3,0-4,0</v>
      </c>
      <c r="K682" s="126">
        <f>$H$2</f>
        <v>45739</v>
      </c>
    </row>
    <row r="683" spans="1:11" ht="10.5" customHeight="1" x14ac:dyDescent="0.2">
      <c r="A683" s="120"/>
      <c r="B683" s="127"/>
      <c r="C683" s="124"/>
      <c r="D683" s="128"/>
      <c r="E683" s="128"/>
      <c r="F683" s="128"/>
      <c r="G683" s="125"/>
      <c r="H683" s="125"/>
      <c r="I683" s="125"/>
      <c r="J683" s="442"/>
      <c r="K683" s="122" t="s">
        <v>331</v>
      </c>
    </row>
    <row r="684" spans="1:11" ht="10.5" customHeight="1" x14ac:dyDescent="0.2">
      <c r="A684" s="120" t="s">
        <v>331</v>
      </c>
      <c r="B684" s="129" t="str">
        <f>'Акт отбора проб Почва'!C57</f>
        <v>02АХ.06</v>
      </c>
      <c r="C684" s="124"/>
      <c r="D684" s="128"/>
      <c r="E684" s="128"/>
      <c r="F684" s="128"/>
      <c r="G684" s="125"/>
      <c r="H684" s="125"/>
      <c r="I684" s="125"/>
      <c r="J684" s="442"/>
      <c r="K684" s="122" t="str">
        <f>B684</f>
        <v>02АХ.06</v>
      </c>
    </row>
    <row r="685" spans="1:11" ht="10.5" customHeight="1" x14ac:dyDescent="0.2">
      <c r="A685" s="120"/>
      <c r="B685" s="127"/>
      <c r="C685" s="124"/>
      <c r="D685" s="124"/>
      <c r="E685" s="124"/>
      <c r="F685" s="124"/>
      <c r="G685" s="124"/>
      <c r="H685" s="124"/>
      <c r="I685" s="124"/>
      <c r="J685" s="441"/>
      <c r="K685" s="122" t="s">
        <v>332</v>
      </c>
    </row>
    <row r="686" spans="1:11" ht="10.5" customHeight="1" x14ac:dyDescent="0.2">
      <c r="A686" s="957" t="s">
        <v>681</v>
      </c>
      <c r="B686" s="958"/>
      <c r="C686" s="951"/>
      <c r="D686" s="951"/>
      <c r="E686" s="951"/>
      <c r="F686" s="951"/>
      <c r="G686" s="951"/>
      <c r="H686" s="951"/>
      <c r="I686" s="951"/>
      <c r="J686" s="144"/>
      <c r="K686" s="122" t="str">
        <f>J682</f>
        <v>3,0-4,0</v>
      </c>
    </row>
    <row r="687" spans="1:11" ht="10.5" customHeight="1" x14ac:dyDescent="0.2">
      <c r="A687" s="120" t="s">
        <v>333</v>
      </c>
      <c r="B687" s="127"/>
      <c r="C687" s="124"/>
      <c r="D687" s="124"/>
      <c r="E687" s="124"/>
      <c r="F687" s="124"/>
      <c r="G687" s="124"/>
      <c r="H687" s="124"/>
      <c r="I687" s="124"/>
      <c r="J687" s="441"/>
      <c r="K687" s="122" t="s">
        <v>334</v>
      </c>
    </row>
    <row r="688" spans="1:11" ht="10.5" customHeight="1" x14ac:dyDescent="0.2">
      <c r="A688" s="120" t="s">
        <v>335</v>
      </c>
      <c r="B688" s="133"/>
      <c r="C688" s="134"/>
      <c r="D688" s="134"/>
      <c r="E688" s="134"/>
      <c r="F688" s="134"/>
      <c r="G688" s="134"/>
      <c r="H688" s="124"/>
      <c r="I688" s="124"/>
      <c r="J688" s="441"/>
      <c r="K688" s="122"/>
    </row>
    <row r="689" spans="1:11" ht="10.5" customHeight="1" thickBot="1" x14ac:dyDescent="0.25">
      <c r="A689" s="145"/>
      <c r="B689" s="146"/>
      <c r="C689" s="147" t="s">
        <v>336</v>
      </c>
      <c r="D689" s="147"/>
      <c r="E689" s="147"/>
      <c r="F689" s="147"/>
      <c r="G689" s="147"/>
      <c r="H689" s="147"/>
      <c r="I689" s="147"/>
      <c r="J689" s="394"/>
      <c r="K689" s="139"/>
    </row>
    <row r="690" spans="1:11" ht="10.5" customHeight="1" x14ac:dyDescent="0.2">
      <c r="A690" s="141"/>
      <c r="B690" s="142"/>
      <c r="C690" s="143"/>
      <c r="D690" s="143"/>
      <c r="E690" s="143"/>
      <c r="F690" s="143"/>
      <c r="G690" s="143"/>
      <c r="H690" s="143"/>
      <c r="I690" s="143"/>
      <c r="J690" s="440"/>
      <c r="K690" s="118"/>
    </row>
    <row r="691" spans="1:11" ht="10.5" customHeight="1" x14ac:dyDescent="0.2">
      <c r="A691" s="120" t="s">
        <v>325</v>
      </c>
      <c r="B691" s="952" t="e">
        <f>$B$2</f>
        <v>#REF!</v>
      </c>
      <c r="C691" s="952"/>
      <c r="D691" s="934" t="s">
        <v>326</v>
      </c>
      <c r="E691" s="934"/>
      <c r="F691" s="934"/>
      <c r="G691" s="934"/>
      <c r="H691" s="953">
        <f>$H$2</f>
        <v>45739</v>
      </c>
      <c r="I691" s="954"/>
      <c r="J691" s="441"/>
      <c r="K691" s="122" t="s">
        <v>327</v>
      </c>
    </row>
    <row r="692" spans="1:11" ht="10.5" customHeight="1" x14ac:dyDescent="0.2">
      <c r="A692" s="120"/>
      <c r="B692" s="127"/>
      <c r="C692" s="124"/>
      <c r="D692" s="124"/>
      <c r="E692" s="124"/>
      <c r="F692" s="124"/>
      <c r="G692" s="124"/>
      <c r="H692" s="124"/>
      <c r="I692" s="124"/>
      <c r="J692" s="441"/>
      <c r="K692" s="122" t="e">
        <f>$B$2</f>
        <v>#REF!</v>
      </c>
    </row>
    <row r="693" spans="1:11" ht="10.5" customHeight="1" x14ac:dyDescent="0.2">
      <c r="A693" s="120" t="s">
        <v>0</v>
      </c>
      <c r="B693" s="960" t="str">
        <f>$B$4</f>
        <v>адрес вбить сюда</v>
      </c>
      <c r="C693" s="960"/>
      <c r="D693" s="960"/>
      <c r="E693" s="960"/>
      <c r="F693" s="960"/>
      <c r="G693" s="960"/>
      <c r="H693" s="960"/>
      <c r="I693" s="960"/>
      <c r="J693" s="961"/>
      <c r="K693" s="122"/>
    </row>
    <row r="694" spans="1:11" ht="10.5" customHeight="1" x14ac:dyDescent="0.2">
      <c r="A694" s="120"/>
      <c r="B694" s="960"/>
      <c r="C694" s="960"/>
      <c r="D694" s="960"/>
      <c r="E694" s="960"/>
      <c r="F694" s="960"/>
      <c r="G694" s="960"/>
      <c r="H694" s="960"/>
      <c r="I694" s="960"/>
      <c r="J694" s="961"/>
      <c r="K694" s="122" t="s">
        <v>328</v>
      </c>
    </row>
    <row r="695" spans="1:11" ht="10.5" customHeight="1" x14ac:dyDescent="0.2">
      <c r="A695" s="957" t="s">
        <v>329</v>
      </c>
      <c r="B695" s="958"/>
      <c r="C695" s="958"/>
      <c r="D695" s="945" t="str">
        <f>'Акт отбора проб Почва'!F58</f>
        <v>СК3</v>
      </c>
      <c r="E695" s="945"/>
      <c r="F695" s="945"/>
      <c r="G695" s="959" t="s">
        <v>330</v>
      </c>
      <c r="H695" s="959"/>
      <c r="I695" s="959"/>
      <c r="J695" s="438" t="str">
        <f>'Акт отбора проб Почва'!B58</f>
        <v>3,0-4,0</v>
      </c>
      <c r="K695" s="126">
        <f>$H$2</f>
        <v>45739</v>
      </c>
    </row>
    <row r="696" spans="1:11" ht="10.5" customHeight="1" x14ac:dyDescent="0.2">
      <c r="A696" s="120"/>
      <c r="B696" s="127"/>
      <c r="C696" s="124"/>
      <c r="D696" s="128"/>
      <c r="E696" s="128"/>
      <c r="F696" s="128"/>
      <c r="G696" s="125"/>
      <c r="H696" s="125"/>
      <c r="I696" s="125"/>
      <c r="J696" s="442"/>
      <c r="K696" s="122" t="s">
        <v>331</v>
      </c>
    </row>
    <row r="697" spans="1:11" ht="10.5" customHeight="1" x14ac:dyDescent="0.2">
      <c r="A697" s="120" t="s">
        <v>331</v>
      </c>
      <c r="B697" s="129" t="str">
        <f>'Акт отбора проб Почва'!C58</f>
        <v>03АХ.06</v>
      </c>
      <c r="C697" s="124"/>
      <c r="D697" s="128"/>
      <c r="E697" s="128"/>
      <c r="F697" s="128"/>
      <c r="G697" s="125"/>
      <c r="H697" s="125"/>
      <c r="I697" s="125"/>
      <c r="J697" s="442"/>
      <c r="K697" s="122" t="str">
        <f>B697</f>
        <v>03АХ.06</v>
      </c>
    </row>
    <row r="698" spans="1:11" ht="10.5" customHeight="1" x14ac:dyDescent="0.2">
      <c r="A698" s="120"/>
      <c r="B698" s="127"/>
      <c r="C698" s="124"/>
      <c r="D698" s="124"/>
      <c r="E698" s="124"/>
      <c r="F698" s="124"/>
      <c r="G698" s="124"/>
      <c r="H698" s="124"/>
      <c r="I698" s="124"/>
      <c r="J698" s="441"/>
      <c r="K698" s="122" t="s">
        <v>332</v>
      </c>
    </row>
    <row r="699" spans="1:11" ht="10.5" customHeight="1" x14ac:dyDescent="0.2">
      <c r="A699" s="957" t="s">
        <v>681</v>
      </c>
      <c r="B699" s="958"/>
      <c r="C699" s="951"/>
      <c r="D699" s="951"/>
      <c r="E699" s="951"/>
      <c r="F699" s="951"/>
      <c r="G699" s="951"/>
      <c r="H699" s="951"/>
      <c r="I699" s="951"/>
      <c r="J699" s="144"/>
      <c r="K699" s="122" t="str">
        <f>J695</f>
        <v>3,0-4,0</v>
      </c>
    </row>
    <row r="700" spans="1:11" ht="10.5" customHeight="1" x14ac:dyDescent="0.2">
      <c r="A700" s="120" t="s">
        <v>333</v>
      </c>
      <c r="B700" s="127"/>
      <c r="C700" s="124"/>
      <c r="D700" s="124"/>
      <c r="E700" s="124"/>
      <c r="F700" s="124"/>
      <c r="G700" s="124"/>
      <c r="H700" s="124"/>
      <c r="I700" s="124"/>
      <c r="J700" s="441"/>
      <c r="K700" s="122" t="s">
        <v>334</v>
      </c>
    </row>
    <row r="701" spans="1:11" ht="10.5" customHeight="1" x14ac:dyDescent="0.2">
      <c r="A701" s="120" t="s">
        <v>335</v>
      </c>
      <c r="B701" s="133"/>
      <c r="C701" s="134"/>
      <c r="D701" s="134"/>
      <c r="E701" s="134"/>
      <c r="F701" s="134"/>
      <c r="G701" s="134"/>
      <c r="H701" s="124"/>
      <c r="I701" s="124"/>
      <c r="J701" s="441"/>
      <c r="K701" s="122"/>
    </row>
    <row r="702" spans="1:11" ht="10.5" customHeight="1" thickBot="1" x14ac:dyDescent="0.25">
      <c r="A702" s="145"/>
      <c r="B702" s="146"/>
      <c r="C702" s="147" t="s">
        <v>336</v>
      </c>
      <c r="D702" s="147"/>
      <c r="E702" s="147"/>
      <c r="F702" s="147"/>
      <c r="G702" s="147"/>
      <c r="H702" s="147"/>
      <c r="I702" s="147"/>
      <c r="J702" s="394"/>
      <c r="K702" s="139"/>
    </row>
    <row r="703" spans="1:11" ht="10.5" customHeight="1" x14ac:dyDescent="0.2">
      <c r="A703" s="141"/>
      <c r="B703" s="142"/>
      <c r="C703" s="143"/>
      <c r="D703" s="143"/>
      <c r="E703" s="143"/>
      <c r="F703" s="143"/>
      <c r="G703" s="143"/>
      <c r="H703" s="143"/>
      <c r="I703" s="143"/>
      <c r="J703" s="440"/>
      <c r="K703" s="118"/>
    </row>
    <row r="704" spans="1:11" ht="10.5" customHeight="1" x14ac:dyDescent="0.2">
      <c r="A704" s="120" t="s">
        <v>325</v>
      </c>
      <c r="B704" s="952" t="e">
        <f>$B$2</f>
        <v>#REF!</v>
      </c>
      <c r="C704" s="952"/>
      <c r="D704" s="934" t="s">
        <v>326</v>
      </c>
      <c r="E704" s="934"/>
      <c r="F704" s="934"/>
      <c r="G704" s="934"/>
      <c r="H704" s="953">
        <f>$H$2</f>
        <v>45739</v>
      </c>
      <c r="I704" s="954"/>
      <c r="J704" s="441"/>
      <c r="K704" s="122" t="s">
        <v>327</v>
      </c>
    </row>
    <row r="705" spans="1:11" ht="10.5" customHeight="1" x14ac:dyDescent="0.2">
      <c r="A705" s="120"/>
      <c r="B705" s="127"/>
      <c r="C705" s="124"/>
      <c r="D705" s="124"/>
      <c r="E705" s="124"/>
      <c r="F705" s="124"/>
      <c r="G705" s="124"/>
      <c r="H705" s="124"/>
      <c r="I705" s="124"/>
      <c r="J705" s="441"/>
      <c r="K705" s="122" t="e">
        <f>$B$2</f>
        <v>#REF!</v>
      </c>
    </row>
    <row r="706" spans="1:11" ht="10.5" customHeight="1" x14ac:dyDescent="0.2">
      <c r="A706" s="120" t="s">
        <v>0</v>
      </c>
      <c r="B706" s="960" t="str">
        <f>$B$4</f>
        <v>адрес вбить сюда</v>
      </c>
      <c r="C706" s="960"/>
      <c r="D706" s="960"/>
      <c r="E706" s="960"/>
      <c r="F706" s="960"/>
      <c r="G706" s="960"/>
      <c r="H706" s="960"/>
      <c r="I706" s="960"/>
      <c r="J706" s="961"/>
      <c r="K706" s="122"/>
    </row>
    <row r="707" spans="1:11" ht="10.5" customHeight="1" x14ac:dyDescent="0.2">
      <c r="A707" s="120"/>
      <c r="B707" s="960"/>
      <c r="C707" s="960"/>
      <c r="D707" s="960"/>
      <c r="E707" s="960"/>
      <c r="F707" s="960"/>
      <c r="G707" s="960"/>
      <c r="H707" s="960"/>
      <c r="I707" s="960"/>
      <c r="J707" s="961"/>
      <c r="K707" s="122" t="s">
        <v>328</v>
      </c>
    </row>
    <row r="708" spans="1:11" ht="10.5" customHeight="1" x14ac:dyDescent="0.2">
      <c r="A708" s="957" t="s">
        <v>329</v>
      </c>
      <c r="B708" s="958"/>
      <c r="C708" s="958"/>
      <c r="D708" s="945" t="str">
        <f>'Акт отбора проб Почва'!F59</f>
        <v>СК4</v>
      </c>
      <c r="E708" s="945"/>
      <c r="F708" s="945"/>
      <c r="G708" s="959" t="s">
        <v>330</v>
      </c>
      <c r="H708" s="959"/>
      <c r="I708" s="959"/>
      <c r="J708" s="438" t="str">
        <f>'Акт отбора проб Почва'!B59</f>
        <v>3,0-4,0</v>
      </c>
      <c r="K708" s="126">
        <f>$H$2</f>
        <v>45739</v>
      </c>
    </row>
    <row r="709" spans="1:11" ht="10.5" customHeight="1" x14ac:dyDescent="0.2">
      <c r="A709" s="120"/>
      <c r="B709" s="127"/>
      <c r="C709" s="124"/>
      <c r="D709" s="128"/>
      <c r="E709" s="128"/>
      <c r="F709" s="128"/>
      <c r="G709" s="125"/>
      <c r="H709" s="125"/>
      <c r="I709" s="125"/>
      <c r="J709" s="442"/>
      <c r="K709" s="122" t="s">
        <v>331</v>
      </c>
    </row>
    <row r="710" spans="1:11" ht="10.5" customHeight="1" x14ac:dyDescent="0.2">
      <c r="A710" s="120" t="s">
        <v>331</v>
      </c>
      <c r="B710" s="129" t="str">
        <f>'Акт отбора проб Почва'!C59</f>
        <v>04АХ.06</v>
      </c>
      <c r="C710" s="124"/>
      <c r="D710" s="128"/>
      <c r="E710" s="128"/>
      <c r="F710" s="128"/>
      <c r="G710" s="125"/>
      <c r="H710" s="125"/>
      <c r="I710" s="125"/>
      <c r="J710" s="442"/>
      <c r="K710" s="122" t="str">
        <f>B710</f>
        <v>04АХ.06</v>
      </c>
    </row>
    <row r="711" spans="1:11" ht="10.5" customHeight="1" x14ac:dyDescent="0.2">
      <c r="A711" s="120"/>
      <c r="B711" s="127"/>
      <c r="C711" s="124"/>
      <c r="D711" s="124"/>
      <c r="E711" s="124"/>
      <c r="F711" s="124"/>
      <c r="G711" s="124"/>
      <c r="H711" s="124"/>
      <c r="I711" s="124"/>
      <c r="J711" s="441"/>
      <c r="K711" s="122" t="s">
        <v>332</v>
      </c>
    </row>
    <row r="712" spans="1:11" ht="10.5" customHeight="1" x14ac:dyDescent="0.2">
      <c r="A712" s="957" t="s">
        <v>681</v>
      </c>
      <c r="B712" s="958"/>
      <c r="C712" s="951"/>
      <c r="D712" s="951"/>
      <c r="E712" s="951"/>
      <c r="F712" s="951"/>
      <c r="G712" s="951"/>
      <c r="H712" s="951"/>
      <c r="I712" s="951"/>
      <c r="J712" s="144"/>
      <c r="K712" s="122" t="str">
        <f>J708</f>
        <v>3,0-4,0</v>
      </c>
    </row>
    <row r="713" spans="1:11" ht="10.5" customHeight="1" x14ac:dyDescent="0.2">
      <c r="A713" s="120" t="s">
        <v>333</v>
      </c>
      <c r="B713" s="127"/>
      <c r="C713" s="124"/>
      <c r="D713" s="124"/>
      <c r="E713" s="124"/>
      <c r="F713" s="124"/>
      <c r="G713" s="124"/>
      <c r="H713" s="124"/>
      <c r="I713" s="124"/>
      <c r="J713" s="441"/>
      <c r="K713" s="122" t="s">
        <v>334</v>
      </c>
    </row>
    <row r="714" spans="1:11" ht="10.5" customHeight="1" x14ac:dyDescent="0.2">
      <c r="A714" s="120" t="s">
        <v>335</v>
      </c>
      <c r="B714" s="133"/>
      <c r="C714" s="134"/>
      <c r="D714" s="134"/>
      <c r="E714" s="134"/>
      <c r="F714" s="134"/>
      <c r="G714" s="134"/>
      <c r="H714" s="124"/>
      <c r="I714" s="124"/>
      <c r="J714" s="441"/>
      <c r="K714" s="122"/>
    </row>
    <row r="715" spans="1:11" ht="10.5" customHeight="1" thickBot="1" x14ac:dyDescent="0.25">
      <c r="A715" s="145"/>
      <c r="B715" s="146"/>
      <c r="C715" s="147" t="s">
        <v>336</v>
      </c>
      <c r="D715" s="147"/>
      <c r="E715" s="147"/>
      <c r="F715" s="147"/>
      <c r="G715" s="147"/>
      <c r="H715" s="147"/>
      <c r="I715" s="147"/>
      <c r="J715" s="394"/>
      <c r="K715" s="139"/>
    </row>
    <row r="716" spans="1:11" ht="10.5" customHeight="1" x14ac:dyDescent="0.2">
      <c r="A716" s="141"/>
      <c r="B716" s="142"/>
      <c r="C716" s="143"/>
      <c r="D716" s="143"/>
      <c r="E716" s="143"/>
      <c r="F716" s="143"/>
      <c r="G716" s="143"/>
      <c r="H716" s="143"/>
      <c r="I716" s="143"/>
      <c r="J716" s="440"/>
      <c r="K716" s="118"/>
    </row>
    <row r="717" spans="1:11" ht="10.5" customHeight="1" x14ac:dyDescent="0.2">
      <c r="A717" s="120" t="s">
        <v>325</v>
      </c>
      <c r="B717" s="952" t="e">
        <f>$B$2</f>
        <v>#REF!</v>
      </c>
      <c r="C717" s="952"/>
      <c r="D717" s="934" t="s">
        <v>326</v>
      </c>
      <c r="E717" s="934"/>
      <c r="F717" s="934"/>
      <c r="G717" s="934"/>
      <c r="H717" s="953">
        <f>$H$2</f>
        <v>45739</v>
      </c>
      <c r="I717" s="954"/>
      <c r="J717" s="441"/>
      <c r="K717" s="122" t="s">
        <v>327</v>
      </c>
    </row>
    <row r="718" spans="1:11" ht="10.5" customHeight="1" x14ac:dyDescent="0.2">
      <c r="A718" s="120"/>
      <c r="B718" s="127"/>
      <c r="C718" s="124"/>
      <c r="D718" s="124"/>
      <c r="E718" s="124"/>
      <c r="F718" s="124"/>
      <c r="G718" s="124"/>
      <c r="H718" s="124"/>
      <c r="I718" s="124"/>
      <c r="J718" s="441"/>
      <c r="K718" s="122" t="e">
        <f>$B$2</f>
        <v>#REF!</v>
      </c>
    </row>
    <row r="719" spans="1:11" ht="10.5" customHeight="1" x14ac:dyDescent="0.2">
      <c r="A719" s="120" t="s">
        <v>0</v>
      </c>
      <c r="B719" s="960" t="str">
        <f>$B$4</f>
        <v>адрес вбить сюда</v>
      </c>
      <c r="C719" s="960"/>
      <c r="D719" s="960"/>
      <c r="E719" s="960"/>
      <c r="F719" s="960"/>
      <c r="G719" s="960"/>
      <c r="H719" s="960"/>
      <c r="I719" s="960"/>
      <c r="J719" s="961"/>
      <c r="K719" s="122"/>
    </row>
    <row r="720" spans="1:11" ht="10.5" customHeight="1" x14ac:dyDescent="0.2">
      <c r="A720" s="120"/>
      <c r="B720" s="960"/>
      <c r="C720" s="960"/>
      <c r="D720" s="960"/>
      <c r="E720" s="960"/>
      <c r="F720" s="960"/>
      <c r="G720" s="960"/>
      <c r="H720" s="960"/>
      <c r="I720" s="960"/>
      <c r="J720" s="961"/>
      <c r="K720" s="122" t="s">
        <v>328</v>
      </c>
    </row>
    <row r="721" spans="1:11" ht="10.5" customHeight="1" x14ac:dyDescent="0.2">
      <c r="A721" s="957" t="s">
        <v>329</v>
      </c>
      <c r="B721" s="958"/>
      <c r="C721" s="958"/>
      <c r="D721" s="945" t="str">
        <f>'Акт отбора проб Почва'!F60</f>
        <v>СК5</v>
      </c>
      <c r="E721" s="945"/>
      <c r="F721" s="945"/>
      <c r="G721" s="959" t="s">
        <v>330</v>
      </c>
      <c r="H721" s="959"/>
      <c r="I721" s="959"/>
      <c r="J721" s="438" t="str">
        <f>'Акт отбора проб Почва'!B60</f>
        <v>3,0-4,0</v>
      </c>
      <c r="K721" s="126">
        <f>$H$2</f>
        <v>45739</v>
      </c>
    </row>
    <row r="722" spans="1:11" ht="10.5" customHeight="1" x14ac:dyDescent="0.2">
      <c r="A722" s="120"/>
      <c r="B722" s="127"/>
      <c r="C722" s="124"/>
      <c r="D722" s="128"/>
      <c r="E722" s="128"/>
      <c r="F722" s="128"/>
      <c r="G722" s="125"/>
      <c r="H722" s="125"/>
      <c r="I722" s="125"/>
      <c r="J722" s="442"/>
      <c r="K722" s="122" t="s">
        <v>331</v>
      </c>
    </row>
    <row r="723" spans="1:11" ht="10.5" customHeight="1" x14ac:dyDescent="0.2">
      <c r="A723" s="120" t="s">
        <v>331</v>
      </c>
      <c r="B723" s="129" t="str">
        <f>'Акт отбора проб Почва'!C60</f>
        <v>05АХ.06</v>
      </c>
      <c r="C723" s="124"/>
      <c r="D723" s="128"/>
      <c r="E723" s="128"/>
      <c r="F723" s="128"/>
      <c r="G723" s="125"/>
      <c r="H723" s="125"/>
      <c r="I723" s="125"/>
      <c r="J723" s="442"/>
      <c r="K723" s="122" t="str">
        <f>B723</f>
        <v>05АХ.06</v>
      </c>
    </row>
    <row r="724" spans="1:11" ht="10.5" customHeight="1" x14ac:dyDescent="0.2">
      <c r="A724" s="120"/>
      <c r="B724" s="127"/>
      <c r="C724" s="124"/>
      <c r="D724" s="124"/>
      <c r="E724" s="124"/>
      <c r="F724" s="124"/>
      <c r="G724" s="124"/>
      <c r="H724" s="124"/>
      <c r="I724" s="124"/>
      <c r="J724" s="441"/>
      <c r="K724" s="122" t="s">
        <v>332</v>
      </c>
    </row>
    <row r="725" spans="1:11" ht="10.5" customHeight="1" x14ac:dyDescent="0.2">
      <c r="A725" s="957" t="s">
        <v>681</v>
      </c>
      <c r="B725" s="958"/>
      <c r="C725" s="951"/>
      <c r="D725" s="951"/>
      <c r="E725" s="951"/>
      <c r="F725" s="951"/>
      <c r="G725" s="951"/>
      <c r="H725" s="951"/>
      <c r="I725" s="951"/>
      <c r="J725" s="144"/>
      <c r="K725" s="122" t="str">
        <f>J721</f>
        <v>3,0-4,0</v>
      </c>
    </row>
    <row r="726" spans="1:11" ht="10.5" customHeight="1" x14ac:dyDescent="0.2">
      <c r="A726" s="120" t="s">
        <v>333</v>
      </c>
      <c r="B726" s="127"/>
      <c r="C726" s="124"/>
      <c r="D726" s="124"/>
      <c r="E726" s="124"/>
      <c r="F726" s="124"/>
      <c r="G726" s="124"/>
      <c r="H726" s="124"/>
      <c r="I726" s="124"/>
      <c r="J726" s="441"/>
      <c r="K726" s="122" t="s">
        <v>334</v>
      </c>
    </row>
    <row r="727" spans="1:11" ht="10.5" customHeight="1" x14ac:dyDescent="0.2">
      <c r="A727" s="120" t="s">
        <v>335</v>
      </c>
      <c r="B727" s="133"/>
      <c r="C727" s="134"/>
      <c r="D727" s="134"/>
      <c r="E727" s="134"/>
      <c r="F727" s="134"/>
      <c r="G727" s="134"/>
      <c r="H727" s="124"/>
      <c r="I727" s="124"/>
      <c r="J727" s="441"/>
      <c r="K727" s="122"/>
    </row>
    <row r="728" spans="1:11" ht="10.5" customHeight="1" thickBot="1" x14ac:dyDescent="0.25">
      <c r="A728" s="145"/>
      <c r="B728" s="146"/>
      <c r="C728" s="147" t="s">
        <v>336</v>
      </c>
      <c r="D728" s="147"/>
      <c r="E728" s="147"/>
      <c r="F728" s="147"/>
      <c r="G728" s="147"/>
      <c r="H728" s="147"/>
      <c r="I728" s="147"/>
      <c r="J728" s="394"/>
      <c r="K728" s="139"/>
    </row>
    <row r="729" spans="1:11" ht="10.5" customHeight="1" x14ac:dyDescent="0.2">
      <c r="A729" s="141"/>
      <c r="B729" s="142"/>
      <c r="C729" s="143"/>
      <c r="D729" s="143"/>
      <c r="E729" s="143"/>
      <c r="F729" s="143"/>
      <c r="G729" s="143"/>
      <c r="H729" s="143"/>
      <c r="I729" s="143"/>
      <c r="J729" s="440"/>
      <c r="K729" s="118"/>
    </row>
    <row r="730" spans="1:11" ht="10.5" customHeight="1" x14ac:dyDescent="0.2">
      <c r="A730" s="120" t="s">
        <v>325</v>
      </c>
      <c r="B730" s="952" t="e">
        <f>$B$2</f>
        <v>#REF!</v>
      </c>
      <c r="C730" s="952"/>
      <c r="D730" s="934" t="s">
        <v>326</v>
      </c>
      <c r="E730" s="934"/>
      <c r="F730" s="934"/>
      <c r="G730" s="934"/>
      <c r="H730" s="953">
        <f>$H$2</f>
        <v>45739</v>
      </c>
      <c r="I730" s="954"/>
      <c r="J730" s="441"/>
      <c r="K730" s="122" t="s">
        <v>327</v>
      </c>
    </row>
    <row r="731" spans="1:11" ht="10.5" customHeight="1" x14ac:dyDescent="0.2">
      <c r="A731" s="120"/>
      <c r="B731" s="127"/>
      <c r="C731" s="124"/>
      <c r="D731" s="124"/>
      <c r="E731" s="124"/>
      <c r="F731" s="124"/>
      <c r="G731" s="124"/>
      <c r="H731" s="124"/>
      <c r="I731" s="124"/>
      <c r="J731" s="441"/>
      <c r="K731" s="122" t="e">
        <f>$B$2</f>
        <v>#REF!</v>
      </c>
    </row>
    <row r="732" spans="1:11" ht="10.5" customHeight="1" x14ac:dyDescent="0.2">
      <c r="A732" s="120" t="s">
        <v>0</v>
      </c>
      <c r="B732" s="960" t="str">
        <f>$B$4</f>
        <v>адрес вбить сюда</v>
      </c>
      <c r="C732" s="960"/>
      <c r="D732" s="960"/>
      <c r="E732" s="960"/>
      <c r="F732" s="960"/>
      <c r="G732" s="960"/>
      <c r="H732" s="960"/>
      <c r="I732" s="960"/>
      <c r="J732" s="961"/>
      <c r="K732" s="122"/>
    </row>
    <row r="733" spans="1:11" ht="10.5" customHeight="1" x14ac:dyDescent="0.2">
      <c r="A733" s="120"/>
      <c r="B733" s="960"/>
      <c r="C733" s="960"/>
      <c r="D733" s="960"/>
      <c r="E733" s="960"/>
      <c r="F733" s="960"/>
      <c r="G733" s="960"/>
      <c r="H733" s="960"/>
      <c r="I733" s="960"/>
      <c r="J733" s="961"/>
      <c r="K733" s="122" t="s">
        <v>328</v>
      </c>
    </row>
    <row r="734" spans="1:11" ht="10.5" customHeight="1" x14ac:dyDescent="0.2">
      <c r="A734" s="957" t="s">
        <v>329</v>
      </c>
      <c r="B734" s="958"/>
      <c r="C734" s="958"/>
      <c r="D734" s="945" t="str">
        <f>'Акт отбора проб Почва'!F61</f>
        <v>СК6</v>
      </c>
      <c r="E734" s="945"/>
      <c r="F734" s="945"/>
      <c r="G734" s="959" t="s">
        <v>330</v>
      </c>
      <c r="H734" s="959"/>
      <c r="I734" s="959"/>
      <c r="J734" s="438" t="str">
        <f>'Акт отбора проб Почва'!B61</f>
        <v>3,0-4,0</v>
      </c>
      <c r="K734" s="126">
        <f>$H$2</f>
        <v>45739</v>
      </c>
    </row>
    <row r="735" spans="1:11" ht="10.5" customHeight="1" x14ac:dyDescent="0.2">
      <c r="A735" s="120"/>
      <c r="B735" s="127"/>
      <c r="C735" s="124"/>
      <c r="D735" s="128"/>
      <c r="E735" s="128"/>
      <c r="F735" s="128"/>
      <c r="G735" s="125"/>
      <c r="H735" s="125"/>
      <c r="I735" s="125"/>
      <c r="J735" s="442"/>
      <c r="K735" s="122" t="s">
        <v>331</v>
      </c>
    </row>
    <row r="736" spans="1:11" ht="10.5" customHeight="1" x14ac:dyDescent="0.2">
      <c r="A736" s="120" t="s">
        <v>331</v>
      </c>
      <c r="B736" s="129" t="str">
        <f>'Акт отбора проб Почва'!C61</f>
        <v>06АХ.06</v>
      </c>
      <c r="C736" s="124"/>
      <c r="D736" s="128"/>
      <c r="E736" s="128"/>
      <c r="F736" s="128"/>
      <c r="G736" s="125"/>
      <c r="H736" s="125"/>
      <c r="I736" s="125"/>
      <c r="J736" s="442"/>
      <c r="K736" s="122" t="str">
        <f>B736</f>
        <v>06АХ.06</v>
      </c>
    </row>
    <row r="737" spans="1:11" ht="10.5" customHeight="1" x14ac:dyDescent="0.2">
      <c r="A737" s="120"/>
      <c r="B737" s="127"/>
      <c r="C737" s="124"/>
      <c r="D737" s="124"/>
      <c r="E737" s="124"/>
      <c r="F737" s="124"/>
      <c r="G737" s="124"/>
      <c r="H737" s="124"/>
      <c r="I737" s="124"/>
      <c r="J737" s="441"/>
      <c r="K737" s="122" t="s">
        <v>332</v>
      </c>
    </row>
    <row r="738" spans="1:11" ht="10.5" customHeight="1" x14ac:dyDescent="0.2">
      <c r="A738" s="957" t="s">
        <v>681</v>
      </c>
      <c r="B738" s="958"/>
      <c r="C738" s="951"/>
      <c r="D738" s="951"/>
      <c r="E738" s="951"/>
      <c r="F738" s="951"/>
      <c r="G738" s="951"/>
      <c r="H738" s="951"/>
      <c r="I738" s="951"/>
      <c r="J738" s="144"/>
      <c r="K738" s="122" t="str">
        <f>J734</f>
        <v>3,0-4,0</v>
      </c>
    </row>
    <row r="739" spans="1:11" ht="10.5" customHeight="1" x14ac:dyDescent="0.2">
      <c r="A739" s="120" t="s">
        <v>333</v>
      </c>
      <c r="B739" s="127"/>
      <c r="C739" s="124"/>
      <c r="D739" s="124"/>
      <c r="E739" s="124"/>
      <c r="F739" s="124"/>
      <c r="G739" s="124"/>
      <c r="H739" s="124"/>
      <c r="I739" s="124"/>
      <c r="J739" s="441"/>
      <c r="K739" s="122" t="s">
        <v>334</v>
      </c>
    </row>
    <row r="740" spans="1:11" ht="10.5" customHeight="1" x14ac:dyDescent="0.2">
      <c r="A740" s="120" t="s">
        <v>335</v>
      </c>
      <c r="B740" s="133"/>
      <c r="C740" s="134"/>
      <c r="D740" s="134"/>
      <c r="E740" s="134"/>
      <c r="F740" s="134"/>
      <c r="G740" s="134"/>
      <c r="H740" s="124"/>
      <c r="I740" s="124"/>
      <c r="J740" s="441"/>
      <c r="K740" s="122"/>
    </row>
    <row r="741" spans="1:11" ht="10.5" customHeight="1" thickBot="1" x14ac:dyDescent="0.25">
      <c r="A741" s="145"/>
      <c r="B741" s="146"/>
      <c r="C741" s="147" t="s">
        <v>336</v>
      </c>
      <c r="D741" s="147"/>
      <c r="E741" s="147"/>
      <c r="F741" s="147"/>
      <c r="G741" s="147"/>
      <c r="H741" s="147"/>
      <c r="I741" s="147"/>
      <c r="J741" s="394"/>
      <c r="K741" s="139"/>
    </row>
    <row r="742" spans="1:11" ht="10.5" customHeight="1" x14ac:dyDescent="0.2">
      <c r="A742" s="141"/>
      <c r="B742" s="142"/>
      <c r="C742" s="143"/>
      <c r="D742" s="143"/>
      <c r="E742" s="143"/>
      <c r="F742" s="143"/>
      <c r="G742" s="143"/>
      <c r="H742" s="143"/>
      <c r="I742" s="143"/>
      <c r="J742" s="440"/>
      <c r="K742" s="118"/>
    </row>
    <row r="743" spans="1:11" ht="10.5" customHeight="1" x14ac:dyDescent="0.2">
      <c r="A743" s="120" t="s">
        <v>325</v>
      </c>
      <c r="B743" s="952" t="e">
        <f>$B$2</f>
        <v>#REF!</v>
      </c>
      <c r="C743" s="952"/>
      <c r="D743" s="934" t="s">
        <v>326</v>
      </c>
      <c r="E743" s="934"/>
      <c r="F743" s="934"/>
      <c r="G743" s="934"/>
      <c r="H743" s="953">
        <f>$H$2</f>
        <v>45739</v>
      </c>
      <c r="I743" s="954"/>
      <c r="J743" s="441"/>
      <c r="K743" s="122" t="s">
        <v>327</v>
      </c>
    </row>
    <row r="744" spans="1:11" ht="10.5" customHeight="1" x14ac:dyDescent="0.2">
      <c r="A744" s="120"/>
      <c r="B744" s="127"/>
      <c r="C744" s="124"/>
      <c r="D744" s="124"/>
      <c r="E744" s="124"/>
      <c r="F744" s="124"/>
      <c r="G744" s="124"/>
      <c r="H744" s="124"/>
      <c r="I744" s="124"/>
      <c r="J744" s="441"/>
      <c r="K744" s="122" t="e">
        <f>$B$2</f>
        <v>#REF!</v>
      </c>
    </row>
    <row r="745" spans="1:11" ht="10.5" customHeight="1" x14ac:dyDescent="0.2">
      <c r="A745" s="120" t="s">
        <v>0</v>
      </c>
      <c r="B745" s="960" t="str">
        <f>$B$4</f>
        <v>адрес вбить сюда</v>
      </c>
      <c r="C745" s="960"/>
      <c r="D745" s="960"/>
      <c r="E745" s="960"/>
      <c r="F745" s="960"/>
      <c r="G745" s="960"/>
      <c r="H745" s="960"/>
      <c r="I745" s="960"/>
      <c r="J745" s="961"/>
      <c r="K745" s="122"/>
    </row>
    <row r="746" spans="1:11" ht="10.5" customHeight="1" x14ac:dyDescent="0.2">
      <c r="A746" s="120"/>
      <c r="B746" s="960"/>
      <c r="C746" s="960"/>
      <c r="D746" s="960"/>
      <c r="E746" s="960"/>
      <c r="F746" s="960"/>
      <c r="G746" s="960"/>
      <c r="H746" s="960"/>
      <c r="I746" s="960"/>
      <c r="J746" s="961"/>
      <c r="K746" s="122" t="s">
        <v>328</v>
      </c>
    </row>
    <row r="747" spans="1:11" ht="10.5" customHeight="1" x14ac:dyDescent="0.2">
      <c r="A747" s="957" t="s">
        <v>329</v>
      </c>
      <c r="B747" s="958"/>
      <c r="C747" s="958"/>
      <c r="D747" s="945" t="str">
        <f>'Акт отбора проб Почва'!F62</f>
        <v>СК1</v>
      </c>
      <c r="E747" s="945"/>
      <c r="F747" s="945"/>
      <c r="G747" s="959" t="s">
        <v>330</v>
      </c>
      <c r="H747" s="959"/>
      <c r="I747" s="959"/>
      <c r="J747" s="438" t="str">
        <f>'Акт отбора проб Почва'!B62</f>
        <v>4,0-5,0</v>
      </c>
      <c r="K747" s="126">
        <f>$H$2</f>
        <v>45739</v>
      </c>
    </row>
    <row r="748" spans="1:11" ht="10.5" customHeight="1" x14ac:dyDescent="0.2">
      <c r="A748" s="120"/>
      <c r="B748" s="127"/>
      <c r="C748" s="124"/>
      <c r="D748" s="128"/>
      <c r="E748" s="128"/>
      <c r="F748" s="128"/>
      <c r="G748" s="125"/>
      <c r="H748" s="125"/>
      <c r="I748" s="125"/>
      <c r="J748" s="442"/>
      <c r="K748" s="122" t="s">
        <v>331</v>
      </c>
    </row>
    <row r="749" spans="1:11" ht="10.5" customHeight="1" x14ac:dyDescent="0.2">
      <c r="A749" s="120" t="s">
        <v>331</v>
      </c>
      <c r="B749" s="129" t="str">
        <f>'Акт отбора проб Почва'!C62</f>
        <v>01АХ.07</v>
      </c>
      <c r="C749" s="124"/>
      <c r="D749" s="128"/>
      <c r="E749" s="128"/>
      <c r="F749" s="128"/>
      <c r="G749" s="125"/>
      <c r="H749" s="125"/>
      <c r="I749" s="125"/>
      <c r="J749" s="442"/>
      <c r="K749" s="122" t="str">
        <f>B749</f>
        <v>01АХ.07</v>
      </c>
    </row>
    <row r="750" spans="1:11" ht="10.5" customHeight="1" x14ac:dyDescent="0.2">
      <c r="A750" s="120"/>
      <c r="B750" s="127"/>
      <c r="C750" s="124"/>
      <c r="D750" s="124"/>
      <c r="E750" s="124"/>
      <c r="F750" s="124"/>
      <c r="G750" s="124"/>
      <c r="H750" s="124"/>
      <c r="I750" s="124"/>
      <c r="J750" s="441"/>
      <c r="K750" s="122" t="s">
        <v>332</v>
      </c>
    </row>
    <row r="751" spans="1:11" ht="10.5" customHeight="1" x14ac:dyDescent="0.2">
      <c r="A751" s="957" t="s">
        <v>681</v>
      </c>
      <c r="B751" s="958"/>
      <c r="C751" s="951"/>
      <c r="D751" s="951"/>
      <c r="E751" s="951"/>
      <c r="F751" s="951"/>
      <c r="G751" s="951"/>
      <c r="H751" s="951"/>
      <c r="I751" s="951"/>
      <c r="J751" s="144"/>
      <c r="K751" s="122" t="str">
        <f>J747</f>
        <v>4,0-5,0</v>
      </c>
    </row>
    <row r="752" spans="1:11" ht="10.5" customHeight="1" x14ac:dyDescent="0.2">
      <c r="A752" s="120" t="s">
        <v>333</v>
      </c>
      <c r="B752" s="127"/>
      <c r="C752" s="124"/>
      <c r="D752" s="124"/>
      <c r="E752" s="124"/>
      <c r="F752" s="124"/>
      <c r="G752" s="124"/>
      <c r="H752" s="124"/>
      <c r="I752" s="124"/>
      <c r="J752" s="441"/>
      <c r="K752" s="122" t="s">
        <v>334</v>
      </c>
    </row>
    <row r="753" spans="1:11" ht="10.5" customHeight="1" x14ac:dyDescent="0.2">
      <c r="A753" s="120" t="s">
        <v>335</v>
      </c>
      <c r="B753" s="133"/>
      <c r="C753" s="134"/>
      <c r="D753" s="134"/>
      <c r="E753" s="134"/>
      <c r="F753" s="134"/>
      <c r="G753" s="134"/>
      <c r="H753" s="124"/>
      <c r="I753" s="124"/>
      <c r="J753" s="441"/>
      <c r="K753" s="122"/>
    </row>
    <row r="754" spans="1:11" ht="10.5" customHeight="1" thickBot="1" x14ac:dyDescent="0.25">
      <c r="A754" s="145"/>
      <c r="B754" s="146"/>
      <c r="C754" s="147" t="s">
        <v>336</v>
      </c>
      <c r="D754" s="147"/>
      <c r="E754" s="147"/>
      <c r="F754" s="147"/>
      <c r="G754" s="147"/>
      <c r="H754" s="147"/>
      <c r="I754" s="147"/>
      <c r="J754" s="394"/>
      <c r="K754" s="139"/>
    </row>
    <row r="755" spans="1:11" ht="10.5" customHeight="1" x14ac:dyDescent="0.2">
      <c r="A755" s="141"/>
      <c r="B755" s="142"/>
      <c r="C755" s="143"/>
      <c r="D755" s="143"/>
      <c r="E755" s="143"/>
      <c r="F755" s="143"/>
      <c r="G755" s="143"/>
      <c r="H755" s="143"/>
      <c r="I755" s="143"/>
      <c r="J755" s="440"/>
      <c r="K755" s="118"/>
    </row>
    <row r="756" spans="1:11" ht="10.5" customHeight="1" x14ac:dyDescent="0.2">
      <c r="A756" s="120" t="s">
        <v>325</v>
      </c>
      <c r="B756" s="952" t="e">
        <f>$B$2</f>
        <v>#REF!</v>
      </c>
      <c r="C756" s="952"/>
      <c r="D756" s="934" t="s">
        <v>326</v>
      </c>
      <c r="E756" s="934"/>
      <c r="F756" s="934"/>
      <c r="G756" s="934"/>
      <c r="H756" s="953">
        <f>$H$2</f>
        <v>45739</v>
      </c>
      <c r="I756" s="954"/>
      <c r="J756" s="441"/>
      <c r="K756" s="122" t="s">
        <v>327</v>
      </c>
    </row>
    <row r="757" spans="1:11" ht="10.5" customHeight="1" x14ac:dyDescent="0.2">
      <c r="A757" s="120"/>
      <c r="B757" s="127"/>
      <c r="C757" s="124"/>
      <c r="D757" s="124"/>
      <c r="E757" s="124"/>
      <c r="F757" s="124"/>
      <c r="G757" s="124"/>
      <c r="H757" s="124"/>
      <c r="I757" s="124"/>
      <c r="J757" s="441"/>
      <c r="K757" s="122" t="e">
        <f>$B$2</f>
        <v>#REF!</v>
      </c>
    </row>
    <row r="758" spans="1:11" ht="10.5" customHeight="1" x14ac:dyDescent="0.2">
      <c r="A758" s="120" t="s">
        <v>0</v>
      </c>
      <c r="B758" s="960" t="str">
        <f>$B$4</f>
        <v>адрес вбить сюда</v>
      </c>
      <c r="C758" s="960"/>
      <c r="D758" s="960"/>
      <c r="E758" s="960"/>
      <c r="F758" s="960"/>
      <c r="G758" s="960"/>
      <c r="H758" s="960"/>
      <c r="I758" s="960"/>
      <c r="J758" s="961"/>
      <c r="K758" s="122"/>
    </row>
    <row r="759" spans="1:11" ht="10.5" customHeight="1" x14ac:dyDescent="0.2">
      <c r="A759" s="120"/>
      <c r="B759" s="960"/>
      <c r="C759" s="960"/>
      <c r="D759" s="960"/>
      <c r="E759" s="960"/>
      <c r="F759" s="960"/>
      <c r="G759" s="960"/>
      <c r="H759" s="960"/>
      <c r="I759" s="960"/>
      <c r="J759" s="961"/>
      <c r="K759" s="122" t="s">
        <v>328</v>
      </c>
    </row>
    <row r="760" spans="1:11" ht="10.5" customHeight="1" x14ac:dyDescent="0.2">
      <c r="A760" s="957" t="s">
        <v>329</v>
      </c>
      <c r="B760" s="958"/>
      <c r="C760" s="958"/>
      <c r="D760" s="945" t="str">
        <f>'Акт отбора проб Почва'!F63</f>
        <v>СК2</v>
      </c>
      <c r="E760" s="945"/>
      <c r="F760" s="945"/>
      <c r="G760" s="959" t="s">
        <v>330</v>
      </c>
      <c r="H760" s="959"/>
      <c r="I760" s="959"/>
      <c r="J760" s="438" t="str">
        <f>'Акт отбора проб Почва'!B63</f>
        <v>4,0-5,0</v>
      </c>
      <c r="K760" s="126">
        <f>$H$2</f>
        <v>45739</v>
      </c>
    </row>
    <row r="761" spans="1:11" ht="10.5" customHeight="1" x14ac:dyDescent="0.2">
      <c r="A761" s="120"/>
      <c r="B761" s="127"/>
      <c r="C761" s="124"/>
      <c r="D761" s="128"/>
      <c r="E761" s="128"/>
      <c r="F761" s="128"/>
      <c r="G761" s="125"/>
      <c r="H761" s="125"/>
      <c r="I761" s="125"/>
      <c r="J761" s="442"/>
      <c r="K761" s="122" t="s">
        <v>331</v>
      </c>
    </row>
    <row r="762" spans="1:11" ht="10.5" customHeight="1" x14ac:dyDescent="0.2">
      <c r="A762" s="120" t="s">
        <v>331</v>
      </c>
      <c r="B762" s="129" t="str">
        <f>'Акт отбора проб Почва'!C63</f>
        <v>02АХ.07</v>
      </c>
      <c r="C762" s="124"/>
      <c r="D762" s="128"/>
      <c r="E762" s="128"/>
      <c r="F762" s="128"/>
      <c r="G762" s="125"/>
      <c r="H762" s="125"/>
      <c r="I762" s="125"/>
      <c r="J762" s="442"/>
      <c r="K762" s="122" t="str">
        <f>B762</f>
        <v>02АХ.07</v>
      </c>
    </row>
    <row r="763" spans="1:11" ht="10.5" customHeight="1" x14ac:dyDescent="0.2">
      <c r="A763" s="120"/>
      <c r="B763" s="127"/>
      <c r="C763" s="124"/>
      <c r="D763" s="124"/>
      <c r="E763" s="124"/>
      <c r="F763" s="124"/>
      <c r="G763" s="124"/>
      <c r="H763" s="124"/>
      <c r="I763" s="124"/>
      <c r="J763" s="441"/>
      <c r="K763" s="122" t="s">
        <v>332</v>
      </c>
    </row>
    <row r="764" spans="1:11" ht="10.5" customHeight="1" x14ac:dyDescent="0.2">
      <c r="A764" s="957" t="s">
        <v>681</v>
      </c>
      <c r="B764" s="958"/>
      <c r="C764" s="951"/>
      <c r="D764" s="951"/>
      <c r="E764" s="951"/>
      <c r="F764" s="951"/>
      <c r="G764" s="951"/>
      <c r="H764" s="951"/>
      <c r="I764" s="951"/>
      <c r="J764" s="144"/>
      <c r="K764" s="122" t="str">
        <f>J760</f>
        <v>4,0-5,0</v>
      </c>
    </row>
    <row r="765" spans="1:11" ht="10.5" customHeight="1" x14ac:dyDescent="0.2">
      <c r="A765" s="120" t="s">
        <v>333</v>
      </c>
      <c r="B765" s="127"/>
      <c r="C765" s="124"/>
      <c r="D765" s="124"/>
      <c r="E765" s="124"/>
      <c r="F765" s="124"/>
      <c r="G765" s="124"/>
      <c r="H765" s="124"/>
      <c r="I765" s="124"/>
      <c r="J765" s="441"/>
      <c r="K765" s="122" t="s">
        <v>334</v>
      </c>
    </row>
    <row r="766" spans="1:11" ht="10.5" customHeight="1" x14ac:dyDescent="0.2">
      <c r="A766" s="120" t="s">
        <v>335</v>
      </c>
      <c r="B766" s="133"/>
      <c r="C766" s="134"/>
      <c r="D766" s="134"/>
      <c r="E766" s="134"/>
      <c r="F766" s="134"/>
      <c r="G766" s="134"/>
      <c r="H766" s="124"/>
      <c r="I766" s="124"/>
      <c r="J766" s="441"/>
      <c r="K766" s="122"/>
    </row>
    <row r="767" spans="1:11" ht="10.5" customHeight="1" thickBot="1" x14ac:dyDescent="0.25">
      <c r="A767" s="145"/>
      <c r="B767" s="146"/>
      <c r="C767" s="147" t="s">
        <v>336</v>
      </c>
      <c r="D767" s="147"/>
      <c r="E767" s="147"/>
      <c r="F767" s="147"/>
      <c r="G767" s="147"/>
      <c r="H767" s="147"/>
      <c r="I767" s="147"/>
      <c r="J767" s="394"/>
      <c r="K767" s="139"/>
    </row>
    <row r="768" spans="1:11" ht="10.5" customHeight="1" x14ac:dyDescent="0.2">
      <c r="A768" s="141"/>
      <c r="B768" s="142"/>
      <c r="C768" s="143"/>
      <c r="D768" s="143"/>
      <c r="E768" s="143"/>
      <c r="F768" s="143"/>
      <c r="G768" s="143"/>
      <c r="H768" s="143"/>
      <c r="I768" s="143"/>
      <c r="J768" s="440"/>
      <c r="K768" s="118"/>
    </row>
    <row r="769" spans="1:11" ht="10.5" customHeight="1" x14ac:dyDescent="0.2">
      <c r="A769" s="120" t="s">
        <v>325</v>
      </c>
      <c r="B769" s="952" t="e">
        <f>$B$2</f>
        <v>#REF!</v>
      </c>
      <c r="C769" s="952"/>
      <c r="D769" s="934" t="s">
        <v>326</v>
      </c>
      <c r="E769" s="934"/>
      <c r="F769" s="934"/>
      <c r="G769" s="934"/>
      <c r="H769" s="953">
        <f>$H$2</f>
        <v>45739</v>
      </c>
      <c r="I769" s="954"/>
      <c r="J769" s="441"/>
      <c r="K769" s="122" t="s">
        <v>327</v>
      </c>
    </row>
    <row r="770" spans="1:11" ht="10.5" customHeight="1" x14ac:dyDescent="0.2">
      <c r="A770" s="120"/>
      <c r="B770" s="127"/>
      <c r="C770" s="124"/>
      <c r="D770" s="124"/>
      <c r="E770" s="124"/>
      <c r="F770" s="124"/>
      <c r="G770" s="124"/>
      <c r="H770" s="124"/>
      <c r="I770" s="124"/>
      <c r="J770" s="441"/>
      <c r="K770" s="122" t="e">
        <f>$B$2</f>
        <v>#REF!</v>
      </c>
    </row>
    <row r="771" spans="1:11" ht="10.5" customHeight="1" x14ac:dyDescent="0.2">
      <c r="A771" s="120" t="s">
        <v>0</v>
      </c>
      <c r="B771" s="960" t="str">
        <f>$B$4</f>
        <v>адрес вбить сюда</v>
      </c>
      <c r="C771" s="960"/>
      <c r="D771" s="960"/>
      <c r="E771" s="960"/>
      <c r="F771" s="960"/>
      <c r="G771" s="960"/>
      <c r="H771" s="960"/>
      <c r="I771" s="960"/>
      <c r="J771" s="961"/>
      <c r="K771" s="122"/>
    </row>
    <row r="772" spans="1:11" ht="10.5" customHeight="1" x14ac:dyDescent="0.2">
      <c r="A772" s="120"/>
      <c r="B772" s="960"/>
      <c r="C772" s="960"/>
      <c r="D772" s="960"/>
      <c r="E772" s="960"/>
      <c r="F772" s="960"/>
      <c r="G772" s="960"/>
      <c r="H772" s="960"/>
      <c r="I772" s="960"/>
      <c r="J772" s="961"/>
      <c r="K772" s="122" t="s">
        <v>328</v>
      </c>
    </row>
    <row r="773" spans="1:11" ht="10.5" customHeight="1" x14ac:dyDescent="0.2">
      <c r="A773" s="957" t="s">
        <v>329</v>
      </c>
      <c r="B773" s="958"/>
      <c r="C773" s="958"/>
      <c r="D773" s="945" t="str">
        <f>'Акт отбора проб Почва'!F64</f>
        <v>СК3</v>
      </c>
      <c r="E773" s="945"/>
      <c r="F773" s="945"/>
      <c r="G773" s="959" t="s">
        <v>330</v>
      </c>
      <c r="H773" s="959"/>
      <c r="I773" s="959"/>
      <c r="J773" s="438" t="str">
        <f>'Акт отбора проб Почва'!B64</f>
        <v>4,0-5,0</v>
      </c>
      <c r="K773" s="126">
        <f>$H$2</f>
        <v>45739</v>
      </c>
    </row>
    <row r="774" spans="1:11" ht="10.5" customHeight="1" x14ac:dyDescent="0.2">
      <c r="A774" s="120"/>
      <c r="B774" s="127"/>
      <c r="C774" s="124"/>
      <c r="D774" s="128"/>
      <c r="E774" s="128"/>
      <c r="F774" s="128"/>
      <c r="G774" s="125"/>
      <c r="H774" s="125"/>
      <c r="I774" s="125"/>
      <c r="J774" s="442"/>
      <c r="K774" s="122" t="s">
        <v>331</v>
      </c>
    </row>
    <row r="775" spans="1:11" ht="10.5" customHeight="1" x14ac:dyDescent="0.2">
      <c r="A775" s="120" t="s">
        <v>331</v>
      </c>
      <c r="B775" s="129" t="str">
        <f>'Акт отбора проб Почва'!C64</f>
        <v>03АХ.07</v>
      </c>
      <c r="C775" s="124"/>
      <c r="D775" s="128"/>
      <c r="E775" s="128"/>
      <c r="F775" s="128"/>
      <c r="G775" s="125"/>
      <c r="H775" s="125"/>
      <c r="I775" s="125"/>
      <c r="J775" s="442"/>
      <c r="K775" s="122" t="str">
        <f>B775</f>
        <v>03АХ.07</v>
      </c>
    </row>
    <row r="776" spans="1:11" ht="10.5" customHeight="1" x14ac:dyDescent="0.2">
      <c r="A776" s="120"/>
      <c r="B776" s="127"/>
      <c r="C776" s="124"/>
      <c r="D776" s="124"/>
      <c r="E776" s="124"/>
      <c r="F776" s="124"/>
      <c r="G776" s="124"/>
      <c r="H776" s="124"/>
      <c r="I776" s="124"/>
      <c r="J776" s="441"/>
      <c r="K776" s="122" t="s">
        <v>332</v>
      </c>
    </row>
    <row r="777" spans="1:11" ht="10.5" customHeight="1" x14ac:dyDescent="0.2">
      <c r="A777" s="957" t="s">
        <v>681</v>
      </c>
      <c r="B777" s="958"/>
      <c r="C777" s="951"/>
      <c r="D777" s="951"/>
      <c r="E777" s="951"/>
      <c r="F777" s="951"/>
      <c r="G777" s="951"/>
      <c r="H777" s="951"/>
      <c r="I777" s="951"/>
      <c r="J777" s="144"/>
      <c r="K777" s="122" t="str">
        <f>J773</f>
        <v>4,0-5,0</v>
      </c>
    </row>
    <row r="778" spans="1:11" ht="10.5" customHeight="1" x14ac:dyDescent="0.2">
      <c r="A778" s="120" t="s">
        <v>333</v>
      </c>
      <c r="B778" s="127"/>
      <c r="C778" s="124"/>
      <c r="D778" s="124"/>
      <c r="E778" s="124"/>
      <c r="F778" s="124"/>
      <c r="G778" s="124"/>
      <c r="H778" s="124"/>
      <c r="I778" s="124"/>
      <c r="J778" s="441"/>
      <c r="K778" s="122" t="s">
        <v>334</v>
      </c>
    </row>
    <row r="779" spans="1:11" ht="10.5" customHeight="1" x14ac:dyDescent="0.2">
      <c r="A779" s="120" t="s">
        <v>335</v>
      </c>
      <c r="B779" s="133"/>
      <c r="C779" s="134"/>
      <c r="D779" s="134"/>
      <c r="E779" s="134"/>
      <c r="F779" s="134"/>
      <c r="G779" s="134"/>
      <c r="H779" s="124"/>
      <c r="I779" s="124"/>
      <c r="J779" s="441"/>
      <c r="K779" s="122"/>
    </row>
    <row r="780" spans="1:11" ht="10.5" customHeight="1" thickBot="1" x14ac:dyDescent="0.25">
      <c r="A780" s="145"/>
      <c r="B780" s="146"/>
      <c r="C780" s="147" t="s">
        <v>336</v>
      </c>
      <c r="D780" s="147"/>
      <c r="E780" s="147"/>
      <c r="F780" s="147"/>
      <c r="G780" s="147"/>
      <c r="H780" s="147"/>
      <c r="I780" s="147"/>
      <c r="J780" s="394"/>
      <c r="K780" s="139"/>
    </row>
    <row r="781" spans="1:11" ht="10.5" customHeight="1" x14ac:dyDescent="0.2">
      <c r="A781" s="141"/>
      <c r="B781" s="142"/>
      <c r="C781" s="143"/>
      <c r="D781" s="143"/>
      <c r="E781" s="143"/>
      <c r="F781" s="143"/>
      <c r="G781" s="143"/>
      <c r="H781" s="143"/>
      <c r="I781" s="143"/>
      <c r="J781" s="440"/>
      <c r="K781" s="118"/>
    </row>
    <row r="782" spans="1:11" ht="10.5" customHeight="1" x14ac:dyDescent="0.2">
      <c r="A782" s="120" t="s">
        <v>325</v>
      </c>
      <c r="B782" s="952" t="e">
        <f>$B$2</f>
        <v>#REF!</v>
      </c>
      <c r="C782" s="952"/>
      <c r="D782" s="934" t="s">
        <v>326</v>
      </c>
      <c r="E782" s="934"/>
      <c r="F782" s="934"/>
      <c r="G782" s="934"/>
      <c r="H782" s="953">
        <f>$H$2</f>
        <v>45739</v>
      </c>
      <c r="I782" s="954"/>
      <c r="J782" s="441"/>
      <c r="K782" s="122" t="s">
        <v>327</v>
      </c>
    </row>
    <row r="783" spans="1:11" ht="10.5" customHeight="1" x14ac:dyDescent="0.2">
      <c r="A783" s="120"/>
      <c r="B783" s="127"/>
      <c r="C783" s="124"/>
      <c r="D783" s="124"/>
      <c r="E783" s="124"/>
      <c r="F783" s="124"/>
      <c r="G783" s="124"/>
      <c r="H783" s="124"/>
      <c r="I783" s="124"/>
      <c r="J783" s="441"/>
      <c r="K783" s="122" t="e">
        <f>$B$2</f>
        <v>#REF!</v>
      </c>
    </row>
    <row r="784" spans="1:11" ht="10.5" customHeight="1" x14ac:dyDescent="0.2">
      <c r="A784" s="120" t="s">
        <v>0</v>
      </c>
      <c r="B784" s="960" t="str">
        <f>$B$4</f>
        <v>адрес вбить сюда</v>
      </c>
      <c r="C784" s="960"/>
      <c r="D784" s="960"/>
      <c r="E784" s="960"/>
      <c r="F784" s="960"/>
      <c r="G784" s="960"/>
      <c r="H784" s="960"/>
      <c r="I784" s="960"/>
      <c r="J784" s="961"/>
      <c r="K784" s="122"/>
    </row>
    <row r="785" spans="1:11" ht="10.5" customHeight="1" x14ac:dyDescent="0.2">
      <c r="A785" s="120"/>
      <c r="B785" s="960"/>
      <c r="C785" s="960"/>
      <c r="D785" s="960"/>
      <c r="E785" s="960"/>
      <c r="F785" s="960"/>
      <c r="G785" s="960"/>
      <c r="H785" s="960"/>
      <c r="I785" s="960"/>
      <c r="J785" s="961"/>
      <c r="K785" s="122" t="s">
        <v>328</v>
      </c>
    </row>
    <row r="786" spans="1:11" ht="10.5" customHeight="1" x14ac:dyDescent="0.2">
      <c r="A786" s="957" t="s">
        <v>329</v>
      </c>
      <c r="B786" s="958"/>
      <c r="C786" s="958"/>
      <c r="D786" s="945" t="str">
        <f>'Акт отбора проб Почва'!F65</f>
        <v>СК4</v>
      </c>
      <c r="E786" s="945"/>
      <c r="F786" s="945"/>
      <c r="G786" s="959" t="s">
        <v>330</v>
      </c>
      <c r="H786" s="959"/>
      <c r="I786" s="959"/>
      <c r="J786" s="438" t="str">
        <f>'Акт отбора проб Почва'!B65</f>
        <v>4,0-5,0</v>
      </c>
      <c r="K786" s="126">
        <f>$H$2</f>
        <v>45739</v>
      </c>
    </row>
    <row r="787" spans="1:11" ht="10.5" customHeight="1" x14ac:dyDescent="0.2">
      <c r="A787" s="120"/>
      <c r="B787" s="127"/>
      <c r="C787" s="124"/>
      <c r="D787" s="128"/>
      <c r="E787" s="128"/>
      <c r="F787" s="128"/>
      <c r="G787" s="125"/>
      <c r="H787" s="125"/>
      <c r="I787" s="125"/>
      <c r="J787" s="442"/>
      <c r="K787" s="122" t="s">
        <v>331</v>
      </c>
    </row>
    <row r="788" spans="1:11" ht="10.5" customHeight="1" x14ac:dyDescent="0.2">
      <c r="A788" s="120" t="s">
        <v>331</v>
      </c>
      <c r="B788" s="129" t="str">
        <f>'Акт отбора проб Почва'!C65</f>
        <v>04АХ.07</v>
      </c>
      <c r="C788" s="124"/>
      <c r="D788" s="128"/>
      <c r="E788" s="128"/>
      <c r="F788" s="128"/>
      <c r="G788" s="125"/>
      <c r="H788" s="125"/>
      <c r="I788" s="125"/>
      <c r="J788" s="442"/>
      <c r="K788" s="122" t="str">
        <f>B788</f>
        <v>04АХ.07</v>
      </c>
    </row>
    <row r="789" spans="1:11" ht="10.5" customHeight="1" x14ac:dyDescent="0.2">
      <c r="A789" s="120"/>
      <c r="B789" s="127"/>
      <c r="C789" s="124"/>
      <c r="D789" s="124"/>
      <c r="E789" s="124"/>
      <c r="F789" s="124"/>
      <c r="G789" s="124"/>
      <c r="H789" s="124"/>
      <c r="I789" s="124"/>
      <c r="J789" s="441"/>
      <c r="K789" s="122" t="s">
        <v>332</v>
      </c>
    </row>
    <row r="790" spans="1:11" ht="10.5" customHeight="1" x14ac:dyDescent="0.2">
      <c r="A790" s="957" t="s">
        <v>681</v>
      </c>
      <c r="B790" s="958"/>
      <c r="C790" s="951"/>
      <c r="D790" s="951"/>
      <c r="E790" s="951"/>
      <c r="F790" s="951"/>
      <c r="G790" s="951"/>
      <c r="H790" s="951"/>
      <c r="I790" s="951"/>
      <c r="J790" s="144"/>
      <c r="K790" s="122" t="str">
        <f>J786</f>
        <v>4,0-5,0</v>
      </c>
    </row>
    <row r="791" spans="1:11" ht="10.5" customHeight="1" x14ac:dyDescent="0.2">
      <c r="A791" s="120" t="s">
        <v>333</v>
      </c>
      <c r="B791" s="127"/>
      <c r="C791" s="124"/>
      <c r="D791" s="124"/>
      <c r="E791" s="124"/>
      <c r="F791" s="124"/>
      <c r="G791" s="124"/>
      <c r="H791" s="124"/>
      <c r="I791" s="124"/>
      <c r="J791" s="441"/>
      <c r="K791" s="122" t="s">
        <v>334</v>
      </c>
    </row>
    <row r="792" spans="1:11" ht="10.5" customHeight="1" x14ac:dyDescent="0.2">
      <c r="A792" s="120" t="s">
        <v>335</v>
      </c>
      <c r="B792" s="133"/>
      <c r="C792" s="134"/>
      <c r="D792" s="134"/>
      <c r="E792" s="134"/>
      <c r="F792" s="134"/>
      <c r="G792" s="134"/>
      <c r="H792" s="124"/>
      <c r="I792" s="124"/>
      <c r="J792" s="441"/>
      <c r="K792" s="122"/>
    </row>
    <row r="793" spans="1:11" ht="10.5" customHeight="1" thickBot="1" x14ac:dyDescent="0.25">
      <c r="A793" s="145"/>
      <c r="B793" s="146"/>
      <c r="C793" s="147" t="s">
        <v>336</v>
      </c>
      <c r="D793" s="147"/>
      <c r="E793" s="147"/>
      <c r="F793" s="147"/>
      <c r="G793" s="147"/>
      <c r="H793" s="147"/>
      <c r="I793" s="147"/>
      <c r="J793" s="394"/>
      <c r="K793" s="139"/>
    </row>
    <row r="794" spans="1:11" ht="10.5" customHeight="1" x14ac:dyDescent="0.2">
      <c r="A794" s="141"/>
      <c r="B794" s="142"/>
      <c r="C794" s="143"/>
      <c r="D794" s="143"/>
      <c r="E794" s="143"/>
      <c r="F794" s="143"/>
      <c r="G794" s="143"/>
      <c r="H794" s="143"/>
      <c r="I794" s="143"/>
      <c r="J794" s="440"/>
      <c r="K794" s="118"/>
    </row>
    <row r="795" spans="1:11" ht="10.5" customHeight="1" x14ac:dyDescent="0.2">
      <c r="A795" s="120" t="s">
        <v>325</v>
      </c>
      <c r="B795" s="952" t="e">
        <f>$B$2</f>
        <v>#REF!</v>
      </c>
      <c r="C795" s="952"/>
      <c r="D795" s="934" t="s">
        <v>326</v>
      </c>
      <c r="E795" s="934"/>
      <c r="F795" s="934"/>
      <c r="G795" s="934"/>
      <c r="H795" s="953">
        <f>$H$2</f>
        <v>45739</v>
      </c>
      <c r="I795" s="954"/>
      <c r="J795" s="441"/>
      <c r="K795" s="122" t="s">
        <v>327</v>
      </c>
    </row>
    <row r="796" spans="1:11" ht="10.5" customHeight="1" x14ac:dyDescent="0.2">
      <c r="A796" s="120"/>
      <c r="B796" s="127"/>
      <c r="C796" s="124"/>
      <c r="D796" s="124"/>
      <c r="E796" s="124"/>
      <c r="F796" s="124"/>
      <c r="G796" s="124"/>
      <c r="H796" s="124"/>
      <c r="I796" s="124"/>
      <c r="J796" s="441"/>
      <c r="K796" s="122" t="e">
        <f>$B$2</f>
        <v>#REF!</v>
      </c>
    </row>
    <row r="797" spans="1:11" ht="10.5" customHeight="1" x14ac:dyDescent="0.2">
      <c r="A797" s="120" t="s">
        <v>0</v>
      </c>
      <c r="B797" s="960" t="str">
        <f>$B$4</f>
        <v>адрес вбить сюда</v>
      </c>
      <c r="C797" s="960"/>
      <c r="D797" s="960"/>
      <c r="E797" s="960"/>
      <c r="F797" s="960"/>
      <c r="G797" s="960"/>
      <c r="H797" s="960"/>
      <c r="I797" s="960"/>
      <c r="J797" s="961"/>
      <c r="K797" s="122"/>
    </row>
    <row r="798" spans="1:11" ht="10.5" customHeight="1" x14ac:dyDescent="0.2">
      <c r="A798" s="120"/>
      <c r="B798" s="960"/>
      <c r="C798" s="960"/>
      <c r="D798" s="960"/>
      <c r="E798" s="960"/>
      <c r="F798" s="960"/>
      <c r="G798" s="960"/>
      <c r="H798" s="960"/>
      <c r="I798" s="960"/>
      <c r="J798" s="961"/>
      <c r="K798" s="122" t="s">
        <v>328</v>
      </c>
    </row>
    <row r="799" spans="1:11" ht="10.5" customHeight="1" x14ac:dyDescent="0.2">
      <c r="A799" s="957" t="s">
        <v>329</v>
      </c>
      <c r="B799" s="958"/>
      <c r="C799" s="958"/>
      <c r="D799" s="945" t="str">
        <f>'Акт отбора проб Почва'!F66</f>
        <v>СК5</v>
      </c>
      <c r="E799" s="945"/>
      <c r="F799" s="945"/>
      <c r="G799" s="959" t="s">
        <v>330</v>
      </c>
      <c r="H799" s="959"/>
      <c r="I799" s="959"/>
      <c r="J799" s="438" t="str">
        <f>'Акт отбора проб Почва'!B66</f>
        <v>4,0-5,0</v>
      </c>
      <c r="K799" s="126">
        <f>$H$2</f>
        <v>45739</v>
      </c>
    </row>
    <row r="800" spans="1:11" ht="10.5" customHeight="1" x14ac:dyDescent="0.2">
      <c r="A800" s="120"/>
      <c r="B800" s="127"/>
      <c r="C800" s="124"/>
      <c r="D800" s="128"/>
      <c r="E800" s="128"/>
      <c r="F800" s="128"/>
      <c r="G800" s="125"/>
      <c r="H800" s="125"/>
      <c r="I800" s="125"/>
      <c r="J800" s="442"/>
      <c r="K800" s="122" t="s">
        <v>331</v>
      </c>
    </row>
    <row r="801" spans="1:11" ht="10.5" customHeight="1" x14ac:dyDescent="0.2">
      <c r="A801" s="120" t="s">
        <v>331</v>
      </c>
      <c r="B801" s="129" t="str">
        <f>'Акт отбора проб Почва'!C66</f>
        <v>05АХ.07</v>
      </c>
      <c r="C801" s="124"/>
      <c r="D801" s="128"/>
      <c r="E801" s="128"/>
      <c r="F801" s="128"/>
      <c r="G801" s="125"/>
      <c r="H801" s="125"/>
      <c r="I801" s="125"/>
      <c r="J801" s="442"/>
      <c r="K801" s="122" t="str">
        <f>B801</f>
        <v>05АХ.07</v>
      </c>
    </row>
    <row r="802" spans="1:11" ht="10.5" customHeight="1" x14ac:dyDescent="0.2">
      <c r="A802" s="120"/>
      <c r="B802" s="127"/>
      <c r="C802" s="124"/>
      <c r="D802" s="124"/>
      <c r="E802" s="124"/>
      <c r="F802" s="124"/>
      <c r="G802" s="124"/>
      <c r="H802" s="124"/>
      <c r="I802" s="124"/>
      <c r="J802" s="441"/>
      <c r="K802" s="122" t="s">
        <v>332</v>
      </c>
    </row>
    <row r="803" spans="1:11" ht="10.5" customHeight="1" x14ac:dyDescent="0.2">
      <c r="A803" s="957" t="s">
        <v>681</v>
      </c>
      <c r="B803" s="958"/>
      <c r="C803" s="951"/>
      <c r="D803" s="951"/>
      <c r="E803" s="951"/>
      <c r="F803" s="951"/>
      <c r="G803" s="951"/>
      <c r="H803" s="951"/>
      <c r="I803" s="951"/>
      <c r="J803" s="144"/>
      <c r="K803" s="122" t="str">
        <f>J799</f>
        <v>4,0-5,0</v>
      </c>
    </row>
    <row r="804" spans="1:11" ht="10.5" customHeight="1" x14ac:dyDescent="0.2">
      <c r="A804" s="120" t="s">
        <v>333</v>
      </c>
      <c r="B804" s="127"/>
      <c r="C804" s="124"/>
      <c r="D804" s="124"/>
      <c r="E804" s="124"/>
      <c r="F804" s="124"/>
      <c r="G804" s="124"/>
      <c r="H804" s="124"/>
      <c r="I804" s="124"/>
      <c r="J804" s="441"/>
      <c r="K804" s="122" t="s">
        <v>334</v>
      </c>
    </row>
    <row r="805" spans="1:11" ht="10.5" customHeight="1" x14ac:dyDescent="0.2">
      <c r="A805" s="120" t="s">
        <v>335</v>
      </c>
      <c r="B805" s="133"/>
      <c r="C805" s="134"/>
      <c r="D805" s="134"/>
      <c r="E805" s="134"/>
      <c r="F805" s="134"/>
      <c r="G805" s="134"/>
      <c r="H805" s="124"/>
      <c r="I805" s="124"/>
      <c r="J805" s="441"/>
      <c r="K805" s="122"/>
    </row>
    <row r="806" spans="1:11" ht="10.5" customHeight="1" thickBot="1" x14ac:dyDescent="0.25">
      <c r="A806" s="145"/>
      <c r="B806" s="146"/>
      <c r="C806" s="147" t="s">
        <v>336</v>
      </c>
      <c r="D806" s="147"/>
      <c r="E806" s="147"/>
      <c r="F806" s="147"/>
      <c r="G806" s="147"/>
      <c r="H806" s="147"/>
      <c r="I806" s="147"/>
      <c r="J806" s="394"/>
      <c r="K806" s="139"/>
    </row>
    <row r="807" spans="1:11" ht="10.5" customHeight="1" x14ac:dyDescent="0.2">
      <c r="A807" s="141"/>
      <c r="B807" s="142"/>
      <c r="C807" s="143"/>
      <c r="D807" s="143"/>
      <c r="E807" s="143"/>
      <c r="F807" s="143"/>
      <c r="G807" s="143"/>
      <c r="H807" s="143"/>
      <c r="I807" s="143"/>
      <c r="J807" s="440"/>
      <c r="K807" s="118"/>
    </row>
    <row r="808" spans="1:11" ht="10.5" customHeight="1" x14ac:dyDescent="0.2">
      <c r="A808" s="120" t="s">
        <v>325</v>
      </c>
      <c r="B808" s="952" t="e">
        <f>$B$2</f>
        <v>#REF!</v>
      </c>
      <c r="C808" s="952"/>
      <c r="D808" s="934" t="s">
        <v>326</v>
      </c>
      <c r="E808" s="934"/>
      <c r="F808" s="934"/>
      <c r="G808" s="934"/>
      <c r="H808" s="953">
        <f>$H$2</f>
        <v>45739</v>
      </c>
      <c r="I808" s="954"/>
      <c r="J808" s="441"/>
      <c r="K808" s="122" t="s">
        <v>327</v>
      </c>
    </row>
    <row r="809" spans="1:11" ht="10.5" customHeight="1" x14ac:dyDescent="0.2">
      <c r="A809" s="120"/>
      <c r="B809" s="127"/>
      <c r="C809" s="124"/>
      <c r="D809" s="124"/>
      <c r="E809" s="124"/>
      <c r="F809" s="124"/>
      <c r="G809" s="124"/>
      <c r="H809" s="124"/>
      <c r="I809" s="124"/>
      <c r="J809" s="441"/>
      <c r="K809" s="122" t="e">
        <f>$B$2</f>
        <v>#REF!</v>
      </c>
    </row>
    <row r="810" spans="1:11" ht="10.5" customHeight="1" x14ac:dyDescent="0.2">
      <c r="A810" s="120" t="s">
        <v>0</v>
      </c>
      <c r="B810" s="960" t="str">
        <f>$B$4</f>
        <v>адрес вбить сюда</v>
      </c>
      <c r="C810" s="960"/>
      <c r="D810" s="960"/>
      <c r="E810" s="960"/>
      <c r="F810" s="960"/>
      <c r="G810" s="960"/>
      <c r="H810" s="960"/>
      <c r="I810" s="960"/>
      <c r="J810" s="961"/>
      <c r="K810" s="122"/>
    </row>
    <row r="811" spans="1:11" ht="10.5" customHeight="1" x14ac:dyDescent="0.2">
      <c r="A811" s="120"/>
      <c r="B811" s="960"/>
      <c r="C811" s="960"/>
      <c r="D811" s="960"/>
      <c r="E811" s="960"/>
      <c r="F811" s="960"/>
      <c r="G811" s="960"/>
      <c r="H811" s="960"/>
      <c r="I811" s="960"/>
      <c r="J811" s="961"/>
      <c r="K811" s="122" t="s">
        <v>328</v>
      </c>
    </row>
    <row r="812" spans="1:11" ht="10.5" customHeight="1" x14ac:dyDescent="0.2">
      <c r="A812" s="957" t="s">
        <v>329</v>
      </c>
      <c r="B812" s="958"/>
      <c r="C812" s="958"/>
      <c r="D812" s="945" t="str">
        <f>'Акт отбора проб Почва'!F67</f>
        <v>СК6</v>
      </c>
      <c r="E812" s="945"/>
      <c r="F812" s="945"/>
      <c r="G812" s="959" t="s">
        <v>330</v>
      </c>
      <c r="H812" s="959"/>
      <c r="I812" s="959"/>
      <c r="J812" s="438" t="str">
        <f>'Акт отбора проб Почва'!B67</f>
        <v>4,0-5,0</v>
      </c>
      <c r="K812" s="126">
        <f>$H$2</f>
        <v>45739</v>
      </c>
    </row>
    <row r="813" spans="1:11" ht="10.5" customHeight="1" x14ac:dyDescent="0.2">
      <c r="A813" s="120"/>
      <c r="B813" s="127"/>
      <c r="C813" s="124"/>
      <c r="D813" s="128"/>
      <c r="E813" s="128"/>
      <c r="F813" s="128"/>
      <c r="G813" s="125"/>
      <c r="H813" s="125"/>
      <c r="I813" s="125"/>
      <c r="J813" s="442"/>
      <c r="K813" s="122" t="s">
        <v>331</v>
      </c>
    </row>
    <row r="814" spans="1:11" ht="10.5" customHeight="1" x14ac:dyDescent="0.2">
      <c r="A814" s="120" t="s">
        <v>331</v>
      </c>
      <c r="B814" s="129" t="str">
        <f>'Акт отбора проб Почва'!C67</f>
        <v>06АХ.07</v>
      </c>
      <c r="C814" s="124"/>
      <c r="D814" s="128"/>
      <c r="E814" s="128"/>
      <c r="F814" s="128"/>
      <c r="G814" s="125"/>
      <c r="H814" s="125"/>
      <c r="I814" s="125"/>
      <c r="J814" s="442"/>
      <c r="K814" s="122" t="str">
        <f>B814</f>
        <v>06АХ.07</v>
      </c>
    </row>
    <row r="815" spans="1:11" ht="10.5" customHeight="1" x14ac:dyDescent="0.2">
      <c r="A815" s="120"/>
      <c r="B815" s="127"/>
      <c r="C815" s="124"/>
      <c r="D815" s="124"/>
      <c r="E815" s="124"/>
      <c r="F815" s="124"/>
      <c r="G815" s="124"/>
      <c r="H815" s="124"/>
      <c r="I815" s="124"/>
      <c r="J815" s="441"/>
      <c r="K815" s="122" t="s">
        <v>332</v>
      </c>
    </row>
    <row r="816" spans="1:11" ht="10.5" customHeight="1" x14ac:dyDescent="0.2">
      <c r="A816" s="957" t="s">
        <v>681</v>
      </c>
      <c r="B816" s="958"/>
      <c r="C816" s="951"/>
      <c r="D816" s="951"/>
      <c r="E816" s="951"/>
      <c r="F816" s="951"/>
      <c r="G816" s="951"/>
      <c r="H816" s="951"/>
      <c r="I816" s="951"/>
      <c r="J816" s="144"/>
      <c r="K816" s="122" t="str">
        <f>J812</f>
        <v>4,0-5,0</v>
      </c>
    </row>
    <row r="817" spans="1:11" ht="10.5" customHeight="1" x14ac:dyDescent="0.2">
      <c r="A817" s="120" t="s">
        <v>333</v>
      </c>
      <c r="B817" s="127"/>
      <c r="C817" s="124"/>
      <c r="D817" s="124"/>
      <c r="E817" s="124"/>
      <c r="F817" s="124"/>
      <c r="G817" s="124"/>
      <c r="H817" s="124"/>
      <c r="I817" s="124"/>
      <c r="J817" s="441"/>
      <c r="K817" s="122" t="s">
        <v>334</v>
      </c>
    </row>
    <row r="818" spans="1:11" ht="10.5" customHeight="1" x14ac:dyDescent="0.2">
      <c r="A818" s="120" t="s">
        <v>335</v>
      </c>
      <c r="B818" s="133"/>
      <c r="C818" s="134"/>
      <c r="D818" s="134"/>
      <c r="E818" s="134"/>
      <c r="F818" s="134"/>
      <c r="G818" s="134"/>
      <c r="H818" s="124"/>
      <c r="I818" s="124"/>
      <c r="J818" s="441"/>
      <c r="K818" s="122"/>
    </row>
    <row r="819" spans="1:11" ht="10.5" customHeight="1" thickBot="1" x14ac:dyDescent="0.25">
      <c r="A819" s="145"/>
      <c r="B819" s="146"/>
      <c r="C819" s="147" t="s">
        <v>336</v>
      </c>
      <c r="D819" s="147"/>
      <c r="E819" s="147"/>
      <c r="F819" s="147"/>
      <c r="G819" s="147"/>
      <c r="H819" s="147"/>
      <c r="I819" s="147"/>
      <c r="J819" s="394"/>
      <c r="K819" s="139"/>
    </row>
    <row r="820" spans="1:11" ht="10.5" customHeight="1" x14ac:dyDescent="0.2">
      <c r="A820" s="141"/>
      <c r="B820" s="142"/>
      <c r="C820" s="143"/>
      <c r="D820" s="143"/>
      <c r="E820" s="143"/>
      <c r="F820" s="143"/>
      <c r="G820" s="143"/>
      <c r="H820" s="143"/>
      <c r="I820" s="143"/>
      <c r="J820" s="440"/>
      <c r="K820" s="118"/>
    </row>
    <row r="821" spans="1:11" ht="10.5" customHeight="1" x14ac:dyDescent="0.2">
      <c r="A821" s="120" t="s">
        <v>325</v>
      </c>
      <c r="B821" s="952" t="e">
        <f>$B$2</f>
        <v>#REF!</v>
      </c>
      <c r="C821" s="952"/>
      <c r="D821" s="934" t="s">
        <v>326</v>
      </c>
      <c r="E821" s="934"/>
      <c r="F821" s="934"/>
      <c r="G821" s="934"/>
      <c r="H821" s="953">
        <f>$H$2</f>
        <v>45739</v>
      </c>
      <c r="I821" s="954"/>
      <c r="J821" s="441"/>
      <c r="K821" s="122" t="s">
        <v>327</v>
      </c>
    </row>
    <row r="822" spans="1:11" ht="10.5" customHeight="1" x14ac:dyDescent="0.2">
      <c r="A822" s="120"/>
      <c r="B822" s="127"/>
      <c r="C822" s="124"/>
      <c r="D822" s="124"/>
      <c r="E822" s="124"/>
      <c r="F822" s="124"/>
      <c r="G822" s="124"/>
      <c r="H822" s="124"/>
      <c r="I822" s="124"/>
      <c r="J822" s="441"/>
      <c r="K822" s="122" t="e">
        <f>$B$2</f>
        <v>#REF!</v>
      </c>
    </row>
    <row r="823" spans="1:11" ht="10.5" customHeight="1" x14ac:dyDescent="0.2">
      <c r="A823" s="120" t="s">
        <v>0</v>
      </c>
      <c r="B823" s="960" t="str">
        <f>$B$4</f>
        <v>адрес вбить сюда</v>
      </c>
      <c r="C823" s="960"/>
      <c r="D823" s="960"/>
      <c r="E823" s="960"/>
      <c r="F823" s="960"/>
      <c r="G823" s="960"/>
      <c r="H823" s="960"/>
      <c r="I823" s="960"/>
      <c r="J823" s="961"/>
      <c r="K823" s="122"/>
    </row>
    <row r="824" spans="1:11" ht="10.5" customHeight="1" x14ac:dyDescent="0.2">
      <c r="A824" s="120"/>
      <c r="B824" s="960"/>
      <c r="C824" s="960"/>
      <c r="D824" s="960"/>
      <c r="E824" s="960"/>
      <c r="F824" s="960"/>
      <c r="G824" s="960"/>
      <c r="H824" s="960"/>
      <c r="I824" s="960"/>
      <c r="J824" s="961"/>
      <c r="K824" s="122" t="s">
        <v>328</v>
      </c>
    </row>
    <row r="825" spans="1:11" ht="10.5" customHeight="1" x14ac:dyDescent="0.2">
      <c r="A825" s="957" t="s">
        <v>329</v>
      </c>
      <c r="B825" s="958"/>
      <c r="C825" s="958"/>
      <c r="D825" s="945" t="str">
        <f>'Акт отбора проб Почва'!F68</f>
        <v>СК1</v>
      </c>
      <c r="E825" s="945"/>
      <c r="F825" s="945"/>
      <c r="G825" s="959" t="s">
        <v>330</v>
      </c>
      <c r="H825" s="959"/>
      <c r="I825" s="959"/>
      <c r="J825" s="438" t="str">
        <f>'Акт отбора проб Почва'!B68</f>
        <v>5,0-7,0</v>
      </c>
      <c r="K825" s="126">
        <f>$H$2</f>
        <v>45739</v>
      </c>
    </row>
    <row r="826" spans="1:11" ht="10.5" customHeight="1" x14ac:dyDescent="0.2">
      <c r="A826" s="120"/>
      <c r="B826" s="127"/>
      <c r="C826" s="124"/>
      <c r="D826" s="128"/>
      <c r="E826" s="128"/>
      <c r="F826" s="128"/>
      <c r="G826" s="125"/>
      <c r="H826" s="125"/>
      <c r="I826" s="125"/>
      <c r="J826" s="442"/>
      <c r="K826" s="122" t="s">
        <v>331</v>
      </c>
    </row>
    <row r="827" spans="1:11" ht="10.5" customHeight="1" x14ac:dyDescent="0.2">
      <c r="A827" s="120" t="s">
        <v>331</v>
      </c>
      <c r="B827" s="129" t="str">
        <f>'Акт отбора проб Почва'!C68</f>
        <v>01АХ.08</v>
      </c>
      <c r="C827" s="124"/>
      <c r="D827" s="128"/>
      <c r="E827" s="128"/>
      <c r="F827" s="128"/>
      <c r="G827" s="125"/>
      <c r="H827" s="125"/>
      <c r="I827" s="125"/>
      <c r="J827" s="442"/>
      <c r="K827" s="122" t="str">
        <f>B827</f>
        <v>01АХ.08</v>
      </c>
    </row>
    <row r="828" spans="1:11" ht="10.5" customHeight="1" x14ac:dyDescent="0.2">
      <c r="A828" s="120"/>
      <c r="B828" s="127"/>
      <c r="C828" s="124"/>
      <c r="D828" s="124"/>
      <c r="E828" s="124"/>
      <c r="F828" s="124"/>
      <c r="G828" s="124"/>
      <c r="H828" s="124"/>
      <c r="I828" s="124"/>
      <c r="J828" s="441"/>
      <c r="K828" s="122" t="s">
        <v>332</v>
      </c>
    </row>
    <row r="829" spans="1:11" ht="10.5" customHeight="1" x14ac:dyDescent="0.2">
      <c r="A829" s="957" t="s">
        <v>681</v>
      </c>
      <c r="B829" s="958"/>
      <c r="C829" s="951"/>
      <c r="D829" s="951"/>
      <c r="E829" s="951"/>
      <c r="F829" s="951"/>
      <c r="G829" s="951"/>
      <c r="H829" s="951"/>
      <c r="I829" s="951"/>
      <c r="J829" s="144"/>
      <c r="K829" s="122" t="str">
        <f>J825</f>
        <v>5,0-7,0</v>
      </c>
    </row>
    <row r="830" spans="1:11" ht="10.5" customHeight="1" x14ac:dyDescent="0.2">
      <c r="A830" s="120" t="s">
        <v>333</v>
      </c>
      <c r="B830" s="127"/>
      <c r="C830" s="124"/>
      <c r="D830" s="124"/>
      <c r="E830" s="124"/>
      <c r="F830" s="124"/>
      <c r="G830" s="124"/>
      <c r="H830" s="124"/>
      <c r="I830" s="124"/>
      <c r="J830" s="441"/>
      <c r="K830" s="122" t="s">
        <v>334</v>
      </c>
    </row>
    <row r="831" spans="1:11" ht="10.5" customHeight="1" x14ac:dyDescent="0.2">
      <c r="A831" s="120" t="s">
        <v>335</v>
      </c>
      <c r="B831" s="133"/>
      <c r="C831" s="134"/>
      <c r="D831" s="134"/>
      <c r="E831" s="134"/>
      <c r="F831" s="134"/>
      <c r="G831" s="134"/>
      <c r="H831" s="124"/>
      <c r="I831" s="124"/>
      <c r="J831" s="441"/>
      <c r="K831" s="122"/>
    </row>
    <row r="832" spans="1:11" ht="10.5" customHeight="1" thickBot="1" x14ac:dyDescent="0.25">
      <c r="A832" s="145"/>
      <c r="B832" s="146"/>
      <c r="C832" s="147" t="s">
        <v>336</v>
      </c>
      <c r="D832" s="147"/>
      <c r="E832" s="147"/>
      <c r="F832" s="147"/>
      <c r="G832" s="147"/>
      <c r="H832" s="147"/>
      <c r="I832" s="147"/>
      <c r="J832" s="394"/>
      <c r="K832" s="139"/>
    </row>
    <row r="833" spans="1:11" ht="10.5" customHeight="1" x14ac:dyDescent="0.2">
      <c r="A833" s="141"/>
      <c r="B833" s="142"/>
      <c r="C833" s="143"/>
      <c r="D833" s="143"/>
      <c r="E833" s="143"/>
      <c r="F833" s="143"/>
      <c r="G833" s="143"/>
      <c r="H833" s="143"/>
      <c r="I833" s="143"/>
      <c r="J833" s="440"/>
      <c r="K833" s="118"/>
    </row>
    <row r="834" spans="1:11" ht="10.5" customHeight="1" x14ac:dyDescent="0.2">
      <c r="A834" s="120" t="s">
        <v>325</v>
      </c>
      <c r="B834" s="952" t="e">
        <f>$B$2</f>
        <v>#REF!</v>
      </c>
      <c r="C834" s="952"/>
      <c r="D834" s="934" t="s">
        <v>326</v>
      </c>
      <c r="E834" s="934"/>
      <c r="F834" s="934"/>
      <c r="G834" s="934"/>
      <c r="H834" s="953">
        <f>$H$2</f>
        <v>45739</v>
      </c>
      <c r="I834" s="954"/>
      <c r="J834" s="441"/>
      <c r="K834" s="122" t="s">
        <v>327</v>
      </c>
    </row>
    <row r="835" spans="1:11" ht="10.5" customHeight="1" x14ac:dyDescent="0.2">
      <c r="A835" s="120"/>
      <c r="B835" s="127"/>
      <c r="C835" s="124"/>
      <c r="D835" s="124"/>
      <c r="E835" s="124"/>
      <c r="F835" s="124"/>
      <c r="G835" s="124"/>
      <c r="H835" s="124"/>
      <c r="I835" s="124"/>
      <c r="J835" s="441"/>
      <c r="K835" s="122" t="e">
        <f>$B$2</f>
        <v>#REF!</v>
      </c>
    </row>
    <row r="836" spans="1:11" ht="10.5" customHeight="1" x14ac:dyDescent="0.2">
      <c r="A836" s="120" t="s">
        <v>0</v>
      </c>
      <c r="B836" s="960" t="str">
        <f>$B$4</f>
        <v>адрес вбить сюда</v>
      </c>
      <c r="C836" s="960"/>
      <c r="D836" s="960"/>
      <c r="E836" s="960"/>
      <c r="F836" s="960"/>
      <c r="G836" s="960"/>
      <c r="H836" s="960"/>
      <c r="I836" s="960"/>
      <c r="J836" s="961"/>
      <c r="K836" s="122"/>
    </row>
    <row r="837" spans="1:11" ht="10.5" customHeight="1" x14ac:dyDescent="0.2">
      <c r="A837" s="120"/>
      <c r="B837" s="960"/>
      <c r="C837" s="960"/>
      <c r="D837" s="960"/>
      <c r="E837" s="960"/>
      <c r="F837" s="960"/>
      <c r="G837" s="960"/>
      <c r="H837" s="960"/>
      <c r="I837" s="960"/>
      <c r="J837" s="961"/>
      <c r="K837" s="122" t="s">
        <v>328</v>
      </c>
    </row>
    <row r="838" spans="1:11" ht="10.5" customHeight="1" x14ac:dyDescent="0.2">
      <c r="A838" s="957" t="s">
        <v>329</v>
      </c>
      <c r="B838" s="958"/>
      <c r="C838" s="958"/>
      <c r="D838" s="945" t="str">
        <f>'Акт отбора проб Почва'!F69</f>
        <v>СК2</v>
      </c>
      <c r="E838" s="945"/>
      <c r="F838" s="945"/>
      <c r="G838" s="959" t="s">
        <v>330</v>
      </c>
      <c r="H838" s="959"/>
      <c r="I838" s="959"/>
      <c r="J838" s="438" t="str">
        <f>'Акт отбора проб Почва'!B69</f>
        <v>5,0-7,0</v>
      </c>
      <c r="K838" s="126">
        <f>$H$2</f>
        <v>45739</v>
      </c>
    </row>
    <row r="839" spans="1:11" ht="10.5" customHeight="1" x14ac:dyDescent="0.2">
      <c r="A839" s="120"/>
      <c r="B839" s="127"/>
      <c r="C839" s="124"/>
      <c r="D839" s="128"/>
      <c r="E839" s="128"/>
      <c r="F839" s="128"/>
      <c r="G839" s="125"/>
      <c r="H839" s="125"/>
      <c r="I839" s="125"/>
      <c r="J839" s="442"/>
      <c r="K839" s="122" t="s">
        <v>331</v>
      </c>
    </row>
    <row r="840" spans="1:11" ht="10.5" customHeight="1" x14ac:dyDescent="0.2">
      <c r="A840" s="120" t="s">
        <v>331</v>
      </c>
      <c r="B840" s="129" t="str">
        <f>'Акт отбора проб Почва'!C69</f>
        <v>02АХ.08</v>
      </c>
      <c r="C840" s="124"/>
      <c r="D840" s="128"/>
      <c r="E840" s="128"/>
      <c r="F840" s="128"/>
      <c r="G840" s="125"/>
      <c r="H840" s="125"/>
      <c r="I840" s="125"/>
      <c r="J840" s="442"/>
      <c r="K840" s="122" t="str">
        <f>B840</f>
        <v>02АХ.08</v>
      </c>
    </row>
    <row r="841" spans="1:11" ht="10.5" customHeight="1" x14ac:dyDescent="0.2">
      <c r="A841" s="120"/>
      <c r="B841" s="127"/>
      <c r="C841" s="124"/>
      <c r="D841" s="124"/>
      <c r="E841" s="124"/>
      <c r="F841" s="124"/>
      <c r="G841" s="124"/>
      <c r="H841" s="124"/>
      <c r="I841" s="124"/>
      <c r="J841" s="441"/>
      <c r="K841" s="122" t="s">
        <v>332</v>
      </c>
    </row>
    <row r="842" spans="1:11" ht="10.5" customHeight="1" x14ac:dyDescent="0.2">
      <c r="A842" s="957" t="s">
        <v>681</v>
      </c>
      <c r="B842" s="958"/>
      <c r="C842" s="951"/>
      <c r="D842" s="951"/>
      <c r="E842" s="951"/>
      <c r="F842" s="951"/>
      <c r="G842" s="951"/>
      <c r="H842" s="951"/>
      <c r="I842" s="951"/>
      <c r="J842" s="144"/>
      <c r="K842" s="122" t="str">
        <f>J838</f>
        <v>5,0-7,0</v>
      </c>
    </row>
    <row r="843" spans="1:11" ht="10.5" customHeight="1" x14ac:dyDescent="0.2">
      <c r="A843" s="120" t="s">
        <v>333</v>
      </c>
      <c r="B843" s="127"/>
      <c r="C843" s="124"/>
      <c r="D843" s="124"/>
      <c r="E843" s="124"/>
      <c r="F843" s="124"/>
      <c r="G843" s="124"/>
      <c r="H843" s="124"/>
      <c r="I843" s="124"/>
      <c r="J843" s="441"/>
      <c r="K843" s="122" t="s">
        <v>334</v>
      </c>
    </row>
    <row r="844" spans="1:11" ht="10.5" customHeight="1" x14ac:dyDescent="0.2">
      <c r="A844" s="120" t="s">
        <v>335</v>
      </c>
      <c r="B844" s="133"/>
      <c r="C844" s="134"/>
      <c r="D844" s="134"/>
      <c r="E844" s="134"/>
      <c r="F844" s="134"/>
      <c r="G844" s="134"/>
      <c r="H844" s="124"/>
      <c r="I844" s="124"/>
      <c r="J844" s="441"/>
      <c r="K844" s="122"/>
    </row>
    <row r="845" spans="1:11" ht="10.5" customHeight="1" thickBot="1" x14ac:dyDescent="0.25">
      <c r="A845" s="145"/>
      <c r="B845" s="146"/>
      <c r="C845" s="147" t="s">
        <v>336</v>
      </c>
      <c r="D845" s="147"/>
      <c r="E845" s="147"/>
      <c r="F845" s="147"/>
      <c r="G845" s="147"/>
      <c r="H845" s="147"/>
      <c r="I845" s="147"/>
      <c r="J845" s="394"/>
      <c r="K845" s="139"/>
    </row>
    <row r="846" spans="1:11" ht="10.5" customHeight="1" x14ac:dyDescent="0.2">
      <c r="A846" s="141"/>
      <c r="B846" s="142"/>
      <c r="C846" s="143"/>
      <c r="D846" s="143"/>
      <c r="E846" s="143"/>
      <c r="F846" s="143"/>
      <c r="G846" s="143"/>
      <c r="H846" s="143"/>
      <c r="I846" s="143"/>
      <c r="J846" s="440"/>
      <c r="K846" s="118"/>
    </row>
    <row r="847" spans="1:11" ht="10.5" customHeight="1" x14ac:dyDescent="0.2">
      <c r="A847" s="120" t="s">
        <v>325</v>
      </c>
      <c r="B847" s="952" t="e">
        <f>$B$2</f>
        <v>#REF!</v>
      </c>
      <c r="C847" s="952"/>
      <c r="D847" s="934" t="s">
        <v>326</v>
      </c>
      <c r="E847" s="934"/>
      <c r="F847" s="934"/>
      <c r="G847" s="934"/>
      <c r="H847" s="953">
        <f>$H$2</f>
        <v>45739</v>
      </c>
      <c r="I847" s="954"/>
      <c r="J847" s="441"/>
      <c r="K847" s="122" t="s">
        <v>327</v>
      </c>
    </row>
    <row r="848" spans="1:11" ht="10.5" customHeight="1" x14ac:dyDescent="0.2">
      <c r="A848" s="120"/>
      <c r="B848" s="127"/>
      <c r="C848" s="124"/>
      <c r="D848" s="124"/>
      <c r="E848" s="124"/>
      <c r="F848" s="124"/>
      <c r="G848" s="124"/>
      <c r="H848" s="124"/>
      <c r="I848" s="124"/>
      <c r="J848" s="441"/>
      <c r="K848" s="122" t="e">
        <f>$B$2</f>
        <v>#REF!</v>
      </c>
    </row>
    <row r="849" spans="1:11" ht="10.5" customHeight="1" x14ac:dyDescent="0.2">
      <c r="A849" s="120" t="s">
        <v>0</v>
      </c>
      <c r="B849" s="960" t="str">
        <f>$B$4</f>
        <v>адрес вбить сюда</v>
      </c>
      <c r="C849" s="960"/>
      <c r="D849" s="960"/>
      <c r="E849" s="960"/>
      <c r="F849" s="960"/>
      <c r="G849" s="960"/>
      <c r="H849" s="960"/>
      <c r="I849" s="960"/>
      <c r="J849" s="961"/>
      <c r="K849" s="122"/>
    </row>
    <row r="850" spans="1:11" ht="10.5" customHeight="1" x14ac:dyDescent="0.2">
      <c r="A850" s="120"/>
      <c r="B850" s="960"/>
      <c r="C850" s="960"/>
      <c r="D850" s="960"/>
      <c r="E850" s="960"/>
      <c r="F850" s="960"/>
      <c r="G850" s="960"/>
      <c r="H850" s="960"/>
      <c r="I850" s="960"/>
      <c r="J850" s="961"/>
      <c r="K850" s="122" t="s">
        <v>328</v>
      </c>
    </row>
    <row r="851" spans="1:11" ht="10.5" customHeight="1" x14ac:dyDescent="0.2">
      <c r="A851" s="957" t="s">
        <v>329</v>
      </c>
      <c r="B851" s="958"/>
      <c r="C851" s="958"/>
      <c r="D851" s="945" t="str">
        <f>'Акт отбора проб Почва'!F70</f>
        <v>СК3</v>
      </c>
      <c r="E851" s="945"/>
      <c r="F851" s="945"/>
      <c r="G851" s="959" t="s">
        <v>330</v>
      </c>
      <c r="H851" s="959"/>
      <c r="I851" s="959"/>
      <c r="J851" s="438" t="str">
        <f>'Акт отбора проб Почва'!B70</f>
        <v>5,0-7,0</v>
      </c>
      <c r="K851" s="126">
        <f>$H$2</f>
        <v>45739</v>
      </c>
    </row>
    <row r="852" spans="1:11" ht="10.5" customHeight="1" x14ac:dyDescent="0.2">
      <c r="A852" s="120"/>
      <c r="B852" s="127"/>
      <c r="C852" s="124"/>
      <c r="D852" s="128"/>
      <c r="E852" s="128"/>
      <c r="F852" s="128"/>
      <c r="G852" s="125"/>
      <c r="H852" s="125"/>
      <c r="I852" s="125"/>
      <c r="J852" s="442"/>
      <c r="K852" s="122" t="s">
        <v>331</v>
      </c>
    </row>
    <row r="853" spans="1:11" ht="10.5" customHeight="1" x14ac:dyDescent="0.2">
      <c r="A853" s="120" t="s">
        <v>331</v>
      </c>
      <c r="B853" s="129" t="str">
        <f>'Акт отбора проб Почва'!C70</f>
        <v>03АХ.08</v>
      </c>
      <c r="C853" s="124"/>
      <c r="D853" s="128"/>
      <c r="E853" s="128"/>
      <c r="F853" s="128"/>
      <c r="G853" s="125"/>
      <c r="H853" s="125"/>
      <c r="I853" s="125"/>
      <c r="J853" s="442"/>
      <c r="K853" s="122" t="str">
        <f>B853</f>
        <v>03АХ.08</v>
      </c>
    </row>
    <row r="854" spans="1:11" ht="10.5" customHeight="1" x14ac:dyDescent="0.2">
      <c r="A854" s="120"/>
      <c r="B854" s="127"/>
      <c r="C854" s="124"/>
      <c r="D854" s="124"/>
      <c r="E854" s="124"/>
      <c r="F854" s="124"/>
      <c r="G854" s="124"/>
      <c r="H854" s="124"/>
      <c r="I854" s="124"/>
      <c r="J854" s="441"/>
      <c r="K854" s="122" t="s">
        <v>332</v>
      </c>
    </row>
    <row r="855" spans="1:11" ht="10.5" customHeight="1" x14ac:dyDescent="0.2">
      <c r="A855" s="957" t="s">
        <v>681</v>
      </c>
      <c r="B855" s="958"/>
      <c r="C855" s="951"/>
      <c r="D855" s="951"/>
      <c r="E855" s="951"/>
      <c r="F855" s="951"/>
      <c r="G855" s="951"/>
      <c r="H855" s="951"/>
      <c r="I855" s="951"/>
      <c r="J855" s="144"/>
      <c r="K855" s="122" t="str">
        <f>J851</f>
        <v>5,0-7,0</v>
      </c>
    </row>
    <row r="856" spans="1:11" ht="10.5" customHeight="1" x14ac:dyDescent="0.2">
      <c r="A856" s="120" t="s">
        <v>333</v>
      </c>
      <c r="B856" s="127"/>
      <c r="C856" s="124"/>
      <c r="D856" s="124"/>
      <c r="E856" s="124"/>
      <c r="F856" s="124"/>
      <c r="G856" s="124"/>
      <c r="H856" s="124"/>
      <c r="I856" s="124"/>
      <c r="J856" s="441"/>
      <c r="K856" s="122" t="s">
        <v>334</v>
      </c>
    </row>
    <row r="857" spans="1:11" ht="10.5" customHeight="1" x14ac:dyDescent="0.2">
      <c r="A857" s="120" t="s">
        <v>335</v>
      </c>
      <c r="B857" s="133"/>
      <c r="C857" s="134"/>
      <c r="D857" s="134"/>
      <c r="E857" s="134"/>
      <c r="F857" s="134"/>
      <c r="G857" s="134"/>
      <c r="H857" s="124"/>
      <c r="I857" s="124"/>
      <c r="J857" s="441"/>
      <c r="K857" s="122"/>
    </row>
    <row r="858" spans="1:11" ht="10.5" customHeight="1" thickBot="1" x14ac:dyDescent="0.25">
      <c r="A858" s="145"/>
      <c r="B858" s="146"/>
      <c r="C858" s="147" t="s">
        <v>336</v>
      </c>
      <c r="D858" s="147"/>
      <c r="E858" s="147"/>
      <c r="F858" s="147"/>
      <c r="G858" s="147"/>
      <c r="H858" s="147"/>
      <c r="I858" s="147"/>
      <c r="J858" s="394"/>
      <c r="K858" s="139"/>
    </row>
    <row r="859" spans="1:11" ht="10.5" customHeight="1" x14ac:dyDescent="0.2">
      <c r="A859" s="141"/>
      <c r="B859" s="142"/>
      <c r="C859" s="143"/>
      <c r="D859" s="143"/>
      <c r="E859" s="143"/>
      <c r="F859" s="143"/>
      <c r="G859" s="143"/>
      <c r="H859" s="143"/>
      <c r="I859" s="143"/>
      <c r="J859" s="440"/>
      <c r="K859" s="118"/>
    </row>
    <row r="860" spans="1:11" ht="10.5" customHeight="1" x14ac:dyDescent="0.2">
      <c r="A860" s="120" t="s">
        <v>325</v>
      </c>
      <c r="B860" s="952" t="e">
        <f>$B$2</f>
        <v>#REF!</v>
      </c>
      <c r="C860" s="952"/>
      <c r="D860" s="934" t="s">
        <v>326</v>
      </c>
      <c r="E860" s="934"/>
      <c r="F860" s="934"/>
      <c r="G860" s="934"/>
      <c r="H860" s="953">
        <f>$H$2</f>
        <v>45739</v>
      </c>
      <c r="I860" s="954"/>
      <c r="J860" s="441"/>
      <c r="K860" s="122" t="s">
        <v>327</v>
      </c>
    </row>
    <row r="861" spans="1:11" ht="10.5" customHeight="1" x14ac:dyDescent="0.2">
      <c r="A861" s="120"/>
      <c r="B861" s="127"/>
      <c r="C861" s="124"/>
      <c r="D861" s="124"/>
      <c r="E861" s="124"/>
      <c r="F861" s="124"/>
      <c r="G861" s="124"/>
      <c r="H861" s="124"/>
      <c r="I861" s="124"/>
      <c r="J861" s="441"/>
      <c r="K861" s="122" t="e">
        <f>$B$2</f>
        <v>#REF!</v>
      </c>
    </row>
    <row r="862" spans="1:11" ht="10.5" customHeight="1" x14ac:dyDescent="0.2">
      <c r="A862" s="120" t="s">
        <v>0</v>
      </c>
      <c r="B862" s="960" t="str">
        <f>$B$4</f>
        <v>адрес вбить сюда</v>
      </c>
      <c r="C862" s="960"/>
      <c r="D862" s="960"/>
      <c r="E862" s="960"/>
      <c r="F862" s="960"/>
      <c r="G862" s="960"/>
      <c r="H862" s="960"/>
      <c r="I862" s="960"/>
      <c r="J862" s="961"/>
      <c r="K862" s="122"/>
    </row>
    <row r="863" spans="1:11" ht="10.5" customHeight="1" x14ac:dyDescent="0.2">
      <c r="A863" s="120"/>
      <c r="B863" s="960"/>
      <c r="C863" s="960"/>
      <c r="D863" s="960"/>
      <c r="E863" s="960"/>
      <c r="F863" s="960"/>
      <c r="G863" s="960"/>
      <c r="H863" s="960"/>
      <c r="I863" s="960"/>
      <c r="J863" s="961"/>
      <c r="K863" s="122" t="s">
        <v>328</v>
      </c>
    </row>
    <row r="864" spans="1:11" ht="10.5" customHeight="1" x14ac:dyDescent="0.2">
      <c r="A864" s="957" t="s">
        <v>329</v>
      </c>
      <c r="B864" s="958"/>
      <c r="C864" s="958"/>
      <c r="D864" s="945" t="str">
        <f>'Акт отбора проб Почва'!F71</f>
        <v>СК4</v>
      </c>
      <c r="E864" s="945"/>
      <c r="F864" s="945"/>
      <c r="G864" s="959" t="s">
        <v>330</v>
      </c>
      <c r="H864" s="959"/>
      <c r="I864" s="959"/>
      <c r="J864" s="438" t="str">
        <f>'Акт отбора проб Почва'!B71</f>
        <v>5,0-7,0</v>
      </c>
      <c r="K864" s="126">
        <f>$H$2</f>
        <v>45739</v>
      </c>
    </row>
    <row r="865" spans="1:11" ht="10.5" customHeight="1" x14ac:dyDescent="0.2">
      <c r="A865" s="120"/>
      <c r="B865" s="127"/>
      <c r="C865" s="124"/>
      <c r="D865" s="128"/>
      <c r="E865" s="128"/>
      <c r="F865" s="128"/>
      <c r="G865" s="125"/>
      <c r="H865" s="125"/>
      <c r="I865" s="125"/>
      <c r="J865" s="442"/>
      <c r="K865" s="122" t="s">
        <v>331</v>
      </c>
    </row>
    <row r="866" spans="1:11" ht="10.5" customHeight="1" x14ac:dyDescent="0.2">
      <c r="A866" s="120" t="s">
        <v>331</v>
      </c>
      <c r="B866" s="129" t="str">
        <f>'Акт отбора проб Почва'!C71</f>
        <v>04АХ.08</v>
      </c>
      <c r="C866" s="124"/>
      <c r="D866" s="128"/>
      <c r="E866" s="128"/>
      <c r="F866" s="128"/>
      <c r="G866" s="125"/>
      <c r="H866" s="125"/>
      <c r="I866" s="125"/>
      <c r="J866" s="442"/>
      <c r="K866" s="122" t="str">
        <f>B866</f>
        <v>04АХ.08</v>
      </c>
    </row>
    <row r="867" spans="1:11" ht="10.5" customHeight="1" x14ac:dyDescent="0.2">
      <c r="A867" s="120"/>
      <c r="B867" s="127"/>
      <c r="C867" s="124"/>
      <c r="D867" s="124"/>
      <c r="E867" s="124"/>
      <c r="F867" s="124"/>
      <c r="G867" s="124"/>
      <c r="H867" s="124"/>
      <c r="I867" s="124"/>
      <c r="J867" s="441"/>
      <c r="K867" s="122" t="s">
        <v>332</v>
      </c>
    </row>
    <row r="868" spans="1:11" ht="10.5" customHeight="1" x14ac:dyDescent="0.2">
      <c r="A868" s="957" t="s">
        <v>681</v>
      </c>
      <c r="B868" s="958"/>
      <c r="C868" s="951"/>
      <c r="D868" s="951"/>
      <c r="E868" s="951"/>
      <c r="F868" s="951"/>
      <c r="G868" s="951"/>
      <c r="H868" s="951"/>
      <c r="I868" s="951"/>
      <c r="J868" s="144"/>
      <c r="K868" s="122" t="str">
        <f>J864</f>
        <v>5,0-7,0</v>
      </c>
    </row>
    <row r="869" spans="1:11" ht="10.5" customHeight="1" x14ac:dyDescent="0.2">
      <c r="A869" s="120" t="s">
        <v>333</v>
      </c>
      <c r="B869" s="127"/>
      <c r="C869" s="124"/>
      <c r="D869" s="124"/>
      <c r="E869" s="124"/>
      <c r="F869" s="124"/>
      <c r="G869" s="124"/>
      <c r="H869" s="124"/>
      <c r="I869" s="124"/>
      <c r="J869" s="441"/>
      <c r="K869" s="122" t="s">
        <v>334</v>
      </c>
    </row>
    <row r="870" spans="1:11" ht="10.5" customHeight="1" x14ac:dyDescent="0.2">
      <c r="A870" s="120" t="s">
        <v>335</v>
      </c>
      <c r="B870" s="133"/>
      <c r="C870" s="134"/>
      <c r="D870" s="134"/>
      <c r="E870" s="134"/>
      <c r="F870" s="134"/>
      <c r="G870" s="134"/>
      <c r="H870" s="124"/>
      <c r="I870" s="124"/>
      <c r="J870" s="441"/>
      <c r="K870" s="122"/>
    </row>
    <row r="871" spans="1:11" ht="10.5" customHeight="1" thickBot="1" x14ac:dyDescent="0.25">
      <c r="A871" s="145"/>
      <c r="B871" s="146"/>
      <c r="C871" s="147" t="s">
        <v>336</v>
      </c>
      <c r="D871" s="147"/>
      <c r="E871" s="147"/>
      <c r="F871" s="147"/>
      <c r="G871" s="147"/>
      <c r="H871" s="147"/>
      <c r="I871" s="147"/>
      <c r="J871" s="394"/>
      <c r="K871" s="139"/>
    </row>
    <row r="872" spans="1:11" ht="10.5" customHeight="1" x14ac:dyDescent="0.2">
      <c r="A872" s="141"/>
      <c r="B872" s="142"/>
      <c r="C872" s="143"/>
      <c r="D872" s="143"/>
      <c r="E872" s="143"/>
      <c r="F872" s="143"/>
      <c r="G872" s="143"/>
      <c r="H872" s="143"/>
      <c r="I872" s="143"/>
      <c r="J872" s="440"/>
      <c r="K872" s="118"/>
    </row>
    <row r="873" spans="1:11" ht="10.5" customHeight="1" x14ac:dyDescent="0.2">
      <c r="A873" s="120" t="s">
        <v>325</v>
      </c>
      <c r="B873" s="952" t="e">
        <f>$B$2</f>
        <v>#REF!</v>
      </c>
      <c r="C873" s="952"/>
      <c r="D873" s="934" t="s">
        <v>326</v>
      </c>
      <c r="E873" s="934"/>
      <c r="F873" s="934"/>
      <c r="G873" s="934"/>
      <c r="H873" s="953">
        <f>$H$2</f>
        <v>45739</v>
      </c>
      <c r="I873" s="954"/>
      <c r="J873" s="441"/>
      <c r="K873" s="122" t="s">
        <v>327</v>
      </c>
    </row>
    <row r="874" spans="1:11" ht="10.5" customHeight="1" x14ac:dyDescent="0.2">
      <c r="A874" s="120"/>
      <c r="B874" s="127"/>
      <c r="C874" s="124"/>
      <c r="D874" s="124"/>
      <c r="E874" s="124"/>
      <c r="F874" s="124"/>
      <c r="G874" s="124"/>
      <c r="H874" s="124"/>
      <c r="I874" s="124"/>
      <c r="J874" s="441"/>
      <c r="K874" s="122" t="e">
        <f>$B$2</f>
        <v>#REF!</v>
      </c>
    </row>
    <row r="875" spans="1:11" ht="10.5" customHeight="1" x14ac:dyDescent="0.2">
      <c r="A875" s="120" t="s">
        <v>0</v>
      </c>
      <c r="B875" s="960" t="str">
        <f>$B$4</f>
        <v>адрес вбить сюда</v>
      </c>
      <c r="C875" s="960"/>
      <c r="D875" s="960"/>
      <c r="E875" s="960"/>
      <c r="F875" s="960"/>
      <c r="G875" s="960"/>
      <c r="H875" s="960"/>
      <c r="I875" s="960"/>
      <c r="J875" s="961"/>
      <c r="K875" s="122"/>
    </row>
    <row r="876" spans="1:11" ht="10.5" customHeight="1" x14ac:dyDescent="0.2">
      <c r="A876" s="120"/>
      <c r="B876" s="960"/>
      <c r="C876" s="960"/>
      <c r="D876" s="960"/>
      <c r="E876" s="960"/>
      <c r="F876" s="960"/>
      <c r="G876" s="960"/>
      <c r="H876" s="960"/>
      <c r="I876" s="960"/>
      <c r="J876" s="961"/>
      <c r="K876" s="122" t="s">
        <v>328</v>
      </c>
    </row>
    <row r="877" spans="1:11" ht="10.5" customHeight="1" x14ac:dyDescent="0.2">
      <c r="A877" s="957" t="s">
        <v>329</v>
      </c>
      <c r="B877" s="958"/>
      <c r="C877" s="958"/>
      <c r="D877" s="945" t="str">
        <f>'Акт отбора проб Почва'!F72</f>
        <v>СК5</v>
      </c>
      <c r="E877" s="945"/>
      <c r="F877" s="945"/>
      <c r="G877" s="959" t="s">
        <v>330</v>
      </c>
      <c r="H877" s="959"/>
      <c r="I877" s="959"/>
      <c r="J877" s="438" t="str">
        <f>'Акт отбора проб Почва'!B72</f>
        <v>5,0-7,0</v>
      </c>
      <c r="K877" s="126">
        <f>$H$2</f>
        <v>45739</v>
      </c>
    </row>
    <row r="878" spans="1:11" ht="10.5" customHeight="1" x14ac:dyDescent="0.2">
      <c r="A878" s="120"/>
      <c r="B878" s="127"/>
      <c r="C878" s="124"/>
      <c r="D878" s="128"/>
      <c r="E878" s="128"/>
      <c r="F878" s="128"/>
      <c r="G878" s="125"/>
      <c r="H878" s="125"/>
      <c r="I878" s="125"/>
      <c r="J878" s="442"/>
      <c r="K878" s="122" t="s">
        <v>331</v>
      </c>
    </row>
    <row r="879" spans="1:11" ht="10.5" customHeight="1" x14ac:dyDescent="0.2">
      <c r="A879" s="120" t="s">
        <v>331</v>
      </c>
      <c r="B879" s="129" t="str">
        <f>'Акт отбора проб Почва'!C72</f>
        <v>05АХ.08</v>
      </c>
      <c r="C879" s="124"/>
      <c r="D879" s="128"/>
      <c r="E879" s="128"/>
      <c r="F879" s="128"/>
      <c r="G879" s="125"/>
      <c r="H879" s="125"/>
      <c r="I879" s="125"/>
      <c r="J879" s="442"/>
      <c r="K879" s="122" t="str">
        <f>B879</f>
        <v>05АХ.08</v>
      </c>
    </row>
    <row r="880" spans="1:11" ht="10.5" customHeight="1" x14ac:dyDescent="0.2">
      <c r="A880" s="120"/>
      <c r="B880" s="127"/>
      <c r="C880" s="124"/>
      <c r="D880" s="124"/>
      <c r="E880" s="124"/>
      <c r="F880" s="124"/>
      <c r="G880" s="124"/>
      <c r="H880" s="124"/>
      <c r="I880" s="124"/>
      <c r="J880" s="441"/>
      <c r="K880" s="122" t="s">
        <v>332</v>
      </c>
    </row>
    <row r="881" spans="1:11" ht="10.5" customHeight="1" x14ac:dyDescent="0.2">
      <c r="A881" s="957" t="s">
        <v>681</v>
      </c>
      <c r="B881" s="958"/>
      <c r="C881" s="951"/>
      <c r="D881" s="951"/>
      <c r="E881" s="951"/>
      <c r="F881" s="951"/>
      <c r="G881" s="951"/>
      <c r="H881" s="951"/>
      <c r="I881" s="951"/>
      <c r="J881" s="144"/>
      <c r="K881" s="122" t="str">
        <f>J877</f>
        <v>5,0-7,0</v>
      </c>
    </row>
    <row r="882" spans="1:11" ht="10.5" customHeight="1" x14ac:dyDescent="0.2">
      <c r="A882" s="120" t="s">
        <v>333</v>
      </c>
      <c r="B882" s="127"/>
      <c r="C882" s="124"/>
      <c r="D882" s="124"/>
      <c r="E882" s="124"/>
      <c r="F882" s="124"/>
      <c r="G882" s="124"/>
      <c r="H882" s="124"/>
      <c r="I882" s="124"/>
      <c r="J882" s="441"/>
      <c r="K882" s="122" t="s">
        <v>334</v>
      </c>
    </row>
    <row r="883" spans="1:11" ht="10.5" customHeight="1" x14ac:dyDescent="0.2">
      <c r="A883" s="120" t="s">
        <v>335</v>
      </c>
      <c r="B883" s="133"/>
      <c r="C883" s="134"/>
      <c r="D883" s="134"/>
      <c r="E883" s="134"/>
      <c r="F883" s="134"/>
      <c r="G883" s="134"/>
      <c r="H883" s="124"/>
      <c r="I883" s="124"/>
      <c r="J883" s="441"/>
      <c r="K883" s="122"/>
    </row>
    <row r="884" spans="1:11" ht="10.5" customHeight="1" thickBot="1" x14ac:dyDescent="0.25">
      <c r="A884" s="145"/>
      <c r="B884" s="146"/>
      <c r="C884" s="147" t="s">
        <v>336</v>
      </c>
      <c r="D884" s="147"/>
      <c r="E884" s="147"/>
      <c r="F884" s="147"/>
      <c r="G884" s="147"/>
      <c r="H884" s="147"/>
      <c r="I884" s="147"/>
      <c r="J884" s="394"/>
      <c r="K884" s="139"/>
    </row>
    <row r="885" spans="1:11" ht="10.5" customHeight="1" x14ac:dyDescent="0.2">
      <c r="A885" s="141"/>
      <c r="B885" s="142"/>
      <c r="C885" s="143"/>
      <c r="D885" s="143"/>
      <c r="E885" s="143"/>
      <c r="F885" s="143"/>
      <c r="G885" s="143"/>
      <c r="H885" s="143"/>
      <c r="I885" s="143"/>
      <c r="J885" s="440"/>
      <c r="K885" s="118"/>
    </row>
    <row r="886" spans="1:11" ht="10.5" customHeight="1" x14ac:dyDescent="0.2">
      <c r="A886" s="120" t="s">
        <v>325</v>
      </c>
      <c r="B886" s="952" t="e">
        <f>$B$2</f>
        <v>#REF!</v>
      </c>
      <c r="C886" s="952"/>
      <c r="D886" s="934" t="s">
        <v>326</v>
      </c>
      <c r="E886" s="934"/>
      <c r="F886" s="934"/>
      <c r="G886" s="934"/>
      <c r="H886" s="953">
        <f>$H$2</f>
        <v>45739</v>
      </c>
      <c r="I886" s="954"/>
      <c r="J886" s="441"/>
      <c r="K886" s="122" t="s">
        <v>327</v>
      </c>
    </row>
    <row r="887" spans="1:11" ht="10.5" customHeight="1" x14ac:dyDescent="0.2">
      <c r="A887" s="120"/>
      <c r="B887" s="127"/>
      <c r="C887" s="124"/>
      <c r="D887" s="124"/>
      <c r="E887" s="124"/>
      <c r="F887" s="124"/>
      <c r="G887" s="124"/>
      <c r="H887" s="124"/>
      <c r="I887" s="124"/>
      <c r="J887" s="441"/>
      <c r="K887" s="122" t="e">
        <f>$B$2</f>
        <v>#REF!</v>
      </c>
    </row>
    <row r="888" spans="1:11" ht="10.5" customHeight="1" x14ac:dyDescent="0.2">
      <c r="A888" s="120" t="s">
        <v>0</v>
      </c>
      <c r="B888" s="960" t="str">
        <f>$B$4</f>
        <v>адрес вбить сюда</v>
      </c>
      <c r="C888" s="960"/>
      <c r="D888" s="960"/>
      <c r="E888" s="960"/>
      <c r="F888" s="960"/>
      <c r="G888" s="960"/>
      <c r="H888" s="960"/>
      <c r="I888" s="960"/>
      <c r="J888" s="961"/>
      <c r="K888" s="122"/>
    </row>
    <row r="889" spans="1:11" ht="10.5" customHeight="1" x14ac:dyDescent="0.2">
      <c r="A889" s="120"/>
      <c r="B889" s="960"/>
      <c r="C889" s="960"/>
      <c r="D889" s="960"/>
      <c r="E889" s="960"/>
      <c r="F889" s="960"/>
      <c r="G889" s="960"/>
      <c r="H889" s="960"/>
      <c r="I889" s="960"/>
      <c r="J889" s="961"/>
      <c r="K889" s="122" t="s">
        <v>328</v>
      </c>
    </row>
    <row r="890" spans="1:11" ht="10.5" customHeight="1" x14ac:dyDescent="0.2">
      <c r="A890" s="957" t="s">
        <v>329</v>
      </c>
      <c r="B890" s="958"/>
      <c r="C890" s="958"/>
      <c r="D890" s="945" t="str">
        <f>'Акт отбора проб Почва'!F73</f>
        <v>СК6</v>
      </c>
      <c r="E890" s="945"/>
      <c r="F890" s="945"/>
      <c r="G890" s="959" t="s">
        <v>330</v>
      </c>
      <c r="H890" s="959"/>
      <c r="I890" s="959"/>
      <c r="J890" s="438" t="str">
        <f>'Акт отбора проб Почва'!B73</f>
        <v>5,0-7,0</v>
      </c>
      <c r="K890" s="126">
        <f>$H$2</f>
        <v>45739</v>
      </c>
    </row>
    <row r="891" spans="1:11" ht="10.5" customHeight="1" x14ac:dyDescent="0.2">
      <c r="A891" s="120"/>
      <c r="B891" s="127"/>
      <c r="C891" s="124"/>
      <c r="D891" s="128"/>
      <c r="E891" s="128"/>
      <c r="F891" s="128"/>
      <c r="G891" s="125"/>
      <c r="H891" s="125"/>
      <c r="I891" s="125"/>
      <c r="J891" s="442"/>
      <c r="K891" s="122" t="s">
        <v>331</v>
      </c>
    </row>
    <row r="892" spans="1:11" ht="10.5" customHeight="1" x14ac:dyDescent="0.2">
      <c r="A892" s="120" t="s">
        <v>331</v>
      </c>
      <c r="B892" s="129" t="str">
        <f>'Акт отбора проб Почва'!C73</f>
        <v>06АХ.08</v>
      </c>
      <c r="C892" s="124"/>
      <c r="D892" s="128"/>
      <c r="E892" s="128"/>
      <c r="F892" s="128"/>
      <c r="G892" s="125"/>
      <c r="H892" s="125"/>
      <c r="I892" s="125"/>
      <c r="J892" s="442"/>
      <c r="K892" s="122" t="str">
        <f>B892</f>
        <v>06АХ.08</v>
      </c>
    </row>
    <row r="893" spans="1:11" ht="10.5" customHeight="1" x14ac:dyDescent="0.2">
      <c r="A893" s="120"/>
      <c r="B893" s="127"/>
      <c r="C893" s="124"/>
      <c r="D893" s="124"/>
      <c r="E893" s="124"/>
      <c r="F893" s="124"/>
      <c r="G893" s="124"/>
      <c r="H893" s="124"/>
      <c r="I893" s="124"/>
      <c r="J893" s="441"/>
      <c r="K893" s="122" t="s">
        <v>332</v>
      </c>
    </row>
    <row r="894" spans="1:11" ht="10.5" customHeight="1" x14ac:dyDescent="0.2">
      <c r="A894" s="957" t="s">
        <v>681</v>
      </c>
      <c r="B894" s="958"/>
      <c r="C894" s="951"/>
      <c r="D894" s="951"/>
      <c r="E894" s="951"/>
      <c r="F894" s="951"/>
      <c r="G894" s="951"/>
      <c r="H894" s="951"/>
      <c r="I894" s="951"/>
      <c r="J894" s="144"/>
      <c r="K894" s="122" t="str">
        <f>J890</f>
        <v>5,0-7,0</v>
      </c>
    </row>
    <row r="895" spans="1:11" ht="10.5" customHeight="1" x14ac:dyDescent="0.2">
      <c r="A895" s="120" t="s">
        <v>333</v>
      </c>
      <c r="B895" s="127"/>
      <c r="C895" s="124"/>
      <c r="D895" s="124"/>
      <c r="E895" s="124"/>
      <c r="F895" s="124"/>
      <c r="G895" s="124"/>
      <c r="H895" s="124"/>
      <c r="I895" s="124"/>
      <c r="J895" s="441"/>
      <c r="K895" s="122" t="s">
        <v>334</v>
      </c>
    </row>
    <row r="896" spans="1:11" ht="10.5" customHeight="1" x14ac:dyDescent="0.2">
      <c r="A896" s="120" t="s">
        <v>335</v>
      </c>
      <c r="B896" s="133"/>
      <c r="C896" s="134"/>
      <c r="D896" s="134"/>
      <c r="E896" s="134"/>
      <c r="F896" s="134"/>
      <c r="G896" s="134"/>
      <c r="H896" s="124"/>
      <c r="I896" s="124"/>
      <c r="J896" s="441"/>
      <c r="K896" s="122"/>
    </row>
    <row r="897" spans="1:11" ht="10.5" customHeight="1" thickBot="1" x14ac:dyDescent="0.25">
      <c r="A897" s="145"/>
      <c r="B897" s="146"/>
      <c r="C897" s="147" t="s">
        <v>336</v>
      </c>
      <c r="D897" s="147"/>
      <c r="E897" s="147"/>
      <c r="F897" s="147"/>
      <c r="G897" s="147"/>
      <c r="H897" s="147"/>
      <c r="I897" s="147"/>
      <c r="J897" s="394"/>
      <c r="K897" s="139"/>
    </row>
    <row r="898" spans="1:11" ht="10.5" customHeight="1" x14ac:dyDescent="0.2">
      <c r="A898" s="141"/>
      <c r="B898" s="142"/>
      <c r="C898" s="143"/>
      <c r="D898" s="143"/>
      <c r="E898" s="143"/>
      <c r="F898" s="143"/>
      <c r="G898" s="143"/>
      <c r="H898" s="143"/>
      <c r="I898" s="143"/>
      <c r="J898" s="440"/>
      <c r="K898" s="118"/>
    </row>
    <row r="899" spans="1:11" ht="10.5" customHeight="1" x14ac:dyDescent="0.2">
      <c r="A899" s="120" t="s">
        <v>325</v>
      </c>
      <c r="B899" s="952" t="e">
        <f>$B$2</f>
        <v>#REF!</v>
      </c>
      <c r="C899" s="952"/>
      <c r="D899" s="934" t="s">
        <v>326</v>
      </c>
      <c r="E899" s="934"/>
      <c r="F899" s="934"/>
      <c r="G899" s="934"/>
      <c r="H899" s="953">
        <f>$H$2</f>
        <v>45739</v>
      </c>
      <c r="I899" s="954"/>
      <c r="J899" s="441"/>
      <c r="K899" s="122" t="s">
        <v>327</v>
      </c>
    </row>
    <row r="900" spans="1:11" ht="10.5" customHeight="1" x14ac:dyDescent="0.2">
      <c r="A900" s="120"/>
      <c r="B900" s="127"/>
      <c r="C900" s="124"/>
      <c r="D900" s="124"/>
      <c r="E900" s="124"/>
      <c r="F900" s="124"/>
      <c r="G900" s="124"/>
      <c r="H900" s="124"/>
      <c r="I900" s="124"/>
      <c r="J900" s="441"/>
      <c r="K900" s="122" t="e">
        <f>$B$2</f>
        <v>#REF!</v>
      </c>
    </row>
    <row r="901" spans="1:11" ht="10.5" customHeight="1" x14ac:dyDescent="0.2">
      <c r="A901" s="120" t="s">
        <v>0</v>
      </c>
      <c r="B901" s="960" t="str">
        <f>$B$4</f>
        <v>адрес вбить сюда</v>
      </c>
      <c r="C901" s="960"/>
      <c r="D901" s="960"/>
      <c r="E901" s="960"/>
      <c r="F901" s="960"/>
      <c r="G901" s="960"/>
      <c r="H901" s="960"/>
      <c r="I901" s="960"/>
      <c r="J901" s="961"/>
      <c r="K901" s="122"/>
    </row>
    <row r="902" spans="1:11" ht="10.5" customHeight="1" x14ac:dyDescent="0.2">
      <c r="A902" s="120"/>
      <c r="B902" s="960"/>
      <c r="C902" s="960"/>
      <c r="D902" s="960"/>
      <c r="E902" s="960"/>
      <c r="F902" s="960"/>
      <c r="G902" s="960"/>
      <c r="H902" s="960"/>
      <c r="I902" s="960"/>
      <c r="J902" s="961"/>
      <c r="K902" s="122" t="s">
        <v>328</v>
      </c>
    </row>
    <row r="903" spans="1:11" ht="10.5" customHeight="1" x14ac:dyDescent="0.2">
      <c r="A903" s="957" t="s">
        <v>329</v>
      </c>
      <c r="B903" s="958"/>
      <c r="C903" s="958"/>
      <c r="D903" s="945" t="str">
        <f>'Акт отбора проб Почва'!F74</f>
        <v>СК1</v>
      </c>
      <c r="E903" s="945"/>
      <c r="F903" s="945"/>
      <c r="G903" s="959" t="s">
        <v>330</v>
      </c>
      <c r="H903" s="959"/>
      <c r="I903" s="959"/>
      <c r="J903" s="438" t="str">
        <f>'Акт отбора проб Почва'!B74</f>
        <v>7,0-9,0</v>
      </c>
      <c r="K903" s="126">
        <f>$H$2</f>
        <v>45739</v>
      </c>
    </row>
    <row r="904" spans="1:11" ht="10.5" customHeight="1" x14ac:dyDescent="0.2">
      <c r="A904" s="120"/>
      <c r="B904" s="127"/>
      <c r="C904" s="124"/>
      <c r="D904" s="128"/>
      <c r="E904" s="128"/>
      <c r="F904" s="128"/>
      <c r="G904" s="125"/>
      <c r="H904" s="125"/>
      <c r="I904" s="125"/>
      <c r="J904" s="442"/>
      <c r="K904" s="122" t="s">
        <v>331</v>
      </c>
    </row>
    <row r="905" spans="1:11" ht="10.5" customHeight="1" x14ac:dyDescent="0.2">
      <c r="A905" s="120" t="s">
        <v>331</v>
      </c>
      <c r="B905" s="129" t="str">
        <f>'Акт отбора проб Почва'!C74</f>
        <v>01АХ.09</v>
      </c>
      <c r="C905" s="124"/>
      <c r="D905" s="128"/>
      <c r="E905" s="128"/>
      <c r="F905" s="128"/>
      <c r="G905" s="125"/>
      <c r="H905" s="125"/>
      <c r="I905" s="125"/>
      <c r="J905" s="442"/>
      <c r="K905" s="122" t="str">
        <f>B905</f>
        <v>01АХ.09</v>
      </c>
    </row>
    <row r="906" spans="1:11" ht="10.5" customHeight="1" x14ac:dyDescent="0.2">
      <c r="A906" s="120"/>
      <c r="B906" s="127"/>
      <c r="C906" s="124"/>
      <c r="D906" s="124"/>
      <c r="E906" s="124"/>
      <c r="F906" s="124"/>
      <c r="G906" s="124"/>
      <c r="H906" s="124"/>
      <c r="I906" s="124"/>
      <c r="J906" s="441"/>
      <c r="K906" s="122" t="s">
        <v>332</v>
      </c>
    </row>
    <row r="907" spans="1:11" ht="10.5" customHeight="1" x14ac:dyDescent="0.2">
      <c r="A907" s="957" t="s">
        <v>681</v>
      </c>
      <c r="B907" s="958"/>
      <c r="C907" s="951"/>
      <c r="D907" s="951"/>
      <c r="E907" s="951"/>
      <c r="F907" s="951"/>
      <c r="G907" s="951"/>
      <c r="H907" s="951"/>
      <c r="I907" s="951"/>
      <c r="J907" s="144"/>
      <c r="K907" s="122" t="str">
        <f>J903</f>
        <v>7,0-9,0</v>
      </c>
    </row>
    <row r="908" spans="1:11" ht="10.5" customHeight="1" x14ac:dyDescent="0.2">
      <c r="A908" s="120" t="s">
        <v>333</v>
      </c>
      <c r="B908" s="127"/>
      <c r="C908" s="124"/>
      <c r="D908" s="124"/>
      <c r="E908" s="124"/>
      <c r="F908" s="124"/>
      <c r="G908" s="124"/>
      <c r="H908" s="124"/>
      <c r="I908" s="124"/>
      <c r="J908" s="441"/>
      <c r="K908" s="122" t="s">
        <v>334</v>
      </c>
    </row>
    <row r="909" spans="1:11" ht="10.5" customHeight="1" x14ac:dyDescent="0.2">
      <c r="A909" s="120" t="s">
        <v>335</v>
      </c>
      <c r="B909" s="133"/>
      <c r="C909" s="134"/>
      <c r="D909" s="134"/>
      <c r="E909" s="134"/>
      <c r="F909" s="134"/>
      <c r="G909" s="134"/>
      <c r="H909" s="124"/>
      <c r="I909" s="124"/>
      <c r="J909" s="441"/>
      <c r="K909" s="122"/>
    </row>
    <row r="910" spans="1:11" ht="10.5" customHeight="1" thickBot="1" x14ac:dyDescent="0.25">
      <c r="A910" s="145"/>
      <c r="B910" s="146"/>
      <c r="C910" s="147" t="s">
        <v>336</v>
      </c>
      <c r="D910" s="147"/>
      <c r="E910" s="147"/>
      <c r="F910" s="147"/>
      <c r="G910" s="147"/>
      <c r="H910" s="147"/>
      <c r="I910" s="147"/>
      <c r="J910" s="394"/>
      <c r="K910" s="139"/>
    </row>
    <row r="911" spans="1:11" ht="10.5" customHeight="1" x14ac:dyDescent="0.2">
      <c r="A911" s="141"/>
      <c r="B911" s="142"/>
      <c r="C911" s="143"/>
      <c r="D911" s="143"/>
      <c r="E911" s="143"/>
      <c r="F911" s="143"/>
      <c r="G911" s="143"/>
      <c r="H911" s="143"/>
      <c r="I911" s="143"/>
      <c r="J911" s="440"/>
      <c r="K911" s="118"/>
    </row>
    <row r="912" spans="1:11" ht="10.5" customHeight="1" x14ac:dyDescent="0.2">
      <c r="A912" s="120" t="s">
        <v>325</v>
      </c>
      <c r="B912" s="952" t="e">
        <f>$B$2</f>
        <v>#REF!</v>
      </c>
      <c r="C912" s="952"/>
      <c r="D912" s="934" t="s">
        <v>326</v>
      </c>
      <c r="E912" s="934"/>
      <c r="F912" s="934"/>
      <c r="G912" s="934"/>
      <c r="H912" s="953">
        <f>$H$2</f>
        <v>45739</v>
      </c>
      <c r="I912" s="954"/>
      <c r="J912" s="441"/>
      <c r="K912" s="122" t="s">
        <v>327</v>
      </c>
    </row>
    <row r="913" spans="1:11" ht="10.5" customHeight="1" x14ac:dyDescent="0.2">
      <c r="A913" s="120"/>
      <c r="B913" s="127"/>
      <c r="C913" s="124"/>
      <c r="D913" s="124"/>
      <c r="E913" s="124"/>
      <c r="F913" s="124"/>
      <c r="G913" s="124"/>
      <c r="H913" s="124"/>
      <c r="I913" s="124"/>
      <c r="J913" s="441"/>
      <c r="K913" s="122" t="e">
        <f>$B$2</f>
        <v>#REF!</v>
      </c>
    </row>
    <row r="914" spans="1:11" ht="10.5" customHeight="1" x14ac:dyDescent="0.2">
      <c r="A914" s="120" t="s">
        <v>0</v>
      </c>
      <c r="B914" s="960" t="str">
        <f>$B$4</f>
        <v>адрес вбить сюда</v>
      </c>
      <c r="C914" s="960"/>
      <c r="D914" s="960"/>
      <c r="E914" s="960"/>
      <c r="F914" s="960"/>
      <c r="G914" s="960"/>
      <c r="H914" s="960"/>
      <c r="I914" s="960"/>
      <c r="J914" s="961"/>
      <c r="K914" s="122"/>
    </row>
    <row r="915" spans="1:11" ht="10.5" customHeight="1" x14ac:dyDescent="0.2">
      <c r="A915" s="120"/>
      <c r="B915" s="960"/>
      <c r="C915" s="960"/>
      <c r="D915" s="960"/>
      <c r="E915" s="960"/>
      <c r="F915" s="960"/>
      <c r="G915" s="960"/>
      <c r="H915" s="960"/>
      <c r="I915" s="960"/>
      <c r="J915" s="961"/>
      <c r="K915" s="122" t="s">
        <v>328</v>
      </c>
    </row>
    <row r="916" spans="1:11" ht="10.5" customHeight="1" x14ac:dyDescent="0.2">
      <c r="A916" s="957" t="s">
        <v>329</v>
      </c>
      <c r="B916" s="958"/>
      <c r="C916" s="958"/>
      <c r="D916" s="945" t="str">
        <f>'Акт отбора проб Почва'!F75</f>
        <v>СК2</v>
      </c>
      <c r="E916" s="945"/>
      <c r="F916" s="945"/>
      <c r="G916" s="959" t="s">
        <v>330</v>
      </c>
      <c r="H916" s="959"/>
      <c r="I916" s="959"/>
      <c r="J916" s="438" t="str">
        <f>'Акт отбора проб Почва'!B75</f>
        <v>7,0-9,0</v>
      </c>
      <c r="K916" s="126">
        <f>$H$2</f>
        <v>45739</v>
      </c>
    </row>
    <row r="917" spans="1:11" ht="10.5" customHeight="1" x14ac:dyDescent="0.2">
      <c r="A917" s="120"/>
      <c r="B917" s="127"/>
      <c r="C917" s="124"/>
      <c r="D917" s="128"/>
      <c r="E917" s="128"/>
      <c r="F917" s="128"/>
      <c r="G917" s="125"/>
      <c r="H917" s="125"/>
      <c r="I917" s="125"/>
      <c r="J917" s="442"/>
      <c r="K917" s="122" t="s">
        <v>331</v>
      </c>
    </row>
    <row r="918" spans="1:11" ht="10.5" customHeight="1" x14ac:dyDescent="0.2">
      <c r="A918" s="120" t="s">
        <v>331</v>
      </c>
      <c r="B918" s="129" t="str">
        <f>'Акт отбора проб Почва'!C75</f>
        <v>02АХ.09</v>
      </c>
      <c r="C918" s="124"/>
      <c r="D918" s="128"/>
      <c r="E918" s="128"/>
      <c r="F918" s="128"/>
      <c r="G918" s="125"/>
      <c r="H918" s="125"/>
      <c r="I918" s="125"/>
      <c r="J918" s="442"/>
      <c r="K918" s="122" t="str">
        <f>B918</f>
        <v>02АХ.09</v>
      </c>
    </row>
    <row r="919" spans="1:11" ht="10.5" customHeight="1" x14ac:dyDescent="0.2">
      <c r="A919" s="120"/>
      <c r="B919" s="127"/>
      <c r="C919" s="124"/>
      <c r="D919" s="124"/>
      <c r="E919" s="124"/>
      <c r="F919" s="124"/>
      <c r="G919" s="124"/>
      <c r="H919" s="124"/>
      <c r="I919" s="124"/>
      <c r="J919" s="441"/>
      <c r="K919" s="122" t="s">
        <v>332</v>
      </c>
    </row>
    <row r="920" spans="1:11" ht="10.5" customHeight="1" x14ac:dyDescent="0.2">
      <c r="A920" s="957" t="s">
        <v>681</v>
      </c>
      <c r="B920" s="958"/>
      <c r="C920" s="951"/>
      <c r="D920" s="951"/>
      <c r="E920" s="951"/>
      <c r="F920" s="951"/>
      <c r="G920" s="951"/>
      <c r="H920" s="951"/>
      <c r="I920" s="951"/>
      <c r="J920" s="144"/>
      <c r="K920" s="122" t="str">
        <f>J916</f>
        <v>7,0-9,0</v>
      </c>
    </row>
    <row r="921" spans="1:11" ht="10.5" customHeight="1" x14ac:dyDescent="0.2">
      <c r="A921" s="120" t="s">
        <v>333</v>
      </c>
      <c r="B921" s="127"/>
      <c r="C921" s="124"/>
      <c r="D921" s="124"/>
      <c r="E921" s="124"/>
      <c r="F921" s="124"/>
      <c r="G921" s="124"/>
      <c r="H921" s="124"/>
      <c r="I921" s="124"/>
      <c r="J921" s="441"/>
      <c r="K921" s="122" t="s">
        <v>334</v>
      </c>
    </row>
    <row r="922" spans="1:11" ht="10.5" customHeight="1" x14ac:dyDescent="0.2">
      <c r="A922" s="120" t="s">
        <v>335</v>
      </c>
      <c r="B922" s="133"/>
      <c r="C922" s="134"/>
      <c r="D922" s="134"/>
      <c r="E922" s="134"/>
      <c r="F922" s="134"/>
      <c r="G922" s="134"/>
      <c r="H922" s="124"/>
      <c r="I922" s="124"/>
      <c r="J922" s="441"/>
      <c r="K922" s="122"/>
    </row>
    <row r="923" spans="1:11" ht="10.5" customHeight="1" thickBot="1" x14ac:dyDescent="0.25">
      <c r="A923" s="145"/>
      <c r="B923" s="146"/>
      <c r="C923" s="147" t="s">
        <v>336</v>
      </c>
      <c r="D923" s="147"/>
      <c r="E923" s="147"/>
      <c r="F923" s="147"/>
      <c r="G923" s="147"/>
      <c r="H923" s="147"/>
      <c r="I923" s="147"/>
      <c r="J923" s="394"/>
      <c r="K923" s="139"/>
    </row>
    <row r="924" spans="1:11" ht="10.5" customHeight="1" x14ac:dyDescent="0.2">
      <c r="A924" s="141"/>
      <c r="B924" s="142"/>
      <c r="C924" s="143"/>
      <c r="D924" s="143"/>
      <c r="E924" s="143"/>
      <c r="F924" s="143"/>
      <c r="G924" s="143"/>
      <c r="H924" s="143"/>
      <c r="I924" s="143"/>
      <c r="J924" s="440"/>
      <c r="K924" s="118"/>
    </row>
    <row r="925" spans="1:11" ht="10.5" customHeight="1" x14ac:dyDescent="0.2">
      <c r="A925" s="120" t="s">
        <v>325</v>
      </c>
      <c r="B925" s="952" t="e">
        <f>$B$2</f>
        <v>#REF!</v>
      </c>
      <c r="C925" s="952"/>
      <c r="D925" s="934" t="s">
        <v>326</v>
      </c>
      <c r="E925" s="934"/>
      <c r="F925" s="934"/>
      <c r="G925" s="934"/>
      <c r="H925" s="953">
        <f>$H$2</f>
        <v>45739</v>
      </c>
      <c r="I925" s="954"/>
      <c r="J925" s="441"/>
      <c r="K925" s="122" t="s">
        <v>327</v>
      </c>
    </row>
    <row r="926" spans="1:11" ht="10.5" customHeight="1" x14ac:dyDescent="0.2">
      <c r="A926" s="120"/>
      <c r="B926" s="127"/>
      <c r="C926" s="124"/>
      <c r="D926" s="124"/>
      <c r="E926" s="124"/>
      <c r="F926" s="124"/>
      <c r="G926" s="124"/>
      <c r="H926" s="124"/>
      <c r="I926" s="124"/>
      <c r="J926" s="441"/>
      <c r="K926" s="122" t="e">
        <f>$B$2</f>
        <v>#REF!</v>
      </c>
    </row>
    <row r="927" spans="1:11" ht="10.5" customHeight="1" x14ac:dyDescent="0.2">
      <c r="A927" s="120" t="s">
        <v>0</v>
      </c>
      <c r="B927" s="960" t="str">
        <f>$B$4</f>
        <v>адрес вбить сюда</v>
      </c>
      <c r="C927" s="960"/>
      <c r="D927" s="960"/>
      <c r="E927" s="960"/>
      <c r="F927" s="960"/>
      <c r="G927" s="960"/>
      <c r="H927" s="960"/>
      <c r="I927" s="960"/>
      <c r="J927" s="961"/>
      <c r="K927" s="122"/>
    </row>
    <row r="928" spans="1:11" ht="10.5" customHeight="1" x14ac:dyDescent="0.2">
      <c r="A928" s="120"/>
      <c r="B928" s="960"/>
      <c r="C928" s="960"/>
      <c r="D928" s="960"/>
      <c r="E928" s="960"/>
      <c r="F928" s="960"/>
      <c r="G928" s="960"/>
      <c r="H928" s="960"/>
      <c r="I928" s="960"/>
      <c r="J928" s="961"/>
      <c r="K928" s="122" t="s">
        <v>328</v>
      </c>
    </row>
    <row r="929" spans="1:11" ht="10.5" customHeight="1" x14ac:dyDescent="0.2">
      <c r="A929" s="957" t="s">
        <v>329</v>
      </c>
      <c r="B929" s="958"/>
      <c r="C929" s="958"/>
      <c r="D929" s="945" t="e">
        <f>'Акт отбора проб Почва'!#REF!</f>
        <v>#REF!</v>
      </c>
      <c r="E929" s="945"/>
      <c r="F929" s="945"/>
      <c r="G929" s="959" t="s">
        <v>330</v>
      </c>
      <c r="H929" s="959"/>
      <c r="I929" s="959"/>
      <c r="J929" s="438" t="e">
        <f>'Акт отбора проб Почва'!#REF!</f>
        <v>#REF!</v>
      </c>
      <c r="K929" s="126">
        <f>$H$2</f>
        <v>45739</v>
      </c>
    </row>
    <row r="930" spans="1:11" ht="10.5" customHeight="1" x14ac:dyDescent="0.2">
      <c r="A930" s="120"/>
      <c r="B930" s="127"/>
      <c r="C930" s="124"/>
      <c r="D930" s="128"/>
      <c r="E930" s="128"/>
      <c r="F930" s="128"/>
      <c r="G930" s="125"/>
      <c r="H930" s="125"/>
      <c r="I930" s="125"/>
      <c r="J930" s="442"/>
      <c r="K930" s="122" t="s">
        <v>331</v>
      </c>
    </row>
    <row r="931" spans="1:11" ht="10.5" customHeight="1" x14ac:dyDescent="0.2">
      <c r="A931" s="120" t="s">
        <v>331</v>
      </c>
      <c r="B931" s="129" t="e">
        <f>'Акт отбора проб Почва'!#REF!</f>
        <v>#REF!</v>
      </c>
      <c r="C931" s="124"/>
      <c r="D931" s="128"/>
      <c r="E931" s="128"/>
      <c r="F931" s="128"/>
      <c r="G931" s="125"/>
      <c r="H931" s="125"/>
      <c r="I931" s="125"/>
      <c r="J931" s="442"/>
      <c r="K931" s="122" t="e">
        <f>B931</f>
        <v>#REF!</v>
      </c>
    </row>
    <row r="932" spans="1:11" ht="10.5" customHeight="1" x14ac:dyDescent="0.2">
      <c r="A932" s="120"/>
      <c r="B932" s="127"/>
      <c r="C932" s="124"/>
      <c r="D932" s="124"/>
      <c r="E932" s="124"/>
      <c r="F932" s="124"/>
      <c r="G932" s="124"/>
      <c r="H932" s="124"/>
      <c r="I932" s="124"/>
      <c r="J932" s="441"/>
      <c r="K932" s="122" t="s">
        <v>332</v>
      </c>
    </row>
    <row r="933" spans="1:11" ht="10.5" customHeight="1" x14ac:dyDescent="0.2">
      <c r="A933" s="957" t="s">
        <v>681</v>
      </c>
      <c r="B933" s="958"/>
      <c r="C933" s="951"/>
      <c r="D933" s="951"/>
      <c r="E933" s="951"/>
      <c r="F933" s="951"/>
      <c r="G933" s="951"/>
      <c r="H933" s="951"/>
      <c r="I933" s="951"/>
      <c r="J933" s="144"/>
      <c r="K933" s="122" t="e">
        <f>J929</f>
        <v>#REF!</v>
      </c>
    </row>
    <row r="934" spans="1:11" ht="10.5" customHeight="1" x14ac:dyDescent="0.2">
      <c r="A934" s="120" t="s">
        <v>333</v>
      </c>
      <c r="B934" s="127"/>
      <c r="C934" s="124"/>
      <c r="D934" s="124"/>
      <c r="E934" s="124"/>
      <c r="F934" s="124"/>
      <c r="G934" s="124"/>
      <c r="H934" s="124"/>
      <c r="I934" s="124"/>
      <c r="J934" s="441"/>
      <c r="K934" s="122" t="s">
        <v>334</v>
      </c>
    </row>
    <row r="935" spans="1:11" ht="10.5" customHeight="1" x14ac:dyDescent="0.2">
      <c r="A935" s="120" t="s">
        <v>335</v>
      </c>
      <c r="B935" s="133"/>
      <c r="C935" s="134"/>
      <c r="D935" s="134"/>
      <c r="E935" s="134"/>
      <c r="F935" s="134"/>
      <c r="G935" s="134"/>
      <c r="H935" s="124"/>
      <c r="I935" s="124"/>
      <c r="J935" s="441"/>
      <c r="K935" s="122"/>
    </row>
    <row r="936" spans="1:11" ht="10.5" customHeight="1" thickBot="1" x14ac:dyDescent="0.25">
      <c r="A936" s="145"/>
      <c r="B936" s="146"/>
      <c r="C936" s="147" t="s">
        <v>336</v>
      </c>
      <c r="D936" s="147"/>
      <c r="E936" s="147"/>
      <c r="F936" s="147"/>
      <c r="G936" s="147"/>
      <c r="H936" s="147"/>
      <c r="I936" s="147"/>
      <c r="J936" s="394"/>
      <c r="K936" s="139"/>
    </row>
    <row r="937" spans="1:11" ht="10.5" customHeight="1" x14ac:dyDescent="0.2">
      <c r="A937" s="141"/>
      <c r="B937" s="142"/>
      <c r="C937" s="143"/>
      <c r="D937" s="143"/>
      <c r="E937" s="143"/>
      <c r="F937" s="143"/>
      <c r="G937" s="143"/>
      <c r="H937" s="143"/>
      <c r="I937" s="143"/>
      <c r="J937" s="440"/>
      <c r="K937" s="118"/>
    </row>
    <row r="938" spans="1:11" ht="10.5" customHeight="1" x14ac:dyDescent="0.2">
      <c r="A938" s="120" t="s">
        <v>325</v>
      </c>
      <c r="B938" s="952" t="e">
        <f>$B$2</f>
        <v>#REF!</v>
      </c>
      <c r="C938" s="952"/>
      <c r="D938" s="934" t="s">
        <v>326</v>
      </c>
      <c r="E938" s="934"/>
      <c r="F938" s="934"/>
      <c r="G938" s="934"/>
      <c r="H938" s="953">
        <f>$H$2</f>
        <v>45739</v>
      </c>
      <c r="I938" s="954"/>
      <c r="J938" s="441"/>
      <c r="K938" s="122" t="s">
        <v>327</v>
      </c>
    </row>
    <row r="939" spans="1:11" ht="10.5" customHeight="1" x14ac:dyDescent="0.2">
      <c r="A939" s="120"/>
      <c r="B939" s="127"/>
      <c r="C939" s="124"/>
      <c r="D939" s="124"/>
      <c r="E939" s="124"/>
      <c r="F939" s="124"/>
      <c r="G939" s="124"/>
      <c r="H939" s="124"/>
      <c r="I939" s="124"/>
      <c r="J939" s="441"/>
      <c r="K939" s="122" t="e">
        <f>$B$2</f>
        <v>#REF!</v>
      </c>
    </row>
    <row r="940" spans="1:11" ht="10.5" customHeight="1" x14ac:dyDescent="0.2">
      <c r="A940" s="120" t="s">
        <v>0</v>
      </c>
      <c r="B940" s="960" t="str">
        <f>$B$4</f>
        <v>адрес вбить сюда</v>
      </c>
      <c r="C940" s="960"/>
      <c r="D940" s="960"/>
      <c r="E940" s="960"/>
      <c r="F940" s="960"/>
      <c r="G940" s="960"/>
      <c r="H940" s="960"/>
      <c r="I940" s="960"/>
      <c r="J940" s="961"/>
      <c r="K940" s="122"/>
    </row>
    <row r="941" spans="1:11" ht="10.5" customHeight="1" x14ac:dyDescent="0.2">
      <c r="A941" s="120"/>
      <c r="B941" s="960"/>
      <c r="C941" s="960"/>
      <c r="D941" s="960"/>
      <c r="E941" s="960"/>
      <c r="F941" s="960"/>
      <c r="G941" s="960"/>
      <c r="H941" s="960"/>
      <c r="I941" s="960"/>
      <c r="J941" s="961"/>
      <c r="K941" s="122" t="s">
        <v>328</v>
      </c>
    </row>
    <row r="942" spans="1:11" ht="10.5" customHeight="1" x14ac:dyDescent="0.2">
      <c r="A942" s="957" t="s">
        <v>329</v>
      </c>
      <c r="B942" s="958"/>
      <c r="C942" s="958"/>
      <c r="D942" s="945" t="e">
        <f>'Акт отбора проб Почва'!#REF!</f>
        <v>#REF!</v>
      </c>
      <c r="E942" s="945"/>
      <c r="F942" s="945"/>
      <c r="G942" s="959" t="s">
        <v>330</v>
      </c>
      <c r="H942" s="959"/>
      <c r="I942" s="959"/>
      <c r="J942" s="438" t="e">
        <f>'Акт отбора проб Почва'!#REF!</f>
        <v>#REF!</v>
      </c>
      <c r="K942" s="126">
        <f>$H$2</f>
        <v>45739</v>
      </c>
    </row>
    <row r="943" spans="1:11" ht="10.5" customHeight="1" x14ac:dyDescent="0.2">
      <c r="A943" s="120"/>
      <c r="B943" s="127"/>
      <c r="C943" s="124"/>
      <c r="D943" s="128"/>
      <c r="E943" s="128"/>
      <c r="F943" s="128"/>
      <c r="G943" s="125"/>
      <c r="H943" s="125"/>
      <c r="I943" s="125"/>
      <c r="J943" s="442"/>
      <c r="K943" s="122" t="s">
        <v>331</v>
      </c>
    </row>
    <row r="944" spans="1:11" ht="10.5" customHeight="1" x14ac:dyDescent="0.2">
      <c r="A944" s="120" t="s">
        <v>331</v>
      </c>
      <c r="B944" s="129" t="e">
        <f>'Акт отбора проб Почва'!#REF!</f>
        <v>#REF!</v>
      </c>
      <c r="C944" s="124"/>
      <c r="D944" s="128"/>
      <c r="E944" s="128"/>
      <c r="F944" s="128"/>
      <c r="G944" s="125"/>
      <c r="H944" s="125"/>
      <c r="I944" s="125"/>
      <c r="J944" s="442"/>
      <c r="K944" s="122" t="e">
        <f>B944</f>
        <v>#REF!</v>
      </c>
    </row>
    <row r="945" spans="1:11" ht="10.5" customHeight="1" x14ac:dyDescent="0.2">
      <c r="A945" s="120"/>
      <c r="B945" s="127"/>
      <c r="C945" s="124"/>
      <c r="D945" s="124"/>
      <c r="E945" s="124"/>
      <c r="F945" s="124"/>
      <c r="G945" s="124"/>
      <c r="H945" s="124"/>
      <c r="I945" s="124"/>
      <c r="J945" s="441"/>
      <c r="K945" s="122" t="s">
        <v>332</v>
      </c>
    </row>
    <row r="946" spans="1:11" ht="10.5" customHeight="1" x14ac:dyDescent="0.2">
      <c r="A946" s="957" t="s">
        <v>681</v>
      </c>
      <c r="B946" s="958"/>
      <c r="C946" s="951"/>
      <c r="D946" s="951"/>
      <c r="E946" s="951"/>
      <c r="F946" s="951"/>
      <c r="G946" s="951"/>
      <c r="H946" s="951"/>
      <c r="I946" s="951"/>
      <c r="J946" s="144"/>
      <c r="K946" s="122" t="e">
        <f>J942</f>
        <v>#REF!</v>
      </c>
    </row>
    <row r="947" spans="1:11" ht="10.5" customHeight="1" x14ac:dyDescent="0.2">
      <c r="A947" s="120" t="s">
        <v>333</v>
      </c>
      <c r="B947" s="127"/>
      <c r="C947" s="124"/>
      <c r="D947" s="124"/>
      <c r="E947" s="124"/>
      <c r="F947" s="124"/>
      <c r="G947" s="124"/>
      <c r="H947" s="124"/>
      <c r="I947" s="124"/>
      <c r="J947" s="441"/>
      <c r="K947" s="122" t="s">
        <v>334</v>
      </c>
    </row>
    <row r="948" spans="1:11" ht="10.5" customHeight="1" x14ac:dyDescent="0.2">
      <c r="A948" s="120" t="s">
        <v>335</v>
      </c>
      <c r="B948" s="133"/>
      <c r="C948" s="134"/>
      <c r="D948" s="134"/>
      <c r="E948" s="134"/>
      <c r="F948" s="134"/>
      <c r="G948" s="134"/>
      <c r="H948" s="124"/>
      <c r="I948" s="124"/>
      <c r="J948" s="441"/>
      <c r="K948" s="122"/>
    </row>
    <row r="949" spans="1:11" ht="10.5" customHeight="1" thickBot="1" x14ac:dyDescent="0.25">
      <c r="A949" s="145"/>
      <c r="B949" s="146"/>
      <c r="C949" s="147" t="s">
        <v>336</v>
      </c>
      <c r="D949" s="147"/>
      <c r="E949" s="147"/>
      <c r="F949" s="147"/>
      <c r="G949" s="147"/>
      <c r="H949" s="147"/>
      <c r="I949" s="147"/>
      <c r="J949" s="394"/>
      <c r="K949" s="139"/>
    </row>
  </sheetData>
  <mergeCells count="676">
    <mergeCell ref="A942:C942"/>
    <mergeCell ref="D942:F942"/>
    <mergeCell ref="G942:I942"/>
    <mergeCell ref="A946:B946"/>
    <mergeCell ref="C946:I946"/>
    <mergeCell ref="A933:B933"/>
    <mergeCell ref="C933:I933"/>
    <mergeCell ref="B938:C938"/>
    <mergeCell ref="D938:G938"/>
    <mergeCell ref="H938:I938"/>
    <mergeCell ref="B940:J941"/>
    <mergeCell ref="B925:C925"/>
    <mergeCell ref="D925:G925"/>
    <mergeCell ref="H925:I925"/>
    <mergeCell ref="B927:J928"/>
    <mergeCell ref="A929:C929"/>
    <mergeCell ref="D929:F929"/>
    <mergeCell ref="G929:I929"/>
    <mergeCell ref="B914:J915"/>
    <mergeCell ref="A916:C916"/>
    <mergeCell ref="D916:F916"/>
    <mergeCell ref="G916:I916"/>
    <mergeCell ref="A920:B920"/>
    <mergeCell ref="C920:I920"/>
    <mergeCell ref="A903:C903"/>
    <mergeCell ref="D903:F903"/>
    <mergeCell ref="G903:I903"/>
    <mergeCell ref="A907:B907"/>
    <mergeCell ref="C907:I907"/>
    <mergeCell ref="B912:C912"/>
    <mergeCell ref="D912:G912"/>
    <mergeCell ref="H912:I912"/>
    <mergeCell ref="A894:B894"/>
    <mergeCell ref="C894:I894"/>
    <mergeCell ref="B899:C899"/>
    <mergeCell ref="D899:G899"/>
    <mergeCell ref="H899:I899"/>
    <mergeCell ref="B901:J902"/>
    <mergeCell ref="B886:C886"/>
    <mergeCell ref="D886:G886"/>
    <mergeCell ref="H886:I886"/>
    <mergeCell ref="B888:J889"/>
    <mergeCell ref="A890:C890"/>
    <mergeCell ref="D890:F890"/>
    <mergeCell ref="G890:I890"/>
    <mergeCell ref="B875:J876"/>
    <mergeCell ref="A877:C877"/>
    <mergeCell ref="D877:F877"/>
    <mergeCell ref="G877:I877"/>
    <mergeCell ref="A881:B881"/>
    <mergeCell ref="C881:I881"/>
    <mergeCell ref="A864:C864"/>
    <mergeCell ref="D864:F864"/>
    <mergeCell ref="G864:I864"/>
    <mergeCell ref="A868:B868"/>
    <mergeCell ref="C868:I868"/>
    <mergeCell ref="B873:C873"/>
    <mergeCell ref="D873:G873"/>
    <mergeCell ref="H873:I873"/>
    <mergeCell ref="A855:B855"/>
    <mergeCell ref="C855:I855"/>
    <mergeCell ref="B860:C860"/>
    <mergeCell ref="D860:G860"/>
    <mergeCell ref="H860:I860"/>
    <mergeCell ref="B862:J863"/>
    <mergeCell ref="B847:C847"/>
    <mergeCell ref="D847:G847"/>
    <mergeCell ref="H847:I847"/>
    <mergeCell ref="B849:J850"/>
    <mergeCell ref="A851:C851"/>
    <mergeCell ref="D851:F851"/>
    <mergeCell ref="G851:I851"/>
    <mergeCell ref="B836:J837"/>
    <mergeCell ref="A838:C838"/>
    <mergeCell ref="D838:F838"/>
    <mergeCell ref="G838:I838"/>
    <mergeCell ref="A842:B842"/>
    <mergeCell ref="C842:I842"/>
    <mergeCell ref="A825:C825"/>
    <mergeCell ref="D825:F825"/>
    <mergeCell ref="G825:I825"/>
    <mergeCell ref="A829:B829"/>
    <mergeCell ref="C829:I829"/>
    <mergeCell ref="B834:C834"/>
    <mergeCell ref="D834:G834"/>
    <mergeCell ref="H834:I834"/>
    <mergeCell ref="A816:B816"/>
    <mergeCell ref="C816:I816"/>
    <mergeCell ref="B821:C821"/>
    <mergeCell ref="D821:G821"/>
    <mergeCell ref="H821:I821"/>
    <mergeCell ref="B823:J824"/>
    <mergeCell ref="B808:C808"/>
    <mergeCell ref="D808:G808"/>
    <mergeCell ref="H808:I808"/>
    <mergeCell ref="B810:J811"/>
    <mergeCell ref="A812:C812"/>
    <mergeCell ref="D812:F812"/>
    <mergeCell ref="G812:I812"/>
    <mergeCell ref="B797:J798"/>
    <mergeCell ref="A799:C799"/>
    <mergeCell ref="D799:F799"/>
    <mergeCell ref="G799:I799"/>
    <mergeCell ref="A803:B803"/>
    <mergeCell ref="C803:I803"/>
    <mergeCell ref="A786:C786"/>
    <mergeCell ref="D786:F786"/>
    <mergeCell ref="G786:I786"/>
    <mergeCell ref="A790:B790"/>
    <mergeCell ref="C790:I790"/>
    <mergeCell ref="B795:C795"/>
    <mergeCell ref="D795:G795"/>
    <mergeCell ref="H795:I795"/>
    <mergeCell ref="A777:B777"/>
    <mergeCell ref="C777:I777"/>
    <mergeCell ref="B782:C782"/>
    <mergeCell ref="D782:G782"/>
    <mergeCell ref="H782:I782"/>
    <mergeCell ref="B784:J785"/>
    <mergeCell ref="B769:C769"/>
    <mergeCell ref="D769:G769"/>
    <mergeCell ref="H769:I769"/>
    <mergeCell ref="B771:J772"/>
    <mergeCell ref="A773:C773"/>
    <mergeCell ref="D773:F773"/>
    <mergeCell ref="G773:I773"/>
    <mergeCell ref="B758:J759"/>
    <mergeCell ref="A760:C760"/>
    <mergeCell ref="D760:F760"/>
    <mergeCell ref="G760:I760"/>
    <mergeCell ref="A764:B764"/>
    <mergeCell ref="C764:I764"/>
    <mergeCell ref="A747:C747"/>
    <mergeCell ref="D747:F747"/>
    <mergeCell ref="G747:I747"/>
    <mergeCell ref="A751:B751"/>
    <mergeCell ref="C751:I751"/>
    <mergeCell ref="B756:C756"/>
    <mergeCell ref="D756:G756"/>
    <mergeCell ref="H756:I756"/>
    <mergeCell ref="A738:B738"/>
    <mergeCell ref="C738:I738"/>
    <mergeCell ref="B743:C743"/>
    <mergeCell ref="D743:G743"/>
    <mergeCell ref="H743:I743"/>
    <mergeCell ref="B745:J746"/>
    <mergeCell ref="B730:C730"/>
    <mergeCell ref="D730:G730"/>
    <mergeCell ref="H730:I730"/>
    <mergeCell ref="B732:J733"/>
    <mergeCell ref="A734:C734"/>
    <mergeCell ref="D734:F734"/>
    <mergeCell ref="G734:I734"/>
    <mergeCell ref="B719:J720"/>
    <mergeCell ref="A721:C721"/>
    <mergeCell ref="D721:F721"/>
    <mergeCell ref="G721:I721"/>
    <mergeCell ref="A725:B725"/>
    <mergeCell ref="C725:I725"/>
    <mergeCell ref="A708:C708"/>
    <mergeCell ref="D708:F708"/>
    <mergeCell ref="G708:I708"/>
    <mergeCell ref="A712:B712"/>
    <mergeCell ref="C712:I712"/>
    <mergeCell ref="B717:C717"/>
    <mergeCell ref="D717:G717"/>
    <mergeCell ref="H717:I717"/>
    <mergeCell ref="A699:B699"/>
    <mergeCell ref="C699:I699"/>
    <mergeCell ref="B704:C704"/>
    <mergeCell ref="D704:G704"/>
    <mergeCell ref="H704:I704"/>
    <mergeCell ref="B706:J707"/>
    <mergeCell ref="B691:C691"/>
    <mergeCell ref="D691:G691"/>
    <mergeCell ref="H691:I691"/>
    <mergeCell ref="B693:J694"/>
    <mergeCell ref="A695:C695"/>
    <mergeCell ref="D695:F695"/>
    <mergeCell ref="G695:I695"/>
    <mergeCell ref="B680:J681"/>
    <mergeCell ref="A682:C682"/>
    <mergeCell ref="D682:F682"/>
    <mergeCell ref="G682:I682"/>
    <mergeCell ref="A686:B686"/>
    <mergeCell ref="C686:I686"/>
    <mergeCell ref="A669:C669"/>
    <mergeCell ref="D669:F669"/>
    <mergeCell ref="G669:I669"/>
    <mergeCell ref="A673:B673"/>
    <mergeCell ref="C673:I673"/>
    <mergeCell ref="B678:C678"/>
    <mergeCell ref="D678:G678"/>
    <mergeCell ref="H678:I678"/>
    <mergeCell ref="A660:B660"/>
    <mergeCell ref="C660:I660"/>
    <mergeCell ref="B665:C665"/>
    <mergeCell ref="D665:G665"/>
    <mergeCell ref="H665:I665"/>
    <mergeCell ref="B667:J668"/>
    <mergeCell ref="B652:C652"/>
    <mergeCell ref="D652:G652"/>
    <mergeCell ref="H652:I652"/>
    <mergeCell ref="B654:J655"/>
    <mergeCell ref="A656:C656"/>
    <mergeCell ref="D656:F656"/>
    <mergeCell ref="G656:I656"/>
    <mergeCell ref="B641:J642"/>
    <mergeCell ref="A643:C643"/>
    <mergeCell ref="D643:F643"/>
    <mergeCell ref="G643:I643"/>
    <mergeCell ref="A647:B647"/>
    <mergeCell ref="C647:I647"/>
    <mergeCell ref="A630:C630"/>
    <mergeCell ref="D630:F630"/>
    <mergeCell ref="G630:I630"/>
    <mergeCell ref="A634:B634"/>
    <mergeCell ref="C634:I634"/>
    <mergeCell ref="B639:C639"/>
    <mergeCell ref="D639:G639"/>
    <mergeCell ref="H639:I639"/>
    <mergeCell ref="A621:B621"/>
    <mergeCell ref="C621:I621"/>
    <mergeCell ref="B626:C626"/>
    <mergeCell ref="D626:G626"/>
    <mergeCell ref="H626:I626"/>
    <mergeCell ref="B628:J629"/>
    <mergeCell ref="B613:C613"/>
    <mergeCell ref="D613:G613"/>
    <mergeCell ref="H613:I613"/>
    <mergeCell ref="B615:J616"/>
    <mergeCell ref="A617:C617"/>
    <mergeCell ref="D617:F617"/>
    <mergeCell ref="G617:I617"/>
    <mergeCell ref="B602:J603"/>
    <mergeCell ref="A604:C604"/>
    <mergeCell ref="D604:F604"/>
    <mergeCell ref="G604:I604"/>
    <mergeCell ref="A608:B608"/>
    <mergeCell ref="C608:I608"/>
    <mergeCell ref="A591:C591"/>
    <mergeCell ref="D591:F591"/>
    <mergeCell ref="G591:I591"/>
    <mergeCell ref="A595:B595"/>
    <mergeCell ref="C595:I595"/>
    <mergeCell ref="B600:C600"/>
    <mergeCell ref="D600:G600"/>
    <mergeCell ref="H600:I600"/>
    <mergeCell ref="A582:B582"/>
    <mergeCell ref="C582:I582"/>
    <mergeCell ref="B587:C587"/>
    <mergeCell ref="D587:G587"/>
    <mergeCell ref="H587:I587"/>
    <mergeCell ref="B589:J590"/>
    <mergeCell ref="B574:C574"/>
    <mergeCell ref="D574:G574"/>
    <mergeCell ref="H574:I574"/>
    <mergeCell ref="B576:J577"/>
    <mergeCell ref="A578:C578"/>
    <mergeCell ref="D578:F578"/>
    <mergeCell ref="G578:I578"/>
    <mergeCell ref="B563:J564"/>
    <mergeCell ref="A565:C565"/>
    <mergeCell ref="D565:F565"/>
    <mergeCell ref="G565:I565"/>
    <mergeCell ref="A569:B569"/>
    <mergeCell ref="C569:I569"/>
    <mergeCell ref="A552:C552"/>
    <mergeCell ref="D552:F552"/>
    <mergeCell ref="G552:I552"/>
    <mergeCell ref="A556:B556"/>
    <mergeCell ref="C556:I556"/>
    <mergeCell ref="B561:C561"/>
    <mergeCell ref="D561:G561"/>
    <mergeCell ref="H561:I561"/>
    <mergeCell ref="A543:B543"/>
    <mergeCell ref="C543:I543"/>
    <mergeCell ref="B548:C548"/>
    <mergeCell ref="D548:G548"/>
    <mergeCell ref="H548:I548"/>
    <mergeCell ref="B550:J551"/>
    <mergeCell ref="B535:C535"/>
    <mergeCell ref="D535:G535"/>
    <mergeCell ref="H535:I535"/>
    <mergeCell ref="B537:J538"/>
    <mergeCell ref="A539:C539"/>
    <mergeCell ref="D539:F539"/>
    <mergeCell ref="G539:I539"/>
    <mergeCell ref="B524:J525"/>
    <mergeCell ref="A526:C526"/>
    <mergeCell ref="D526:F526"/>
    <mergeCell ref="G526:I526"/>
    <mergeCell ref="A530:B530"/>
    <mergeCell ref="C530:I530"/>
    <mergeCell ref="A513:C513"/>
    <mergeCell ref="D513:F513"/>
    <mergeCell ref="G513:I513"/>
    <mergeCell ref="A517:B517"/>
    <mergeCell ref="C517:I517"/>
    <mergeCell ref="B522:C522"/>
    <mergeCell ref="D522:G522"/>
    <mergeCell ref="H522:I522"/>
    <mergeCell ref="A504:B504"/>
    <mergeCell ref="C504:I504"/>
    <mergeCell ref="B509:C509"/>
    <mergeCell ref="D509:G509"/>
    <mergeCell ref="H509:I509"/>
    <mergeCell ref="B511:J512"/>
    <mergeCell ref="B496:C496"/>
    <mergeCell ref="D496:G496"/>
    <mergeCell ref="H496:I496"/>
    <mergeCell ref="B498:J499"/>
    <mergeCell ref="A500:C500"/>
    <mergeCell ref="D500:F500"/>
    <mergeCell ref="G500:I500"/>
    <mergeCell ref="B485:J486"/>
    <mergeCell ref="A487:C487"/>
    <mergeCell ref="D487:F487"/>
    <mergeCell ref="G487:I487"/>
    <mergeCell ref="A491:B491"/>
    <mergeCell ref="C491:I491"/>
    <mergeCell ref="A474:C474"/>
    <mergeCell ref="D474:F474"/>
    <mergeCell ref="G474:I474"/>
    <mergeCell ref="A478:B478"/>
    <mergeCell ref="C478:I478"/>
    <mergeCell ref="B483:C483"/>
    <mergeCell ref="D483:G483"/>
    <mergeCell ref="H483:I483"/>
    <mergeCell ref="A465:B465"/>
    <mergeCell ref="C465:I465"/>
    <mergeCell ref="B470:C470"/>
    <mergeCell ref="D470:G470"/>
    <mergeCell ref="H470:I470"/>
    <mergeCell ref="B472:J473"/>
    <mergeCell ref="B457:C457"/>
    <mergeCell ref="D457:G457"/>
    <mergeCell ref="H457:I457"/>
    <mergeCell ref="B459:J460"/>
    <mergeCell ref="A461:C461"/>
    <mergeCell ref="D461:F461"/>
    <mergeCell ref="G461:I461"/>
    <mergeCell ref="B446:J447"/>
    <mergeCell ref="A448:C448"/>
    <mergeCell ref="D448:F448"/>
    <mergeCell ref="G448:I448"/>
    <mergeCell ref="A452:B452"/>
    <mergeCell ref="C452:I452"/>
    <mergeCell ref="A435:C435"/>
    <mergeCell ref="D435:F435"/>
    <mergeCell ref="G435:I435"/>
    <mergeCell ref="A439:B439"/>
    <mergeCell ref="C439:I439"/>
    <mergeCell ref="B444:C444"/>
    <mergeCell ref="D444:G444"/>
    <mergeCell ref="H444:I444"/>
    <mergeCell ref="A426:B426"/>
    <mergeCell ref="C426:I426"/>
    <mergeCell ref="B431:C431"/>
    <mergeCell ref="D431:G431"/>
    <mergeCell ref="H431:I431"/>
    <mergeCell ref="B433:J434"/>
    <mergeCell ref="B418:C418"/>
    <mergeCell ref="D418:G418"/>
    <mergeCell ref="H418:I418"/>
    <mergeCell ref="B420:J421"/>
    <mergeCell ref="A422:C422"/>
    <mergeCell ref="D422:F422"/>
    <mergeCell ref="G422:I422"/>
    <mergeCell ref="B407:J408"/>
    <mergeCell ref="A409:C409"/>
    <mergeCell ref="D409:F409"/>
    <mergeCell ref="G409:I409"/>
    <mergeCell ref="A413:B413"/>
    <mergeCell ref="C413:I413"/>
    <mergeCell ref="A396:C396"/>
    <mergeCell ref="D396:F396"/>
    <mergeCell ref="G396:I396"/>
    <mergeCell ref="A400:B400"/>
    <mergeCell ref="C400:I400"/>
    <mergeCell ref="B405:C405"/>
    <mergeCell ref="D405:G405"/>
    <mergeCell ref="H405:I405"/>
    <mergeCell ref="A387:B387"/>
    <mergeCell ref="C387:I387"/>
    <mergeCell ref="B392:C392"/>
    <mergeCell ref="D392:G392"/>
    <mergeCell ref="H392:I392"/>
    <mergeCell ref="B394:J395"/>
    <mergeCell ref="B379:C379"/>
    <mergeCell ref="D379:G379"/>
    <mergeCell ref="H379:I379"/>
    <mergeCell ref="B381:J382"/>
    <mergeCell ref="A383:C383"/>
    <mergeCell ref="D383:F383"/>
    <mergeCell ref="G383:I383"/>
    <mergeCell ref="B368:J369"/>
    <mergeCell ref="A370:C370"/>
    <mergeCell ref="D370:F370"/>
    <mergeCell ref="G370:I370"/>
    <mergeCell ref="A374:B374"/>
    <mergeCell ref="C374:I374"/>
    <mergeCell ref="A357:C357"/>
    <mergeCell ref="D357:F357"/>
    <mergeCell ref="G357:I357"/>
    <mergeCell ref="A361:B361"/>
    <mergeCell ref="C361:I361"/>
    <mergeCell ref="B366:C366"/>
    <mergeCell ref="D366:G366"/>
    <mergeCell ref="H366:I366"/>
    <mergeCell ref="A348:B348"/>
    <mergeCell ref="C348:I348"/>
    <mergeCell ref="B353:C353"/>
    <mergeCell ref="D353:G353"/>
    <mergeCell ref="H353:I353"/>
    <mergeCell ref="B355:J356"/>
    <mergeCell ref="B340:C340"/>
    <mergeCell ref="D340:G340"/>
    <mergeCell ref="H340:I340"/>
    <mergeCell ref="B342:J343"/>
    <mergeCell ref="A344:C344"/>
    <mergeCell ref="D344:F344"/>
    <mergeCell ref="G344:I344"/>
    <mergeCell ref="B329:J330"/>
    <mergeCell ref="A331:C331"/>
    <mergeCell ref="D331:F331"/>
    <mergeCell ref="G331:I331"/>
    <mergeCell ref="A335:B335"/>
    <mergeCell ref="C335:I335"/>
    <mergeCell ref="A318:C318"/>
    <mergeCell ref="D318:F318"/>
    <mergeCell ref="G318:I318"/>
    <mergeCell ref="A322:B322"/>
    <mergeCell ref="C322:I322"/>
    <mergeCell ref="B327:C327"/>
    <mergeCell ref="D327:G327"/>
    <mergeCell ref="H327:I327"/>
    <mergeCell ref="A309:B309"/>
    <mergeCell ref="C309:I309"/>
    <mergeCell ref="B314:C314"/>
    <mergeCell ref="D314:G314"/>
    <mergeCell ref="H314:I314"/>
    <mergeCell ref="B316:J317"/>
    <mergeCell ref="B301:C301"/>
    <mergeCell ref="D301:G301"/>
    <mergeCell ref="H301:I301"/>
    <mergeCell ref="B303:J304"/>
    <mergeCell ref="A305:C305"/>
    <mergeCell ref="D305:F305"/>
    <mergeCell ref="G305:I305"/>
    <mergeCell ref="B290:J291"/>
    <mergeCell ref="A292:C292"/>
    <mergeCell ref="D292:F292"/>
    <mergeCell ref="G292:I292"/>
    <mergeCell ref="A296:B296"/>
    <mergeCell ref="C296:I296"/>
    <mergeCell ref="A279:C279"/>
    <mergeCell ref="D279:F279"/>
    <mergeCell ref="G279:I279"/>
    <mergeCell ref="A283:B283"/>
    <mergeCell ref="C283:I283"/>
    <mergeCell ref="B288:C288"/>
    <mergeCell ref="D288:G288"/>
    <mergeCell ref="H288:I288"/>
    <mergeCell ref="A270:B270"/>
    <mergeCell ref="C270:I270"/>
    <mergeCell ref="B275:C275"/>
    <mergeCell ref="D275:G275"/>
    <mergeCell ref="H275:I275"/>
    <mergeCell ref="B277:J278"/>
    <mergeCell ref="B262:C262"/>
    <mergeCell ref="D262:G262"/>
    <mergeCell ref="H262:I262"/>
    <mergeCell ref="B264:J265"/>
    <mergeCell ref="A266:C266"/>
    <mergeCell ref="D266:F266"/>
    <mergeCell ref="G266:I266"/>
    <mergeCell ref="B251:J252"/>
    <mergeCell ref="A253:C253"/>
    <mergeCell ref="D253:F253"/>
    <mergeCell ref="G253:I253"/>
    <mergeCell ref="A257:B257"/>
    <mergeCell ref="C257:I257"/>
    <mergeCell ref="D242:H242"/>
    <mergeCell ref="A244:B244"/>
    <mergeCell ref="C244:I244"/>
    <mergeCell ref="B249:C249"/>
    <mergeCell ref="D249:G249"/>
    <mergeCell ref="H249:I249"/>
    <mergeCell ref="B236:C236"/>
    <mergeCell ref="D236:G236"/>
    <mergeCell ref="H236:I236"/>
    <mergeCell ref="B238:J239"/>
    <mergeCell ref="A240:C240"/>
    <mergeCell ref="D240:F240"/>
    <mergeCell ref="G240:I240"/>
    <mergeCell ref="B225:J226"/>
    <mergeCell ref="A227:C227"/>
    <mergeCell ref="D227:F227"/>
    <mergeCell ref="G227:I227"/>
    <mergeCell ref="D229:H229"/>
    <mergeCell ref="A231:B231"/>
    <mergeCell ref="C231:I231"/>
    <mergeCell ref="D216:H216"/>
    <mergeCell ref="A218:B218"/>
    <mergeCell ref="C218:I218"/>
    <mergeCell ref="B223:C223"/>
    <mergeCell ref="D223:G223"/>
    <mergeCell ref="H223:I223"/>
    <mergeCell ref="B210:C210"/>
    <mergeCell ref="D210:G210"/>
    <mergeCell ref="H210:I210"/>
    <mergeCell ref="B212:J213"/>
    <mergeCell ref="A214:C214"/>
    <mergeCell ref="D214:F214"/>
    <mergeCell ref="G214:I214"/>
    <mergeCell ref="B199:J200"/>
    <mergeCell ref="A201:C201"/>
    <mergeCell ref="D201:F201"/>
    <mergeCell ref="G201:I201"/>
    <mergeCell ref="D203:H203"/>
    <mergeCell ref="A205:B205"/>
    <mergeCell ref="C205:I205"/>
    <mergeCell ref="D190:H190"/>
    <mergeCell ref="A192:B192"/>
    <mergeCell ref="C192:I192"/>
    <mergeCell ref="B197:C197"/>
    <mergeCell ref="D197:G197"/>
    <mergeCell ref="H197:I197"/>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D164:H164"/>
    <mergeCell ref="A166:B166"/>
    <mergeCell ref="C166:I166"/>
    <mergeCell ref="B171:C171"/>
    <mergeCell ref="D171:G171"/>
    <mergeCell ref="H171:I171"/>
    <mergeCell ref="B158:C158"/>
    <mergeCell ref="D158:G158"/>
    <mergeCell ref="H158:I158"/>
    <mergeCell ref="B160:J161"/>
    <mergeCell ref="A162:C162"/>
    <mergeCell ref="D162:F162"/>
    <mergeCell ref="G162:I162"/>
    <mergeCell ref="B147:J148"/>
    <mergeCell ref="A149:C149"/>
    <mergeCell ref="D149:F149"/>
    <mergeCell ref="G149:I149"/>
    <mergeCell ref="D151:H151"/>
    <mergeCell ref="A153:B153"/>
    <mergeCell ref="C153:I153"/>
    <mergeCell ref="D138:H138"/>
    <mergeCell ref="A140:B140"/>
    <mergeCell ref="C140:I140"/>
    <mergeCell ref="B145:C145"/>
    <mergeCell ref="D145:G145"/>
    <mergeCell ref="H145:I145"/>
    <mergeCell ref="B132:C132"/>
    <mergeCell ref="D132:G132"/>
    <mergeCell ref="H132:I132"/>
    <mergeCell ref="B134:J135"/>
    <mergeCell ref="A136:C136"/>
    <mergeCell ref="D136:F136"/>
    <mergeCell ref="G136:I136"/>
    <mergeCell ref="B121:J122"/>
    <mergeCell ref="A123:C123"/>
    <mergeCell ref="D123:F123"/>
    <mergeCell ref="G123:I123"/>
    <mergeCell ref="D125:H125"/>
    <mergeCell ref="A127:B127"/>
    <mergeCell ref="C127:I127"/>
    <mergeCell ref="D112:H112"/>
    <mergeCell ref="A114:B114"/>
    <mergeCell ref="C114:I114"/>
    <mergeCell ref="B119:C119"/>
    <mergeCell ref="D119:G119"/>
    <mergeCell ref="H119:I119"/>
    <mergeCell ref="B106:C106"/>
    <mergeCell ref="D106:G106"/>
    <mergeCell ref="H106:I106"/>
    <mergeCell ref="B108:J109"/>
    <mergeCell ref="A110:C110"/>
    <mergeCell ref="D110:F110"/>
    <mergeCell ref="G110:I110"/>
    <mergeCell ref="B95:J96"/>
    <mergeCell ref="A97:C97"/>
    <mergeCell ref="D97:F97"/>
    <mergeCell ref="G97:I97"/>
    <mergeCell ref="D99:H99"/>
    <mergeCell ref="A101:B101"/>
    <mergeCell ref="C101:I101"/>
    <mergeCell ref="D86:H86"/>
    <mergeCell ref="A88:B88"/>
    <mergeCell ref="C88:I88"/>
    <mergeCell ref="B93:C93"/>
    <mergeCell ref="D93:G93"/>
    <mergeCell ref="H93:I93"/>
    <mergeCell ref="B80:C80"/>
    <mergeCell ref="D80:G80"/>
    <mergeCell ref="H80:I80"/>
    <mergeCell ref="B82:J83"/>
    <mergeCell ref="A84:C84"/>
    <mergeCell ref="D84:F84"/>
    <mergeCell ref="G84:I84"/>
    <mergeCell ref="B69:J70"/>
    <mergeCell ref="A71:C71"/>
    <mergeCell ref="D71:F71"/>
    <mergeCell ref="G71:I71"/>
    <mergeCell ref="D74:H74"/>
    <mergeCell ref="A75:B75"/>
    <mergeCell ref="C75:I75"/>
    <mergeCell ref="D60:H60"/>
    <mergeCell ref="A62:B62"/>
    <mergeCell ref="C62:I62"/>
    <mergeCell ref="B67:C67"/>
    <mergeCell ref="D67:G67"/>
    <mergeCell ref="H67:I67"/>
    <mergeCell ref="B54:C54"/>
    <mergeCell ref="D54:G54"/>
    <mergeCell ref="H54:I54"/>
    <mergeCell ref="B56:J57"/>
    <mergeCell ref="A58:C58"/>
    <mergeCell ref="D58:F58"/>
    <mergeCell ref="G58:I58"/>
    <mergeCell ref="B43:J44"/>
    <mergeCell ref="A45:C45"/>
    <mergeCell ref="D45:F45"/>
    <mergeCell ref="G45:I45"/>
    <mergeCell ref="D47:H47"/>
    <mergeCell ref="A49:B49"/>
    <mergeCell ref="C49:I49"/>
    <mergeCell ref="D35:H35"/>
    <mergeCell ref="A36:B36"/>
    <mergeCell ref="C36:I36"/>
    <mergeCell ref="B41:C41"/>
    <mergeCell ref="D41:G41"/>
    <mergeCell ref="H41:I41"/>
    <mergeCell ref="B28:C28"/>
    <mergeCell ref="D28:G28"/>
    <mergeCell ref="H28:I28"/>
    <mergeCell ref="B30:J31"/>
    <mergeCell ref="A32:C32"/>
    <mergeCell ref="D32:F32"/>
    <mergeCell ref="G32:I32"/>
    <mergeCell ref="D21:H21"/>
    <mergeCell ref="A23:B23"/>
    <mergeCell ref="C23:I23"/>
    <mergeCell ref="D8:H8"/>
    <mergeCell ref="A10:B10"/>
    <mergeCell ref="C10:I10"/>
    <mergeCell ref="B15:C15"/>
    <mergeCell ref="D15:G15"/>
    <mergeCell ref="H15:I15"/>
    <mergeCell ref="B2:C2"/>
    <mergeCell ref="D2:G2"/>
    <mergeCell ref="H2:I2"/>
    <mergeCell ref="B4:J5"/>
    <mergeCell ref="A6:C6"/>
    <mergeCell ref="D6:F6"/>
    <mergeCell ref="G6:I6"/>
    <mergeCell ref="B17:J18"/>
    <mergeCell ref="A19:C19"/>
    <mergeCell ref="D19:F19"/>
    <mergeCell ref="G19:I19"/>
  </mergeCells>
  <pageMargins left="0.47244094488188981" right="0.23622047244094491" top="0.47244094488188981" bottom="0.59055118110236227" header="0.15748031496062992" footer="0.31496062992125984"/>
  <pageSetup paperSize="9" scale="95" orientation="portrait" r:id="rId1"/>
  <headerFooter alignWithMargins="0"/>
  <rowBreaks count="2" manualBreakCount="2">
    <brk id="78" max="9" man="1"/>
    <brk id="156" max="9"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M390"/>
  <sheetViews>
    <sheetView view="pageBreakPreview" topLeftCell="A364" zoomScaleNormal="100" workbookViewId="0">
      <selection activeCell="K403" sqref="K403"/>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44" customWidth="1"/>
    <col min="11" max="11" width="18.85546875" customWidth="1"/>
  </cols>
  <sheetData>
    <row r="1" spans="1:13" s="119" customFormat="1" ht="10.5" customHeight="1" x14ac:dyDescent="0.2">
      <c r="A1" s="115"/>
      <c r="B1" s="116"/>
      <c r="C1" s="117"/>
      <c r="D1" s="117"/>
      <c r="E1" s="117"/>
      <c r="F1" s="117"/>
      <c r="G1" s="117"/>
      <c r="H1" s="117"/>
      <c r="I1" s="117"/>
      <c r="J1" s="436"/>
      <c r="K1" s="118"/>
    </row>
    <row r="2" spans="1:13" s="119" customFormat="1" ht="10.5" customHeight="1" x14ac:dyDescent="0.2">
      <c r="A2" s="120" t="s">
        <v>325</v>
      </c>
      <c r="B2" s="952" t="e">
        <f>#REF!</f>
        <v>#REF!</v>
      </c>
      <c r="C2" s="952"/>
      <c r="D2" s="934" t="s">
        <v>326</v>
      </c>
      <c r="E2" s="934"/>
      <c r="F2" s="934"/>
      <c r="G2" s="934"/>
      <c r="H2" s="953">
        <f>'Акт отбора проб Почва'!E9</f>
        <v>45739</v>
      </c>
      <c r="I2" s="954"/>
      <c r="J2" s="437"/>
      <c r="K2" s="122" t="s">
        <v>327</v>
      </c>
    </row>
    <row r="3" spans="1:13" s="119" customFormat="1" ht="10.5" customHeight="1" x14ac:dyDescent="0.2">
      <c r="A3" s="120"/>
      <c r="B3" s="123"/>
      <c r="C3" s="121"/>
      <c r="D3" s="121"/>
      <c r="E3" s="121"/>
      <c r="F3" s="121"/>
      <c r="G3" s="121"/>
      <c r="H3" s="121"/>
      <c r="I3" s="121"/>
      <c r="J3" s="437"/>
      <c r="K3" s="122" t="e">
        <f>$B$2</f>
        <v>#REF!</v>
      </c>
    </row>
    <row r="4" spans="1:13" s="119" customFormat="1" ht="10.5" customHeight="1" x14ac:dyDescent="0.2">
      <c r="A4" s="120" t="s">
        <v>0</v>
      </c>
      <c r="B4" s="955" t="s">
        <v>969</v>
      </c>
      <c r="C4" s="955"/>
      <c r="D4" s="955"/>
      <c r="E4" s="955"/>
      <c r="F4" s="955"/>
      <c r="G4" s="955"/>
      <c r="H4" s="955"/>
      <c r="I4" s="955"/>
      <c r="J4" s="956"/>
      <c r="K4" s="122"/>
    </row>
    <row r="5" spans="1:13" s="119" customFormat="1" ht="10.5" customHeight="1" x14ac:dyDescent="0.2">
      <c r="A5" s="120"/>
      <c r="B5" s="955"/>
      <c r="C5" s="955"/>
      <c r="D5" s="955"/>
      <c r="E5" s="955"/>
      <c r="F5" s="955"/>
      <c r="G5" s="955"/>
      <c r="H5" s="955"/>
      <c r="I5" s="955"/>
      <c r="J5" s="956"/>
      <c r="K5" s="122" t="s">
        <v>328</v>
      </c>
    </row>
    <row r="6" spans="1:13" s="119" customFormat="1" ht="10.5" customHeight="1" x14ac:dyDescent="0.2">
      <c r="A6" s="957" t="s">
        <v>329</v>
      </c>
      <c r="B6" s="958"/>
      <c r="C6" s="958"/>
      <c r="D6" s="941" t="str">
        <f>'Акт отбора проб Вода'!F19</f>
        <v>В1</v>
      </c>
      <c r="E6" s="941"/>
      <c r="F6" s="941"/>
      <c r="G6" s="959" t="s">
        <v>330</v>
      </c>
      <c r="H6" s="959"/>
      <c r="I6" s="959"/>
      <c r="J6" s="438" t="str">
        <f>'Акт отбора проб Вода'!B19</f>
        <v>0,0-0,2</v>
      </c>
      <c r="K6" s="126">
        <f>H2</f>
        <v>45739</v>
      </c>
    </row>
    <row r="7" spans="1:13" s="119" customFormat="1" ht="10.5" customHeight="1" x14ac:dyDescent="0.2">
      <c r="A7" s="120"/>
      <c r="B7" s="127"/>
      <c r="C7" s="124"/>
      <c r="D7" s="128"/>
      <c r="E7" s="128"/>
      <c r="F7" s="128"/>
      <c r="G7" s="125"/>
      <c r="H7" s="125"/>
      <c r="I7" s="125"/>
      <c r="J7" s="439"/>
      <c r="K7" s="122" t="s">
        <v>331</v>
      </c>
    </row>
    <row r="8" spans="1:13" s="119" customFormat="1" ht="10.5" customHeight="1" x14ac:dyDescent="0.2">
      <c r="A8" s="120" t="s">
        <v>331</v>
      </c>
      <c r="B8" s="129" t="str">
        <f>'Акт отбора проб Вода'!C19</f>
        <v>01ВХ.01</v>
      </c>
      <c r="C8" s="124"/>
      <c r="D8" s="946"/>
      <c r="E8" s="946"/>
      <c r="F8" s="946"/>
      <c r="G8" s="946"/>
      <c r="H8" s="946"/>
      <c r="I8" s="125"/>
      <c r="J8" s="439"/>
      <c r="K8" s="122" t="str">
        <f>B8</f>
        <v>01ВХ.01</v>
      </c>
    </row>
    <row r="9" spans="1:13" s="119" customFormat="1" ht="10.5" customHeight="1" x14ac:dyDescent="0.2">
      <c r="A9" s="120"/>
      <c r="B9" s="127"/>
      <c r="C9" s="124"/>
      <c r="D9" s="124"/>
      <c r="E9" s="124"/>
      <c r="F9" s="124"/>
      <c r="G9" s="124"/>
      <c r="H9" s="124"/>
      <c r="I9" s="124"/>
      <c r="J9" s="437"/>
      <c r="K9" s="122" t="s">
        <v>332</v>
      </c>
      <c r="M9" s="130"/>
    </row>
    <row r="10" spans="1:13" s="119" customFormat="1" ht="10.5" customHeight="1" x14ac:dyDescent="0.2">
      <c r="A10" s="957" t="s">
        <v>681</v>
      </c>
      <c r="B10" s="958"/>
      <c r="C10" s="947"/>
      <c r="D10" s="947"/>
      <c r="E10" s="947"/>
      <c r="F10" s="947"/>
      <c r="G10" s="947"/>
      <c r="H10" s="947"/>
      <c r="I10" s="947"/>
      <c r="J10" s="131"/>
      <c r="K10" s="122" t="str">
        <f>J6</f>
        <v>0,0-0,2</v>
      </c>
    </row>
    <row r="11" spans="1:13" s="119" customFormat="1" ht="10.5" customHeight="1" x14ac:dyDescent="0.2">
      <c r="A11" s="120" t="s">
        <v>333</v>
      </c>
      <c r="B11" s="127"/>
      <c r="C11" s="124"/>
      <c r="D11" s="132"/>
      <c r="E11" s="132"/>
      <c r="F11" s="132"/>
      <c r="G11" s="124"/>
      <c r="H11" s="124"/>
      <c r="I11" s="124"/>
      <c r="J11" s="437"/>
      <c r="K11" s="122" t="s">
        <v>334</v>
      </c>
    </row>
    <row r="12" spans="1:13" s="119" customFormat="1" ht="10.5" customHeight="1" x14ac:dyDescent="0.2">
      <c r="A12" s="120" t="s">
        <v>335</v>
      </c>
      <c r="B12" s="133"/>
      <c r="C12" s="134"/>
      <c r="D12" s="134"/>
      <c r="E12" s="134"/>
      <c r="F12" s="134"/>
      <c r="G12" s="134"/>
      <c r="H12" s="124"/>
      <c r="I12" s="124"/>
      <c r="J12" s="437"/>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40"/>
      <c r="K14" s="118"/>
    </row>
    <row r="15" spans="1:13" s="119" customFormat="1" ht="10.5" customHeight="1" x14ac:dyDescent="0.2">
      <c r="A15" s="120" t="s">
        <v>325</v>
      </c>
      <c r="B15" s="952" t="e">
        <f>$B$2</f>
        <v>#REF!</v>
      </c>
      <c r="C15" s="952"/>
      <c r="D15" s="934" t="s">
        <v>326</v>
      </c>
      <c r="E15" s="934"/>
      <c r="F15" s="934"/>
      <c r="G15" s="934"/>
      <c r="H15" s="953">
        <f>$H$2</f>
        <v>45739</v>
      </c>
      <c r="I15" s="954"/>
      <c r="J15" s="441"/>
      <c r="K15" s="122" t="s">
        <v>327</v>
      </c>
    </row>
    <row r="16" spans="1:13" s="119" customFormat="1" ht="10.5" customHeight="1" x14ac:dyDescent="0.2">
      <c r="A16" s="120"/>
      <c r="B16" s="127"/>
      <c r="C16" s="124"/>
      <c r="D16" s="124"/>
      <c r="E16" s="124"/>
      <c r="F16" s="124"/>
      <c r="G16" s="124"/>
      <c r="H16" s="124"/>
      <c r="I16" s="124"/>
      <c r="J16" s="441"/>
      <c r="K16" s="122" t="e">
        <f>$B$2</f>
        <v>#REF!</v>
      </c>
    </row>
    <row r="17" spans="1:11" s="119" customFormat="1" ht="10.5" customHeight="1" x14ac:dyDescent="0.2">
      <c r="A17" s="120" t="s">
        <v>0</v>
      </c>
      <c r="B17" s="960" t="str">
        <f>$B$4</f>
        <v>адрес вбить сюда</v>
      </c>
      <c r="C17" s="960"/>
      <c r="D17" s="960"/>
      <c r="E17" s="960"/>
      <c r="F17" s="960"/>
      <c r="G17" s="960"/>
      <c r="H17" s="960"/>
      <c r="I17" s="960"/>
      <c r="J17" s="961"/>
      <c r="K17" s="122"/>
    </row>
    <row r="18" spans="1:11" s="119" customFormat="1" ht="10.5" customHeight="1" x14ac:dyDescent="0.2">
      <c r="A18" s="120"/>
      <c r="B18" s="960"/>
      <c r="C18" s="960"/>
      <c r="D18" s="960"/>
      <c r="E18" s="960"/>
      <c r="F18" s="960"/>
      <c r="G18" s="960"/>
      <c r="H18" s="960"/>
      <c r="I18" s="960"/>
      <c r="J18" s="961"/>
      <c r="K18" s="122" t="s">
        <v>328</v>
      </c>
    </row>
    <row r="19" spans="1:11" s="119" customFormat="1" ht="10.5" customHeight="1" x14ac:dyDescent="0.2">
      <c r="A19" s="957" t="s">
        <v>329</v>
      </c>
      <c r="B19" s="958"/>
      <c r="C19" s="958"/>
      <c r="D19" s="945" t="str">
        <f>'Акт отбора проб Вода'!F20</f>
        <v>В2</v>
      </c>
      <c r="E19" s="945"/>
      <c r="F19" s="945"/>
      <c r="G19" s="959" t="s">
        <v>330</v>
      </c>
      <c r="H19" s="959"/>
      <c r="I19" s="959"/>
      <c r="J19" s="438" t="str">
        <f>J6</f>
        <v>0,0-0,2</v>
      </c>
      <c r="K19" s="126">
        <f>$H$2</f>
        <v>45739</v>
      </c>
    </row>
    <row r="20" spans="1:11" s="119" customFormat="1" ht="10.5" customHeight="1" x14ac:dyDescent="0.2">
      <c r="A20" s="120"/>
      <c r="B20" s="127"/>
      <c r="C20" s="124"/>
      <c r="D20" s="128"/>
      <c r="E20" s="128"/>
      <c r="F20" s="128"/>
      <c r="G20" s="125"/>
      <c r="H20" s="125"/>
      <c r="I20" s="125"/>
      <c r="J20" s="442"/>
      <c r="K20" s="122" t="s">
        <v>331</v>
      </c>
    </row>
    <row r="21" spans="1:11" s="119" customFormat="1" ht="10.5" customHeight="1" x14ac:dyDescent="0.2">
      <c r="A21" s="120" t="s">
        <v>331</v>
      </c>
      <c r="B21" s="129" t="str">
        <f>'Акт отбора проб Вода'!C20</f>
        <v>02ВХ.01</v>
      </c>
      <c r="C21" s="124"/>
      <c r="D21" s="946"/>
      <c r="E21" s="946"/>
      <c r="F21" s="946"/>
      <c r="G21" s="946"/>
      <c r="H21" s="946"/>
      <c r="I21" s="125"/>
      <c r="J21" s="442"/>
      <c r="K21" s="122" t="str">
        <f>B21</f>
        <v>02ВХ.01</v>
      </c>
    </row>
    <row r="22" spans="1:11" s="119" customFormat="1" ht="10.5" customHeight="1" x14ac:dyDescent="0.2">
      <c r="A22" s="120"/>
      <c r="B22" s="127"/>
      <c r="C22" s="124"/>
      <c r="D22" s="124"/>
      <c r="E22" s="124"/>
      <c r="F22" s="124"/>
      <c r="G22" s="124"/>
      <c r="H22" s="124"/>
      <c r="I22" s="124"/>
      <c r="J22" s="441"/>
      <c r="K22" s="122" t="s">
        <v>332</v>
      </c>
    </row>
    <row r="23" spans="1:11" s="119" customFormat="1" ht="10.5" customHeight="1" x14ac:dyDescent="0.2">
      <c r="A23" s="957" t="s">
        <v>681</v>
      </c>
      <c r="B23" s="958"/>
      <c r="C23" s="947"/>
      <c r="D23" s="947"/>
      <c r="E23" s="947"/>
      <c r="F23" s="947"/>
      <c r="G23" s="947"/>
      <c r="H23" s="947"/>
      <c r="I23" s="947"/>
      <c r="J23" s="144"/>
      <c r="K23" s="122" t="str">
        <f>J19</f>
        <v>0,0-0,2</v>
      </c>
    </row>
    <row r="24" spans="1:11" s="119" customFormat="1" ht="10.5" customHeight="1" x14ac:dyDescent="0.2">
      <c r="A24" s="120" t="s">
        <v>333</v>
      </c>
      <c r="B24" s="127"/>
      <c r="C24" s="124"/>
      <c r="D24" s="124"/>
      <c r="E24" s="124"/>
      <c r="F24" s="124"/>
      <c r="G24" s="124"/>
      <c r="H24" s="124"/>
      <c r="I24" s="124"/>
      <c r="J24" s="441"/>
      <c r="K24" s="122" t="s">
        <v>334</v>
      </c>
    </row>
    <row r="25" spans="1:11" s="119" customFormat="1" ht="10.5" customHeight="1" x14ac:dyDescent="0.2">
      <c r="A25" s="120" t="s">
        <v>335</v>
      </c>
      <c r="B25" s="133"/>
      <c r="C25" s="134"/>
      <c r="D25" s="134"/>
      <c r="E25" s="134"/>
      <c r="F25" s="134"/>
      <c r="G25" s="134"/>
      <c r="H25" s="124"/>
      <c r="I25" s="124"/>
      <c r="J25" s="441"/>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40"/>
      <c r="K27" s="118"/>
    </row>
    <row r="28" spans="1:11" s="119" customFormat="1" ht="10.5" customHeight="1" x14ac:dyDescent="0.2">
      <c r="A28" s="120" t="s">
        <v>325</v>
      </c>
      <c r="B28" s="952" t="e">
        <f>$B$2</f>
        <v>#REF!</v>
      </c>
      <c r="C28" s="952"/>
      <c r="D28" s="934" t="s">
        <v>326</v>
      </c>
      <c r="E28" s="934"/>
      <c r="F28" s="934"/>
      <c r="G28" s="934"/>
      <c r="H28" s="953">
        <f>$H$2</f>
        <v>45739</v>
      </c>
      <c r="I28" s="954"/>
      <c r="J28" s="441"/>
      <c r="K28" s="122" t="s">
        <v>327</v>
      </c>
    </row>
    <row r="29" spans="1:11" s="119" customFormat="1" ht="10.5" customHeight="1" x14ac:dyDescent="0.2">
      <c r="A29" s="120"/>
      <c r="B29" s="127"/>
      <c r="C29" s="124"/>
      <c r="D29" s="124"/>
      <c r="E29" s="124"/>
      <c r="F29" s="124"/>
      <c r="G29" s="124"/>
      <c r="H29" s="124"/>
      <c r="I29" s="124"/>
      <c r="J29" s="441"/>
      <c r="K29" s="122" t="e">
        <f>$B$2</f>
        <v>#REF!</v>
      </c>
    </row>
    <row r="30" spans="1:11" s="119" customFormat="1" ht="10.5" customHeight="1" x14ac:dyDescent="0.2">
      <c r="A30" s="120" t="s">
        <v>0</v>
      </c>
      <c r="B30" s="960" t="str">
        <f>B4</f>
        <v>адрес вбить сюда</v>
      </c>
      <c r="C30" s="960"/>
      <c r="D30" s="960"/>
      <c r="E30" s="960"/>
      <c r="F30" s="960"/>
      <c r="G30" s="960"/>
      <c r="H30" s="960"/>
      <c r="I30" s="960"/>
      <c r="J30" s="961"/>
      <c r="K30" s="122"/>
    </row>
    <row r="31" spans="1:11" s="119" customFormat="1" ht="10.5" customHeight="1" x14ac:dyDescent="0.2">
      <c r="A31" s="120"/>
      <c r="B31" s="960"/>
      <c r="C31" s="960"/>
      <c r="D31" s="960"/>
      <c r="E31" s="960"/>
      <c r="F31" s="960"/>
      <c r="G31" s="960"/>
      <c r="H31" s="960"/>
      <c r="I31" s="960"/>
      <c r="J31" s="961"/>
      <c r="K31" s="122" t="s">
        <v>328</v>
      </c>
    </row>
    <row r="32" spans="1:11" s="119" customFormat="1" ht="10.5" customHeight="1" x14ac:dyDescent="0.2">
      <c r="A32" s="957" t="s">
        <v>329</v>
      </c>
      <c r="B32" s="958"/>
      <c r="C32" s="958"/>
      <c r="D32" s="945" t="str">
        <f>'Акт отбора проб Вода'!F21</f>
        <v>В3</v>
      </c>
      <c r="E32" s="945"/>
      <c r="F32" s="945"/>
      <c r="G32" s="959" t="s">
        <v>330</v>
      </c>
      <c r="H32" s="959"/>
      <c r="I32" s="959"/>
      <c r="J32" s="438" t="str">
        <f>J6</f>
        <v>0,0-0,2</v>
      </c>
      <c r="K32" s="126">
        <f>$H$2</f>
        <v>45739</v>
      </c>
    </row>
    <row r="33" spans="1:11" s="119" customFormat="1" ht="10.5" customHeight="1" x14ac:dyDescent="0.2">
      <c r="A33" s="120"/>
      <c r="B33" s="127"/>
      <c r="C33" s="124"/>
      <c r="D33" s="128"/>
      <c r="E33" s="128"/>
      <c r="F33" s="128"/>
      <c r="G33" s="125"/>
      <c r="H33" s="125"/>
      <c r="I33" s="125"/>
      <c r="J33" s="442"/>
      <c r="K33" s="122" t="s">
        <v>331</v>
      </c>
    </row>
    <row r="34" spans="1:11" s="119" customFormat="1" ht="10.5" customHeight="1" x14ac:dyDescent="0.2">
      <c r="A34" s="120" t="s">
        <v>331</v>
      </c>
      <c r="B34" s="129" t="str">
        <f>'Акт отбора проб Вода'!C21</f>
        <v>03ВХ.01</v>
      </c>
      <c r="C34" s="124"/>
      <c r="D34" s="128"/>
      <c r="E34" s="128"/>
      <c r="F34" s="128"/>
      <c r="G34" s="125"/>
      <c r="H34" s="125"/>
      <c r="I34" s="125"/>
      <c r="J34" s="442"/>
      <c r="K34" s="122" t="str">
        <f>B34</f>
        <v>03ВХ.01</v>
      </c>
    </row>
    <row r="35" spans="1:11" s="119" customFormat="1" ht="10.5" customHeight="1" x14ac:dyDescent="0.2">
      <c r="A35" s="120"/>
      <c r="B35" s="127"/>
      <c r="C35" s="124"/>
      <c r="D35" s="946"/>
      <c r="E35" s="946"/>
      <c r="F35" s="946"/>
      <c r="G35" s="946"/>
      <c r="H35" s="946"/>
      <c r="I35" s="124"/>
      <c r="J35" s="441"/>
      <c r="K35" s="122" t="s">
        <v>332</v>
      </c>
    </row>
    <row r="36" spans="1:11" s="119" customFormat="1" ht="10.5" customHeight="1" x14ac:dyDescent="0.2">
      <c r="A36" s="957" t="s">
        <v>681</v>
      </c>
      <c r="B36" s="958"/>
      <c r="C36" s="947"/>
      <c r="D36" s="947"/>
      <c r="E36" s="947"/>
      <c r="F36" s="947"/>
      <c r="G36" s="947"/>
      <c r="H36" s="947"/>
      <c r="I36" s="947"/>
      <c r="J36" s="144"/>
      <c r="K36" s="122" t="str">
        <f>J32</f>
        <v>0,0-0,2</v>
      </c>
    </row>
    <row r="37" spans="1:11" s="119" customFormat="1" ht="10.5" customHeight="1" x14ac:dyDescent="0.2">
      <c r="A37" s="120" t="s">
        <v>333</v>
      </c>
      <c r="B37" s="127"/>
      <c r="C37" s="124"/>
      <c r="D37" s="124"/>
      <c r="E37" s="124"/>
      <c r="F37" s="124"/>
      <c r="G37" s="124"/>
      <c r="H37" s="124"/>
      <c r="I37" s="124"/>
      <c r="J37" s="441"/>
      <c r="K37" s="122" t="s">
        <v>334</v>
      </c>
    </row>
    <row r="38" spans="1:11" s="119" customFormat="1" ht="10.5" customHeight="1" x14ac:dyDescent="0.2">
      <c r="A38" s="120" t="s">
        <v>335</v>
      </c>
      <c r="B38" s="133"/>
      <c r="C38" s="134"/>
      <c r="D38" s="134"/>
      <c r="E38" s="134"/>
      <c r="F38" s="134"/>
      <c r="G38" s="134"/>
      <c r="H38" s="124"/>
      <c r="I38" s="124"/>
      <c r="J38" s="441"/>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40"/>
      <c r="K40" s="118"/>
    </row>
    <row r="41" spans="1:11" s="119" customFormat="1" ht="10.5" customHeight="1" x14ac:dyDescent="0.2">
      <c r="A41" s="120" t="s">
        <v>325</v>
      </c>
      <c r="B41" s="952" t="e">
        <f>B2</f>
        <v>#REF!</v>
      </c>
      <c r="C41" s="952"/>
      <c r="D41" s="934" t="s">
        <v>326</v>
      </c>
      <c r="E41" s="934"/>
      <c r="F41" s="934"/>
      <c r="G41" s="934"/>
      <c r="H41" s="953">
        <f>$H$2</f>
        <v>45739</v>
      </c>
      <c r="I41" s="954"/>
      <c r="J41" s="441"/>
      <c r="K41" s="122" t="s">
        <v>327</v>
      </c>
    </row>
    <row r="42" spans="1:11" s="119" customFormat="1" ht="10.5" customHeight="1" x14ac:dyDescent="0.2">
      <c r="A42" s="120"/>
      <c r="B42" s="127"/>
      <c r="C42" s="124"/>
      <c r="D42" s="124"/>
      <c r="E42" s="124"/>
      <c r="F42" s="124"/>
      <c r="G42" s="124"/>
      <c r="H42" s="124"/>
      <c r="I42" s="124"/>
      <c r="J42" s="441"/>
      <c r="K42" s="122" t="e">
        <f>$B$2</f>
        <v>#REF!</v>
      </c>
    </row>
    <row r="43" spans="1:11" s="119" customFormat="1" ht="10.5" customHeight="1" x14ac:dyDescent="0.2">
      <c r="A43" s="120" t="s">
        <v>0</v>
      </c>
      <c r="B43" s="960" t="str">
        <f>$B$4</f>
        <v>адрес вбить сюда</v>
      </c>
      <c r="C43" s="960"/>
      <c r="D43" s="960"/>
      <c r="E43" s="960"/>
      <c r="F43" s="960"/>
      <c r="G43" s="960"/>
      <c r="H43" s="960"/>
      <c r="I43" s="960"/>
      <c r="J43" s="961"/>
      <c r="K43" s="122"/>
    </row>
    <row r="44" spans="1:11" s="119" customFormat="1" ht="10.5" customHeight="1" x14ac:dyDescent="0.2">
      <c r="A44" s="120"/>
      <c r="B44" s="960"/>
      <c r="C44" s="960"/>
      <c r="D44" s="960"/>
      <c r="E44" s="960"/>
      <c r="F44" s="960"/>
      <c r="G44" s="960"/>
      <c r="H44" s="960"/>
      <c r="I44" s="960"/>
      <c r="J44" s="961"/>
      <c r="K44" s="122" t="s">
        <v>328</v>
      </c>
    </row>
    <row r="45" spans="1:11" s="119" customFormat="1" ht="10.5" customHeight="1" x14ac:dyDescent="0.2">
      <c r="A45" s="957" t="s">
        <v>329</v>
      </c>
      <c r="B45" s="958"/>
      <c r="C45" s="958"/>
      <c r="D45" s="945" t="str">
        <f>'Акт отбора проб Вода'!F22</f>
        <v>В4</v>
      </c>
      <c r="E45" s="945"/>
      <c r="F45" s="945"/>
      <c r="G45" s="959" t="s">
        <v>330</v>
      </c>
      <c r="H45" s="959"/>
      <c r="I45" s="959"/>
      <c r="J45" s="438" t="str">
        <f>J6</f>
        <v>0,0-0,2</v>
      </c>
      <c r="K45" s="126">
        <f>$H$2</f>
        <v>45739</v>
      </c>
    </row>
    <row r="46" spans="1:11" s="119" customFormat="1" ht="10.5" customHeight="1" x14ac:dyDescent="0.2">
      <c r="A46" s="120"/>
      <c r="B46" s="127"/>
      <c r="C46" s="124"/>
      <c r="D46" s="128"/>
      <c r="E46" s="128"/>
      <c r="F46" s="128"/>
      <c r="G46" s="125"/>
      <c r="H46" s="125"/>
      <c r="I46" s="125"/>
      <c r="J46" s="442"/>
      <c r="K46" s="122" t="s">
        <v>331</v>
      </c>
    </row>
    <row r="47" spans="1:11" s="119" customFormat="1" ht="10.5" customHeight="1" x14ac:dyDescent="0.2">
      <c r="A47" s="120" t="s">
        <v>331</v>
      </c>
      <c r="B47" s="129" t="str">
        <f>'Акт отбора проб Вода'!C22</f>
        <v>04ВХ.01</v>
      </c>
      <c r="C47" s="124"/>
      <c r="D47" s="946"/>
      <c r="E47" s="946"/>
      <c r="F47" s="946"/>
      <c r="G47" s="946"/>
      <c r="H47" s="946"/>
      <c r="I47" s="125"/>
      <c r="J47" s="442"/>
      <c r="K47" s="122" t="str">
        <f>B47</f>
        <v>04ВХ.01</v>
      </c>
    </row>
    <row r="48" spans="1:11" s="119" customFormat="1" ht="10.5" customHeight="1" x14ac:dyDescent="0.2">
      <c r="A48" s="120"/>
      <c r="B48" s="127"/>
      <c r="C48" s="124"/>
      <c r="D48" s="124"/>
      <c r="E48" s="124"/>
      <c r="F48" s="124"/>
      <c r="G48" s="124"/>
      <c r="H48" s="124"/>
      <c r="I48" s="124"/>
      <c r="J48" s="441"/>
      <c r="K48" s="122" t="s">
        <v>332</v>
      </c>
    </row>
    <row r="49" spans="1:11" s="119" customFormat="1" ht="10.5" customHeight="1" x14ac:dyDescent="0.2">
      <c r="A49" s="957" t="s">
        <v>681</v>
      </c>
      <c r="B49" s="958"/>
      <c r="C49" s="947"/>
      <c r="D49" s="947"/>
      <c r="E49" s="947"/>
      <c r="F49" s="947"/>
      <c r="G49" s="947"/>
      <c r="H49" s="947"/>
      <c r="I49" s="947"/>
      <c r="J49" s="144"/>
      <c r="K49" s="122" t="str">
        <f>J45</f>
        <v>0,0-0,2</v>
      </c>
    </row>
    <row r="50" spans="1:11" s="119" customFormat="1" ht="10.5" customHeight="1" x14ac:dyDescent="0.2">
      <c r="A50" s="120" t="s">
        <v>333</v>
      </c>
      <c r="B50" s="127"/>
      <c r="C50" s="124"/>
      <c r="D50" s="124"/>
      <c r="E50" s="124"/>
      <c r="F50" s="124"/>
      <c r="G50" s="124"/>
      <c r="H50" s="124"/>
      <c r="I50" s="124"/>
      <c r="J50" s="441"/>
      <c r="K50" s="122" t="s">
        <v>334</v>
      </c>
    </row>
    <row r="51" spans="1:11" s="119" customFormat="1" ht="10.5" customHeight="1" x14ac:dyDescent="0.2">
      <c r="A51" s="120" t="s">
        <v>335</v>
      </c>
      <c r="B51" s="133"/>
      <c r="C51" s="134"/>
      <c r="D51" s="134"/>
      <c r="E51" s="134"/>
      <c r="F51" s="134"/>
      <c r="G51" s="134"/>
      <c r="H51" s="124"/>
      <c r="I51" s="124"/>
      <c r="J51" s="441"/>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40"/>
      <c r="K53" s="118"/>
    </row>
    <row r="54" spans="1:11" s="119" customFormat="1" ht="10.5" customHeight="1" x14ac:dyDescent="0.2">
      <c r="A54" s="120" t="s">
        <v>325</v>
      </c>
      <c r="B54" s="952" t="e">
        <f>$B$2</f>
        <v>#REF!</v>
      </c>
      <c r="C54" s="952"/>
      <c r="D54" s="934" t="s">
        <v>326</v>
      </c>
      <c r="E54" s="934"/>
      <c r="F54" s="934"/>
      <c r="G54" s="934"/>
      <c r="H54" s="953">
        <f>$H$2</f>
        <v>45739</v>
      </c>
      <c r="I54" s="954"/>
      <c r="J54" s="441"/>
      <c r="K54" s="122" t="s">
        <v>327</v>
      </c>
    </row>
    <row r="55" spans="1:11" s="119" customFormat="1" ht="10.5" customHeight="1" x14ac:dyDescent="0.2">
      <c r="A55" s="152"/>
      <c r="B55" s="127"/>
      <c r="C55" s="124"/>
      <c r="D55" s="124"/>
      <c r="E55" s="124"/>
      <c r="F55" s="124"/>
      <c r="G55" s="124"/>
      <c r="H55" s="124"/>
      <c r="I55" s="124"/>
      <c r="J55" s="441"/>
      <c r="K55" s="122" t="e">
        <f>$B$2</f>
        <v>#REF!</v>
      </c>
    </row>
    <row r="56" spans="1:11" s="119" customFormat="1" ht="10.5" customHeight="1" x14ac:dyDescent="0.2">
      <c r="A56" s="120" t="s">
        <v>0</v>
      </c>
      <c r="B56" s="960" t="str">
        <f>$B$4</f>
        <v>адрес вбить сюда</v>
      </c>
      <c r="C56" s="960"/>
      <c r="D56" s="960"/>
      <c r="E56" s="960"/>
      <c r="F56" s="960"/>
      <c r="G56" s="960"/>
      <c r="H56" s="960"/>
      <c r="I56" s="960"/>
      <c r="J56" s="961"/>
      <c r="K56" s="122"/>
    </row>
    <row r="57" spans="1:11" s="119" customFormat="1" ht="10.5" customHeight="1" x14ac:dyDescent="0.2">
      <c r="A57" s="152"/>
      <c r="B57" s="960"/>
      <c r="C57" s="960"/>
      <c r="D57" s="960"/>
      <c r="E57" s="960"/>
      <c r="F57" s="960"/>
      <c r="G57" s="960"/>
      <c r="H57" s="960"/>
      <c r="I57" s="960"/>
      <c r="J57" s="961"/>
      <c r="K57" s="122" t="s">
        <v>328</v>
      </c>
    </row>
    <row r="58" spans="1:11" s="119" customFormat="1" ht="10.5" customHeight="1" x14ac:dyDescent="0.2">
      <c r="A58" s="962" t="s">
        <v>329</v>
      </c>
      <c r="B58" s="952"/>
      <c r="C58" s="952"/>
      <c r="D58" s="945" t="str">
        <f>'Акт отбора проб Вода'!F23</f>
        <v>В5</v>
      </c>
      <c r="E58" s="945"/>
      <c r="F58" s="945"/>
      <c r="G58" s="963" t="s">
        <v>330</v>
      </c>
      <c r="H58" s="963"/>
      <c r="I58" s="963"/>
      <c r="J58" s="438" t="str">
        <f>J6</f>
        <v>0,0-0,2</v>
      </c>
      <c r="K58" s="126">
        <f>$H$2</f>
        <v>45739</v>
      </c>
    </row>
    <row r="59" spans="1:11" s="119" customFormat="1" ht="10.5" customHeight="1" x14ac:dyDescent="0.2">
      <c r="A59" s="152"/>
      <c r="B59" s="123"/>
      <c r="C59" s="121"/>
      <c r="D59" s="154"/>
      <c r="E59" s="154"/>
      <c r="F59" s="154"/>
      <c r="G59" s="153"/>
      <c r="H59" s="153"/>
      <c r="I59" s="153"/>
      <c r="J59" s="442"/>
      <c r="K59" s="122" t="s">
        <v>331</v>
      </c>
    </row>
    <row r="60" spans="1:11" s="119" customFormat="1" ht="10.5" customHeight="1" x14ac:dyDescent="0.2">
      <c r="A60" s="120" t="s">
        <v>331</v>
      </c>
      <c r="B60" s="129" t="str">
        <f>'Акт отбора проб Вода'!C23</f>
        <v>05ВХ.01</v>
      </c>
      <c r="C60" s="121"/>
      <c r="D60" s="946"/>
      <c r="E60" s="946"/>
      <c r="F60" s="946"/>
      <c r="G60" s="946"/>
      <c r="H60" s="946"/>
      <c r="I60" s="153"/>
      <c r="J60" s="442"/>
      <c r="K60" s="122" t="str">
        <f>B60</f>
        <v>05ВХ.01</v>
      </c>
    </row>
    <row r="61" spans="1:11" s="119" customFormat="1" ht="10.5" customHeight="1" x14ac:dyDescent="0.2">
      <c r="A61" s="152"/>
      <c r="B61" s="123"/>
      <c r="C61" s="121"/>
      <c r="D61" s="121"/>
      <c r="E61" s="121"/>
      <c r="F61" s="121"/>
      <c r="G61" s="121"/>
      <c r="H61" s="121"/>
      <c r="I61" s="121"/>
      <c r="J61" s="441"/>
      <c r="K61" s="122" t="s">
        <v>332</v>
      </c>
    </row>
    <row r="62" spans="1:11" s="119" customFormat="1" ht="10.5" customHeight="1" x14ac:dyDescent="0.2">
      <c r="A62" s="962" t="s">
        <v>681</v>
      </c>
      <c r="B62" s="952"/>
      <c r="C62" s="950"/>
      <c r="D62" s="950"/>
      <c r="E62" s="950"/>
      <c r="F62" s="950"/>
      <c r="G62" s="950"/>
      <c r="H62" s="950"/>
      <c r="I62" s="950"/>
      <c r="J62" s="155"/>
      <c r="K62" s="122" t="str">
        <f>J58</f>
        <v>0,0-0,2</v>
      </c>
    </row>
    <row r="63" spans="1:11" s="119" customFormat="1" ht="10.5" customHeight="1" x14ac:dyDescent="0.2">
      <c r="A63" s="152" t="s">
        <v>333</v>
      </c>
      <c r="B63" s="123"/>
      <c r="C63" s="121"/>
      <c r="D63" s="121"/>
      <c r="E63" s="121"/>
      <c r="F63" s="121"/>
      <c r="G63" s="121"/>
      <c r="H63" s="121"/>
      <c r="I63" s="121"/>
      <c r="J63" s="441"/>
      <c r="K63" s="122" t="s">
        <v>334</v>
      </c>
    </row>
    <row r="64" spans="1:11" s="119" customFormat="1" ht="10.5" customHeight="1" x14ac:dyDescent="0.2">
      <c r="A64" s="152" t="s">
        <v>335</v>
      </c>
      <c r="B64" s="156"/>
      <c r="C64" s="157"/>
      <c r="D64" s="157"/>
      <c r="E64" s="157"/>
      <c r="F64" s="157"/>
      <c r="G64" s="157"/>
      <c r="H64" s="121"/>
      <c r="I64" s="121"/>
      <c r="J64" s="441"/>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43"/>
      <c r="K66" s="118"/>
    </row>
    <row r="67" spans="1:11" s="119" customFormat="1" ht="10.5" customHeight="1" x14ac:dyDescent="0.2">
      <c r="A67" s="120" t="s">
        <v>325</v>
      </c>
      <c r="B67" s="952" t="e">
        <f>$B$2</f>
        <v>#REF!</v>
      </c>
      <c r="C67" s="952"/>
      <c r="D67" s="934" t="s">
        <v>326</v>
      </c>
      <c r="E67" s="934"/>
      <c r="F67" s="934"/>
      <c r="G67" s="934"/>
      <c r="H67" s="953">
        <f>$H$2</f>
        <v>45739</v>
      </c>
      <c r="I67" s="954"/>
      <c r="J67" s="441"/>
      <c r="K67" s="122" t="s">
        <v>327</v>
      </c>
    </row>
    <row r="68" spans="1:11" s="119" customFormat="1" ht="10.5" customHeight="1" x14ac:dyDescent="0.2">
      <c r="A68" s="120"/>
      <c r="B68" s="127"/>
      <c r="C68" s="124"/>
      <c r="D68" s="124"/>
      <c r="E68" s="124"/>
      <c r="F68" s="124"/>
      <c r="G68" s="124"/>
      <c r="H68" s="124"/>
      <c r="I68" s="124"/>
      <c r="J68" s="441"/>
      <c r="K68" s="122" t="e">
        <f>$B$2</f>
        <v>#REF!</v>
      </c>
    </row>
    <row r="69" spans="1:11" s="119" customFormat="1" ht="10.5" customHeight="1" x14ac:dyDescent="0.2">
      <c r="A69" s="120" t="s">
        <v>0</v>
      </c>
      <c r="B69" s="960" t="str">
        <f>$B$4</f>
        <v>адрес вбить сюда</v>
      </c>
      <c r="C69" s="960"/>
      <c r="D69" s="960"/>
      <c r="E69" s="960"/>
      <c r="F69" s="960"/>
      <c r="G69" s="960"/>
      <c r="H69" s="960"/>
      <c r="I69" s="960"/>
      <c r="J69" s="961"/>
      <c r="K69" s="122"/>
    </row>
    <row r="70" spans="1:11" s="119" customFormat="1" ht="10.5" customHeight="1" x14ac:dyDescent="0.2">
      <c r="A70" s="120"/>
      <c r="B70" s="960"/>
      <c r="C70" s="960"/>
      <c r="D70" s="960"/>
      <c r="E70" s="960"/>
      <c r="F70" s="960"/>
      <c r="G70" s="960"/>
      <c r="H70" s="960"/>
      <c r="I70" s="960"/>
      <c r="J70" s="961"/>
      <c r="K70" s="122" t="s">
        <v>328</v>
      </c>
    </row>
    <row r="71" spans="1:11" s="119" customFormat="1" ht="10.5" customHeight="1" x14ac:dyDescent="0.2">
      <c r="A71" s="957" t="s">
        <v>329</v>
      </c>
      <c r="B71" s="958"/>
      <c r="C71" s="958"/>
      <c r="D71" s="945" t="str">
        <f>'Акт отбора проб Вода'!F24</f>
        <v>В6</v>
      </c>
      <c r="E71" s="945"/>
      <c r="F71" s="945"/>
      <c r="G71" s="959" t="s">
        <v>330</v>
      </c>
      <c r="H71" s="959"/>
      <c r="I71" s="959"/>
      <c r="J71" s="438" t="str">
        <f>J6</f>
        <v>0,0-0,2</v>
      </c>
      <c r="K71" s="126">
        <f>$H$2</f>
        <v>45739</v>
      </c>
    </row>
    <row r="72" spans="1:11" s="119" customFormat="1" ht="10.5" customHeight="1" x14ac:dyDescent="0.2">
      <c r="A72" s="120"/>
      <c r="B72" s="127"/>
      <c r="C72" s="124"/>
      <c r="D72" s="128"/>
      <c r="E72" s="128"/>
      <c r="F72" s="128"/>
      <c r="G72" s="125"/>
      <c r="H72" s="125"/>
      <c r="I72" s="125"/>
      <c r="J72" s="442"/>
      <c r="K72" s="122" t="s">
        <v>331</v>
      </c>
    </row>
    <row r="73" spans="1:11" s="119" customFormat="1" ht="10.5" customHeight="1" x14ac:dyDescent="0.2">
      <c r="A73" s="120" t="s">
        <v>331</v>
      </c>
      <c r="B73" s="129" t="str">
        <f>'Акт отбора проб Вода'!C24</f>
        <v>06ВХ.01</v>
      </c>
      <c r="C73" s="124"/>
      <c r="D73" s="128"/>
      <c r="E73" s="128"/>
      <c r="F73" s="128"/>
      <c r="G73" s="125"/>
      <c r="H73" s="125"/>
      <c r="I73" s="125"/>
      <c r="J73" s="442"/>
      <c r="K73" s="122" t="str">
        <f>B73</f>
        <v>06ВХ.01</v>
      </c>
    </row>
    <row r="74" spans="1:11" s="119" customFormat="1" ht="10.5" customHeight="1" x14ac:dyDescent="0.2">
      <c r="A74" s="120"/>
      <c r="B74" s="127"/>
      <c r="C74" s="124"/>
      <c r="D74" s="946"/>
      <c r="E74" s="946"/>
      <c r="F74" s="946"/>
      <c r="G74" s="946"/>
      <c r="H74" s="946"/>
      <c r="I74" s="124"/>
      <c r="J74" s="441"/>
      <c r="K74" s="122" t="s">
        <v>332</v>
      </c>
    </row>
    <row r="75" spans="1:11" s="119" customFormat="1" ht="10.5" customHeight="1" x14ac:dyDescent="0.2">
      <c r="A75" s="957" t="s">
        <v>681</v>
      </c>
      <c r="B75" s="958"/>
      <c r="C75" s="947"/>
      <c r="D75" s="947"/>
      <c r="E75" s="947"/>
      <c r="F75" s="947"/>
      <c r="G75" s="947"/>
      <c r="H75" s="947"/>
      <c r="I75" s="947"/>
      <c r="J75" s="144"/>
      <c r="K75" s="122" t="str">
        <f>J71</f>
        <v>0,0-0,2</v>
      </c>
    </row>
    <row r="76" spans="1:11" s="119" customFormat="1" ht="10.5" customHeight="1" x14ac:dyDescent="0.2">
      <c r="A76" s="120" t="s">
        <v>333</v>
      </c>
      <c r="B76" s="127"/>
      <c r="C76" s="124"/>
      <c r="D76" s="124"/>
      <c r="E76" s="124"/>
      <c r="F76" s="124"/>
      <c r="G76" s="124"/>
      <c r="H76" s="124"/>
      <c r="I76" s="124"/>
      <c r="J76" s="441"/>
      <c r="K76" s="122" t="s">
        <v>334</v>
      </c>
    </row>
    <row r="77" spans="1:11" s="119" customFormat="1" ht="10.5" customHeight="1" x14ac:dyDescent="0.2">
      <c r="A77" s="120" t="s">
        <v>335</v>
      </c>
      <c r="B77" s="133"/>
      <c r="C77" s="134"/>
      <c r="D77" s="134"/>
      <c r="E77" s="134"/>
      <c r="F77" s="134"/>
      <c r="G77" s="134"/>
      <c r="H77" s="124"/>
      <c r="I77" s="124"/>
      <c r="J77" s="441"/>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40"/>
      <c r="K79" s="118"/>
    </row>
    <row r="80" spans="1:11" s="119" customFormat="1" ht="10.5" customHeight="1" x14ac:dyDescent="0.2">
      <c r="A80" s="120" t="s">
        <v>325</v>
      </c>
      <c r="B80" s="952" t="e">
        <f>$B$2</f>
        <v>#REF!</v>
      </c>
      <c r="C80" s="952"/>
      <c r="D80" s="934" t="s">
        <v>326</v>
      </c>
      <c r="E80" s="934"/>
      <c r="F80" s="934"/>
      <c r="G80" s="934"/>
      <c r="H80" s="953">
        <f>$H$2</f>
        <v>45739</v>
      </c>
      <c r="I80" s="954"/>
      <c r="J80" s="441"/>
      <c r="K80" s="122" t="s">
        <v>327</v>
      </c>
    </row>
    <row r="81" spans="1:11" s="119" customFormat="1" ht="10.5" customHeight="1" x14ac:dyDescent="0.2">
      <c r="A81" s="120"/>
      <c r="B81" s="127"/>
      <c r="C81" s="124"/>
      <c r="D81" s="124"/>
      <c r="E81" s="124"/>
      <c r="F81" s="124"/>
      <c r="G81" s="124"/>
      <c r="H81" s="124"/>
      <c r="I81" s="124"/>
      <c r="J81" s="441"/>
      <c r="K81" s="122" t="e">
        <f>$B$2</f>
        <v>#REF!</v>
      </c>
    </row>
    <row r="82" spans="1:11" s="119" customFormat="1" ht="10.5" customHeight="1" x14ac:dyDescent="0.2">
      <c r="A82" s="120" t="s">
        <v>0</v>
      </c>
      <c r="B82" s="960" t="str">
        <f>$B$4</f>
        <v>адрес вбить сюда</v>
      </c>
      <c r="C82" s="960"/>
      <c r="D82" s="960"/>
      <c r="E82" s="960"/>
      <c r="F82" s="960"/>
      <c r="G82" s="960"/>
      <c r="H82" s="960"/>
      <c r="I82" s="960"/>
      <c r="J82" s="961"/>
      <c r="K82" s="122"/>
    </row>
    <row r="83" spans="1:11" s="119" customFormat="1" ht="10.5" customHeight="1" x14ac:dyDescent="0.2">
      <c r="A83" s="120"/>
      <c r="B83" s="960"/>
      <c r="C83" s="960"/>
      <c r="D83" s="960"/>
      <c r="E83" s="960"/>
      <c r="F83" s="960"/>
      <c r="G83" s="960"/>
      <c r="H83" s="960"/>
      <c r="I83" s="960"/>
      <c r="J83" s="961"/>
      <c r="K83" s="122" t="s">
        <v>328</v>
      </c>
    </row>
    <row r="84" spans="1:11" s="119" customFormat="1" ht="10.5" customHeight="1" x14ac:dyDescent="0.2">
      <c r="A84" s="957" t="s">
        <v>329</v>
      </c>
      <c r="B84" s="958"/>
      <c r="C84" s="958"/>
      <c r="D84" s="945" t="str">
        <f>'Акт отбора проб Вода'!F25</f>
        <v>В7</v>
      </c>
      <c r="E84" s="945"/>
      <c r="F84" s="945"/>
      <c r="G84" s="959" t="s">
        <v>330</v>
      </c>
      <c r="H84" s="959"/>
      <c r="I84" s="959"/>
      <c r="J84" s="438" t="str">
        <f>J6</f>
        <v>0,0-0,2</v>
      </c>
      <c r="K84" s="126">
        <f>$H$2</f>
        <v>45739</v>
      </c>
    </row>
    <row r="85" spans="1:11" s="119" customFormat="1" ht="10.5" customHeight="1" x14ac:dyDescent="0.2">
      <c r="A85" s="120"/>
      <c r="B85" s="127"/>
      <c r="C85" s="124"/>
      <c r="D85" s="128"/>
      <c r="E85" s="128"/>
      <c r="F85" s="128"/>
      <c r="G85" s="125"/>
      <c r="H85" s="125"/>
      <c r="I85" s="125"/>
      <c r="J85" s="442"/>
      <c r="K85" s="122" t="s">
        <v>331</v>
      </c>
    </row>
    <row r="86" spans="1:11" s="119" customFormat="1" ht="10.5" customHeight="1" x14ac:dyDescent="0.2">
      <c r="A86" s="120" t="s">
        <v>331</v>
      </c>
      <c r="B86" s="129" t="str">
        <f>'Акт отбора проб Вода'!C25</f>
        <v>07ВХ.01</v>
      </c>
      <c r="C86" s="124"/>
      <c r="D86" s="946"/>
      <c r="E86" s="946"/>
      <c r="F86" s="946"/>
      <c r="G86" s="946"/>
      <c r="H86" s="946"/>
      <c r="I86" s="125"/>
      <c r="J86" s="442"/>
      <c r="K86" s="122" t="str">
        <f>B86</f>
        <v>07ВХ.01</v>
      </c>
    </row>
    <row r="87" spans="1:11" s="119" customFormat="1" ht="10.5" customHeight="1" x14ac:dyDescent="0.2">
      <c r="A87" s="120"/>
      <c r="B87" s="127"/>
      <c r="C87" s="124"/>
      <c r="D87" s="124"/>
      <c r="E87" s="124"/>
      <c r="F87" s="124"/>
      <c r="G87" s="124"/>
      <c r="H87" s="124"/>
      <c r="I87" s="124"/>
      <c r="J87" s="441"/>
      <c r="K87" s="122" t="s">
        <v>332</v>
      </c>
    </row>
    <row r="88" spans="1:11" s="119" customFormat="1" ht="10.5" customHeight="1" x14ac:dyDescent="0.2">
      <c r="A88" s="957" t="s">
        <v>681</v>
      </c>
      <c r="B88" s="958"/>
      <c r="C88" s="947"/>
      <c r="D88" s="947"/>
      <c r="E88" s="947"/>
      <c r="F88" s="947"/>
      <c r="G88" s="947"/>
      <c r="H88" s="947"/>
      <c r="I88" s="947"/>
      <c r="J88" s="144"/>
      <c r="K88" s="122" t="str">
        <f>J84</f>
        <v>0,0-0,2</v>
      </c>
    </row>
    <row r="89" spans="1:11" s="119" customFormat="1" ht="10.5" customHeight="1" x14ac:dyDescent="0.2">
      <c r="A89" s="120" t="s">
        <v>333</v>
      </c>
      <c r="B89" s="127"/>
      <c r="C89" s="124"/>
      <c r="D89" s="124"/>
      <c r="E89" s="124"/>
      <c r="F89" s="124"/>
      <c r="G89" s="124"/>
      <c r="H89" s="124"/>
      <c r="I89" s="124"/>
      <c r="J89" s="441"/>
      <c r="K89" s="122" t="s">
        <v>334</v>
      </c>
    </row>
    <row r="90" spans="1:11" s="119" customFormat="1" ht="10.5" customHeight="1" x14ac:dyDescent="0.2">
      <c r="A90" s="120" t="s">
        <v>335</v>
      </c>
      <c r="B90" s="133"/>
      <c r="C90" s="134"/>
      <c r="D90" s="134"/>
      <c r="E90" s="134"/>
      <c r="F90" s="134"/>
      <c r="G90" s="134"/>
      <c r="H90" s="124"/>
      <c r="I90" s="124"/>
      <c r="J90" s="441"/>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40"/>
      <c r="K92" s="118"/>
    </row>
    <row r="93" spans="1:11" s="119" customFormat="1" ht="10.5" customHeight="1" x14ac:dyDescent="0.2">
      <c r="A93" s="120" t="s">
        <v>325</v>
      </c>
      <c r="B93" s="952" t="e">
        <f>$B$2</f>
        <v>#REF!</v>
      </c>
      <c r="C93" s="952"/>
      <c r="D93" s="934" t="s">
        <v>326</v>
      </c>
      <c r="E93" s="934"/>
      <c r="F93" s="934"/>
      <c r="G93" s="934"/>
      <c r="H93" s="953">
        <f>$H$2</f>
        <v>45739</v>
      </c>
      <c r="I93" s="954"/>
      <c r="J93" s="441"/>
      <c r="K93" s="122" t="s">
        <v>327</v>
      </c>
    </row>
    <row r="94" spans="1:11" s="119" customFormat="1" ht="10.5" customHeight="1" x14ac:dyDescent="0.2">
      <c r="A94" s="120"/>
      <c r="B94" s="127"/>
      <c r="C94" s="124"/>
      <c r="D94" s="124"/>
      <c r="E94" s="124"/>
      <c r="F94" s="124"/>
      <c r="G94" s="124"/>
      <c r="H94" s="124"/>
      <c r="I94" s="124"/>
      <c r="J94" s="441"/>
      <c r="K94" s="122" t="e">
        <f>$B$2</f>
        <v>#REF!</v>
      </c>
    </row>
    <row r="95" spans="1:11" s="119" customFormat="1" ht="10.5" customHeight="1" x14ac:dyDescent="0.2">
      <c r="A95" s="120" t="s">
        <v>0</v>
      </c>
      <c r="B95" s="960" t="str">
        <f>$B$4</f>
        <v>адрес вбить сюда</v>
      </c>
      <c r="C95" s="960"/>
      <c r="D95" s="960"/>
      <c r="E95" s="960"/>
      <c r="F95" s="960"/>
      <c r="G95" s="960"/>
      <c r="H95" s="960"/>
      <c r="I95" s="960"/>
      <c r="J95" s="961"/>
      <c r="K95" s="122"/>
    </row>
    <row r="96" spans="1:11" s="119" customFormat="1" ht="10.5" customHeight="1" x14ac:dyDescent="0.2">
      <c r="A96" s="120"/>
      <c r="B96" s="960"/>
      <c r="C96" s="960"/>
      <c r="D96" s="960"/>
      <c r="E96" s="960"/>
      <c r="F96" s="960"/>
      <c r="G96" s="960"/>
      <c r="H96" s="960"/>
      <c r="I96" s="960"/>
      <c r="J96" s="961"/>
      <c r="K96" s="122" t="s">
        <v>328</v>
      </c>
    </row>
    <row r="97" spans="1:11" s="119" customFormat="1" ht="10.5" customHeight="1" x14ac:dyDescent="0.2">
      <c r="A97" s="957" t="s">
        <v>329</v>
      </c>
      <c r="B97" s="958"/>
      <c r="C97" s="958"/>
      <c r="D97" s="945" t="str">
        <f>'Акт отбора проб Вода'!F26</f>
        <v>В8</v>
      </c>
      <c r="E97" s="945"/>
      <c r="F97" s="945"/>
      <c r="G97" s="959" t="s">
        <v>330</v>
      </c>
      <c r="H97" s="959"/>
      <c r="I97" s="959"/>
      <c r="J97" s="438" t="str">
        <f>J6</f>
        <v>0,0-0,2</v>
      </c>
      <c r="K97" s="126">
        <f>$H$2</f>
        <v>45739</v>
      </c>
    </row>
    <row r="98" spans="1:11" s="119" customFormat="1" ht="10.5" customHeight="1" x14ac:dyDescent="0.2">
      <c r="A98" s="120"/>
      <c r="B98" s="127"/>
      <c r="C98" s="124"/>
      <c r="D98" s="128"/>
      <c r="E98" s="128"/>
      <c r="F98" s="128"/>
      <c r="G98" s="125"/>
      <c r="H98" s="125"/>
      <c r="I98" s="125"/>
      <c r="J98" s="442"/>
      <c r="K98" s="122" t="s">
        <v>331</v>
      </c>
    </row>
    <row r="99" spans="1:11" s="119" customFormat="1" ht="10.5" customHeight="1" x14ac:dyDescent="0.2">
      <c r="A99" s="120" t="s">
        <v>331</v>
      </c>
      <c r="B99" s="129" t="str">
        <f>'Акт отбора проб Вода'!C26</f>
        <v>08ВХ.01</v>
      </c>
      <c r="C99" s="124"/>
      <c r="D99" s="946"/>
      <c r="E99" s="946"/>
      <c r="F99" s="946"/>
      <c r="G99" s="946"/>
      <c r="H99" s="946"/>
      <c r="I99" s="125"/>
      <c r="J99" s="442"/>
      <c r="K99" s="122" t="str">
        <f>B99</f>
        <v>08ВХ.01</v>
      </c>
    </row>
    <row r="100" spans="1:11" s="119" customFormat="1" ht="10.5" customHeight="1" x14ac:dyDescent="0.2">
      <c r="A100" s="120"/>
      <c r="B100" s="127"/>
      <c r="C100" s="124"/>
      <c r="D100" s="124"/>
      <c r="E100" s="124"/>
      <c r="F100" s="124"/>
      <c r="G100" s="124"/>
      <c r="H100" s="124"/>
      <c r="I100" s="124"/>
      <c r="J100" s="441"/>
      <c r="K100" s="122" t="s">
        <v>332</v>
      </c>
    </row>
    <row r="101" spans="1:11" s="119" customFormat="1" ht="10.5" customHeight="1" x14ac:dyDescent="0.2">
      <c r="A101" s="957" t="s">
        <v>681</v>
      </c>
      <c r="B101" s="958"/>
      <c r="C101" s="947"/>
      <c r="D101" s="947"/>
      <c r="E101" s="947"/>
      <c r="F101" s="947"/>
      <c r="G101" s="947"/>
      <c r="H101" s="947"/>
      <c r="I101" s="947"/>
      <c r="J101" s="144"/>
      <c r="K101" s="122" t="str">
        <f>J97</f>
        <v>0,0-0,2</v>
      </c>
    </row>
    <row r="102" spans="1:11" s="119" customFormat="1" ht="10.5" customHeight="1" x14ac:dyDescent="0.2">
      <c r="A102" s="120" t="s">
        <v>333</v>
      </c>
      <c r="B102" s="127"/>
      <c r="C102" s="124"/>
      <c r="D102" s="124"/>
      <c r="E102" s="124"/>
      <c r="F102" s="124"/>
      <c r="G102" s="124"/>
      <c r="H102" s="124"/>
      <c r="I102" s="124"/>
      <c r="J102" s="441"/>
      <c r="K102" s="122" t="s">
        <v>334</v>
      </c>
    </row>
    <row r="103" spans="1:11" s="119" customFormat="1" ht="10.5" customHeight="1" x14ac:dyDescent="0.2">
      <c r="A103" s="120" t="s">
        <v>335</v>
      </c>
      <c r="B103" s="133"/>
      <c r="C103" s="134"/>
      <c r="D103" s="134"/>
      <c r="E103" s="134"/>
      <c r="F103" s="134"/>
      <c r="G103" s="134"/>
      <c r="H103" s="124"/>
      <c r="I103" s="124"/>
      <c r="J103" s="441"/>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952" t="e">
        <f>$B$2</f>
        <v>#REF!</v>
      </c>
      <c r="C106" s="952"/>
      <c r="D106" s="934" t="s">
        <v>326</v>
      </c>
      <c r="E106" s="934"/>
      <c r="F106" s="934"/>
      <c r="G106" s="934"/>
      <c r="H106" s="953">
        <f>$H$2</f>
        <v>45739</v>
      </c>
      <c r="I106" s="954"/>
      <c r="J106" s="441"/>
      <c r="K106" s="122" t="s">
        <v>327</v>
      </c>
    </row>
    <row r="107" spans="1:11" s="119" customFormat="1" ht="10.5" customHeight="1" x14ac:dyDescent="0.2">
      <c r="A107" s="120"/>
      <c r="B107" s="127"/>
      <c r="C107" s="124"/>
      <c r="D107" s="124"/>
      <c r="E107" s="124"/>
      <c r="F107" s="124"/>
      <c r="G107" s="124"/>
      <c r="H107" s="124"/>
      <c r="I107" s="124"/>
      <c r="J107" s="441"/>
      <c r="K107" s="122" t="e">
        <f>$B$2</f>
        <v>#REF!</v>
      </c>
    </row>
    <row r="108" spans="1:11" s="119" customFormat="1" ht="10.5" customHeight="1" x14ac:dyDescent="0.2">
      <c r="A108" s="120" t="s">
        <v>0</v>
      </c>
      <c r="B108" s="960" t="str">
        <f>$B$4</f>
        <v>адрес вбить сюда</v>
      </c>
      <c r="C108" s="960"/>
      <c r="D108" s="960"/>
      <c r="E108" s="960"/>
      <c r="F108" s="960"/>
      <c r="G108" s="960"/>
      <c r="H108" s="960"/>
      <c r="I108" s="960"/>
      <c r="J108" s="961"/>
      <c r="K108" s="122"/>
    </row>
    <row r="109" spans="1:11" s="119" customFormat="1" ht="10.5" customHeight="1" x14ac:dyDescent="0.2">
      <c r="A109" s="120"/>
      <c r="B109" s="960"/>
      <c r="C109" s="960"/>
      <c r="D109" s="960"/>
      <c r="E109" s="960"/>
      <c r="F109" s="960"/>
      <c r="G109" s="960"/>
      <c r="H109" s="960"/>
      <c r="I109" s="960"/>
      <c r="J109" s="961"/>
      <c r="K109" s="122" t="s">
        <v>328</v>
      </c>
    </row>
    <row r="110" spans="1:11" s="119" customFormat="1" ht="10.5" customHeight="1" x14ac:dyDescent="0.2">
      <c r="A110" s="957" t="s">
        <v>329</v>
      </c>
      <c r="B110" s="958"/>
      <c r="C110" s="958"/>
      <c r="D110" s="945" t="str">
        <f>'Акт отбора проб Вода'!F27</f>
        <v>В9</v>
      </c>
      <c r="E110" s="945"/>
      <c r="F110" s="945"/>
      <c r="G110" s="959" t="s">
        <v>330</v>
      </c>
      <c r="H110" s="959"/>
      <c r="I110" s="959"/>
      <c r="J110" s="438" t="str">
        <f>J6</f>
        <v>0,0-0,2</v>
      </c>
      <c r="K110" s="126">
        <f>$H$2</f>
        <v>45739</v>
      </c>
    </row>
    <row r="111" spans="1:11" s="119" customFormat="1" ht="10.5" customHeight="1" x14ac:dyDescent="0.2">
      <c r="A111" s="120"/>
      <c r="B111" s="127"/>
      <c r="C111" s="124"/>
      <c r="D111" s="128"/>
      <c r="E111" s="128"/>
      <c r="F111" s="128"/>
      <c r="G111" s="125"/>
      <c r="H111" s="125"/>
      <c r="I111" s="125"/>
      <c r="J111" s="442"/>
      <c r="K111" s="122" t="s">
        <v>331</v>
      </c>
    </row>
    <row r="112" spans="1:11" s="119" customFormat="1" ht="10.5" customHeight="1" x14ac:dyDescent="0.2">
      <c r="A112" s="120" t="s">
        <v>331</v>
      </c>
      <c r="B112" s="129" t="str">
        <f>'Акт отбора проб Вода'!C27</f>
        <v>09ВХ.01</v>
      </c>
      <c r="C112" s="124"/>
      <c r="D112" s="946"/>
      <c r="E112" s="946"/>
      <c r="F112" s="946"/>
      <c r="G112" s="946"/>
      <c r="H112" s="946"/>
      <c r="I112" s="125"/>
      <c r="J112" s="442"/>
      <c r="K112" s="122" t="str">
        <f>B112</f>
        <v>09ВХ.01</v>
      </c>
    </row>
    <row r="113" spans="1:11" s="119" customFormat="1" ht="10.5" customHeight="1" x14ac:dyDescent="0.2">
      <c r="A113" s="120"/>
      <c r="B113" s="127"/>
      <c r="C113" s="124"/>
      <c r="D113" s="124"/>
      <c r="E113" s="124"/>
      <c r="F113" s="124"/>
      <c r="G113" s="124"/>
      <c r="H113" s="124"/>
      <c r="I113" s="124"/>
      <c r="J113" s="441"/>
      <c r="K113" s="122" t="s">
        <v>332</v>
      </c>
    </row>
    <row r="114" spans="1:11" s="119" customFormat="1" ht="10.5" customHeight="1" x14ac:dyDescent="0.2">
      <c r="A114" s="957" t="s">
        <v>681</v>
      </c>
      <c r="B114" s="958"/>
      <c r="C114" s="947"/>
      <c r="D114" s="947"/>
      <c r="E114" s="947"/>
      <c r="F114" s="947"/>
      <c r="G114" s="947"/>
      <c r="H114" s="947"/>
      <c r="I114" s="947"/>
      <c r="J114" s="144"/>
      <c r="K114" s="122" t="str">
        <f>J110</f>
        <v>0,0-0,2</v>
      </c>
    </row>
    <row r="115" spans="1:11" s="119" customFormat="1" ht="10.5" customHeight="1" x14ac:dyDescent="0.2">
      <c r="A115" s="120" t="s">
        <v>333</v>
      </c>
      <c r="B115" s="127"/>
      <c r="C115" s="124"/>
      <c r="D115" s="124"/>
      <c r="E115" s="124"/>
      <c r="F115" s="124"/>
      <c r="G115" s="124"/>
      <c r="H115" s="124"/>
      <c r="I115" s="124"/>
      <c r="J115" s="441"/>
      <c r="K115" s="122" t="s">
        <v>334</v>
      </c>
    </row>
    <row r="116" spans="1:11" s="119" customFormat="1" ht="10.5" customHeight="1" x14ac:dyDescent="0.2">
      <c r="A116" s="120" t="s">
        <v>335</v>
      </c>
      <c r="B116" s="133"/>
      <c r="C116" s="134"/>
      <c r="D116" s="134"/>
      <c r="E116" s="134"/>
      <c r="F116" s="134"/>
      <c r="G116" s="134"/>
      <c r="H116" s="124"/>
      <c r="I116" s="124"/>
      <c r="J116" s="441"/>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40"/>
      <c r="K118" s="118"/>
    </row>
    <row r="119" spans="1:11" s="119" customFormat="1" ht="10.5" customHeight="1" x14ac:dyDescent="0.2">
      <c r="A119" s="120" t="s">
        <v>325</v>
      </c>
      <c r="B119" s="952" t="e">
        <f>$B$2</f>
        <v>#REF!</v>
      </c>
      <c r="C119" s="952"/>
      <c r="D119" s="934" t="s">
        <v>326</v>
      </c>
      <c r="E119" s="934"/>
      <c r="F119" s="934"/>
      <c r="G119" s="934"/>
      <c r="H119" s="953">
        <f>$H$2</f>
        <v>45739</v>
      </c>
      <c r="I119" s="954"/>
      <c r="J119" s="441"/>
      <c r="K119" s="122" t="s">
        <v>327</v>
      </c>
    </row>
    <row r="120" spans="1:11" s="119" customFormat="1" ht="10.5" customHeight="1" x14ac:dyDescent="0.2">
      <c r="A120" s="120"/>
      <c r="B120" s="127"/>
      <c r="C120" s="124"/>
      <c r="D120" s="124"/>
      <c r="E120" s="124"/>
      <c r="F120" s="124"/>
      <c r="G120" s="124"/>
      <c r="H120" s="124"/>
      <c r="I120" s="124"/>
      <c r="J120" s="441"/>
      <c r="K120" s="122" t="e">
        <f>$B$2</f>
        <v>#REF!</v>
      </c>
    </row>
    <row r="121" spans="1:11" s="119" customFormat="1" ht="10.5" customHeight="1" x14ac:dyDescent="0.2">
      <c r="A121" s="120" t="s">
        <v>0</v>
      </c>
      <c r="B121" s="960" t="str">
        <f>$B$4</f>
        <v>адрес вбить сюда</v>
      </c>
      <c r="C121" s="960"/>
      <c r="D121" s="960"/>
      <c r="E121" s="960"/>
      <c r="F121" s="960"/>
      <c r="G121" s="960"/>
      <c r="H121" s="960"/>
      <c r="I121" s="960"/>
      <c r="J121" s="961"/>
      <c r="K121" s="122"/>
    </row>
    <row r="122" spans="1:11" s="119" customFormat="1" ht="10.5" customHeight="1" x14ac:dyDescent="0.2">
      <c r="A122" s="152"/>
      <c r="B122" s="960"/>
      <c r="C122" s="960"/>
      <c r="D122" s="960"/>
      <c r="E122" s="960"/>
      <c r="F122" s="960"/>
      <c r="G122" s="960"/>
      <c r="H122" s="960"/>
      <c r="I122" s="960"/>
      <c r="J122" s="961"/>
      <c r="K122" s="122" t="s">
        <v>328</v>
      </c>
    </row>
    <row r="123" spans="1:11" s="119" customFormat="1" ht="10.5" customHeight="1" x14ac:dyDescent="0.2">
      <c r="A123" s="962" t="s">
        <v>329</v>
      </c>
      <c r="B123" s="952"/>
      <c r="C123" s="952"/>
      <c r="D123" s="945" t="str">
        <f>'Акт отбора проб Вода'!F28</f>
        <v>В10</v>
      </c>
      <c r="E123" s="945"/>
      <c r="F123" s="945"/>
      <c r="G123" s="963" t="s">
        <v>330</v>
      </c>
      <c r="H123" s="963"/>
      <c r="I123" s="963"/>
      <c r="J123" s="438" t="str">
        <f>J6</f>
        <v>0,0-0,2</v>
      </c>
      <c r="K123" s="126">
        <f>$H$2</f>
        <v>45739</v>
      </c>
    </row>
    <row r="124" spans="1:11" s="119" customFormat="1" ht="10.5" customHeight="1" x14ac:dyDescent="0.2">
      <c r="A124" s="152"/>
      <c r="B124" s="123"/>
      <c r="C124" s="121"/>
      <c r="D124" s="154"/>
      <c r="E124" s="154"/>
      <c r="F124" s="154"/>
      <c r="G124" s="153"/>
      <c r="H124" s="153"/>
      <c r="I124" s="153"/>
      <c r="J124" s="442"/>
      <c r="K124" s="122" t="s">
        <v>331</v>
      </c>
    </row>
    <row r="125" spans="1:11" s="119" customFormat="1" ht="10.5" customHeight="1" x14ac:dyDescent="0.2">
      <c r="A125" s="120" t="s">
        <v>331</v>
      </c>
      <c r="B125" s="129" t="str">
        <f>'Акт отбора проб Вода'!C28</f>
        <v>10ВХ.01</v>
      </c>
      <c r="C125" s="121"/>
      <c r="D125" s="946"/>
      <c r="E125" s="946"/>
      <c r="F125" s="946"/>
      <c r="G125" s="946"/>
      <c r="H125" s="946"/>
      <c r="I125" s="153"/>
      <c r="J125" s="442"/>
      <c r="K125" s="122" t="str">
        <f>B125</f>
        <v>10ВХ.01</v>
      </c>
    </row>
    <row r="126" spans="1:11" s="119" customFormat="1" ht="10.5" customHeight="1" x14ac:dyDescent="0.2">
      <c r="A126" s="152"/>
      <c r="B126" s="123"/>
      <c r="C126" s="121"/>
      <c r="D126" s="121"/>
      <c r="E126" s="121"/>
      <c r="F126" s="121"/>
      <c r="G126" s="121"/>
      <c r="H126" s="121"/>
      <c r="I126" s="121"/>
      <c r="J126" s="441"/>
      <c r="K126" s="122" t="s">
        <v>332</v>
      </c>
    </row>
    <row r="127" spans="1:11" s="119" customFormat="1" ht="10.5" customHeight="1" x14ac:dyDescent="0.2">
      <c r="A127" s="962" t="s">
        <v>681</v>
      </c>
      <c r="B127" s="952"/>
      <c r="C127" s="947"/>
      <c r="D127" s="947"/>
      <c r="E127" s="947"/>
      <c r="F127" s="947"/>
      <c r="G127" s="947"/>
      <c r="H127" s="947"/>
      <c r="I127" s="947"/>
      <c r="J127" s="155"/>
      <c r="K127" s="122" t="str">
        <f>J123</f>
        <v>0,0-0,2</v>
      </c>
    </row>
    <row r="128" spans="1:11" s="119" customFormat="1" ht="10.5" customHeight="1" x14ac:dyDescent="0.2">
      <c r="A128" s="152" t="s">
        <v>333</v>
      </c>
      <c r="B128" s="123"/>
      <c r="C128" s="121"/>
      <c r="D128" s="121"/>
      <c r="E128" s="121"/>
      <c r="F128" s="121"/>
      <c r="G128" s="121"/>
      <c r="H128" s="121"/>
      <c r="I128" s="121"/>
      <c r="J128" s="441"/>
      <c r="K128" s="122" t="s">
        <v>334</v>
      </c>
    </row>
    <row r="129" spans="1:11" s="119" customFormat="1" ht="10.5" customHeight="1" x14ac:dyDescent="0.2">
      <c r="A129" s="152" t="s">
        <v>335</v>
      </c>
      <c r="B129" s="156"/>
      <c r="C129" s="157"/>
      <c r="D129" s="157"/>
      <c r="E129" s="157"/>
      <c r="F129" s="157"/>
      <c r="G129" s="157"/>
      <c r="H129" s="121"/>
      <c r="I129" s="121"/>
      <c r="J129" s="441"/>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43"/>
      <c r="K131" s="118"/>
    </row>
    <row r="132" spans="1:11" ht="10.5" customHeight="1" x14ac:dyDescent="0.2">
      <c r="A132" s="120" t="s">
        <v>325</v>
      </c>
      <c r="B132" s="952" t="e">
        <f>$B$2</f>
        <v>#REF!</v>
      </c>
      <c r="C132" s="952"/>
      <c r="D132" s="934" t="s">
        <v>326</v>
      </c>
      <c r="E132" s="934"/>
      <c r="F132" s="934"/>
      <c r="G132" s="934"/>
      <c r="H132" s="953">
        <f>$H$2</f>
        <v>45739</v>
      </c>
      <c r="I132" s="954"/>
      <c r="J132" s="441"/>
      <c r="K132" s="122" t="s">
        <v>327</v>
      </c>
    </row>
    <row r="133" spans="1:11" ht="10.5" customHeight="1" x14ac:dyDescent="0.2">
      <c r="A133" s="120"/>
      <c r="B133" s="127"/>
      <c r="C133" s="124"/>
      <c r="D133" s="124"/>
      <c r="E133" s="124"/>
      <c r="F133" s="124"/>
      <c r="G133" s="124"/>
      <c r="H133" s="124"/>
      <c r="I133" s="124"/>
      <c r="J133" s="441"/>
      <c r="K133" s="122" t="e">
        <f>$B$2</f>
        <v>#REF!</v>
      </c>
    </row>
    <row r="134" spans="1:11" ht="10.5" customHeight="1" x14ac:dyDescent="0.2">
      <c r="A134" s="120" t="s">
        <v>0</v>
      </c>
      <c r="B134" s="960" t="str">
        <f>$B$4</f>
        <v>адрес вбить сюда</v>
      </c>
      <c r="C134" s="960"/>
      <c r="D134" s="960"/>
      <c r="E134" s="960"/>
      <c r="F134" s="960"/>
      <c r="G134" s="960"/>
      <c r="H134" s="960"/>
      <c r="I134" s="960"/>
      <c r="J134" s="961"/>
      <c r="K134" s="122"/>
    </row>
    <row r="135" spans="1:11" ht="10.5" customHeight="1" x14ac:dyDescent="0.2">
      <c r="A135" s="120"/>
      <c r="B135" s="960"/>
      <c r="C135" s="960"/>
      <c r="D135" s="960"/>
      <c r="E135" s="960"/>
      <c r="F135" s="960"/>
      <c r="G135" s="960"/>
      <c r="H135" s="960"/>
      <c r="I135" s="960"/>
      <c r="J135" s="961"/>
      <c r="K135" s="122" t="s">
        <v>328</v>
      </c>
    </row>
    <row r="136" spans="1:11" ht="10.5" customHeight="1" x14ac:dyDescent="0.2">
      <c r="A136" s="957" t="s">
        <v>329</v>
      </c>
      <c r="B136" s="958"/>
      <c r="C136" s="958"/>
      <c r="D136" s="945" t="str">
        <f>'Акт отбора проб Вода'!F29</f>
        <v>В11</v>
      </c>
      <c r="E136" s="945"/>
      <c r="F136" s="945"/>
      <c r="G136" s="959" t="s">
        <v>330</v>
      </c>
      <c r="H136" s="959"/>
      <c r="I136" s="959"/>
      <c r="J136" s="438" t="str">
        <f>J6</f>
        <v>0,0-0,2</v>
      </c>
      <c r="K136" s="126">
        <f>$H$2</f>
        <v>45739</v>
      </c>
    </row>
    <row r="137" spans="1:11" ht="10.5" customHeight="1" x14ac:dyDescent="0.2">
      <c r="A137" s="120"/>
      <c r="B137" s="127"/>
      <c r="C137" s="124"/>
      <c r="D137" s="128"/>
      <c r="E137" s="128"/>
      <c r="F137" s="128"/>
      <c r="G137" s="125"/>
      <c r="H137" s="125"/>
      <c r="I137" s="125"/>
      <c r="J137" s="442"/>
      <c r="K137" s="122" t="s">
        <v>331</v>
      </c>
    </row>
    <row r="138" spans="1:11" ht="10.5" customHeight="1" x14ac:dyDescent="0.2">
      <c r="A138" s="120" t="s">
        <v>331</v>
      </c>
      <c r="B138" s="129" t="str">
        <f>'Акт отбора проб Вода'!C29</f>
        <v>11ВХ.01</v>
      </c>
      <c r="C138" s="124"/>
      <c r="D138" s="946"/>
      <c r="E138" s="946"/>
      <c r="F138" s="946"/>
      <c r="G138" s="946"/>
      <c r="H138" s="946"/>
      <c r="I138" s="125"/>
      <c r="J138" s="442"/>
      <c r="K138" s="122" t="str">
        <f>B138</f>
        <v>11ВХ.01</v>
      </c>
    </row>
    <row r="139" spans="1:11" ht="10.5" customHeight="1" x14ac:dyDescent="0.2">
      <c r="A139" s="120"/>
      <c r="B139" s="127"/>
      <c r="C139" s="124"/>
      <c r="D139" s="124"/>
      <c r="E139" s="124"/>
      <c r="F139" s="124"/>
      <c r="G139" s="124"/>
      <c r="H139" s="124"/>
      <c r="I139" s="124"/>
      <c r="J139" s="441"/>
      <c r="K139" s="122" t="s">
        <v>332</v>
      </c>
    </row>
    <row r="140" spans="1:11" ht="10.5" customHeight="1" x14ac:dyDescent="0.2">
      <c r="A140" s="957" t="s">
        <v>681</v>
      </c>
      <c r="B140" s="958"/>
      <c r="C140" s="947"/>
      <c r="D140" s="947"/>
      <c r="E140" s="947"/>
      <c r="F140" s="947"/>
      <c r="G140" s="947"/>
      <c r="H140" s="947"/>
      <c r="I140" s="947"/>
      <c r="J140" s="144"/>
      <c r="K140" s="122" t="str">
        <f>J136</f>
        <v>0,0-0,2</v>
      </c>
    </row>
    <row r="141" spans="1:11" ht="10.5" customHeight="1" x14ac:dyDescent="0.2">
      <c r="A141" s="120" t="s">
        <v>333</v>
      </c>
      <c r="B141" s="127"/>
      <c r="C141" s="124"/>
      <c r="D141" s="124"/>
      <c r="E141" s="124"/>
      <c r="F141" s="124"/>
      <c r="G141" s="124"/>
      <c r="H141" s="124"/>
      <c r="I141" s="124"/>
      <c r="J141" s="441"/>
      <c r="K141" s="122" t="s">
        <v>334</v>
      </c>
    </row>
    <row r="142" spans="1:11" ht="10.5" customHeight="1" x14ac:dyDescent="0.2">
      <c r="A142" s="120" t="s">
        <v>335</v>
      </c>
      <c r="B142" s="133"/>
      <c r="C142" s="134"/>
      <c r="D142" s="134"/>
      <c r="E142" s="134"/>
      <c r="F142" s="134"/>
      <c r="G142" s="134"/>
      <c r="H142" s="124"/>
      <c r="I142" s="124"/>
      <c r="J142" s="441"/>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40"/>
      <c r="K144" s="118"/>
    </row>
    <row r="145" spans="1:11" ht="10.5" customHeight="1" x14ac:dyDescent="0.2">
      <c r="A145" s="120" t="s">
        <v>325</v>
      </c>
      <c r="B145" s="952" t="e">
        <f>$B$2</f>
        <v>#REF!</v>
      </c>
      <c r="C145" s="952"/>
      <c r="D145" s="934" t="s">
        <v>326</v>
      </c>
      <c r="E145" s="934"/>
      <c r="F145" s="934"/>
      <c r="G145" s="934"/>
      <c r="H145" s="953">
        <f>$H$2</f>
        <v>45739</v>
      </c>
      <c r="I145" s="954"/>
      <c r="J145" s="441"/>
      <c r="K145" s="122" t="s">
        <v>327</v>
      </c>
    </row>
    <row r="146" spans="1:11" ht="10.5" customHeight="1" x14ac:dyDescent="0.2">
      <c r="A146" s="120"/>
      <c r="B146" s="127"/>
      <c r="C146" s="124"/>
      <c r="D146" s="124"/>
      <c r="E146" s="124"/>
      <c r="F146" s="124"/>
      <c r="G146" s="124"/>
      <c r="H146" s="124"/>
      <c r="I146" s="124"/>
      <c r="J146" s="441"/>
      <c r="K146" s="122" t="e">
        <f>$B$2</f>
        <v>#REF!</v>
      </c>
    </row>
    <row r="147" spans="1:11" ht="10.5" customHeight="1" x14ac:dyDescent="0.2">
      <c r="A147" s="120" t="s">
        <v>0</v>
      </c>
      <c r="B147" s="960" t="str">
        <f>$B$4</f>
        <v>адрес вбить сюда</v>
      </c>
      <c r="C147" s="960"/>
      <c r="D147" s="960"/>
      <c r="E147" s="960"/>
      <c r="F147" s="960"/>
      <c r="G147" s="960"/>
      <c r="H147" s="960"/>
      <c r="I147" s="960"/>
      <c r="J147" s="961"/>
      <c r="K147" s="122"/>
    </row>
    <row r="148" spans="1:11" ht="10.5" customHeight="1" x14ac:dyDescent="0.2">
      <c r="A148" s="120"/>
      <c r="B148" s="960"/>
      <c r="C148" s="960"/>
      <c r="D148" s="960"/>
      <c r="E148" s="960"/>
      <c r="F148" s="960"/>
      <c r="G148" s="960"/>
      <c r="H148" s="960"/>
      <c r="I148" s="960"/>
      <c r="J148" s="961"/>
      <c r="K148" s="122" t="s">
        <v>328</v>
      </c>
    </row>
    <row r="149" spans="1:11" ht="10.5" customHeight="1" x14ac:dyDescent="0.2">
      <c r="A149" s="957" t="s">
        <v>329</v>
      </c>
      <c r="B149" s="958"/>
      <c r="C149" s="958"/>
      <c r="D149" s="945" t="str">
        <f>'Акт отбора проб Вода'!F30</f>
        <v>В12</v>
      </c>
      <c r="E149" s="945"/>
      <c r="F149" s="945"/>
      <c r="G149" s="959" t="s">
        <v>330</v>
      </c>
      <c r="H149" s="959"/>
      <c r="I149" s="959"/>
      <c r="J149" s="438" t="str">
        <f>J6</f>
        <v>0,0-0,2</v>
      </c>
      <c r="K149" s="126">
        <f>$H$2</f>
        <v>45739</v>
      </c>
    </row>
    <row r="150" spans="1:11" ht="10.5" customHeight="1" x14ac:dyDescent="0.2">
      <c r="A150" s="120"/>
      <c r="B150" s="127"/>
      <c r="C150" s="124"/>
      <c r="D150" s="128"/>
      <c r="E150" s="128"/>
      <c r="F150" s="128"/>
      <c r="G150" s="125"/>
      <c r="H150" s="125"/>
      <c r="I150" s="125"/>
      <c r="J150" s="442"/>
      <c r="K150" s="122" t="s">
        <v>331</v>
      </c>
    </row>
    <row r="151" spans="1:11" ht="10.5" customHeight="1" x14ac:dyDescent="0.2">
      <c r="A151" s="120" t="s">
        <v>331</v>
      </c>
      <c r="B151" s="129" t="str">
        <f>'Акт отбора проб Вода'!C30</f>
        <v>12ВХ.01</v>
      </c>
      <c r="C151" s="124"/>
      <c r="D151" s="946"/>
      <c r="E151" s="946"/>
      <c r="F151" s="946"/>
      <c r="G151" s="946"/>
      <c r="H151" s="946"/>
      <c r="I151" s="125"/>
      <c r="J151" s="442"/>
      <c r="K151" s="122" t="str">
        <f>B151</f>
        <v>12ВХ.01</v>
      </c>
    </row>
    <row r="152" spans="1:11" ht="10.5" customHeight="1" x14ac:dyDescent="0.2">
      <c r="A152" s="120"/>
      <c r="B152" s="127"/>
      <c r="C152" s="124"/>
      <c r="D152" s="124"/>
      <c r="E152" s="124"/>
      <c r="F152" s="124"/>
      <c r="G152" s="124"/>
      <c r="H152" s="124"/>
      <c r="I152" s="124"/>
      <c r="J152" s="441"/>
      <c r="K152" s="122" t="s">
        <v>332</v>
      </c>
    </row>
    <row r="153" spans="1:11" ht="10.5" customHeight="1" x14ac:dyDescent="0.2">
      <c r="A153" s="957" t="s">
        <v>681</v>
      </c>
      <c r="B153" s="958"/>
      <c r="C153" s="947"/>
      <c r="D153" s="947"/>
      <c r="E153" s="947"/>
      <c r="F153" s="947"/>
      <c r="G153" s="947"/>
      <c r="H153" s="947"/>
      <c r="I153" s="947"/>
      <c r="J153" s="144"/>
      <c r="K153" s="122" t="str">
        <f>J149</f>
        <v>0,0-0,2</v>
      </c>
    </row>
    <row r="154" spans="1:11" ht="10.5" customHeight="1" x14ac:dyDescent="0.2">
      <c r="A154" s="120" t="s">
        <v>333</v>
      </c>
      <c r="B154" s="127"/>
      <c r="C154" s="124"/>
      <c r="D154" s="124"/>
      <c r="E154" s="124"/>
      <c r="F154" s="124"/>
      <c r="G154" s="124"/>
      <c r="H154" s="124"/>
      <c r="I154" s="124"/>
      <c r="J154" s="441"/>
      <c r="K154" s="122" t="s">
        <v>334</v>
      </c>
    </row>
    <row r="155" spans="1:11" ht="10.5" customHeight="1" x14ac:dyDescent="0.2">
      <c r="A155" s="120" t="s">
        <v>335</v>
      </c>
      <c r="B155" s="133"/>
      <c r="C155" s="134"/>
      <c r="D155" s="134"/>
      <c r="E155" s="134"/>
      <c r="F155" s="134"/>
      <c r="G155" s="134"/>
      <c r="H155" s="124"/>
      <c r="I155" s="124"/>
      <c r="J155" s="441"/>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40"/>
      <c r="K157" s="118"/>
    </row>
    <row r="158" spans="1:11" ht="10.5" customHeight="1" x14ac:dyDescent="0.2">
      <c r="A158" s="120" t="s">
        <v>325</v>
      </c>
      <c r="B158" s="952" t="e">
        <f>$B$2</f>
        <v>#REF!</v>
      </c>
      <c r="C158" s="952"/>
      <c r="D158" s="934" t="s">
        <v>326</v>
      </c>
      <c r="E158" s="934"/>
      <c r="F158" s="934"/>
      <c r="G158" s="934"/>
      <c r="H158" s="953">
        <f>$H$2</f>
        <v>45739</v>
      </c>
      <c r="I158" s="953"/>
      <c r="J158" s="441"/>
      <c r="K158" s="122" t="s">
        <v>327</v>
      </c>
    </row>
    <row r="159" spans="1:11" ht="10.5" customHeight="1" x14ac:dyDescent="0.2">
      <c r="A159" s="120"/>
      <c r="B159" s="127"/>
      <c r="C159" s="124"/>
      <c r="D159" s="124"/>
      <c r="E159" s="124"/>
      <c r="F159" s="124"/>
      <c r="G159" s="124"/>
      <c r="H159" s="124"/>
      <c r="I159" s="124"/>
      <c r="J159" s="441"/>
      <c r="K159" s="122" t="e">
        <f>$B$2</f>
        <v>#REF!</v>
      </c>
    </row>
    <row r="160" spans="1:11" ht="10.5" customHeight="1" x14ac:dyDescent="0.2">
      <c r="A160" s="120" t="s">
        <v>0</v>
      </c>
      <c r="B160" s="960" t="str">
        <f>$B$4</f>
        <v>адрес вбить сюда</v>
      </c>
      <c r="C160" s="960"/>
      <c r="D160" s="960"/>
      <c r="E160" s="960"/>
      <c r="F160" s="960"/>
      <c r="G160" s="960"/>
      <c r="H160" s="960"/>
      <c r="I160" s="960"/>
      <c r="J160" s="961"/>
      <c r="K160" s="122"/>
    </row>
    <row r="161" spans="1:11" ht="10.5" customHeight="1" x14ac:dyDescent="0.2">
      <c r="A161" s="120"/>
      <c r="B161" s="960"/>
      <c r="C161" s="960"/>
      <c r="D161" s="960"/>
      <c r="E161" s="960"/>
      <c r="F161" s="960"/>
      <c r="G161" s="960"/>
      <c r="H161" s="960"/>
      <c r="I161" s="960"/>
      <c r="J161" s="961"/>
      <c r="K161" s="122" t="s">
        <v>328</v>
      </c>
    </row>
    <row r="162" spans="1:11" ht="10.5" customHeight="1" x14ac:dyDescent="0.2">
      <c r="A162" s="957" t="s">
        <v>329</v>
      </c>
      <c r="B162" s="958"/>
      <c r="C162" s="958"/>
      <c r="D162" s="945" t="str">
        <f>'Акт отбора проб Вода'!F31</f>
        <v>В13</v>
      </c>
      <c r="E162" s="945"/>
      <c r="F162" s="945"/>
      <c r="G162" s="959" t="s">
        <v>330</v>
      </c>
      <c r="H162" s="959"/>
      <c r="I162" s="959"/>
      <c r="J162" s="438" t="str">
        <f>J6</f>
        <v>0,0-0,2</v>
      </c>
      <c r="K162" s="126">
        <f>$H$2</f>
        <v>45739</v>
      </c>
    </row>
    <row r="163" spans="1:11" ht="10.5" customHeight="1" x14ac:dyDescent="0.2">
      <c r="A163" s="120"/>
      <c r="B163" s="127"/>
      <c r="C163" s="124"/>
      <c r="D163" s="128"/>
      <c r="E163" s="128"/>
      <c r="F163" s="128"/>
      <c r="G163" s="125"/>
      <c r="H163" s="125"/>
      <c r="I163" s="125"/>
      <c r="J163" s="442"/>
      <c r="K163" s="122" t="s">
        <v>331</v>
      </c>
    </row>
    <row r="164" spans="1:11" ht="10.5" customHeight="1" x14ac:dyDescent="0.2">
      <c r="A164" s="120" t="s">
        <v>331</v>
      </c>
      <c r="B164" s="129" t="str">
        <f>'Акт отбора проб Вода'!C31</f>
        <v>13ВХ.01</v>
      </c>
      <c r="C164" s="124"/>
      <c r="D164" s="946"/>
      <c r="E164" s="946"/>
      <c r="F164" s="946"/>
      <c r="G164" s="946"/>
      <c r="H164" s="946"/>
      <c r="I164" s="125"/>
      <c r="J164" s="442"/>
      <c r="K164" s="122" t="str">
        <f>B164</f>
        <v>13ВХ.01</v>
      </c>
    </row>
    <row r="165" spans="1:11" ht="10.5" customHeight="1" x14ac:dyDescent="0.2">
      <c r="A165" s="120"/>
      <c r="B165" s="127"/>
      <c r="C165" s="124"/>
      <c r="D165" s="124"/>
      <c r="E165" s="124"/>
      <c r="F165" s="124"/>
      <c r="G165" s="124"/>
      <c r="H165" s="124"/>
      <c r="I165" s="124"/>
      <c r="J165" s="441"/>
      <c r="K165" s="122" t="s">
        <v>332</v>
      </c>
    </row>
    <row r="166" spans="1:11" ht="10.5" customHeight="1" x14ac:dyDescent="0.2">
      <c r="A166" s="957" t="s">
        <v>681</v>
      </c>
      <c r="B166" s="958"/>
      <c r="C166" s="947"/>
      <c r="D166" s="947"/>
      <c r="E166" s="947"/>
      <c r="F166" s="947"/>
      <c r="G166" s="947"/>
      <c r="H166" s="947"/>
      <c r="I166" s="947"/>
      <c r="J166" s="144"/>
      <c r="K166" s="122" t="str">
        <f>J162</f>
        <v>0,0-0,2</v>
      </c>
    </row>
    <row r="167" spans="1:11" ht="10.5" customHeight="1" x14ac:dyDescent="0.2">
      <c r="A167" s="120" t="s">
        <v>333</v>
      </c>
      <c r="B167" s="127"/>
      <c r="C167" s="124"/>
      <c r="D167" s="124"/>
      <c r="E167" s="124"/>
      <c r="F167" s="124"/>
      <c r="G167" s="124"/>
      <c r="H167" s="124"/>
      <c r="I167" s="124"/>
      <c r="J167" s="441"/>
      <c r="K167" s="122" t="s">
        <v>334</v>
      </c>
    </row>
    <row r="168" spans="1:11" ht="10.5" customHeight="1" x14ac:dyDescent="0.2">
      <c r="A168" s="120" t="s">
        <v>335</v>
      </c>
      <c r="B168" s="133"/>
      <c r="C168" s="134"/>
      <c r="D168" s="134"/>
      <c r="E168" s="134"/>
      <c r="F168" s="134"/>
      <c r="G168" s="134"/>
      <c r="H168" s="124"/>
      <c r="I168" s="124"/>
      <c r="J168" s="441"/>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40"/>
      <c r="K170" s="118"/>
    </row>
    <row r="171" spans="1:11" ht="10.5" customHeight="1" x14ac:dyDescent="0.2">
      <c r="A171" s="120" t="s">
        <v>325</v>
      </c>
      <c r="B171" s="952" t="e">
        <f>$B$2</f>
        <v>#REF!</v>
      </c>
      <c r="C171" s="952"/>
      <c r="D171" s="934" t="s">
        <v>326</v>
      </c>
      <c r="E171" s="934"/>
      <c r="F171" s="934"/>
      <c r="G171" s="934"/>
      <c r="H171" s="953">
        <f>$H$2</f>
        <v>45739</v>
      </c>
      <c r="I171" s="953"/>
      <c r="J171" s="441"/>
      <c r="K171" s="122" t="s">
        <v>327</v>
      </c>
    </row>
    <row r="172" spans="1:11" ht="10.5" customHeight="1" x14ac:dyDescent="0.2">
      <c r="A172" s="120"/>
      <c r="B172" s="127"/>
      <c r="C172" s="124"/>
      <c r="D172" s="124"/>
      <c r="E172" s="124"/>
      <c r="F172" s="124"/>
      <c r="G172" s="124"/>
      <c r="H172" s="124"/>
      <c r="I172" s="124"/>
      <c r="J172" s="441"/>
      <c r="K172" s="122" t="e">
        <f>$B$2</f>
        <v>#REF!</v>
      </c>
    </row>
    <row r="173" spans="1:11" ht="10.5" customHeight="1" x14ac:dyDescent="0.2">
      <c r="A173" s="120" t="s">
        <v>0</v>
      </c>
      <c r="B173" s="960" t="str">
        <f>$B$4</f>
        <v>адрес вбить сюда</v>
      </c>
      <c r="C173" s="960"/>
      <c r="D173" s="960"/>
      <c r="E173" s="960"/>
      <c r="F173" s="960"/>
      <c r="G173" s="960"/>
      <c r="H173" s="960"/>
      <c r="I173" s="960"/>
      <c r="J173" s="961"/>
      <c r="K173" s="122"/>
    </row>
    <row r="174" spans="1:11" ht="10.5" customHeight="1" x14ac:dyDescent="0.2">
      <c r="A174" s="120"/>
      <c r="B174" s="960"/>
      <c r="C174" s="960"/>
      <c r="D174" s="960"/>
      <c r="E174" s="960"/>
      <c r="F174" s="960"/>
      <c r="G174" s="960"/>
      <c r="H174" s="960"/>
      <c r="I174" s="960"/>
      <c r="J174" s="961"/>
      <c r="K174" s="122" t="s">
        <v>328</v>
      </c>
    </row>
    <row r="175" spans="1:11" ht="10.5" customHeight="1" x14ac:dyDescent="0.2">
      <c r="A175" s="957" t="s">
        <v>329</v>
      </c>
      <c r="B175" s="958"/>
      <c r="C175" s="958"/>
      <c r="D175" s="945" t="str">
        <f>'Акт отбора проб Вода'!F32</f>
        <v>В14</v>
      </c>
      <c r="E175" s="945"/>
      <c r="F175" s="945"/>
      <c r="G175" s="959" t="s">
        <v>330</v>
      </c>
      <c r="H175" s="959"/>
      <c r="I175" s="959"/>
      <c r="J175" s="438" t="str">
        <f>J6</f>
        <v>0,0-0,2</v>
      </c>
      <c r="K175" s="126">
        <f>$H$2</f>
        <v>45739</v>
      </c>
    </row>
    <row r="176" spans="1:11" ht="10.5" customHeight="1" x14ac:dyDescent="0.2">
      <c r="A176" s="120"/>
      <c r="B176" s="127"/>
      <c r="C176" s="124"/>
      <c r="D176" s="128"/>
      <c r="E176" s="128"/>
      <c r="F176" s="128"/>
      <c r="G176" s="125"/>
      <c r="H176" s="125"/>
      <c r="I176" s="125"/>
      <c r="J176" s="442"/>
      <c r="K176" s="122" t="s">
        <v>331</v>
      </c>
    </row>
    <row r="177" spans="1:11" ht="10.5" customHeight="1" x14ac:dyDescent="0.2">
      <c r="A177" s="120" t="s">
        <v>331</v>
      </c>
      <c r="B177" s="129" t="str">
        <f>'Акт отбора проб Вода'!C32</f>
        <v>14ВХ.01</v>
      </c>
      <c r="C177" s="124"/>
      <c r="D177" s="946"/>
      <c r="E177" s="946"/>
      <c r="F177" s="946"/>
      <c r="G177" s="946"/>
      <c r="H177" s="946"/>
      <c r="I177" s="125"/>
      <c r="J177" s="442"/>
      <c r="K177" s="122" t="str">
        <f>B177</f>
        <v>14ВХ.01</v>
      </c>
    </row>
    <row r="178" spans="1:11" ht="10.5" customHeight="1" x14ac:dyDescent="0.2">
      <c r="A178" s="120"/>
      <c r="B178" s="127"/>
      <c r="C178" s="124"/>
      <c r="D178" s="124"/>
      <c r="E178" s="124"/>
      <c r="F178" s="124"/>
      <c r="G178" s="124"/>
      <c r="H178" s="124"/>
      <c r="I178" s="124"/>
      <c r="J178" s="441"/>
      <c r="K178" s="122" t="s">
        <v>332</v>
      </c>
    </row>
    <row r="179" spans="1:11" ht="10.5" customHeight="1" x14ac:dyDescent="0.2">
      <c r="A179" s="957" t="s">
        <v>681</v>
      </c>
      <c r="B179" s="958"/>
      <c r="C179" s="947"/>
      <c r="D179" s="947"/>
      <c r="E179" s="947"/>
      <c r="F179" s="947"/>
      <c r="G179" s="947"/>
      <c r="H179" s="947"/>
      <c r="I179" s="947"/>
      <c r="J179" s="144"/>
      <c r="K179" s="122" t="str">
        <f>J175</f>
        <v>0,0-0,2</v>
      </c>
    </row>
    <row r="180" spans="1:11" ht="10.5" customHeight="1" x14ac:dyDescent="0.2">
      <c r="A180" s="120" t="s">
        <v>333</v>
      </c>
      <c r="B180" s="127"/>
      <c r="C180" s="124"/>
      <c r="D180" s="124"/>
      <c r="E180" s="124"/>
      <c r="F180" s="124"/>
      <c r="G180" s="124"/>
      <c r="H180" s="124"/>
      <c r="I180" s="124"/>
      <c r="J180" s="441"/>
      <c r="K180" s="122" t="s">
        <v>334</v>
      </c>
    </row>
    <row r="181" spans="1:11" ht="10.5" customHeight="1" x14ac:dyDescent="0.2">
      <c r="A181" s="120" t="s">
        <v>335</v>
      </c>
      <c r="B181" s="133"/>
      <c r="C181" s="134"/>
      <c r="D181" s="134"/>
      <c r="E181" s="134"/>
      <c r="F181" s="134"/>
      <c r="G181" s="134"/>
      <c r="H181" s="124"/>
      <c r="I181" s="124"/>
      <c r="J181" s="441"/>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40"/>
      <c r="K183" s="118"/>
    </row>
    <row r="184" spans="1:11" ht="10.5" customHeight="1" x14ac:dyDescent="0.2">
      <c r="A184" s="120" t="s">
        <v>325</v>
      </c>
      <c r="B184" s="952" t="e">
        <f>$B$2</f>
        <v>#REF!</v>
      </c>
      <c r="C184" s="952"/>
      <c r="D184" s="934" t="s">
        <v>326</v>
      </c>
      <c r="E184" s="934"/>
      <c r="F184" s="934"/>
      <c r="G184" s="934"/>
      <c r="H184" s="953">
        <f>$H$2</f>
        <v>45739</v>
      </c>
      <c r="I184" s="953"/>
      <c r="J184" s="441"/>
      <c r="K184" s="122" t="s">
        <v>327</v>
      </c>
    </row>
    <row r="185" spans="1:11" ht="10.5" customHeight="1" x14ac:dyDescent="0.2">
      <c r="A185" s="120"/>
      <c r="B185" s="127"/>
      <c r="C185" s="124"/>
      <c r="D185" s="124"/>
      <c r="E185" s="124"/>
      <c r="F185" s="124"/>
      <c r="G185" s="124"/>
      <c r="H185" s="124"/>
      <c r="I185" s="124"/>
      <c r="J185" s="441"/>
      <c r="K185" s="122" t="e">
        <f>$B$2</f>
        <v>#REF!</v>
      </c>
    </row>
    <row r="186" spans="1:11" ht="10.5" customHeight="1" x14ac:dyDescent="0.2">
      <c r="A186" s="120" t="s">
        <v>0</v>
      </c>
      <c r="B186" s="960" t="str">
        <f>$B$4</f>
        <v>адрес вбить сюда</v>
      </c>
      <c r="C186" s="960"/>
      <c r="D186" s="960"/>
      <c r="E186" s="960"/>
      <c r="F186" s="960"/>
      <c r="G186" s="960"/>
      <c r="H186" s="960"/>
      <c r="I186" s="960"/>
      <c r="J186" s="961"/>
      <c r="K186" s="122"/>
    </row>
    <row r="187" spans="1:11" ht="10.5" customHeight="1" x14ac:dyDescent="0.2">
      <c r="A187" s="120"/>
      <c r="B187" s="960"/>
      <c r="C187" s="960"/>
      <c r="D187" s="960"/>
      <c r="E187" s="960"/>
      <c r="F187" s="960"/>
      <c r="G187" s="960"/>
      <c r="H187" s="960"/>
      <c r="I187" s="960"/>
      <c r="J187" s="961"/>
      <c r="K187" s="122" t="s">
        <v>328</v>
      </c>
    </row>
    <row r="188" spans="1:11" ht="10.5" customHeight="1" x14ac:dyDescent="0.2">
      <c r="A188" s="957" t="s">
        <v>329</v>
      </c>
      <c r="B188" s="958"/>
      <c r="C188" s="958"/>
      <c r="D188" s="945" t="str">
        <f>'Акт отбора проб Вода'!F33</f>
        <v>В15</v>
      </c>
      <c r="E188" s="945"/>
      <c r="F188" s="945"/>
      <c r="G188" s="959" t="s">
        <v>330</v>
      </c>
      <c r="H188" s="959"/>
      <c r="I188" s="959"/>
      <c r="J188" s="438" t="str">
        <f>J6</f>
        <v>0,0-0,2</v>
      </c>
      <c r="K188" s="126">
        <f>$H$2</f>
        <v>45739</v>
      </c>
    </row>
    <row r="189" spans="1:11" ht="10.5" customHeight="1" x14ac:dyDescent="0.2">
      <c r="A189" s="120"/>
      <c r="B189" s="127"/>
      <c r="C189" s="124"/>
      <c r="D189" s="128"/>
      <c r="E189" s="128"/>
      <c r="F189" s="128"/>
      <c r="G189" s="125"/>
      <c r="H189" s="125"/>
      <c r="I189" s="125"/>
      <c r="J189" s="442"/>
      <c r="K189" s="122" t="s">
        <v>331</v>
      </c>
    </row>
    <row r="190" spans="1:11" ht="10.5" customHeight="1" x14ac:dyDescent="0.2">
      <c r="A190" s="120" t="s">
        <v>331</v>
      </c>
      <c r="B190" s="129" t="str">
        <f>'Акт отбора проб Вода'!C33</f>
        <v>15ВХ.01</v>
      </c>
      <c r="C190" s="124"/>
      <c r="D190" s="946"/>
      <c r="E190" s="946"/>
      <c r="F190" s="946"/>
      <c r="G190" s="946"/>
      <c r="H190" s="946"/>
      <c r="I190" s="125"/>
      <c r="J190" s="442"/>
      <c r="K190" s="122" t="str">
        <f>B190</f>
        <v>15ВХ.01</v>
      </c>
    </row>
    <row r="191" spans="1:11" ht="10.5" customHeight="1" x14ac:dyDescent="0.2">
      <c r="A191" s="120"/>
      <c r="B191" s="127"/>
      <c r="C191" s="124"/>
      <c r="D191" s="124"/>
      <c r="E191" s="124"/>
      <c r="F191" s="124"/>
      <c r="G191" s="124"/>
      <c r="H191" s="124"/>
      <c r="I191" s="124"/>
      <c r="J191" s="441"/>
      <c r="K191" s="122" t="s">
        <v>332</v>
      </c>
    </row>
    <row r="192" spans="1:11" ht="10.5" customHeight="1" x14ac:dyDescent="0.2">
      <c r="A192" s="957" t="s">
        <v>681</v>
      </c>
      <c r="B192" s="958"/>
      <c r="C192" s="947"/>
      <c r="D192" s="947"/>
      <c r="E192" s="947"/>
      <c r="F192" s="947"/>
      <c r="G192" s="947"/>
      <c r="H192" s="947"/>
      <c r="I192" s="947"/>
      <c r="J192" s="144"/>
      <c r="K192" s="122" t="str">
        <f>J188</f>
        <v>0,0-0,2</v>
      </c>
    </row>
    <row r="193" spans="1:11" ht="10.5" customHeight="1" x14ac:dyDescent="0.2">
      <c r="A193" s="120" t="s">
        <v>333</v>
      </c>
      <c r="B193" s="127"/>
      <c r="C193" s="124"/>
      <c r="D193" s="124"/>
      <c r="E193" s="124"/>
      <c r="F193" s="124"/>
      <c r="G193" s="124"/>
      <c r="H193" s="124"/>
      <c r="I193" s="124"/>
      <c r="J193" s="441"/>
      <c r="K193" s="122" t="s">
        <v>334</v>
      </c>
    </row>
    <row r="194" spans="1:11" ht="10.5" customHeight="1" x14ac:dyDescent="0.2">
      <c r="A194" s="120" t="s">
        <v>335</v>
      </c>
      <c r="B194" s="133"/>
      <c r="C194" s="134"/>
      <c r="D194" s="134"/>
      <c r="E194" s="134"/>
      <c r="F194" s="134"/>
      <c r="G194" s="134"/>
      <c r="H194" s="124"/>
      <c r="I194" s="124"/>
      <c r="J194" s="441"/>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40"/>
      <c r="K196" s="118"/>
    </row>
    <row r="197" spans="1:11" ht="10.5" customHeight="1" x14ac:dyDescent="0.2">
      <c r="A197" s="120" t="s">
        <v>325</v>
      </c>
      <c r="B197" s="952" t="e">
        <f>$B$2</f>
        <v>#REF!</v>
      </c>
      <c r="C197" s="952"/>
      <c r="D197" s="934" t="s">
        <v>326</v>
      </c>
      <c r="E197" s="934"/>
      <c r="F197" s="934"/>
      <c r="G197" s="934"/>
      <c r="H197" s="953">
        <f>$H$2</f>
        <v>45739</v>
      </c>
      <c r="I197" s="953"/>
      <c r="J197" s="441"/>
      <c r="K197" s="122" t="s">
        <v>327</v>
      </c>
    </row>
    <row r="198" spans="1:11" ht="10.5" customHeight="1" x14ac:dyDescent="0.2">
      <c r="A198" s="120"/>
      <c r="B198" s="127"/>
      <c r="C198" s="124"/>
      <c r="D198" s="124"/>
      <c r="E198" s="124"/>
      <c r="F198" s="124"/>
      <c r="G198" s="124"/>
      <c r="H198" s="124"/>
      <c r="I198" s="124"/>
      <c r="J198" s="441"/>
      <c r="K198" s="122" t="e">
        <f>$B$2</f>
        <v>#REF!</v>
      </c>
    </row>
    <row r="199" spans="1:11" ht="10.5" customHeight="1" x14ac:dyDescent="0.2">
      <c r="A199" s="120" t="s">
        <v>0</v>
      </c>
      <c r="B199" s="960" t="str">
        <f>$B$4</f>
        <v>адрес вбить сюда</v>
      </c>
      <c r="C199" s="960"/>
      <c r="D199" s="960"/>
      <c r="E199" s="960"/>
      <c r="F199" s="960"/>
      <c r="G199" s="960"/>
      <c r="H199" s="960"/>
      <c r="I199" s="960"/>
      <c r="J199" s="961"/>
      <c r="K199" s="122"/>
    </row>
    <row r="200" spans="1:11" ht="10.5" customHeight="1" x14ac:dyDescent="0.2">
      <c r="A200" s="120"/>
      <c r="B200" s="960"/>
      <c r="C200" s="960"/>
      <c r="D200" s="960"/>
      <c r="E200" s="960"/>
      <c r="F200" s="960"/>
      <c r="G200" s="960"/>
      <c r="H200" s="960"/>
      <c r="I200" s="960"/>
      <c r="J200" s="961"/>
      <c r="K200" s="122" t="s">
        <v>328</v>
      </c>
    </row>
    <row r="201" spans="1:11" ht="10.5" customHeight="1" x14ac:dyDescent="0.2">
      <c r="A201" s="957" t="s">
        <v>329</v>
      </c>
      <c r="B201" s="958"/>
      <c r="C201" s="958"/>
      <c r="D201" s="945" t="str">
        <f>'Акт отбора проб Вода'!F34</f>
        <v>В16</v>
      </c>
      <c r="E201" s="945"/>
      <c r="F201" s="945"/>
      <c r="G201" s="959" t="s">
        <v>330</v>
      </c>
      <c r="H201" s="959"/>
      <c r="I201" s="959"/>
      <c r="J201" s="438" t="str">
        <f>J6</f>
        <v>0,0-0,2</v>
      </c>
      <c r="K201" s="126">
        <f>$H$2</f>
        <v>45739</v>
      </c>
    </row>
    <row r="202" spans="1:11" ht="10.5" customHeight="1" x14ac:dyDescent="0.2">
      <c r="A202" s="120"/>
      <c r="B202" s="127"/>
      <c r="C202" s="124"/>
      <c r="D202" s="128"/>
      <c r="E202" s="128"/>
      <c r="F202" s="128"/>
      <c r="G202" s="125"/>
      <c r="H202" s="125"/>
      <c r="I202" s="125"/>
      <c r="J202" s="442"/>
      <c r="K202" s="122" t="s">
        <v>331</v>
      </c>
    </row>
    <row r="203" spans="1:11" ht="10.5" customHeight="1" x14ac:dyDescent="0.2">
      <c r="A203" s="120" t="s">
        <v>331</v>
      </c>
      <c r="B203" s="129" t="str">
        <f>'Акт отбора проб Вода'!C34</f>
        <v>16ВХ.01</v>
      </c>
      <c r="C203" s="124"/>
      <c r="D203" s="946"/>
      <c r="E203" s="946"/>
      <c r="F203" s="946"/>
      <c r="G203" s="946"/>
      <c r="H203" s="946"/>
      <c r="I203" s="125"/>
      <c r="J203" s="442"/>
      <c r="K203" s="122" t="str">
        <f>B203</f>
        <v>16ВХ.01</v>
      </c>
    </row>
    <row r="204" spans="1:11" ht="10.5" customHeight="1" x14ac:dyDescent="0.2">
      <c r="A204" s="120"/>
      <c r="B204" s="127"/>
      <c r="C204" s="124"/>
      <c r="D204" s="124"/>
      <c r="E204" s="124"/>
      <c r="F204" s="124"/>
      <c r="G204" s="124"/>
      <c r="H204" s="124"/>
      <c r="I204" s="124"/>
      <c r="J204" s="441"/>
      <c r="K204" s="122" t="s">
        <v>332</v>
      </c>
    </row>
    <row r="205" spans="1:11" ht="10.5" customHeight="1" x14ac:dyDescent="0.2">
      <c r="A205" s="957" t="s">
        <v>681</v>
      </c>
      <c r="B205" s="958"/>
      <c r="C205" s="947"/>
      <c r="D205" s="947"/>
      <c r="E205" s="947"/>
      <c r="F205" s="947"/>
      <c r="G205" s="947"/>
      <c r="H205" s="947"/>
      <c r="I205" s="947"/>
      <c r="J205" s="144"/>
      <c r="K205" s="122" t="str">
        <f>J201</f>
        <v>0,0-0,2</v>
      </c>
    </row>
    <row r="206" spans="1:11" ht="10.5" customHeight="1" x14ac:dyDescent="0.2">
      <c r="A206" s="120" t="s">
        <v>333</v>
      </c>
      <c r="B206" s="127"/>
      <c r="C206" s="124"/>
      <c r="D206" s="124"/>
      <c r="E206" s="124"/>
      <c r="F206" s="124"/>
      <c r="G206" s="124"/>
      <c r="H206" s="124"/>
      <c r="I206" s="124"/>
      <c r="J206" s="441"/>
      <c r="K206" s="122" t="s">
        <v>334</v>
      </c>
    </row>
    <row r="207" spans="1:11" ht="10.5" customHeight="1" x14ac:dyDescent="0.2">
      <c r="A207" s="120" t="s">
        <v>335</v>
      </c>
      <c r="B207" s="133"/>
      <c r="C207" s="134"/>
      <c r="D207" s="134"/>
      <c r="E207" s="134"/>
      <c r="F207" s="134"/>
      <c r="G207" s="134"/>
      <c r="H207" s="124"/>
      <c r="I207" s="124"/>
      <c r="J207" s="441"/>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40"/>
      <c r="K209" s="118"/>
    </row>
    <row r="210" spans="1:11" ht="10.5" customHeight="1" x14ac:dyDescent="0.2">
      <c r="A210" s="120" t="s">
        <v>325</v>
      </c>
      <c r="B210" s="952" t="e">
        <f>$B$2</f>
        <v>#REF!</v>
      </c>
      <c r="C210" s="952"/>
      <c r="D210" s="934" t="s">
        <v>326</v>
      </c>
      <c r="E210" s="934"/>
      <c r="F210" s="934"/>
      <c r="G210" s="934"/>
      <c r="H210" s="953">
        <f>$H$2</f>
        <v>45739</v>
      </c>
      <c r="I210" s="954"/>
      <c r="J210" s="441"/>
      <c r="K210" s="122" t="s">
        <v>327</v>
      </c>
    </row>
    <row r="211" spans="1:11" ht="10.5" customHeight="1" x14ac:dyDescent="0.2">
      <c r="A211" s="120"/>
      <c r="B211" s="127"/>
      <c r="C211" s="124"/>
      <c r="D211" s="124"/>
      <c r="E211" s="124"/>
      <c r="F211" s="124"/>
      <c r="G211" s="124"/>
      <c r="H211" s="124"/>
      <c r="I211" s="124"/>
      <c r="J211" s="441"/>
      <c r="K211" s="122" t="e">
        <f>$B$2</f>
        <v>#REF!</v>
      </c>
    </row>
    <row r="212" spans="1:11" ht="10.5" customHeight="1" x14ac:dyDescent="0.2">
      <c r="A212" s="120" t="s">
        <v>0</v>
      </c>
      <c r="B212" s="960" t="str">
        <f>$B$4</f>
        <v>адрес вбить сюда</v>
      </c>
      <c r="C212" s="960"/>
      <c r="D212" s="960"/>
      <c r="E212" s="960"/>
      <c r="F212" s="960"/>
      <c r="G212" s="960"/>
      <c r="H212" s="960"/>
      <c r="I212" s="960"/>
      <c r="J212" s="961"/>
      <c r="K212" s="122"/>
    </row>
    <row r="213" spans="1:11" ht="10.5" customHeight="1" x14ac:dyDescent="0.2">
      <c r="A213" s="120"/>
      <c r="B213" s="960"/>
      <c r="C213" s="960"/>
      <c r="D213" s="960"/>
      <c r="E213" s="960"/>
      <c r="F213" s="960"/>
      <c r="G213" s="960"/>
      <c r="H213" s="960"/>
      <c r="I213" s="960"/>
      <c r="J213" s="961"/>
      <c r="K213" s="122" t="s">
        <v>328</v>
      </c>
    </row>
    <row r="214" spans="1:11" ht="10.5" customHeight="1" x14ac:dyDescent="0.2">
      <c r="A214" s="957" t="s">
        <v>329</v>
      </c>
      <c r="B214" s="958"/>
      <c r="C214" s="958"/>
      <c r="D214" s="945" t="str">
        <f>'Акт отбора проб Вода'!F35</f>
        <v>В17</v>
      </c>
      <c r="E214" s="945"/>
      <c r="F214" s="945"/>
      <c r="G214" s="959" t="s">
        <v>330</v>
      </c>
      <c r="H214" s="959"/>
      <c r="I214" s="959"/>
      <c r="J214" s="438" t="str">
        <f>J6</f>
        <v>0,0-0,2</v>
      </c>
      <c r="K214" s="126">
        <f>$H$2</f>
        <v>45739</v>
      </c>
    </row>
    <row r="215" spans="1:11" ht="10.5" customHeight="1" x14ac:dyDescent="0.2">
      <c r="A215" s="120"/>
      <c r="B215" s="127"/>
      <c r="C215" s="124"/>
      <c r="D215" s="128"/>
      <c r="E215" s="128"/>
      <c r="F215" s="128"/>
      <c r="G215" s="125"/>
      <c r="H215" s="125"/>
      <c r="I215" s="125"/>
      <c r="J215" s="442"/>
      <c r="K215" s="122" t="s">
        <v>331</v>
      </c>
    </row>
    <row r="216" spans="1:11" ht="10.5" customHeight="1" x14ac:dyDescent="0.2">
      <c r="A216" s="120" t="s">
        <v>331</v>
      </c>
      <c r="B216" s="129" t="str">
        <f>'Акт отбора проб Вода'!C35</f>
        <v>17ВХ.01</v>
      </c>
      <c r="C216" s="124"/>
      <c r="D216" s="946"/>
      <c r="E216" s="946"/>
      <c r="F216" s="946"/>
      <c r="G216" s="946"/>
      <c r="H216" s="946"/>
      <c r="I216" s="125"/>
      <c r="J216" s="442"/>
      <c r="K216" s="122" t="str">
        <f>B216</f>
        <v>17ВХ.01</v>
      </c>
    </row>
    <row r="217" spans="1:11" ht="10.5" customHeight="1" x14ac:dyDescent="0.2">
      <c r="A217" s="120"/>
      <c r="B217" s="127"/>
      <c r="C217" s="124"/>
      <c r="D217" s="124"/>
      <c r="E217" s="124"/>
      <c r="F217" s="124"/>
      <c r="G217" s="124"/>
      <c r="H217" s="124"/>
      <c r="I217" s="124"/>
      <c r="J217" s="441"/>
      <c r="K217" s="122" t="s">
        <v>332</v>
      </c>
    </row>
    <row r="218" spans="1:11" ht="10.5" customHeight="1" x14ac:dyDescent="0.2">
      <c r="A218" s="957" t="s">
        <v>681</v>
      </c>
      <c r="B218" s="958"/>
      <c r="C218" s="947"/>
      <c r="D218" s="947"/>
      <c r="E218" s="947"/>
      <c r="F218" s="947"/>
      <c r="G218" s="947"/>
      <c r="H218" s="947"/>
      <c r="I218" s="947"/>
      <c r="J218" s="144"/>
      <c r="K218" s="122" t="str">
        <f>J214</f>
        <v>0,0-0,2</v>
      </c>
    </row>
    <row r="219" spans="1:11" ht="10.5" customHeight="1" x14ac:dyDescent="0.2">
      <c r="A219" s="120" t="s">
        <v>333</v>
      </c>
      <c r="B219" s="127"/>
      <c r="C219" s="124"/>
      <c r="D219" s="124"/>
      <c r="E219" s="124"/>
      <c r="F219" s="124"/>
      <c r="G219" s="124"/>
      <c r="H219" s="124"/>
      <c r="I219" s="124"/>
      <c r="J219" s="441"/>
      <c r="K219" s="122" t="s">
        <v>334</v>
      </c>
    </row>
    <row r="220" spans="1:11" ht="10.5" customHeight="1" x14ac:dyDescent="0.2">
      <c r="A220" s="120" t="s">
        <v>335</v>
      </c>
      <c r="B220" s="133"/>
      <c r="C220" s="134"/>
      <c r="D220" s="134"/>
      <c r="E220" s="134"/>
      <c r="F220" s="134"/>
      <c r="G220" s="134"/>
      <c r="H220" s="124"/>
      <c r="I220" s="124"/>
      <c r="J220" s="441"/>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40"/>
      <c r="K222" s="118"/>
    </row>
    <row r="223" spans="1:11" ht="10.5" customHeight="1" x14ac:dyDescent="0.2">
      <c r="A223" s="120" t="s">
        <v>325</v>
      </c>
      <c r="B223" s="952" t="e">
        <f>$B$2</f>
        <v>#REF!</v>
      </c>
      <c r="C223" s="952"/>
      <c r="D223" s="934" t="s">
        <v>326</v>
      </c>
      <c r="E223" s="934"/>
      <c r="F223" s="934"/>
      <c r="G223" s="934"/>
      <c r="H223" s="953">
        <f>$H$2</f>
        <v>45739</v>
      </c>
      <c r="I223" s="954"/>
      <c r="J223" s="441"/>
      <c r="K223" s="122" t="s">
        <v>327</v>
      </c>
    </row>
    <row r="224" spans="1:11" ht="10.5" customHeight="1" x14ac:dyDescent="0.2">
      <c r="A224" s="120"/>
      <c r="B224" s="127"/>
      <c r="C224" s="124"/>
      <c r="D224" s="124"/>
      <c r="E224" s="124"/>
      <c r="F224" s="124"/>
      <c r="G224" s="124"/>
      <c r="H224" s="124"/>
      <c r="I224" s="124"/>
      <c r="J224" s="441"/>
      <c r="K224" s="122" t="e">
        <f>$B$2</f>
        <v>#REF!</v>
      </c>
    </row>
    <row r="225" spans="1:11" ht="10.5" customHeight="1" x14ac:dyDescent="0.2">
      <c r="A225" s="120" t="s">
        <v>0</v>
      </c>
      <c r="B225" s="960" t="str">
        <f>$B$4</f>
        <v>адрес вбить сюда</v>
      </c>
      <c r="C225" s="960"/>
      <c r="D225" s="960"/>
      <c r="E225" s="960"/>
      <c r="F225" s="960"/>
      <c r="G225" s="960"/>
      <c r="H225" s="960"/>
      <c r="I225" s="960"/>
      <c r="J225" s="961"/>
      <c r="K225" s="122"/>
    </row>
    <row r="226" spans="1:11" ht="10.5" customHeight="1" x14ac:dyDescent="0.2">
      <c r="A226" s="120"/>
      <c r="B226" s="960"/>
      <c r="C226" s="960"/>
      <c r="D226" s="960"/>
      <c r="E226" s="960"/>
      <c r="F226" s="960"/>
      <c r="G226" s="960"/>
      <c r="H226" s="960"/>
      <c r="I226" s="960"/>
      <c r="J226" s="961"/>
      <c r="K226" s="122" t="s">
        <v>328</v>
      </c>
    </row>
    <row r="227" spans="1:11" ht="10.5" customHeight="1" x14ac:dyDescent="0.2">
      <c r="A227" s="957" t="s">
        <v>329</v>
      </c>
      <c r="B227" s="958"/>
      <c r="C227" s="958"/>
      <c r="D227" s="945" t="str">
        <f>'Акт отбора проб Вода'!F36</f>
        <v>В18</v>
      </c>
      <c r="E227" s="945"/>
      <c r="F227" s="945"/>
      <c r="G227" s="959" t="s">
        <v>330</v>
      </c>
      <c r="H227" s="959"/>
      <c r="I227" s="959"/>
      <c r="J227" s="438" t="str">
        <f>J6</f>
        <v>0,0-0,2</v>
      </c>
      <c r="K227" s="126">
        <f>$H$2</f>
        <v>45739</v>
      </c>
    </row>
    <row r="228" spans="1:11" ht="10.5" customHeight="1" x14ac:dyDescent="0.2">
      <c r="A228" s="120"/>
      <c r="B228" s="127"/>
      <c r="C228" s="124"/>
      <c r="D228" s="128"/>
      <c r="E228" s="128"/>
      <c r="F228" s="128"/>
      <c r="G228" s="125"/>
      <c r="H228" s="125"/>
      <c r="I228" s="125"/>
      <c r="J228" s="442"/>
      <c r="K228" s="122" t="s">
        <v>331</v>
      </c>
    </row>
    <row r="229" spans="1:11" ht="10.5" customHeight="1" x14ac:dyDescent="0.2">
      <c r="A229" s="120" t="s">
        <v>331</v>
      </c>
      <c r="B229" s="129" t="str">
        <f>'Акт отбора проб Вода'!C36</f>
        <v>18ВХ.01</v>
      </c>
      <c r="C229" s="124"/>
      <c r="D229" s="946"/>
      <c r="E229" s="946"/>
      <c r="F229" s="946"/>
      <c r="G229" s="946"/>
      <c r="H229" s="946"/>
      <c r="I229" s="125"/>
      <c r="J229" s="442"/>
      <c r="K229" s="122" t="str">
        <f>B229</f>
        <v>18ВХ.01</v>
      </c>
    </row>
    <row r="230" spans="1:11" ht="10.5" customHeight="1" x14ac:dyDescent="0.2">
      <c r="A230" s="120"/>
      <c r="B230" s="127"/>
      <c r="C230" s="124"/>
      <c r="D230" s="124"/>
      <c r="E230" s="124"/>
      <c r="F230" s="124"/>
      <c r="G230" s="124"/>
      <c r="H230" s="124"/>
      <c r="I230" s="124"/>
      <c r="J230" s="441"/>
      <c r="K230" s="122" t="s">
        <v>332</v>
      </c>
    </row>
    <row r="231" spans="1:11" ht="10.5" customHeight="1" x14ac:dyDescent="0.2">
      <c r="A231" s="957" t="s">
        <v>681</v>
      </c>
      <c r="B231" s="958"/>
      <c r="C231" s="951"/>
      <c r="D231" s="951"/>
      <c r="E231" s="951"/>
      <c r="F231" s="951"/>
      <c r="G231" s="951"/>
      <c r="H231" s="951"/>
      <c r="I231" s="951"/>
      <c r="J231" s="144"/>
      <c r="K231" s="122" t="str">
        <f>J227</f>
        <v>0,0-0,2</v>
      </c>
    </row>
    <row r="232" spans="1:11" ht="10.5" customHeight="1" x14ac:dyDescent="0.2">
      <c r="A232" s="120" t="s">
        <v>333</v>
      </c>
      <c r="B232" s="127"/>
      <c r="C232" s="124"/>
      <c r="D232" s="124"/>
      <c r="E232" s="124"/>
      <c r="F232" s="124"/>
      <c r="G232" s="124"/>
      <c r="H232" s="124"/>
      <c r="I232" s="124"/>
      <c r="J232" s="441"/>
      <c r="K232" s="122" t="s">
        <v>334</v>
      </c>
    </row>
    <row r="233" spans="1:11" ht="10.5" customHeight="1" x14ac:dyDescent="0.2">
      <c r="A233" s="120" t="s">
        <v>335</v>
      </c>
      <c r="B233" s="133"/>
      <c r="C233" s="134"/>
      <c r="D233" s="134"/>
      <c r="E233" s="134"/>
      <c r="F233" s="134"/>
      <c r="G233" s="134"/>
      <c r="H233" s="124"/>
      <c r="I233" s="124"/>
      <c r="J233" s="441"/>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40"/>
      <c r="K235" s="118"/>
    </row>
    <row r="236" spans="1:11" ht="10.5" customHeight="1" x14ac:dyDescent="0.2">
      <c r="A236" s="120" t="s">
        <v>325</v>
      </c>
      <c r="B236" s="952" t="e">
        <f>$B$2</f>
        <v>#REF!</v>
      </c>
      <c r="C236" s="952"/>
      <c r="D236" s="934" t="s">
        <v>326</v>
      </c>
      <c r="E236" s="934"/>
      <c r="F236" s="934"/>
      <c r="G236" s="934"/>
      <c r="H236" s="953">
        <f>$H$2</f>
        <v>45739</v>
      </c>
      <c r="I236" s="954"/>
      <c r="J236" s="441"/>
      <c r="K236" s="122" t="s">
        <v>327</v>
      </c>
    </row>
    <row r="237" spans="1:11" ht="10.5" customHeight="1" x14ac:dyDescent="0.2">
      <c r="A237" s="120"/>
      <c r="B237" s="127"/>
      <c r="C237" s="124"/>
      <c r="D237" s="124"/>
      <c r="E237" s="124"/>
      <c r="F237" s="124"/>
      <c r="G237" s="124"/>
      <c r="H237" s="124"/>
      <c r="I237" s="124"/>
      <c r="J237" s="441"/>
      <c r="K237" s="122" t="e">
        <f>$B$2</f>
        <v>#REF!</v>
      </c>
    </row>
    <row r="238" spans="1:11" ht="10.5" customHeight="1" x14ac:dyDescent="0.2">
      <c r="A238" s="120" t="s">
        <v>0</v>
      </c>
      <c r="B238" s="960" t="str">
        <f>$B$4</f>
        <v>адрес вбить сюда</v>
      </c>
      <c r="C238" s="960"/>
      <c r="D238" s="960"/>
      <c r="E238" s="960"/>
      <c r="F238" s="960"/>
      <c r="G238" s="960"/>
      <c r="H238" s="960"/>
      <c r="I238" s="960"/>
      <c r="J238" s="961"/>
      <c r="K238" s="122"/>
    </row>
    <row r="239" spans="1:11" ht="10.5" customHeight="1" x14ac:dyDescent="0.2">
      <c r="A239" s="120"/>
      <c r="B239" s="960"/>
      <c r="C239" s="960"/>
      <c r="D239" s="960"/>
      <c r="E239" s="960"/>
      <c r="F239" s="960"/>
      <c r="G239" s="960"/>
      <c r="H239" s="960"/>
      <c r="I239" s="960"/>
      <c r="J239" s="961"/>
      <c r="K239" s="122" t="s">
        <v>328</v>
      </c>
    </row>
    <row r="240" spans="1:11" ht="10.5" customHeight="1" x14ac:dyDescent="0.2">
      <c r="A240" s="957" t="s">
        <v>329</v>
      </c>
      <c r="B240" s="958"/>
      <c r="C240" s="958"/>
      <c r="D240" s="945" t="str">
        <f>'Акт отбора проб Вода'!F37</f>
        <v>В19</v>
      </c>
      <c r="E240" s="945"/>
      <c r="F240" s="945"/>
      <c r="G240" s="959" t="s">
        <v>330</v>
      </c>
      <c r="H240" s="959"/>
      <c r="I240" s="959"/>
      <c r="J240" s="438" t="str">
        <f>J6</f>
        <v>0,0-0,2</v>
      </c>
      <c r="K240" s="126">
        <f>$H$2</f>
        <v>45739</v>
      </c>
    </row>
    <row r="241" spans="1:11" ht="10.5" customHeight="1" x14ac:dyDescent="0.2">
      <c r="A241" s="120"/>
      <c r="B241" s="127"/>
      <c r="C241" s="124"/>
      <c r="D241" s="128"/>
      <c r="E241" s="128"/>
      <c r="F241" s="128"/>
      <c r="G241" s="125"/>
      <c r="H241" s="125"/>
      <c r="I241" s="125"/>
      <c r="J241" s="442"/>
      <c r="K241" s="122" t="s">
        <v>331</v>
      </c>
    </row>
    <row r="242" spans="1:11" ht="10.5" customHeight="1" x14ac:dyDescent="0.2">
      <c r="A242" s="120" t="s">
        <v>331</v>
      </c>
      <c r="B242" s="129" t="str">
        <f>'Акт отбора проб Вода'!C37</f>
        <v>19ВХ.01</v>
      </c>
      <c r="C242" s="124"/>
      <c r="D242" s="946"/>
      <c r="E242" s="946"/>
      <c r="F242" s="946"/>
      <c r="G242" s="946"/>
      <c r="H242" s="946"/>
      <c r="I242" s="125"/>
      <c r="J242" s="442"/>
      <c r="K242" s="122" t="str">
        <f>B242</f>
        <v>19ВХ.01</v>
      </c>
    </row>
    <row r="243" spans="1:11" ht="10.5" customHeight="1" x14ac:dyDescent="0.2">
      <c r="A243" s="120"/>
      <c r="B243" s="127"/>
      <c r="C243" s="124"/>
      <c r="D243" s="124"/>
      <c r="E243" s="124"/>
      <c r="F243" s="124"/>
      <c r="G243" s="124"/>
      <c r="H243" s="124"/>
      <c r="I243" s="124"/>
      <c r="J243" s="441"/>
      <c r="K243" s="122" t="s">
        <v>332</v>
      </c>
    </row>
    <row r="244" spans="1:11" ht="10.5" customHeight="1" x14ac:dyDescent="0.2">
      <c r="A244" s="957" t="s">
        <v>681</v>
      </c>
      <c r="B244" s="958"/>
      <c r="C244" s="951"/>
      <c r="D244" s="951"/>
      <c r="E244" s="951"/>
      <c r="F244" s="951"/>
      <c r="G244" s="951"/>
      <c r="H244" s="951"/>
      <c r="I244" s="951"/>
      <c r="J244" s="144"/>
      <c r="K244" s="122" t="str">
        <f>J240</f>
        <v>0,0-0,2</v>
      </c>
    </row>
    <row r="245" spans="1:11" ht="10.5" customHeight="1" x14ac:dyDescent="0.2">
      <c r="A245" s="120" t="s">
        <v>333</v>
      </c>
      <c r="B245" s="127"/>
      <c r="C245" s="124"/>
      <c r="D245" s="124"/>
      <c r="E245" s="124"/>
      <c r="F245" s="124"/>
      <c r="G245" s="124"/>
      <c r="H245" s="124"/>
      <c r="I245" s="124"/>
      <c r="J245" s="441"/>
      <c r="K245" s="122" t="s">
        <v>334</v>
      </c>
    </row>
    <row r="246" spans="1:11" ht="10.5" customHeight="1" x14ac:dyDescent="0.2">
      <c r="A246" s="120" t="s">
        <v>335</v>
      </c>
      <c r="B246" s="133"/>
      <c r="C246" s="134"/>
      <c r="D246" s="134"/>
      <c r="E246" s="134"/>
      <c r="F246" s="134"/>
      <c r="G246" s="134"/>
      <c r="H246" s="124"/>
      <c r="I246" s="124"/>
      <c r="J246" s="441"/>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40"/>
      <c r="K248" s="118"/>
    </row>
    <row r="249" spans="1:11" ht="10.5" customHeight="1" x14ac:dyDescent="0.2">
      <c r="A249" s="120" t="s">
        <v>325</v>
      </c>
      <c r="B249" s="952" t="e">
        <f>$B$2</f>
        <v>#REF!</v>
      </c>
      <c r="C249" s="952"/>
      <c r="D249" s="934" t="s">
        <v>326</v>
      </c>
      <c r="E249" s="934"/>
      <c r="F249" s="934"/>
      <c r="G249" s="934"/>
      <c r="H249" s="953">
        <f>$H$2</f>
        <v>45739</v>
      </c>
      <c r="I249" s="954"/>
      <c r="J249" s="441"/>
      <c r="K249" s="122" t="s">
        <v>327</v>
      </c>
    </row>
    <row r="250" spans="1:11" ht="10.5" customHeight="1" x14ac:dyDescent="0.2">
      <c r="A250" s="120"/>
      <c r="B250" s="127"/>
      <c r="C250" s="124"/>
      <c r="D250" s="124"/>
      <c r="E250" s="124"/>
      <c r="F250" s="124"/>
      <c r="G250" s="124"/>
      <c r="H250" s="124"/>
      <c r="I250" s="124"/>
      <c r="J250" s="441"/>
      <c r="K250" s="122" t="e">
        <f>$B$2</f>
        <v>#REF!</v>
      </c>
    </row>
    <row r="251" spans="1:11" ht="10.5" customHeight="1" x14ac:dyDescent="0.2">
      <c r="A251" s="120" t="s">
        <v>0</v>
      </c>
      <c r="B251" s="960" t="str">
        <f>$B$4</f>
        <v>адрес вбить сюда</v>
      </c>
      <c r="C251" s="960"/>
      <c r="D251" s="960"/>
      <c r="E251" s="960"/>
      <c r="F251" s="960"/>
      <c r="G251" s="960"/>
      <c r="H251" s="960"/>
      <c r="I251" s="960"/>
      <c r="J251" s="961"/>
      <c r="K251" s="122"/>
    </row>
    <row r="252" spans="1:11" ht="10.5" customHeight="1" x14ac:dyDescent="0.2">
      <c r="A252" s="120"/>
      <c r="B252" s="960"/>
      <c r="C252" s="960"/>
      <c r="D252" s="960"/>
      <c r="E252" s="960"/>
      <c r="F252" s="960"/>
      <c r="G252" s="960"/>
      <c r="H252" s="960"/>
      <c r="I252" s="960"/>
      <c r="J252" s="961"/>
      <c r="K252" s="122" t="s">
        <v>328</v>
      </c>
    </row>
    <row r="253" spans="1:11" ht="10.5" customHeight="1" x14ac:dyDescent="0.2">
      <c r="A253" s="957" t="s">
        <v>329</v>
      </c>
      <c r="B253" s="958"/>
      <c r="C253" s="958"/>
      <c r="D253" s="945" t="str">
        <f>'Акт отбора проб Вода'!F38</f>
        <v>В20</v>
      </c>
      <c r="E253" s="945"/>
      <c r="F253" s="945"/>
      <c r="G253" s="959" t="s">
        <v>330</v>
      </c>
      <c r="H253" s="959"/>
      <c r="I253" s="959"/>
      <c r="J253" s="438" t="str">
        <f>J6</f>
        <v>0,0-0,2</v>
      </c>
      <c r="K253" s="126">
        <f>$H$2</f>
        <v>45739</v>
      </c>
    </row>
    <row r="254" spans="1:11" ht="10.5" customHeight="1" x14ac:dyDescent="0.2">
      <c r="A254" s="120"/>
      <c r="B254" s="127"/>
      <c r="C254" s="124"/>
      <c r="D254" s="128"/>
      <c r="E254" s="128"/>
      <c r="F254" s="128"/>
      <c r="G254" s="125"/>
      <c r="H254" s="125"/>
      <c r="I254" s="125"/>
      <c r="J254" s="442"/>
      <c r="K254" s="122" t="s">
        <v>331</v>
      </c>
    </row>
    <row r="255" spans="1:11" ht="10.5" customHeight="1" x14ac:dyDescent="0.2">
      <c r="A255" s="120" t="s">
        <v>331</v>
      </c>
      <c r="B255" s="129" t="str">
        <f>'Акт отбора проб Вода'!C38</f>
        <v>20ВХ.01</v>
      </c>
      <c r="C255" s="124"/>
      <c r="D255" s="128"/>
      <c r="E255" s="128"/>
      <c r="F255" s="128"/>
      <c r="G255" s="125"/>
      <c r="H255" s="125"/>
      <c r="I255" s="125"/>
      <c r="J255" s="442"/>
      <c r="K255" s="122" t="str">
        <f>B255</f>
        <v>20ВХ.01</v>
      </c>
    </row>
    <row r="256" spans="1:11" ht="10.5" customHeight="1" x14ac:dyDescent="0.2">
      <c r="A256" s="120"/>
      <c r="B256" s="127"/>
      <c r="C256" s="124"/>
      <c r="D256" s="124"/>
      <c r="E256" s="124"/>
      <c r="F256" s="124"/>
      <c r="G256" s="124"/>
      <c r="H256" s="124"/>
      <c r="I256" s="124"/>
      <c r="J256" s="441"/>
      <c r="K256" s="122" t="s">
        <v>332</v>
      </c>
    </row>
    <row r="257" spans="1:13" ht="10.5" customHeight="1" x14ac:dyDescent="0.2">
      <c r="A257" s="957" t="s">
        <v>681</v>
      </c>
      <c r="B257" s="958"/>
      <c r="C257" s="951"/>
      <c r="D257" s="951"/>
      <c r="E257" s="951"/>
      <c r="F257" s="951"/>
      <c r="G257" s="951"/>
      <c r="H257" s="951"/>
      <c r="I257" s="951"/>
      <c r="J257" s="144"/>
      <c r="K257" s="122" t="str">
        <f>J253</f>
        <v>0,0-0,2</v>
      </c>
    </row>
    <row r="258" spans="1:13" ht="10.5" customHeight="1" x14ac:dyDescent="0.2">
      <c r="A258" s="120" t="s">
        <v>333</v>
      </c>
      <c r="B258" s="127"/>
      <c r="C258" s="124"/>
      <c r="D258" s="124"/>
      <c r="E258" s="124"/>
      <c r="F258" s="124"/>
      <c r="G258" s="124"/>
      <c r="H258" s="124"/>
      <c r="I258" s="124"/>
      <c r="J258" s="441"/>
      <c r="K258" s="122" t="s">
        <v>334</v>
      </c>
    </row>
    <row r="259" spans="1:13" ht="10.5" customHeight="1" x14ac:dyDescent="0.2">
      <c r="A259" s="120" t="s">
        <v>335</v>
      </c>
      <c r="B259" s="133"/>
      <c r="C259" s="134"/>
      <c r="D259" s="134"/>
      <c r="E259" s="134"/>
      <c r="F259" s="134"/>
      <c r="G259" s="134"/>
      <c r="H259" s="124"/>
      <c r="I259" s="124"/>
      <c r="J259" s="441"/>
      <c r="K259" s="122"/>
    </row>
    <row r="260" spans="1:13" ht="10.5" customHeight="1" thickBot="1" x14ac:dyDescent="0.25">
      <c r="A260" s="145"/>
      <c r="B260" s="146"/>
      <c r="C260" s="147" t="s">
        <v>336</v>
      </c>
      <c r="D260" s="147"/>
      <c r="E260" s="147"/>
      <c r="F260" s="147"/>
      <c r="G260" s="147"/>
      <c r="H260" s="147"/>
      <c r="I260" s="147"/>
      <c r="J260" s="394"/>
      <c r="K260" s="139"/>
    </row>
    <row r="261" spans="1:13" ht="10.5" customHeight="1" x14ac:dyDescent="0.2">
      <c r="A261" s="141"/>
      <c r="B261" s="142"/>
      <c r="C261" s="143"/>
      <c r="D261" s="143"/>
      <c r="E261" s="143"/>
      <c r="F261" s="143"/>
      <c r="G261" s="143"/>
      <c r="H261" s="143"/>
      <c r="I261" s="143"/>
      <c r="J261" s="440"/>
      <c r="K261" s="118"/>
    </row>
    <row r="262" spans="1:13" ht="10.5" customHeight="1" x14ac:dyDescent="0.2">
      <c r="A262" s="120" t="s">
        <v>325</v>
      </c>
      <c r="B262" s="952" t="e">
        <f>$B$2</f>
        <v>#REF!</v>
      </c>
      <c r="C262" s="952"/>
      <c r="D262" s="934" t="s">
        <v>326</v>
      </c>
      <c r="E262" s="934"/>
      <c r="F262" s="934"/>
      <c r="G262" s="934"/>
      <c r="H262" s="953">
        <f>$H$2</f>
        <v>45739</v>
      </c>
      <c r="I262" s="954"/>
      <c r="J262" s="441"/>
      <c r="K262" s="122" t="s">
        <v>327</v>
      </c>
      <c r="M262" t="s">
        <v>338</v>
      </c>
    </row>
    <row r="263" spans="1:13" ht="10.5" customHeight="1" x14ac:dyDescent="0.2">
      <c r="A263" s="120"/>
      <c r="B263" s="127"/>
      <c r="C263" s="124"/>
      <c r="D263" s="124"/>
      <c r="E263" s="124"/>
      <c r="F263" s="124"/>
      <c r="G263" s="124"/>
      <c r="H263" s="124"/>
      <c r="I263" s="124"/>
      <c r="J263" s="441"/>
      <c r="K263" s="122" t="e">
        <f>$B$2</f>
        <v>#REF!</v>
      </c>
    </row>
    <row r="264" spans="1:13" ht="10.5" customHeight="1" x14ac:dyDescent="0.2">
      <c r="A264" s="120" t="s">
        <v>0</v>
      </c>
      <c r="B264" s="960" t="str">
        <f>$B$4</f>
        <v>адрес вбить сюда</v>
      </c>
      <c r="C264" s="960"/>
      <c r="D264" s="960"/>
      <c r="E264" s="960"/>
      <c r="F264" s="960"/>
      <c r="G264" s="960"/>
      <c r="H264" s="960"/>
      <c r="I264" s="960"/>
      <c r="J264" s="961"/>
      <c r="K264" s="122"/>
    </row>
    <row r="265" spans="1:13" ht="10.5" customHeight="1" x14ac:dyDescent="0.2">
      <c r="A265" s="120"/>
      <c r="B265" s="960"/>
      <c r="C265" s="960"/>
      <c r="D265" s="960"/>
      <c r="E265" s="960"/>
      <c r="F265" s="960"/>
      <c r="G265" s="960"/>
      <c r="H265" s="960"/>
      <c r="I265" s="960"/>
      <c r="J265" s="961"/>
      <c r="K265" s="122" t="s">
        <v>328</v>
      </c>
    </row>
    <row r="266" spans="1:13" ht="10.5" customHeight="1" x14ac:dyDescent="0.2">
      <c r="A266" s="957" t="s">
        <v>329</v>
      </c>
      <c r="B266" s="958"/>
      <c r="C266" s="958"/>
      <c r="D266" s="945" t="str">
        <f>'Акт отбора проб Вода'!F39</f>
        <v>В21</v>
      </c>
      <c r="E266" s="945"/>
      <c r="F266" s="945"/>
      <c r="G266" s="959" t="s">
        <v>330</v>
      </c>
      <c r="H266" s="959"/>
      <c r="I266" s="959"/>
      <c r="J266" s="438" t="str">
        <f>J6</f>
        <v>0,0-0,2</v>
      </c>
      <c r="K266" s="126">
        <f>$H$2</f>
        <v>45739</v>
      </c>
    </row>
    <row r="267" spans="1:13" ht="10.5" customHeight="1" x14ac:dyDescent="0.2">
      <c r="A267" s="120"/>
      <c r="B267" s="127"/>
      <c r="C267" s="124"/>
      <c r="D267" s="128"/>
      <c r="E267" s="128"/>
      <c r="F267" s="128"/>
      <c r="G267" s="125"/>
      <c r="H267" s="125"/>
      <c r="I267" s="125"/>
      <c r="J267" s="442"/>
      <c r="K267" s="122" t="s">
        <v>331</v>
      </c>
    </row>
    <row r="268" spans="1:13" ht="10.5" customHeight="1" x14ac:dyDescent="0.2">
      <c r="A268" s="120" t="s">
        <v>331</v>
      </c>
      <c r="B268" s="129" t="str">
        <f>'Акт отбора проб Вода'!C39</f>
        <v>21ВХ.01</v>
      </c>
      <c r="C268" s="124"/>
      <c r="D268" s="128"/>
      <c r="E268" s="128"/>
      <c r="F268" s="128"/>
      <c r="G268" s="125"/>
      <c r="H268" s="125"/>
      <c r="I268" s="125"/>
      <c r="J268" s="442"/>
      <c r="K268" s="122" t="str">
        <f>B268</f>
        <v>21ВХ.01</v>
      </c>
    </row>
    <row r="269" spans="1:13" ht="10.5" customHeight="1" x14ac:dyDescent="0.2">
      <c r="A269" s="120"/>
      <c r="B269" s="127"/>
      <c r="C269" s="124"/>
      <c r="D269" s="124"/>
      <c r="E269" s="124"/>
      <c r="F269" s="124"/>
      <c r="G269" s="124"/>
      <c r="H269" s="124"/>
      <c r="I269" s="124"/>
      <c r="J269" s="441"/>
      <c r="K269" s="122" t="s">
        <v>332</v>
      </c>
    </row>
    <row r="270" spans="1:13" ht="10.5" customHeight="1" x14ac:dyDescent="0.2">
      <c r="A270" s="957" t="s">
        <v>681</v>
      </c>
      <c r="B270" s="958"/>
      <c r="C270" s="951"/>
      <c r="D270" s="951"/>
      <c r="E270" s="951"/>
      <c r="F270" s="951"/>
      <c r="G270" s="951"/>
      <c r="H270" s="951"/>
      <c r="I270" s="951"/>
      <c r="J270" s="144"/>
      <c r="K270" s="122" t="str">
        <f>J266</f>
        <v>0,0-0,2</v>
      </c>
    </row>
    <row r="271" spans="1:13" ht="10.5" customHeight="1" x14ac:dyDescent="0.2">
      <c r="A271" s="120" t="s">
        <v>333</v>
      </c>
      <c r="B271" s="127"/>
      <c r="C271" s="124"/>
      <c r="D271" s="124"/>
      <c r="E271" s="124"/>
      <c r="F271" s="124"/>
      <c r="G271" s="124"/>
      <c r="H271" s="124"/>
      <c r="I271" s="124"/>
      <c r="J271" s="441"/>
      <c r="K271" s="122" t="s">
        <v>334</v>
      </c>
    </row>
    <row r="272" spans="1:13" ht="10.5" customHeight="1" x14ac:dyDescent="0.2">
      <c r="A272" s="120" t="s">
        <v>335</v>
      </c>
      <c r="B272" s="133"/>
      <c r="C272" s="134"/>
      <c r="D272" s="134"/>
      <c r="E272" s="134"/>
      <c r="F272" s="134"/>
      <c r="G272" s="134"/>
      <c r="H272" s="124"/>
      <c r="I272" s="124"/>
      <c r="J272" s="441"/>
      <c r="K272" s="122"/>
    </row>
    <row r="273" spans="1:11" ht="10.5" customHeight="1" thickBot="1" x14ac:dyDescent="0.25">
      <c r="A273" s="145"/>
      <c r="B273" s="146"/>
      <c r="C273" s="147" t="s">
        <v>336</v>
      </c>
      <c r="D273" s="147"/>
      <c r="E273" s="147"/>
      <c r="F273" s="147"/>
      <c r="G273" s="147"/>
      <c r="H273" s="147"/>
      <c r="I273" s="147"/>
      <c r="J273" s="394"/>
      <c r="K273" s="139"/>
    </row>
    <row r="274" spans="1:11" ht="10.5" customHeight="1" x14ac:dyDescent="0.2">
      <c r="A274" s="141"/>
      <c r="B274" s="142"/>
      <c r="C274" s="143"/>
      <c r="D274" s="143"/>
      <c r="E274" s="143"/>
      <c r="F274" s="143"/>
      <c r="G274" s="143"/>
      <c r="H274" s="143"/>
      <c r="I274" s="143"/>
      <c r="J274" s="440"/>
      <c r="K274" s="118"/>
    </row>
    <row r="275" spans="1:11" ht="10.5" customHeight="1" x14ac:dyDescent="0.2">
      <c r="A275" s="120" t="s">
        <v>325</v>
      </c>
      <c r="B275" s="952" t="e">
        <f>$B$2</f>
        <v>#REF!</v>
      </c>
      <c r="C275" s="952"/>
      <c r="D275" s="934" t="s">
        <v>326</v>
      </c>
      <c r="E275" s="934"/>
      <c r="F275" s="934"/>
      <c r="G275" s="934"/>
      <c r="H275" s="953">
        <f>$H$2</f>
        <v>45739</v>
      </c>
      <c r="I275" s="954"/>
      <c r="J275" s="441"/>
      <c r="K275" s="122" t="s">
        <v>327</v>
      </c>
    </row>
    <row r="276" spans="1:11" ht="10.5" customHeight="1" x14ac:dyDescent="0.2">
      <c r="A276" s="120"/>
      <c r="B276" s="127"/>
      <c r="C276" s="124"/>
      <c r="D276" s="124"/>
      <c r="E276" s="124"/>
      <c r="F276" s="124"/>
      <c r="G276" s="124"/>
      <c r="H276" s="124"/>
      <c r="I276" s="124"/>
      <c r="J276" s="441"/>
      <c r="K276" s="122" t="e">
        <f>$B$2</f>
        <v>#REF!</v>
      </c>
    </row>
    <row r="277" spans="1:11" ht="10.5" customHeight="1" x14ac:dyDescent="0.2">
      <c r="A277" s="120" t="s">
        <v>0</v>
      </c>
      <c r="B277" s="960" t="str">
        <f>$B$4</f>
        <v>адрес вбить сюда</v>
      </c>
      <c r="C277" s="960"/>
      <c r="D277" s="960"/>
      <c r="E277" s="960"/>
      <c r="F277" s="960"/>
      <c r="G277" s="960"/>
      <c r="H277" s="960"/>
      <c r="I277" s="960"/>
      <c r="J277" s="961"/>
      <c r="K277" s="122"/>
    </row>
    <row r="278" spans="1:11" ht="10.5" customHeight="1" x14ac:dyDescent="0.2">
      <c r="A278" s="120"/>
      <c r="B278" s="960"/>
      <c r="C278" s="960"/>
      <c r="D278" s="960"/>
      <c r="E278" s="960"/>
      <c r="F278" s="960"/>
      <c r="G278" s="960"/>
      <c r="H278" s="960"/>
      <c r="I278" s="960"/>
      <c r="J278" s="961"/>
      <c r="K278" s="122" t="s">
        <v>328</v>
      </c>
    </row>
    <row r="279" spans="1:11" ht="10.5" customHeight="1" x14ac:dyDescent="0.2">
      <c r="A279" s="957" t="s">
        <v>329</v>
      </c>
      <c r="B279" s="958"/>
      <c r="C279" s="958"/>
      <c r="D279" s="945" t="str">
        <f>'Акт отбора проб Вода'!F40</f>
        <v>В22</v>
      </c>
      <c r="E279" s="945"/>
      <c r="F279" s="945"/>
      <c r="G279" s="959" t="s">
        <v>330</v>
      </c>
      <c r="H279" s="959"/>
      <c r="I279" s="959"/>
      <c r="J279" s="438" t="str">
        <f>J6</f>
        <v>0,0-0,2</v>
      </c>
      <c r="K279" s="126">
        <f>$H$2</f>
        <v>45739</v>
      </c>
    </row>
    <row r="280" spans="1:11" ht="10.5" customHeight="1" x14ac:dyDescent="0.2">
      <c r="A280" s="120"/>
      <c r="B280" s="127"/>
      <c r="C280" s="124"/>
      <c r="D280" s="128"/>
      <c r="E280" s="128"/>
      <c r="F280" s="128"/>
      <c r="G280" s="125"/>
      <c r="H280" s="125"/>
      <c r="I280" s="125"/>
      <c r="J280" s="442"/>
      <c r="K280" s="122" t="s">
        <v>331</v>
      </c>
    </row>
    <row r="281" spans="1:11" ht="10.5" customHeight="1" x14ac:dyDescent="0.2">
      <c r="A281" s="120" t="s">
        <v>331</v>
      </c>
      <c r="B281" s="129" t="str">
        <f>'Акт отбора проб Вода'!C40</f>
        <v>22ВХ.01</v>
      </c>
      <c r="C281" s="124"/>
      <c r="D281" s="128"/>
      <c r="E281" s="128"/>
      <c r="F281" s="128"/>
      <c r="G281" s="125"/>
      <c r="H281" s="125"/>
      <c r="I281" s="125"/>
      <c r="J281" s="442"/>
      <c r="K281" s="122" t="str">
        <f>B281</f>
        <v>22ВХ.01</v>
      </c>
    </row>
    <row r="282" spans="1:11" ht="10.5" customHeight="1" x14ac:dyDescent="0.2">
      <c r="A282" s="120"/>
      <c r="B282" s="127"/>
      <c r="C282" s="124"/>
      <c r="D282" s="124"/>
      <c r="E282" s="124"/>
      <c r="F282" s="124"/>
      <c r="G282" s="124"/>
      <c r="H282" s="124"/>
      <c r="I282" s="124"/>
      <c r="J282" s="441"/>
      <c r="K282" s="122" t="s">
        <v>332</v>
      </c>
    </row>
    <row r="283" spans="1:11" ht="10.5" customHeight="1" x14ac:dyDescent="0.2">
      <c r="A283" s="957" t="s">
        <v>681</v>
      </c>
      <c r="B283" s="958"/>
      <c r="C283" s="951"/>
      <c r="D283" s="951"/>
      <c r="E283" s="951"/>
      <c r="F283" s="951"/>
      <c r="G283" s="951"/>
      <c r="H283" s="951"/>
      <c r="I283" s="951"/>
      <c r="J283" s="144"/>
      <c r="K283" s="122" t="str">
        <f>J279</f>
        <v>0,0-0,2</v>
      </c>
    </row>
    <row r="284" spans="1:11" ht="10.5" customHeight="1" x14ac:dyDescent="0.2">
      <c r="A284" s="120" t="s">
        <v>333</v>
      </c>
      <c r="B284" s="127"/>
      <c r="C284" s="124"/>
      <c r="D284" s="124"/>
      <c r="E284" s="124"/>
      <c r="F284" s="124"/>
      <c r="G284" s="124"/>
      <c r="H284" s="124"/>
      <c r="I284" s="124"/>
      <c r="J284" s="441"/>
      <c r="K284" s="122" t="s">
        <v>334</v>
      </c>
    </row>
    <row r="285" spans="1:11" ht="10.5" customHeight="1" x14ac:dyDescent="0.2">
      <c r="A285" s="120" t="s">
        <v>335</v>
      </c>
      <c r="B285" s="133"/>
      <c r="C285" s="134"/>
      <c r="D285" s="134"/>
      <c r="E285" s="134"/>
      <c r="F285" s="134"/>
      <c r="G285" s="134"/>
      <c r="H285" s="124"/>
      <c r="I285" s="124"/>
      <c r="J285" s="441"/>
      <c r="K285" s="122"/>
    </row>
    <row r="286" spans="1:11" ht="10.5" customHeight="1" thickBot="1" x14ac:dyDescent="0.25">
      <c r="A286" s="145"/>
      <c r="B286" s="146"/>
      <c r="C286" s="147" t="s">
        <v>336</v>
      </c>
      <c r="D286" s="147"/>
      <c r="E286" s="147"/>
      <c r="F286" s="147"/>
      <c r="G286" s="147"/>
      <c r="H286" s="147"/>
      <c r="I286" s="147"/>
      <c r="J286" s="394"/>
      <c r="K286" s="139"/>
    </row>
    <row r="287" spans="1:11" ht="10.5" customHeight="1" x14ac:dyDescent="0.2">
      <c r="A287" s="141"/>
      <c r="B287" s="142"/>
      <c r="C287" s="143"/>
      <c r="D287" s="143"/>
      <c r="E287" s="143"/>
      <c r="F287" s="143"/>
      <c r="G287" s="143"/>
      <c r="H287" s="143"/>
      <c r="I287" s="143"/>
      <c r="J287" s="440"/>
      <c r="K287" s="118"/>
    </row>
    <row r="288" spans="1:11" ht="10.5" customHeight="1" x14ac:dyDescent="0.2">
      <c r="A288" s="120" t="s">
        <v>325</v>
      </c>
      <c r="B288" s="952" t="e">
        <f>$B$2</f>
        <v>#REF!</v>
      </c>
      <c r="C288" s="952"/>
      <c r="D288" s="934" t="s">
        <v>326</v>
      </c>
      <c r="E288" s="934"/>
      <c r="F288" s="934"/>
      <c r="G288" s="934"/>
      <c r="H288" s="953">
        <f>$H$2</f>
        <v>45739</v>
      </c>
      <c r="I288" s="954"/>
      <c r="J288" s="441"/>
      <c r="K288" s="122" t="s">
        <v>327</v>
      </c>
    </row>
    <row r="289" spans="1:11" ht="10.5" customHeight="1" x14ac:dyDescent="0.2">
      <c r="A289" s="120"/>
      <c r="B289" s="127"/>
      <c r="C289" s="124"/>
      <c r="D289" s="124"/>
      <c r="E289" s="124"/>
      <c r="F289" s="124"/>
      <c r="G289" s="124"/>
      <c r="H289" s="124"/>
      <c r="I289" s="124"/>
      <c r="J289" s="441"/>
      <c r="K289" s="122" t="e">
        <f>$B$2</f>
        <v>#REF!</v>
      </c>
    </row>
    <row r="290" spans="1:11" ht="10.5" customHeight="1" x14ac:dyDescent="0.2">
      <c r="A290" s="120" t="s">
        <v>0</v>
      </c>
      <c r="B290" s="960" t="str">
        <f>$B$4</f>
        <v>адрес вбить сюда</v>
      </c>
      <c r="C290" s="960"/>
      <c r="D290" s="960"/>
      <c r="E290" s="960"/>
      <c r="F290" s="960"/>
      <c r="G290" s="960"/>
      <c r="H290" s="960"/>
      <c r="I290" s="960"/>
      <c r="J290" s="961"/>
      <c r="K290" s="122"/>
    </row>
    <row r="291" spans="1:11" ht="10.5" customHeight="1" x14ac:dyDescent="0.2">
      <c r="A291" s="120"/>
      <c r="B291" s="960"/>
      <c r="C291" s="960"/>
      <c r="D291" s="960"/>
      <c r="E291" s="960"/>
      <c r="F291" s="960"/>
      <c r="G291" s="960"/>
      <c r="H291" s="960"/>
      <c r="I291" s="960"/>
      <c r="J291" s="961"/>
      <c r="K291" s="122" t="s">
        <v>328</v>
      </c>
    </row>
    <row r="292" spans="1:11" ht="10.5" customHeight="1" x14ac:dyDescent="0.2">
      <c r="A292" s="957" t="s">
        <v>329</v>
      </c>
      <c r="B292" s="958"/>
      <c r="C292" s="958"/>
      <c r="D292" s="945" t="str">
        <f>'Акт отбора проб Вода'!F41</f>
        <v>В23</v>
      </c>
      <c r="E292" s="945"/>
      <c r="F292" s="945"/>
      <c r="G292" s="959" t="s">
        <v>330</v>
      </c>
      <c r="H292" s="959"/>
      <c r="I292" s="959"/>
      <c r="J292" s="438" t="str">
        <f>J6</f>
        <v>0,0-0,2</v>
      </c>
      <c r="K292" s="126">
        <f>$H$2</f>
        <v>45739</v>
      </c>
    </row>
    <row r="293" spans="1:11" ht="10.5" customHeight="1" x14ac:dyDescent="0.2">
      <c r="A293" s="120"/>
      <c r="B293" s="127"/>
      <c r="C293" s="124"/>
      <c r="D293" s="128"/>
      <c r="E293" s="128"/>
      <c r="F293" s="128"/>
      <c r="G293" s="125"/>
      <c r="H293" s="125"/>
      <c r="I293" s="125"/>
      <c r="J293" s="442"/>
      <c r="K293" s="122" t="s">
        <v>331</v>
      </c>
    </row>
    <row r="294" spans="1:11" ht="10.5" customHeight="1" x14ac:dyDescent="0.2">
      <c r="A294" s="120" t="s">
        <v>331</v>
      </c>
      <c r="B294" s="129" t="str">
        <f>'Акт отбора проб Вода'!C41</f>
        <v>23ВХ.01</v>
      </c>
      <c r="C294" s="124"/>
      <c r="D294" s="128"/>
      <c r="E294" s="128"/>
      <c r="F294" s="128"/>
      <c r="G294" s="125"/>
      <c r="H294" s="125"/>
      <c r="I294" s="125"/>
      <c r="J294" s="442"/>
      <c r="K294" s="122" t="str">
        <f>B294</f>
        <v>23ВХ.01</v>
      </c>
    </row>
    <row r="295" spans="1:11" ht="10.5" customHeight="1" x14ac:dyDescent="0.2">
      <c r="A295" s="120"/>
      <c r="B295" s="127"/>
      <c r="C295" s="124"/>
      <c r="D295" s="124"/>
      <c r="E295" s="124"/>
      <c r="F295" s="124"/>
      <c r="G295" s="124"/>
      <c r="H295" s="124"/>
      <c r="I295" s="124"/>
      <c r="J295" s="441"/>
      <c r="K295" s="122" t="s">
        <v>332</v>
      </c>
    </row>
    <row r="296" spans="1:11" ht="10.5" customHeight="1" x14ac:dyDescent="0.2">
      <c r="A296" s="957" t="s">
        <v>681</v>
      </c>
      <c r="B296" s="958"/>
      <c r="C296" s="951"/>
      <c r="D296" s="951"/>
      <c r="E296" s="951"/>
      <c r="F296" s="951"/>
      <c r="G296" s="951"/>
      <c r="H296" s="951"/>
      <c r="I296" s="951"/>
      <c r="J296" s="144"/>
      <c r="K296" s="122" t="str">
        <f>J292</f>
        <v>0,0-0,2</v>
      </c>
    </row>
    <row r="297" spans="1:11" ht="10.5" customHeight="1" x14ac:dyDescent="0.2">
      <c r="A297" s="120" t="s">
        <v>333</v>
      </c>
      <c r="B297" s="127"/>
      <c r="C297" s="124"/>
      <c r="D297" s="124"/>
      <c r="E297" s="124"/>
      <c r="F297" s="124"/>
      <c r="G297" s="124"/>
      <c r="H297" s="124"/>
      <c r="I297" s="124"/>
      <c r="J297" s="441"/>
      <c r="K297" s="122" t="s">
        <v>334</v>
      </c>
    </row>
    <row r="298" spans="1:11" ht="10.5" customHeight="1" x14ac:dyDescent="0.2">
      <c r="A298" s="120" t="s">
        <v>335</v>
      </c>
      <c r="B298" s="133"/>
      <c r="C298" s="134"/>
      <c r="D298" s="134"/>
      <c r="E298" s="134"/>
      <c r="F298" s="134"/>
      <c r="G298" s="134"/>
      <c r="H298" s="124"/>
      <c r="I298" s="124"/>
      <c r="J298" s="441"/>
      <c r="K298" s="122"/>
    </row>
    <row r="299" spans="1:11" ht="10.5" customHeight="1" thickBot="1" x14ac:dyDescent="0.25">
      <c r="A299" s="145"/>
      <c r="B299" s="146"/>
      <c r="C299" s="147" t="s">
        <v>336</v>
      </c>
      <c r="D299" s="147"/>
      <c r="E299" s="147"/>
      <c r="F299" s="147"/>
      <c r="G299" s="147"/>
      <c r="H299" s="147"/>
      <c r="I299" s="147"/>
      <c r="J299" s="394"/>
      <c r="K299" s="139"/>
    </row>
    <row r="300" spans="1:11" ht="10.5" customHeight="1" x14ac:dyDescent="0.2">
      <c r="A300" s="141"/>
      <c r="B300" s="142"/>
      <c r="C300" s="143"/>
      <c r="D300" s="143"/>
      <c r="E300" s="143"/>
      <c r="F300" s="143"/>
      <c r="G300" s="143"/>
      <c r="H300" s="143"/>
      <c r="I300" s="143"/>
      <c r="J300" s="440"/>
      <c r="K300" s="118"/>
    </row>
    <row r="301" spans="1:11" ht="10.5" customHeight="1" x14ac:dyDescent="0.2">
      <c r="A301" s="120" t="s">
        <v>325</v>
      </c>
      <c r="B301" s="952" t="e">
        <f>$B$2</f>
        <v>#REF!</v>
      </c>
      <c r="C301" s="952"/>
      <c r="D301" s="934" t="s">
        <v>326</v>
      </c>
      <c r="E301" s="934"/>
      <c r="F301" s="934"/>
      <c r="G301" s="934"/>
      <c r="H301" s="953">
        <f>$H$2</f>
        <v>45739</v>
      </c>
      <c r="I301" s="954"/>
      <c r="J301" s="441"/>
      <c r="K301" s="122" t="s">
        <v>327</v>
      </c>
    </row>
    <row r="302" spans="1:11" ht="10.5" customHeight="1" x14ac:dyDescent="0.2">
      <c r="A302" s="120"/>
      <c r="B302" s="127"/>
      <c r="C302" s="124"/>
      <c r="D302" s="124"/>
      <c r="E302" s="124"/>
      <c r="F302" s="124"/>
      <c r="G302" s="124"/>
      <c r="H302" s="124"/>
      <c r="I302" s="124"/>
      <c r="J302" s="441"/>
      <c r="K302" s="122" t="e">
        <f>$B$2</f>
        <v>#REF!</v>
      </c>
    </row>
    <row r="303" spans="1:11" ht="10.5" customHeight="1" x14ac:dyDescent="0.2">
      <c r="A303" s="120" t="s">
        <v>0</v>
      </c>
      <c r="B303" s="960" t="str">
        <f>$B$4</f>
        <v>адрес вбить сюда</v>
      </c>
      <c r="C303" s="960"/>
      <c r="D303" s="960"/>
      <c r="E303" s="960"/>
      <c r="F303" s="960"/>
      <c r="G303" s="960"/>
      <c r="H303" s="960"/>
      <c r="I303" s="960"/>
      <c r="J303" s="961"/>
      <c r="K303" s="122"/>
    </row>
    <row r="304" spans="1:11" ht="10.5" customHeight="1" x14ac:dyDescent="0.2">
      <c r="A304" s="120"/>
      <c r="B304" s="960"/>
      <c r="C304" s="960"/>
      <c r="D304" s="960"/>
      <c r="E304" s="960"/>
      <c r="F304" s="960"/>
      <c r="G304" s="960"/>
      <c r="H304" s="960"/>
      <c r="I304" s="960"/>
      <c r="J304" s="961"/>
      <c r="K304" s="122" t="s">
        <v>328</v>
      </c>
    </row>
    <row r="305" spans="1:11" ht="10.5" customHeight="1" x14ac:dyDescent="0.2">
      <c r="A305" s="957" t="s">
        <v>329</v>
      </c>
      <c r="B305" s="958"/>
      <c r="C305" s="958"/>
      <c r="D305" s="945" t="str">
        <f>'Акт отбора проб Вода'!F42</f>
        <v>В24</v>
      </c>
      <c r="E305" s="945"/>
      <c r="F305" s="945"/>
      <c r="G305" s="959" t="s">
        <v>330</v>
      </c>
      <c r="H305" s="959"/>
      <c r="I305" s="959"/>
      <c r="J305" s="438" t="str">
        <f>J6</f>
        <v>0,0-0,2</v>
      </c>
      <c r="K305" s="126">
        <f>$H$2</f>
        <v>45739</v>
      </c>
    </row>
    <row r="306" spans="1:11" ht="10.5" customHeight="1" x14ac:dyDescent="0.2">
      <c r="A306" s="120"/>
      <c r="B306" s="127"/>
      <c r="C306" s="124"/>
      <c r="D306" s="128"/>
      <c r="E306" s="128"/>
      <c r="F306" s="128"/>
      <c r="G306" s="125"/>
      <c r="H306" s="125"/>
      <c r="I306" s="125"/>
      <c r="J306" s="442"/>
      <c r="K306" s="122" t="s">
        <v>331</v>
      </c>
    </row>
    <row r="307" spans="1:11" ht="10.5" customHeight="1" x14ac:dyDescent="0.2">
      <c r="A307" s="120" t="s">
        <v>331</v>
      </c>
      <c r="B307" s="129" t="str">
        <f>'Акт отбора проб Вода'!C42</f>
        <v>24ВХ.01</v>
      </c>
      <c r="C307" s="124"/>
      <c r="D307" s="128"/>
      <c r="E307" s="128"/>
      <c r="F307" s="128"/>
      <c r="G307" s="125"/>
      <c r="H307" s="125"/>
      <c r="I307" s="125"/>
      <c r="J307" s="442"/>
      <c r="K307" s="122" t="str">
        <f>B307</f>
        <v>24ВХ.01</v>
      </c>
    </row>
    <row r="308" spans="1:11" ht="10.5" customHeight="1" x14ac:dyDescent="0.2">
      <c r="A308" s="120"/>
      <c r="B308" s="127"/>
      <c r="C308" s="124"/>
      <c r="D308" s="124"/>
      <c r="E308" s="124"/>
      <c r="F308" s="124"/>
      <c r="G308" s="124"/>
      <c r="H308" s="124"/>
      <c r="I308" s="124"/>
      <c r="J308" s="441"/>
      <c r="K308" s="122" t="s">
        <v>332</v>
      </c>
    </row>
    <row r="309" spans="1:11" ht="10.5" customHeight="1" x14ac:dyDescent="0.2">
      <c r="A309" s="957" t="s">
        <v>681</v>
      </c>
      <c r="B309" s="958"/>
      <c r="C309" s="951"/>
      <c r="D309" s="951"/>
      <c r="E309" s="951"/>
      <c r="F309" s="951"/>
      <c r="G309" s="951"/>
      <c r="H309" s="951"/>
      <c r="I309" s="951"/>
      <c r="J309" s="144"/>
      <c r="K309" s="122" t="str">
        <f>J305</f>
        <v>0,0-0,2</v>
      </c>
    </row>
    <row r="310" spans="1:11" ht="10.5" customHeight="1" x14ac:dyDescent="0.2">
      <c r="A310" s="120" t="s">
        <v>333</v>
      </c>
      <c r="B310" s="127"/>
      <c r="C310" s="124"/>
      <c r="D310" s="124"/>
      <c r="E310" s="124"/>
      <c r="F310" s="124"/>
      <c r="G310" s="124"/>
      <c r="H310" s="124"/>
      <c r="I310" s="124"/>
      <c r="J310" s="441"/>
      <c r="K310" s="122" t="s">
        <v>334</v>
      </c>
    </row>
    <row r="311" spans="1:11" ht="10.5" customHeight="1" x14ac:dyDescent="0.2">
      <c r="A311" s="120" t="s">
        <v>335</v>
      </c>
      <c r="B311" s="133"/>
      <c r="C311" s="134"/>
      <c r="D311" s="134"/>
      <c r="E311" s="134"/>
      <c r="F311" s="134"/>
      <c r="G311" s="134"/>
      <c r="H311" s="124"/>
      <c r="I311" s="124"/>
      <c r="J311" s="441"/>
      <c r="K311" s="122"/>
    </row>
    <row r="312" spans="1:11" ht="10.5" customHeight="1" thickBot="1" x14ac:dyDescent="0.25">
      <c r="A312" s="145"/>
      <c r="B312" s="146"/>
      <c r="C312" s="147" t="s">
        <v>336</v>
      </c>
      <c r="D312" s="147"/>
      <c r="E312" s="147"/>
      <c r="F312" s="147"/>
      <c r="G312" s="147"/>
      <c r="H312" s="147"/>
      <c r="I312" s="147"/>
      <c r="J312" s="394"/>
      <c r="K312" s="139"/>
    </row>
    <row r="313" spans="1:11" ht="10.5" customHeight="1" x14ac:dyDescent="0.2">
      <c r="A313" s="141"/>
      <c r="B313" s="142"/>
      <c r="C313" s="143"/>
      <c r="D313" s="143"/>
      <c r="E313" s="143"/>
      <c r="F313" s="143"/>
      <c r="G313" s="143"/>
      <c r="H313" s="143"/>
      <c r="I313" s="143"/>
      <c r="J313" s="440"/>
      <c r="K313" s="118"/>
    </row>
    <row r="314" spans="1:11" ht="10.5" customHeight="1" x14ac:dyDescent="0.2">
      <c r="A314" s="120" t="s">
        <v>325</v>
      </c>
      <c r="B314" s="952" t="e">
        <f>$B$2</f>
        <v>#REF!</v>
      </c>
      <c r="C314" s="952"/>
      <c r="D314" s="934" t="s">
        <v>326</v>
      </c>
      <c r="E314" s="934"/>
      <c r="F314" s="934"/>
      <c r="G314" s="934"/>
      <c r="H314" s="953">
        <f>$H$2</f>
        <v>45739</v>
      </c>
      <c r="I314" s="954"/>
      <c r="J314" s="441"/>
      <c r="K314" s="122" t="s">
        <v>327</v>
      </c>
    </row>
    <row r="315" spans="1:11" ht="10.5" customHeight="1" x14ac:dyDescent="0.2">
      <c r="A315" s="120"/>
      <c r="B315" s="127"/>
      <c r="C315" s="124"/>
      <c r="D315" s="124"/>
      <c r="E315" s="124"/>
      <c r="F315" s="124"/>
      <c r="G315" s="124"/>
      <c r="H315" s="124"/>
      <c r="I315" s="124"/>
      <c r="J315" s="441"/>
      <c r="K315" s="122" t="e">
        <f>$B$2</f>
        <v>#REF!</v>
      </c>
    </row>
    <row r="316" spans="1:11" ht="10.5" customHeight="1" x14ac:dyDescent="0.2">
      <c r="A316" s="120" t="s">
        <v>0</v>
      </c>
      <c r="B316" s="960" t="str">
        <f>$B$4</f>
        <v>адрес вбить сюда</v>
      </c>
      <c r="C316" s="960"/>
      <c r="D316" s="960"/>
      <c r="E316" s="960"/>
      <c r="F316" s="960"/>
      <c r="G316" s="960"/>
      <c r="H316" s="960"/>
      <c r="I316" s="960"/>
      <c r="J316" s="961"/>
      <c r="K316" s="122"/>
    </row>
    <row r="317" spans="1:11" ht="10.5" customHeight="1" x14ac:dyDescent="0.2">
      <c r="A317" s="120"/>
      <c r="B317" s="960"/>
      <c r="C317" s="960"/>
      <c r="D317" s="960"/>
      <c r="E317" s="960"/>
      <c r="F317" s="960"/>
      <c r="G317" s="960"/>
      <c r="H317" s="960"/>
      <c r="I317" s="960"/>
      <c r="J317" s="961"/>
      <c r="K317" s="122" t="s">
        <v>328</v>
      </c>
    </row>
    <row r="318" spans="1:11" ht="10.5" customHeight="1" x14ac:dyDescent="0.2">
      <c r="A318" s="957" t="s">
        <v>329</v>
      </c>
      <c r="B318" s="958"/>
      <c r="C318" s="958"/>
      <c r="D318" s="945" t="str">
        <f>'Акт отбора проб Вода'!F43</f>
        <v>В25</v>
      </c>
      <c r="E318" s="945"/>
      <c r="F318" s="945"/>
      <c r="G318" s="959" t="s">
        <v>330</v>
      </c>
      <c r="H318" s="959"/>
      <c r="I318" s="959"/>
      <c r="J318" s="438" t="str">
        <f>J6</f>
        <v>0,0-0,2</v>
      </c>
      <c r="K318" s="126">
        <f>$H$2</f>
        <v>45739</v>
      </c>
    </row>
    <row r="319" spans="1:11" ht="10.5" customHeight="1" x14ac:dyDescent="0.2">
      <c r="A319" s="120"/>
      <c r="B319" s="127"/>
      <c r="C319" s="124"/>
      <c r="D319" s="128"/>
      <c r="E319" s="128"/>
      <c r="F319" s="128"/>
      <c r="G319" s="125"/>
      <c r="H319" s="125"/>
      <c r="I319" s="125"/>
      <c r="J319" s="442"/>
      <c r="K319" s="122" t="s">
        <v>331</v>
      </c>
    </row>
    <row r="320" spans="1:11" ht="10.5" customHeight="1" x14ac:dyDescent="0.2">
      <c r="A320" s="120" t="s">
        <v>331</v>
      </c>
      <c r="B320" s="129" t="str">
        <f>'Акт отбора проб Вода'!C43</f>
        <v>25ВХ.01</v>
      </c>
      <c r="C320" s="124"/>
      <c r="D320" s="128"/>
      <c r="E320" s="128"/>
      <c r="F320" s="128"/>
      <c r="G320" s="125"/>
      <c r="H320" s="125"/>
      <c r="I320" s="125"/>
      <c r="J320" s="442"/>
      <c r="K320" s="122" t="str">
        <f>B320</f>
        <v>25ВХ.01</v>
      </c>
    </row>
    <row r="321" spans="1:11" ht="10.5" customHeight="1" x14ac:dyDescent="0.2">
      <c r="A321" s="120"/>
      <c r="B321" s="127"/>
      <c r="C321" s="124"/>
      <c r="D321" s="124"/>
      <c r="E321" s="124"/>
      <c r="F321" s="124"/>
      <c r="G321" s="124"/>
      <c r="H321" s="124"/>
      <c r="I321" s="124"/>
      <c r="J321" s="441"/>
      <c r="K321" s="122" t="s">
        <v>332</v>
      </c>
    </row>
    <row r="322" spans="1:11" ht="10.5" customHeight="1" x14ac:dyDescent="0.2">
      <c r="A322" s="957" t="s">
        <v>681</v>
      </c>
      <c r="B322" s="958"/>
      <c r="C322" s="951"/>
      <c r="D322" s="951"/>
      <c r="E322" s="951"/>
      <c r="F322" s="951"/>
      <c r="G322" s="951"/>
      <c r="H322" s="951"/>
      <c r="I322" s="951"/>
      <c r="J322" s="144"/>
      <c r="K322" s="122" t="str">
        <f>J318</f>
        <v>0,0-0,2</v>
      </c>
    </row>
    <row r="323" spans="1:11" ht="10.5" customHeight="1" x14ac:dyDescent="0.2">
      <c r="A323" s="120" t="s">
        <v>333</v>
      </c>
      <c r="B323" s="127"/>
      <c r="C323" s="124"/>
      <c r="D323" s="124"/>
      <c r="E323" s="124"/>
      <c r="F323" s="124"/>
      <c r="G323" s="124"/>
      <c r="H323" s="124"/>
      <c r="I323" s="124"/>
      <c r="J323" s="441"/>
      <c r="K323" s="122" t="s">
        <v>334</v>
      </c>
    </row>
    <row r="324" spans="1:11" ht="10.5" customHeight="1" x14ac:dyDescent="0.2">
      <c r="A324" s="120" t="s">
        <v>335</v>
      </c>
      <c r="B324" s="133"/>
      <c r="C324" s="134"/>
      <c r="D324" s="134"/>
      <c r="E324" s="134"/>
      <c r="F324" s="134"/>
      <c r="G324" s="134"/>
      <c r="H324" s="124"/>
      <c r="I324" s="124"/>
      <c r="J324" s="441"/>
      <c r="K324" s="122"/>
    </row>
    <row r="325" spans="1:11" ht="10.5" customHeight="1" thickBot="1" x14ac:dyDescent="0.25">
      <c r="A325" s="145"/>
      <c r="B325" s="146"/>
      <c r="C325" s="147" t="s">
        <v>336</v>
      </c>
      <c r="D325" s="147"/>
      <c r="E325" s="147"/>
      <c r="F325" s="147"/>
      <c r="G325" s="147"/>
      <c r="H325" s="147"/>
      <c r="I325" s="147"/>
      <c r="J325" s="394"/>
      <c r="K325" s="139"/>
    </row>
    <row r="326" spans="1:11" ht="10.5" customHeight="1" x14ac:dyDescent="0.2">
      <c r="A326" s="141"/>
      <c r="B326" s="142"/>
      <c r="C326" s="143"/>
      <c r="D326" s="143"/>
      <c r="E326" s="143"/>
      <c r="F326" s="143"/>
      <c r="G326" s="143"/>
      <c r="H326" s="143"/>
      <c r="I326" s="143"/>
      <c r="J326" s="440"/>
      <c r="K326" s="118"/>
    </row>
    <row r="327" spans="1:11" ht="10.5" customHeight="1" x14ac:dyDescent="0.2">
      <c r="A327" s="120" t="s">
        <v>325</v>
      </c>
      <c r="B327" s="952" t="e">
        <f>$B$2</f>
        <v>#REF!</v>
      </c>
      <c r="C327" s="952"/>
      <c r="D327" s="934" t="s">
        <v>326</v>
      </c>
      <c r="E327" s="934"/>
      <c r="F327" s="934"/>
      <c r="G327" s="934"/>
      <c r="H327" s="953">
        <f>$H$2</f>
        <v>45739</v>
      </c>
      <c r="I327" s="954"/>
      <c r="J327" s="441"/>
      <c r="K327" s="122" t="s">
        <v>327</v>
      </c>
    </row>
    <row r="328" spans="1:11" ht="10.5" customHeight="1" x14ac:dyDescent="0.2">
      <c r="A328" s="120"/>
      <c r="B328" s="127"/>
      <c r="C328" s="124"/>
      <c r="D328" s="124"/>
      <c r="E328" s="124"/>
      <c r="F328" s="124"/>
      <c r="G328" s="124"/>
      <c r="H328" s="124"/>
      <c r="I328" s="124"/>
      <c r="J328" s="441"/>
      <c r="K328" s="122" t="e">
        <f>$B$2</f>
        <v>#REF!</v>
      </c>
    </row>
    <row r="329" spans="1:11" ht="10.5" customHeight="1" x14ac:dyDescent="0.2">
      <c r="A329" s="120" t="s">
        <v>0</v>
      </c>
      <c r="B329" s="960" t="str">
        <f>$B$4</f>
        <v>адрес вбить сюда</v>
      </c>
      <c r="C329" s="960"/>
      <c r="D329" s="960"/>
      <c r="E329" s="960"/>
      <c r="F329" s="960"/>
      <c r="G329" s="960"/>
      <c r="H329" s="960"/>
      <c r="I329" s="960"/>
      <c r="J329" s="961"/>
      <c r="K329" s="122"/>
    </row>
    <row r="330" spans="1:11" ht="10.5" customHeight="1" x14ac:dyDescent="0.2">
      <c r="A330" s="120"/>
      <c r="B330" s="960"/>
      <c r="C330" s="960"/>
      <c r="D330" s="960"/>
      <c r="E330" s="960"/>
      <c r="F330" s="960"/>
      <c r="G330" s="960"/>
      <c r="H330" s="960"/>
      <c r="I330" s="960"/>
      <c r="J330" s="961"/>
      <c r="K330" s="122" t="s">
        <v>328</v>
      </c>
    </row>
    <row r="331" spans="1:11" ht="10.5" customHeight="1" x14ac:dyDescent="0.2">
      <c r="A331" s="957" t="s">
        <v>329</v>
      </c>
      <c r="B331" s="958"/>
      <c r="C331" s="958"/>
      <c r="D331" s="945" t="str">
        <f>'Акт отбора проб Вода'!F44</f>
        <v>В26</v>
      </c>
      <c r="E331" s="945"/>
      <c r="F331" s="945"/>
      <c r="G331" s="959" t="s">
        <v>330</v>
      </c>
      <c r="H331" s="959"/>
      <c r="I331" s="959"/>
      <c r="J331" s="438" t="str">
        <f>J6</f>
        <v>0,0-0,2</v>
      </c>
      <c r="K331" s="126">
        <f>$H$2</f>
        <v>45739</v>
      </c>
    </row>
    <row r="332" spans="1:11" ht="10.5" customHeight="1" x14ac:dyDescent="0.2">
      <c r="A332" s="120"/>
      <c r="B332" s="127"/>
      <c r="C332" s="124"/>
      <c r="D332" s="128"/>
      <c r="E332" s="128"/>
      <c r="F332" s="128"/>
      <c r="G332" s="125"/>
      <c r="H332" s="125"/>
      <c r="I332" s="125"/>
      <c r="J332" s="442"/>
      <c r="K332" s="122" t="s">
        <v>331</v>
      </c>
    </row>
    <row r="333" spans="1:11" ht="10.5" customHeight="1" x14ac:dyDescent="0.2">
      <c r="A333" s="120" t="s">
        <v>331</v>
      </c>
      <c r="B333" s="129" t="str">
        <f>'Акт отбора проб Вода'!C44</f>
        <v>26ВХ.01</v>
      </c>
      <c r="C333" s="124"/>
      <c r="D333" s="128"/>
      <c r="E333" s="128"/>
      <c r="F333" s="128"/>
      <c r="G333" s="125"/>
      <c r="H333" s="125"/>
      <c r="I333" s="125"/>
      <c r="J333" s="442"/>
      <c r="K333" s="122" t="str">
        <f>B333</f>
        <v>26ВХ.01</v>
      </c>
    </row>
    <row r="334" spans="1:11" ht="10.5" customHeight="1" x14ac:dyDescent="0.2">
      <c r="A334" s="120"/>
      <c r="B334" s="127"/>
      <c r="C334" s="124"/>
      <c r="D334" s="124"/>
      <c r="E334" s="124"/>
      <c r="F334" s="124"/>
      <c r="G334" s="124"/>
      <c r="H334" s="124"/>
      <c r="I334" s="124"/>
      <c r="J334" s="441"/>
      <c r="K334" s="122" t="s">
        <v>332</v>
      </c>
    </row>
    <row r="335" spans="1:11" ht="10.5" customHeight="1" x14ac:dyDescent="0.2">
      <c r="A335" s="957" t="s">
        <v>681</v>
      </c>
      <c r="B335" s="958"/>
      <c r="C335" s="951"/>
      <c r="D335" s="951"/>
      <c r="E335" s="951"/>
      <c r="F335" s="951"/>
      <c r="G335" s="951"/>
      <c r="H335" s="951"/>
      <c r="I335" s="951"/>
      <c r="J335" s="144"/>
      <c r="K335" s="122" t="str">
        <f>J331</f>
        <v>0,0-0,2</v>
      </c>
    </row>
    <row r="336" spans="1:11" ht="10.5" customHeight="1" x14ac:dyDescent="0.2">
      <c r="A336" s="120" t="s">
        <v>333</v>
      </c>
      <c r="B336" s="127"/>
      <c r="C336" s="124"/>
      <c r="D336" s="124"/>
      <c r="E336" s="124"/>
      <c r="F336" s="124"/>
      <c r="G336" s="124"/>
      <c r="H336" s="124"/>
      <c r="I336" s="124"/>
      <c r="J336" s="441"/>
      <c r="K336" s="122" t="s">
        <v>334</v>
      </c>
    </row>
    <row r="337" spans="1:11" ht="10.5" customHeight="1" x14ac:dyDescent="0.2">
      <c r="A337" s="120" t="s">
        <v>335</v>
      </c>
      <c r="B337" s="133"/>
      <c r="C337" s="134"/>
      <c r="D337" s="134"/>
      <c r="E337" s="134"/>
      <c r="F337" s="134"/>
      <c r="G337" s="134"/>
      <c r="H337" s="124"/>
      <c r="I337" s="124"/>
      <c r="J337" s="441"/>
      <c r="K337" s="122"/>
    </row>
    <row r="338" spans="1:11" ht="10.5" customHeight="1" thickBot="1" x14ac:dyDescent="0.25">
      <c r="A338" s="145"/>
      <c r="B338" s="146"/>
      <c r="C338" s="147" t="s">
        <v>336</v>
      </c>
      <c r="D338" s="147"/>
      <c r="E338" s="147"/>
      <c r="F338" s="147"/>
      <c r="G338" s="147"/>
      <c r="H338" s="147"/>
      <c r="I338" s="147"/>
      <c r="J338" s="394"/>
      <c r="K338" s="139"/>
    </row>
    <row r="339" spans="1:11" ht="10.5" customHeight="1" x14ac:dyDescent="0.2">
      <c r="A339" s="149"/>
      <c r="B339" s="150"/>
      <c r="C339" s="151"/>
      <c r="D339" s="151"/>
      <c r="E339" s="151"/>
      <c r="F339" s="151"/>
      <c r="G339" s="151"/>
      <c r="H339" s="151"/>
      <c r="I339" s="151"/>
      <c r="J339" s="440"/>
      <c r="K339" s="118"/>
    </row>
    <row r="340" spans="1:11" ht="10.5" customHeight="1" x14ac:dyDescent="0.2">
      <c r="A340" s="120" t="s">
        <v>325</v>
      </c>
      <c r="B340" s="952" t="e">
        <f>$B$2</f>
        <v>#REF!</v>
      </c>
      <c r="C340" s="952"/>
      <c r="D340" s="934" t="s">
        <v>326</v>
      </c>
      <c r="E340" s="934"/>
      <c r="F340" s="934"/>
      <c r="G340" s="934"/>
      <c r="H340" s="953">
        <f>$H$2</f>
        <v>45739</v>
      </c>
      <c r="I340" s="954"/>
      <c r="J340" s="441"/>
      <c r="K340" s="122" t="s">
        <v>327</v>
      </c>
    </row>
    <row r="341" spans="1:11" ht="10.5" customHeight="1" x14ac:dyDescent="0.2">
      <c r="A341" s="152"/>
      <c r="B341" s="127"/>
      <c r="C341" s="124"/>
      <c r="D341" s="124"/>
      <c r="E341" s="124"/>
      <c r="F341" s="124"/>
      <c r="G341" s="124"/>
      <c r="H341" s="124"/>
      <c r="I341" s="124"/>
      <c r="J341" s="441"/>
      <c r="K341" s="122" t="e">
        <f>$B$2</f>
        <v>#REF!</v>
      </c>
    </row>
    <row r="342" spans="1:11" ht="10.5" customHeight="1" x14ac:dyDescent="0.2">
      <c r="A342" s="152" t="s">
        <v>0</v>
      </c>
      <c r="B342" s="960" t="str">
        <f>$B$4</f>
        <v>адрес вбить сюда</v>
      </c>
      <c r="C342" s="960"/>
      <c r="D342" s="960"/>
      <c r="E342" s="960"/>
      <c r="F342" s="960"/>
      <c r="G342" s="960"/>
      <c r="H342" s="960"/>
      <c r="I342" s="960"/>
      <c r="J342" s="961"/>
      <c r="K342" s="122"/>
    </row>
    <row r="343" spans="1:11" ht="10.5" customHeight="1" x14ac:dyDescent="0.2">
      <c r="A343" s="152"/>
      <c r="B343" s="960"/>
      <c r="C343" s="960"/>
      <c r="D343" s="960"/>
      <c r="E343" s="960"/>
      <c r="F343" s="960"/>
      <c r="G343" s="960"/>
      <c r="H343" s="960"/>
      <c r="I343" s="960"/>
      <c r="J343" s="961"/>
      <c r="K343" s="122" t="s">
        <v>328</v>
      </c>
    </row>
    <row r="344" spans="1:11" ht="10.5" customHeight="1" x14ac:dyDescent="0.2">
      <c r="A344" s="962" t="s">
        <v>329</v>
      </c>
      <c r="B344" s="952"/>
      <c r="C344" s="952"/>
      <c r="D344" s="945" t="str">
        <f>'Акт отбора проб Вода'!F45</f>
        <v>В27</v>
      </c>
      <c r="E344" s="945"/>
      <c r="F344" s="945"/>
      <c r="G344" s="963" t="s">
        <v>330</v>
      </c>
      <c r="H344" s="963"/>
      <c r="I344" s="963"/>
      <c r="J344" s="438" t="str">
        <f>J6</f>
        <v>0,0-0,2</v>
      </c>
      <c r="K344" s="126">
        <f>$H$2</f>
        <v>45739</v>
      </c>
    </row>
    <row r="345" spans="1:11" ht="10.5" customHeight="1" x14ac:dyDescent="0.2">
      <c r="A345" s="152"/>
      <c r="B345" s="123"/>
      <c r="C345" s="121"/>
      <c r="D345" s="154"/>
      <c r="E345" s="154"/>
      <c r="F345" s="154"/>
      <c r="G345" s="153"/>
      <c r="H345" s="153"/>
      <c r="I345" s="153"/>
      <c r="J345" s="442"/>
      <c r="K345" s="122" t="s">
        <v>331</v>
      </c>
    </row>
    <row r="346" spans="1:11" ht="10.5" customHeight="1" x14ac:dyDescent="0.2">
      <c r="A346" s="120" t="s">
        <v>331</v>
      </c>
      <c r="B346" s="129" t="str">
        <f>'Акт отбора проб Вода'!C45</f>
        <v>27ВХ.01</v>
      </c>
      <c r="C346" s="121"/>
      <c r="D346" s="154"/>
      <c r="E346" s="154"/>
      <c r="F346" s="154"/>
      <c r="G346" s="153"/>
      <c r="H346" s="153"/>
      <c r="I346" s="153"/>
      <c r="J346" s="442"/>
      <c r="K346" s="122" t="str">
        <f>B346</f>
        <v>27ВХ.01</v>
      </c>
    </row>
    <row r="347" spans="1:11" ht="10.5" customHeight="1" x14ac:dyDescent="0.2">
      <c r="A347" s="152"/>
      <c r="B347" s="123"/>
      <c r="C347" s="121"/>
      <c r="D347" s="121"/>
      <c r="E347" s="121"/>
      <c r="F347" s="121"/>
      <c r="G347" s="121"/>
      <c r="H347" s="121"/>
      <c r="I347" s="121"/>
      <c r="J347" s="441"/>
      <c r="K347" s="122" t="s">
        <v>332</v>
      </c>
    </row>
    <row r="348" spans="1:11" ht="10.5" customHeight="1" x14ac:dyDescent="0.2">
      <c r="A348" s="962" t="s">
        <v>681</v>
      </c>
      <c r="B348" s="952"/>
      <c r="C348" s="951"/>
      <c r="D348" s="951"/>
      <c r="E348" s="951"/>
      <c r="F348" s="951"/>
      <c r="G348" s="951"/>
      <c r="H348" s="951"/>
      <c r="I348" s="951"/>
      <c r="J348" s="155"/>
      <c r="K348" s="122" t="str">
        <f>J344</f>
        <v>0,0-0,2</v>
      </c>
    </row>
    <row r="349" spans="1:11" ht="10.5" customHeight="1" x14ac:dyDescent="0.2">
      <c r="A349" s="152" t="s">
        <v>333</v>
      </c>
      <c r="B349" s="123"/>
      <c r="C349" s="121"/>
      <c r="D349" s="121"/>
      <c r="E349" s="121"/>
      <c r="F349" s="121"/>
      <c r="G349" s="121"/>
      <c r="H349" s="121"/>
      <c r="I349" s="121"/>
      <c r="J349" s="441"/>
      <c r="K349" s="122" t="s">
        <v>334</v>
      </c>
    </row>
    <row r="350" spans="1:11" ht="10.5" customHeight="1" x14ac:dyDescent="0.2">
      <c r="A350" s="152" t="s">
        <v>335</v>
      </c>
      <c r="B350" s="156"/>
      <c r="C350" s="157"/>
      <c r="D350" s="157"/>
      <c r="E350" s="157"/>
      <c r="F350" s="157"/>
      <c r="G350" s="157"/>
      <c r="H350" s="121"/>
      <c r="I350" s="121"/>
      <c r="J350" s="441"/>
      <c r="K350" s="122"/>
    </row>
    <row r="351" spans="1:11" ht="10.5" customHeight="1" thickBot="1" x14ac:dyDescent="0.25">
      <c r="A351" s="158"/>
      <c r="B351" s="159"/>
      <c r="C351" s="138" t="s">
        <v>336</v>
      </c>
      <c r="D351" s="138"/>
      <c r="E351" s="138"/>
      <c r="F351" s="138"/>
      <c r="G351" s="138"/>
      <c r="H351" s="138"/>
      <c r="I351" s="138"/>
      <c r="J351" s="393"/>
      <c r="K351" s="139"/>
    </row>
    <row r="352" spans="1:11" ht="10.5" customHeight="1" x14ac:dyDescent="0.2">
      <c r="A352" s="149"/>
      <c r="B352" s="150"/>
      <c r="C352" s="151"/>
      <c r="D352" s="151"/>
      <c r="E352" s="151"/>
      <c r="F352" s="151"/>
      <c r="G352" s="151"/>
      <c r="H352" s="151"/>
      <c r="I352" s="151"/>
      <c r="J352" s="440"/>
      <c r="K352" s="118"/>
    </row>
    <row r="353" spans="1:11" ht="10.5" customHeight="1" x14ac:dyDescent="0.2">
      <c r="A353" s="120" t="s">
        <v>325</v>
      </c>
      <c r="B353" s="952" t="e">
        <f>$B$2</f>
        <v>#REF!</v>
      </c>
      <c r="C353" s="952"/>
      <c r="D353" s="934" t="s">
        <v>326</v>
      </c>
      <c r="E353" s="934"/>
      <c r="F353" s="934"/>
      <c r="G353" s="934"/>
      <c r="H353" s="953">
        <f>$H$2</f>
        <v>45739</v>
      </c>
      <c r="I353" s="954"/>
      <c r="J353" s="441"/>
      <c r="K353" s="122" t="s">
        <v>327</v>
      </c>
    </row>
    <row r="354" spans="1:11" ht="10.5" customHeight="1" x14ac:dyDescent="0.2">
      <c r="A354" s="152"/>
      <c r="B354" s="127"/>
      <c r="C354" s="124"/>
      <c r="D354" s="124"/>
      <c r="E354" s="124"/>
      <c r="F354" s="124"/>
      <c r="G354" s="124"/>
      <c r="H354" s="124"/>
      <c r="I354" s="124"/>
      <c r="J354" s="441"/>
      <c r="K354" s="122" t="e">
        <f>$B$2</f>
        <v>#REF!</v>
      </c>
    </row>
    <row r="355" spans="1:11" ht="10.5" customHeight="1" x14ac:dyDescent="0.2">
      <c r="A355" s="152" t="s">
        <v>0</v>
      </c>
      <c r="B355" s="960" t="str">
        <f>$B$4</f>
        <v>адрес вбить сюда</v>
      </c>
      <c r="C355" s="960"/>
      <c r="D355" s="960"/>
      <c r="E355" s="960"/>
      <c r="F355" s="960"/>
      <c r="G355" s="960"/>
      <c r="H355" s="960"/>
      <c r="I355" s="960"/>
      <c r="J355" s="961"/>
      <c r="K355" s="122"/>
    </row>
    <row r="356" spans="1:11" ht="10.5" customHeight="1" x14ac:dyDescent="0.2">
      <c r="A356" s="152"/>
      <c r="B356" s="960"/>
      <c r="C356" s="960"/>
      <c r="D356" s="960"/>
      <c r="E356" s="960"/>
      <c r="F356" s="960"/>
      <c r="G356" s="960"/>
      <c r="H356" s="960"/>
      <c r="I356" s="960"/>
      <c r="J356" s="961"/>
      <c r="K356" s="122" t="s">
        <v>328</v>
      </c>
    </row>
    <row r="357" spans="1:11" ht="10.5" customHeight="1" x14ac:dyDescent="0.2">
      <c r="A357" s="962" t="s">
        <v>329</v>
      </c>
      <c r="B357" s="952"/>
      <c r="C357" s="952"/>
      <c r="D357" s="945" t="str">
        <f>'Акт отбора проб Вода'!F46</f>
        <v>В28</v>
      </c>
      <c r="E357" s="945"/>
      <c r="F357" s="945"/>
      <c r="G357" s="963" t="s">
        <v>330</v>
      </c>
      <c r="H357" s="963"/>
      <c r="I357" s="963"/>
      <c r="J357" s="438" t="str">
        <f>J6</f>
        <v>0,0-0,2</v>
      </c>
      <c r="K357" s="126">
        <f>$H$2</f>
        <v>45739</v>
      </c>
    </row>
    <row r="358" spans="1:11" ht="10.5" customHeight="1" x14ac:dyDescent="0.2">
      <c r="A358" s="152"/>
      <c r="B358" s="123"/>
      <c r="C358" s="121"/>
      <c r="D358" s="154"/>
      <c r="E358" s="154"/>
      <c r="F358" s="154"/>
      <c r="G358" s="153"/>
      <c r="H358" s="153"/>
      <c r="I358" s="153"/>
      <c r="J358" s="442"/>
      <c r="K358" s="122" t="s">
        <v>331</v>
      </c>
    </row>
    <row r="359" spans="1:11" ht="10.5" customHeight="1" x14ac:dyDescent="0.2">
      <c r="A359" s="120" t="s">
        <v>331</v>
      </c>
      <c r="B359" s="129" t="str">
        <f>'Акт отбора проб Вода'!C46</f>
        <v>28ВХ.01</v>
      </c>
      <c r="C359" s="121"/>
      <c r="D359" s="154"/>
      <c r="E359" s="154"/>
      <c r="F359" s="154"/>
      <c r="G359" s="153"/>
      <c r="H359" s="153"/>
      <c r="I359" s="153"/>
      <c r="J359" s="442"/>
      <c r="K359" s="122" t="str">
        <f>B359</f>
        <v>28ВХ.01</v>
      </c>
    </row>
    <row r="360" spans="1:11" ht="10.5" customHeight="1" x14ac:dyDescent="0.2">
      <c r="A360" s="152"/>
      <c r="B360" s="123"/>
      <c r="C360" s="121"/>
      <c r="D360" s="121"/>
      <c r="E360" s="121"/>
      <c r="F360" s="121"/>
      <c r="G360" s="121"/>
      <c r="H360" s="121"/>
      <c r="I360" s="121"/>
      <c r="J360" s="441"/>
      <c r="K360" s="122" t="s">
        <v>332</v>
      </c>
    </row>
    <row r="361" spans="1:11" ht="10.5" customHeight="1" x14ac:dyDescent="0.2">
      <c r="A361" s="962" t="s">
        <v>681</v>
      </c>
      <c r="B361" s="952"/>
      <c r="C361" s="951"/>
      <c r="D361" s="951"/>
      <c r="E361" s="951"/>
      <c r="F361" s="951"/>
      <c r="G361" s="951"/>
      <c r="H361" s="951"/>
      <c r="I361" s="951"/>
      <c r="J361" s="155"/>
      <c r="K361" s="122" t="str">
        <f>J357</f>
        <v>0,0-0,2</v>
      </c>
    </row>
    <row r="362" spans="1:11" ht="10.5" customHeight="1" x14ac:dyDescent="0.2">
      <c r="A362" s="152" t="s">
        <v>333</v>
      </c>
      <c r="B362" s="123"/>
      <c r="C362" s="121"/>
      <c r="D362" s="121"/>
      <c r="E362" s="121"/>
      <c r="F362" s="121"/>
      <c r="G362" s="121"/>
      <c r="H362" s="121"/>
      <c r="I362" s="121"/>
      <c r="J362" s="441"/>
      <c r="K362" s="122" t="s">
        <v>334</v>
      </c>
    </row>
    <row r="363" spans="1:11" ht="10.5" customHeight="1" x14ac:dyDescent="0.2">
      <c r="A363" s="152" t="s">
        <v>335</v>
      </c>
      <c r="B363" s="156"/>
      <c r="C363" s="157"/>
      <c r="D363" s="157"/>
      <c r="E363" s="157"/>
      <c r="F363" s="157"/>
      <c r="G363" s="157"/>
      <c r="H363" s="121"/>
      <c r="I363" s="121"/>
      <c r="J363" s="441"/>
      <c r="K363" s="122"/>
    </row>
    <row r="364" spans="1:11" ht="10.5" customHeight="1" thickBot="1" x14ac:dyDescent="0.25">
      <c r="A364" s="158"/>
      <c r="B364" s="159"/>
      <c r="C364" s="138" t="s">
        <v>336</v>
      </c>
      <c r="D364" s="138"/>
      <c r="E364" s="138"/>
      <c r="F364" s="138"/>
      <c r="G364" s="138"/>
      <c r="H364" s="138"/>
      <c r="I364" s="138"/>
      <c r="J364" s="393"/>
      <c r="K364" s="139"/>
    </row>
    <row r="365" spans="1:11" ht="10.5" customHeight="1" x14ac:dyDescent="0.2">
      <c r="A365" s="149"/>
      <c r="B365" s="150"/>
      <c r="C365" s="151"/>
      <c r="D365" s="151"/>
      <c r="E365" s="151"/>
      <c r="F365" s="151"/>
      <c r="G365" s="151"/>
      <c r="H365" s="151"/>
      <c r="I365" s="151"/>
      <c r="J365" s="440"/>
      <c r="K365" s="118"/>
    </row>
    <row r="366" spans="1:11" ht="10.5" customHeight="1" x14ac:dyDescent="0.2">
      <c r="A366" s="120" t="s">
        <v>325</v>
      </c>
      <c r="B366" s="952" t="e">
        <f>$B$2</f>
        <v>#REF!</v>
      </c>
      <c r="C366" s="952"/>
      <c r="D366" s="934" t="s">
        <v>326</v>
      </c>
      <c r="E366" s="934"/>
      <c r="F366" s="934"/>
      <c r="G366" s="934"/>
      <c r="H366" s="953">
        <f>$H$2</f>
        <v>45739</v>
      </c>
      <c r="I366" s="954"/>
      <c r="J366" s="441"/>
      <c r="K366" s="122" t="s">
        <v>327</v>
      </c>
    </row>
    <row r="367" spans="1:11" ht="10.5" customHeight="1" x14ac:dyDescent="0.2">
      <c r="A367" s="152"/>
      <c r="B367" s="127"/>
      <c r="C367" s="124"/>
      <c r="D367" s="124"/>
      <c r="E367" s="124"/>
      <c r="F367" s="124"/>
      <c r="G367" s="124"/>
      <c r="H367" s="124"/>
      <c r="I367" s="124"/>
      <c r="J367" s="441"/>
      <c r="K367" s="122" t="e">
        <f>$B$2</f>
        <v>#REF!</v>
      </c>
    </row>
    <row r="368" spans="1:11" ht="10.5" customHeight="1" x14ac:dyDescent="0.2">
      <c r="A368" s="152" t="s">
        <v>0</v>
      </c>
      <c r="B368" s="960" t="str">
        <f>$B$4</f>
        <v>адрес вбить сюда</v>
      </c>
      <c r="C368" s="960"/>
      <c r="D368" s="960"/>
      <c r="E368" s="960"/>
      <c r="F368" s="960"/>
      <c r="G368" s="960"/>
      <c r="H368" s="960"/>
      <c r="I368" s="960"/>
      <c r="J368" s="961"/>
      <c r="K368" s="122"/>
    </row>
    <row r="369" spans="1:11" ht="10.5" customHeight="1" x14ac:dyDescent="0.2">
      <c r="A369" s="152"/>
      <c r="B369" s="960"/>
      <c r="C369" s="960"/>
      <c r="D369" s="960"/>
      <c r="E369" s="960"/>
      <c r="F369" s="960"/>
      <c r="G369" s="960"/>
      <c r="H369" s="960"/>
      <c r="I369" s="960"/>
      <c r="J369" s="961"/>
      <c r="K369" s="122" t="s">
        <v>328</v>
      </c>
    </row>
    <row r="370" spans="1:11" ht="10.5" customHeight="1" x14ac:dyDescent="0.2">
      <c r="A370" s="962" t="s">
        <v>329</v>
      </c>
      <c r="B370" s="952"/>
      <c r="C370" s="952"/>
      <c r="D370" s="945" t="str">
        <f>'Акт отбора проб Вода'!F47</f>
        <v>В29</v>
      </c>
      <c r="E370" s="945"/>
      <c r="F370" s="945"/>
      <c r="G370" s="963" t="s">
        <v>330</v>
      </c>
      <c r="H370" s="963"/>
      <c r="I370" s="963"/>
      <c r="J370" s="438" t="str">
        <f>J6</f>
        <v>0,0-0,2</v>
      </c>
      <c r="K370" s="126">
        <f>$H$2</f>
        <v>45739</v>
      </c>
    </row>
    <row r="371" spans="1:11" ht="10.5" customHeight="1" x14ac:dyDescent="0.2">
      <c r="A371" s="152"/>
      <c r="B371" s="123"/>
      <c r="C371" s="121"/>
      <c r="D371" s="154"/>
      <c r="E371" s="154"/>
      <c r="F371" s="154"/>
      <c r="G371" s="153"/>
      <c r="H371" s="153"/>
      <c r="I371" s="153"/>
      <c r="J371" s="442"/>
      <c r="K371" s="122" t="s">
        <v>331</v>
      </c>
    </row>
    <row r="372" spans="1:11" ht="10.5" customHeight="1" x14ac:dyDescent="0.2">
      <c r="A372" s="120" t="s">
        <v>331</v>
      </c>
      <c r="B372" s="129" t="str">
        <f>'Акт отбора проб Вода'!C47</f>
        <v>29ВХ.01</v>
      </c>
      <c r="C372" s="121"/>
      <c r="D372" s="154"/>
      <c r="E372" s="154"/>
      <c r="F372" s="154"/>
      <c r="G372" s="153"/>
      <c r="H372" s="153"/>
      <c r="I372" s="153"/>
      <c r="J372" s="442"/>
      <c r="K372" s="122" t="str">
        <f>B372</f>
        <v>29ВХ.01</v>
      </c>
    </row>
    <row r="373" spans="1:11" ht="10.5" customHeight="1" x14ac:dyDescent="0.2">
      <c r="A373" s="152"/>
      <c r="B373" s="123"/>
      <c r="C373" s="121"/>
      <c r="D373" s="121"/>
      <c r="E373" s="121"/>
      <c r="F373" s="121"/>
      <c r="G373" s="121"/>
      <c r="H373" s="121"/>
      <c r="I373" s="121"/>
      <c r="J373" s="441"/>
      <c r="K373" s="122" t="s">
        <v>332</v>
      </c>
    </row>
    <row r="374" spans="1:11" ht="10.5" customHeight="1" x14ac:dyDescent="0.2">
      <c r="A374" s="962" t="s">
        <v>681</v>
      </c>
      <c r="B374" s="952"/>
      <c r="C374" s="951"/>
      <c r="D374" s="951"/>
      <c r="E374" s="951"/>
      <c r="F374" s="951"/>
      <c r="G374" s="951"/>
      <c r="H374" s="951"/>
      <c r="I374" s="951"/>
      <c r="J374" s="155"/>
      <c r="K374" s="122" t="str">
        <f>J370</f>
        <v>0,0-0,2</v>
      </c>
    </row>
    <row r="375" spans="1:11" ht="10.5" customHeight="1" x14ac:dyDescent="0.2">
      <c r="A375" s="152" t="s">
        <v>333</v>
      </c>
      <c r="B375" s="123"/>
      <c r="C375" s="121"/>
      <c r="D375" s="121"/>
      <c r="E375" s="121"/>
      <c r="F375" s="121"/>
      <c r="G375" s="121"/>
      <c r="H375" s="121"/>
      <c r="I375" s="121"/>
      <c r="J375" s="441"/>
      <c r="K375" s="122" t="s">
        <v>334</v>
      </c>
    </row>
    <row r="376" spans="1:11" ht="10.5" customHeight="1" x14ac:dyDescent="0.2">
      <c r="A376" s="152" t="s">
        <v>335</v>
      </c>
      <c r="B376" s="156"/>
      <c r="C376" s="157"/>
      <c r="D376" s="157"/>
      <c r="E376" s="157"/>
      <c r="F376" s="157"/>
      <c r="G376" s="157"/>
      <c r="H376" s="121"/>
      <c r="I376" s="121"/>
      <c r="J376" s="441"/>
      <c r="K376" s="122"/>
    </row>
    <row r="377" spans="1:11" ht="10.5" customHeight="1" thickBot="1" x14ac:dyDescent="0.25">
      <c r="A377" s="158"/>
      <c r="B377" s="159"/>
      <c r="C377" s="138" t="s">
        <v>336</v>
      </c>
      <c r="D377" s="138"/>
      <c r="E377" s="138"/>
      <c r="F377" s="138"/>
      <c r="G377" s="138"/>
      <c r="H377" s="138"/>
      <c r="I377" s="138"/>
      <c r="J377" s="393"/>
      <c r="K377" s="139"/>
    </row>
    <row r="378" spans="1:11" ht="10.5" customHeight="1" x14ac:dyDescent="0.2">
      <c r="A378" s="149"/>
      <c r="B378" s="150"/>
      <c r="C378" s="151"/>
      <c r="D378" s="151"/>
      <c r="E378" s="151"/>
      <c r="F378" s="151"/>
      <c r="G378" s="151"/>
      <c r="H378" s="151"/>
      <c r="I378" s="151"/>
      <c r="J378" s="440"/>
      <c r="K378" s="118"/>
    </row>
    <row r="379" spans="1:11" ht="10.5" customHeight="1" x14ac:dyDescent="0.2">
      <c r="A379" s="120" t="s">
        <v>325</v>
      </c>
      <c r="B379" s="952" t="e">
        <f>$B$2</f>
        <v>#REF!</v>
      </c>
      <c r="C379" s="952"/>
      <c r="D379" s="934" t="s">
        <v>326</v>
      </c>
      <c r="E379" s="934"/>
      <c r="F379" s="934"/>
      <c r="G379" s="934"/>
      <c r="H379" s="953">
        <f>$H$2</f>
        <v>45739</v>
      </c>
      <c r="I379" s="954"/>
      <c r="J379" s="441"/>
      <c r="K379" s="122" t="s">
        <v>327</v>
      </c>
    </row>
    <row r="380" spans="1:11" ht="10.5" customHeight="1" x14ac:dyDescent="0.2">
      <c r="A380" s="152"/>
      <c r="B380" s="127"/>
      <c r="C380" s="124"/>
      <c r="D380" s="124"/>
      <c r="E380" s="124"/>
      <c r="F380" s="124"/>
      <c r="G380" s="124"/>
      <c r="H380" s="124"/>
      <c r="I380" s="124"/>
      <c r="J380" s="441"/>
      <c r="K380" s="122" t="e">
        <f>$B$2</f>
        <v>#REF!</v>
      </c>
    </row>
    <row r="381" spans="1:11" ht="10.5" customHeight="1" x14ac:dyDescent="0.2">
      <c r="A381" s="152" t="s">
        <v>0</v>
      </c>
      <c r="B381" s="960" t="str">
        <f>$B$4</f>
        <v>адрес вбить сюда</v>
      </c>
      <c r="C381" s="960"/>
      <c r="D381" s="960"/>
      <c r="E381" s="960"/>
      <c r="F381" s="960"/>
      <c r="G381" s="960"/>
      <c r="H381" s="960"/>
      <c r="I381" s="960"/>
      <c r="J381" s="961"/>
      <c r="K381" s="122"/>
    </row>
    <row r="382" spans="1:11" ht="10.5" customHeight="1" x14ac:dyDescent="0.2">
      <c r="A382" s="152"/>
      <c r="B382" s="960"/>
      <c r="C382" s="960"/>
      <c r="D382" s="960"/>
      <c r="E382" s="960"/>
      <c r="F382" s="960"/>
      <c r="G382" s="960"/>
      <c r="H382" s="960"/>
      <c r="I382" s="960"/>
      <c r="J382" s="961"/>
      <c r="K382" s="122" t="s">
        <v>328</v>
      </c>
    </row>
    <row r="383" spans="1:11" ht="10.5" customHeight="1" x14ac:dyDescent="0.2">
      <c r="A383" s="962" t="s">
        <v>329</v>
      </c>
      <c r="B383" s="952"/>
      <c r="C383" s="952"/>
      <c r="D383" s="945" t="str">
        <f>'Акт отбора проб Вода'!F48</f>
        <v>В30</v>
      </c>
      <c r="E383" s="945"/>
      <c r="F383" s="945"/>
      <c r="G383" s="963" t="s">
        <v>330</v>
      </c>
      <c r="H383" s="963"/>
      <c r="I383" s="963"/>
      <c r="J383" s="438" t="str">
        <f>J6</f>
        <v>0,0-0,2</v>
      </c>
      <c r="K383" s="126">
        <f>$H$2</f>
        <v>45739</v>
      </c>
    </row>
    <row r="384" spans="1:11" ht="10.5" customHeight="1" x14ac:dyDescent="0.2">
      <c r="A384" s="152"/>
      <c r="B384" s="123"/>
      <c r="C384" s="121"/>
      <c r="D384" s="154"/>
      <c r="E384" s="154"/>
      <c r="F384" s="154"/>
      <c r="G384" s="153"/>
      <c r="H384" s="153"/>
      <c r="I384" s="153"/>
      <c r="J384" s="442"/>
      <c r="K384" s="122" t="s">
        <v>331</v>
      </c>
    </row>
    <row r="385" spans="1:11" ht="10.5" customHeight="1" x14ac:dyDescent="0.2">
      <c r="A385" s="120" t="s">
        <v>331</v>
      </c>
      <c r="B385" s="129" t="str">
        <f>'Акт отбора проб Вода'!C48</f>
        <v>30ВХ.01</v>
      </c>
      <c r="C385" s="121"/>
      <c r="D385" s="154"/>
      <c r="E385" s="154"/>
      <c r="F385" s="154"/>
      <c r="G385" s="153"/>
      <c r="H385" s="153"/>
      <c r="I385" s="153"/>
      <c r="J385" s="442"/>
      <c r="K385" s="122" t="str">
        <f>B385</f>
        <v>30ВХ.01</v>
      </c>
    </row>
    <row r="386" spans="1:11" ht="10.5" customHeight="1" x14ac:dyDescent="0.2">
      <c r="A386" s="152"/>
      <c r="B386" s="123"/>
      <c r="C386" s="121"/>
      <c r="D386" s="121"/>
      <c r="E386" s="121"/>
      <c r="F386" s="121"/>
      <c r="G386" s="121"/>
      <c r="H386" s="121"/>
      <c r="I386" s="121"/>
      <c r="J386" s="441"/>
      <c r="K386" s="122" t="s">
        <v>332</v>
      </c>
    </row>
    <row r="387" spans="1:11" ht="10.5" customHeight="1" x14ac:dyDescent="0.2">
      <c r="A387" s="962" t="s">
        <v>681</v>
      </c>
      <c r="B387" s="952"/>
      <c r="C387" s="951"/>
      <c r="D387" s="951"/>
      <c r="E387" s="951"/>
      <c r="F387" s="951"/>
      <c r="G387" s="951"/>
      <c r="H387" s="951"/>
      <c r="I387" s="951"/>
      <c r="J387" s="155"/>
      <c r="K387" s="122" t="str">
        <f>J383</f>
        <v>0,0-0,2</v>
      </c>
    </row>
    <row r="388" spans="1:11" ht="10.5" customHeight="1" x14ac:dyDescent="0.2">
      <c r="A388" s="152" t="s">
        <v>333</v>
      </c>
      <c r="B388" s="123"/>
      <c r="C388" s="121"/>
      <c r="D388" s="121"/>
      <c r="E388" s="121"/>
      <c r="F388" s="121"/>
      <c r="G388" s="121"/>
      <c r="H388" s="121"/>
      <c r="I388" s="121"/>
      <c r="J388" s="441"/>
      <c r="K388" s="122" t="s">
        <v>334</v>
      </c>
    </row>
    <row r="389" spans="1:11" ht="10.5" customHeight="1" x14ac:dyDescent="0.2">
      <c r="A389" s="152" t="s">
        <v>335</v>
      </c>
      <c r="B389" s="156"/>
      <c r="C389" s="157"/>
      <c r="D389" s="157"/>
      <c r="E389" s="157"/>
      <c r="F389" s="157"/>
      <c r="G389" s="157"/>
      <c r="H389" s="121"/>
      <c r="I389" s="121"/>
      <c r="J389" s="441"/>
      <c r="K389" s="122"/>
    </row>
    <row r="390" spans="1:11" ht="10.5" customHeight="1" thickBot="1" x14ac:dyDescent="0.25">
      <c r="A390" s="158"/>
      <c r="B390" s="159"/>
      <c r="C390" s="138" t="s">
        <v>336</v>
      </c>
      <c r="D390" s="138"/>
      <c r="E390" s="138"/>
      <c r="F390" s="138"/>
      <c r="G390" s="138"/>
      <c r="H390" s="138"/>
      <c r="I390" s="138"/>
      <c r="J390" s="393"/>
      <c r="K390" s="139"/>
    </row>
  </sheetData>
  <mergeCells count="289">
    <mergeCell ref="A387:B387"/>
    <mergeCell ref="C387:I387"/>
    <mergeCell ref="B379:C379"/>
    <mergeCell ref="D379:G379"/>
    <mergeCell ref="H379:I379"/>
    <mergeCell ref="B381:J382"/>
    <mergeCell ref="A383:C383"/>
    <mergeCell ref="D383:F383"/>
    <mergeCell ref="G383:I383"/>
    <mergeCell ref="B368:J369"/>
    <mergeCell ref="A370:C370"/>
    <mergeCell ref="D370:F370"/>
    <mergeCell ref="G370:I370"/>
    <mergeCell ref="A374:B374"/>
    <mergeCell ref="C374:I374"/>
    <mergeCell ref="A357:C357"/>
    <mergeCell ref="D357:F357"/>
    <mergeCell ref="G357:I357"/>
    <mergeCell ref="A361:B361"/>
    <mergeCell ref="C361:I361"/>
    <mergeCell ref="B366:C366"/>
    <mergeCell ref="D366:G366"/>
    <mergeCell ref="H366:I366"/>
    <mergeCell ref="A348:B348"/>
    <mergeCell ref="C348:I348"/>
    <mergeCell ref="B353:C353"/>
    <mergeCell ref="D353:G353"/>
    <mergeCell ref="H353:I353"/>
    <mergeCell ref="B355:J356"/>
    <mergeCell ref="B340:C340"/>
    <mergeCell ref="D340:G340"/>
    <mergeCell ref="H340:I340"/>
    <mergeCell ref="B342:J343"/>
    <mergeCell ref="A344:C344"/>
    <mergeCell ref="D344:F344"/>
    <mergeCell ref="G344:I344"/>
    <mergeCell ref="B329:J330"/>
    <mergeCell ref="A331:C331"/>
    <mergeCell ref="D331:F331"/>
    <mergeCell ref="G331:I331"/>
    <mergeCell ref="A335:B335"/>
    <mergeCell ref="C335:I335"/>
    <mergeCell ref="A318:C318"/>
    <mergeCell ref="D318:F318"/>
    <mergeCell ref="G318:I318"/>
    <mergeCell ref="A322:B322"/>
    <mergeCell ref="C322:I322"/>
    <mergeCell ref="B327:C327"/>
    <mergeCell ref="D327:G327"/>
    <mergeCell ref="H327:I327"/>
    <mergeCell ref="A309:B309"/>
    <mergeCell ref="C309:I309"/>
    <mergeCell ref="B314:C314"/>
    <mergeCell ref="D314:G314"/>
    <mergeCell ref="H314:I314"/>
    <mergeCell ref="B316:J317"/>
    <mergeCell ref="B301:C301"/>
    <mergeCell ref="D301:G301"/>
    <mergeCell ref="H301:I301"/>
    <mergeCell ref="B303:J304"/>
    <mergeCell ref="A305:C305"/>
    <mergeCell ref="D305:F305"/>
    <mergeCell ref="G305:I305"/>
    <mergeCell ref="B290:J291"/>
    <mergeCell ref="A292:C292"/>
    <mergeCell ref="D292:F292"/>
    <mergeCell ref="G292:I292"/>
    <mergeCell ref="A296:B296"/>
    <mergeCell ref="C296:I296"/>
    <mergeCell ref="A279:C279"/>
    <mergeCell ref="D279:F279"/>
    <mergeCell ref="G279:I279"/>
    <mergeCell ref="A283:B283"/>
    <mergeCell ref="C283:I283"/>
    <mergeCell ref="B288:C288"/>
    <mergeCell ref="D288:G288"/>
    <mergeCell ref="H288:I288"/>
    <mergeCell ref="A270:B270"/>
    <mergeCell ref="C270:I270"/>
    <mergeCell ref="B275:C275"/>
    <mergeCell ref="D275:G275"/>
    <mergeCell ref="H275:I275"/>
    <mergeCell ref="B277:J278"/>
    <mergeCell ref="B262:C262"/>
    <mergeCell ref="D262:G262"/>
    <mergeCell ref="H262:I262"/>
    <mergeCell ref="B264:J265"/>
    <mergeCell ref="A266:C266"/>
    <mergeCell ref="D266:F266"/>
    <mergeCell ref="G266:I266"/>
    <mergeCell ref="B251:J252"/>
    <mergeCell ref="A253:C253"/>
    <mergeCell ref="D253:F253"/>
    <mergeCell ref="G253:I253"/>
    <mergeCell ref="A257:B257"/>
    <mergeCell ref="C257:I257"/>
    <mergeCell ref="D242:H242"/>
    <mergeCell ref="A244:B244"/>
    <mergeCell ref="C244:I244"/>
    <mergeCell ref="B249:C249"/>
    <mergeCell ref="D249:G249"/>
    <mergeCell ref="H249:I249"/>
    <mergeCell ref="B236:C236"/>
    <mergeCell ref="D236:G236"/>
    <mergeCell ref="H236:I236"/>
    <mergeCell ref="B238:J239"/>
    <mergeCell ref="A240:C240"/>
    <mergeCell ref="D240:F240"/>
    <mergeCell ref="G240:I240"/>
    <mergeCell ref="B225:J226"/>
    <mergeCell ref="A227:C227"/>
    <mergeCell ref="D227:F227"/>
    <mergeCell ref="G227:I227"/>
    <mergeCell ref="D229:H229"/>
    <mergeCell ref="A231:B231"/>
    <mergeCell ref="C231:I231"/>
    <mergeCell ref="D216:H216"/>
    <mergeCell ref="A218:B218"/>
    <mergeCell ref="C218:I218"/>
    <mergeCell ref="B223:C223"/>
    <mergeCell ref="D223:G223"/>
    <mergeCell ref="H223:I223"/>
    <mergeCell ref="B210:C210"/>
    <mergeCell ref="D210:G210"/>
    <mergeCell ref="H210:I210"/>
    <mergeCell ref="B212:J213"/>
    <mergeCell ref="A214:C214"/>
    <mergeCell ref="D214:F214"/>
    <mergeCell ref="G214:I214"/>
    <mergeCell ref="B199:J200"/>
    <mergeCell ref="A201:C201"/>
    <mergeCell ref="D201:F201"/>
    <mergeCell ref="G201:I201"/>
    <mergeCell ref="D203:H203"/>
    <mergeCell ref="A205:B205"/>
    <mergeCell ref="C205:I205"/>
    <mergeCell ref="D190:H190"/>
    <mergeCell ref="A192:B192"/>
    <mergeCell ref="C192:I192"/>
    <mergeCell ref="B197:C197"/>
    <mergeCell ref="D197:G197"/>
    <mergeCell ref="H197:I197"/>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D164:H164"/>
    <mergeCell ref="A166:B166"/>
    <mergeCell ref="C166:I166"/>
    <mergeCell ref="B171:C171"/>
    <mergeCell ref="D171:G171"/>
    <mergeCell ref="H171:I171"/>
    <mergeCell ref="B158:C158"/>
    <mergeCell ref="D158:G158"/>
    <mergeCell ref="H158:I158"/>
    <mergeCell ref="B160:J161"/>
    <mergeCell ref="A162:C162"/>
    <mergeCell ref="D162:F162"/>
    <mergeCell ref="G162:I162"/>
    <mergeCell ref="B147:J148"/>
    <mergeCell ref="A149:C149"/>
    <mergeCell ref="D149:F149"/>
    <mergeCell ref="G149:I149"/>
    <mergeCell ref="D151:H151"/>
    <mergeCell ref="A153:B153"/>
    <mergeCell ref="C153:I153"/>
    <mergeCell ref="D138:H138"/>
    <mergeCell ref="A140:B140"/>
    <mergeCell ref="C140:I140"/>
    <mergeCell ref="B145:C145"/>
    <mergeCell ref="D145:G145"/>
    <mergeCell ref="H145:I145"/>
    <mergeCell ref="B132:C132"/>
    <mergeCell ref="D132:G132"/>
    <mergeCell ref="H132:I132"/>
    <mergeCell ref="B134:J135"/>
    <mergeCell ref="A136:C136"/>
    <mergeCell ref="D136:F136"/>
    <mergeCell ref="G136:I136"/>
    <mergeCell ref="B121:J122"/>
    <mergeCell ref="A123:C123"/>
    <mergeCell ref="D123:F123"/>
    <mergeCell ref="G123:I123"/>
    <mergeCell ref="D125:H125"/>
    <mergeCell ref="A127:B127"/>
    <mergeCell ref="C127:I127"/>
    <mergeCell ref="D112:H112"/>
    <mergeCell ref="A114:B114"/>
    <mergeCell ref="C114:I114"/>
    <mergeCell ref="B119:C119"/>
    <mergeCell ref="D119:G119"/>
    <mergeCell ref="H119:I119"/>
    <mergeCell ref="B106:C106"/>
    <mergeCell ref="D106:G106"/>
    <mergeCell ref="H106:I106"/>
    <mergeCell ref="B108:J109"/>
    <mergeCell ref="A110:C110"/>
    <mergeCell ref="D110:F110"/>
    <mergeCell ref="G110:I110"/>
    <mergeCell ref="B95:J96"/>
    <mergeCell ref="A97:C97"/>
    <mergeCell ref="D97:F97"/>
    <mergeCell ref="G97:I97"/>
    <mergeCell ref="D99:H99"/>
    <mergeCell ref="A101:B101"/>
    <mergeCell ref="C101:I101"/>
    <mergeCell ref="D86:H86"/>
    <mergeCell ref="A88:B88"/>
    <mergeCell ref="C88:I88"/>
    <mergeCell ref="B93:C93"/>
    <mergeCell ref="D93:G93"/>
    <mergeCell ref="H93:I93"/>
    <mergeCell ref="B80:C80"/>
    <mergeCell ref="D80:G80"/>
    <mergeCell ref="H80:I80"/>
    <mergeCell ref="B82:J83"/>
    <mergeCell ref="A84:C84"/>
    <mergeCell ref="D84:F84"/>
    <mergeCell ref="G84:I84"/>
    <mergeCell ref="B69:J70"/>
    <mergeCell ref="A71:C71"/>
    <mergeCell ref="D71:F71"/>
    <mergeCell ref="G71:I71"/>
    <mergeCell ref="D74:H74"/>
    <mergeCell ref="A75:B75"/>
    <mergeCell ref="C75:I75"/>
    <mergeCell ref="D60:H60"/>
    <mergeCell ref="A62:B62"/>
    <mergeCell ref="C62:I62"/>
    <mergeCell ref="B67:C67"/>
    <mergeCell ref="D67:G67"/>
    <mergeCell ref="H67:I67"/>
    <mergeCell ref="B54:C54"/>
    <mergeCell ref="D54:G54"/>
    <mergeCell ref="H54:I54"/>
    <mergeCell ref="B56:J57"/>
    <mergeCell ref="A58:C58"/>
    <mergeCell ref="D58:F58"/>
    <mergeCell ref="G58:I58"/>
    <mergeCell ref="D47:H47"/>
    <mergeCell ref="A49:B49"/>
    <mergeCell ref="C49:I49"/>
    <mergeCell ref="D35:H35"/>
    <mergeCell ref="A36:B36"/>
    <mergeCell ref="C36:I36"/>
    <mergeCell ref="B41:C41"/>
    <mergeCell ref="D41:G41"/>
    <mergeCell ref="H41:I41"/>
    <mergeCell ref="B30:J31"/>
    <mergeCell ref="A32:C32"/>
    <mergeCell ref="D32:F32"/>
    <mergeCell ref="G32:I32"/>
    <mergeCell ref="D21:H21"/>
    <mergeCell ref="A23:B23"/>
    <mergeCell ref="C23:I23"/>
    <mergeCell ref="B43:J44"/>
    <mergeCell ref="A45:C45"/>
    <mergeCell ref="D45:F45"/>
    <mergeCell ref="G45:I45"/>
    <mergeCell ref="B2:C2"/>
    <mergeCell ref="D2:G2"/>
    <mergeCell ref="H2:I2"/>
    <mergeCell ref="B4:J5"/>
    <mergeCell ref="A6:C6"/>
    <mergeCell ref="D6:F6"/>
    <mergeCell ref="G6:I6"/>
    <mergeCell ref="B28:C28"/>
    <mergeCell ref="D28:G28"/>
    <mergeCell ref="H28:I28"/>
    <mergeCell ref="B17:J18"/>
    <mergeCell ref="A19:C19"/>
    <mergeCell ref="D19:F19"/>
    <mergeCell ref="G19:I19"/>
    <mergeCell ref="D8:H8"/>
    <mergeCell ref="A10:B10"/>
    <mergeCell ref="C10:I10"/>
    <mergeCell ref="B15:C15"/>
    <mergeCell ref="D15:G15"/>
    <mergeCell ref="H15:I15"/>
  </mergeCells>
  <pageMargins left="0.46" right="0.24" top="0.48" bottom="0.59055118110236227" header="0.16" footer="0.31496062992125984"/>
  <pageSetup paperSize="9" scale="95" orientation="portrait" r:id="rId1"/>
  <headerFooter alignWithMargins="0"/>
  <rowBreaks count="4" manualBreakCount="4">
    <brk id="78" max="9" man="1"/>
    <brk id="156" max="9" man="1"/>
    <brk id="234" max="9" man="1"/>
    <brk id="312" max="9"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36"/>
  <sheetViews>
    <sheetView view="pageBreakPreview" zoomScale="60" zoomScaleNormal="40" workbookViewId="0">
      <selection activeCell="J19" sqref="J19"/>
    </sheetView>
  </sheetViews>
  <sheetFormatPr defaultRowHeight="12.75" x14ac:dyDescent="0.2"/>
  <cols>
    <col min="1" max="1" width="145.42578125" customWidth="1"/>
  </cols>
  <sheetData>
    <row r="1" spans="1:4" x14ac:dyDescent="0.2">
      <c r="A1" s="964"/>
    </row>
    <row r="2" spans="1:4" ht="15" x14ac:dyDescent="0.2">
      <c r="A2" s="964"/>
      <c r="C2" s="321" t="s">
        <v>43</v>
      </c>
      <c r="D2" s="321" t="s">
        <v>52</v>
      </c>
    </row>
    <row r="3" spans="1:4" ht="15" x14ac:dyDescent="0.2">
      <c r="A3" s="964"/>
      <c r="C3" s="321" t="s">
        <v>45</v>
      </c>
      <c r="D3" s="321" t="s">
        <v>54</v>
      </c>
    </row>
    <row r="4" spans="1:4" ht="15" x14ac:dyDescent="0.2">
      <c r="A4" s="964"/>
      <c r="C4" s="321" t="s">
        <v>47</v>
      </c>
      <c r="D4" s="321" t="s">
        <v>56</v>
      </c>
    </row>
    <row r="5" spans="1:4" ht="15" x14ac:dyDescent="0.2">
      <c r="A5" s="964"/>
      <c r="C5" s="321" t="s">
        <v>49</v>
      </c>
      <c r="D5" s="321" t="s">
        <v>58</v>
      </c>
    </row>
    <row r="6" spans="1:4" ht="15" x14ac:dyDescent="0.2">
      <c r="A6" s="964"/>
      <c r="C6" s="321" t="s">
        <v>646</v>
      </c>
      <c r="D6" s="321" t="s">
        <v>656</v>
      </c>
    </row>
    <row r="7" spans="1:4" ht="15" x14ac:dyDescent="0.2">
      <c r="A7" s="964"/>
      <c r="C7" s="321" t="s">
        <v>648</v>
      </c>
      <c r="D7" s="321" t="s">
        <v>658</v>
      </c>
    </row>
    <row r="8" spans="1:4" ht="15" x14ac:dyDescent="0.2">
      <c r="A8" s="964"/>
      <c r="C8" s="321" t="s">
        <v>649</v>
      </c>
      <c r="D8" s="321" t="s">
        <v>659</v>
      </c>
    </row>
    <row r="9" spans="1:4" ht="15" x14ac:dyDescent="0.2">
      <c r="A9" s="964"/>
      <c r="C9" s="321" t="s">
        <v>650</v>
      </c>
      <c r="D9" s="321" t="s">
        <v>660</v>
      </c>
    </row>
    <row r="10" spans="1:4" ht="15" x14ac:dyDescent="0.2">
      <c r="A10" s="964"/>
      <c r="C10" s="321" t="s">
        <v>651</v>
      </c>
      <c r="D10" s="321" t="s">
        <v>661</v>
      </c>
    </row>
    <row r="11" spans="1:4" ht="15" x14ac:dyDescent="0.2">
      <c r="A11" s="964"/>
      <c r="C11" s="321" t="s">
        <v>652</v>
      </c>
      <c r="D11" s="321" t="s">
        <v>662</v>
      </c>
    </row>
    <row r="12" spans="1:4" ht="15" x14ac:dyDescent="0.2">
      <c r="A12" s="964"/>
      <c r="C12" s="321" t="s">
        <v>653</v>
      </c>
      <c r="D12" s="321" t="s">
        <v>663</v>
      </c>
    </row>
    <row r="13" spans="1:4" ht="15" x14ac:dyDescent="0.2">
      <c r="A13" s="964"/>
      <c r="C13" s="321" t="s">
        <v>654</v>
      </c>
      <c r="D13" s="321" t="s">
        <v>664</v>
      </c>
    </row>
    <row r="14" spans="1:4" ht="15" x14ac:dyDescent="0.2">
      <c r="A14" s="964"/>
      <c r="C14" s="321" t="s">
        <v>682</v>
      </c>
      <c r="D14" s="321" t="s">
        <v>686</v>
      </c>
    </row>
    <row r="15" spans="1:4" ht="15" x14ac:dyDescent="0.2">
      <c r="A15" s="964"/>
      <c r="C15" s="321" t="s">
        <v>683</v>
      </c>
      <c r="D15" s="321" t="s">
        <v>687</v>
      </c>
    </row>
    <row r="16" spans="1:4" ht="15" x14ac:dyDescent="0.2">
      <c r="A16" s="964"/>
      <c r="C16" s="321" t="s">
        <v>684</v>
      </c>
      <c r="D16" s="321" t="s">
        <v>688</v>
      </c>
    </row>
    <row r="17" spans="1:4" ht="15" x14ac:dyDescent="0.2">
      <c r="A17" s="964"/>
      <c r="C17" s="321" t="s">
        <v>766</v>
      </c>
      <c r="D17" s="321" t="s">
        <v>1039</v>
      </c>
    </row>
    <row r="18" spans="1:4" x14ac:dyDescent="0.2">
      <c r="A18" s="964"/>
    </row>
    <row r="19" spans="1:4" x14ac:dyDescent="0.2">
      <c r="A19" s="964"/>
    </row>
    <row r="20" spans="1:4" x14ac:dyDescent="0.2">
      <c r="A20" s="964"/>
    </row>
    <row r="21" spans="1:4" ht="90" x14ac:dyDescent="1.1499999999999999">
      <c r="A21" s="322" t="str">
        <f>CONCATENATE(C2,"/",D2)</f>
        <v>ПП1/СК1</v>
      </c>
    </row>
    <row r="22" spans="1:4" ht="13.5" customHeight="1" x14ac:dyDescent="0.2">
      <c r="A22" s="964">
        <f>A1</f>
        <v>0</v>
      </c>
      <c r="B22" s="320"/>
      <c r="C22" s="320"/>
      <c r="D22" s="320"/>
    </row>
    <row r="23" spans="1:4" ht="13.5" customHeight="1" x14ac:dyDescent="0.2">
      <c r="A23" s="964"/>
      <c r="B23" s="320"/>
      <c r="C23" s="320"/>
      <c r="D23" s="320"/>
    </row>
    <row r="24" spans="1:4" ht="13.5" customHeight="1" x14ac:dyDescent="0.2">
      <c r="A24" s="964"/>
      <c r="B24" s="320"/>
      <c r="C24" s="320"/>
      <c r="D24" s="320"/>
    </row>
    <row r="25" spans="1:4" ht="13.5" customHeight="1" x14ac:dyDescent="0.2">
      <c r="A25" s="964"/>
      <c r="B25" s="320"/>
      <c r="C25" s="320"/>
      <c r="D25" s="320"/>
    </row>
    <row r="26" spans="1:4" ht="13.5" customHeight="1" x14ac:dyDescent="0.2">
      <c r="A26" s="964"/>
      <c r="B26" s="320"/>
      <c r="C26" s="320"/>
      <c r="D26" s="320"/>
    </row>
    <row r="27" spans="1:4" ht="13.5" customHeight="1" x14ac:dyDescent="0.2">
      <c r="A27" s="964"/>
      <c r="B27" s="320"/>
      <c r="C27" s="320"/>
      <c r="D27" s="320"/>
    </row>
    <row r="28" spans="1:4" ht="13.5" customHeight="1" x14ac:dyDescent="0.2">
      <c r="A28" s="964"/>
      <c r="B28" s="320"/>
      <c r="C28" s="320"/>
      <c r="D28" s="320"/>
    </row>
    <row r="29" spans="1:4" ht="13.5" customHeight="1" x14ac:dyDescent="0.2">
      <c r="A29" s="964"/>
      <c r="B29" s="320"/>
      <c r="C29" s="320"/>
      <c r="D29" s="320"/>
    </row>
    <row r="30" spans="1:4" ht="13.5" customHeight="1" x14ac:dyDescent="0.2">
      <c r="A30" s="964"/>
      <c r="B30" s="320"/>
      <c r="C30" s="320"/>
      <c r="D30" s="320"/>
    </row>
    <row r="31" spans="1:4" ht="13.5" customHeight="1" x14ac:dyDescent="0.2">
      <c r="A31" s="964"/>
      <c r="B31" s="320"/>
      <c r="C31" s="320"/>
      <c r="D31" s="320"/>
    </row>
    <row r="32" spans="1:4" ht="13.5" customHeight="1" x14ac:dyDescent="0.2">
      <c r="A32" s="964"/>
      <c r="B32" s="320"/>
      <c r="C32" s="320"/>
      <c r="D32" s="320"/>
    </row>
    <row r="33" spans="1:4" ht="13.5" customHeight="1" x14ac:dyDescent="0.2">
      <c r="A33" s="964"/>
      <c r="B33" s="320"/>
      <c r="C33" s="320"/>
      <c r="D33" s="320"/>
    </row>
    <row r="34" spans="1:4" ht="13.5" customHeight="1" x14ac:dyDescent="0.2">
      <c r="A34" s="964"/>
      <c r="B34" s="320"/>
      <c r="C34" s="320"/>
      <c r="D34" s="320"/>
    </row>
    <row r="35" spans="1:4" ht="13.5" customHeight="1" x14ac:dyDescent="0.2">
      <c r="A35" s="964"/>
      <c r="B35" s="320"/>
      <c r="C35" s="320"/>
      <c r="D35" s="320"/>
    </row>
    <row r="36" spans="1:4" ht="13.5" customHeight="1" x14ac:dyDescent="0.2">
      <c r="A36" s="964"/>
      <c r="B36" s="320"/>
      <c r="C36" s="320"/>
      <c r="D36" s="320"/>
    </row>
    <row r="37" spans="1:4" ht="13.5" customHeight="1" x14ac:dyDescent="0.2">
      <c r="A37" s="964"/>
      <c r="B37" s="320"/>
      <c r="C37" s="320"/>
      <c r="D37" s="320"/>
    </row>
    <row r="38" spans="1:4" ht="13.5" customHeight="1" x14ac:dyDescent="0.2">
      <c r="A38" s="964"/>
      <c r="B38" s="320"/>
      <c r="C38" s="320"/>
      <c r="D38" s="320"/>
    </row>
    <row r="39" spans="1:4" ht="13.5" customHeight="1" x14ac:dyDescent="0.2">
      <c r="A39" s="964"/>
      <c r="B39" s="320"/>
      <c r="C39" s="320"/>
      <c r="D39" s="320"/>
    </row>
    <row r="40" spans="1:4" ht="13.5" customHeight="1" x14ac:dyDescent="0.2">
      <c r="A40" s="964"/>
      <c r="B40" s="320"/>
      <c r="C40" s="320"/>
      <c r="D40" s="320"/>
    </row>
    <row r="41" spans="1:4" ht="27.75" customHeight="1" x14ac:dyDescent="0.2">
      <c r="A41" s="964"/>
    </row>
    <row r="42" spans="1:4" ht="90" x14ac:dyDescent="1.1499999999999999">
      <c r="A42" s="322" t="str">
        <f>CONCATENATE(C3,"/",D3)</f>
        <v>ПП2/СК2</v>
      </c>
    </row>
    <row r="43" spans="1:4" ht="12.75" customHeight="1" x14ac:dyDescent="0.2">
      <c r="A43" s="964">
        <f>A1</f>
        <v>0</v>
      </c>
    </row>
    <row r="44" spans="1:4" ht="12.75" customHeight="1" x14ac:dyDescent="0.2">
      <c r="A44" s="964"/>
    </row>
    <row r="45" spans="1:4" ht="12.75" customHeight="1" x14ac:dyDescent="0.2">
      <c r="A45" s="964"/>
    </row>
    <row r="46" spans="1:4" ht="12.75" customHeight="1" x14ac:dyDescent="0.2">
      <c r="A46" s="964"/>
    </row>
    <row r="47" spans="1:4" ht="12.75" customHeight="1" x14ac:dyDescent="0.2">
      <c r="A47" s="964"/>
    </row>
    <row r="48" spans="1:4" ht="12.75" customHeight="1" x14ac:dyDescent="0.2">
      <c r="A48" s="964"/>
    </row>
    <row r="49" spans="1:1" ht="12.75" customHeight="1" x14ac:dyDescent="0.2">
      <c r="A49" s="964"/>
    </row>
    <row r="50" spans="1:1" ht="12.75" customHeight="1" x14ac:dyDescent="0.2">
      <c r="A50" s="964"/>
    </row>
    <row r="51" spans="1:1" ht="12.75" customHeight="1" x14ac:dyDescent="0.2">
      <c r="A51" s="964"/>
    </row>
    <row r="52" spans="1:1" ht="12.75" customHeight="1" x14ac:dyDescent="0.2">
      <c r="A52" s="964"/>
    </row>
    <row r="53" spans="1:1" ht="12.75" customHeight="1" x14ac:dyDescent="0.2">
      <c r="A53" s="964"/>
    </row>
    <row r="54" spans="1:1" ht="12.75" customHeight="1" x14ac:dyDescent="0.2">
      <c r="A54" s="964"/>
    </row>
    <row r="55" spans="1:1" ht="12.75" customHeight="1" x14ac:dyDescent="0.2">
      <c r="A55" s="964"/>
    </row>
    <row r="56" spans="1:1" ht="12.75" customHeight="1" x14ac:dyDescent="0.2">
      <c r="A56" s="964"/>
    </row>
    <row r="57" spans="1:1" ht="12.75" customHeight="1" x14ac:dyDescent="0.2">
      <c r="A57" s="964"/>
    </row>
    <row r="58" spans="1:1" ht="12.75" customHeight="1" x14ac:dyDescent="0.2">
      <c r="A58" s="964"/>
    </row>
    <row r="59" spans="1:1" ht="12.75" customHeight="1" x14ac:dyDescent="0.2">
      <c r="A59" s="964"/>
    </row>
    <row r="60" spans="1:1" ht="12.75" customHeight="1" x14ac:dyDescent="0.2">
      <c r="A60" s="964"/>
    </row>
    <row r="61" spans="1:1" ht="12.75" customHeight="1" x14ac:dyDescent="0.2">
      <c r="A61" s="964"/>
    </row>
    <row r="62" spans="1:1" ht="33.75" customHeight="1" x14ac:dyDescent="0.2">
      <c r="A62" s="964"/>
    </row>
    <row r="63" spans="1:1" ht="90" x14ac:dyDescent="1.1499999999999999">
      <c r="A63" s="322" t="str">
        <f>CONCATENATE(C4,"/",D4)</f>
        <v>ПП3/СК3</v>
      </c>
    </row>
    <row r="64" spans="1:1" ht="12.75" customHeight="1" x14ac:dyDescent="0.2">
      <c r="A64" s="964">
        <f>A22</f>
        <v>0</v>
      </c>
    </row>
    <row r="65" spans="1:1" ht="12.75" customHeight="1" x14ac:dyDescent="0.2">
      <c r="A65" s="964"/>
    </row>
    <row r="66" spans="1:1" ht="12.75" customHeight="1" x14ac:dyDescent="0.2">
      <c r="A66" s="964"/>
    </row>
    <row r="67" spans="1:1" ht="12.75" customHeight="1" x14ac:dyDescent="0.2">
      <c r="A67" s="964"/>
    </row>
    <row r="68" spans="1:1" ht="12.75" customHeight="1" x14ac:dyDescent="0.2">
      <c r="A68" s="964"/>
    </row>
    <row r="69" spans="1:1" ht="12.75" customHeight="1" x14ac:dyDescent="0.2">
      <c r="A69" s="964"/>
    </row>
    <row r="70" spans="1:1" ht="12.75" customHeight="1" x14ac:dyDescent="0.2">
      <c r="A70" s="964"/>
    </row>
    <row r="71" spans="1:1" ht="12.75" customHeight="1" x14ac:dyDescent="0.2">
      <c r="A71" s="964"/>
    </row>
    <row r="72" spans="1:1" ht="12.75" customHeight="1" x14ac:dyDescent="0.2">
      <c r="A72" s="964"/>
    </row>
    <row r="73" spans="1:1" ht="12.75" customHeight="1" x14ac:dyDescent="0.2">
      <c r="A73" s="964"/>
    </row>
    <row r="74" spans="1:1" ht="12.75" customHeight="1" x14ac:dyDescent="0.2">
      <c r="A74" s="964"/>
    </row>
    <row r="75" spans="1:1" ht="12.75" customHeight="1" x14ac:dyDescent="0.2">
      <c r="A75" s="964"/>
    </row>
    <row r="76" spans="1:1" ht="12.75" customHeight="1" x14ac:dyDescent="0.2">
      <c r="A76" s="964"/>
    </row>
    <row r="77" spans="1:1" ht="12.75" customHeight="1" x14ac:dyDescent="0.2">
      <c r="A77" s="964"/>
    </row>
    <row r="78" spans="1:1" ht="12.75" customHeight="1" x14ac:dyDescent="0.2">
      <c r="A78" s="964"/>
    </row>
    <row r="79" spans="1:1" ht="12.75" customHeight="1" x14ac:dyDescent="0.2">
      <c r="A79" s="964"/>
    </row>
    <row r="80" spans="1:1" ht="12.75" customHeight="1" x14ac:dyDescent="0.2">
      <c r="A80" s="964"/>
    </row>
    <row r="81" spans="1:1" ht="12.75" customHeight="1" x14ac:dyDescent="0.2">
      <c r="A81" s="964"/>
    </row>
    <row r="82" spans="1:1" ht="12.75" customHeight="1" x14ac:dyDescent="0.2">
      <c r="A82" s="964"/>
    </row>
    <row r="83" spans="1:1" ht="46.5" customHeight="1" x14ac:dyDescent="0.2">
      <c r="A83" s="964"/>
    </row>
    <row r="84" spans="1:1" ht="90" x14ac:dyDescent="1.1499999999999999">
      <c r="A84" s="322" t="str">
        <f>CONCATENATE(C5,"/",D5)</f>
        <v>ПП4/СК4</v>
      </c>
    </row>
    <row r="85" spans="1:1" ht="12.75" customHeight="1" x14ac:dyDescent="0.2">
      <c r="A85" s="964">
        <f>A43</f>
        <v>0</v>
      </c>
    </row>
    <row r="86" spans="1:1" ht="12.75" customHeight="1" x14ac:dyDescent="0.2">
      <c r="A86" s="964"/>
    </row>
    <row r="87" spans="1:1" ht="12.75" customHeight="1" x14ac:dyDescent="0.2">
      <c r="A87" s="964"/>
    </row>
    <row r="88" spans="1:1" ht="12.75" customHeight="1" x14ac:dyDescent="0.2">
      <c r="A88" s="964"/>
    </row>
    <row r="89" spans="1:1" ht="12.75" customHeight="1" x14ac:dyDescent="0.2">
      <c r="A89" s="964"/>
    </row>
    <row r="90" spans="1:1" ht="12.75" customHeight="1" x14ac:dyDescent="0.2">
      <c r="A90" s="964"/>
    </row>
    <row r="91" spans="1:1" ht="12.75" customHeight="1" x14ac:dyDescent="0.2">
      <c r="A91" s="964"/>
    </row>
    <row r="92" spans="1:1" ht="12.75" customHeight="1" x14ac:dyDescent="0.2">
      <c r="A92" s="964"/>
    </row>
    <row r="93" spans="1:1" ht="12.75" customHeight="1" x14ac:dyDescent="0.2">
      <c r="A93" s="964"/>
    </row>
    <row r="94" spans="1:1" ht="12.75" customHeight="1" x14ac:dyDescent="0.2">
      <c r="A94" s="964"/>
    </row>
    <row r="95" spans="1:1" ht="12.75" customHeight="1" x14ac:dyDescent="0.2">
      <c r="A95" s="964"/>
    </row>
    <row r="96" spans="1:1" ht="12.75" customHeight="1" x14ac:dyDescent="0.2">
      <c r="A96" s="964"/>
    </row>
    <row r="97" spans="1:1" ht="12.75" customHeight="1" x14ac:dyDescent="0.2">
      <c r="A97" s="964"/>
    </row>
    <row r="98" spans="1:1" ht="12.75" customHeight="1" x14ac:dyDescent="0.2">
      <c r="A98" s="964"/>
    </row>
    <row r="99" spans="1:1" ht="12.75" customHeight="1" x14ac:dyDescent="0.2">
      <c r="A99" s="964"/>
    </row>
    <row r="100" spans="1:1" ht="12.75" customHeight="1" x14ac:dyDescent="0.2">
      <c r="A100" s="964"/>
    </row>
    <row r="101" spans="1:1" ht="12.75" customHeight="1" x14ac:dyDescent="0.2">
      <c r="A101" s="964"/>
    </row>
    <row r="102" spans="1:1" ht="12.75" customHeight="1" x14ac:dyDescent="0.2">
      <c r="A102" s="964"/>
    </row>
    <row r="103" spans="1:1" ht="12.75" customHeight="1" x14ac:dyDescent="0.2">
      <c r="A103" s="964"/>
    </row>
    <row r="104" spans="1:1" ht="50.25" customHeight="1" x14ac:dyDescent="0.2">
      <c r="A104" s="964"/>
    </row>
    <row r="105" spans="1:1" ht="90" x14ac:dyDescent="1.1499999999999999">
      <c r="A105" s="322" t="str">
        <f>CONCATENATE(C6,"/",D6)</f>
        <v>ПП5/СК5</v>
      </c>
    </row>
    <row r="106" spans="1:1" ht="12.75" customHeight="1" x14ac:dyDescent="0.2">
      <c r="A106" s="964">
        <f>A64</f>
        <v>0</v>
      </c>
    </row>
    <row r="107" spans="1:1" ht="12.75" customHeight="1" x14ac:dyDescent="0.2">
      <c r="A107" s="964"/>
    </row>
    <row r="108" spans="1:1" ht="12.75" customHeight="1" x14ac:dyDescent="0.2">
      <c r="A108" s="964"/>
    </row>
    <row r="109" spans="1:1" ht="12.75" customHeight="1" x14ac:dyDescent="0.2">
      <c r="A109" s="964"/>
    </row>
    <row r="110" spans="1:1" ht="12.75" customHeight="1" x14ac:dyDescent="0.2">
      <c r="A110" s="964"/>
    </row>
    <row r="111" spans="1:1" ht="12.75" customHeight="1" x14ac:dyDescent="0.2">
      <c r="A111" s="964"/>
    </row>
    <row r="112" spans="1:1" ht="12.75" customHeight="1" x14ac:dyDescent="0.2">
      <c r="A112" s="964"/>
    </row>
    <row r="113" spans="1:1" ht="12.75" customHeight="1" x14ac:dyDescent="0.2">
      <c r="A113" s="964"/>
    </row>
    <row r="114" spans="1:1" ht="12.75" customHeight="1" x14ac:dyDescent="0.2">
      <c r="A114" s="964"/>
    </row>
    <row r="115" spans="1:1" ht="12.75" customHeight="1" x14ac:dyDescent="0.2">
      <c r="A115" s="964"/>
    </row>
    <row r="116" spans="1:1" ht="12.75" customHeight="1" x14ac:dyDescent="0.2">
      <c r="A116" s="964"/>
    </row>
    <row r="117" spans="1:1" ht="12.75" customHeight="1" x14ac:dyDescent="0.2">
      <c r="A117" s="964"/>
    </row>
    <row r="118" spans="1:1" ht="12.75" customHeight="1" x14ac:dyDescent="0.2">
      <c r="A118" s="964"/>
    </row>
    <row r="119" spans="1:1" ht="12.75" customHeight="1" x14ac:dyDescent="0.2">
      <c r="A119" s="964"/>
    </row>
    <row r="120" spans="1:1" ht="12.75" customHeight="1" x14ac:dyDescent="0.2">
      <c r="A120" s="964"/>
    </row>
    <row r="121" spans="1:1" ht="12.75" customHeight="1" x14ac:dyDescent="0.2">
      <c r="A121" s="964"/>
    </row>
    <row r="122" spans="1:1" ht="12.75" customHeight="1" x14ac:dyDescent="0.2">
      <c r="A122" s="964"/>
    </row>
    <row r="123" spans="1:1" ht="12.75" customHeight="1" x14ac:dyDescent="0.2">
      <c r="A123" s="964"/>
    </row>
    <row r="124" spans="1:1" ht="12.75" customHeight="1" x14ac:dyDescent="0.2">
      <c r="A124" s="964"/>
    </row>
    <row r="125" spans="1:1" ht="44.25" customHeight="1" x14ac:dyDescent="0.2">
      <c r="A125" s="964"/>
    </row>
    <row r="126" spans="1:1" ht="90" x14ac:dyDescent="1.1499999999999999">
      <c r="A126" s="322" t="str">
        <f>CONCATENATE(C7,"/",D7)</f>
        <v>ПП6/СК6</v>
      </c>
    </row>
    <row r="127" spans="1:1" ht="12.75" customHeight="1" x14ac:dyDescent="0.2">
      <c r="A127" s="964">
        <f>A85</f>
        <v>0</v>
      </c>
    </row>
    <row r="128" spans="1:1" ht="12.75" customHeight="1" x14ac:dyDescent="0.2">
      <c r="A128" s="964"/>
    </row>
    <row r="129" spans="1:1" ht="12.75" customHeight="1" x14ac:dyDescent="0.2">
      <c r="A129" s="964"/>
    </row>
    <row r="130" spans="1:1" ht="12.75" customHeight="1" x14ac:dyDescent="0.2">
      <c r="A130" s="964"/>
    </row>
    <row r="131" spans="1:1" ht="12.75" customHeight="1" x14ac:dyDescent="0.2">
      <c r="A131" s="964"/>
    </row>
    <row r="132" spans="1:1" ht="12.75" customHeight="1" x14ac:dyDescent="0.2">
      <c r="A132" s="964"/>
    </row>
    <row r="133" spans="1:1" ht="12.75" customHeight="1" x14ac:dyDescent="0.2">
      <c r="A133" s="964"/>
    </row>
    <row r="134" spans="1:1" ht="12.75" customHeight="1" x14ac:dyDescent="0.2">
      <c r="A134" s="964"/>
    </row>
    <row r="135" spans="1:1" ht="12.75" customHeight="1" x14ac:dyDescent="0.2">
      <c r="A135" s="964"/>
    </row>
    <row r="136" spans="1:1" ht="12.75" customHeight="1" x14ac:dyDescent="0.2">
      <c r="A136" s="964"/>
    </row>
    <row r="137" spans="1:1" ht="12.75" customHeight="1" x14ac:dyDescent="0.2">
      <c r="A137" s="964"/>
    </row>
    <row r="138" spans="1:1" ht="12.75" customHeight="1" x14ac:dyDescent="0.2">
      <c r="A138" s="964"/>
    </row>
    <row r="139" spans="1:1" ht="12.75" customHeight="1" x14ac:dyDescent="0.2">
      <c r="A139" s="964"/>
    </row>
    <row r="140" spans="1:1" ht="12.75" customHeight="1" x14ac:dyDescent="0.2">
      <c r="A140" s="964"/>
    </row>
    <row r="141" spans="1:1" ht="12.75" customHeight="1" x14ac:dyDescent="0.2">
      <c r="A141" s="964"/>
    </row>
    <row r="142" spans="1:1" ht="12.75" customHeight="1" x14ac:dyDescent="0.2">
      <c r="A142" s="964"/>
    </row>
    <row r="143" spans="1:1" ht="12.75" customHeight="1" x14ac:dyDescent="0.2">
      <c r="A143" s="964"/>
    </row>
    <row r="144" spans="1:1" ht="12.75" customHeight="1" x14ac:dyDescent="0.2">
      <c r="A144" s="964"/>
    </row>
    <row r="145" spans="1:1" ht="12.75" customHeight="1" x14ac:dyDescent="0.2">
      <c r="A145" s="964"/>
    </row>
    <row r="146" spans="1:1" ht="37.5" customHeight="1" x14ac:dyDescent="0.2">
      <c r="A146" s="964"/>
    </row>
    <row r="147" spans="1:1" ht="90" x14ac:dyDescent="1.1499999999999999">
      <c r="A147" s="322" t="str">
        <f>CONCATENATE(C8,"/",D8)</f>
        <v>ПП7/СК7</v>
      </c>
    </row>
    <row r="148" spans="1:1" ht="12.75" customHeight="1" x14ac:dyDescent="0.2">
      <c r="A148" s="964">
        <f>A106</f>
        <v>0</v>
      </c>
    </row>
    <row r="149" spans="1:1" ht="12.75" customHeight="1" x14ac:dyDescent="0.2">
      <c r="A149" s="964"/>
    </row>
    <row r="150" spans="1:1" ht="12.75" customHeight="1" x14ac:dyDescent="0.2">
      <c r="A150" s="964"/>
    </row>
    <row r="151" spans="1:1" ht="12.75" customHeight="1" x14ac:dyDescent="0.2">
      <c r="A151" s="964"/>
    </row>
    <row r="152" spans="1:1" ht="12.75" customHeight="1" x14ac:dyDescent="0.2">
      <c r="A152" s="964"/>
    </row>
    <row r="153" spans="1:1" ht="12.75" customHeight="1" x14ac:dyDescent="0.2">
      <c r="A153" s="964"/>
    </row>
    <row r="154" spans="1:1" ht="12.75" customHeight="1" x14ac:dyDescent="0.2">
      <c r="A154" s="964"/>
    </row>
    <row r="155" spans="1:1" ht="12.75" customHeight="1" x14ac:dyDescent="0.2">
      <c r="A155" s="964"/>
    </row>
    <row r="156" spans="1:1" ht="12.75" customHeight="1" x14ac:dyDescent="0.2">
      <c r="A156" s="964"/>
    </row>
    <row r="157" spans="1:1" ht="12.75" customHeight="1" x14ac:dyDescent="0.2">
      <c r="A157" s="964"/>
    </row>
    <row r="158" spans="1:1" ht="12.75" customHeight="1" x14ac:dyDescent="0.2">
      <c r="A158" s="964"/>
    </row>
    <row r="159" spans="1:1" ht="12.75" customHeight="1" x14ac:dyDescent="0.2">
      <c r="A159" s="964"/>
    </row>
    <row r="160" spans="1:1" ht="12.75" customHeight="1" x14ac:dyDescent="0.2">
      <c r="A160" s="964"/>
    </row>
    <row r="161" spans="1:1" ht="12.75" customHeight="1" x14ac:dyDescent="0.2">
      <c r="A161" s="964"/>
    </row>
    <row r="162" spans="1:1" ht="12.75" customHeight="1" x14ac:dyDescent="0.2">
      <c r="A162" s="964"/>
    </row>
    <row r="163" spans="1:1" ht="12.75" customHeight="1" x14ac:dyDescent="0.2">
      <c r="A163" s="964"/>
    </row>
    <row r="164" spans="1:1" ht="12.75" customHeight="1" x14ac:dyDescent="0.2">
      <c r="A164" s="964"/>
    </row>
    <row r="165" spans="1:1" ht="12.75" customHeight="1" x14ac:dyDescent="0.2">
      <c r="A165" s="964"/>
    </row>
    <row r="166" spans="1:1" ht="12.75" customHeight="1" x14ac:dyDescent="0.2">
      <c r="A166" s="964"/>
    </row>
    <row r="167" spans="1:1" ht="37.5" customHeight="1" x14ac:dyDescent="0.2">
      <c r="A167" s="964"/>
    </row>
    <row r="168" spans="1:1" ht="90" x14ac:dyDescent="1.1499999999999999">
      <c r="A168" s="322" t="str">
        <f>CONCATENATE(C9,"/",D9)</f>
        <v>ПП8/СК8</v>
      </c>
    </row>
    <row r="169" spans="1:1" ht="12.75" customHeight="1" x14ac:dyDescent="0.2">
      <c r="A169" s="964">
        <f>A127</f>
        <v>0</v>
      </c>
    </row>
    <row r="170" spans="1:1" ht="12.75" customHeight="1" x14ac:dyDescent="0.2">
      <c r="A170" s="964"/>
    </row>
    <row r="171" spans="1:1" ht="12.75" customHeight="1" x14ac:dyDescent="0.2">
      <c r="A171" s="964"/>
    </row>
    <row r="172" spans="1:1" ht="12.75" customHeight="1" x14ac:dyDescent="0.2">
      <c r="A172" s="964"/>
    </row>
    <row r="173" spans="1:1" ht="12.75" customHeight="1" x14ac:dyDescent="0.2">
      <c r="A173" s="964"/>
    </row>
    <row r="174" spans="1:1" ht="12.75" customHeight="1" x14ac:dyDescent="0.2">
      <c r="A174" s="964"/>
    </row>
    <row r="175" spans="1:1" ht="12.75" customHeight="1" x14ac:dyDescent="0.2">
      <c r="A175" s="964"/>
    </row>
    <row r="176" spans="1:1" ht="12.75" customHeight="1" x14ac:dyDescent="0.2">
      <c r="A176" s="964"/>
    </row>
    <row r="177" spans="1:1" ht="12.75" customHeight="1" x14ac:dyDescent="0.2">
      <c r="A177" s="964"/>
    </row>
    <row r="178" spans="1:1" ht="12.75" customHeight="1" x14ac:dyDescent="0.2">
      <c r="A178" s="964"/>
    </row>
    <row r="179" spans="1:1" ht="12.75" customHeight="1" x14ac:dyDescent="0.2">
      <c r="A179" s="964"/>
    </row>
    <row r="180" spans="1:1" ht="12.75" customHeight="1" x14ac:dyDescent="0.2">
      <c r="A180" s="964"/>
    </row>
    <row r="181" spans="1:1" ht="12.75" customHeight="1" x14ac:dyDescent="0.2">
      <c r="A181" s="964"/>
    </row>
    <row r="182" spans="1:1" ht="12.75" customHeight="1" x14ac:dyDescent="0.2">
      <c r="A182" s="964"/>
    </row>
    <row r="183" spans="1:1" ht="12.75" customHeight="1" x14ac:dyDescent="0.2">
      <c r="A183" s="964"/>
    </row>
    <row r="184" spans="1:1" ht="12.75" customHeight="1" x14ac:dyDescent="0.2">
      <c r="A184" s="964"/>
    </row>
    <row r="185" spans="1:1" ht="12.75" customHeight="1" x14ac:dyDescent="0.2">
      <c r="A185" s="964"/>
    </row>
    <row r="186" spans="1:1" ht="12.75" customHeight="1" x14ac:dyDescent="0.2">
      <c r="A186" s="964"/>
    </row>
    <row r="187" spans="1:1" ht="12.75" customHeight="1" x14ac:dyDescent="0.2">
      <c r="A187" s="964"/>
    </row>
    <row r="188" spans="1:1" ht="54" customHeight="1" x14ac:dyDescent="0.2">
      <c r="A188" s="964"/>
    </row>
    <row r="189" spans="1:1" ht="90" x14ac:dyDescent="1.1499999999999999">
      <c r="A189" s="322" t="str">
        <f>CONCATENATE(C10,"/",D10)</f>
        <v>ПП9/СК9</v>
      </c>
    </row>
    <row r="190" spans="1:1" ht="12.75" customHeight="1" x14ac:dyDescent="0.2">
      <c r="A190" s="964">
        <f>A148</f>
        <v>0</v>
      </c>
    </row>
    <row r="191" spans="1:1" ht="12.75" customHeight="1" x14ac:dyDescent="0.2">
      <c r="A191" s="964"/>
    </row>
    <row r="192" spans="1:1" ht="12.75" customHeight="1" x14ac:dyDescent="0.2">
      <c r="A192" s="964"/>
    </row>
    <row r="193" spans="1:1" ht="12.75" customHeight="1" x14ac:dyDescent="0.2">
      <c r="A193" s="964"/>
    </row>
    <row r="194" spans="1:1" ht="12.75" customHeight="1" x14ac:dyDescent="0.2">
      <c r="A194" s="964"/>
    </row>
    <row r="195" spans="1:1" ht="12.75" customHeight="1" x14ac:dyDescent="0.2">
      <c r="A195" s="964"/>
    </row>
    <row r="196" spans="1:1" ht="12.75" customHeight="1" x14ac:dyDescent="0.2">
      <c r="A196" s="964"/>
    </row>
    <row r="197" spans="1:1" ht="12.75" customHeight="1" x14ac:dyDescent="0.2">
      <c r="A197" s="964"/>
    </row>
    <row r="198" spans="1:1" ht="12.75" customHeight="1" x14ac:dyDescent="0.2">
      <c r="A198" s="964"/>
    </row>
    <row r="199" spans="1:1" ht="12.75" customHeight="1" x14ac:dyDescent="0.2">
      <c r="A199" s="964"/>
    </row>
    <row r="200" spans="1:1" ht="12.75" customHeight="1" x14ac:dyDescent="0.2">
      <c r="A200" s="964"/>
    </row>
    <row r="201" spans="1:1" ht="12.75" customHeight="1" x14ac:dyDescent="0.2">
      <c r="A201" s="964"/>
    </row>
    <row r="202" spans="1:1" ht="12.75" customHeight="1" x14ac:dyDescent="0.2">
      <c r="A202" s="964"/>
    </row>
    <row r="203" spans="1:1" ht="12.75" customHeight="1" x14ac:dyDescent="0.2">
      <c r="A203" s="964"/>
    </row>
    <row r="204" spans="1:1" ht="12.75" customHeight="1" x14ac:dyDescent="0.2">
      <c r="A204" s="964"/>
    </row>
    <row r="205" spans="1:1" ht="12.75" customHeight="1" x14ac:dyDescent="0.2">
      <c r="A205" s="964"/>
    </row>
    <row r="206" spans="1:1" ht="12.75" customHeight="1" x14ac:dyDescent="0.2">
      <c r="A206" s="964"/>
    </row>
    <row r="207" spans="1:1" ht="12.75" customHeight="1" x14ac:dyDescent="0.2">
      <c r="A207" s="964"/>
    </row>
    <row r="208" spans="1:1" ht="12.75" customHeight="1" x14ac:dyDescent="0.2">
      <c r="A208" s="964"/>
    </row>
    <row r="209" spans="1:1" ht="57.75" customHeight="1" x14ac:dyDescent="0.2">
      <c r="A209" s="964"/>
    </row>
    <row r="210" spans="1:1" ht="90" x14ac:dyDescent="1.1499999999999999">
      <c r="A210" s="322" t="str">
        <f>CONCATENATE(C11,"/",D11)</f>
        <v>ПП10/СК10</v>
      </c>
    </row>
    <row r="211" spans="1:1" ht="12.75" customHeight="1" x14ac:dyDescent="0.2">
      <c r="A211" s="964">
        <f>A169</f>
        <v>0</v>
      </c>
    </row>
    <row r="212" spans="1:1" ht="12.75" customHeight="1" x14ac:dyDescent="0.2">
      <c r="A212" s="964"/>
    </row>
    <row r="213" spans="1:1" ht="12.75" customHeight="1" x14ac:dyDescent="0.2">
      <c r="A213" s="964"/>
    </row>
    <row r="214" spans="1:1" ht="12.75" customHeight="1" x14ac:dyDescent="0.2">
      <c r="A214" s="964"/>
    </row>
    <row r="215" spans="1:1" ht="12.75" customHeight="1" x14ac:dyDescent="0.2">
      <c r="A215" s="964"/>
    </row>
    <row r="216" spans="1:1" ht="12.75" customHeight="1" x14ac:dyDescent="0.2">
      <c r="A216" s="964"/>
    </row>
    <row r="217" spans="1:1" ht="12.75" customHeight="1" x14ac:dyDescent="0.2">
      <c r="A217" s="964"/>
    </row>
    <row r="218" spans="1:1" ht="12.75" customHeight="1" x14ac:dyDescent="0.2">
      <c r="A218" s="964"/>
    </row>
    <row r="219" spans="1:1" ht="12.75" customHeight="1" x14ac:dyDescent="0.2">
      <c r="A219" s="964"/>
    </row>
    <row r="220" spans="1:1" ht="12.75" customHeight="1" x14ac:dyDescent="0.2">
      <c r="A220" s="964"/>
    </row>
    <row r="221" spans="1:1" ht="12.75" customHeight="1" x14ac:dyDescent="0.2">
      <c r="A221" s="964"/>
    </row>
    <row r="222" spans="1:1" ht="12.75" customHeight="1" x14ac:dyDescent="0.2">
      <c r="A222" s="964"/>
    </row>
    <row r="223" spans="1:1" ht="12.75" customHeight="1" x14ac:dyDescent="0.2">
      <c r="A223" s="964"/>
    </row>
    <row r="224" spans="1:1" ht="12.75" customHeight="1" x14ac:dyDescent="0.2">
      <c r="A224" s="964"/>
    </row>
    <row r="225" spans="1:1" ht="12.75" customHeight="1" x14ac:dyDescent="0.2">
      <c r="A225" s="964"/>
    </row>
    <row r="226" spans="1:1" ht="12.75" customHeight="1" x14ac:dyDescent="0.2">
      <c r="A226" s="964"/>
    </row>
    <row r="227" spans="1:1" ht="12.75" customHeight="1" x14ac:dyDescent="0.2">
      <c r="A227" s="964"/>
    </row>
    <row r="228" spans="1:1" ht="12.75" customHeight="1" x14ac:dyDescent="0.2">
      <c r="A228" s="964"/>
    </row>
    <row r="229" spans="1:1" ht="12.75" customHeight="1" x14ac:dyDescent="0.2">
      <c r="A229" s="964"/>
    </row>
    <row r="230" spans="1:1" ht="12.75" customHeight="1" x14ac:dyDescent="0.2">
      <c r="A230" s="964"/>
    </row>
    <row r="231" spans="1:1" ht="90" x14ac:dyDescent="1.1499999999999999">
      <c r="A231" s="322" t="str">
        <f>CONCATENATE(C12,"/",D12)</f>
        <v>ПП11/СК11</v>
      </c>
    </row>
    <row r="232" spans="1:1" ht="12.75" customHeight="1" x14ac:dyDescent="0.2">
      <c r="A232" s="964">
        <f>A190</f>
        <v>0</v>
      </c>
    </row>
    <row r="233" spans="1:1" ht="12.75" customHeight="1" x14ac:dyDescent="0.2">
      <c r="A233" s="964"/>
    </row>
    <row r="234" spans="1:1" ht="12.75" customHeight="1" x14ac:dyDescent="0.2">
      <c r="A234" s="964"/>
    </row>
    <row r="235" spans="1:1" ht="12.75" customHeight="1" x14ac:dyDescent="0.2">
      <c r="A235" s="964"/>
    </row>
    <row r="236" spans="1:1" ht="12.75" customHeight="1" x14ac:dyDescent="0.2">
      <c r="A236" s="964"/>
    </row>
    <row r="237" spans="1:1" ht="12.75" customHeight="1" x14ac:dyDescent="0.2">
      <c r="A237" s="964"/>
    </row>
    <row r="238" spans="1:1" ht="12.75" customHeight="1" x14ac:dyDescent="0.2">
      <c r="A238" s="964"/>
    </row>
    <row r="239" spans="1:1" ht="12.75" customHeight="1" x14ac:dyDescent="0.2">
      <c r="A239" s="964"/>
    </row>
    <row r="240" spans="1:1" ht="12.75" customHeight="1" x14ac:dyDescent="0.2">
      <c r="A240" s="964"/>
    </row>
    <row r="241" spans="1:1" ht="12.75" customHeight="1" x14ac:dyDescent="0.2">
      <c r="A241" s="964"/>
    </row>
    <row r="242" spans="1:1" ht="12.75" customHeight="1" x14ac:dyDescent="0.2">
      <c r="A242" s="964"/>
    </row>
    <row r="243" spans="1:1" ht="12.75" customHeight="1" x14ac:dyDescent="0.2">
      <c r="A243" s="964"/>
    </row>
    <row r="244" spans="1:1" ht="12.75" customHeight="1" x14ac:dyDescent="0.2">
      <c r="A244" s="964"/>
    </row>
    <row r="245" spans="1:1" ht="12.75" customHeight="1" x14ac:dyDescent="0.2">
      <c r="A245" s="964"/>
    </row>
    <row r="246" spans="1:1" ht="12.75" customHeight="1" x14ac:dyDescent="0.2">
      <c r="A246" s="964"/>
    </row>
    <row r="247" spans="1:1" ht="12.75" customHeight="1" x14ac:dyDescent="0.2">
      <c r="A247" s="964"/>
    </row>
    <row r="248" spans="1:1" ht="12.75" customHeight="1" x14ac:dyDescent="0.2">
      <c r="A248" s="964"/>
    </row>
    <row r="249" spans="1:1" ht="12.75" customHeight="1" x14ac:dyDescent="0.2">
      <c r="A249" s="964"/>
    </row>
    <row r="250" spans="1:1" ht="12.75" customHeight="1" x14ac:dyDescent="0.2">
      <c r="A250" s="964"/>
    </row>
    <row r="251" spans="1:1" ht="12.75" customHeight="1" x14ac:dyDescent="0.2">
      <c r="A251" s="964"/>
    </row>
    <row r="252" spans="1:1" ht="90" x14ac:dyDescent="1.1499999999999999">
      <c r="A252" s="322" t="str">
        <f>CONCATENATE(C13,"/",D13)</f>
        <v>ПП12/СК12</v>
      </c>
    </row>
    <row r="253" spans="1:1" ht="12.75" customHeight="1" x14ac:dyDescent="0.2">
      <c r="A253" s="964">
        <f>A211</f>
        <v>0</v>
      </c>
    </row>
    <row r="254" spans="1:1" ht="12.75" customHeight="1" x14ac:dyDescent="0.2">
      <c r="A254" s="964"/>
    </row>
    <row r="255" spans="1:1" ht="12.75" customHeight="1" x14ac:dyDescent="0.2">
      <c r="A255" s="964"/>
    </row>
    <row r="256" spans="1:1" ht="12.75" customHeight="1" x14ac:dyDescent="0.2">
      <c r="A256" s="964"/>
    </row>
    <row r="257" spans="1:1" ht="12.75" customHeight="1" x14ac:dyDescent="0.2">
      <c r="A257" s="964"/>
    </row>
    <row r="258" spans="1:1" ht="12.75" customHeight="1" x14ac:dyDescent="0.2">
      <c r="A258" s="964"/>
    </row>
    <row r="259" spans="1:1" ht="12.75" customHeight="1" x14ac:dyDescent="0.2">
      <c r="A259" s="964"/>
    </row>
    <row r="260" spans="1:1" ht="12.75" customHeight="1" x14ac:dyDescent="0.2">
      <c r="A260" s="964"/>
    </row>
    <row r="261" spans="1:1" ht="12.75" customHeight="1" x14ac:dyDescent="0.2">
      <c r="A261" s="964"/>
    </row>
    <row r="262" spans="1:1" ht="12.75" customHeight="1" x14ac:dyDescent="0.2">
      <c r="A262" s="964"/>
    </row>
    <row r="263" spans="1:1" ht="12.75" customHeight="1" x14ac:dyDescent="0.2">
      <c r="A263" s="964"/>
    </row>
    <row r="264" spans="1:1" ht="12.75" customHeight="1" x14ac:dyDescent="0.2">
      <c r="A264" s="964"/>
    </row>
    <row r="265" spans="1:1" ht="12.75" customHeight="1" x14ac:dyDescent="0.2">
      <c r="A265" s="964"/>
    </row>
    <row r="266" spans="1:1" ht="12.75" customHeight="1" x14ac:dyDescent="0.2">
      <c r="A266" s="964"/>
    </row>
    <row r="267" spans="1:1" ht="12.75" customHeight="1" x14ac:dyDescent="0.2">
      <c r="A267" s="964"/>
    </row>
    <row r="268" spans="1:1" ht="12.75" customHeight="1" x14ac:dyDescent="0.2">
      <c r="A268" s="964"/>
    </row>
    <row r="269" spans="1:1" ht="12.75" customHeight="1" x14ac:dyDescent="0.2">
      <c r="A269" s="964"/>
    </row>
    <row r="270" spans="1:1" ht="12.75" customHeight="1" x14ac:dyDescent="0.2">
      <c r="A270" s="964"/>
    </row>
    <row r="271" spans="1:1" ht="12.75" customHeight="1" x14ac:dyDescent="0.2">
      <c r="A271" s="964"/>
    </row>
    <row r="272" spans="1:1" ht="12.75" customHeight="1" x14ac:dyDescent="0.2">
      <c r="A272" s="964"/>
    </row>
    <row r="273" spans="1:1" ht="90" x14ac:dyDescent="1.1499999999999999">
      <c r="A273" s="322" t="str">
        <f>CONCATENATE(C14,"/",D14)</f>
        <v>ПП13/СК13</v>
      </c>
    </row>
    <row r="274" spans="1:1" ht="12.75" customHeight="1" x14ac:dyDescent="0.2">
      <c r="A274" s="964">
        <f>A232</f>
        <v>0</v>
      </c>
    </row>
    <row r="275" spans="1:1" ht="12.75" customHeight="1" x14ac:dyDescent="0.2">
      <c r="A275" s="964"/>
    </row>
    <row r="276" spans="1:1" ht="12.75" customHeight="1" x14ac:dyDescent="0.2">
      <c r="A276" s="964"/>
    </row>
    <row r="277" spans="1:1" ht="12.75" customHeight="1" x14ac:dyDescent="0.2">
      <c r="A277" s="964"/>
    </row>
    <row r="278" spans="1:1" ht="12.75" customHeight="1" x14ac:dyDescent="0.2">
      <c r="A278" s="964"/>
    </row>
    <row r="279" spans="1:1" ht="12.75" customHeight="1" x14ac:dyDescent="0.2">
      <c r="A279" s="964"/>
    </row>
    <row r="280" spans="1:1" ht="12.75" customHeight="1" x14ac:dyDescent="0.2">
      <c r="A280" s="964"/>
    </row>
    <row r="281" spans="1:1" ht="12.75" customHeight="1" x14ac:dyDescent="0.2">
      <c r="A281" s="964"/>
    </row>
    <row r="282" spans="1:1" ht="12.75" customHeight="1" x14ac:dyDescent="0.2">
      <c r="A282" s="964"/>
    </row>
    <row r="283" spans="1:1" ht="12.75" customHeight="1" x14ac:dyDescent="0.2">
      <c r="A283" s="964"/>
    </row>
    <row r="284" spans="1:1" ht="12.75" customHeight="1" x14ac:dyDescent="0.2">
      <c r="A284" s="964"/>
    </row>
    <row r="285" spans="1:1" ht="12.75" customHeight="1" x14ac:dyDescent="0.2">
      <c r="A285" s="964"/>
    </row>
    <row r="286" spans="1:1" ht="12.75" customHeight="1" x14ac:dyDescent="0.2">
      <c r="A286" s="964"/>
    </row>
    <row r="287" spans="1:1" ht="12.75" customHeight="1" x14ac:dyDescent="0.2">
      <c r="A287" s="964"/>
    </row>
    <row r="288" spans="1:1" ht="12.75" customHeight="1" x14ac:dyDescent="0.2">
      <c r="A288" s="964"/>
    </row>
    <row r="289" spans="1:1" ht="12.75" customHeight="1" x14ac:dyDescent="0.2">
      <c r="A289" s="964"/>
    </row>
    <row r="290" spans="1:1" ht="12.75" customHeight="1" x14ac:dyDescent="0.2">
      <c r="A290" s="964"/>
    </row>
    <row r="291" spans="1:1" ht="12.75" customHeight="1" x14ac:dyDescent="0.2">
      <c r="A291" s="964"/>
    </row>
    <row r="292" spans="1:1" ht="12.75" customHeight="1" x14ac:dyDescent="0.2">
      <c r="A292" s="964"/>
    </row>
    <row r="293" spans="1:1" ht="12.75" customHeight="1" x14ac:dyDescent="0.2">
      <c r="A293" s="964"/>
    </row>
    <row r="294" spans="1:1" ht="90" x14ac:dyDescent="1.1499999999999999">
      <c r="A294" s="322" t="str">
        <f>CONCATENATE(C15,"/",D15)</f>
        <v>ПП14/СК14</v>
      </c>
    </row>
    <row r="295" spans="1:1" ht="12.75" customHeight="1" x14ac:dyDescent="0.2">
      <c r="A295" s="964">
        <f>A253</f>
        <v>0</v>
      </c>
    </row>
    <row r="296" spans="1:1" ht="12.75" customHeight="1" x14ac:dyDescent="0.2">
      <c r="A296" s="964"/>
    </row>
    <row r="297" spans="1:1" ht="12.75" customHeight="1" x14ac:dyDescent="0.2">
      <c r="A297" s="964"/>
    </row>
    <row r="298" spans="1:1" ht="12.75" customHeight="1" x14ac:dyDescent="0.2">
      <c r="A298" s="964"/>
    </row>
    <row r="299" spans="1:1" ht="12.75" customHeight="1" x14ac:dyDescent="0.2">
      <c r="A299" s="964"/>
    </row>
    <row r="300" spans="1:1" ht="12.75" customHeight="1" x14ac:dyDescent="0.2">
      <c r="A300" s="964"/>
    </row>
    <row r="301" spans="1:1" ht="12.75" customHeight="1" x14ac:dyDescent="0.2">
      <c r="A301" s="964"/>
    </row>
    <row r="302" spans="1:1" ht="12.75" customHeight="1" x14ac:dyDescent="0.2">
      <c r="A302" s="964"/>
    </row>
    <row r="303" spans="1:1" ht="12.75" customHeight="1" x14ac:dyDescent="0.2">
      <c r="A303" s="964"/>
    </row>
    <row r="304" spans="1:1" ht="12.75" customHeight="1" x14ac:dyDescent="0.2">
      <c r="A304" s="964"/>
    </row>
    <row r="305" spans="1:1" ht="12.75" customHeight="1" x14ac:dyDescent="0.2">
      <c r="A305" s="964"/>
    </row>
    <row r="306" spans="1:1" ht="12.75" customHeight="1" x14ac:dyDescent="0.2">
      <c r="A306" s="964"/>
    </row>
    <row r="307" spans="1:1" ht="12.75" customHeight="1" x14ac:dyDescent="0.2">
      <c r="A307" s="964"/>
    </row>
    <row r="308" spans="1:1" ht="12.75" customHeight="1" x14ac:dyDescent="0.2">
      <c r="A308" s="964"/>
    </row>
    <row r="309" spans="1:1" ht="12.75" customHeight="1" x14ac:dyDescent="0.2">
      <c r="A309" s="964"/>
    </row>
    <row r="310" spans="1:1" ht="12.75" customHeight="1" x14ac:dyDescent="0.2">
      <c r="A310" s="964"/>
    </row>
    <row r="311" spans="1:1" ht="12.75" customHeight="1" x14ac:dyDescent="0.2">
      <c r="A311" s="964"/>
    </row>
    <row r="312" spans="1:1" ht="12.75" customHeight="1" x14ac:dyDescent="0.2">
      <c r="A312" s="964"/>
    </row>
    <row r="313" spans="1:1" ht="12.75" customHeight="1" x14ac:dyDescent="0.2">
      <c r="A313" s="964"/>
    </row>
    <row r="314" spans="1:1" ht="12.75" customHeight="1" x14ac:dyDescent="0.2">
      <c r="A314" s="964"/>
    </row>
    <row r="315" spans="1:1" ht="90" x14ac:dyDescent="1.1499999999999999">
      <c r="A315" s="322" t="str">
        <f>CONCATENATE(C16,"/",D16)</f>
        <v>ПП15/СК15</v>
      </c>
    </row>
    <row r="316" spans="1:1" ht="12.75" customHeight="1" x14ac:dyDescent="0.2">
      <c r="A316" s="964">
        <f>A274</f>
        <v>0</v>
      </c>
    </row>
    <row r="317" spans="1:1" ht="12.75" customHeight="1" x14ac:dyDescent="0.2">
      <c r="A317" s="964"/>
    </row>
    <row r="318" spans="1:1" ht="12.75" customHeight="1" x14ac:dyDescent="0.2">
      <c r="A318" s="964"/>
    </row>
    <row r="319" spans="1:1" ht="12.75" customHeight="1" x14ac:dyDescent="0.2">
      <c r="A319" s="964"/>
    </row>
    <row r="320" spans="1:1" ht="12.75" customHeight="1" x14ac:dyDescent="0.2">
      <c r="A320" s="964"/>
    </row>
    <row r="321" spans="1:1" ht="12.75" customHeight="1" x14ac:dyDescent="0.2">
      <c r="A321" s="964"/>
    </row>
    <row r="322" spans="1:1" ht="12.75" customHeight="1" x14ac:dyDescent="0.2">
      <c r="A322" s="964"/>
    </row>
    <row r="323" spans="1:1" ht="12.75" customHeight="1" x14ac:dyDescent="0.2">
      <c r="A323" s="964"/>
    </row>
    <row r="324" spans="1:1" ht="12.75" customHeight="1" x14ac:dyDescent="0.2">
      <c r="A324" s="964"/>
    </row>
    <row r="325" spans="1:1" ht="12.75" customHeight="1" x14ac:dyDescent="0.2">
      <c r="A325" s="964"/>
    </row>
    <row r="326" spans="1:1" ht="12.75" customHeight="1" x14ac:dyDescent="0.2">
      <c r="A326" s="964"/>
    </row>
    <row r="327" spans="1:1" ht="12.75" customHeight="1" x14ac:dyDescent="0.2">
      <c r="A327" s="964"/>
    </row>
    <row r="328" spans="1:1" ht="12.75" customHeight="1" x14ac:dyDescent="0.2">
      <c r="A328" s="964"/>
    </row>
    <row r="329" spans="1:1" ht="12.75" customHeight="1" x14ac:dyDescent="0.2">
      <c r="A329" s="964"/>
    </row>
    <row r="330" spans="1:1" ht="12.75" customHeight="1" x14ac:dyDescent="0.2">
      <c r="A330" s="964"/>
    </row>
    <row r="331" spans="1:1" ht="12.75" customHeight="1" x14ac:dyDescent="0.2">
      <c r="A331" s="964"/>
    </row>
    <row r="332" spans="1:1" ht="12.75" customHeight="1" x14ac:dyDescent="0.2">
      <c r="A332" s="964"/>
    </row>
    <row r="333" spans="1:1" ht="12.75" customHeight="1" x14ac:dyDescent="0.2">
      <c r="A333" s="964"/>
    </row>
    <row r="334" spans="1:1" ht="12.75" customHeight="1" x14ac:dyDescent="0.2">
      <c r="A334" s="964"/>
    </row>
    <row r="335" spans="1:1" ht="12.75" customHeight="1" x14ac:dyDescent="0.2">
      <c r="A335" s="964"/>
    </row>
    <row r="336" spans="1:1" ht="90" x14ac:dyDescent="1.1499999999999999">
      <c r="A336" s="322" t="str">
        <f>CONCATENATE(C17,"/",D17)</f>
        <v>ПП16/СК16</v>
      </c>
    </row>
  </sheetData>
  <mergeCells count="16">
    <mergeCell ref="A1:A20"/>
    <mergeCell ref="A22:A41"/>
    <mergeCell ref="A43:A62"/>
    <mergeCell ref="A64:A83"/>
    <mergeCell ref="A85:A104"/>
    <mergeCell ref="A106:A125"/>
    <mergeCell ref="A253:A272"/>
    <mergeCell ref="A274:A293"/>
    <mergeCell ref="A295:A314"/>
    <mergeCell ref="A316:A335"/>
    <mergeCell ref="A127:A146"/>
    <mergeCell ref="A148:A167"/>
    <mergeCell ref="A169:A188"/>
    <mergeCell ref="A190:A209"/>
    <mergeCell ref="A211:A230"/>
    <mergeCell ref="A232:A251"/>
  </mergeCells>
  <pageMargins left="0.7" right="0.7" top="0.75" bottom="0.75" header="0.3" footer="0.3"/>
  <pageSetup paperSize="9" orientation="landscape" r:id="rId1"/>
  <rowBreaks count="10" manualBreakCount="10">
    <brk id="21" man="1"/>
    <brk id="42" man="1"/>
    <brk id="63" man="1"/>
    <brk id="84" man="1"/>
    <brk id="105" man="1"/>
    <brk id="126" man="1"/>
    <brk id="147" man="1"/>
    <brk id="168" man="1"/>
    <brk id="189" man="1"/>
    <brk id="210"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pageSetUpPr fitToPage="1"/>
  </sheetPr>
  <dimension ref="B1:R94"/>
  <sheetViews>
    <sheetView view="pageBreakPreview" topLeftCell="A21" zoomScaleNormal="100" workbookViewId="0">
      <selection activeCell="E49" sqref="E49"/>
    </sheetView>
  </sheetViews>
  <sheetFormatPr defaultRowHeight="12.75" x14ac:dyDescent="0.2"/>
  <cols>
    <col min="1" max="1" width="9.85546875" customWidth="1"/>
    <col min="2" max="2" width="11.85546875" customWidth="1"/>
    <col min="3" max="3" width="10.7109375" customWidth="1"/>
    <col min="4" max="4" width="6.28515625" customWidth="1"/>
    <col min="5" max="5" width="8.7109375" customWidth="1"/>
    <col min="6" max="6" width="6.28515625" customWidth="1"/>
    <col min="7" max="7" width="9.42578125" customWidth="1"/>
    <col min="8" max="8" width="6.85546875" customWidth="1"/>
    <col min="9" max="9" width="9.28515625" customWidth="1"/>
    <col min="10" max="10" width="6.28515625" customWidth="1"/>
    <col min="11" max="11" width="9" customWidth="1"/>
    <col min="12" max="12" width="6.28515625" customWidth="1"/>
    <col min="13" max="13" width="9.5703125" customWidth="1"/>
    <col min="14" max="14" width="0.42578125" hidden="1" customWidth="1"/>
    <col min="15" max="18" width="2.7109375" hidden="1" customWidth="1"/>
    <col min="19" max="27" width="2.7109375" customWidth="1"/>
  </cols>
  <sheetData>
    <row r="1" spans="2:18" ht="14.25" x14ac:dyDescent="0.2">
      <c r="B1" s="968" t="s">
        <v>367</v>
      </c>
      <c r="C1" s="968"/>
      <c r="D1" s="968"/>
      <c r="E1" s="968"/>
      <c r="F1" s="968"/>
      <c r="G1" s="968"/>
      <c r="H1" s="968"/>
      <c r="I1" s="968"/>
      <c r="J1" s="968"/>
      <c r="K1" s="968"/>
      <c r="L1" s="968"/>
      <c r="M1" s="968"/>
    </row>
    <row r="2" spans="2:18" ht="15" x14ac:dyDescent="0.25">
      <c r="B2" s="169"/>
      <c r="C2" s="165"/>
      <c r="D2" s="167"/>
      <c r="E2" s="189"/>
      <c r="F2" s="167" t="s">
        <v>8</v>
      </c>
      <c r="G2" s="969"/>
      <c r="H2" s="969"/>
      <c r="I2" s="969"/>
      <c r="J2" s="189"/>
    </row>
    <row r="3" spans="2:18" ht="15" x14ac:dyDescent="0.25">
      <c r="B3" s="169"/>
      <c r="C3" s="165"/>
      <c r="D3" s="167"/>
      <c r="E3" s="168"/>
      <c r="F3" s="170"/>
      <c r="G3" s="166"/>
      <c r="H3" s="169"/>
    </row>
    <row r="4" spans="2:18" ht="15" customHeight="1" x14ac:dyDescent="0.2">
      <c r="B4" s="606" t="s">
        <v>344</v>
      </c>
      <c r="C4" s="606"/>
      <c r="D4" s="606"/>
      <c r="E4" s="606"/>
      <c r="F4" s="970">
        <f>'Акт отбора проб Почва'!E9</f>
        <v>45739</v>
      </c>
      <c r="G4" s="971"/>
      <c r="H4" s="971"/>
      <c r="I4" s="971"/>
      <c r="J4" s="971"/>
      <c r="K4" s="971"/>
      <c r="L4" s="971"/>
      <c r="M4" s="971"/>
    </row>
    <row r="5" spans="2:18" ht="15" hidden="1" x14ac:dyDescent="0.25">
      <c r="B5" s="169"/>
      <c r="C5" s="188"/>
      <c r="D5" s="188"/>
      <c r="E5" s="188"/>
      <c r="F5" s="188"/>
      <c r="G5" s="188"/>
      <c r="H5" s="169"/>
    </row>
    <row r="6" spans="2:18" ht="18" customHeight="1" x14ac:dyDescent="0.2">
      <c r="B6" s="972" t="s">
        <v>1029</v>
      </c>
      <c r="C6" s="973"/>
      <c r="D6" s="976" t="e">
        <f>#REF!</f>
        <v>#REF!</v>
      </c>
      <c r="E6" s="976"/>
      <c r="F6" s="976"/>
      <c r="G6" s="976"/>
      <c r="H6" s="976"/>
      <c r="I6" s="976"/>
      <c r="J6" s="976"/>
      <c r="K6" s="976"/>
      <c r="L6" s="976"/>
      <c r="M6" s="976"/>
    </row>
    <row r="7" spans="2:18" ht="17.25" customHeight="1" x14ac:dyDescent="0.2">
      <c r="B7" s="974"/>
      <c r="C7" s="975"/>
      <c r="D7" s="976"/>
      <c r="E7" s="976"/>
      <c r="F7" s="976"/>
      <c r="G7" s="976"/>
      <c r="H7" s="976"/>
      <c r="I7" s="976"/>
      <c r="J7" s="976"/>
      <c r="K7" s="976"/>
      <c r="L7" s="976"/>
      <c r="M7" s="976"/>
    </row>
    <row r="8" spans="2:18" ht="31.5" customHeight="1" x14ac:dyDescent="0.2">
      <c r="B8" s="965" t="s">
        <v>639</v>
      </c>
      <c r="C8" s="966"/>
      <c r="D8" s="607"/>
      <c r="E8" s="607"/>
      <c r="F8" s="607"/>
      <c r="G8" s="607"/>
      <c r="H8" s="607"/>
      <c r="I8" s="607"/>
      <c r="J8" s="607"/>
      <c r="K8" s="607"/>
      <c r="L8" s="607"/>
      <c r="M8" s="607"/>
    </row>
    <row r="9" spans="2:18" ht="15" hidden="1" x14ac:dyDescent="0.2">
      <c r="B9" s="965" t="s">
        <v>3</v>
      </c>
      <c r="C9" s="966"/>
      <c r="D9" s="967" t="e">
        <f>#REF!</f>
        <v>#REF!</v>
      </c>
      <c r="E9" s="967"/>
      <c r="F9" s="967"/>
      <c r="G9" s="967"/>
      <c r="H9" s="967"/>
      <c r="I9" s="967"/>
      <c r="J9" s="967"/>
      <c r="K9" s="967"/>
      <c r="L9" s="967"/>
      <c r="M9" s="967"/>
    </row>
    <row r="10" spans="2:18" ht="15" hidden="1" customHeight="1" x14ac:dyDescent="0.25">
      <c r="B10" s="190"/>
      <c r="C10" s="966"/>
      <c r="D10" s="981"/>
      <c r="E10" s="176"/>
      <c r="F10" s="982"/>
      <c r="G10" s="982"/>
      <c r="H10" s="169"/>
    </row>
    <row r="11" spans="2:18" ht="15" hidden="1" x14ac:dyDescent="0.25">
      <c r="B11" s="965" t="s">
        <v>369</v>
      </c>
      <c r="C11" s="966"/>
      <c r="D11" s="983"/>
      <c r="E11" s="883" t="s">
        <v>370</v>
      </c>
      <c r="F11" s="884"/>
      <c r="G11" s="884"/>
      <c r="H11" s="884"/>
      <c r="I11" s="884"/>
      <c r="J11" s="884"/>
      <c r="K11" s="884"/>
      <c r="L11" s="884"/>
      <c r="M11" s="884"/>
      <c r="N11" s="884"/>
      <c r="O11" s="884"/>
      <c r="P11" s="884"/>
      <c r="Q11" s="884"/>
      <c r="R11" s="984"/>
    </row>
    <row r="12" spans="2:18" ht="15" x14ac:dyDescent="0.25">
      <c r="B12" s="360"/>
      <c r="C12" s="360"/>
      <c r="D12" s="360"/>
      <c r="E12" s="359"/>
      <c r="F12" s="359"/>
      <c r="G12" s="359"/>
      <c r="H12" s="359"/>
      <c r="I12" s="359"/>
      <c r="J12" s="359"/>
      <c r="K12" s="359"/>
      <c r="L12" s="359"/>
      <c r="M12" s="359"/>
      <c r="N12" s="191"/>
      <c r="O12" s="191"/>
      <c r="P12" s="191"/>
      <c r="Q12" s="191"/>
      <c r="R12" s="191"/>
    </row>
    <row r="13" spans="2:18" ht="29.25" customHeight="1" x14ac:dyDescent="0.25">
      <c r="B13" s="801" t="s">
        <v>27</v>
      </c>
      <c r="C13" s="803"/>
      <c r="D13" s="801" t="s">
        <v>28</v>
      </c>
      <c r="E13" s="802"/>
      <c r="F13" s="801" t="s">
        <v>29</v>
      </c>
      <c r="G13" s="803"/>
      <c r="H13" s="801" t="s">
        <v>642</v>
      </c>
      <c r="I13" s="802"/>
      <c r="J13" s="802"/>
      <c r="K13" s="801" t="s">
        <v>31</v>
      </c>
      <c r="L13" s="802"/>
      <c r="M13" s="802"/>
      <c r="N13" s="361"/>
      <c r="O13" s="362"/>
      <c r="P13" s="191"/>
      <c r="Q13" s="191"/>
      <c r="R13" s="191"/>
    </row>
    <row r="14" spans="2:18" ht="15.75" x14ac:dyDescent="0.25">
      <c r="B14" s="986" t="s">
        <v>727</v>
      </c>
      <c r="C14" s="987"/>
      <c r="D14" s="986" t="s">
        <v>728</v>
      </c>
      <c r="E14" s="988"/>
      <c r="F14" s="986" t="s">
        <v>729</v>
      </c>
      <c r="G14" s="987"/>
      <c r="H14" s="805" t="s">
        <v>730</v>
      </c>
      <c r="I14" s="806"/>
      <c r="J14" s="807"/>
      <c r="K14" s="806" t="s">
        <v>25</v>
      </c>
      <c r="L14" s="806"/>
      <c r="M14" s="806"/>
      <c r="N14" s="806"/>
      <c r="O14" s="807"/>
      <c r="P14" s="191"/>
      <c r="Q14" s="191"/>
      <c r="R14" s="191"/>
    </row>
    <row r="15" spans="2:18" ht="15" customHeight="1" x14ac:dyDescent="0.2">
      <c r="B15" s="985" t="s">
        <v>371</v>
      </c>
      <c r="C15" s="985"/>
      <c r="D15" s="985"/>
      <c r="E15" s="985"/>
      <c r="F15" s="985"/>
      <c r="G15" s="985"/>
      <c r="H15" s="985"/>
      <c r="I15" s="985"/>
      <c r="J15" s="985"/>
      <c r="K15" s="985"/>
      <c r="L15" s="985"/>
      <c r="M15" s="985"/>
    </row>
    <row r="16" spans="2:18" ht="30" customHeight="1" x14ac:dyDescent="0.2">
      <c r="B16" s="12" t="s">
        <v>550</v>
      </c>
      <c r="C16" s="213" t="s">
        <v>551</v>
      </c>
      <c r="D16" s="12" t="s">
        <v>550</v>
      </c>
      <c r="E16" s="213" t="s">
        <v>552</v>
      </c>
      <c r="F16" s="12" t="s">
        <v>550</v>
      </c>
      <c r="G16" s="213" t="s">
        <v>552</v>
      </c>
      <c r="H16" s="12" t="s">
        <v>550</v>
      </c>
      <c r="I16" s="213" t="s">
        <v>552</v>
      </c>
      <c r="J16" s="12" t="s">
        <v>550</v>
      </c>
      <c r="K16" s="213" t="s">
        <v>552</v>
      </c>
      <c r="L16" s="12" t="s">
        <v>550</v>
      </c>
      <c r="M16" s="213" t="s">
        <v>552</v>
      </c>
    </row>
    <row r="17" spans="2:13" ht="15" x14ac:dyDescent="0.2">
      <c r="B17" s="12">
        <v>1</v>
      </c>
      <c r="C17" s="214"/>
      <c r="D17" s="215">
        <v>31</v>
      </c>
      <c r="E17" s="216"/>
      <c r="F17" s="215">
        <v>61</v>
      </c>
      <c r="G17" s="216"/>
      <c r="H17" s="215">
        <v>91</v>
      </c>
      <c r="I17" s="216"/>
      <c r="J17" s="215">
        <v>121</v>
      </c>
      <c r="K17" s="216"/>
      <c r="L17" s="215">
        <v>151</v>
      </c>
      <c r="M17" s="216"/>
    </row>
    <row r="18" spans="2:13" ht="15" x14ac:dyDescent="0.2">
      <c r="B18" s="12">
        <v>2</v>
      </c>
      <c r="C18" s="214"/>
      <c r="D18" s="215">
        <v>32</v>
      </c>
      <c r="E18" s="216"/>
      <c r="F18" s="215">
        <v>62</v>
      </c>
      <c r="G18" s="216"/>
      <c r="H18" s="215">
        <v>92</v>
      </c>
      <c r="I18" s="216"/>
      <c r="J18" s="215">
        <v>122</v>
      </c>
      <c r="K18" s="216"/>
      <c r="L18" s="215">
        <v>152</v>
      </c>
      <c r="M18" s="216"/>
    </row>
    <row r="19" spans="2:13" ht="15" x14ac:dyDescent="0.2">
      <c r="B19" s="12">
        <v>3</v>
      </c>
      <c r="C19" s="216"/>
      <c r="D19" s="215">
        <v>33</v>
      </c>
      <c r="E19" s="216"/>
      <c r="F19" s="215">
        <v>63</v>
      </c>
      <c r="G19" s="216"/>
      <c r="H19" s="215">
        <v>93</v>
      </c>
      <c r="I19" s="216"/>
      <c r="J19" s="215">
        <v>123</v>
      </c>
      <c r="K19" s="216"/>
      <c r="L19" s="215">
        <v>153</v>
      </c>
      <c r="M19" s="216"/>
    </row>
    <row r="20" spans="2:13" ht="15" x14ac:dyDescent="0.2">
      <c r="B20" s="12">
        <v>4</v>
      </c>
      <c r="C20" s="214"/>
      <c r="D20" s="215">
        <v>34</v>
      </c>
      <c r="E20" s="216"/>
      <c r="F20" s="215">
        <v>64</v>
      </c>
      <c r="G20" s="216"/>
      <c r="H20" s="215">
        <v>94</v>
      </c>
      <c r="I20" s="216"/>
      <c r="J20" s="215">
        <v>124</v>
      </c>
      <c r="K20" s="216"/>
      <c r="L20" s="215">
        <v>154</v>
      </c>
      <c r="M20" s="216"/>
    </row>
    <row r="21" spans="2:13" ht="15" x14ac:dyDescent="0.2">
      <c r="B21" s="12">
        <v>5</v>
      </c>
      <c r="C21" s="214"/>
      <c r="D21" s="215">
        <v>35</v>
      </c>
      <c r="E21" s="216"/>
      <c r="F21" s="215">
        <v>65</v>
      </c>
      <c r="G21" s="216"/>
      <c r="H21" s="215">
        <v>95</v>
      </c>
      <c r="I21" s="216"/>
      <c r="J21" s="215">
        <v>125</v>
      </c>
      <c r="K21" s="216"/>
      <c r="L21" s="215">
        <v>155</v>
      </c>
      <c r="M21" s="216"/>
    </row>
    <row r="22" spans="2:13" ht="15" x14ac:dyDescent="0.2">
      <c r="B22" s="12">
        <v>6</v>
      </c>
      <c r="C22" s="216"/>
      <c r="D22" s="215">
        <v>36</v>
      </c>
      <c r="E22" s="216"/>
      <c r="F22" s="215">
        <v>66</v>
      </c>
      <c r="G22" s="216"/>
      <c r="H22" s="215">
        <v>96</v>
      </c>
      <c r="I22" s="216"/>
      <c r="J22" s="215">
        <v>126</v>
      </c>
      <c r="K22" s="216"/>
      <c r="L22" s="215">
        <v>156</v>
      </c>
      <c r="M22" s="216"/>
    </row>
    <row r="23" spans="2:13" ht="15" x14ac:dyDescent="0.2">
      <c r="B23" s="12">
        <v>7</v>
      </c>
      <c r="C23" s="214"/>
      <c r="D23" s="215">
        <v>37</v>
      </c>
      <c r="E23" s="216"/>
      <c r="F23" s="215">
        <v>67</v>
      </c>
      <c r="G23" s="216"/>
      <c r="H23" s="215">
        <v>97</v>
      </c>
      <c r="I23" s="216"/>
      <c r="J23" s="215">
        <v>127</v>
      </c>
      <c r="K23" s="216"/>
      <c r="L23" s="215">
        <v>157</v>
      </c>
      <c r="M23" s="216"/>
    </row>
    <row r="24" spans="2:13" ht="15" x14ac:dyDescent="0.2">
      <c r="B24" s="12">
        <v>8</v>
      </c>
      <c r="C24" s="216"/>
      <c r="D24" s="215">
        <v>38</v>
      </c>
      <c r="E24" s="216"/>
      <c r="F24" s="215">
        <v>68</v>
      </c>
      <c r="G24" s="216"/>
      <c r="H24" s="215">
        <v>98</v>
      </c>
      <c r="I24" s="216"/>
      <c r="J24" s="215">
        <v>128</v>
      </c>
      <c r="K24" s="216"/>
      <c r="L24" s="215">
        <v>158</v>
      </c>
      <c r="M24" s="216"/>
    </row>
    <row r="25" spans="2:13" ht="15" x14ac:dyDescent="0.2">
      <c r="B25" s="12">
        <v>9</v>
      </c>
      <c r="C25" s="214"/>
      <c r="D25" s="215">
        <v>39</v>
      </c>
      <c r="E25" s="216"/>
      <c r="F25" s="215">
        <v>69</v>
      </c>
      <c r="G25" s="216"/>
      <c r="H25" s="215">
        <v>99</v>
      </c>
      <c r="I25" s="216"/>
      <c r="J25" s="215">
        <v>129</v>
      </c>
      <c r="K25" s="216"/>
      <c r="L25" s="215">
        <v>159</v>
      </c>
      <c r="M25" s="216"/>
    </row>
    <row r="26" spans="2:13" ht="15" x14ac:dyDescent="0.2">
      <c r="B26" s="12">
        <v>10</v>
      </c>
      <c r="C26" s="216"/>
      <c r="D26" s="215">
        <v>40</v>
      </c>
      <c r="E26" s="216"/>
      <c r="F26" s="215">
        <v>70</v>
      </c>
      <c r="G26" s="216"/>
      <c r="H26" s="215">
        <v>100</v>
      </c>
      <c r="I26" s="216"/>
      <c r="J26" s="215">
        <v>130</v>
      </c>
      <c r="K26" s="216"/>
      <c r="L26" s="215">
        <v>160</v>
      </c>
      <c r="M26" s="216"/>
    </row>
    <row r="27" spans="2:13" ht="15" x14ac:dyDescent="0.2">
      <c r="B27" s="12">
        <v>11</v>
      </c>
      <c r="C27" s="214"/>
      <c r="D27" s="215">
        <v>41</v>
      </c>
      <c r="E27" s="216"/>
      <c r="F27" s="215">
        <v>71</v>
      </c>
      <c r="G27" s="216"/>
      <c r="H27" s="215">
        <v>101</v>
      </c>
      <c r="I27" s="216"/>
      <c r="J27" s="215">
        <v>131</v>
      </c>
      <c r="K27" s="216"/>
      <c r="L27" s="215">
        <v>161</v>
      </c>
      <c r="M27" s="216"/>
    </row>
    <row r="28" spans="2:13" ht="15" x14ac:dyDescent="0.2">
      <c r="B28" s="12">
        <v>12</v>
      </c>
      <c r="C28" s="216"/>
      <c r="D28" s="215">
        <v>42</v>
      </c>
      <c r="E28" s="216"/>
      <c r="F28" s="215">
        <v>72</v>
      </c>
      <c r="G28" s="216"/>
      <c r="H28" s="215">
        <v>102</v>
      </c>
      <c r="I28" s="216"/>
      <c r="J28" s="215">
        <v>132</v>
      </c>
      <c r="K28" s="216"/>
      <c r="L28" s="215">
        <v>162</v>
      </c>
      <c r="M28" s="216"/>
    </row>
    <row r="29" spans="2:13" ht="15" x14ac:dyDescent="0.2">
      <c r="B29" s="12">
        <v>13</v>
      </c>
      <c r="C29" s="214"/>
      <c r="D29" s="215">
        <v>43</v>
      </c>
      <c r="E29" s="216"/>
      <c r="F29" s="215">
        <v>73</v>
      </c>
      <c r="G29" s="216"/>
      <c r="H29" s="215">
        <v>103</v>
      </c>
      <c r="I29" s="216"/>
      <c r="J29" s="215">
        <v>133</v>
      </c>
      <c r="K29" s="216"/>
      <c r="L29" s="215">
        <v>163</v>
      </c>
      <c r="M29" s="216"/>
    </row>
    <row r="30" spans="2:13" ht="15" x14ac:dyDescent="0.2">
      <c r="B30" s="12">
        <v>14</v>
      </c>
      <c r="C30" s="214"/>
      <c r="D30" s="215">
        <v>44</v>
      </c>
      <c r="E30" s="216"/>
      <c r="F30" s="215">
        <v>74</v>
      </c>
      <c r="G30" s="216"/>
      <c r="H30" s="215">
        <v>104</v>
      </c>
      <c r="I30" s="216"/>
      <c r="J30" s="215">
        <v>134</v>
      </c>
      <c r="K30" s="216"/>
      <c r="L30" s="215">
        <v>164</v>
      </c>
      <c r="M30" s="216"/>
    </row>
    <row r="31" spans="2:13" ht="15" x14ac:dyDescent="0.2">
      <c r="B31" s="12">
        <v>15</v>
      </c>
      <c r="C31" s="216"/>
      <c r="D31" s="215">
        <v>45</v>
      </c>
      <c r="E31" s="216"/>
      <c r="F31" s="215">
        <v>75</v>
      </c>
      <c r="G31" s="216"/>
      <c r="H31" s="215">
        <v>105</v>
      </c>
      <c r="I31" s="216"/>
      <c r="J31" s="215">
        <v>135</v>
      </c>
      <c r="K31" s="216"/>
      <c r="L31" s="215">
        <v>165</v>
      </c>
      <c r="M31" s="216"/>
    </row>
    <row r="32" spans="2:13" ht="15" x14ac:dyDescent="0.2">
      <c r="B32" s="12">
        <v>16</v>
      </c>
      <c r="C32" s="216"/>
      <c r="D32" s="215">
        <v>46</v>
      </c>
      <c r="E32" s="216"/>
      <c r="F32" s="215">
        <v>76</v>
      </c>
      <c r="G32" s="216"/>
      <c r="H32" s="215">
        <v>106</v>
      </c>
      <c r="I32" s="216"/>
      <c r="J32" s="215">
        <v>136</v>
      </c>
      <c r="K32" s="216"/>
      <c r="L32" s="215">
        <v>166</v>
      </c>
      <c r="M32" s="216"/>
    </row>
    <row r="33" spans="2:13" ht="15" x14ac:dyDescent="0.2">
      <c r="B33" s="12">
        <v>17</v>
      </c>
      <c r="C33" s="216"/>
      <c r="D33" s="215">
        <v>47</v>
      </c>
      <c r="E33" s="216"/>
      <c r="F33" s="215">
        <v>77</v>
      </c>
      <c r="G33" s="216"/>
      <c r="H33" s="215">
        <v>107</v>
      </c>
      <c r="I33" s="216"/>
      <c r="J33" s="215">
        <v>137</v>
      </c>
      <c r="K33" s="216"/>
      <c r="L33" s="215">
        <v>167</v>
      </c>
      <c r="M33" s="216"/>
    </row>
    <row r="34" spans="2:13" ht="15" x14ac:dyDescent="0.2">
      <c r="B34" s="12">
        <v>18</v>
      </c>
      <c r="C34" s="216"/>
      <c r="D34" s="215">
        <v>48</v>
      </c>
      <c r="E34" s="216"/>
      <c r="F34" s="215">
        <v>78</v>
      </c>
      <c r="G34" s="216"/>
      <c r="H34" s="215">
        <v>108</v>
      </c>
      <c r="I34" s="216"/>
      <c r="J34" s="215">
        <v>138</v>
      </c>
      <c r="K34" s="216"/>
      <c r="L34" s="215">
        <v>168</v>
      </c>
      <c r="M34" s="216"/>
    </row>
    <row r="35" spans="2:13" ht="15" x14ac:dyDescent="0.2">
      <c r="B35" s="12">
        <v>19</v>
      </c>
      <c r="C35" s="216"/>
      <c r="D35" s="215">
        <v>49</v>
      </c>
      <c r="E35" s="216"/>
      <c r="F35" s="215">
        <v>79</v>
      </c>
      <c r="G35" s="216"/>
      <c r="H35" s="215">
        <v>109</v>
      </c>
      <c r="I35" s="216"/>
      <c r="J35" s="215">
        <v>139</v>
      </c>
      <c r="K35" s="216"/>
      <c r="L35" s="215">
        <v>169</v>
      </c>
      <c r="M35" s="216"/>
    </row>
    <row r="36" spans="2:13" ht="15" x14ac:dyDescent="0.2">
      <c r="B36" s="12">
        <v>20</v>
      </c>
      <c r="C36" s="216"/>
      <c r="D36" s="215">
        <v>50</v>
      </c>
      <c r="E36" s="216"/>
      <c r="F36" s="215">
        <v>80</v>
      </c>
      <c r="G36" s="216"/>
      <c r="H36" s="215">
        <v>110</v>
      </c>
      <c r="I36" s="216"/>
      <c r="J36" s="215">
        <v>140</v>
      </c>
      <c r="K36" s="216"/>
      <c r="L36" s="215">
        <v>170</v>
      </c>
      <c r="M36" s="216"/>
    </row>
    <row r="37" spans="2:13" ht="15" x14ac:dyDescent="0.2">
      <c r="B37" s="12">
        <v>21</v>
      </c>
      <c r="C37" s="216"/>
      <c r="D37" s="215">
        <v>51</v>
      </c>
      <c r="E37" s="216"/>
      <c r="F37" s="215">
        <v>81</v>
      </c>
      <c r="G37" s="216"/>
      <c r="H37" s="215">
        <v>111</v>
      </c>
      <c r="I37" s="216"/>
      <c r="J37" s="215">
        <v>141</v>
      </c>
      <c r="K37" s="216"/>
      <c r="L37" s="215">
        <v>171</v>
      </c>
      <c r="M37" s="216"/>
    </row>
    <row r="38" spans="2:13" ht="15" x14ac:dyDescent="0.2">
      <c r="B38" s="12">
        <v>22</v>
      </c>
      <c r="C38" s="216"/>
      <c r="D38" s="215">
        <v>52</v>
      </c>
      <c r="E38" s="216"/>
      <c r="F38" s="215">
        <v>82</v>
      </c>
      <c r="G38" s="216"/>
      <c r="H38" s="215">
        <v>112</v>
      </c>
      <c r="I38" s="216"/>
      <c r="J38" s="215">
        <v>142</v>
      </c>
      <c r="K38" s="216"/>
      <c r="L38" s="215">
        <v>172</v>
      </c>
      <c r="M38" s="216"/>
    </row>
    <row r="39" spans="2:13" ht="15" x14ac:dyDescent="0.2">
      <c r="B39" s="12">
        <v>23</v>
      </c>
      <c r="C39" s="216"/>
      <c r="D39" s="215">
        <v>53</v>
      </c>
      <c r="E39" s="216"/>
      <c r="F39" s="215">
        <v>83</v>
      </c>
      <c r="G39" s="216"/>
      <c r="H39" s="215">
        <v>113</v>
      </c>
      <c r="I39" s="216"/>
      <c r="J39" s="215">
        <v>143</v>
      </c>
      <c r="K39" s="216"/>
      <c r="L39" s="215">
        <v>173</v>
      </c>
      <c r="M39" s="216"/>
    </row>
    <row r="40" spans="2:13" ht="15" x14ac:dyDescent="0.2">
      <c r="B40" s="12">
        <v>24</v>
      </c>
      <c r="C40" s="216"/>
      <c r="D40" s="215">
        <v>54</v>
      </c>
      <c r="E40" s="216"/>
      <c r="F40" s="215">
        <v>84</v>
      </c>
      <c r="G40" s="216"/>
      <c r="H40" s="215">
        <v>114</v>
      </c>
      <c r="I40" s="216"/>
      <c r="J40" s="215">
        <v>144</v>
      </c>
      <c r="K40" s="216"/>
      <c r="L40" s="215">
        <v>174</v>
      </c>
      <c r="M40" s="216"/>
    </row>
    <row r="41" spans="2:13" ht="15" x14ac:dyDescent="0.2">
      <c r="B41" s="12">
        <v>25</v>
      </c>
      <c r="C41" s="216"/>
      <c r="D41" s="215">
        <v>55</v>
      </c>
      <c r="E41" s="216"/>
      <c r="F41" s="215">
        <v>85</v>
      </c>
      <c r="G41" s="216"/>
      <c r="H41" s="215">
        <v>115</v>
      </c>
      <c r="I41" s="216"/>
      <c r="J41" s="215">
        <v>145</v>
      </c>
      <c r="K41" s="216"/>
      <c r="L41" s="215">
        <v>175</v>
      </c>
      <c r="M41" s="216"/>
    </row>
    <row r="42" spans="2:13" ht="15" x14ac:dyDescent="0.2">
      <c r="B42" s="12">
        <v>26</v>
      </c>
      <c r="C42" s="216"/>
      <c r="D42" s="215">
        <v>56</v>
      </c>
      <c r="E42" s="216"/>
      <c r="F42" s="215">
        <v>86</v>
      </c>
      <c r="G42" s="216"/>
      <c r="H42" s="215">
        <v>116</v>
      </c>
      <c r="I42" s="216"/>
      <c r="J42" s="215">
        <v>146</v>
      </c>
      <c r="K42" s="216"/>
      <c r="L42" s="215">
        <v>176</v>
      </c>
      <c r="M42" s="216"/>
    </row>
    <row r="43" spans="2:13" ht="15" x14ac:dyDescent="0.2">
      <c r="B43" s="12">
        <v>27</v>
      </c>
      <c r="C43" s="216"/>
      <c r="D43" s="215">
        <v>57</v>
      </c>
      <c r="E43" s="216"/>
      <c r="F43" s="215">
        <v>87</v>
      </c>
      <c r="G43" s="216"/>
      <c r="H43" s="215">
        <v>117</v>
      </c>
      <c r="I43" s="216"/>
      <c r="J43" s="215">
        <v>147</v>
      </c>
      <c r="K43" s="216"/>
      <c r="L43" s="215">
        <v>177</v>
      </c>
      <c r="M43" s="216"/>
    </row>
    <row r="44" spans="2:13" ht="15" x14ac:dyDescent="0.2">
      <c r="B44" s="12">
        <v>28</v>
      </c>
      <c r="C44" s="216"/>
      <c r="D44" s="215">
        <v>58</v>
      </c>
      <c r="E44" s="216"/>
      <c r="F44" s="215">
        <v>88</v>
      </c>
      <c r="G44" s="216"/>
      <c r="H44" s="215">
        <v>118</v>
      </c>
      <c r="I44" s="216"/>
      <c r="J44" s="215">
        <v>148</v>
      </c>
      <c r="K44" s="216"/>
      <c r="L44" s="215">
        <v>178</v>
      </c>
      <c r="M44" s="216"/>
    </row>
    <row r="45" spans="2:13" ht="15" x14ac:dyDescent="0.2">
      <c r="B45" s="12">
        <v>29</v>
      </c>
      <c r="C45" s="216"/>
      <c r="D45" s="215">
        <v>59</v>
      </c>
      <c r="E45" s="216"/>
      <c r="F45" s="215">
        <v>89</v>
      </c>
      <c r="G45" s="216"/>
      <c r="H45" s="215">
        <v>119</v>
      </c>
      <c r="I45" s="216"/>
      <c r="J45" s="215">
        <v>149</v>
      </c>
      <c r="K45" s="216"/>
      <c r="L45" s="215">
        <v>179</v>
      </c>
      <c r="M45" s="216"/>
    </row>
    <row r="46" spans="2:13" ht="15" x14ac:dyDescent="0.2">
      <c r="B46" s="12">
        <v>30</v>
      </c>
      <c r="C46" s="216"/>
      <c r="D46" s="215">
        <v>60</v>
      </c>
      <c r="E46" s="216"/>
      <c r="F46" s="215">
        <v>90</v>
      </c>
      <c r="G46" s="216"/>
      <c r="H46" s="215">
        <v>120</v>
      </c>
      <c r="I46" s="216"/>
      <c r="J46" s="215">
        <v>150</v>
      </c>
      <c r="K46" s="216"/>
      <c r="L46" s="215">
        <v>180</v>
      </c>
      <c r="M46" s="216"/>
    </row>
    <row r="47" spans="2:13" ht="15" x14ac:dyDescent="0.2">
      <c r="B47" s="363"/>
      <c r="C47" s="364"/>
      <c r="D47" s="365"/>
      <c r="E47" s="364"/>
      <c r="F47" s="365"/>
      <c r="G47" s="364"/>
      <c r="H47" s="365"/>
      <c r="I47" s="364"/>
      <c r="J47" s="365"/>
      <c r="K47" s="364"/>
      <c r="L47" s="365"/>
      <c r="M47" s="364"/>
    </row>
    <row r="48" spans="2:13" ht="15" x14ac:dyDescent="0.25">
      <c r="B48" s="44" t="s">
        <v>543</v>
      </c>
      <c r="C48" s="44"/>
      <c r="D48" s="44"/>
      <c r="E48" s="199">
        <f>COUNTA(C17:C46,E17:E46,G17:G46,I17:I46,K17:K46,M17:M46)</f>
        <v>0</v>
      </c>
      <c r="F48" s="201" t="s">
        <v>544</v>
      </c>
      <c r="H48" s="203" t="s">
        <v>731</v>
      </c>
      <c r="I48" s="366">
        <f>MAX(C17:C46,E17:E46,G17:G46,I17:I46,M17:M46)</f>
        <v>0</v>
      </c>
      <c r="L48" s="365"/>
      <c r="M48" s="364"/>
    </row>
    <row r="49" spans="2:13" ht="15" customHeight="1" x14ac:dyDescent="0.25">
      <c r="B49" s="979" t="s">
        <v>553</v>
      </c>
      <c r="C49" s="979"/>
      <c r="D49" s="979"/>
      <c r="E49" s="367" t="s">
        <v>1030</v>
      </c>
      <c r="F49" s="978" t="s">
        <v>547</v>
      </c>
      <c r="G49" s="978"/>
      <c r="H49" s="203" t="s">
        <v>548</v>
      </c>
      <c r="I49" s="366">
        <f>MIN(C17:C46,E17:E46,G17:G46,I17:I46,M17:M46)</f>
        <v>0</v>
      </c>
      <c r="L49" s="365"/>
      <c r="M49" s="364"/>
    </row>
    <row r="50" spans="2:13" ht="15" customHeight="1" x14ac:dyDescent="0.25">
      <c r="B50" s="980" t="s">
        <v>1031</v>
      </c>
      <c r="C50" s="980"/>
      <c r="D50" s="980"/>
      <c r="E50" s="459" t="e">
        <f>#REF!</f>
        <v>#REF!</v>
      </c>
      <c r="F50" s="198"/>
      <c r="G50" s="198"/>
      <c r="H50" s="198"/>
      <c r="I50" s="198"/>
      <c r="J50" s="198"/>
      <c r="K50" s="198"/>
      <c r="L50" s="198"/>
      <c r="M50" s="198"/>
    </row>
    <row r="51" spans="2:13" ht="15" x14ac:dyDescent="0.25">
      <c r="B51" s="977"/>
      <c r="C51" s="977"/>
      <c r="D51" s="977"/>
      <c r="E51" s="977"/>
      <c r="G51" s="201"/>
      <c r="H51" s="198"/>
      <c r="I51" s="198"/>
      <c r="J51" s="200"/>
      <c r="K51" s="217"/>
      <c r="L51" s="198"/>
      <c r="M51" s="198"/>
    </row>
    <row r="52" spans="2:13" ht="15" hidden="1" x14ac:dyDescent="0.25">
      <c r="B52" s="169"/>
      <c r="C52" s="991" t="s">
        <v>553</v>
      </c>
      <c r="D52" s="991"/>
      <c r="E52" s="176"/>
      <c r="F52" s="978" t="s">
        <v>547</v>
      </c>
      <c r="G52" s="978"/>
      <c r="H52" s="169"/>
      <c r="I52" s="169"/>
      <c r="J52" s="203" t="s">
        <v>548</v>
      </c>
      <c r="K52" s="218">
        <f>MIN(C17:C46,E17:E46,G17:G46,I17:I46,M17:M46)</f>
        <v>0</v>
      </c>
      <c r="L52" s="169"/>
      <c r="M52" s="169"/>
    </row>
    <row r="53" spans="2:13" ht="15" x14ac:dyDescent="0.25">
      <c r="B53" s="989" t="s">
        <v>635</v>
      </c>
      <c r="C53" s="989"/>
      <c r="D53" s="989"/>
      <c r="E53" s="989"/>
      <c r="F53" s="205"/>
      <c r="G53" s="205"/>
      <c r="H53" s="205"/>
      <c r="I53" s="205"/>
      <c r="J53" s="198"/>
      <c r="K53" s="198"/>
      <c r="L53" s="198"/>
      <c r="M53" s="198"/>
    </row>
    <row r="54" spans="2:13" ht="15" x14ac:dyDescent="0.25">
      <c r="B54" s="989"/>
      <c r="C54" s="989"/>
      <c r="D54" s="989"/>
      <c r="E54" s="989"/>
      <c r="F54" s="990" t="e">
        <f>#REF!</f>
        <v>#REF!</v>
      </c>
      <c r="G54" s="990"/>
      <c r="H54" s="990"/>
      <c r="I54" s="198"/>
      <c r="J54" s="198"/>
      <c r="K54" s="198"/>
      <c r="L54" s="198"/>
      <c r="M54" s="198"/>
    </row>
    <row r="55" spans="2:13" ht="15" x14ac:dyDescent="0.25">
      <c r="B55" s="992"/>
      <c r="C55" s="992"/>
      <c r="D55" s="992"/>
      <c r="E55" s="992"/>
      <c r="F55" s="206"/>
      <c r="G55" s="206"/>
      <c r="H55" s="206"/>
      <c r="I55" s="206"/>
      <c r="J55" s="206"/>
      <c r="K55" s="206"/>
      <c r="L55" s="206"/>
      <c r="M55" s="206"/>
    </row>
    <row r="56" spans="2:13" x14ac:dyDescent="0.2">
      <c r="B56" s="112"/>
      <c r="C56" s="112"/>
      <c r="D56" s="112"/>
      <c r="E56" s="112"/>
      <c r="F56" s="112"/>
      <c r="G56" s="112"/>
      <c r="H56" s="112"/>
      <c r="I56" s="112"/>
      <c r="J56" s="112"/>
      <c r="K56" s="112"/>
      <c r="L56" s="112"/>
      <c r="M56" s="112"/>
    </row>
    <row r="57" spans="2:13" ht="30" customHeight="1" x14ac:dyDescent="0.2">
      <c r="B57" s="12" t="s">
        <v>550</v>
      </c>
      <c r="C57" s="213" t="s">
        <v>551</v>
      </c>
      <c r="D57" s="12" t="s">
        <v>550</v>
      </c>
      <c r="E57" s="213" t="s">
        <v>552</v>
      </c>
      <c r="F57" s="12" t="s">
        <v>550</v>
      </c>
      <c r="G57" s="213" t="s">
        <v>552</v>
      </c>
      <c r="H57" s="12" t="s">
        <v>550</v>
      </c>
      <c r="I57" s="213" t="s">
        <v>552</v>
      </c>
      <c r="J57" s="12" t="s">
        <v>550</v>
      </c>
      <c r="K57" s="213" t="s">
        <v>552</v>
      </c>
      <c r="L57" s="12" t="s">
        <v>550</v>
      </c>
      <c r="M57" s="213" t="s">
        <v>552</v>
      </c>
    </row>
    <row r="58" spans="2:13" ht="15" x14ac:dyDescent="0.2">
      <c r="B58" s="12">
        <v>181</v>
      </c>
      <c r="C58" s="216"/>
      <c r="D58" s="215">
        <v>211</v>
      </c>
      <c r="E58" s="216"/>
      <c r="F58" s="215">
        <v>241</v>
      </c>
      <c r="G58" s="216"/>
      <c r="H58" s="215">
        <v>271</v>
      </c>
      <c r="I58" s="216"/>
      <c r="J58" s="215">
        <v>301</v>
      </c>
      <c r="K58" s="216"/>
      <c r="L58" s="215">
        <v>331</v>
      </c>
      <c r="M58" s="195"/>
    </row>
    <row r="59" spans="2:13" ht="15" x14ac:dyDescent="0.2">
      <c r="B59" s="12">
        <v>182</v>
      </c>
      <c r="C59" s="216"/>
      <c r="D59" s="215">
        <v>212</v>
      </c>
      <c r="E59" s="216"/>
      <c r="F59" s="215">
        <v>242</v>
      </c>
      <c r="G59" s="216"/>
      <c r="H59" s="215">
        <v>272</v>
      </c>
      <c r="I59" s="216"/>
      <c r="J59" s="215">
        <v>302</v>
      </c>
      <c r="K59" s="216"/>
      <c r="L59" s="215">
        <v>332</v>
      </c>
      <c r="M59" s="195"/>
    </row>
    <row r="60" spans="2:13" ht="15" x14ac:dyDescent="0.2">
      <c r="B60" s="12">
        <v>183</v>
      </c>
      <c r="C60" s="216"/>
      <c r="D60" s="215">
        <v>213</v>
      </c>
      <c r="E60" s="216"/>
      <c r="F60" s="215">
        <v>243</v>
      </c>
      <c r="G60" s="216"/>
      <c r="H60" s="215">
        <v>273</v>
      </c>
      <c r="I60" s="216"/>
      <c r="J60" s="215">
        <v>303</v>
      </c>
      <c r="K60" s="216"/>
      <c r="L60" s="215">
        <v>333</v>
      </c>
      <c r="M60" s="195"/>
    </row>
    <row r="61" spans="2:13" ht="15" x14ac:dyDescent="0.2">
      <c r="B61" s="12">
        <v>184</v>
      </c>
      <c r="C61" s="216"/>
      <c r="D61" s="215">
        <v>214</v>
      </c>
      <c r="E61" s="216"/>
      <c r="F61" s="215">
        <v>244</v>
      </c>
      <c r="G61" s="216"/>
      <c r="H61" s="215">
        <v>274</v>
      </c>
      <c r="I61" s="216"/>
      <c r="J61" s="215">
        <v>304</v>
      </c>
      <c r="K61" s="216"/>
      <c r="L61" s="215">
        <v>334</v>
      </c>
      <c r="M61" s="195"/>
    </row>
    <row r="62" spans="2:13" ht="15" x14ac:dyDescent="0.2">
      <c r="B62" s="12">
        <v>185</v>
      </c>
      <c r="C62" s="216"/>
      <c r="D62" s="215">
        <v>215</v>
      </c>
      <c r="E62" s="216"/>
      <c r="F62" s="215">
        <v>245</v>
      </c>
      <c r="G62" s="216"/>
      <c r="H62" s="215">
        <v>275</v>
      </c>
      <c r="I62" s="216"/>
      <c r="J62" s="215">
        <v>305</v>
      </c>
      <c r="K62" s="216"/>
      <c r="L62" s="215">
        <v>335</v>
      </c>
      <c r="M62" s="195"/>
    </row>
    <row r="63" spans="2:13" ht="15" x14ac:dyDescent="0.2">
      <c r="B63" s="12">
        <v>186</v>
      </c>
      <c r="C63" s="216"/>
      <c r="D63" s="215">
        <v>216</v>
      </c>
      <c r="E63" s="216"/>
      <c r="F63" s="215">
        <v>246</v>
      </c>
      <c r="G63" s="216"/>
      <c r="H63" s="215">
        <v>276</v>
      </c>
      <c r="I63" s="216"/>
      <c r="J63" s="215">
        <v>306</v>
      </c>
      <c r="K63" s="216"/>
      <c r="L63" s="215">
        <v>336</v>
      </c>
      <c r="M63" s="195"/>
    </row>
    <row r="64" spans="2:13" ht="15" x14ac:dyDescent="0.2">
      <c r="B64" s="12">
        <v>187</v>
      </c>
      <c r="C64" s="216"/>
      <c r="D64" s="215">
        <v>217</v>
      </c>
      <c r="E64" s="216"/>
      <c r="F64" s="215">
        <v>247</v>
      </c>
      <c r="G64" s="216"/>
      <c r="H64" s="215">
        <v>277</v>
      </c>
      <c r="I64" s="216"/>
      <c r="J64" s="215">
        <v>307</v>
      </c>
      <c r="K64" s="216"/>
      <c r="L64" s="215">
        <v>337</v>
      </c>
      <c r="M64" s="195"/>
    </row>
    <row r="65" spans="2:13" ht="15" x14ac:dyDescent="0.2">
      <c r="B65" s="12">
        <v>188</v>
      </c>
      <c r="C65" s="216"/>
      <c r="D65" s="215">
        <v>218</v>
      </c>
      <c r="E65" s="216"/>
      <c r="F65" s="215">
        <v>248</v>
      </c>
      <c r="G65" s="216"/>
      <c r="H65" s="215">
        <v>278</v>
      </c>
      <c r="I65" s="216"/>
      <c r="J65" s="215">
        <v>308</v>
      </c>
      <c r="K65" s="216"/>
      <c r="L65" s="215">
        <v>338</v>
      </c>
      <c r="M65" s="195"/>
    </row>
    <row r="66" spans="2:13" ht="15" x14ac:dyDescent="0.2">
      <c r="B66" s="12">
        <v>189</v>
      </c>
      <c r="C66" s="216"/>
      <c r="D66" s="215">
        <v>219</v>
      </c>
      <c r="E66" s="216"/>
      <c r="F66" s="215">
        <v>249</v>
      </c>
      <c r="G66" s="216"/>
      <c r="H66" s="215">
        <v>279</v>
      </c>
      <c r="I66" s="216"/>
      <c r="J66" s="215">
        <v>309</v>
      </c>
      <c r="K66" s="216"/>
      <c r="L66" s="215">
        <v>339</v>
      </c>
      <c r="M66" s="195"/>
    </row>
    <row r="67" spans="2:13" ht="15" x14ac:dyDescent="0.2">
      <c r="B67" s="12">
        <v>190</v>
      </c>
      <c r="C67" s="216"/>
      <c r="D67" s="215">
        <v>220</v>
      </c>
      <c r="E67" s="216"/>
      <c r="F67" s="215">
        <v>250</v>
      </c>
      <c r="G67" s="216"/>
      <c r="H67" s="215">
        <v>280</v>
      </c>
      <c r="I67" s="216"/>
      <c r="J67" s="215">
        <v>310</v>
      </c>
      <c r="K67" s="216"/>
      <c r="L67" s="215">
        <v>340</v>
      </c>
      <c r="M67" s="195"/>
    </row>
    <row r="68" spans="2:13" ht="15" x14ac:dyDescent="0.2">
      <c r="B68" s="12">
        <v>191</v>
      </c>
      <c r="C68" s="216"/>
      <c r="D68" s="215">
        <v>221</v>
      </c>
      <c r="E68" s="216"/>
      <c r="F68" s="215">
        <v>251</v>
      </c>
      <c r="G68" s="216"/>
      <c r="H68" s="215">
        <v>281</v>
      </c>
      <c r="I68" s="216"/>
      <c r="J68" s="215">
        <v>311</v>
      </c>
      <c r="K68" s="216"/>
      <c r="L68" s="215">
        <v>341</v>
      </c>
      <c r="M68" s="195"/>
    </row>
    <row r="69" spans="2:13" ht="15" x14ac:dyDescent="0.2">
      <c r="B69" s="12">
        <v>192</v>
      </c>
      <c r="C69" s="216"/>
      <c r="D69" s="215">
        <v>222</v>
      </c>
      <c r="E69" s="216"/>
      <c r="F69" s="215">
        <v>252</v>
      </c>
      <c r="G69" s="216"/>
      <c r="H69" s="215">
        <v>282</v>
      </c>
      <c r="I69" s="216"/>
      <c r="J69" s="215">
        <v>312</v>
      </c>
      <c r="K69" s="216"/>
      <c r="L69" s="215">
        <v>342</v>
      </c>
      <c r="M69" s="195"/>
    </row>
    <row r="70" spans="2:13" ht="15" x14ac:dyDescent="0.2">
      <c r="B70" s="12">
        <v>193</v>
      </c>
      <c r="C70" s="216"/>
      <c r="D70" s="215">
        <v>223</v>
      </c>
      <c r="E70" s="216"/>
      <c r="F70" s="215">
        <v>253</v>
      </c>
      <c r="G70" s="216"/>
      <c r="H70" s="215">
        <v>283</v>
      </c>
      <c r="I70" s="216"/>
      <c r="J70" s="215">
        <v>313</v>
      </c>
      <c r="K70" s="216"/>
      <c r="L70" s="215">
        <v>343</v>
      </c>
      <c r="M70" s="195"/>
    </row>
    <row r="71" spans="2:13" ht="15" x14ac:dyDescent="0.2">
      <c r="B71" s="12">
        <v>194</v>
      </c>
      <c r="C71" s="216"/>
      <c r="D71" s="215">
        <v>224</v>
      </c>
      <c r="E71" s="216"/>
      <c r="F71" s="215">
        <v>254</v>
      </c>
      <c r="G71" s="216"/>
      <c r="H71" s="215">
        <v>284</v>
      </c>
      <c r="I71" s="216"/>
      <c r="J71" s="215">
        <v>314</v>
      </c>
      <c r="K71" s="216"/>
      <c r="L71" s="215">
        <v>344</v>
      </c>
      <c r="M71" s="195"/>
    </row>
    <row r="72" spans="2:13" ht="15" x14ac:dyDescent="0.2">
      <c r="B72" s="12">
        <v>195</v>
      </c>
      <c r="C72" s="216"/>
      <c r="D72" s="215">
        <v>225</v>
      </c>
      <c r="E72" s="216"/>
      <c r="F72" s="215">
        <v>255</v>
      </c>
      <c r="G72" s="216"/>
      <c r="H72" s="215">
        <v>285</v>
      </c>
      <c r="I72" s="216"/>
      <c r="J72" s="215">
        <v>315</v>
      </c>
      <c r="K72" s="216"/>
      <c r="L72" s="215">
        <v>345</v>
      </c>
      <c r="M72" s="195"/>
    </row>
    <row r="73" spans="2:13" ht="15" x14ac:dyDescent="0.2">
      <c r="B73" s="12">
        <v>196</v>
      </c>
      <c r="C73" s="216"/>
      <c r="D73" s="215">
        <v>226</v>
      </c>
      <c r="E73" s="216"/>
      <c r="F73" s="215">
        <v>256</v>
      </c>
      <c r="G73" s="216"/>
      <c r="H73" s="215">
        <v>286</v>
      </c>
      <c r="I73" s="216"/>
      <c r="J73" s="215">
        <v>316</v>
      </c>
      <c r="K73" s="216"/>
      <c r="L73" s="215">
        <v>346</v>
      </c>
      <c r="M73" s="195"/>
    </row>
    <row r="74" spans="2:13" ht="15" x14ac:dyDescent="0.2">
      <c r="B74" s="12">
        <v>197</v>
      </c>
      <c r="C74" s="216"/>
      <c r="D74" s="215">
        <v>227</v>
      </c>
      <c r="E74" s="216"/>
      <c r="F74" s="215">
        <v>257</v>
      </c>
      <c r="G74" s="216"/>
      <c r="H74" s="215">
        <v>287</v>
      </c>
      <c r="I74" s="216"/>
      <c r="J74" s="215">
        <v>317</v>
      </c>
      <c r="K74" s="216"/>
      <c r="L74" s="215">
        <v>347</v>
      </c>
      <c r="M74" s="195"/>
    </row>
    <row r="75" spans="2:13" ht="15" x14ac:dyDescent="0.2">
      <c r="B75" s="12">
        <v>198</v>
      </c>
      <c r="C75" s="216"/>
      <c r="D75" s="215">
        <v>228</v>
      </c>
      <c r="E75" s="216"/>
      <c r="F75" s="215">
        <v>258</v>
      </c>
      <c r="G75" s="216"/>
      <c r="H75" s="215">
        <v>288</v>
      </c>
      <c r="I75" s="216"/>
      <c r="J75" s="215">
        <v>318</v>
      </c>
      <c r="K75" s="216"/>
      <c r="L75" s="215">
        <v>348</v>
      </c>
      <c r="M75" s="195"/>
    </row>
    <row r="76" spans="2:13" ht="15" x14ac:dyDescent="0.2">
      <c r="B76" s="12">
        <v>199</v>
      </c>
      <c r="C76" s="216"/>
      <c r="D76" s="215">
        <v>229</v>
      </c>
      <c r="E76" s="216"/>
      <c r="F76" s="215">
        <v>259</v>
      </c>
      <c r="G76" s="216"/>
      <c r="H76" s="215">
        <v>289</v>
      </c>
      <c r="I76" s="216"/>
      <c r="J76" s="215">
        <v>319</v>
      </c>
      <c r="K76" s="216"/>
      <c r="L76" s="215">
        <v>349</v>
      </c>
      <c r="M76" s="195"/>
    </row>
    <row r="77" spans="2:13" ht="15" x14ac:dyDescent="0.2">
      <c r="B77" s="12">
        <v>200</v>
      </c>
      <c r="C77" s="216"/>
      <c r="D77" s="215">
        <v>230</v>
      </c>
      <c r="E77" s="216"/>
      <c r="F77" s="215">
        <v>260</v>
      </c>
      <c r="G77" s="216"/>
      <c r="H77" s="215">
        <v>290</v>
      </c>
      <c r="I77" s="216"/>
      <c r="J77" s="215">
        <v>320</v>
      </c>
      <c r="K77" s="216"/>
      <c r="L77" s="215">
        <v>350</v>
      </c>
      <c r="M77" s="195"/>
    </row>
    <row r="78" spans="2:13" ht="15" x14ac:dyDescent="0.2">
      <c r="B78" s="12">
        <v>201</v>
      </c>
      <c r="C78" s="216"/>
      <c r="D78" s="215">
        <v>231</v>
      </c>
      <c r="E78" s="216"/>
      <c r="F78" s="215">
        <v>261</v>
      </c>
      <c r="G78" s="216"/>
      <c r="H78" s="215">
        <v>291</v>
      </c>
      <c r="I78" s="216"/>
      <c r="J78" s="215">
        <v>321</v>
      </c>
      <c r="K78" s="216"/>
      <c r="L78" s="215">
        <v>351</v>
      </c>
      <c r="M78" s="195"/>
    </row>
    <row r="79" spans="2:13" ht="15" x14ac:dyDescent="0.2">
      <c r="B79" s="12">
        <v>202</v>
      </c>
      <c r="C79" s="216"/>
      <c r="D79" s="215">
        <v>232</v>
      </c>
      <c r="E79" s="216"/>
      <c r="F79" s="215">
        <v>262</v>
      </c>
      <c r="G79" s="216"/>
      <c r="H79" s="215">
        <v>292</v>
      </c>
      <c r="I79" s="216"/>
      <c r="J79" s="215">
        <v>322</v>
      </c>
      <c r="K79" s="216"/>
      <c r="L79" s="215">
        <v>352</v>
      </c>
      <c r="M79" s="195"/>
    </row>
    <row r="80" spans="2:13" ht="15" x14ac:dyDescent="0.2">
      <c r="B80" s="12">
        <v>203</v>
      </c>
      <c r="C80" s="216"/>
      <c r="D80" s="215">
        <v>233</v>
      </c>
      <c r="E80" s="216"/>
      <c r="F80" s="215">
        <v>263</v>
      </c>
      <c r="G80" s="216"/>
      <c r="H80" s="215">
        <v>293</v>
      </c>
      <c r="I80" s="216"/>
      <c r="J80" s="215">
        <v>323</v>
      </c>
      <c r="K80" s="216"/>
      <c r="L80" s="215">
        <v>353</v>
      </c>
      <c r="M80" s="195"/>
    </row>
    <row r="81" spans="2:13" ht="15" x14ac:dyDescent="0.2">
      <c r="B81" s="12">
        <v>204</v>
      </c>
      <c r="C81" s="216"/>
      <c r="D81" s="215">
        <v>234</v>
      </c>
      <c r="E81" s="216"/>
      <c r="F81" s="215">
        <v>264</v>
      </c>
      <c r="G81" s="216"/>
      <c r="H81" s="215">
        <v>294</v>
      </c>
      <c r="I81" s="216"/>
      <c r="J81" s="215">
        <v>324</v>
      </c>
      <c r="K81" s="216"/>
      <c r="L81" s="215">
        <v>354</v>
      </c>
      <c r="M81" s="195"/>
    </row>
    <row r="82" spans="2:13" ht="15" x14ac:dyDescent="0.2">
      <c r="B82" s="12">
        <v>205</v>
      </c>
      <c r="C82" s="216"/>
      <c r="D82" s="215">
        <v>235</v>
      </c>
      <c r="E82" s="216"/>
      <c r="F82" s="215">
        <v>265</v>
      </c>
      <c r="G82" s="216"/>
      <c r="H82" s="215">
        <v>295</v>
      </c>
      <c r="I82" s="216"/>
      <c r="J82" s="215">
        <v>325</v>
      </c>
      <c r="K82" s="216"/>
      <c r="L82" s="215">
        <v>355</v>
      </c>
      <c r="M82" s="195"/>
    </row>
    <row r="83" spans="2:13" ht="15" x14ac:dyDescent="0.2">
      <c r="B83" s="12">
        <v>206</v>
      </c>
      <c r="C83" s="216"/>
      <c r="D83" s="215">
        <v>236</v>
      </c>
      <c r="E83" s="216"/>
      <c r="F83" s="215">
        <v>266</v>
      </c>
      <c r="G83" s="216"/>
      <c r="H83" s="215">
        <v>296</v>
      </c>
      <c r="I83" s="216"/>
      <c r="J83" s="215">
        <v>326</v>
      </c>
      <c r="K83" s="216"/>
      <c r="L83" s="215">
        <v>356</v>
      </c>
      <c r="M83" s="195"/>
    </row>
    <row r="84" spans="2:13" ht="15" x14ac:dyDescent="0.2">
      <c r="B84" s="12">
        <v>207</v>
      </c>
      <c r="C84" s="216"/>
      <c r="D84" s="215">
        <v>237</v>
      </c>
      <c r="E84" s="216"/>
      <c r="F84" s="215">
        <v>267</v>
      </c>
      <c r="G84" s="216"/>
      <c r="H84" s="215">
        <v>297</v>
      </c>
      <c r="I84" s="216"/>
      <c r="J84" s="215">
        <v>327</v>
      </c>
      <c r="K84" s="216"/>
      <c r="L84" s="215">
        <v>357</v>
      </c>
      <c r="M84" s="195"/>
    </row>
    <row r="85" spans="2:13" ht="15" x14ac:dyDescent="0.2">
      <c r="B85" s="12">
        <v>208</v>
      </c>
      <c r="C85" s="216"/>
      <c r="D85" s="215">
        <v>238</v>
      </c>
      <c r="E85" s="216"/>
      <c r="F85" s="215">
        <v>268</v>
      </c>
      <c r="G85" s="216"/>
      <c r="H85" s="215">
        <v>298</v>
      </c>
      <c r="I85" s="216"/>
      <c r="J85" s="215">
        <v>328</v>
      </c>
      <c r="K85" s="216"/>
      <c r="L85" s="215">
        <v>358</v>
      </c>
      <c r="M85" s="195"/>
    </row>
    <row r="86" spans="2:13" ht="15" x14ac:dyDescent="0.2">
      <c r="B86" s="12">
        <v>209</v>
      </c>
      <c r="C86" s="216"/>
      <c r="D86" s="215">
        <v>239</v>
      </c>
      <c r="E86" s="216"/>
      <c r="F86" s="215">
        <v>269</v>
      </c>
      <c r="G86" s="216"/>
      <c r="H86" s="215">
        <v>299</v>
      </c>
      <c r="I86" s="216"/>
      <c r="J86" s="215">
        <v>329</v>
      </c>
      <c r="K86" s="216"/>
      <c r="L86" s="215">
        <v>359</v>
      </c>
      <c r="M86" s="195"/>
    </row>
    <row r="87" spans="2:13" ht="15" x14ac:dyDescent="0.2">
      <c r="B87" s="12">
        <v>210</v>
      </c>
      <c r="C87" s="216"/>
      <c r="D87" s="215">
        <v>240</v>
      </c>
      <c r="E87" s="216"/>
      <c r="F87" s="215">
        <v>270</v>
      </c>
      <c r="G87" s="216"/>
      <c r="H87" s="215">
        <v>300</v>
      </c>
      <c r="I87" s="216"/>
      <c r="J87" s="215">
        <v>330</v>
      </c>
      <c r="K87" s="216"/>
      <c r="L87" s="215">
        <v>360</v>
      </c>
      <c r="M87" s="195"/>
    </row>
    <row r="88" spans="2:13" ht="15" x14ac:dyDescent="0.2">
      <c r="B88" s="363"/>
      <c r="C88" s="364"/>
      <c r="D88" s="365"/>
      <c r="E88" s="364"/>
      <c r="F88" s="365"/>
      <c r="G88" s="364"/>
      <c r="H88" s="365"/>
      <c r="I88" s="364"/>
      <c r="J88" s="365"/>
      <c r="K88" s="364"/>
      <c r="L88" s="365"/>
      <c r="M88" s="364"/>
    </row>
    <row r="89" spans="2:13" ht="15" x14ac:dyDescent="0.25">
      <c r="B89" s="44" t="s">
        <v>543</v>
      </c>
      <c r="C89" s="44"/>
      <c r="D89" s="44"/>
      <c r="E89" s="219">
        <f>COUNTA(C58:C87,E58:E87,G58:G87,I58:I87,K58:K87,M58:M87)</f>
        <v>0</v>
      </c>
      <c r="F89" s="201" t="s">
        <v>544</v>
      </c>
      <c r="H89" s="203" t="s">
        <v>731</v>
      </c>
      <c r="I89" s="254">
        <f>MAX(C58:C87,E58:E87,G58:G87,I58:I87,K58:K87,M58:M87)</f>
        <v>0</v>
      </c>
      <c r="J89" s="365"/>
      <c r="K89" s="364"/>
      <c r="L89" s="365"/>
      <c r="M89" s="364"/>
    </row>
    <row r="90" spans="2:13" ht="15" x14ac:dyDescent="0.25">
      <c r="B90" s="979" t="s">
        <v>553</v>
      </c>
      <c r="C90" s="979"/>
      <c r="D90" s="979"/>
      <c r="E90" s="367" t="s">
        <v>732</v>
      </c>
      <c r="F90" s="978" t="s">
        <v>547</v>
      </c>
      <c r="G90" s="978"/>
      <c r="H90" s="203" t="s">
        <v>548</v>
      </c>
      <c r="I90" s="366">
        <f>MIN(C58:C87,E58:E87,G58:G87,I58:I87,M58:M87)</f>
        <v>0</v>
      </c>
      <c r="J90" s="365"/>
      <c r="K90" s="364"/>
      <c r="L90" s="365"/>
      <c r="M90" s="364"/>
    </row>
    <row r="91" spans="2:13" ht="15" x14ac:dyDescent="0.25">
      <c r="B91" s="980" t="s">
        <v>733</v>
      </c>
      <c r="C91" s="980"/>
      <c r="D91" s="980"/>
      <c r="E91" s="198"/>
      <c r="F91" s="198"/>
      <c r="G91" s="198"/>
      <c r="H91" s="198"/>
      <c r="I91" s="198"/>
      <c r="J91" s="365"/>
      <c r="K91" s="364"/>
      <c r="L91" s="365"/>
      <c r="M91" s="364"/>
    </row>
    <row r="92" spans="2:13" ht="15" x14ac:dyDescent="0.25">
      <c r="B92" s="176"/>
      <c r="C92" s="112"/>
      <c r="D92" s="112"/>
      <c r="E92" s="112"/>
      <c r="F92" s="112"/>
      <c r="G92" s="112"/>
      <c r="H92" s="112"/>
      <c r="I92" s="112"/>
      <c r="J92" s="112"/>
      <c r="K92" s="200"/>
      <c r="L92" s="217"/>
      <c r="M92" s="112"/>
    </row>
    <row r="93" spans="2:13" ht="14.25" x14ac:dyDescent="0.2">
      <c r="B93" s="989"/>
      <c r="C93" s="989"/>
      <c r="D93" s="989"/>
      <c r="E93" s="989"/>
      <c r="F93" s="990" t="e">
        <f>#REF!</f>
        <v>#REF!</v>
      </c>
      <c r="G93" s="990"/>
      <c r="H93" s="990"/>
      <c r="I93" s="112"/>
      <c r="J93" s="112"/>
      <c r="K93" s="112"/>
      <c r="L93" s="112"/>
      <c r="M93" s="112"/>
    </row>
    <row r="94" spans="2:13" ht="15" x14ac:dyDescent="0.25">
      <c r="B94" s="989"/>
      <c r="C94" s="989"/>
      <c r="D94" s="989"/>
      <c r="E94" s="989"/>
      <c r="F94" s="198"/>
      <c r="G94" s="198"/>
      <c r="H94" s="198"/>
      <c r="I94" s="112"/>
      <c r="J94" s="112"/>
      <c r="K94" s="112"/>
      <c r="L94" s="112"/>
      <c r="M94" s="112"/>
    </row>
  </sheetData>
  <mergeCells count="38">
    <mergeCell ref="B93:E94"/>
    <mergeCell ref="F93:H93"/>
    <mergeCell ref="C52:D52"/>
    <mergeCell ref="F52:G52"/>
    <mergeCell ref="B53:E55"/>
    <mergeCell ref="F54:H54"/>
    <mergeCell ref="B90:D90"/>
    <mergeCell ref="F90:G90"/>
    <mergeCell ref="B91:D91"/>
    <mergeCell ref="C10:D10"/>
    <mergeCell ref="F10:G10"/>
    <mergeCell ref="B11:D11"/>
    <mergeCell ref="E11:R11"/>
    <mergeCell ref="B15:M15"/>
    <mergeCell ref="K13:M13"/>
    <mergeCell ref="B14:C14"/>
    <mergeCell ref="D14:E14"/>
    <mergeCell ref="F14:G14"/>
    <mergeCell ref="H14:J14"/>
    <mergeCell ref="K14:O14"/>
    <mergeCell ref="B51:E51"/>
    <mergeCell ref="B13:C13"/>
    <mergeCell ref="D13:E13"/>
    <mergeCell ref="F13:G13"/>
    <mergeCell ref="H13:J13"/>
    <mergeCell ref="F49:G49"/>
    <mergeCell ref="B49:D49"/>
    <mergeCell ref="B50:D50"/>
    <mergeCell ref="B8:C8"/>
    <mergeCell ref="D8:M8"/>
    <mergeCell ref="B9:C9"/>
    <mergeCell ref="D9:M9"/>
    <mergeCell ref="B1:M1"/>
    <mergeCell ref="G2:I2"/>
    <mergeCell ref="B4:E4"/>
    <mergeCell ref="F4:M4"/>
    <mergeCell ref="B6:C7"/>
    <mergeCell ref="D6:M7"/>
  </mergeCells>
  <pageMargins left="0.3" right="0.16" top="0.22" bottom="0.21" header="0.18" footer="0.17"/>
  <pageSetup paperSize="9" scale="5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pageSetUpPr fitToPage="1"/>
  </sheetPr>
  <dimension ref="B1:FY431"/>
  <sheetViews>
    <sheetView workbookViewId="0">
      <selection activeCell="E10" sqref="E10:S10"/>
    </sheetView>
  </sheetViews>
  <sheetFormatPr defaultColWidth="9.140625" defaultRowHeight="15" x14ac:dyDescent="0.25"/>
  <cols>
    <col min="1" max="1" width="9.140625" style="169"/>
    <col min="2" max="2" width="9.28515625" style="169" customWidth="1"/>
    <col min="3" max="19" width="5.7109375" style="169" customWidth="1"/>
    <col min="20" max="20" width="6.7109375" style="169" customWidth="1"/>
    <col min="21" max="37" width="5.7109375" style="169" customWidth="1"/>
    <col min="38" max="38" width="6.7109375" style="169" customWidth="1"/>
    <col min="39" max="55" width="5.7109375" style="169" customWidth="1"/>
    <col min="56" max="56" width="6.7109375" style="169" customWidth="1"/>
    <col min="57" max="73" width="5.7109375" style="169" customWidth="1"/>
    <col min="74" max="74" width="6.7109375" style="169" customWidth="1"/>
    <col min="75" max="91" width="5.7109375" style="169" customWidth="1"/>
    <col min="92" max="92" width="6.7109375" style="169" customWidth="1"/>
    <col min="93" max="109" width="5.7109375" style="169" customWidth="1"/>
    <col min="110" max="110" width="6.7109375" style="169" customWidth="1"/>
    <col min="111" max="127" width="5.7109375" style="169" customWidth="1"/>
    <col min="128" max="128" width="6.7109375" style="169" customWidth="1"/>
    <col min="129" max="145" width="5.7109375" style="169" customWidth="1"/>
    <col min="146" max="146" width="6.7109375" style="169" customWidth="1"/>
    <col min="147" max="163" width="5.7109375" style="169" customWidth="1"/>
    <col min="164" max="164" width="6.7109375" style="169" customWidth="1"/>
    <col min="165" max="181" width="5.7109375" style="169" customWidth="1"/>
    <col min="182" max="16384" width="9.140625" style="169"/>
  </cols>
  <sheetData>
    <row r="1" spans="2:181" x14ac:dyDescent="0.25">
      <c r="B1" s="968" t="s">
        <v>367</v>
      </c>
      <c r="C1" s="968"/>
      <c r="D1" s="968"/>
      <c r="E1" s="968"/>
      <c r="F1" s="968"/>
      <c r="G1" s="968"/>
      <c r="H1" s="968"/>
      <c r="I1" s="968"/>
      <c r="J1" s="968"/>
      <c r="K1" s="968"/>
      <c r="L1" s="968"/>
      <c r="M1" s="968"/>
      <c r="N1" s="968"/>
      <c r="O1" s="968"/>
      <c r="P1" s="968"/>
      <c r="Q1" s="968"/>
      <c r="R1" s="968"/>
      <c r="S1" s="968"/>
      <c r="T1" s="968" t="s">
        <v>367</v>
      </c>
      <c r="U1" s="968"/>
      <c r="V1" s="968"/>
      <c r="W1" s="968"/>
      <c r="X1" s="968"/>
      <c r="Y1" s="968"/>
      <c r="Z1" s="968"/>
      <c r="AA1" s="968"/>
      <c r="AB1" s="968"/>
      <c r="AC1" s="968"/>
      <c r="AD1" s="968"/>
      <c r="AE1" s="968"/>
      <c r="AF1" s="968"/>
      <c r="AG1" s="968"/>
      <c r="AH1" s="968"/>
      <c r="AI1" s="968"/>
      <c r="AJ1" s="968"/>
      <c r="AK1" s="968"/>
      <c r="AL1" s="968" t="s">
        <v>367</v>
      </c>
      <c r="AM1" s="968"/>
      <c r="AN1" s="968"/>
      <c r="AO1" s="968"/>
      <c r="AP1" s="968"/>
      <c r="AQ1" s="968"/>
      <c r="AR1" s="968"/>
      <c r="AS1" s="968"/>
      <c r="AT1" s="968"/>
      <c r="AU1" s="968"/>
      <c r="AV1" s="968"/>
      <c r="AW1" s="968"/>
      <c r="AX1" s="968"/>
      <c r="AY1" s="968"/>
      <c r="AZ1" s="968"/>
      <c r="BA1" s="968"/>
      <c r="BB1" s="968"/>
      <c r="BC1" s="968"/>
      <c r="BD1" s="968" t="s">
        <v>367</v>
      </c>
      <c r="BE1" s="968"/>
      <c r="BF1" s="968"/>
      <c r="BG1" s="968"/>
      <c r="BH1" s="968"/>
      <c r="BI1" s="968"/>
      <c r="BJ1" s="968"/>
      <c r="BK1" s="968"/>
      <c r="BL1" s="968"/>
      <c r="BM1" s="968"/>
      <c r="BN1" s="968"/>
      <c r="BO1" s="968"/>
      <c r="BP1" s="968"/>
      <c r="BQ1" s="968"/>
      <c r="BR1" s="968"/>
      <c r="BS1" s="968"/>
      <c r="BT1" s="968"/>
      <c r="BU1" s="968"/>
      <c r="BV1" s="968" t="s">
        <v>367</v>
      </c>
      <c r="BW1" s="968"/>
      <c r="BX1" s="968"/>
      <c r="BY1" s="968"/>
      <c r="BZ1" s="968"/>
      <c r="CA1" s="968"/>
      <c r="CB1" s="968"/>
      <c r="CC1" s="968"/>
      <c r="CD1" s="968"/>
      <c r="CE1" s="968"/>
      <c r="CF1" s="968"/>
      <c r="CG1" s="968"/>
      <c r="CH1" s="968"/>
      <c r="CI1" s="968"/>
      <c r="CJ1" s="968"/>
      <c r="CK1" s="968"/>
      <c r="CL1" s="968"/>
      <c r="CM1" s="968"/>
      <c r="CN1" s="968" t="s">
        <v>367</v>
      </c>
      <c r="CO1" s="968"/>
      <c r="CP1" s="968"/>
      <c r="CQ1" s="968"/>
      <c r="CR1" s="968"/>
      <c r="CS1" s="968"/>
      <c r="CT1" s="968"/>
      <c r="CU1" s="968"/>
      <c r="CV1" s="968"/>
      <c r="CW1" s="968"/>
      <c r="CX1" s="968"/>
      <c r="CY1" s="968"/>
      <c r="CZ1" s="968"/>
      <c r="DA1" s="968"/>
      <c r="DB1" s="968"/>
      <c r="DC1" s="968"/>
      <c r="DD1" s="968"/>
      <c r="DE1" s="968"/>
      <c r="DF1" s="968" t="s">
        <v>367</v>
      </c>
      <c r="DG1" s="968"/>
      <c r="DH1" s="968"/>
      <c r="DI1" s="968"/>
      <c r="DJ1" s="968"/>
      <c r="DK1" s="968"/>
      <c r="DL1" s="968"/>
      <c r="DM1" s="968"/>
      <c r="DN1" s="968"/>
      <c r="DO1" s="968"/>
      <c r="DP1" s="968"/>
      <c r="DQ1" s="968"/>
      <c r="DR1" s="968"/>
      <c r="DS1" s="968"/>
      <c r="DT1" s="968"/>
      <c r="DU1" s="968"/>
      <c r="DV1" s="968"/>
      <c r="DW1" s="968"/>
      <c r="DX1" s="968" t="s">
        <v>367</v>
      </c>
      <c r="DY1" s="968"/>
      <c r="DZ1" s="968"/>
      <c r="EA1" s="968"/>
      <c r="EB1" s="968"/>
      <c r="EC1" s="968"/>
      <c r="ED1" s="968"/>
      <c r="EE1" s="968"/>
      <c r="EF1" s="968"/>
      <c r="EG1" s="968"/>
      <c r="EH1" s="968"/>
      <c r="EI1" s="968"/>
      <c r="EJ1" s="968"/>
      <c r="EK1" s="968"/>
      <c r="EL1" s="968"/>
      <c r="EM1" s="968"/>
      <c r="EN1" s="968"/>
      <c r="EO1" s="968"/>
      <c r="EP1" s="968" t="s">
        <v>367</v>
      </c>
      <c r="EQ1" s="968"/>
      <c r="ER1" s="968"/>
      <c r="ES1" s="968"/>
      <c r="ET1" s="968"/>
      <c r="EU1" s="968"/>
      <c r="EV1" s="968"/>
      <c r="EW1" s="968"/>
      <c r="EX1" s="968"/>
      <c r="EY1" s="968"/>
      <c r="EZ1" s="968"/>
      <c r="FA1" s="968"/>
      <c r="FB1" s="968"/>
      <c r="FC1" s="968"/>
      <c r="FD1" s="968"/>
      <c r="FE1" s="968"/>
      <c r="FF1" s="968"/>
      <c r="FG1" s="968"/>
      <c r="FH1" s="968" t="s">
        <v>367</v>
      </c>
      <c r="FI1" s="968"/>
      <c r="FJ1" s="968"/>
      <c r="FK1" s="968"/>
      <c r="FL1" s="968"/>
      <c r="FM1" s="968"/>
      <c r="FN1" s="968"/>
      <c r="FO1" s="968"/>
      <c r="FP1" s="968"/>
      <c r="FQ1" s="968"/>
      <c r="FR1" s="968"/>
      <c r="FS1" s="968"/>
      <c r="FT1" s="968"/>
      <c r="FU1" s="968"/>
      <c r="FV1" s="968"/>
      <c r="FW1" s="968"/>
      <c r="FX1" s="968"/>
      <c r="FY1" s="968"/>
    </row>
    <row r="2" spans="2:181" x14ac:dyDescent="0.25">
      <c r="C2" s="165"/>
      <c r="E2" s="167"/>
      <c r="F2" s="189"/>
      <c r="G2" s="166"/>
      <c r="H2" s="167" t="s">
        <v>8</v>
      </c>
      <c r="I2" s="969"/>
      <c r="J2" s="969"/>
      <c r="K2" s="969"/>
      <c r="L2" s="969"/>
      <c r="M2" s="969"/>
      <c r="N2" s="189"/>
      <c r="U2" s="165"/>
      <c r="W2" s="167"/>
      <c r="X2" s="189"/>
      <c r="Y2" s="166"/>
      <c r="Z2" s="167" t="s">
        <v>8</v>
      </c>
      <c r="AA2" s="993"/>
      <c r="AB2" s="993"/>
      <c r="AC2" s="993"/>
      <c r="AD2" s="993"/>
      <c r="AE2" s="993"/>
      <c r="AF2" s="189"/>
      <c r="AM2" s="165"/>
      <c r="AO2" s="167"/>
      <c r="AP2" s="189"/>
      <c r="AQ2" s="166"/>
      <c r="AR2" s="167" t="s">
        <v>8</v>
      </c>
      <c r="AS2" s="993"/>
      <c r="AT2" s="993"/>
      <c r="AU2" s="993"/>
      <c r="AV2" s="993"/>
      <c r="AW2" s="993"/>
      <c r="AX2" s="189"/>
      <c r="BE2" s="165"/>
      <c r="BG2" s="167"/>
      <c r="BH2" s="189"/>
      <c r="BI2" s="166"/>
      <c r="BJ2" s="167" t="s">
        <v>8</v>
      </c>
      <c r="BK2" s="993" t="s">
        <v>368</v>
      </c>
      <c r="BL2" s="993"/>
      <c r="BM2" s="993"/>
      <c r="BN2" s="993"/>
      <c r="BO2" s="993"/>
      <c r="BP2" s="189"/>
      <c r="BW2" s="165"/>
      <c r="BY2" s="167"/>
      <c r="BZ2" s="189"/>
      <c r="CA2" s="166"/>
      <c r="CB2" s="167" t="s">
        <v>8</v>
      </c>
      <c r="CC2" s="993" t="s">
        <v>368</v>
      </c>
      <c r="CD2" s="993"/>
      <c r="CE2" s="993"/>
      <c r="CF2" s="993"/>
      <c r="CG2" s="993"/>
      <c r="CH2" s="189"/>
      <c r="CO2" s="165"/>
      <c r="CQ2" s="167"/>
      <c r="CR2" s="189"/>
      <c r="CS2" s="166"/>
      <c r="CT2" s="167" t="s">
        <v>8</v>
      </c>
      <c r="CU2" s="993" t="s">
        <v>368</v>
      </c>
      <c r="CV2" s="993"/>
      <c r="CW2" s="993"/>
      <c r="CX2" s="993"/>
      <c r="CY2" s="993"/>
      <c r="CZ2" s="189"/>
      <c r="DG2" s="165"/>
      <c r="DI2" s="167"/>
      <c r="DJ2" s="189"/>
      <c r="DK2" s="166"/>
      <c r="DL2" s="167" t="s">
        <v>8</v>
      </c>
      <c r="DM2" s="993" t="s">
        <v>368</v>
      </c>
      <c r="DN2" s="993"/>
      <c r="DO2" s="993"/>
      <c r="DP2" s="993"/>
      <c r="DQ2" s="993"/>
      <c r="DR2" s="189"/>
      <c r="DY2" s="165"/>
      <c r="EA2" s="167"/>
      <c r="EB2" s="189"/>
      <c r="EC2" s="166"/>
      <c r="ED2" s="167" t="s">
        <v>8</v>
      </c>
      <c r="EE2" s="993" t="s">
        <v>368</v>
      </c>
      <c r="EF2" s="993"/>
      <c r="EG2" s="993"/>
      <c r="EH2" s="993"/>
      <c r="EI2" s="993"/>
      <c r="EJ2" s="189"/>
      <c r="EQ2" s="165"/>
      <c r="ES2" s="167"/>
      <c r="ET2" s="189"/>
      <c r="EU2" s="166"/>
      <c r="EV2" s="167" t="s">
        <v>8</v>
      </c>
      <c r="EW2" s="993" t="s">
        <v>368</v>
      </c>
      <c r="EX2" s="993"/>
      <c r="EY2" s="993"/>
      <c r="EZ2" s="993"/>
      <c r="FA2" s="993"/>
      <c r="FB2" s="189"/>
      <c r="FI2" s="165"/>
      <c r="FK2" s="167"/>
      <c r="FL2" s="189"/>
      <c r="FM2" s="166"/>
      <c r="FN2" s="167" t="s">
        <v>8</v>
      </c>
      <c r="FO2" s="993" t="s">
        <v>368</v>
      </c>
      <c r="FP2" s="993"/>
      <c r="FQ2" s="993"/>
      <c r="FR2" s="993"/>
      <c r="FS2" s="993"/>
      <c r="FT2" s="189"/>
    </row>
    <row r="3" spans="2:181" x14ac:dyDescent="0.25">
      <c r="C3" s="165"/>
      <c r="E3" s="167"/>
      <c r="F3" s="168"/>
      <c r="G3" s="170"/>
      <c r="H3" s="170"/>
      <c r="I3" s="166"/>
      <c r="J3" s="166"/>
      <c r="U3" s="165"/>
      <c r="W3" s="167"/>
      <c r="X3" s="168"/>
      <c r="Y3" s="170"/>
      <c r="Z3" s="170"/>
      <c r="AA3" s="166"/>
      <c r="AB3" s="166"/>
      <c r="AM3" s="165"/>
      <c r="AO3" s="167"/>
      <c r="AP3" s="168"/>
      <c r="AQ3" s="170"/>
      <c r="AR3" s="170"/>
      <c r="AS3" s="166"/>
      <c r="AT3" s="166"/>
      <c r="BE3" s="165"/>
      <c r="BG3" s="167"/>
      <c r="BH3" s="168"/>
      <c r="BI3" s="170"/>
      <c r="BJ3" s="170"/>
      <c r="BK3" s="166"/>
      <c r="BL3" s="166"/>
      <c r="BW3" s="165"/>
      <c r="BY3" s="167"/>
      <c r="BZ3" s="168"/>
      <c r="CA3" s="170"/>
      <c r="CB3" s="170"/>
      <c r="CC3" s="166"/>
      <c r="CD3" s="166"/>
      <c r="CO3" s="165"/>
      <c r="CQ3" s="167"/>
      <c r="CR3" s="168"/>
      <c r="CS3" s="170"/>
      <c r="CT3" s="170"/>
      <c r="CU3" s="166"/>
      <c r="CV3" s="166"/>
      <c r="DG3" s="165"/>
      <c r="DI3" s="167"/>
      <c r="DJ3" s="168"/>
      <c r="DK3" s="170"/>
      <c r="DL3" s="170"/>
      <c r="DM3" s="166"/>
      <c r="DN3" s="166"/>
      <c r="DY3" s="165"/>
      <c r="EA3" s="167"/>
      <c r="EB3" s="168"/>
      <c r="EC3" s="170"/>
      <c r="ED3" s="170"/>
      <c r="EE3" s="166"/>
      <c r="EF3" s="166"/>
      <c r="EQ3" s="165"/>
      <c r="ES3" s="167"/>
      <c r="ET3" s="168"/>
      <c r="EU3" s="170"/>
      <c r="EV3" s="170"/>
      <c r="EW3" s="166"/>
      <c r="EX3" s="166"/>
      <c r="FI3" s="165"/>
      <c r="FK3" s="167"/>
      <c r="FL3" s="168"/>
      <c r="FM3" s="170"/>
      <c r="FN3" s="170"/>
      <c r="FO3" s="166"/>
      <c r="FP3" s="166"/>
    </row>
    <row r="4" spans="2:181" ht="15" customHeight="1" x14ac:dyDescent="0.25">
      <c r="B4" s="965" t="s">
        <v>344</v>
      </c>
      <c r="C4" s="966"/>
      <c r="D4" s="966"/>
      <c r="E4" s="966"/>
      <c r="F4" s="966"/>
      <c r="G4" s="994">
        <v>43101</v>
      </c>
      <c r="H4" s="884"/>
      <c r="I4" s="884"/>
      <c r="J4" s="884"/>
      <c r="K4" s="884"/>
      <c r="L4" s="884"/>
      <c r="M4" s="884"/>
      <c r="N4" s="884"/>
      <c r="O4" s="884"/>
      <c r="P4" s="884"/>
      <c r="Q4" s="884"/>
      <c r="R4" s="884"/>
      <c r="S4" s="984"/>
      <c r="T4" s="965" t="s">
        <v>344</v>
      </c>
      <c r="U4" s="966"/>
      <c r="V4" s="966"/>
      <c r="W4" s="966"/>
      <c r="X4" s="966"/>
      <c r="Y4" s="994"/>
      <c r="Z4" s="884"/>
      <c r="AA4" s="884"/>
      <c r="AB4" s="884"/>
      <c r="AC4" s="884"/>
      <c r="AD4" s="884"/>
      <c r="AE4" s="884"/>
      <c r="AF4" s="884"/>
      <c r="AG4" s="884"/>
      <c r="AH4" s="884"/>
      <c r="AI4" s="884"/>
      <c r="AJ4" s="884"/>
      <c r="AK4" s="984"/>
      <c r="AL4" s="965" t="s">
        <v>344</v>
      </c>
      <c r="AM4" s="966"/>
      <c r="AN4" s="966"/>
      <c r="AO4" s="966"/>
      <c r="AP4" s="966"/>
      <c r="AQ4" s="994"/>
      <c r="AR4" s="884"/>
      <c r="AS4" s="884"/>
      <c r="AT4" s="884"/>
      <c r="AU4" s="884"/>
      <c r="AV4" s="884"/>
      <c r="AW4" s="884"/>
      <c r="AX4" s="884"/>
      <c r="AY4" s="884"/>
      <c r="AZ4" s="884"/>
      <c r="BA4" s="884"/>
      <c r="BB4" s="884"/>
      <c r="BC4" s="984"/>
      <c r="BD4" s="965" t="s">
        <v>344</v>
      </c>
      <c r="BE4" s="966"/>
      <c r="BF4" s="966"/>
      <c r="BG4" s="966"/>
      <c r="BH4" s="966"/>
      <c r="BI4" s="994"/>
      <c r="BJ4" s="884"/>
      <c r="BK4" s="884"/>
      <c r="BL4" s="884"/>
      <c r="BM4" s="884"/>
      <c r="BN4" s="884"/>
      <c r="BO4" s="884"/>
      <c r="BP4" s="884"/>
      <c r="BQ4" s="884"/>
      <c r="BR4" s="884"/>
      <c r="BS4" s="884"/>
      <c r="BT4" s="884"/>
      <c r="BU4" s="984"/>
      <c r="BV4" s="965" t="s">
        <v>344</v>
      </c>
      <c r="BW4" s="966"/>
      <c r="BX4" s="966"/>
      <c r="BY4" s="966"/>
      <c r="BZ4" s="966"/>
      <c r="CA4" s="994"/>
      <c r="CB4" s="884"/>
      <c r="CC4" s="884"/>
      <c r="CD4" s="884"/>
      <c r="CE4" s="884"/>
      <c r="CF4" s="884"/>
      <c r="CG4" s="884"/>
      <c r="CH4" s="884"/>
      <c r="CI4" s="884"/>
      <c r="CJ4" s="884"/>
      <c r="CK4" s="884"/>
      <c r="CL4" s="884"/>
      <c r="CM4" s="984"/>
      <c r="CN4" s="965" t="s">
        <v>344</v>
      </c>
      <c r="CO4" s="966"/>
      <c r="CP4" s="966"/>
      <c r="CQ4" s="966"/>
      <c r="CR4" s="966"/>
      <c r="CS4" s="994"/>
      <c r="CT4" s="884"/>
      <c r="CU4" s="884"/>
      <c r="CV4" s="884"/>
      <c r="CW4" s="884"/>
      <c r="CX4" s="884"/>
      <c r="CY4" s="884"/>
      <c r="CZ4" s="884"/>
      <c r="DA4" s="884"/>
      <c r="DB4" s="884"/>
      <c r="DC4" s="884"/>
      <c r="DD4" s="884"/>
      <c r="DE4" s="984"/>
      <c r="DF4" s="965" t="s">
        <v>344</v>
      </c>
      <c r="DG4" s="966"/>
      <c r="DH4" s="966"/>
      <c r="DI4" s="966"/>
      <c r="DJ4" s="966"/>
      <c r="DK4" s="994"/>
      <c r="DL4" s="884"/>
      <c r="DM4" s="884"/>
      <c r="DN4" s="884"/>
      <c r="DO4" s="884"/>
      <c r="DP4" s="884"/>
      <c r="DQ4" s="884"/>
      <c r="DR4" s="884"/>
      <c r="DS4" s="884"/>
      <c r="DT4" s="884"/>
      <c r="DU4" s="884"/>
      <c r="DV4" s="884"/>
      <c r="DW4" s="984"/>
      <c r="DX4" s="965" t="s">
        <v>344</v>
      </c>
      <c r="DY4" s="966"/>
      <c r="DZ4" s="966"/>
      <c r="EA4" s="966"/>
      <c r="EB4" s="966"/>
      <c r="EC4" s="994"/>
      <c r="ED4" s="884"/>
      <c r="EE4" s="884"/>
      <c r="EF4" s="884"/>
      <c r="EG4" s="884"/>
      <c r="EH4" s="884"/>
      <c r="EI4" s="884"/>
      <c r="EJ4" s="884"/>
      <c r="EK4" s="884"/>
      <c r="EL4" s="884"/>
      <c r="EM4" s="884"/>
      <c r="EN4" s="884"/>
      <c r="EO4" s="984"/>
      <c r="EP4" s="965" t="s">
        <v>344</v>
      </c>
      <c r="EQ4" s="966"/>
      <c r="ER4" s="966"/>
      <c r="ES4" s="966"/>
      <c r="ET4" s="966"/>
      <c r="EU4" s="994"/>
      <c r="EV4" s="884"/>
      <c r="EW4" s="884"/>
      <c r="EX4" s="884"/>
      <c r="EY4" s="884"/>
      <c r="EZ4" s="884"/>
      <c r="FA4" s="884"/>
      <c r="FB4" s="884"/>
      <c r="FC4" s="884"/>
      <c r="FD4" s="884"/>
      <c r="FE4" s="884"/>
      <c r="FF4" s="884"/>
      <c r="FG4" s="984"/>
      <c r="FH4" s="965" t="s">
        <v>344</v>
      </c>
      <c r="FI4" s="966"/>
      <c r="FJ4" s="966"/>
      <c r="FK4" s="966"/>
      <c r="FL4" s="966"/>
      <c r="FM4" s="994"/>
      <c r="FN4" s="884"/>
      <c r="FO4" s="884"/>
      <c r="FP4" s="884"/>
      <c r="FQ4" s="884"/>
      <c r="FR4" s="884"/>
      <c r="FS4" s="884"/>
      <c r="FT4" s="884"/>
      <c r="FU4" s="884"/>
      <c r="FV4" s="884"/>
      <c r="FW4" s="884"/>
      <c r="FX4" s="884"/>
      <c r="FY4" s="984"/>
    </row>
    <row r="5" spans="2:181" x14ac:dyDescent="0.25">
      <c r="C5" s="188"/>
      <c r="D5" s="188"/>
      <c r="E5" s="188"/>
      <c r="F5" s="188"/>
      <c r="G5" s="188"/>
      <c r="H5" s="188"/>
      <c r="I5" s="188"/>
      <c r="J5" s="188"/>
      <c r="U5" s="188"/>
      <c r="V5" s="188"/>
      <c r="W5" s="188"/>
      <c r="X5" s="188"/>
      <c r="Y5" s="188"/>
      <c r="Z5" s="188"/>
      <c r="AA5" s="188"/>
      <c r="AB5" s="188"/>
      <c r="AM5" s="188"/>
      <c r="AN5" s="188"/>
      <c r="AO5" s="188"/>
      <c r="AP5" s="188"/>
      <c r="AQ5" s="188"/>
      <c r="AR5" s="188"/>
      <c r="AS5" s="188"/>
      <c r="AT5" s="188"/>
      <c r="BE5" s="188"/>
      <c r="BF5" s="188"/>
      <c r="BG5" s="188"/>
      <c r="BH5" s="188"/>
      <c r="BI5" s="188"/>
      <c r="BJ5" s="188"/>
      <c r="BK5" s="188"/>
      <c r="BL5" s="188"/>
      <c r="BW5" s="188"/>
      <c r="BX5" s="188"/>
      <c r="BY5" s="188"/>
      <c r="BZ5" s="188"/>
      <c r="CA5" s="188"/>
      <c r="CB5" s="188"/>
      <c r="CC5" s="188"/>
      <c r="CD5" s="188"/>
      <c r="CO5" s="188"/>
      <c r="CP5" s="188"/>
      <c r="CQ5" s="188"/>
      <c r="CR5" s="188"/>
      <c r="CS5" s="188"/>
      <c r="CT5" s="188"/>
      <c r="CU5" s="188"/>
      <c r="CV5" s="188"/>
      <c r="DG5" s="188"/>
      <c r="DH5" s="188"/>
      <c r="DI5" s="188"/>
      <c r="DJ5" s="188"/>
      <c r="DK5" s="188"/>
      <c r="DL5" s="188"/>
      <c r="DM5" s="188"/>
      <c r="DN5" s="188"/>
      <c r="DY5" s="188"/>
      <c r="DZ5" s="188"/>
      <c r="EA5" s="188"/>
      <c r="EB5" s="188"/>
      <c r="EC5" s="188"/>
      <c r="ED5" s="188"/>
      <c r="EE5" s="188"/>
      <c r="EF5" s="188"/>
      <c r="EQ5" s="188"/>
      <c r="ER5" s="188"/>
      <c r="ES5" s="188"/>
      <c r="ET5" s="188"/>
      <c r="EU5" s="188"/>
      <c r="EV5" s="188"/>
      <c r="EW5" s="188"/>
      <c r="EX5" s="188"/>
      <c r="FI5" s="188"/>
      <c r="FJ5" s="188"/>
      <c r="FK5" s="188"/>
      <c r="FL5" s="188"/>
      <c r="FM5" s="188"/>
      <c r="FN5" s="188"/>
      <c r="FO5" s="188"/>
      <c r="FP5" s="188"/>
    </row>
    <row r="6" spans="2:181" ht="12.75" customHeight="1" x14ac:dyDescent="0.25">
      <c r="B6" s="995" t="s">
        <v>0</v>
      </c>
      <c r="C6" s="996"/>
      <c r="D6" s="997"/>
      <c r="E6" s="976" t="e">
        <f>#REF!</f>
        <v>#REF!</v>
      </c>
      <c r="F6" s="976"/>
      <c r="G6" s="976"/>
      <c r="H6" s="976"/>
      <c r="I6" s="976"/>
      <c r="J6" s="976"/>
      <c r="K6" s="976"/>
      <c r="L6" s="976"/>
      <c r="M6" s="976"/>
      <c r="N6" s="976"/>
      <c r="O6" s="976"/>
      <c r="P6" s="976"/>
      <c r="Q6" s="976"/>
      <c r="R6" s="976"/>
      <c r="S6" s="976"/>
      <c r="T6" s="995" t="s">
        <v>0</v>
      </c>
      <c r="U6" s="996"/>
      <c r="V6" s="997"/>
      <c r="W6" s="1000" t="e">
        <f>E6</f>
        <v>#REF!</v>
      </c>
      <c r="X6" s="976"/>
      <c r="Y6" s="976"/>
      <c r="Z6" s="976"/>
      <c r="AA6" s="976"/>
      <c r="AB6" s="976"/>
      <c r="AC6" s="976"/>
      <c r="AD6" s="976"/>
      <c r="AE6" s="976"/>
      <c r="AF6" s="976"/>
      <c r="AG6" s="976"/>
      <c r="AH6" s="976"/>
      <c r="AI6" s="976"/>
      <c r="AJ6" s="976"/>
      <c r="AK6" s="976"/>
      <c r="AL6" s="995" t="s">
        <v>0</v>
      </c>
      <c r="AM6" s="996"/>
      <c r="AN6" s="997"/>
      <c r="AO6" s="1000" t="e">
        <f>E6</f>
        <v>#REF!</v>
      </c>
      <c r="AP6" s="976"/>
      <c r="AQ6" s="976"/>
      <c r="AR6" s="976"/>
      <c r="AS6" s="976"/>
      <c r="AT6" s="976"/>
      <c r="AU6" s="976"/>
      <c r="AV6" s="976"/>
      <c r="AW6" s="976"/>
      <c r="AX6" s="976"/>
      <c r="AY6" s="976"/>
      <c r="AZ6" s="976"/>
      <c r="BA6" s="976"/>
      <c r="BB6" s="976"/>
      <c r="BC6" s="976"/>
      <c r="BD6" s="995" t="s">
        <v>0</v>
      </c>
      <c r="BE6" s="996"/>
      <c r="BF6" s="997"/>
      <c r="BG6" s="1000" t="e">
        <f>E6</f>
        <v>#REF!</v>
      </c>
      <c r="BH6" s="976"/>
      <c r="BI6" s="976"/>
      <c r="BJ6" s="976"/>
      <c r="BK6" s="976"/>
      <c r="BL6" s="976"/>
      <c r="BM6" s="976"/>
      <c r="BN6" s="976"/>
      <c r="BO6" s="976"/>
      <c r="BP6" s="976"/>
      <c r="BQ6" s="976"/>
      <c r="BR6" s="976"/>
      <c r="BS6" s="976"/>
      <c r="BT6" s="976"/>
      <c r="BU6" s="976"/>
      <c r="BV6" s="995" t="s">
        <v>0</v>
      </c>
      <c r="BW6" s="996"/>
      <c r="BX6" s="997"/>
      <c r="BY6" s="1000" t="e">
        <f>W6</f>
        <v>#REF!</v>
      </c>
      <c r="BZ6" s="976"/>
      <c r="CA6" s="976"/>
      <c r="CB6" s="976"/>
      <c r="CC6" s="976"/>
      <c r="CD6" s="976"/>
      <c r="CE6" s="976"/>
      <c r="CF6" s="976"/>
      <c r="CG6" s="976"/>
      <c r="CH6" s="976"/>
      <c r="CI6" s="976"/>
      <c r="CJ6" s="976"/>
      <c r="CK6" s="976"/>
      <c r="CL6" s="976"/>
      <c r="CM6" s="976"/>
      <c r="CN6" s="995" t="s">
        <v>0</v>
      </c>
      <c r="CO6" s="996"/>
      <c r="CP6" s="997"/>
      <c r="CQ6" s="1000" t="e">
        <f>AO6</f>
        <v>#REF!</v>
      </c>
      <c r="CR6" s="976"/>
      <c r="CS6" s="976"/>
      <c r="CT6" s="976"/>
      <c r="CU6" s="976"/>
      <c r="CV6" s="976"/>
      <c r="CW6" s="976"/>
      <c r="CX6" s="976"/>
      <c r="CY6" s="976"/>
      <c r="CZ6" s="976"/>
      <c r="DA6" s="976"/>
      <c r="DB6" s="976"/>
      <c r="DC6" s="976"/>
      <c r="DD6" s="976"/>
      <c r="DE6" s="976"/>
      <c r="DF6" s="995" t="s">
        <v>0</v>
      </c>
      <c r="DG6" s="996"/>
      <c r="DH6" s="997"/>
      <c r="DI6" s="1000" t="e">
        <f>BG6</f>
        <v>#REF!</v>
      </c>
      <c r="DJ6" s="976"/>
      <c r="DK6" s="976"/>
      <c r="DL6" s="976"/>
      <c r="DM6" s="976"/>
      <c r="DN6" s="976"/>
      <c r="DO6" s="976"/>
      <c r="DP6" s="976"/>
      <c r="DQ6" s="976"/>
      <c r="DR6" s="976"/>
      <c r="DS6" s="976"/>
      <c r="DT6" s="976"/>
      <c r="DU6" s="976"/>
      <c r="DV6" s="976"/>
      <c r="DW6" s="976"/>
      <c r="DX6" s="995" t="s">
        <v>0</v>
      </c>
      <c r="DY6" s="996"/>
      <c r="DZ6" s="997"/>
      <c r="EA6" s="1000" t="e">
        <f>BY6</f>
        <v>#REF!</v>
      </c>
      <c r="EB6" s="976"/>
      <c r="EC6" s="976"/>
      <c r="ED6" s="976"/>
      <c r="EE6" s="976"/>
      <c r="EF6" s="976"/>
      <c r="EG6" s="976"/>
      <c r="EH6" s="976"/>
      <c r="EI6" s="976"/>
      <c r="EJ6" s="976"/>
      <c r="EK6" s="976"/>
      <c r="EL6" s="976"/>
      <c r="EM6" s="976"/>
      <c r="EN6" s="976"/>
      <c r="EO6" s="976"/>
      <c r="EP6" s="995" t="s">
        <v>0</v>
      </c>
      <c r="EQ6" s="996"/>
      <c r="ER6" s="997"/>
      <c r="ES6" s="1000" t="e">
        <f>CQ6</f>
        <v>#REF!</v>
      </c>
      <c r="ET6" s="976"/>
      <c r="EU6" s="976"/>
      <c r="EV6" s="976"/>
      <c r="EW6" s="976"/>
      <c r="EX6" s="976"/>
      <c r="EY6" s="976"/>
      <c r="EZ6" s="976"/>
      <c r="FA6" s="976"/>
      <c r="FB6" s="976"/>
      <c r="FC6" s="976"/>
      <c r="FD6" s="976"/>
      <c r="FE6" s="976"/>
      <c r="FF6" s="976"/>
      <c r="FG6" s="976"/>
      <c r="FH6" s="995" t="s">
        <v>0</v>
      </c>
      <c r="FI6" s="996"/>
      <c r="FJ6" s="997"/>
      <c r="FK6" s="1000" t="e">
        <f>DI6</f>
        <v>#REF!</v>
      </c>
      <c r="FL6" s="976"/>
      <c r="FM6" s="976"/>
      <c r="FN6" s="976"/>
      <c r="FO6" s="976"/>
      <c r="FP6" s="976"/>
      <c r="FQ6" s="976"/>
      <c r="FR6" s="976"/>
      <c r="FS6" s="976"/>
      <c r="FT6" s="976"/>
      <c r="FU6" s="976"/>
      <c r="FV6" s="976"/>
      <c r="FW6" s="976"/>
      <c r="FX6" s="976"/>
      <c r="FY6" s="976"/>
    </row>
    <row r="7" spans="2:181" ht="12.75" customHeight="1" x14ac:dyDescent="0.25">
      <c r="B7" s="998"/>
      <c r="C7" s="981"/>
      <c r="D7" s="999"/>
      <c r="E7" s="976"/>
      <c r="F7" s="976"/>
      <c r="G7" s="976"/>
      <c r="H7" s="976"/>
      <c r="I7" s="976"/>
      <c r="J7" s="976"/>
      <c r="K7" s="976"/>
      <c r="L7" s="976"/>
      <c r="M7" s="976"/>
      <c r="N7" s="976"/>
      <c r="O7" s="976"/>
      <c r="P7" s="976"/>
      <c r="Q7" s="976"/>
      <c r="R7" s="976"/>
      <c r="S7" s="976"/>
      <c r="T7" s="998"/>
      <c r="U7" s="981"/>
      <c r="V7" s="999"/>
      <c r="W7" s="976"/>
      <c r="X7" s="976"/>
      <c r="Y7" s="976"/>
      <c r="Z7" s="976"/>
      <c r="AA7" s="976"/>
      <c r="AB7" s="976"/>
      <c r="AC7" s="976"/>
      <c r="AD7" s="976"/>
      <c r="AE7" s="976"/>
      <c r="AF7" s="976"/>
      <c r="AG7" s="976"/>
      <c r="AH7" s="976"/>
      <c r="AI7" s="976"/>
      <c r="AJ7" s="976"/>
      <c r="AK7" s="976"/>
      <c r="AL7" s="998"/>
      <c r="AM7" s="981"/>
      <c r="AN7" s="999"/>
      <c r="AO7" s="976"/>
      <c r="AP7" s="976"/>
      <c r="AQ7" s="976"/>
      <c r="AR7" s="976"/>
      <c r="AS7" s="976"/>
      <c r="AT7" s="976"/>
      <c r="AU7" s="976"/>
      <c r="AV7" s="976"/>
      <c r="AW7" s="976"/>
      <c r="AX7" s="976"/>
      <c r="AY7" s="976"/>
      <c r="AZ7" s="976"/>
      <c r="BA7" s="976"/>
      <c r="BB7" s="976"/>
      <c r="BC7" s="976"/>
      <c r="BD7" s="998"/>
      <c r="BE7" s="981"/>
      <c r="BF7" s="999"/>
      <c r="BG7" s="976"/>
      <c r="BH7" s="976"/>
      <c r="BI7" s="976"/>
      <c r="BJ7" s="976"/>
      <c r="BK7" s="976"/>
      <c r="BL7" s="976"/>
      <c r="BM7" s="976"/>
      <c r="BN7" s="976"/>
      <c r="BO7" s="976"/>
      <c r="BP7" s="976"/>
      <c r="BQ7" s="976"/>
      <c r="BR7" s="976"/>
      <c r="BS7" s="976"/>
      <c r="BT7" s="976"/>
      <c r="BU7" s="976"/>
      <c r="BV7" s="998"/>
      <c r="BW7" s="981"/>
      <c r="BX7" s="999"/>
      <c r="BY7" s="976"/>
      <c r="BZ7" s="976"/>
      <c r="CA7" s="976"/>
      <c r="CB7" s="976"/>
      <c r="CC7" s="976"/>
      <c r="CD7" s="976"/>
      <c r="CE7" s="976"/>
      <c r="CF7" s="976"/>
      <c r="CG7" s="976"/>
      <c r="CH7" s="976"/>
      <c r="CI7" s="976"/>
      <c r="CJ7" s="976"/>
      <c r="CK7" s="976"/>
      <c r="CL7" s="976"/>
      <c r="CM7" s="976"/>
      <c r="CN7" s="998"/>
      <c r="CO7" s="981"/>
      <c r="CP7" s="999"/>
      <c r="CQ7" s="976"/>
      <c r="CR7" s="976"/>
      <c r="CS7" s="976"/>
      <c r="CT7" s="976"/>
      <c r="CU7" s="976"/>
      <c r="CV7" s="976"/>
      <c r="CW7" s="976"/>
      <c r="CX7" s="976"/>
      <c r="CY7" s="976"/>
      <c r="CZ7" s="976"/>
      <c r="DA7" s="976"/>
      <c r="DB7" s="976"/>
      <c r="DC7" s="976"/>
      <c r="DD7" s="976"/>
      <c r="DE7" s="976"/>
      <c r="DF7" s="998"/>
      <c r="DG7" s="981"/>
      <c r="DH7" s="999"/>
      <c r="DI7" s="976"/>
      <c r="DJ7" s="976"/>
      <c r="DK7" s="976"/>
      <c r="DL7" s="976"/>
      <c r="DM7" s="976"/>
      <c r="DN7" s="976"/>
      <c r="DO7" s="976"/>
      <c r="DP7" s="976"/>
      <c r="DQ7" s="976"/>
      <c r="DR7" s="976"/>
      <c r="DS7" s="976"/>
      <c r="DT7" s="976"/>
      <c r="DU7" s="976"/>
      <c r="DV7" s="976"/>
      <c r="DW7" s="976"/>
      <c r="DX7" s="998"/>
      <c r="DY7" s="981"/>
      <c r="DZ7" s="999"/>
      <c r="EA7" s="976"/>
      <c r="EB7" s="976"/>
      <c r="EC7" s="976"/>
      <c r="ED7" s="976"/>
      <c r="EE7" s="976"/>
      <c r="EF7" s="976"/>
      <c r="EG7" s="976"/>
      <c r="EH7" s="976"/>
      <c r="EI7" s="976"/>
      <c r="EJ7" s="976"/>
      <c r="EK7" s="976"/>
      <c r="EL7" s="976"/>
      <c r="EM7" s="976"/>
      <c r="EN7" s="976"/>
      <c r="EO7" s="976"/>
      <c r="EP7" s="998"/>
      <c r="EQ7" s="981"/>
      <c r="ER7" s="999"/>
      <c r="ES7" s="976"/>
      <c r="ET7" s="976"/>
      <c r="EU7" s="976"/>
      <c r="EV7" s="976"/>
      <c r="EW7" s="976"/>
      <c r="EX7" s="976"/>
      <c r="EY7" s="976"/>
      <c r="EZ7" s="976"/>
      <c r="FA7" s="976"/>
      <c r="FB7" s="976"/>
      <c r="FC7" s="976"/>
      <c r="FD7" s="976"/>
      <c r="FE7" s="976"/>
      <c r="FF7" s="976"/>
      <c r="FG7" s="976"/>
      <c r="FH7" s="998"/>
      <c r="FI7" s="981"/>
      <c r="FJ7" s="999"/>
      <c r="FK7" s="976"/>
      <c r="FL7" s="976"/>
      <c r="FM7" s="976"/>
      <c r="FN7" s="976"/>
      <c r="FO7" s="976"/>
      <c r="FP7" s="976"/>
      <c r="FQ7" s="976"/>
      <c r="FR7" s="976"/>
      <c r="FS7" s="976"/>
      <c r="FT7" s="976"/>
      <c r="FU7" s="976"/>
      <c r="FV7" s="976"/>
      <c r="FW7" s="976"/>
      <c r="FX7" s="976"/>
      <c r="FY7" s="976"/>
    </row>
    <row r="8" spans="2:181" ht="12.75" customHeight="1" x14ac:dyDescent="0.25">
      <c r="B8" s="1001" t="s">
        <v>1</v>
      </c>
      <c r="C8" s="1002"/>
      <c r="D8" s="1003"/>
      <c r="E8" s="607" t="e">
        <f>#REF!</f>
        <v>#REF!</v>
      </c>
      <c r="F8" s="607"/>
      <c r="G8" s="607"/>
      <c r="H8" s="607"/>
      <c r="I8" s="607"/>
      <c r="J8" s="607"/>
      <c r="K8" s="607"/>
      <c r="L8" s="607"/>
      <c r="M8" s="607"/>
      <c r="N8" s="607"/>
      <c r="O8" s="607"/>
      <c r="P8" s="607"/>
      <c r="Q8" s="607"/>
      <c r="R8" s="607"/>
      <c r="S8" s="607"/>
      <c r="T8" s="1001" t="s">
        <v>1</v>
      </c>
      <c r="U8" s="1002"/>
      <c r="V8" s="1003"/>
      <c r="W8" s="976" t="e">
        <f>E8</f>
        <v>#REF!</v>
      </c>
      <c r="X8" s="976"/>
      <c r="Y8" s="976"/>
      <c r="Z8" s="976"/>
      <c r="AA8" s="976"/>
      <c r="AB8" s="976"/>
      <c r="AC8" s="976"/>
      <c r="AD8" s="976"/>
      <c r="AE8" s="976"/>
      <c r="AF8" s="976"/>
      <c r="AG8" s="976"/>
      <c r="AH8" s="976"/>
      <c r="AI8" s="976"/>
      <c r="AJ8" s="976"/>
      <c r="AK8" s="976"/>
      <c r="AL8" s="1001" t="s">
        <v>1</v>
      </c>
      <c r="AM8" s="1002"/>
      <c r="AN8" s="1003"/>
      <c r="AO8" s="607" t="e">
        <f>E8</f>
        <v>#REF!</v>
      </c>
      <c r="AP8" s="607"/>
      <c r="AQ8" s="607"/>
      <c r="AR8" s="607"/>
      <c r="AS8" s="607"/>
      <c r="AT8" s="607"/>
      <c r="AU8" s="607"/>
      <c r="AV8" s="607"/>
      <c r="AW8" s="607"/>
      <c r="AX8" s="607"/>
      <c r="AY8" s="607"/>
      <c r="AZ8" s="607"/>
      <c r="BA8" s="607"/>
      <c r="BB8" s="607"/>
      <c r="BC8" s="607"/>
      <c r="BD8" s="1001" t="s">
        <v>1</v>
      </c>
      <c r="BE8" s="1002"/>
      <c r="BF8" s="1003"/>
      <c r="BG8" s="607" t="e">
        <f>E8</f>
        <v>#REF!</v>
      </c>
      <c r="BH8" s="607"/>
      <c r="BI8" s="607"/>
      <c r="BJ8" s="607"/>
      <c r="BK8" s="607"/>
      <c r="BL8" s="607"/>
      <c r="BM8" s="607"/>
      <c r="BN8" s="607"/>
      <c r="BO8" s="607"/>
      <c r="BP8" s="607"/>
      <c r="BQ8" s="607"/>
      <c r="BR8" s="607"/>
      <c r="BS8" s="607"/>
      <c r="BT8" s="607"/>
      <c r="BU8" s="607"/>
      <c r="BV8" s="1001" t="s">
        <v>1</v>
      </c>
      <c r="BW8" s="1002"/>
      <c r="BX8" s="1003"/>
      <c r="BY8" s="607" t="e">
        <f>W8</f>
        <v>#REF!</v>
      </c>
      <c r="BZ8" s="607"/>
      <c r="CA8" s="607"/>
      <c r="CB8" s="607"/>
      <c r="CC8" s="607"/>
      <c r="CD8" s="607"/>
      <c r="CE8" s="607"/>
      <c r="CF8" s="607"/>
      <c r="CG8" s="607"/>
      <c r="CH8" s="607"/>
      <c r="CI8" s="607"/>
      <c r="CJ8" s="607"/>
      <c r="CK8" s="607"/>
      <c r="CL8" s="607"/>
      <c r="CM8" s="607"/>
      <c r="CN8" s="1001" t="s">
        <v>1</v>
      </c>
      <c r="CO8" s="1002"/>
      <c r="CP8" s="1003"/>
      <c r="CQ8" s="607" t="e">
        <f>AO8</f>
        <v>#REF!</v>
      </c>
      <c r="CR8" s="607"/>
      <c r="CS8" s="607"/>
      <c r="CT8" s="607"/>
      <c r="CU8" s="607"/>
      <c r="CV8" s="607"/>
      <c r="CW8" s="607"/>
      <c r="CX8" s="607"/>
      <c r="CY8" s="607"/>
      <c r="CZ8" s="607"/>
      <c r="DA8" s="607"/>
      <c r="DB8" s="607"/>
      <c r="DC8" s="607"/>
      <c r="DD8" s="607"/>
      <c r="DE8" s="607"/>
      <c r="DF8" s="1001" t="s">
        <v>1</v>
      </c>
      <c r="DG8" s="1002"/>
      <c r="DH8" s="1003"/>
      <c r="DI8" s="607" t="e">
        <f>BG8</f>
        <v>#REF!</v>
      </c>
      <c r="DJ8" s="607"/>
      <c r="DK8" s="607"/>
      <c r="DL8" s="607"/>
      <c r="DM8" s="607"/>
      <c r="DN8" s="607"/>
      <c r="DO8" s="607"/>
      <c r="DP8" s="607"/>
      <c r="DQ8" s="607"/>
      <c r="DR8" s="607"/>
      <c r="DS8" s="607"/>
      <c r="DT8" s="607"/>
      <c r="DU8" s="607"/>
      <c r="DV8" s="607"/>
      <c r="DW8" s="607"/>
      <c r="DX8" s="1001" t="s">
        <v>1</v>
      </c>
      <c r="DY8" s="1002"/>
      <c r="DZ8" s="1003"/>
      <c r="EA8" s="607" t="e">
        <f>BY8</f>
        <v>#REF!</v>
      </c>
      <c r="EB8" s="607"/>
      <c r="EC8" s="607"/>
      <c r="ED8" s="607"/>
      <c r="EE8" s="607"/>
      <c r="EF8" s="607"/>
      <c r="EG8" s="607"/>
      <c r="EH8" s="607"/>
      <c r="EI8" s="607"/>
      <c r="EJ8" s="607"/>
      <c r="EK8" s="607"/>
      <c r="EL8" s="607"/>
      <c r="EM8" s="607"/>
      <c r="EN8" s="607"/>
      <c r="EO8" s="607"/>
      <c r="EP8" s="1001" t="s">
        <v>1</v>
      </c>
      <c r="EQ8" s="1002"/>
      <c r="ER8" s="1003"/>
      <c r="ES8" s="607" t="e">
        <f>CQ8</f>
        <v>#REF!</v>
      </c>
      <c r="ET8" s="607"/>
      <c r="EU8" s="607"/>
      <c r="EV8" s="607"/>
      <c r="EW8" s="607"/>
      <c r="EX8" s="607"/>
      <c r="EY8" s="607"/>
      <c r="EZ8" s="607"/>
      <c r="FA8" s="607"/>
      <c r="FB8" s="607"/>
      <c r="FC8" s="607"/>
      <c r="FD8" s="607"/>
      <c r="FE8" s="607"/>
      <c r="FF8" s="607"/>
      <c r="FG8" s="607"/>
      <c r="FH8" s="1001" t="s">
        <v>1</v>
      </c>
      <c r="FI8" s="1002"/>
      <c r="FJ8" s="1003"/>
      <c r="FK8" s="607" t="e">
        <f>DI8</f>
        <v>#REF!</v>
      </c>
      <c r="FL8" s="607"/>
      <c r="FM8" s="607"/>
      <c r="FN8" s="607"/>
      <c r="FO8" s="607"/>
      <c r="FP8" s="607"/>
      <c r="FQ8" s="607"/>
      <c r="FR8" s="607"/>
      <c r="FS8" s="607"/>
      <c r="FT8" s="607"/>
      <c r="FU8" s="607"/>
      <c r="FV8" s="607"/>
      <c r="FW8" s="607"/>
      <c r="FX8" s="607"/>
      <c r="FY8" s="607"/>
    </row>
    <row r="9" spans="2:181" ht="12.75" customHeight="1" x14ac:dyDescent="0.25">
      <c r="B9" s="1004"/>
      <c r="C9" s="1005"/>
      <c r="D9" s="1006"/>
      <c r="E9" s="607"/>
      <c r="F9" s="607"/>
      <c r="G9" s="607"/>
      <c r="H9" s="607"/>
      <c r="I9" s="607"/>
      <c r="J9" s="607"/>
      <c r="K9" s="607"/>
      <c r="L9" s="607"/>
      <c r="M9" s="607"/>
      <c r="N9" s="607"/>
      <c r="O9" s="607"/>
      <c r="P9" s="607"/>
      <c r="Q9" s="607"/>
      <c r="R9" s="607"/>
      <c r="S9" s="607"/>
      <c r="T9" s="1004"/>
      <c r="U9" s="1005"/>
      <c r="V9" s="1006"/>
      <c r="W9" s="976"/>
      <c r="X9" s="976"/>
      <c r="Y9" s="976"/>
      <c r="Z9" s="976"/>
      <c r="AA9" s="976"/>
      <c r="AB9" s="976"/>
      <c r="AC9" s="976"/>
      <c r="AD9" s="976"/>
      <c r="AE9" s="976"/>
      <c r="AF9" s="976"/>
      <c r="AG9" s="976"/>
      <c r="AH9" s="976"/>
      <c r="AI9" s="976"/>
      <c r="AJ9" s="976"/>
      <c r="AK9" s="976"/>
      <c r="AL9" s="1004"/>
      <c r="AM9" s="1005"/>
      <c r="AN9" s="1006"/>
      <c r="AO9" s="607"/>
      <c r="AP9" s="607"/>
      <c r="AQ9" s="607"/>
      <c r="AR9" s="607"/>
      <c r="AS9" s="607"/>
      <c r="AT9" s="607"/>
      <c r="AU9" s="607"/>
      <c r="AV9" s="607"/>
      <c r="AW9" s="607"/>
      <c r="AX9" s="607"/>
      <c r="AY9" s="607"/>
      <c r="AZ9" s="607"/>
      <c r="BA9" s="607"/>
      <c r="BB9" s="607"/>
      <c r="BC9" s="607"/>
      <c r="BD9" s="1004"/>
      <c r="BE9" s="1005"/>
      <c r="BF9" s="1006"/>
      <c r="BG9" s="607"/>
      <c r="BH9" s="607"/>
      <c r="BI9" s="607"/>
      <c r="BJ9" s="607"/>
      <c r="BK9" s="607"/>
      <c r="BL9" s="607"/>
      <c r="BM9" s="607"/>
      <c r="BN9" s="607"/>
      <c r="BO9" s="607"/>
      <c r="BP9" s="607"/>
      <c r="BQ9" s="607"/>
      <c r="BR9" s="607"/>
      <c r="BS9" s="607"/>
      <c r="BT9" s="607"/>
      <c r="BU9" s="607"/>
      <c r="BV9" s="1004"/>
      <c r="BW9" s="1005"/>
      <c r="BX9" s="1006"/>
      <c r="BY9" s="607"/>
      <c r="BZ9" s="607"/>
      <c r="CA9" s="607"/>
      <c r="CB9" s="607"/>
      <c r="CC9" s="607"/>
      <c r="CD9" s="607"/>
      <c r="CE9" s="607"/>
      <c r="CF9" s="607"/>
      <c r="CG9" s="607"/>
      <c r="CH9" s="607"/>
      <c r="CI9" s="607"/>
      <c r="CJ9" s="607"/>
      <c r="CK9" s="607"/>
      <c r="CL9" s="607"/>
      <c r="CM9" s="607"/>
      <c r="CN9" s="1004"/>
      <c r="CO9" s="1005"/>
      <c r="CP9" s="1006"/>
      <c r="CQ9" s="607"/>
      <c r="CR9" s="607"/>
      <c r="CS9" s="607"/>
      <c r="CT9" s="607"/>
      <c r="CU9" s="607"/>
      <c r="CV9" s="607"/>
      <c r="CW9" s="607"/>
      <c r="CX9" s="607"/>
      <c r="CY9" s="607"/>
      <c r="CZ9" s="607"/>
      <c r="DA9" s="607"/>
      <c r="DB9" s="607"/>
      <c r="DC9" s="607"/>
      <c r="DD9" s="607"/>
      <c r="DE9" s="607"/>
      <c r="DF9" s="1004"/>
      <c r="DG9" s="1005"/>
      <c r="DH9" s="1006"/>
      <c r="DI9" s="607"/>
      <c r="DJ9" s="607"/>
      <c r="DK9" s="607"/>
      <c r="DL9" s="607"/>
      <c r="DM9" s="607"/>
      <c r="DN9" s="607"/>
      <c r="DO9" s="607"/>
      <c r="DP9" s="607"/>
      <c r="DQ9" s="607"/>
      <c r="DR9" s="607"/>
      <c r="DS9" s="607"/>
      <c r="DT9" s="607"/>
      <c r="DU9" s="607"/>
      <c r="DV9" s="607"/>
      <c r="DW9" s="607"/>
      <c r="DX9" s="1004"/>
      <c r="DY9" s="1005"/>
      <c r="DZ9" s="1006"/>
      <c r="EA9" s="607"/>
      <c r="EB9" s="607"/>
      <c r="EC9" s="607"/>
      <c r="ED9" s="607"/>
      <c r="EE9" s="607"/>
      <c r="EF9" s="607"/>
      <c r="EG9" s="607"/>
      <c r="EH9" s="607"/>
      <c r="EI9" s="607"/>
      <c r="EJ9" s="607"/>
      <c r="EK9" s="607"/>
      <c r="EL9" s="607"/>
      <c r="EM9" s="607"/>
      <c r="EN9" s="607"/>
      <c r="EO9" s="607"/>
      <c r="EP9" s="1004"/>
      <c r="EQ9" s="1005"/>
      <c r="ER9" s="1006"/>
      <c r="ES9" s="607"/>
      <c r="ET9" s="607"/>
      <c r="EU9" s="607"/>
      <c r="EV9" s="607"/>
      <c r="EW9" s="607"/>
      <c r="EX9" s="607"/>
      <c r="EY9" s="607"/>
      <c r="EZ9" s="607"/>
      <c r="FA9" s="607"/>
      <c r="FB9" s="607"/>
      <c r="FC9" s="607"/>
      <c r="FD9" s="607"/>
      <c r="FE9" s="607"/>
      <c r="FF9" s="607"/>
      <c r="FG9" s="607"/>
      <c r="FH9" s="1004"/>
      <c r="FI9" s="1005"/>
      <c r="FJ9" s="1006"/>
      <c r="FK9" s="607"/>
      <c r="FL9" s="607"/>
      <c r="FM9" s="607"/>
      <c r="FN9" s="607"/>
      <c r="FO9" s="607"/>
      <c r="FP9" s="607"/>
      <c r="FQ9" s="607"/>
      <c r="FR9" s="607"/>
      <c r="FS9" s="607"/>
      <c r="FT9" s="607"/>
      <c r="FU9" s="607"/>
      <c r="FV9" s="607"/>
      <c r="FW9" s="607"/>
      <c r="FX9" s="607"/>
      <c r="FY9" s="607"/>
    </row>
    <row r="10" spans="2:181" ht="27.75" customHeight="1" x14ac:dyDescent="0.25">
      <c r="B10" s="965" t="s">
        <v>637</v>
      </c>
      <c r="C10" s="966"/>
      <c r="D10" s="983"/>
      <c r="E10" s="607"/>
      <c r="F10" s="607"/>
      <c r="G10" s="607"/>
      <c r="H10" s="607"/>
      <c r="I10" s="607"/>
      <c r="J10" s="607"/>
      <c r="K10" s="607"/>
      <c r="L10" s="607"/>
      <c r="M10" s="607"/>
      <c r="N10" s="607"/>
      <c r="O10" s="607"/>
      <c r="P10" s="607"/>
      <c r="Q10" s="607"/>
      <c r="R10" s="607"/>
      <c r="S10" s="607"/>
      <c r="T10" s="965" t="s">
        <v>2</v>
      </c>
      <c r="U10" s="966"/>
      <c r="V10" s="983"/>
      <c r="W10" s="607">
        <f>E10</f>
        <v>0</v>
      </c>
      <c r="X10" s="607"/>
      <c r="Y10" s="607"/>
      <c r="Z10" s="607"/>
      <c r="AA10" s="607"/>
      <c r="AB10" s="607"/>
      <c r="AC10" s="607"/>
      <c r="AD10" s="607"/>
      <c r="AE10" s="607"/>
      <c r="AF10" s="607"/>
      <c r="AG10" s="607"/>
      <c r="AH10" s="607"/>
      <c r="AI10" s="607"/>
      <c r="AJ10" s="607"/>
      <c r="AK10" s="607"/>
      <c r="AL10" s="965" t="s">
        <v>2</v>
      </c>
      <c r="AM10" s="966"/>
      <c r="AN10" s="983"/>
      <c r="AO10" s="607">
        <f>E10</f>
        <v>0</v>
      </c>
      <c r="AP10" s="607"/>
      <c r="AQ10" s="607"/>
      <c r="AR10" s="607"/>
      <c r="AS10" s="607"/>
      <c r="AT10" s="607"/>
      <c r="AU10" s="607"/>
      <c r="AV10" s="607"/>
      <c r="AW10" s="607"/>
      <c r="AX10" s="607"/>
      <c r="AY10" s="607"/>
      <c r="AZ10" s="607"/>
      <c r="BA10" s="607"/>
      <c r="BB10" s="607"/>
      <c r="BC10" s="607"/>
      <c r="BD10" s="965" t="s">
        <v>2</v>
      </c>
      <c r="BE10" s="966"/>
      <c r="BF10" s="983"/>
      <c r="BG10" s="607">
        <f>E10</f>
        <v>0</v>
      </c>
      <c r="BH10" s="607"/>
      <c r="BI10" s="607"/>
      <c r="BJ10" s="607"/>
      <c r="BK10" s="607"/>
      <c r="BL10" s="607"/>
      <c r="BM10" s="607"/>
      <c r="BN10" s="607"/>
      <c r="BO10" s="607"/>
      <c r="BP10" s="607"/>
      <c r="BQ10" s="607"/>
      <c r="BR10" s="607"/>
      <c r="BS10" s="607"/>
      <c r="BT10" s="607"/>
      <c r="BU10" s="607"/>
      <c r="BV10" s="965" t="s">
        <v>2</v>
      </c>
      <c r="BW10" s="966"/>
      <c r="BX10" s="983"/>
      <c r="BY10" s="607">
        <f>W10</f>
        <v>0</v>
      </c>
      <c r="BZ10" s="607"/>
      <c r="CA10" s="607"/>
      <c r="CB10" s="607"/>
      <c r="CC10" s="607"/>
      <c r="CD10" s="607"/>
      <c r="CE10" s="607"/>
      <c r="CF10" s="607"/>
      <c r="CG10" s="607"/>
      <c r="CH10" s="607"/>
      <c r="CI10" s="607"/>
      <c r="CJ10" s="607"/>
      <c r="CK10" s="607"/>
      <c r="CL10" s="607"/>
      <c r="CM10" s="607"/>
      <c r="CN10" s="965" t="s">
        <v>2</v>
      </c>
      <c r="CO10" s="966"/>
      <c r="CP10" s="983"/>
      <c r="CQ10" s="607">
        <f>AO10</f>
        <v>0</v>
      </c>
      <c r="CR10" s="607"/>
      <c r="CS10" s="607"/>
      <c r="CT10" s="607"/>
      <c r="CU10" s="607"/>
      <c r="CV10" s="607"/>
      <c r="CW10" s="607"/>
      <c r="CX10" s="607"/>
      <c r="CY10" s="607"/>
      <c r="CZ10" s="607"/>
      <c r="DA10" s="607"/>
      <c r="DB10" s="607"/>
      <c r="DC10" s="607"/>
      <c r="DD10" s="607"/>
      <c r="DE10" s="607"/>
      <c r="DF10" s="965" t="s">
        <v>2</v>
      </c>
      <c r="DG10" s="966"/>
      <c r="DH10" s="983"/>
      <c r="DI10" s="607">
        <f>BG10</f>
        <v>0</v>
      </c>
      <c r="DJ10" s="607"/>
      <c r="DK10" s="607"/>
      <c r="DL10" s="607"/>
      <c r="DM10" s="607"/>
      <c r="DN10" s="607"/>
      <c r="DO10" s="607"/>
      <c r="DP10" s="607"/>
      <c r="DQ10" s="607"/>
      <c r="DR10" s="607"/>
      <c r="DS10" s="607"/>
      <c r="DT10" s="607"/>
      <c r="DU10" s="607"/>
      <c r="DV10" s="607"/>
      <c r="DW10" s="607"/>
      <c r="DX10" s="965" t="s">
        <v>2</v>
      </c>
      <c r="DY10" s="966"/>
      <c r="DZ10" s="983"/>
      <c r="EA10" s="607">
        <f>BY10</f>
        <v>0</v>
      </c>
      <c r="EB10" s="607"/>
      <c r="EC10" s="607"/>
      <c r="ED10" s="607"/>
      <c r="EE10" s="607"/>
      <c r="EF10" s="607"/>
      <c r="EG10" s="607"/>
      <c r="EH10" s="607"/>
      <c r="EI10" s="607"/>
      <c r="EJ10" s="607"/>
      <c r="EK10" s="607"/>
      <c r="EL10" s="607"/>
      <c r="EM10" s="607"/>
      <c r="EN10" s="607"/>
      <c r="EO10" s="607"/>
      <c r="EP10" s="965" t="s">
        <v>2</v>
      </c>
      <c r="EQ10" s="966"/>
      <c r="ER10" s="983"/>
      <c r="ES10" s="607">
        <f>CQ10</f>
        <v>0</v>
      </c>
      <c r="ET10" s="607"/>
      <c r="EU10" s="607"/>
      <c r="EV10" s="607"/>
      <c r="EW10" s="607"/>
      <c r="EX10" s="607"/>
      <c r="EY10" s="607"/>
      <c r="EZ10" s="607"/>
      <c r="FA10" s="607"/>
      <c r="FB10" s="607"/>
      <c r="FC10" s="607"/>
      <c r="FD10" s="607"/>
      <c r="FE10" s="607"/>
      <c r="FF10" s="607"/>
      <c r="FG10" s="607"/>
      <c r="FH10" s="965" t="s">
        <v>2</v>
      </c>
      <c r="FI10" s="966"/>
      <c r="FJ10" s="983"/>
      <c r="FK10" s="607">
        <f>DI10</f>
        <v>0</v>
      </c>
      <c r="FL10" s="607"/>
      <c r="FM10" s="607"/>
      <c r="FN10" s="607"/>
      <c r="FO10" s="607"/>
      <c r="FP10" s="607"/>
      <c r="FQ10" s="607"/>
      <c r="FR10" s="607"/>
      <c r="FS10" s="607"/>
      <c r="FT10" s="607"/>
      <c r="FU10" s="607"/>
      <c r="FV10" s="607"/>
      <c r="FW10" s="607"/>
      <c r="FX10" s="607"/>
      <c r="FY10" s="607"/>
    </row>
    <row r="11" spans="2:181" hidden="1" x14ac:dyDescent="0.25">
      <c r="B11" s="965" t="s">
        <v>3</v>
      </c>
      <c r="C11" s="966"/>
      <c r="D11" s="983"/>
      <c r="E11" s="967"/>
      <c r="F11" s="967"/>
      <c r="G11" s="967"/>
      <c r="H11" s="967"/>
      <c r="I11" s="967"/>
      <c r="J11" s="967"/>
      <c r="K11" s="967"/>
      <c r="L11" s="967"/>
      <c r="M11" s="967"/>
      <c r="N11" s="967"/>
      <c r="O11" s="967"/>
      <c r="P11" s="967"/>
      <c r="Q11" s="967"/>
      <c r="R11" s="967"/>
      <c r="S11" s="967"/>
      <c r="T11" s="965" t="s">
        <v>3</v>
      </c>
      <c r="U11" s="966"/>
      <c r="V11" s="983"/>
      <c r="W11" s="967">
        <f>E11</f>
        <v>0</v>
      </c>
      <c r="X11" s="967"/>
      <c r="Y11" s="967"/>
      <c r="Z11" s="967"/>
      <c r="AA11" s="967"/>
      <c r="AB11" s="967"/>
      <c r="AC11" s="967"/>
      <c r="AD11" s="967"/>
      <c r="AE11" s="967"/>
      <c r="AF11" s="967"/>
      <c r="AG11" s="967"/>
      <c r="AH11" s="967"/>
      <c r="AI11" s="967"/>
      <c r="AJ11" s="967"/>
      <c r="AK11" s="967"/>
      <c r="AL11" s="965" t="s">
        <v>3</v>
      </c>
      <c r="AM11" s="966"/>
      <c r="AN11" s="983"/>
      <c r="AO11" s="967">
        <f>E11</f>
        <v>0</v>
      </c>
      <c r="AP11" s="967"/>
      <c r="AQ11" s="967"/>
      <c r="AR11" s="967"/>
      <c r="AS11" s="967"/>
      <c r="AT11" s="967"/>
      <c r="AU11" s="967"/>
      <c r="AV11" s="967"/>
      <c r="AW11" s="967"/>
      <c r="AX11" s="967"/>
      <c r="AY11" s="967"/>
      <c r="AZ11" s="967"/>
      <c r="BA11" s="967"/>
      <c r="BB11" s="967"/>
      <c r="BC11" s="967"/>
      <c r="BD11" s="965" t="s">
        <v>3</v>
      </c>
      <c r="BE11" s="966"/>
      <c r="BF11" s="983"/>
      <c r="BG11" s="967">
        <f>E11</f>
        <v>0</v>
      </c>
      <c r="BH11" s="967"/>
      <c r="BI11" s="967"/>
      <c r="BJ11" s="967"/>
      <c r="BK11" s="967"/>
      <c r="BL11" s="967"/>
      <c r="BM11" s="967"/>
      <c r="BN11" s="967"/>
      <c r="BO11" s="967"/>
      <c r="BP11" s="967"/>
      <c r="BQ11" s="967"/>
      <c r="BR11" s="967"/>
      <c r="BS11" s="967"/>
      <c r="BT11" s="967"/>
      <c r="BU11" s="967"/>
      <c r="BV11" s="965" t="s">
        <v>3</v>
      </c>
      <c r="BW11" s="966"/>
      <c r="BX11" s="983"/>
      <c r="BY11" s="967">
        <f>W11</f>
        <v>0</v>
      </c>
      <c r="BZ11" s="967"/>
      <c r="CA11" s="967"/>
      <c r="CB11" s="967"/>
      <c r="CC11" s="967"/>
      <c r="CD11" s="967"/>
      <c r="CE11" s="967"/>
      <c r="CF11" s="967"/>
      <c r="CG11" s="967"/>
      <c r="CH11" s="967"/>
      <c r="CI11" s="967"/>
      <c r="CJ11" s="967"/>
      <c r="CK11" s="967"/>
      <c r="CL11" s="967"/>
      <c r="CM11" s="967"/>
      <c r="CN11" s="965" t="s">
        <v>3</v>
      </c>
      <c r="CO11" s="966"/>
      <c r="CP11" s="983"/>
      <c r="CQ11" s="967">
        <f>AO11</f>
        <v>0</v>
      </c>
      <c r="CR11" s="967"/>
      <c r="CS11" s="967"/>
      <c r="CT11" s="967"/>
      <c r="CU11" s="967"/>
      <c r="CV11" s="967"/>
      <c r="CW11" s="967"/>
      <c r="CX11" s="967"/>
      <c r="CY11" s="967"/>
      <c r="CZ11" s="967"/>
      <c r="DA11" s="967"/>
      <c r="DB11" s="967"/>
      <c r="DC11" s="967"/>
      <c r="DD11" s="967"/>
      <c r="DE11" s="967"/>
      <c r="DF11" s="965" t="s">
        <v>3</v>
      </c>
      <c r="DG11" s="966"/>
      <c r="DH11" s="983"/>
      <c r="DI11" s="967">
        <f>BG11</f>
        <v>0</v>
      </c>
      <c r="DJ11" s="967"/>
      <c r="DK11" s="967"/>
      <c r="DL11" s="967"/>
      <c r="DM11" s="967"/>
      <c r="DN11" s="967"/>
      <c r="DO11" s="967"/>
      <c r="DP11" s="967"/>
      <c r="DQ11" s="967"/>
      <c r="DR11" s="967"/>
      <c r="DS11" s="967"/>
      <c r="DT11" s="967"/>
      <c r="DU11" s="967"/>
      <c r="DV11" s="967"/>
      <c r="DW11" s="967"/>
      <c r="DX11" s="965" t="s">
        <v>3</v>
      </c>
      <c r="DY11" s="966"/>
      <c r="DZ11" s="983"/>
      <c r="EA11" s="967">
        <f>BY11</f>
        <v>0</v>
      </c>
      <c r="EB11" s="967"/>
      <c r="EC11" s="967"/>
      <c r="ED11" s="967"/>
      <c r="EE11" s="967"/>
      <c r="EF11" s="967"/>
      <c r="EG11" s="967"/>
      <c r="EH11" s="967"/>
      <c r="EI11" s="967"/>
      <c r="EJ11" s="967"/>
      <c r="EK11" s="967"/>
      <c r="EL11" s="967"/>
      <c r="EM11" s="967"/>
      <c r="EN11" s="967"/>
      <c r="EO11" s="967"/>
      <c r="EP11" s="965" t="s">
        <v>3</v>
      </c>
      <c r="EQ11" s="966"/>
      <c r="ER11" s="983"/>
      <c r="ES11" s="967">
        <f>CQ11</f>
        <v>0</v>
      </c>
      <c r="ET11" s="967"/>
      <c r="EU11" s="967"/>
      <c r="EV11" s="967"/>
      <c r="EW11" s="967"/>
      <c r="EX11" s="967"/>
      <c r="EY11" s="967"/>
      <c r="EZ11" s="967"/>
      <c r="FA11" s="967"/>
      <c r="FB11" s="967"/>
      <c r="FC11" s="967"/>
      <c r="FD11" s="967"/>
      <c r="FE11" s="967"/>
      <c r="FF11" s="967"/>
      <c r="FG11" s="967"/>
      <c r="FH11" s="965" t="s">
        <v>3</v>
      </c>
      <c r="FI11" s="966"/>
      <c r="FJ11" s="983"/>
      <c r="FK11" s="967">
        <f>DI11</f>
        <v>0</v>
      </c>
      <c r="FL11" s="967"/>
      <c r="FM11" s="967"/>
      <c r="FN11" s="967"/>
      <c r="FO11" s="967"/>
      <c r="FP11" s="967"/>
      <c r="FQ11" s="967"/>
      <c r="FR11" s="967"/>
      <c r="FS11" s="967"/>
      <c r="FT11" s="967"/>
      <c r="FU11" s="967"/>
      <c r="FV11" s="967"/>
      <c r="FW11" s="967"/>
      <c r="FX11" s="967"/>
      <c r="FY11" s="967"/>
    </row>
    <row r="12" spans="2:181" x14ac:dyDescent="0.25">
      <c r="B12" s="190"/>
      <c r="C12" s="175"/>
      <c r="D12" s="175"/>
      <c r="E12" s="191"/>
      <c r="F12" s="191"/>
      <c r="G12" s="191"/>
      <c r="H12" s="191"/>
      <c r="I12" s="191"/>
      <c r="J12" s="191"/>
      <c r="T12" s="190"/>
      <c r="U12" s="175"/>
      <c r="V12" s="175"/>
      <c r="W12" s="191"/>
      <c r="X12" s="191"/>
      <c r="Y12" s="191"/>
      <c r="Z12" s="191"/>
      <c r="AA12" s="191"/>
      <c r="AB12" s="191"/>
      <c r="AL12" s="190"/>
      <c r="AM12" s="175"/>
      <c r="AN12" s="175"/>
      <c r="AO12" s="191"/>
      <c r="AP12" s="191"/>
      <c r="AQ12" s="191"/>
      <c r="AR12" s="191"/>
      <c r="AS12" s="191"/>
      <c r="AT12" s="191"/>
      <c r="BD12" s="190"/>
      <c r="BE12" s="175"/>
      <c r="BF12" s="175"/>
      <c r="BG12" s="191"/>
      <c r="BH12" s="191"/>
      <c r="BI12" s="191"/>
      <c r="BJ12" s="191"/>
      <c r="BK12" s="191"/>
      <c r="BL12" s="191"/>
      <c r="BV12" s="190"/>
      <c r="BW12" s="175"/>
      <c r="BX12" s="175"/>
      <c r="BY12" s="191"/>
      <c r="BZ12" s="191"/>
      <c r="CA12" s="191"/>
      <c r="CB12" s="191"/>
      <c r="CC12" s="191"/>
      <c r="CD12" s="191"/>
      <c r="CN12" s="190"/>
      <c r="CO12" s="175"/>
      <c r="CP12" s="175"/>
      <c r="CQ12" s="191"/>
      <c r="CR12" s="191"/>
      <c r="CS12" s="191"/>
      <c r="CT12" s="191"/>
      <c r="CU12" s="191"/>
      <c r="CV12" s="191"/>
      <c r="DF12" s="190"/>
      <c r="DG12" s="175"/>
      <c r="DH12" s="175"/>
      <c r="DI12" s="191"/>
      <c r="DJ12" s="191"/>
      <c r="DK12" s="191"/>
      <c r="DL12" s="191"/>
      <c r="DM12" s="191"/>
      <c r="DN12" s="191"/>
      <c r="DX12" s="190"/>
      <c r="DY12" s="175"/>
      <c r="DZ12" s="175"/>
      <c r="EA12" s="191"/>
      <c r="EB12" s="191"/>
      <c r="EC12" s="191"/>
      <c r="ED12" s="191"/>
      <c r="EE12" s="191"/>
      <c r="EF12" s="191"/>
      <c r="EP12" s="190"/>
      <c r="EQ12" s="175"/>
      <c r="ER12" s="175"/>
      <c r="ES12" s="191"/>
      <c r="ET12" s="191"/>
      <c r="EU12" s="191"/>
      <c r="EV12" s="191"/>
      <c r="EW12" s="191"/>
      <c r="EX12" s="191"/>
      <c r="FH12" s="190"/>
      <c r="FI12" s="175"/>
      <c r="FJ12" s="175"/>
      <c r="FK12" s="191"/>
      <c r="FL12" s="191"/>
      <c r="FM12" s="191"/>
      <c r="FN12" s="191"/>
      <c r="FO12" s="191"/>
      <c r="FP12" s="191"/>
    </row>
    <row r="13" spans="2:181" hidden="1" x14ac:dyDescent="0.25">
      <c r="B13" s="965" t="s">
        <v>369</v>
      </c>
      <c r="C13" s="966"/>
      <c r="D13" s="966"/>
      <c r="E13" s="983"/>
      <c r="F13" s="883" t="s">
        <v>370</v>
      </c>
      <c r="G13" s="884"/>
      <c r="H13" s="884"/>
      <c r="I13" s="884"/>
      <c r="J13" s="884"/>
      <c r="K13" s="884"/>
      <c r="L13" s="884"/>
      <c r="M13" s="884"/>
      <c r="N13" s="884"/>
      <c r="O13" s="884"/>
      <c r="P13" s="884"/>
      <c r="Q13" s="884"/>
      <c r="R13" s="884"/>
      <c r="S13" s="984"/>
      <c r="T13" s="965" t="s">
        <v>369</v>
      </c>
      <c r="U13" s="966"/>
      <c r="V13" s="966"/>
      <c r="W13" s="983"/>
      <c r="X13" s="1007"/>
      <c r="Y13" s="1007"/>
      <c r="Z13" s="1007"/>
      <c r="AA13" s="1007"/>
      <c r="AB13" s="1007"/>
      <c r="AC13" s="1007"/>
      <c r="AD13" s="1007"/>
      <c r="AE13" s="1007"/>
      <c r="AF13" s="1007"/>
      <c r="AG13" s="1007"/>
      <c r="AH13" s="1007"/>
      <c r="AI13" s="1007"/>
      <c r="AJ13" s="1007"/>
      <c r="AK13" s="1007"/>
      <c r="AL13" s="965" t="s">
        <v>369</v>
      </c>
      <c r="AM13" s="966"/>
      <c r="AN13" s="966"/>
      <c r="AO13" s="983"/>
      <c r="AP13" s="1007"/>
      <c r="AQ13" s="1007"/>
      <c r="AR13" s="1007"/>
      <c r="AS13" s="1007"/>
      <c r="AT13" s="1007"/>
      <c r="AU13" s="1007"/>
      <c r="AV13" s="1007"/>
      <c r="AW13" s="1007"/>
      <c r="AX13" s="1007"/>
      <c r="AY13" s="1007"/>
      <c r="AZ13" s="1007"/>
      <c r="BA13" s="1007"/>
      <c r="BB13" s="1007"/>
      <c r="BC13" s="1007"/>
      <c r="BD13" s="965" t="s">
        <v>369</v>
      </c>
      <c r="BE13" s="966"/>
      <c r="BF13" s="966"/>
      <c r="BG13" s="983"/>
      <c r="BH13" s="1007"/>
      <c r="BI13" s="1007"/>
      <c r="BJ13" s="1007"/>
      <c r="BK13" s="1007"/>
      <c r="BL13" s="1007"/>
      <c r="BM13" s="1007"/>
      <c r="BN13" s="1007"/>
      <c r="BO13" s="1007"/>
      <c r="BP13" s="1007"/>
      <c r="BQ13" s="1007"/>
      <c r="BR13" s="1007"/>
      <c r="BS13" s="1007"/>
      <c r="BT13" s="1007"/>
      <c r="BU13" s="1007"/>
      <c r="BV13" s="965" t="s">
        <v>369</v>
      </c>
      <c r="BW13" s="966"/>
      <c r="BX13" s="966"/>
      <c r="BY13" s="983"/>
      <c r="BZ13" s="1007"/>
      <c r="CA13" s="1007"/>
      <c r="CB13" s="1007"/>
      <c r="CC13" s="1007"/>
      <c r="CD13" s="1007"/>
      <c r="CE13" s="1007"/>
      <c r="CF13" s="1007"/>
      <c r="CG13" s="1007"/>
      <c r="CH13" s="1007"/>
      <c r="CI13" s="1007"/>
      <c r="CJ13" s="1007"/>
      <c r="CK13" s="1007"/>
      <c r="CL13" s="1007"/>
      <c r="CM13" s="1007"/>
      <c r="CN13" s="965" t="s">
        <v>369</v>
      </c>
      <c r="CO13" s="966"/>
      <c r="CP13" s="966"/>
      <c r="CQ13" s="983"/>
      <c r="CR13" s="1007"/>
      <c r="CS13" s="1007"/>
      <c r="CT13" s="1007"/>
      <c r="CU13" s="1007"/>
      <c r="CV13" s="1007"/>
      <c r="CW13" s="1007"/>
      <c r="CX13" s="1007"/>
      <c r="CY13" s="1007"/>
      <c r="CZ13" s="1007"/>
      <c r="DA13" s="1007"/>
      <c r="DB13" s="1007"/>
      <c r="DC13" s="1007"/>
      <c r="DD13" s="1007"/>
      <c r="DE13" s="1007"/>
      <c r="DF13" s="965" t="s">
        <v>369</v>
      </c>
      <c r="DG13" s="966"/>
      <c r="DH13" s="966"/>
      <c r="DI13" s="983"/>
      <c r="DJ13" s="1007"/>
      <c r="DK13" s="1007"/>
      <c r="DL13" s="1007"/>
      <c r="DM13" s="1007"/>
      <c r="DN13" s="1007"/>
      <c r="DO13" s="1007"/>
      <c r="DP13" s="1007"/>
      <c r="DQ13" s="1007"/>
      <c r="DR13" s="1007"/>
      <c r="DS13" s="1007"/>
      <c r="DT13" s="1007"/>
      <c r="DU13" s="1007"/>
      <c r="DV13" s="1007"/>
      <c r="DW13" s="1007"/>
      <c r="DX13" s="965" t="s">
        <v>369</v>
      </c>
      <c r="DY13" s="966"/>
      <c r="DZ13" s="966"/>
      <c r="EA13" s="983"/>
      <c r="EB13" s="1007"/>
      <c r="EC13" s="1007"/>
      <c r="ED13" s="1007"/>
      <c r="EE13" s="1007"/>
      <c r="EF13" s="1007"/>
      <c r="EG13" s="1007"/>
      <c r="EH13" s="1007"/>
      <c r="EI13" s="1007"/>
      <c r="EJ13" s="1007"/>
      <c r="EK13" s="1007"/>
      <c r="EL13" s="1007"/>
      <c r="EM13" s="1007"/>
      <c r="EN13" s="1007"/>
      <c r="EO13" s="1007"/>
      <c r="EP13" s="965" t="s">
        <v>369</v>
      </c>
      <c r="EQ13" s="966"/>
      <c r="ER13" s="966"/>
      <c r="ES13" s="983"/>
      <c r="ET13" s="1007"/>
      <c r="EU13" s="1007"/>
      <c r="EV13" s="1007"/>
      <c r="EW13" s="1007"/>
      <c r="EX13" s="1007"/>
      <c r="EY13" s="1007"/>
      <c r="EZ13" s="1007"/>
      <c r="FA13" s="1007"/>
      <c r="FB13" s="1007"/>
      <c r="FC13" s="1007"/>
      <c r="FD13" s="1007"/>
      <c r="FE13" s="1007"/>
      <c r="FF13" s="1007"/>
      <c r="FG13" s="1007"/>
      <c r="FH13" s="965" t="s">
        <v>369</v>
      </c>
      <c r="FI13" s="966"/>
      <c r="FJ13" s="966"/>
      <c r="FK13" s="983"/>
      <c r="FL13" s="1007"/>
      <c r="FM13" s="1007"/>
      <c r="FN13" s="1007"/>
      <c r="FO13" s="1007"/>
      <c r="FP13" s="1007"/>
      <c r="FQ13" s="1007"/>
      <c r="FR13" s="1007"/>
      <c r="FS13" s="1007"/>
      <c r="FT13" s="1007"/>
      <c r="FU13" s="1007"/>
      <c r="FV13" s="1007"/>
      <c r="FW13" s="1007"/>
      <c r="FX13" s="1007"/>
      <c r="FY13" s="1007"/>
    </row>
    <row r="14" spans="2:181" ht="15" customHeight="1" x14ac:dyDescent="0.25">
      <c r="B14" s="985" t="s">
        <v>371</v>
      </c>
      <c r="C14" s="985"/>
      <c r="D14" s="985"/>
      <c r="E14" s="985"/>
      <c r="F14" s="985"/>
      <c r="G14" s="985"/>
      <c r="H14" s="985"/>
      <c r="I14" s="985"/>
      <c r="J14" s="985"/>
      <c r="K14" s="985"/>
      <c r="L14" s="985"/>
      <c r="M14" s="985"/>
      <c r="N14" s="985"/>
      <c r="O14" s="985"/>
      <c r="P14" s="985"/>
      <c r="Q14" s="985"/>
      <c r="R14" s="985"/>
      <c r="S14" s="985"/>
      <c r="T14" s="985" t="s">
        <v>371</v>
      </c>
      <c r="U14" s="985"/>
      <c r="V14" s="985"/>
      <c r="W14" s="985"/>
      <c r="X14" s="985"/>
      <c r="Y14" s="985"/>
      <c r="Z14" s="985"/>
      <c r="AA14" s="985"/>
      <c r="AB14" s="985"/>
      <c r="AC14" s="985"/>
      <c r="AD14" s="985"/>
      <c r="AE14" s="985"/>
      <c r="AF14" s="985"/>
      <c r="AG14" s="985"/>
      <c r="AH14" s="985"/>
      <c r="AI14" s="985"/>
      <c r="AJ14" s="985"/>
      <c r="AK14" s="985"/>
      <c r="AL14" s="985" t="s">
        <v>371</v>
      </c>
      <c r="AM14" s="985"/>
      <c r="AN14" s="985"/>
      <c r="AO14" s="985"/>
      <c r="AP14" s="985"/>
      <c r="AQ14" s="985"/>
      <c r="AR14" s="985"/>
      <c r="AS14" s="985"/>
      <c r="AT14" s="985"/>
      <c r="AU14" s="985"/>
      <c r="AV14" s="985"/>
      <c r="AW14" s="985"/>
      <c r="AX14" s="985"/>
      <c r="AY14" s="985"/>
      <c r="AZ14" s="985"/>
      <c r="BA14" s="985"/>
      <c r="BB14" s="985"/>
      <c r="BC14" s="985"/>
      <c r="BD14" s="985" t="s">
        <v>371</v>
      </c>
      <c r="BE14" s="985"/>
      <c r="BF14" s="985"/>
      <c r="BG14" s="985"/>
      <c r="BH14" s="985"/>
      <c r="BI14" s="985"/>
      <c r="BJ14" s="985"/>
      <c r="BK14" s="985"/>
      <c r="BL14" s="985"/>
      <c r="BM14" s="985"/>
      <c r="BN14" s="985"/>
      <c r="BO14" s="985"/>
      <c r="BP14" s="985"/>
      <c r="BQ14" s="985"/>
      <c r="BR14" s="985"/>
      <c r="BS14" s="985"/>
      <c r="BT14" s="985"/>
      <c r="BU14" s="985"/>
      <c r="BV14" s="985" t="s">
        <v>371</v>
      </c>
      <c r="BW14" s="985"/>
      <c r="BX14" s="985"/>
      <c r="BY14" s="985"/>
      <c r="BZ14" s="985"/>
      <c r="CA14" s="985"/>
      <c r="CB14" s="985"/>
      <c r="CC14" s="985"/>
      <c r="CD14" s="985"/>
      <c r="CE14" s="985"/>
      <c r="CF14" s="985"/>
      <c r="CG14" s="985"/>
      <c r="CH14" s="985"/>
      <c r="CI14" s="985"/>
      <c r="CJ14" s="985"/>
      <c r="CK14" s="985"/>
      <c r="CL14" s="985"/>
      <c r="CM14" s="985"/>
      <c r="CN14" s="985" t="s">
        <v>371</v>
      </c>
      <c r="CO14" s="985"/>
      <c r="CP14" s="985"/>
      <c r="CQ14" s="985"/>
      <c r="CR14" s="985"/>
      <c r="CS14" s="985"/>
      <c r="CT14" s="985"/>
      <c r="CU14" s="985"/>
      <c r="CV14" s="985"/>
      <c r="CW14" s="985"/>
      <c r="CX14" s="985"/>
      <c r="CY14" s="985"/>
      <c r="CZ14" s="985"/>
      <c r="DA14" s="985"/>
      <c r="DB14" s="985"/>
      <c r="DC14" s="985"/>
      <c r="DD14" s="985"/>
      <c r="DE14" s="985"/>
      <c r="DF14" s="985" t="s">
        <v>371</v>
      </c>
      <c r="DG14" s="985"/>
      <c r="DH14" s="985"/>
      <c r="DI14" s="985"/>
      <c r="DJ14" s="985"/>
      <c r="DK14" s="985"/>
      <c r="DL14" s="985"/>
      <c r="DM14" s="985"/>
      <c r="DN14" s="985"/>
      <c r="DO14" s="985"/>
      <c r="DP14" s="985"/>
      <c r="DQ14" s="985"/>
      <c r="DR14" s="985"/>
      <c r="DS14" s="985"/>
      <c r="DT14" s="985"/>
      <c r="DU14" s="985"/>
      <c r="DV14" s="985"/>
      <c r="DW14" s="985"/>
      <c r="DX14" s="985" t="s">
        <v>371</v>
      </c>
      <c r="DY14" s="985"/>
      <c r="DZ14" s="985"/>
      <c r="EA14" s="985"/>
      <c r="EB14" s="985"/>
      <c r="EC14" s="985"/>
      <c r="ED14" s="985"/>
      <c r="EE14" s="985"/>
      <c r="EF14" s="985"/>
      <c r="EG14" s="985"/>
      <c r="EH14" s="985"/>
      <c r="EI14" s="985"/>
      <c r="EJ14" s="985"/>
      <c r="EK14" s="985"/>
      <c r="EL14" s="985"/>
      <c r="EM14" s="985"/>
      <c r="EN14" s="985"/>
      <c r="EO14" s="985"/>
      <c r="EP14" s="985" t="s">
        <v>371</v>
      </c>
      <c r="EQ14" s="985"/>
      <c r="ER14" s="985"/>
      <c r="ES14" s="985"/>
      <c r="ET14" s="985"/>
      <c r="EU14" s="985"/>
      <c r="EV14" s="985"/>
      <c r="EW14" s="985"/>
      <c r="EX14" s="985"/>
      <c r="EY14" s="985"/>
      <c r="EZ14" s="985"/>
      <c r="FA14" s="985"/>
      <c r="FB14" s="985"/>
      <c r="FC14" s="985"/>
      <c r="FD14" s="985"/>
      <c r="FE14" s="985"/>
      <c r="FF14" s="985"/>
      <c r="FG14" s="985"/>
      <c r="FH14" s="985" t="s">
        <v>371</v>
      </c>
      <c r="FI14" s="985"/>
      <c r="FJ14" s="985"/>
      <c r="FK14" s="985"/>
      <c r="FL14" s="985"/>
      <c r="FM14" s="985"/>
      <c r="FN14" s="985"/>
      <c r="FO14" s="985"/>
      <c r="FP14" s="985"/>
      <c r="FQ14" s="985"/>
      <c r="FR14" s="985"/>
      <c r="FS14" s="985"/>
      <c r="FT14" s="985"/>
      <c r="FU14" s="985"/>
      <c r="FV14" s="985"/>
      <c r="FW14" s="985"/>
      <c r="FX14" s="985"/>
      <c r="FY14" s="985"/>
    </row>
    <row r="15" spans="2:181" ht="30" customHeight="1" x14ac:dyDescent="0.25">
      <c r="B15" s="12" t="s">
        <v>372</v>
      </c>
      <c r="C15" s="194" t="s">
        <v>373</v>
      </c>
      <c r="D15" s="194" t="s">
        <v>374</v>
      </c>
      <c r="E15" s="195" t="s">
        <v>375</v>
      </c>
      <c r="F15" s="195" t="s">
        <v>376</v>
      </c>
      <c r="G15" s="195" t="s">
        <v>377</v>
      </c>
      <c r="H15" s="195" t="s">
        <v>378</v>
      </c>
      <c r="I15" s="195" t="s">
        <v>379</v>
      </c>
      <c r="J15" s="195" t="s">
        <v>380</v>
      </c>
      <c r="K15" s="195" t="s">
        <v>381</v>
      </c>
      <c r="L15" s="196" t="s">
        <v>382</v>
      </c>
      <c r="M15" s="196" t="s">
        <v>383</v>
      </c>
      <c r="N15" s="196" t="s">
        <v>384</v>
      </c>
      <c r="O15" s="196" t="s">
        <v>385</v>
      </c>
      <c r="P15" s="196" t="s">
        <v>386</v>
      </c>
      <c r="Q15" s="196" t="s">
        <v>387</v>
      </c>
      <c r="R15" s="196" t="s">
        <v>388</v>
      </c>
      <c r="S15" s="196" t="s">
        <v>389</v>
      </c>
      <c r="T15" s="193" t="s">
        <v>372</v>
      </c>
      <c r="U15" s="194" t="s">
        <v>390</v>
      </c>
      <c r="V15" s="194" t="s">
        <v>391</v>
      </c>
      <c r="W15" s="195" t="s">
        <v>392</v>
      </c>
      <c r="X15" s="195" t="s">
        <v>393</v>
      </c>
      <c r="Y15" s="195" t="s">
        <v>394</v>
      </c>
      <c r="Z15" s="195" t="s">
        <v>395</v>
      </c>
      <c r="AA15" s="195" t="s">
        <v>396</v>
      </c>
      <c r="AB15" s="195" t="s">
        <v>397</v>
      </c>
      <c r="AC15" s="195" t="s">
        <v>398</v>
      </c>
      <c r="AD15" s="196" t="s">
        <v>399</v>
      </c>
      <c r="AE15" s="196" t="s">
        <v>400</v>
      </c>
      <c r="AF15" s="196" t="s">
        <v>401</v>
      </c>
      <c r="AG15" s="196" t="s">
        <v>402</v>
      </c>
      <c r="AH15" s="196" t="s">
        <v>403</v>
      </c>
      <c r="AI15" s="196" t="s">
        <v>404</v>
      </c>
      <c r="AJ15" s="196" t="s">
        <v>405</v>
      </c>
      <c r="AK15" s="196" t="s">
        <v>406</v>
      </c>
      <c r="AL15" s="193" t="s">
        <v>372</v>
      </c>
      <c r="AM15" s="194" t="s">
        <v>407</v>
      </c>
      <c r="AN15" s="194" t="s">
        <v>408</v>
      </c>
      <c r="AO15" s="195" t="s">
        <v>409</v>
      </c>
      <c r="AP15" s="195" t="s">
        <v>410</v>
      </c>
      <c r="AQ15" s="195" t="s">
        <v>411</v>
      </c>
      <c r="AR15" s="195" t="s">
        <v>412</v>
      </c>
      <c r="AS15" s="195" t="s">
        <v>413</v>
      </c>
      <c r="AT15" s="195" t="s">
        <v>414</v>
      </c>
      <c r="AU15" s="195" t="s">
        <v>415</v>
      </c>
      <c r="AV15" s="196" t="s">
        <v>416</v>
      </c>
      <c r="AW15" s="196" t="s">
        <v>417</v>
      </c>
      <c r="AX15" s="196" t="s">
        <v>418</v>
      </c>
      <c r="AY15" s="196" t="s">
        <v>419</v>
      </c>
      <c r="AZ15" s="196" t="s">
        <v>420</v>
      </c>
      <c r="BA15" s="196" t="s">
        <v>421</v>
      </c>
      <c r="BB15" s="196" t="s">
        <v>422</v>
      </c>
      <c r="BC15" s="196" t="s">
        <v>423</v>
      </c>
      <c r="BD15" s="193" t="s">
        <v>372</v>
      </c>
      <c r="BE15" s="194" t="s">
        <v>424</v>
      </c>
      <c r="BF15" s="194" t="s">
        <v>425</v>
      </c>
      <c r="BG15" s="195" t="s">
        <v>426</v>
      </c>
      <c r="BH15" s="195" t="s">
        <v>427</v>
      </c>
      <c r="BI15" s="195" t="s">
        <v>428</v>
      </c>
      <c r="BJ15" s="195" t="s">
        <v>429</v>
      </c>
      <c r="BK15" s="195" t="s">
        <v>430</v>
      </c>
      <c r="BL15" s="195" t="s">
        <v>431</v>
      </c>
      <c r="BM15" s="195" t="s">
        <v>432</v>
      </c>
      <c r="BN15" s="196" t="s">
        <v>433</v>
      </c>
      <c r="BO15" s="196" t="s">
        <v>434</v>
      </c>
      <c r="BP15" s="196" t="s">
        <v>435</v>
      </c>
      <c r="BQ15" s="196" t="s">
        <v>436</v>
      </c>
      <c r="BR15" s="196" t="s">
        <v>437</v>
      </c>
      <c r="BS15" s="196" t="s">
        <v>438</v>
      </c>
      <c r="BT15" s="196" t="s">
        <v>439</v>
      </c>
      <c r="BU15" s="196" t="s">
        <v>440</v>
      </c>
      <c r="BV15" s="193" t="s">
        <v>372</v>
      </c>
      <c r="BW15" s="194" t="s">
        <v>441</v>
      </c>
      <c r="BX15" s="194" t="s">
        <v>442</v>
      </c>
      <c r="BY15" s="195" t="s">
        <v>443</v>
      </c>
      <c r="BZ15" s="195" t="s">
        <v>444</v>
      </c>
      <c r="CA15" s="195" t="s">
        <v>445</v>
      </c>
      <c r="CB15" s="195" t="s">
        <v>446</v>
      </c>
      <c r="CC15" s="195" t="s">
        <v>447</v>
      </c>
      <c r="CD15" s="195" t="s">
        <v>448</v>
      </c>
      <c r="CE15" s="195" t="s">
        <v>449</v>
      </c>
      <c r="CF15" s="196" t="s">
        <v>450</v>
      </c>
      <c r="CG15" s="196" t="s">
        <v>451</v>
      </c>
      <c r="CH15" s="196" t="s">
        <v>452</v>
      </c>
      <c r="CI15" s="196" t="s">
        <v>453</v>
      </c>
      <c r="CJ15" s="196" t="s">
        <v>454</v>
      </c>
      <c r="CK15" s="196" t="s">
        <v>455</v>
      </c>
      <c r="CL15" s="196" t="s">
        <v>456</v>
      </c>
      <c r="CM15" s="196" t="s">
        <v>457</v>
      </c>
      <c r="CN15" s="193" t="s">
        <v>372</v>
      </c>
      <c r="CO15" s="194" t="s">
        <v>458</v>
      </c>
      <c r="CP15" s="194" t="s">
        <v>459</v>
      </c>
      <c r="CQ15" s="195" t="s">
        <v>460</v>
      </c>
      <c r="CR15" s="195" t="s">
        <v>461</v>
      </c>
      <c r="CS15" s="195" t="s">
        <v>462</v>
      </c>
      <c r="CT15" s="195" t="s">
        <v>463</v>
      </c>
      <c r="CU15" s="195" t="s">
        <v>464</v>
      </c>
      <c r="CV15" s="195" t="s">
        <v>465</v>
      </c>
      <c r="CW15" s="195" t="s">
        <v>466</v>
      </c>
      <c r="CX15" s="196" t="s">
        <v>467</v>
      </c>
      <c r="CY15" s="196" t="s">
        <v>468</v>
      </c>
      <c r="CZ15" s="196" t="s">
        <v>469</v>
      </c>
      <c r="DA15" s="196" t="s">
        <v>470</v>
      </c>
      <c r="DB15" s="196" t="s">
        <v>471</v>
      </c>
      <c r="DC15" s="196" t="s">
        <v>472</v>
      </c>
      <c r="DD15" s="196" t="s">
        <v>473</v>
      </c>
      <c r="DE15" s="196" t="s">
        <v>474</v>
      </c>
      <c r="DF15" s="193" t="s">
        <v>372</v>
      </c>
      <c r="DG15" s="194" t="s">
        <v>475</v>
      </c>
      <c r="DH15" s="194" t="s">
        <v>476</v>
      </c>
      <c r="DI15" s="195" t="s">
        <v>477</v>
      </c>
      <c r="DJ15" s="195" t="s">
        <v>478</v>
      </c>
      <c r="DK15" s="195" t="s">
        <v>479</v>
      </c>
      <c r="DL15" s="195" t="s">
        <v>480</v>
      </c>
      <c r="DM15" s="195" t="s">
        <v>481</v>
      </c>
      <c r="DN15" s="195" t="s">
        <v>482</v>
      </c>
      <c r="DO15" s="195" t="s">
        <v>483</v>
      </c>
      <c r="DP15" s="196" t="s">
        <v>484</v>
      </c>
      <c r="DQ15" s="196" t="s">
        <v>485</v>
      </c>
      <c r="DR15" s="196" t="s">
        <v>486</v>
      </c>
      <c r="DS15" s="196" t="s">
        <v>487</v>
      </c>
      <c r="DT15" s="196" t="s">
        <v>488</v>
      </c>
      <c r="DU15" s="196" t="s">
        <v>489</v>
      </c>
      <c r="DV15" s="196" t="s">
        <v>490</v>
      </c>
      <c r="DW15" s="196" t="s">
        <v>491</v>
      </c>
      <c r="DX15" s="193" t="s">
        <v>372</v>
      </c>
      <c r="DY15" s="194" t="s">
        <v>492</v>
      </c>
      <c r="DZ15" s="194" t="s">
        <v>493</v>
      </c>
      <c r="EA15" s="195" t="s">
        <v>494</v>
      </c>
      <c r="EB15" s="195" t="s">
        <v>495</v>
      </c>
      <c r="EC15" s="195" t="s">
        <v>496</v>
      </c>
      <c r="ED15" s="195" t="s">
        <v>497</v>
      </c>
      <c r="EE15" s="195" t="s">
        <v>498</v>
      </c>
      <c r="EF15" s="195" t="s">
        <v>499</v>
      </c>
      <c r="EG15" s="195" t="s">
        <v>500</v>
      </c>
      <c r="EH15" s="196" t="s">
        <v>501</v>
      </c>
      <c r="EI15" s="196" t="s">
        <v>502</v>
      </c>
      <c r="EJ15" s="196" t="s">
        <v>503</v>
      </c>
      <c r="EK15" s="196" t="s">
        <v>504</v>
      </c>
      <c r="EL15" s="196" t="s">
        <v>505</v>
      </c>
      <c r="EM15" s="196" t="s">
        <v>506</v>
      </c>
      <c r="EN15" s="196" t="s">
        <v>507</v>
      </c>
      <c r="EO15" s="196" t="s">
        <v>508</v>
      </c>
      <c r="EP15" s="193" t="s">
        <v>372</v>
      </c>
      <c r="EQ15" s="194" t="s">
        <v>509</v>
      </c>
      <c r="ER15" s="194" t="s">
        <v>510</v>
      </c>
      <c r="ES15" s="195" t="s">
        <v>511</v>
      </c>
      <c r="ET15" s="195" t="s">
        <v>512</v>
      </c>
      <c r="EU15" s="195" t="s">
        <v>513</v>
      </c>
      <c r="EV15" s="195" t="s">
        <v>514</v>
      </c>
      <c r="EW15" s="195" t="s">
        <v>515</v>
      </c>
      <c r="EX15" s="195" t="s">
        <v>516</v>
      </c>
      <c r="EY15" s="195" t="s">
        <v>517</v>
      </c>
      <c r="EZ15" s="196" t="s">
        <v>518</v>
      </c>
      <c r="FA15" s="196" t="s">
        <v>519</v>
      </c>
      <c r="FB15" s="196" t="s">
        <v>520</v>
      </c>
      <c r="FC15" s="196" t="s">
        <v>521</v>
      </c>
      <c r="FD15" s="196" t="s">
        <v>522</v>
      </c>
      <c r="FE15" s="196" t="s">
        <v>523</v>
      </c>
      <c r="FF15" s="196" t="s">
        <v>524</v>
      </c>
      <c r="FG15" s="196" t="s">
        <v>525</v>
      </c>
      <c r="FH15" s="193" t="s">
        <v>372</v>
      </c>
      <c r="FI15" s="194" t="s">
        <v>526</v>
      </c>
      <c r="FJ15" s="194" t="s">
        <v>527</v>
      </c>
      <c r="FK15" s="195" t="s">
        <v>528</v>
      </c>
      <c r="FL15" s="195" t="s">
        <v>529</v>
      </c>
      <c r="FM15" s="195" t="s">
        <v>530</v>
      </c>
      <c r="FN15" s="195" t="s">
        <v>531</v>
      </c>
      <c r="FO15" s="195" t="s">
        <v>532</v>
      </c>
      <c r="FP15" s="195" t="s">
        <v>533</v>
      </c>
      <c r="FQ15" s="195" t="s">
        <v>534</v>
      </c>
      <c r="FR15" s="196" t="s">
        <v>535</v>
      </c>
      <c r="FS15" s="196" t="s">
        <v>536</v>
      </c>
      <c r="FT15" s="196" t="s">
        <v>537</v>
      </c>
      <c r="FU15" s="196" t="s">
        <v>538</v>
      </c>
      <c r="FV15" s="196" t="s">
        <v>539</v>
      </c>
      <c r="FW15" s="196" t="s">
        <v>540</v>
      </c>
      <c r="FX15" s="196" t="s">
        <v>541</v>
      </c>
      <c r="FY15" s="196" t="s">
        <v>542</v>
      </c>
    </row>
    <row r="16" spans="2:181" x14ac:dyDescent="0.25">
      <c r="B16" s="12">
        <v>1</v>
      </c>
      <c r="C16" s="195"/>
      <c r="D16" s="195"/>
      <c r="E16" s="195"/>
      <c r="F16" s="195"/>
      <c r="G16" s="195"/>
      <c r="H16" s="195"/>
      <c r="I16" s="195"/>
      <c r="J16" s="195"/>
      <c r="K16" s="195"/>
      <c r="L16" s="195"/>
      <c r="M16" s="195"/>
      <c r="N16" s="195"/>
      <c r="O16" s="195"/>
      <c r="P16" s="195"/>
      <c r="Q16" s="195"/>
      <c r="R16" s="195"/>
      <c r="S16" s="195"/>
      <c r="T16" s="12">
        <v>1</v>
      </c>
      <c r="U16" s="195"/>
      <c r="V16" s="195"/>
      <c r="W16" s="195"/>
      <c r="X16" s="195"/>
      <c r="Y16" s="195"/>
      <c r="Z16" s="195"/>
      <c r="AA16" s="195"/>
      <c r="AB16" s="195"/>
      <c r="AC16" s="195"/>
      <c r="AD16" s="195"/>
      <c r="AE16" s="195"/>
      <c r="AF16" s="195"/>
      <c r="AG16" s="195"/>
      <c r="AH16" s="195"/>
      <c r="AI16" s="195"/>
      <c r="AJ16" s="195"/>
      <c r="AK16" s="195"/>
      <c r="AL16" s="12">
        <v>1</v>
      </c>
      <c r="AM16" s="195"/>
      <c r="AN16" s="195"/>
      <c r="AO16" s="195"/>
      <c r="AP16" s="195"/>
      <c r="AQ16" s="195"/>
      <c r="AR16" s="195"/>
      <c r="AS16" s="195"/>
      <c r="AT16" s="195"/>
      <c r="AU16" s="195"/>
      <c r="AV16" s="195"/>
      <c r="AW16" s="195"/>
      <c r="AX16" s="195"/>
      <c r="AY16" s="195"/>
      <c r="AZ16" s="195"/>
      <c r="BA16" s="195"/>
      <c r="BB16" s="195"/>
      <c r="BC16" s="195"/>
      <c r="BD16" s="12">
        <v>1</v>
      </c>
      <c r="BE16" s="195"/>
      <c r="BF16" s="195"/>
      <c r="BG16" s="195"/>
      <c r="BH16" s="195"/>
      <c r="BI16" s="195"/>
      <c r="BJ16" s="195"/>
      <c r="BK16" s="195"/>
      <c r="BL16" s="195"/>
      <c r="BM16" s="195"/>
      <c r="BN16" s="195"/>
      <c r="BO16" s="195"/>
      <c r="BP16" s="195"/>
      <c r="BQ16" s="195"/>
      <c r="BR16" s="195"/>
      <c r="BS16" s="195"/>
      <c r="BT16" s="195"/>
      <c r="BU16" s="195"/>
      <c r="BV16" s="12">
        <v>1</v>
      </c>
      <c r="BW16" s="195"/>
      <c r="BX16" s="195"/>
      <c r="BY16" s="195"/>
      <c r="BZ16" s="195"/>
      <c r="CA16" s="195"/>
      <c r="CB16" s="195"/>
      <c r="CC16" s="195"/>
      <c r="CD16" s="195"/>
      <c r="CE16" s="195"/>
      <c r="CF16" s="195"/>
      <c r="CG16" s="195"/>
      <c r="CH16" s="195"/>
      <c r="CI16" s="195"/>
      <c r="CJ16" s="195"/>
      <c r="CK16" s="195"/>
      <c r="CL16" s="195"/>
      <c r="CM16" s="195"/>
      <c r="CN16" s="12">
        <v>1</v>
      </c>
      <c r="CO16" s="195"/>
      <c r="CP16" s="195"/>
      <c r="CQ16" s="195"/>
      <c r="CR16" s="195"/>
      <c r="CS16" s="195"/>
      <c r="CT16" s="195"/>
      <c r="CU16" s="195"/>
      <c r="CV16" s="195"/>
      <c r="CW16" s="195"/>
      <c r="CX16" s="195"/>
      <c r="CY16" s="195"/>
      <c r="CZ16" s="195"/>
      <c r="DA16" s="195"/>
      <c r="DB16" s="195"/>
      <c r="DC16" s="195"/>
      <c r="DD16" s="195"/>
      <c r="DE16" s="195"/>
      <c r="DF16" s="12">
        <v>1</v>
      </c>
      <c r="DG16" s="195"/>
      <c r="DH16" s="195"/>
      <c r="DI16" s="195"/>
      <c r="DJ16" s="195"/>
      <c r="DK16" s="195"/>
      <c r="DL16" s="195"/>
      <c r="DM16" s="195"/>
      <c r="DN16" s="195"/>
      <c r="DO16" s="195"/>
      <c r="DP16" s="195"/>
      <c r="DQ16" s="195"/>
      <c r="DR16" s="195"/>
      <c r="DS16" s="195"/>
      <c r="DT16" s="195"/>
      <c r="DU16" s="195"/>
      <c r="DV16" s="195"/>
      <c r="DW16" s="195"/>
      <c r="DX16" s="12">
        <v>1</v>
      </c>
      <c r="DY16" s="195"/>
      <c r="DZ16" s="195"/>
      <c r="EA16" s="195"/>
      <c r="EB16" s="195"/>
      <c r="EC16" s="195"/>
      <c r="ED16" s="195"/>
      <c r="EE16" s="195"/>
      <c r="EF16" s="195"/>
      <c r="EG16" s="195"/>
      <c r="EH16" s="195"/>
      <c r="EI16" s="195"/>
      <c r="EJ16" s="195"/>
      <c r="EK16" s="195"/>
      <c r="EL16" s="195"/>
      <c r="EM16" s="195"/>
      <c r="EN16" s="195"/>
      <c r="EO16" s="195"/>
      <c r="EP16" s="12">
        <v>1</v>
      </c>
      <c r="EQ16" s="195"/>
      <c r="ER16" s="195"/>
      <c r="ES16" s="195"/>
      <c r="ET16" s="195"/>
      <c r="EU16" s="195"/>
      <c r="EV16" s="195"/>
      <c r="EW16" s="195"/>
      <c r="EX16" s="195"/>
      <c r="EY16" s="195"/>
      <c r="EZ16" s="195"/>
      <c r="FA16" s="195"/>
      <c r="FB16" s="195"/>
      <c r="FC16" s="195"/>
      <c r="FD16" s="195"/>
      <c r="FE16" s="195"/>
      <c r="FF16" s="195"/>
      <c r="FG16" s="195"/>
      <c r="FH16" s="12">
        <v>1</v>
      </c>
      <c r="FI16" s="195"/>
      <c r="FJ16" s="195"/>
      <c r="FK16" s="195"/>
      <c r="FL16" s="195"/>
      <c r="FM16" s="195"/>
      <c r="FN16" s="195"/>
      <c r="FO16" s="195"/>
      <c r="FP16" s="195"/>
      <c r="FQ16" s="195"/>
      <c r="FR16" s="195"/>
      <c r="FS16" s="195"/>
      <c r="FT16" s="195"/>
      <c r="FU16" s="195"/>
      <c r="FV16" s="195"/>
      <c r="FW16" s="195"/>
      <c r="FX16" s="195"/>
      <c r="FY16" s="195"/>
    </row>
    <row r="17" spans="2:181" x14ac:dyDescent="0.25">
      <c r="B17" s="12">
        <v>2</v>
      </c>
      <c r="C17" s="195"/>
      <c r="D17" s="195"/>
      <c r="E17" s="195"/>
      <c r="F17" s="195"/>
      <c r="G17" s="195"/>
      <c r="H17" s="195"/>
      <c r="I17" s="195"/>
      <c r="J17" s="195"/>
      <c r="K17" s="195"/>
      <c r="L17" s="195"/>
      <c r="M17" s="195"/>
      <c r="N17" s="195"/>
      <c r="O17" s="195"/>
      <c r="P17" s="195"/>
      <c r="Q17" s="195"/>
      <c r="R17" s="195"/>
      <c r="S17" s="195"/>
      <c r="T17" s="12">
        <v>2</v>
      </c>
      <c r="U17" s="195"/>
      <c r="V17" s="195"/>
      <c r="W17" s="195"/>
      <c r="X17" s="195"/>
      <c r="Y17" s="195"/>
      <c r="Z17" s="195"/>
      <c r="AA17" s="195"/>
      <c r="AB17" s="195"/>
      <c r="AC17" s="195"/>
      <c r="AD17" s="195"/>
      <c r="AE17" s="195"/>
      <c r="AF17" s="195"/>
      <c r="AG17" s="195"/>
      <c r="AH17" s="195"/>
      <c r="AI17" s="195"/>
      <c r="AJ17" s="195"/>
      <c r="AK17" s="195"/>
      <c r="AL17" s="12">
        <v>2</v>
      </c>
      <c r="AM17" s="195"/>
      <c r="AN17" s="195"/>
      <c r="AO17" s="195"/>
      <c r="AP17" s="195"/>
      <c r="AQ17" s="195"/>
      <c r="AR17" s="195"/>
      <c r="AS17" s="195"/>
      <c r="AT17" s="195"/>
      <c r="AU17" s="195"/>
      <c r="AV17" s="195"/>
      <c r="AW17" s="195"/>
      <c r="AX17" s="195"/>
      <c r="AY17" s="195"/>
      <c r="AZ17" s="195"/>
      <c r="BA17" s="195"/>
      <c r="BB17" s="195"/>
      <c r="BC17" s="195"/>
      <c r="BD17" s="197">
        <v>2</v>
      </c>
      <c r="BE17" s="195"/>
      <c r="BF17" s="195"/>
      <c r="BG17" s="195"/>
      <c r="BH17" s="195"/>
      <c r="BI17" s="195"/>
      <c r="BJ17" s="195"/>
      <c r="BK17" s="195"/>
      <c r="BL17" s="195"/>
      <c r="BM17" s="195"/>
      <c r="BN17" s="195"/>
      <c r="BO17" s="195"/>
      <c r="BP17" s="195"/>
      <c r="BQ17" s="195"/>
      <c r="BR17" s="195"/>
      <c r="BS17" s="195"/>
      <c r="BT17" s="195"/>
      <c r="BU17" s="195"/>
      <c r="BV17" s="12">
        <v>2</v>
      </c>
      <c r="BW17" s="195"/>
      <c r="BX17" s="195"/>
      <c r="BY17" s="195"/>
      <c r="BZ17" s="195"/>
      <c r="CA17" s="195"/>
      <c r="CB17" s="195"/>
      <c r="CC17" s="195"/>
      <c r="CD17" s="195"/>
      <c r="CE17" s="195"/>
      <c r="CF17" s="195"/>
      <c r="CG17" s="195"/>
      <c r="CH17" s="195"/>
      <c r="CI17" s="195"/>
      <c r="CJ17" s="195"/>
      <c r="CK17" s="195"/>
      <c r="CL17" s="195"/>
      <c r="CM17" s="195"/>
      <c r="CN17" s="12">
        <v>2</v>
      </c>
      <c r="CO17" s="195"/>
      <c r="CP17" s="195"/>
      <c r="CQ17" s="195"/>
      <c r="CR17" s="195"/>
      <c r="CS17" s="195"/>
      <c r="CT17" s="195"/>
      <c r="CU17" s="195"/>
      <c r="CV17" s="195"/>
      <c r="CW17" s="195"/>
      <c r="CX17" s="195"/>
      <c r="CY17" s="195"/>
      <c r="CZ17" s="195"/>
      <c r="DA17" s="195"/>
      <c r="DB17" s="195"/>
      <c r="DC17" s="195"/>
      <c r="DD17" s="195"/>
      <c r="DE17" s="195"/>
      <c r="DF17" s="12">
        <v>2</v>
      </c>
      <c r="DG17" s="195"/>
      <c r="DH17" s="195"/>
      <c r="DI17" s="195"/>
      <c r="DJ17" s="195"/>
      <c r="DK17" s="195"/>
      <c r="DL17" s="195"/>
      <c r="DM17" s="195"/>
      <c r="DN17" s="195"/>
      <c r="DO17" s="195"/>
      <c r="DP17" s="195"/>
      <c r="DQ17" s="195"/>
      <c r="DR17" s="195"/>
      <c r="DS17" s="195"/>
      <c r="DT17" s="195"/>
      <c r="DU17" s="195"/>
      <c r="DV17" s="195"/>
      <c r="DW17" s="195"/>
      <c r="DX17" s="12">
        <v>2</v>
      </c>
      <c r="DY17" s="195"/>
      <c r="DZ17" s="195"/>
      <c r="EA17" s="195"/>
      <c r="EB17" s="195"/>
      <c r="EC17" s="195"/>
      <c r="ED17" s="195"/>
      <c r="EE17" s="195"/>
      <c r="EF17" s="195"/>
      <c r="EG17" s="195"/>
      <c r="EH17" s="195"/>
      <c r="EI17" s="195"/>
      <c r="EJ17" s="195"/>
      <c r="EK17" s="195"/>
      <c r="EL17" s="195"/>
      <c r="EM17" s="195"/>
      <c r="EN17" s="195"/>
      <c r="EO17" s="195"/>
      <c r="EP17" s="12">
        <v>2</v>
      </c>
      <c r="EQ17" s="195"/>
      <c r="ER17" s="195"/>
      <c r="ES17" s="195"/>
      <c r="ET17" s="195"/>
      <c r="EU17" s="195"/>
      <c r="EV17" s="195"/>
      <c r="EW17" s="195"/>
      <c r="EX17" s="195"/>
      <c r="EY17" s="195"/>
      <c r="EZ17" s="195"/>
      <c r="FA17" s="195"/>
      <c r="FB17" s="195"/>
      <c r="FC17" s="195"/>
      <c r="FD17" s="195"/>
      <c r="FE17" s="195"/>
      <c r="FF17" s="195"/>
      <c r="FG17" s="195"/>
      <c r="FH17" s="12">
        <v>2</v>
      </c>
      <c r="FI17" s="195"/>
      <c r="FJ17" s="195"/>
      <c r="FK17" s="195"/>
      <c r="FL17" s="195"/>
      <c r="FM17" s="195"/>
      <c r="FN17" s="195"/>
      <c r="FO17" s="195"/>
      <c r="FP17" s="195"/>
      <c r="FQ17" s="195"/>
      <c r="FR17" s="195"/>
      <c r="FS17" s="195"/>
      <c r="FT17" s="195"/>
      <c r="FU17" s="195"/>
      <c r="FV17" s="195"/>
      <c r="FW17" s="195"/>
      <c r="FX17" s="195"/>
      <c r="FY17" s="195"/>
    </row>
    <row r="18" spans="2:181" x14ac:dyDescent="0.25">
      <c r="B18" s="12">
        <v>3</v>
      </c>
      <c r="C18" s="195"/>
      <c r="D18" s="195"/>
      <c r="E18" s="195"/>
      <c r="F18" s="195"/>
      <c r="G18" s="195"/>
      <c r="H18" s="195"/>
      <c r="I18" s="195"/>
      <c r="J18" s="195"/>
      <c r="K18" s="195"/>
      <c r="L18" s="195"/>
      <c r="M18" s="195"/>
      <c r="N18" s="195"/>
      <c r="O18" s="195"/>
      <c r="P18" s="195"/>
      <c r="Q18" s="195"/>
      <c r="R18" s="195"/>
      <c r="S18" s="195"/>
      <c r="T18" s="12">
        <v>3</v>
      </c>
      <c r="U18" s="195"/>
      <c r="V18" s="195"/>
      <c r="W18" s="195"/>
      <c r="X18" s="195"/>
      <c r="Y18" s="195"/>
      <c r="Z18" s="195"/>
      <c r="AA18" s="195"/>
      <c r="AB18" s="195"/>
      <c r="AC18" s="195"/>
      <c r="AD18" s="195"/>
      <c r="AE18" s="195"/>
      <c r="AF18" s="195"/>
      <c r="AG18" s="195"/>
      <c r="AH18" s="195"/>
      <c r="AI18" s="195"/>
      <c r="AJ18" s="195"/>
      <c r="AK18" s="195"/>
      <c r="AL18" s="12">
        <v>3</v>
      </c>
      <c r="AM18" s="195"/>
      <c r="AN18" s="195"/>
      <c r="AO18" s="195"/>
      <c r="AP18" s="195"/>
      <c r="AQ18" s="195"/>
      <c r="AR18" s="195"/>
      <c r="AS18" s="195"/>
      <c r="AT18" s="195"/>
      <c r="AU18" s="195"/>
      <c r="AV18" s="195"/>
      <c r="AW18" s="195"/>
      <c r="AX18" s="195"/>
      <c r="AY18" s="195"/>
      <c r="AZ18" s="195"/>
      <c r="BA18" s="195"/>
      <c r="BB18" s="195"/>
      <c r="BC18" s="195"/>
      <c r="BD18" s="12">
        <v>3</v>
      </c>
      <c r="BE18" s="195"/>
      <c r="BF18" s="195"/>
      <c r="BG18" s="195"/>
      <c r="BH18" s="195"/>
      <c r="BI18" s="195"/>
      <c r="BJ18" s="195"/>
      <c r="BK18" s="195"/>
      <c r="BL18" s="195"/>
      <c r="BM18" s="195"/>
      <c r="BN18" s="195"/>
      <c r="BO18" s="195"/>
      <c r="BP18" s="195"/>
      <c r="BQ18" s="195"/>
      <c r="BR18" s="195"/>
      <c r="BS18" s="195"/>
      <c r="BT18" s="195"/>
      <c r="BU18" s="195"/>
      <c r="BV18" s="12">
        <v>3</v>
      </c>
      <c r="BW18" s="195"/>
      <c r="BX18" s="195"/>
      <c r="BY18" s="195"/>
      <c r="BZ18" s="195"/>
      <c r="CA18" s="195"/>
      <c r="CB18" s="195"/>
      <c r="CC18" s="195"/>
      <c r="CD18" s="195"/>
      <c r="CE18" s="195"/>
      <c r="CF18" s="195"/>
      <c r="CG18" s="195"/>
      <c r="CH18" s="195"/>
      <c r="CI18" s="195"/>
      <c r="CJ18" s="195"/>
      <c r="CK18" s="195"/>
      <c r="CL18" s="195"/>
      <c r="CM18" s="195"/>
      <c r="CN18" s="12">
        <v>3</v>
      </c>
      <c r="CO18" s="195"/>
      <c r="CP18" s="195"/>
      <c r="CQ18" s="195"/>
      <c r="CR18" s="195"/>
      <c r="CS18" s="195"/>
      <c r="CT18" s="195"/>
      <c r="CU18" s="195"/>
      <c r="CV18" s="195"/>
      <c r="CW18" s="195"/>
      <c r="CX18" s="195"/>
      <c r="CY18" s="195"/>
      <c r="CZ18" s="195"/>
      <c r="DA18" s="195"/>
      <c r="DB18" s="195"/>
      <c r="DC18" s="195"/>
      <c r="DD18" s="195"/>
      <c r="DE18" s="195"/>
      <c r="DF18" s="12">
        <v>3</v>
      </c>
      <c r="DG18" s="195"/>
      <c r="DH18" s="195"/>
      <c r="DI18" s="195"/>
      <c r="DJ18" s="195"/>
      <c r="DK18" s="195"/>
      <c r="DL18" s="195"/>
      <c r="DM18" s="195"/>
      <c r="DN18" s="195"/>
      <c r="DO18" s="195"/>
      <c r="DP18" s="195"/>
      <c r="DQ18" s="195"/>
      <c r="DR18" s="195"/>
      <c r="DS18" s="195"/>
      <c r="DT18" s="195"/>
      <c r="DU18" s="195"/>
      <c r="DV18" s="195"/>
      <c r="DW18" s="195"/>
      <c r="DX18" s="12">
        <v>3</v>
      </c>
      <c r="DY18" s="195"/>
      <c r="DZ18" s="195"/>
      <c r="EA18" s="195"/>
      <c r="EB18" s="195"/>
      <c r="EC18" s="195"/>
      <c r="ED18" s="195"/>
      <c r="EE18" s="195"/>
      <c r="EF18" s="195"/>
      <c r="EG18" s="195"/>
      <c r="EH18" s="195"/>
      <c r="EI18" s="195"/>
      <c r="EJ18" s="195"/>
      <c r="EK18" s="195"/>
      <c r="EL18" s="195"/>
      <c r="EM18" s="195"/>
      <c r="EN18" s="195"/>
      <c r="EO18" s="195"/>
      <c r="EP18" s="12">
        <v>3</v>
      </c>
      <c r="EQ18" s="195"/>
      <c r="ER18" s="195"/>
      <c r="ES18" s="195"/>
      <c r="ET18" s="195"/>
      <c r="EU18" s="195"/>
      <c r="EV18" s="195"/>
      <c r="EW18" s="195"/>
      <c r="EX18" s="195"/>
      <c r="EY18" s="195"/>
      <c r="EZ18" s="195"/>
      <c r="FA18" s="195"/>
      <c r="FB18" s="195"/>
      <c r="FC18" s="195"/>
      <c r="FD18" s="195"/>
      <c r="FE18" s="195"/>
      <c r="FF18" s="195"/>
      <c r="FG18" s="195"/>
      <c r="FH18" s="12">
        <v>3</v>
      </c>
      <c r="FI18" s="195"/>
      <c r="FJ18" s="195"/>
      <c r="FK18" s="195"/>
      <c r="FL18" s="195"/>
      <c r="FM18" s="195"/>
      <c r="FN18" s="195"/>
      <c r="FO18" s="195"/>
      <c r="FP18" s="195"/>
      <c r="FQ18" s="195"/>
      <c r="FR18" s="195"/>
      <c r="FS18" s="195"/>
      <c r="FT18" s="195"/>
      <c r="FU18" s="195"/>
      <c r="FV18" s="195"/>
      <c r="FW18" s="195"/>
      <c r="FX18" s="195"/>
      <c r="FY18" s="195"/>
    </row>
    <row r="19" spans="2:181" x14ac:dyDescent="0.25">
      <c r="B19" s="12">
        <v>4</v>
      </c>
      <c r="C19" s="195"/>
      <c r="D19" s="195"/>
      <c r="E19" s="195"/>
      <c r="F19" s="195"/>
      <c r="G19" s="195"/>
      <c r="H19" s="195"/>
      <c r="I19" s="195"/>
      <c r="J19" s="195"/>
      <c r="K19" s="195"/>
      <c r="L19" s="195"/>
      <c r="M19" s="195"/>
      <c r="N19" s="195"/>
      <c r="O19" s="195"/>
      <c r="P19" s="195"/>
      <c r="Q19" s="195"/>
      <c r="R19" s="195"/>
      <c r="S19" s="195"/>
      <c r="T19" s="12">
        <v>4</v>
      </c>
      <c r="U19" s="195"/>
      <c r="V19" s="195"/>
      <c r="W19" s="195"/>
      <c r="X19" s="195"/>
      <c r="Y19" s="195"/>
      <c r="Z19" s="195"/>
      <c r="AA19" s="195"/>
      <c r="AB19" s="195"/>
      <c r="AC19" s="195"/>
      <c r="AD19" s="195"/>
      <c r="AE19" s="195"/>
      <c r="AF19" s="195"/>
      <c r="AG19" s="195"/>
      <c r="AH19" s="195"/>
      <c r="AI19" s="195"/>
      <c r="AJ19" s="195"/>
      <c r="AK19" s="195"/>
      <c r="AL19" s="12">
        <v>4</v>
      </c>
      <c r="AM19" s="195"/>
      <c r="AN19" s="195"/>
      <c r="AO19" s="195"/>
      <c r="AP19" s="195"/>
      <c r="AQ19" s="195"/>
      <c r="AR19" s="195"/>
      <c r="AS19" s="195"/>
      <c r="AT19" s="195"/>
      <c r="AU19" s="195"/>
      <c r="AV19" s="195"/>
      <c r="AW19" s="195"/>
      <c r="AX19" s="195"/>
      <c r="AY19" s="195"/>
      <c r="AZ19" s="195"/>
      <c r="BA19" s="195"/>
      <c r="BB19" s="195"/>
      <c r="BC19" s="195"/>
      <c r="BD19" s="197">
        <v>4</v>
      </c>
      <c r="BE19" s="195"/>
      <c r="BF19" s="195"/>
      <c r="BG19" s="195"/>
      <c r="BH19" s="195"/>
      <c r="BI19" s="195"/>
      <c r="BJ19" s="195"/>
      <c r="BK19" s="195"/>
      <c r="BL19" s="195"/>
      <c r="BM19" s="195"/>
      <c r="BN19" s="195"/>
      <c r="BO19" s="195"/>
      <c r="BP19" s="195"/>
      <c r="BQ19" s="195"/>
      <c r="BR19" s="195"/>
      <c r="BS19" s="195"/>
      <c r="BT19" s="195"/>
      <c r="BU19" s="195"/>
      <c r="BV19" s="12">
        <v>4</v>
      </c>
      <c r="BW19" s="195"/>
      <c r="BX19" s="195"/>
      <c r="BY19" s="195"/>
      <c r="BZ19" s="195"/>
      <c r="CA19" s="195"/>
      <c r="CB19" s="195"/>
      <c r="CC19" s="195"/>
      <c r="CD19" s="195"/>
      <c r="CE19" s="195"/>
      <c r="CF19" s="195"/>
      <c r="CG19" s="195"/>
      <c r="CH19" s="195"/>
      <c r="CI19" s="195"/>
      <c r="CJ19" s="195"/>
      <c r="CK19" s="195"/>
      <c r="CL19" s="195"/>
      <c r="CM19" s="195"/>
      <c r="CN19" s="12">
        <v>4</v>
      </c>
      <c r="CO19" s="195"/>
      <c r="CP19" s="195"/>
      <c r="CQ19" s="195"/>
      <c r="CR19" s="195"/>
      <c r="CS19" s="195"/>
      <c r="CT19" s="195"/>
      <c r="CU19" s="195"/>
      <c r="CV19" s="195"/>
      <c r="CW19" s="195"/>
      <c r="CX19" s="195"/>
      <c r="CY19" s="195"/>
      <c r="CZ19" s="195"/>
      <c r="DA19" s="195"/>
      <c r="DB19" s="195"/>
      <c r="DC19" s="195"/>
      <c r="DD19" s="195"/>
      <c r="DE19" s="195"/>
      <c r="DF19" s="12">
        <v>4</v>
      </c>
      <c r="DG19" s="195"/>
      <c r="DH19" s="195"/>
      <c r="DI19" s="195"/>
      <c r="DJ19" s="195"/>
      <c r="DK19" s="195"/>
      <c r="DL19" s="195"/>
      <c r="DM19" s="195"/>
      <c r="DN19" s="195"/>
      <c r="DO19" s="195"/>
      <c r="DP19" s="195"/>
      <c r="DQ19" s="195"/>
      <c r="DR19" s="195"/>
      <c r="DS19" s="195"/>
      <c r="DT19" s="195"/>
      <c r="DU19" s="195"/>
      <c r="DV19" s="195"/>
      <c r="DW19" s="195"/>
      <c r="DX19" s="12">
        <v>4</v>
      </c>
      <c r="DY19" s="195"/>
      <c r="DZ19" s="195"/>
      <c r="EA19" s="195"/>
      <c r="EB19" s="195"/>
      <c r="EC19" s="195"/>
      <c r="ED19" s="195"/>
      <c r="EE19" s="195"/>
      <c r="EF19" s="195"/>
      <c r="EG19" s="195"/>
      <c r="EH19" s="195"/>
      <c r="EI19" s="195"/>
      <c r="EJ19" s="195"/>
      <c r="EK19" s="195"/>
      <c r="EL19" s="195"/>
      <c r="EM19" s="195"/>
      <c r="EN19" s="195"/>
      <c r="EO19" s="195"/>
      <c r="EP19" s="12">
        <v>4</v>
      </c>
      <c r="EQ19" s="195"/>
      <c r="ER19" s="195"/>
      <c r="ES19" s="195"/>
      <c r="ET19" s="195"/>
      <c r="EU19" s="195"/>
      <c r="EV19" s="195"/>
      <c r="EW19" s="195"/>
      <c r="EX19" s="195"/>
      <c r="EY19" s="195"/>
      <c r="EZ19" s="195"/>
      <c r="FA19" s="195"/>
      <c r="FB19" s="195"/>
      <c r="FC19" s="195"/>
      <c r="FD19" s="195"/>
      <c r="FE19" s="195"/>
      <c r="FF19" s="195"/>
      <c r="FG19" s="195"/>
      <c r="FH19" s="12">
        <v>4</v>
      </c>
      <c r="FI19" s="195"/>
      <c r="FJ19" s="195"/>
      <c r="FK19" s="195"/>
      <c r="FL19" s="195"/>
      <c r="FM19" s="195"/>
      <c r="FN19" s="195"/>
      <c r="FO19" s="195"/>
      <c r="FP19" s="195"/>
      <c r="FQ19" s="195"/>
      <c r="FR19" s="195"/>
      <c r="FS19" s="195"/>
      <c r="FT19" s="195"/>
      <c r="FU19" s="195"/>
      <c r="FV19" s="195"/>
      <c r="FW19" s="195"/>
      <c r="FX19" s="195"/>
      <c r="FY19" s="195"/>
    </row>
    <row r="20" spans="2:181" x14ac:dyDescent="0.25">
      <c r="B20" s="12">
        <v>5</v>
      </c>
      <c r="C20" s="195"/>
      <c r="D20" s="195"/>
      <c r="E20" s="195"/>
      <c r="F20" s="195"/>
      <c r="G20" s="195"/>
      <c r="H20" s="195"/>
      <c r="I20" s="195"/>
      <c r="J20" s="195"/>
      <c r="K20" s="195"/>
      <c r="L20" s="195"/>
      <c r="M20" s="195"/>
      <c r="N20" s="195"/>
      <c r="O20" s="195"/>
      <c r="P20" s="195"/>
      <c r="Q20" s="195"/>
      <c r="R20" s="195"/>
      <c r="S20" s="195"/>
      <c r="T20" s="12">
        <v>5</v>
      </c>
      <c r="U20" s="195"/>
      <c r="V20" s="195"/>
      <c r="W20" s="195"/>
      <c r="X20" s="195"/>
      <c r="Y20" s="195"/>
      <c r="Z20" s="195"/>
      <c r="AA20" s="195"/>
      <c r="AB20" s="195"/>
      <c r="AC20" s="195"/>
      <c r="AD20" s="195"/>
      <c r="AE20" s="195"/>
      <c r="AF20" s="195"/>
      <c r="AG20" s="195"/>
      <c r="AH20" s="195"/>
      <c r="AI20" s="195"/>
      <c r="AJ20" s="195"/>
      <c r="AK20" s="195"/>
      <c r="AL20" s="12">
        <v>5</v>
      </c>
      <c r="AM20" s="195"/>
      <c r="AN20" s="195"/>
      <c r="AO20" s="195"/>
      <c r="AP20" s="195"/>
      <c r="AQ20" s="195"/>
      <c r="AR20" s="195"/>
      <c r="AS20" s="195"/>
      <c r="AT20" s="195"/>
      <c r="AU20" s="195"/>
      <c r="AV20" s="195"/>
      <c r="AW20" s="195"/>
      <c r="AX20" s="195"/>
      <c r="AY20" s="195"/>
      <c r="AZ20" s="195"/>
      <c r="BA20" s="195"/>
      <c r="BB20" s="195"/>
      <c r="BC20" s="195"/>
      <c r="BD20" s="12">
        <v>5</v>
      </c>
      <c r="BE20" s="195"/>
      <c r="BF20" s="195"/>
      <c r="BG20" s="195"/>
      <c r="BH20" s="195"/>
      <c r="BI20" s="195"/>
      <c r="BJ20" s="195"/>
      <c r="BK20" s="195"/>
      <c r="BL20" s="195"/>
      <c r="BM20" s="195"/>
      <c r="BN20" s="195"/>
      <c r="BO20" s="195"/>
      <c r="BP20" s="195"/>
      <c r="BQ20" s="195"/>
      <c r="BR20" s="195"/>
      <c r="BS20" s="195"/>
      <c r="BT20" s="195"/>
      <c r="BU20" s="195"/>
      <c r="BV20" s="12">
        <v>5</v>
      </c>
      <c r="BW20" s="195"/>
      <c r="BX20" s="195"/>
      <c r="BY20" s="195"/>
      <c r="BZ20" s="195"/>
      <c r="CA20" s="195"/>
      <c r="CB20" s="195"/>
      <c r="CC20" s="195"/>
      <c r="CD20" s="195"/>
      <c r="CE20" s="195"/>
      <c r="CF20" s="195"/>
      <c r="CG20" s="195"/>
      <c r="CH20" s="195"/>
      <c r="CI20" s="195"/>
      <c r="CJ20" s="195"/>
      <c r="CK20" s="195"/>
      <c r="CL20" s="195"/>
      <c r="CM20" s="195"/>
      <c r="CN20" s="12">
        <v>5</v>
      </c>
      <c r="CO20" s="195"/>
      <c r="CP20" s="195"/>
      <c r="CQ20" s="195"/>
      <c r="CR20" s="195"/>
      <c r="CS20" s="195"/>
      <c r="CT20" s="195"/>
      <c r="CU20" s="195"/>
      <c r="CV20" s="195"/>
      <c r="CW20" s="195"/>
      <c r="CX20" s="195"/>
      <c r="CY20" s="195"/>
      <c r="CZ20" s="195"/>
      <c r="DA20" s="195"/>
      <c r="DB20" s="195"/>
      <c r="DC20" s="195"/>
      <c r="DD20" s="195"/>
      <c r="DE20" s="195"/>
      <c r="DF20" s="12">
        <v>5</v>
      </c>
      <c r="DG20" s="195"/>
      <c r="DH20" s="195"/>
      <c r="DI20" s="195"/>
      <c r="DJ20" s="195"/>
      <c r="DK20" s="195"/>
      <c r="DL20" s="195"/>
      <c r="DM20" s="195"/>
      <c r="DN20" s="195"/>
      <c r="DO20" s="195"/>
      <c r="DP20" s="195"/>
      <c r="DQ20" s="195"/>
      <c r="DR20" s="195"/>
      <c r="DS20" s="195"/>
      <c r="DT20" s="195"/>
      <c r="DU20" s="195"/>
      <c r="DV20" s="195"/>
      <c r="DW20" s="195"/>
      <c r="DX20" s="12">
        <v>5</v>
      </c>
      <c r="DY20" s="195"/>
      <c r="DZ20" s="195"/>
      <c r="EA20" s="195"/>
      <c r="EB20" s="195"/>
      <c r="EC20" s="195"/>
      <c r="ED20" s="195"/>
      <c r="EE20" s="195"/>
      <c r="EF20" s="195"/>
      <c r="EG20" s="195"/>
      <c r="EH20" s="195"/>
      <c r="EI20" s="195"/>
      <c r="EJ20" s="195"/>
      <c r="EK20" s="195"/>
      <c r="EL20" s="195"/>
      <c r="EM20" s="195"/>
      <c r="EN20" s="195"/>
      <c r="EO20" s="195"/>
      <c r="EP20" s="12">
        <v>5</v>
      </c>
      <c r="EQ20" s="195"/>
      <c r="ER20" s="195"/>
      <c r="ES20" s="195"/>
      <c r="ET20" s="195"/>
      <c r="EU20" s="195"/>
      <c r="EV20" s="195"/>
      <c r="EW20" s="195"/>
      <c r="EX20" s="195"/>
      <c r="EY20" s="195"/>
      <c r="EZ20" s="195"/>
      <c r="FA20" s="195"/>
      <c r="FB20" s="195"/>
      <c r="FC20" s="195"/>
      <c r="FD20" s="195"/>
      <c r="FE20" s="195"/>
      <c r="FF20" s="195"/>
      <c r="FG20" s="195"/>
      <c r="FH20" s="12">
        <v>5</v>
      </c>
      <c r="FI20" s="195"/>
      <c r="FJ20" s="195"/>
      <c r="FK20" s="195"/>
      <c r="FL20" s="195"/>
      <c r="FM20" s="195"/>
      <c r="FN20" s="195"/>
      <c r="FO20" s="195"/>
      <c r="FP20" s="195"/>
      <c r="FQ20" s="195"/>
      <c r="FR20" s="195"/>
      <c r="FS20" s="195"/>
      <c r="FT20" s="195"/>
      <c r="FU20" s="195"/>
      <c r="FV20" s="195"/>
      <c r="FW20" s="195"/>
      <c r="FX20" s="195"/>
      <c r="FY20" s="195"/>
    </row>
    <row r="21" spans="2:181" x14ac:dyDescent="0.25">
      <c r="B21" s="12">
        <v>6</v>
      </c>
      <c r="C21" s="195"/>
      <c r="D21" s="195"/>
      <c r="E21" s="195"/>
      <c r="F21" s="195"/>
      <c r="G21" s="195"/>
      <c r="H21" s="195"/>
      <c r="I21" s="195"/>
      <c r="J21" s="195"/>
      <c r="K21" s="195"/>
      <c r="L21" s="195"/>
      <c r="M21" s="195"/>
      <c r="N21" s="195"/>
      <c r="O21" s="195"/>
      <c r="P21" s="195"/>
      <c r="Q21" s="195"/>
      <c r="R21" s="195"/>
      <c r="S21" s="195"/>
      <c r="T21" s="12">
        <v>6</v>
      </c>
      <c r="U21" s="195"/>
      <c r="V21" s="195"/>
      <c r="W21" s="195"/>
      <c r="X21" s="195"/>
      <c r="Y21" s="195"/>
      <c r="Z21" s="195"/>
      <c r="AA21" s="195"/>
      <c r="AB21" s="195"/>
      <c r="AC21" s="195"/>
      <c r="AD21" s="195"/>
      <c r="AE21" s="195"/>
      <c r="AF21" s="195"/>
      <c r="AG21" s="195"/>
      <c r="AH21" s="195"/>
      <c r="AI21" s="195"/>
      <c r="AJ21" s="195"/>
      <c r="AK21" s="195"/>
      <c r="AL21" s="12">
        <v>6</v>
      </c>
      <c r="AM21" s="195"/>
      <c r="AN21" s="195"/>
      <c r="AO21" s="195"/>
      <c r="AP21" s="195"/>
      <c r="AQ21" s="195"/>
      <c r="AR21" s="195"/>
      <c r="AS21" s="195"/>
      <c r="AT21" s="195"/>
      <c r="AU21" s="195"/>
      <c r="AV21" s="195"/>
      <c r="AW21" s="195"/>
      <c r="AX21" s="195"/>
      <c r="AY21" s="195"/>
      <c r="AZ21" s="195"/>
      <c r="BA21" s="195"/>
      <c r="BB21" s="195"/>
      <c r="BC21" s="195"/>
      <c r="BD21" s="197">
        <v>6</v>
      </c>
      <c r="BE21" s="195"/>
      <c r="BF21" s="195"/>
      <c r="BG21" s="195"/>
      <c r="BH21" s="195"/>
      <c r="BI21" s="195"/>
      <c r="BJ21" s="195"/>
      <c r="BK21" s="195"/>
      <c r="BL21" s="195"/>
      <c r="BM21" s="195"/>
      <c r="BN21" s="195"/>
      <c r="BO21" s="195"/>
      <c r="BP21" s="195"/>
      <c r="BQ21" s="195"/>
      <c r="BR21" s="195"/>
      <c r="BS21" s="195"/>
      <c r="BT21" s="195"/>
      <c r="BU21" s="195"/>
      <c r="BV21" s="12">
        <v>6</v>
      </c>
      <c r="BW21" s="195"/>
      <c r="BX21" s="195"/>
      <c r="BY21" s="195"/>
      <c r="BZ21" s="195"/>
      <c r="CA21" s="195"/>
      <c r="CB21" s="195"/>
      <c r="CC21" s="195"/>
      <c r="CD21" s="195"/>
      <c r="CE21" s="195"/>
      <c r="CF21" s="195"/>
      <c r="CG21" s="195"/>
      <c r="CH21" s="195"/>
      <c r="CI21" s="195"/>
      <c r="CJ21" s="195"/>
      <c r="CK21" s="195"/>
      <c r="CL21" s="195"/>
      <c r="CM21" s="195"/>
      <c r="CN21" s="12">
        <v>6</v>
      </c>
      <c r="CO21" s="195"/>
      <c r="CP21" s="195"/>
      <c r="CQ21" s="195"/>
      <c r="CR21" s="195"/>
      <c r="CS21" s="195"/>
      <c r="CT21" s="195"/>
      <c r="CU21" s="195"/>
      <c r="CV21" s="195"/>
      <c r="CW21" s="195"/>
      <c r="CX21" s="195"/>
      <c r="CY21" s="195"/>
      <c r="CZ21" s="195"/>
      <c r="DA21" s="195"/>
      <c r="DB21" s="195"/>
      <c r="DC21" s="195"/>
      <c r="DD21" s="195"/>
      <c r="DE21" s="195"/>
      <c r="DF21" s="12">
        <v>6</v>
      </c>
      <c r="DG21" s="195"/>
      <c r="DH21" s="195"/>
      <c r="DI21" s="195"/>
      <c r="DJ21" s="195"/>
      <c r="DK21" s="195"/>
      <c r="DL21" s="195"/>
      <c r="DM21" s="195"/>
      <c r="DN21" s="195"/>
      <c r="DO21" s="195"/>
      <c r="DP21" s="195"/>
      <c r="DQ21" s="195"/>
      <c r="DR21" s="195"/>
      <c r="DS21" s="195"/>
      <c r="DT21" s="195"/>
      <c r="DU21" s="195"/>
      <c r="DV21" s="195"/>
      <c r="DW21" s="195"/>
      <c r="DX21" s="12">
        <v>6</v>
      </c>
      <c r="DY21" s="195"/>
      <c r="DZ21" s="195"/>
      <c r="EA21" s="195"/>
      <c r="EB21" s="195"/>
      <c r="EC21" s="195"/>
      <c r="ED21" s="195"/>
      <c r="EE21" s="195"/>
      <c r="EF21" s="195"/>
      <c r="EG21" s="195"/>
      <c r="EH21" s="195"/>
      <c r="EI21" s="195"/>
      <c r="EJ21" s="195"/>
      <c r="EK21" s="195"/>
      <c r="EL21" s="195"/>
      <c r="EM21" s="195"/>
      <c r="EN21" s="195"/>
      <c r="EO21" s="195"/>
      <c r="EP21" s="12">
        <v>6</v>
      </c>
      <c r="EQ21" s="195"/>
      <c r="ER21" s="195"/>
      <c r="ES21" s="195"/>
      <c r="ET21" s="195"/>
      <c r="EU21" s="195"/>
      <c r="EV21" s="195"/>
      <c r="EW21" s="195"/>
      <c r="EX21" s="195"/>
      <c r="EY21" s="195"/>
      <c r="EZ21" s="195"/>
      <c r="FA21" s="195"/>
      <c r="FB21" s="195"/>
      <c r="FC21" s="195"/>
      <c r="FD21" s="195"/>
      <c r="FE21" s="195"/>
      <c r="FF21" s="195"/>
      <c r="FG21" s="195"/>
      <c r="FH21" s="12">
        <v>6</v>
      </c>
      <c r="FI21" s="195"/>
      <c r="FJ21" s="195"/>
      <c r="FK21" s="195"/>
      <c r="FL21" s="195"/>
      <c r="FM21" s="195"/>
      <c r="FN21" s="195"/>
      <c r="FO21" s="195"/>
      <c r="FP21" s="195"/>
      <c r="FQ21" s="195"/>
      <c r="FR21" s="195"/>
      <c r="FS21" s="195"/>
      <c r="FT21" s="195"/>
      <c r="FU21" s="195"/>
      <c r="FV21" s="195"/>
      <c r="FW21" s="195"/>
      <c r="FX21" s="195"/>
      <c r="FY21" s="195"/>
    </row>
    <row r="22" spans="2:181" x14ac:dyDescent="0.25">
      <c r="B22" s="12">
        <v>7</v>
      </c>
      <c r="C22" s="195"/>
      <c r="D22" s="195"/>
      <c r="E22" s="195"/>
      <c r="F22" s="195"/>
      <c r="G22" s="195"/>
      <c r="H22" s="195"/>
      <c r="I22" s="195"/>
      <c r="J22" s="195"/>
      <c r="K22" s="195"/>
      <c r="L22" s="195"/>
      <c r="M22" s="195"/>
      <c r="N22" s="195"/>
      <c r="O22" s="195"/>
      <c r="P22" s="195"/>
      <c r="Q22" s="195"/>
      <c r="R22" s="195"/>
      <c r="S22" s="195"/>
      <c r="T22" s="12">
        <v>7</v>
      </c>
      <c r="U22" s="195"/>
      <c r="V22" s="195"/>
      <c r="W22" s="195"/>
      <c r="X22" s="195"/>
      <c r="Y22" s="195"/>
      <c r="Z22" s="195"/>
      <c r="AA22" s="195"/>
      <c r="AB22" s="195"/>
      <c r="AC22" s="195"/>
      <c r="AD22" s="195"/>
      <c r="AE22" s="195"/>
      <c r="AF22" s="195"/>
      <c r="AG22" s="195"/>
      <c r="AH22" s="195"/>
      <c r="AI22" s="195"/>
      <c r="AJ22" s="195"/>
      <c r="AK22" s="195"/>
      <c r="AL22" s="12">
        <v>7</v>
      </c>
      <c r="AM22" s="195"/>
      <c r="AN22" s="195"/>
      <c r="AO22" s="195"/>
      <c r="AP22" s="195"/>
      <c r="AQ22" s="195"/>
      <c r="AR22" s="195"/>
      <c r="AS22" s="195"/>
      <c r="AT22" s="195"/>
      <c r="AU22" s="195"/>
      <c r="AV22" s="195"/>
      <c r="AW22" s="195"/>
      <c r="AX22" s="195"/>
      <c r="AY22" s="195"/>
      <c r="AZ22" s="195"/>
      <c r="BA22" s="195"/>
      <c r="BB22" s="195"/>
      <c r="BC22" s="195"/>
      <c r="BD22" s="12">
        <v>7</v>
      </c>
      <c r="BE22" s="195"/>
      <c r="BF22" s="195"/>
      <c r="BG22" s="195"/>
      <c r="BH22" s="195"/>
      <c r="BI22" s="195"/>
      <c r="BJ22" s="195"/>
      <c r="BK22" s="195"/>
      <c r="BL22" s="195"/>
      <c r="BM22" s="195"/>
      <c r="BN22" s="195"/>
      <c r="BO22" s="195"/>
      <c r="BP22" s="195"/>
      <c r="BQ22" s="195"/>
      <c r="BR22" s="195"/>
      <c r="BS22" s="195"/>
      <c r="BT22" s="195"/>
      <c r="BU22" s="195"/>
      <c r="BV22" s="12">
        <v>7</v>
      </c>
      <c r="BW22" s="195"/>
      <c r="BX22" s="195"/>
      <c r="BY22" s="195"/>
      <c r="BZ22" s="195"/>
      <c r="CA22" s="195"/>
      <c r="CB22" s="195"/>
      <c r="CC22" s="195"/>
      <c r="CD22" s="195"/>
      <c r="CE22" s="195"/>
      <c r="CF22" s="195"/>
      <c r="CG22" s="195"/>
      <c r="CH22" s="195"/>
      <c r="CI22" s="195"/>
      <c r="CJ22" s="195"/>
      <c r="CK22" s="195"/>
      <c r="CL22" s="195"/>
      <c r="CM22" s="195"/>
      <c r="CN22" s="12">
        <v>7</v>
      </c>
      <c r="CO22" s="195"/>
      <c r="CP22" s="195"/>
      <c r="CQ22" s="195"/>
      <c r="CR22" s="195"/>
      <c r="CS22" s="195"/>
      <c r="CT22" s="195"/>
      <c r="CU22" s="195"/>
      <c r="CV22" s="195"/>
      <c r="CW22" s="195"/>
      <c r="CX22" s="195"/>
      <c r="CY22" s="195"/>
      <c r="CZ22" s="195"/>
      <c r="DA22" s="195"/>
      <c r="DB22" s="195"/>
      <c r="DC22" s="195"/>
      <c r="DD22" s="195"/>
      <c r="DE22" s="195"/>
      <c r="DF22" s="12">
        <v>7</v>
      </c>
      <c r="DG22" s="195"/>
      <c r="DH22" s="195"/>
      <c r="DI22" s="195"/>
      <c r="DJ22" s="195"/>
      <c r="DK22" s="195"/>
      <c r="DL22" s="195"/>
      <c r="DM22" s="195"/>
      <c r="DN22" s="195"/>
      <c r="DO22" s="195"/>
      <c r="DP22" s="195"/>
      <c r="DQ22" s="195"/>
      <c r="DR22" s="195"/>
      <c r="DS22" s="195"/>
      <c r="DT22" s="195"/>
      <c r="DU22" s="195"/>
      <c r="DV22" s="195"/>
      <c r="DW22" s="195"/>
      <c r="DX22" s="12">
        <v>7</v>
      </c>
      <c r="DY22" s="195"/>
      <c r="DZ22" s="195"/>
      <c r="EA22" s="195"/>
      <c r="EB22" s="195"/>
      <c r="EC22" s="195"/>
      <c r="ED22" s="195"/>
      <c r="EE22" s="195"/>
      <c r="EF22" s="195"/>
      <c r="EG22" s="195"/>
      <c r="EH22" s="195"/>
      <c r="EI22" s="195"/>
      <c r="EJ22" s="195"/>
      <c r="EK22" s="195"/>
      <c r="EL22" s="195"/>
      <c r="EM22" s="195"/>
      <c r="EN22" s="195"/>
      <c r="EO22" s="195"/>
      <c r="EP22" s="12">
        <v>7</v>
      </c>
      <c r="EQ22" s="195"/>
      <c r="ER22" s="195"/>
      <c r="ES22" s="195"/>
      <c r="ET22" s="195"/>
      <c r="EU22" s="195"/>
      <c r="EV22" s="195"/>
      <c r="EW22" s="195"/>
      <c r="EX22" s="195"/>
      <c r="EY22" s="195"/>
      <c r="EZ22" s="195"/>
      <c r="FA22" s="195"/>
      <c r="FB22" s="195"/>
      <c r="FC22" s="195"/>
      <c r="FD22" s="195"/>
      <c r="FE22" s="195"/>
      <c r="FF22" s="195"/>
      <c r="FG22" s="195"/>
      <c r="FH22" s="12">
        <v>7</v>
      </c>
      <c r="FI22" s="195"/>
      <c r="FJ22" s="195"/>
      <c r="FK22" s="195"/>
      <c r="FL22" s="195"/>
      <c r="FM22" s="195"/>
      <c r="FN22" s="195"/>
      <c r="FO22" s="195"/>
      <c r="FP22" s="195"/>
      <c r="FQ22" s="195"/>
      <c r="FR22" s="195"/>
      <c r="FS22" s="195"/>
      <c r="FT22" s="195"/>
      <c r="FU22" s="195"/>
      <c r="FV22" s="195"/>
      <c r="FW22" s="195"/>
      <c r="FX22" s="195"/>
      <c r="FY22" s="195"/>
    </row>
    <row r="23" spans="2:181" x14ac:dyDescent="0.25">
      <c r="B23" s="12">
        <v>8</v>
      </c>
      <c r="C23" s="195"/>
      <c r="D23" s="195"/>
      <c r="E23" s="195"/>
      <c r="F23" s="195"/>
      <c r="G23" s="195"/>
      <c r="H23" s="195"/>
      <c r="I23" s="195"/>
      <c r="J23" s="195"/>
      <c r="K23" s="195"/>
      <c r="L23" s="195"/>
      <c r="M23" s="195"/>
      <c r="N23" s="195"/>
      <c r="O23" s="195"/>
      <c r="P23" s="195"/>
      <c r="Q23" s="195"/>
      <c r="R23" s="195"/>
      <c r="S23" s="195"/>
      <c r="T23" s="12">
        <v>8</v>
      </c>
      <c r="U23" s="195"/>
      <c r="V23" s="195"/>
      <c r="W23" s="195"/>
      <c r="X23" s="195"/>
      <c r="Y23" s="195"/>
      <c r="Z23" s="195"/>
      <c r="AA23" s="195"/>
      <c r="AB23" s="195"/>
      <c r="AC23" s="195"/>
      <c r="AD23" s="195"/>
      <c r="AE23" s="195"/>
      <c r="AF23" s="195"/>
      <c r="AG23" s="195"/>
      <c r="AH23" s="195"/>
      <c r="AI23" s="195"/>
      <c r="AJ23" s="195"/>
      <c r="AK23" s="195"/>
      <c r="AL23" s="12">
        <v>8</v>
      </c>
      <c r="AM23" s="195"/>
      <c r="AN23" s="195"/>
      <c r="AO23" s="195"/>
      <c r="AP23" s="195"/>
      <c r="AQ23" s="195"/>
      <c r="AR23" s="195"/>
      <c r="AS23" s="195"/>
      <c r="AT23" s="195"/>
      <c r="AU23" s="195"/>
      <c r="AV23" s="195"/>
      <c r="AW23" s="195"/>
      <c r="AX23" s="195"/>
      <c r="AY23" s="195"/>
      <c r="AZ23" s="195"/>
      <c r="BA23" s="195"/>
      <c r="BB23" s="195"/>
      <c r="BC23" s="195"/>
      <c r="BD23" s="197">
        <v>8</v>
      </c>
      <c r="BE23" s="195"/>
      <c r="BF23" s="195"/>
      <c r="BG23" s="195"/>
      <c r="BH23" s="195"/>
      <c r="BI23" s="195"/>
      <c r="BJ23" s="195"/>
      <c r="BK23" s="195"/>
      <c r="BL23" s="195"/>
      <c r="BM23" s="195"/>
      <c r="BN23" s="195"/>
      <c r="BO23" s="195"/>
      <c r="BP23" s="195"/>
      <c r="BQ23" s="195"/>
      <c r="BR23" s="195"/>
      <c r="BS23" s="195"/>
      <c r="BT23" s="195"/>
      <c r="BU23" s="195"/>
      <c r="BV23" s="12">
        <v>8</v>
      </c>
      <c r="BW23" s="195"/>
      <c r="BX23" s="195"/>
      <c r="BY23" s="195"/>
      <c r="BZ23" s="195"/>
      <c r="CA23" s="195"/>
      <c r="CB23" s="195"/>
      <c r="CC23" s="195"/>
      <c r="CD23" s="195"/>
      <c r="CE23" s="195"/>
      <c r="CF23" s="195"/>
      <c r="CG23" s="195"/>
      <c r="CH23" s="195"/>
      <c r="CI23" s="195"/>
      <c r="CJ23" s="195"/>
      <c r="CK23" s="195"/>
      <c r="CL23" s="195"/>
      <c r="CM23" s="195"/>
      <c r="CN23" s="12">
        <v>8</v>
      </c>
      <c r="CO23" s="195"/>
      <c r="CP23" s="195"/>
      <c r="CQ23" s="195"/>
      <c r="CR23" s="195"/>
      <c r="CS23" s="195"/>
      <c r="CT23" s="195"/>
      <c r="CU23" s="195"/>
      <c r="CV23" s="195"/>
      <c r="CW23" s="195"/>
      <c r="CX23" s="195"/>
      <c r="CY23" s="195"/>
      <c r="CZ23" s="195"/>
      <c r="DA23" s="195"/>
      <c r="DB23" s="195"/>
      <c r="DC23" s="195"/>
      <c r="DD23" s="195"/>
      <c r="DE23" s="195"/>
      <c r="DF23" s="12">
        <v>8</v>
      </c>
      <c r="DG23" s="195"/>
      <c r="DH23" s="195"/>
      <c r="DI23" s="195"/>
      <c r="DJ23" s="195"/>
      <c r="DK23" s="195"/>
      <c r="DL23" s="195"/>
      <c r="DM23" s="195"/>
      <c r="DN23" s="195"/>
      <c r="DO23" s="195"/>
      <c r="DP23" s="195"/>
      <c r="DQ23" s="195"/>
      <c r="DR23" s="195"/>
      <c r="DS23" s="195"/>
      <c r="DT23" s="195"/>
      <c r="DU23" s="195"/>
      <c r="DV23" s="195"/>
      <c r="DW23" s="195"/>
      <c r="DX23" s="12">
        <v>8</v>
      </c>
      <c r="DY23" s="195"/>
      <c r="DZ23" s="195"/>
      <c r="EA23" s="195"/>
      <c r="EB23" s="195"/>
      <c r="EC23" s="195"/>
      <c r="ED23" s="195"/>
      <c r="EE23" s="195"/>
      <c r="EF23" s="195"/>
      <c r="EG23" s="195"/>
      <c r="EH23" s="195"/>
      <c r="EI23" s="195"/>
      <c r="EJ23" s="195"/>
      <c r="EK23" s="195"/>
      <c r="EL23" s="195"/>
      <c r="EM23" s="195"/>
      <c r="EN23" s="195"/>
      <c r="EO23" s="195"/>
      <c r="EP23" s="12">
        <v>8</v>
      </c>
      <c r="EQ23" s="195"/>
      <c r="ER23" s="195"/>
      <c r="ES23" s="195"/>
      <c r="ET23" s="195"/>
      <c r="EU23" s="195"/>
      <c r="EV23" s="195"/>
      <c r="EW23" s="195"/>
      <c r="EX23" s="195"/>
      <c r="EY23" s="195"/>
      <c r="EZ23" s="195"/>
      <c r="FA23" s="195"/>
      <c r="FB23" s="195"/>
      <c r="FC23" s="195"/>
      <c r="FD23" s="195"/>
      <c r="FE23" s="195"/>
      <c r="FF23" s="195"/>
      <c r="FG23" s="195"/>
      <c r="FH23" s="12">
        <v>8</v>
      </c>
      <c r="FI23" s="195"/>
      <c r="FJ23" s="195"/>
      <c r="FK23" s="195"/>
      <c r="FL23" s="195"/>
      <c r="FM23" s="195"/>
      <c r="FN23" s="195"/>
      <c r="FO23" s="195"/>
      <c r="FP23" s="195"/>
      <c r="FQ23" s="195"/>
      <c r="FR23" s="195"/>
      <c r="FS23" s="195"/>
      <c r="FT23" s="195"/>
      <c r="FU23" s="195"/>
      <c r="FV23" s="195"/>
      <c r="FW23" s="195"/>
      <c r="FX23" s="195"/>
      <c r="FY23" s="195"/>
    </row>
    <row r="24" spans="2:181" x14ac:dyDescent="0.25">
      <c r="B24" s="12">
        <v>9</v>
      </c>
      <c r="C24" s="195"/>
      <c r="D24" s="195"/>
      <c r="E24" s="195"/>
      <c r="F24" s="195"/>
      <c r="G24" s="195"/>
      <c r="H24" s="195"/>
      <c r="I24" s="195"/>
      <c r="J24" s="195"/>
      <c r="K24" s="195"/>
      <c r="L24" s="195"/>
      <c r="M24" s="195"/>
      <c r="N24" s="195"/>
      <c r="O24" s="195"/>
      <c r="P24" s="195"/>
      <c r="Q24" s="195"/>
      <c r="R24" s="195"/>
      <c r="S24" s="195"/>
      <c r="T24" s="12">
        <v>9</v>
      </c>
      <c r="U24" s="195"/>
      <c r="V24" s="195"/>
      <c r="W24" s="195"/>
      <c r="X24" s="195"/>
      <c r="Y24" s="195"/>
      <c r="Z24" s="195"/>
      <c r="AA24" s="195"/>
      <c r="AB24" s="195"/>
      <c r="AC24" s="195"/>
      <c r="AD24" s="195"/>
      <c r="AE24" s="195"/>
      <c r="AF24" s="195"/>
      <c r="AG24" s="195"/>
      <c r="AH24" s="195"/>
      <c r="AI24" s="195"/>
      <c r="AJ24" s="195"/>
      <c r="AK24" s="195"/>
      <c r="AL24" s="12">
        <v>9</v>
      </c>
      <c r="AM24" s="195"/>
      <c r="AN24" s="195"/>
      <c r="AO24" s="195"/>
      <c r="AP24" s="195"/>
      <c r="AQ24" s="195"/>
      <c r="AR24" s="195"/>
      <c r="AS24" s="195"/>
      <c r="AT24" s="195"/>
      <c r="AU24" s="195"/>
      <c r="AV24" s="195"/>
      <c r="AW24" s="195"/>
      <c r="AX24" s="195"/>
      <c r="AY24" s="195"/>
      <c r="AZ24" s="195"/>
      <c r="BA24" s="195"/>
      <c r="BB24" s="195"/>
      <c r="BC24" s="195"/>
      <c r="BD24" s="12">
        <v>9</v>
      </c>
      <c r="BE24" s="195"/>
      <c r="BF24" s="195"/>
      <c r="BG24" s="195"/>
      <c r="BH24" s="195"/>
      <c r="BI24" s="195"/>
      <c r="BJ24" s="195"/>
      <c r="BK24" s="195"/>
      <c r="BL24" s="195"/>
      <c r="BM24" s="195"/>
      <c r="BN24" s="195"/>
      <c r="BO24" s="195"/>
      <c r="BP24" s="195"/>
      <c r="BQ24" s="195"/>
      <c r="BR24" s="195"/>
      <c r="BS24" s="195"/>
      <c r="BT24" s="195"/>
      <c r="BU24" s="195"/>
      <c r="BV24" s="12">
        <v>9</v>
      </c>
      <c r="BW24" s="195"/>
      <c r="BX24" s="195"/>
      <c r="BY24" s="195"/>
      <c r="BZ24" s="195"/>
      <c r="CA24" s="195"/>
      <c r="CB24" s="195"/>
      <c r="CC24" s="195"/>
      <c r="CD24" s="195"/>
      <c r="CE24" s="195"/>
      <c r="CF24" s="195"/>
      <c r="CG24" s="195"/>
      <c r="CH24" s="195"/>
      <c r="CI24" s="195"/>
      <c r="CJ24" s="195"/>
      <c r="CK24" s="195"/>
      <c r="CL24" s="195"/>
      <c r="CM24" s="195"/>
      <c r="CN24" s="12">
        <v>9</v>
      </c>
      <c r="CO24" s="195"/>
      <c r="CP24" s="195"/>
      <c r="CQ24" s="195"/>
      <c r="CR24" s="195"/>
      <c r="CS24" s="195"/>
      <c r="CT24" s="195"/>
      <c r="CU24" s="195"/>
      <c r="CV24" s="195"/>
      <c r="CW24" s="195"/>
      <c r="CX24" s="195"/>
      <c r="CY24" s="195"/>
      <c r="CZ24" s="195"/>
      <c r="DA24" s="195"/>
      <c r="DB24" s="195"/>
      <c r="DC24" s="195"/>
      <c r="DD24" s="195"/>
      <c r="DE24" s="195"/>
      <c r="DF24" s="12">
        <v>9</v>
      </c>
      <c r="DG24" s="195"/>
      <c r="DH24" s="195"/>
      <c r="DI24" s="195"/>
      <c r="DJ24" s="195"/>
      <c r="DK24" s="195"/>
      <c r="DL24" s="195"/>
      <c r="DM24" s="195"/>
      <c r="DN24" s="195"/>
      <c r="DO24" s="195"/>
      <c r="DP24" s="195"/>
      <c r="DQ24" s="195"/>
      <c r="DR24" s="195"/>
      <c r="DS24" s="195"/>
      <c r="DT24" s="195"/>
      <c r="DU24" s="195"/>
      <c r="DV24" s="195"/>
      <c r="DW24" s="195"/>
      <c r="DX24" s="12">
        <v>9</v>
      </c>
      <c r="DY24" s="195"/>
      <c r="DZ24" s="195"/>
      <c r="EA24" s="195"/>
      <c r="EB24" s="195"/>
      <c r="EC24" s="195"/>
      <c r="ED24" s="195"/>
      <c r="EE24" s="195"/>
      <c r="EF24" s="195"/>
      <c r="EG24" s="195"/>
      <c r="EH24" s="195"/>
      <c r="EI24" s="195"/>
      <c r="EJ24" s="195"/>
      <c r="EK24" s="195"/>
      <c r="EL24" s="195"/>
      <c r="EM24" s="195"/>
      <c r="EN24" s="195"/>
      <c r="EO24" s="195"/>
      <c r="EP24" s="12">
        <v>9</v>
      </c>
      <c r="EQ24" s="195"/>
      <c r="ER24" s="195"/>
      <c r="ES24" s="195"/>
      <c r="ET24" s="195"/>
      <c r="EU24" s="195"/>
      <c r="EV24" s="195"/>
      <c r="EW24" s="195"/>
      <c r="EX24" s="195"/>
      <c r="EY24" s="195"/>
      <c r="EZ24" s="195"/>
      <c r="FA24" s="195"/>
      <c r="FB24" s="195"/>
      <c r="FC24" s="195"/>
      <c r="FD24" s="195"/>
      <c r="FE24" s="195"/>
      <c r="FF24" s="195"/>
      <c r="FG24" s="195"/>
      <c r="FH24" s="12">
        <v>9</v>
      </c>
      <c r="FI24" s="195"/>
      <c r="FJ24" s="195"/>
      <c r="FK24" s="195"/>
      <c r="FL24" s="195"/>
      <c r="FM24" s="195"/>
      <c r="FN24" s="195"/>
      <c r="FO24" s="195"/>
      <c r="FP24" s="195"/>
      <c r="FQ24" s="195"/>
      <c r="FR24" s="195"/>
      <c r="FS24" s="195"/>
      <c r="FT24" s="195"/>
      <c r="FU24" s="195"/>
      <c r="FV24" s="195"/>
      <c r="FW24" s="195"/>
      <c r="FX24" s="195"/>
      <c r="FY24" s="195"/>
    </row>
    <row r="25" spans="2:181" x14ac:dyDescent="0.25">
      <c r="B25" s="12">
        <v>10</v>
      </c>
      <c r="C25" s="195"/>
      <c r="D25" s="195"/>
      <c r="E25" s="195"/>
      <c r="F25" s="195"/>
      <c r="G25" s="195"/>
      <c r="H25" s="195"/>
      <c r="I25" s="195"/>
      <c r="J25" s="195"/>
      <c r="K25" s="195"/>
      <c r="L25" s="195"/>
      <c r="M25" s="195"/>
      <c r="N25" s="195"/>
      <c r="O25" s="195"/>
      <c r="P25" s="195"/>
      <c r="Q25" s="195"/>
      <c r="R25" s="195"/>
      <c r="S25" s="195"/>
      <c r="T25" s="12">
        <v>10</v>
      </c>
      <c r="U25" s="195"/>
      <c r="V25" s="195"/>
      <c r="W25" s="195"/>
      <c r="X25" s="195"/>
      <c r="Y25" s="195"/>
      <c r="Z25" s="195"/>
      <c r="AA25" s="195"/>
      <c r="AB25" s="195"/>
      <c r="AC25" s="195"/>
      <c r="AD25" s="195"/>
      <c r="AE25" s="195"/>
      <c r="AF25" s="195"/>
      <c r="AG25" s="195"/>
      <c r="AH25" s="195"/>
      <c r="AI25" s="195"/>
      <c r="AJ25" s="195"/>
      <c r="AK25" s="195"/>
      <c r="AL25" s="12">
        <v>10</v>
      </c>
      <c r="AM25" s="195"/>
      <c r="AN25" s="195"/>
      <c r="AO25" s="195"/>
      <c r="AP25" s="195"/>
      <c r="AQ25" s="195"/>
      <c r="AR25" s="195"/>
      <c r="AS25" s="195"/>
      <c r="AT25" s="195"/>
      <c r="AU25" s="195"/>
      <c r="AV25" s="195"/>
      <c r="AW25" s="195"/>
      <c r="AX25" s="195"/>
      <c r="AY25" s="195"/>
      <c r="AZ25" s="195"/>
      <c r="BA25" s="195"/>
      <c r="BB25" s="195"/>
      <c r="BC25" s="195"/>
      <c r="BD25" s="197">
        <v>10</v>
      </c>
      <c r="BE25" s="195"/>
      <c r="BF25" s="195"/>
      <c r="BG25" s="195"/>
      <c r="BH25" s="195"/>
      <c r="BI25" s="195"/>
      <c r="BJ25" s="195"/>
      <c r="BK25" s="195"/>
      <c r="BL25" s="195"/>
      <c r="BM25" s="195"/>
      <c r="BN25" s="195"/>
      <c r="BO25" s="195"/>
      <c r="BP25" s="195"/>
      <c r="BQ25" s="195"/>
      <c r="BR25" s="195"/>
      <c r="BS25" s="195"/>
      <c r="BT25" s="195"/>
      <c r="BU25" s="195"/>
      <c r="BV25" s="12">
        <v>10</v>
      </c>
      <c r="BW25" s="195"/>
      <c r="BX25" s="195"/>
      <c r="BY25" s="195"/>
      <c r="BZ25" s="195"/>
      <c r="CA25" s="195"/>
      <c r="CB25" s="195"/>
      <c r="CC25" s="195"/>
      <c r="CD25" s="195"/>
      <c r="CE25" s="195"/>
      <c r="CF25" s="195"/>
      <c r="CG25" s="195"/>
      <c r="CH25" s="195"/>
      <c r="CI25" s="195"/>
      <c r="CJ25" s="195"/>
      <c r="CK25" s="195"/>
      <c r="CL25" s="195"/>
      <c r="CM25" s="195"/>
      <c r="CN25" s="12">
        <v>10</v>
      </c>
      <c r="CO25" s="195"/>
      <c r="CP25" s="195"/>
      <c r="CQ25" s="195"/>
      <c r="CR25" s="195"/>
      <c r="CS25" s="195"/>
      <c r="CT25" s="195"/>
      <c r="CU25" s="195"/>
      <c r="CV25" s="195"/>
      <c r="CW25" s="195"/>
      <c r="CX25" s="195"/>
      <c r="CY25" s="195"/>
      <c r="CZ25" s="195"/>
      <c r="DA25" s="195"/>
      <c r="DB25" s="195"/>
      <c r="DC25" s="195"/>
      <c r="DD25" s="195"/>
      <c r="DE25" s="195"/>
      <c r="DF25" s="12">
        <v>10</v>
      </c>
      <c r="DG25" s="195"/>
      <c r="DH25" s="195"/>
      <c r="DI25" s="195"/>
      <c r="DJ25" s="195"/>
      <c r="DK25" s="195"/>
      <c r="DL25" s="195"/>
      <c r="DM25" s="195"/>
      <c r="DN25" s="195"/>
      <c r="DO25" s="195"/>
      <c r="DP25" s="195"/>
      <c r="DQ25" s="195"/>
      <c r="DR25" s="195"/>
      <c r="DS25" s="195"/>
      <c r="DT25" s="195"/>
      <c r="DU25" s="195"/>
      <c r="DV25" s="195"/>
      <c r="DW25" s="195"/>
      <c r="DX25" s="12">
        <v>10</v>
      </c>
      <c r="DY25" s="195"/>
      <c r="DZ25" s="195"/>
      <c r="EA25" s="195"/>
      <c r="EB25" s="195"/>
      <c r="EC25" s="195"/>
      <c r="ED25" s="195"/>
      <c r="EE25" s="195"/>
      <c r="EF25" s="195"/>
      <c r="EG25" s="195"/>
      <c r="EH25" s="195"/>
      <c r="EI25" s="195"/>
      <c r="EJ25" s="195"/>
      <c r="EK25" s="195"/>
      <c r="EL25" s="195"/>
      <c r="EM25" s="195"/>
      <c r="EN25" s="195"/>
      <c r="EO25" s="195"/>
      <c r="EP25" s="12">
        <v>10</v>
      </c>
      <c r="EQ25" s="195"/>
      <c r="ER25" s="195"/>
      <c r="ES25" s="195"/>
      <c r="ET25" s="195"/>
      <c r="EU25" s="195"/>
      <c r="EV25" s="195"/>
      <c r="EW25" s="195"/>
      <c r="EX25" s="195"/>
      <c r="EY25" s="195"/>
      <c r="EZ25" s="195"/>
      <c r="FA25" s="195"/>
      <c r="FB25" s="195"/>
      <c r="FC25" s="195"/>
      <c r="FD25" s="195"/>
      <c r="FE25" s="195"/>
      <c r="FF25" s="195"/>
      <c r="FG25" s="195"/>
      <c r="FH25" s="12">
        <v>10</v>
      </c>
      <c r="FI25" s="195"/>
      <c r="FJ25" s="195"/>
      <c r="FK25" s="195"/>
      <c r="FL25" s="195"/>
      <c r="FM25" s="195"/>
      <c r="FN25" s="195"/>
      <c r="FO25" s="195"/>
      <c r="FP25" s="195"/>
      <c r="FQ25" s="195"/>
      <c r="FR25" s="195"/>
      <c r="FS25" s="195"/>
      <c r="FT25" s="195"/>
      <c r="FU25" s="195"/>
      <c r="FV25" s="195"/>
      <c r="FW25" s="195"/>
      <c r="FX25" s="195"/>
      <c r="FY25" s="195"/>
    </row>
    <row r="26" spans="2:181" x14ac:dyDescent="0.25">
      <c r="B26" s="12">
        <v>11</v>
      </c>
      <c r="C26" s="195"/>
      <c r="D26" s="195"/>
      <c r="E26" s="195"/>
      <c r="F26" s="195"/>
      <c r="G26" s="195"/>
      <c r="H26" s="195"/>
      <c r="I26" s="195"/>
      <c r="J26" s="195"/>
      <c r="K26" s="195"/>
      <c r="L26" s="195"/>
      <c r="M26" s="195"/>
      <c r="N26" s="195"/>
      <c r="O26" s="195"/>
      <c r="P26" s="195"/>
      <c r="Q26" s="195"/>
      <c r="R26" s="195"/>
      <c r="S26" s="195"/>
      <c r="T26" s="12">
        <v>11</v>
      </c>
      <c r="U26" s="195"/>
      <c r="V26" s="195"/>
      <c r="W26" s="195"/>
      <c r="X26" s="195"/>
      <c r="Y26" s="195"/>
      <c r="Z26" s="195"/>
      <c r="AA26" s="195"/>
      <c r="AB26" s="195"/>
      <c r="AC26" s="195"/>
      <c r="AD26" s="195"/>
      <c r="AE26" s="195"/>
      <c r="AF26" s="195"/>
      <c r="AG26" s="195"/>
      <c r="AH26" s="195"/>
      <c r="AI26" s="195"/>
      <c r="AJ26" s="195"/>
      <c r="AK26" s="195"/>
      <c r="AL26" s="12">
        <v>11</v>
      </c>
      <c r="AM26" s="195"/>
      <c r="AN26" s="195"/>
      <c r="AO26" s="195"/>
      <c r="AP26" s="195"/>
      <c r="AQ26" s="195"/>
      <c r="AR26" s="195"/>
      <c r="AS26" s="195"/>
      <c r="AT26" s="195"/>
      <c r="AU26" s="195"/>
      <c r="AV26" s="195"/>
      <c r="AW26" s="195"/>
      <c r="AX26" s="195"/>
      <c r="AY26" s="195"/>
      <c r="AZ26" s="195"/>
      <c r="BA26" s="195"/>
      <c r="BB26" s="195"/>
      <c r="BC26" s="195"/>
      <c r="BD26" s="12">
        <v>11</v>
      </c>
      <c r="BE26" s="195"/>
      <c r="BF26" s="195"/>
      <c r="BG26" s="195"/>
      <c r="BH26" s="195"/>
      <c r="BI26" s="195"/>
      <c r="BJ26" s="195"/>
      <c r="BK26" s="195"/>
      <c r="BL26" s="195"/>
      <c r="BM26" s="195"/>
      <c r="BN26" s="195"/>
      <c r="BO26" s="195"/>
      <c r="BP26" s="195"/>
      <c r="BQ26" s="195"/>
      <c r="BR26" s="195"/>
      <c r="BS26" s="195"/>
      <c r="BT26" s="195"/>
      <c r="BU26" s="195"/>
      <c r="BV26" s="12">
        <v>11</v>
      </c>
      <c r="BW26" s="195"/>
      <c r="BX26" s="195"/>
      <c r="BY26" s="195"/>
      <c r="BZ26" s="195"/>
      <c r="CA26" s="195"/>
      <c r="CB26" s="195"/>
      <c r="CC26" s="195"/>
      <c r="CD26" s="195"/>
      <c r="CE26" s="195"/>
      <c r="CF26" s="195"/>
      <c r="CG26" s="195"/>
      <c r="CH26" s="195"/>
      <c r="CI26" s="195"/>
      <c r="CJ26" s="195"/>
      <c r="CK26" s="195"/>
      <c r="CL26" s="195"/>
      <c r="CM26" s="195"/>
      <c r="CN26" s="12">
        <v>11</v>
      </c>
      <c r="CO26" s="195"/>
      <c r="CP26" s="195"/>
      <c r="CQ26" s="195"/>
      <c r="CR26" s="195"/>
      <c r="CS26" s="195"/>
      <c r="CT26" s="195"/>
      <c r="CU26" s="195"/>
      <c r="CV26" s="195"/>
      <c r="CW26" s="195"/>
      <c r="CX26" s="195"/>
      <c r="CY26" s="195"/>
      <c r="CZ26" s="195"/>
      <c r="DA26" s="195"/>
      <c r="DB26" s="195"/>
      <c r="DC26" s="195"/>
      <c r="DD26" s="195"/>
      <c r="DE26" s="195"/>
      <c r="DF26" s="12">
        <v>11</v>
      </c>
      <c r="DG26" s="195"/>
      <c r="DH26" s="195"/>
      <c r="DI26" s="195"/>
      <c r="DJ26" s="195"/>
      <c r="DK26" s="195"/>
      <c r="DL26" s="195"/>
      <c r="DM26" s="195"/>
      <c r="DN26" s="195"/>
      <c r="DO26" s="195"/>
      <c r="DP26" s="195"/>
      <c r="DQ26" s="195"/>
      <c r="DR26" s="195"/>
      <c r="DS26" s="195"/>
      <c r="DT26" s="195"/>
      <c r="DU26" s="195"/>
      <c r="DV26" s="195"/>
      <c r="DW26" s="195"/>
      <c r="DX26" s="12">
        <v>11</v>
      </c>
      <c r="DY26" s="195"/>
      <c r="DZ26" s="195"/>
      <c r="EA26" s="195"/>
      <c r="EB26" s="195"/>
      <c r="EC26" s="195"/>
      <c r="ED26" s="195"/>
      <c r="EE26" s="195"/>
      <c r="EF26" s="195"/>
      <c r="EG26" s="195"/>
      <c r="EH26" s="195"/>
      <c r="EI26" s="195"/>
      <c r="EJ26" s="195"/>
      <c r="EK26" s="195"/>
      <c r="EL26" s="195"/>
      <c r="EM26" s="195"/>
      <c r="EN26" s="195"/>
      <c r="EO26" s="195"/>
      <c r="EP26" s="12">
        <v>11</v>
      </c>
      <c r="EQ26" s="195"/>
      <c r="ER26" s="195"/>
      <c r="ES26" s="195"/>
      <c r="ET26" s="195"/>
      <c r="EU26" s="195"/>
      <c r="EV26" s="195"/>
      <c r="EW26" s="195"/>
      <c r="EX26" s="195"/>
      <c r="EY26" s="195"/>
      <c r="EZ26" s="195"/>
      <c r="FA26" s="195"/>
      <c r="FB26" s="195"/>
      <c r="FC26" s="195"/>
      <c r="FD26" s="195"/>
      <c r="FE26" s="195"/>
      <c r="FF26" s="195"/>
      <c r="FG26" s="195"/>
      <c r="FH26" s="12">
        <v>11</v>
      </c>
      <c r="FI26" s="195"/>
      <c r="FJ26" s="195"/>
      <c r="FK26" s="195"/>
      <c r="FL26" s="195"/>
      <c r="FM26" s="195"/>
      <c r="FN26" s="195"/>
      <c r="FO26" s="195"/>
      <c r="FP26" s="195"/>
      <c r="FQ26" s="195"/>
      <c r="FR26" s="195"/>
      <c r="FS26" s="195"/>
      <c r="FT26" s="195"/>
      <c r="FU26" s="195"/>
      <c r="FV26" s="195"/>
      <c r="FW26" s="195"/>
      <c r="FX26" s="195"/>
      <c r="FY26" s="195"/>
    </row>
    <row r="27" spans="2:181" x14ac:dyDescent="0.25">
      <c r="B27" s="12">
        <v>12</v>
      </c>
      <c r="C27" s="195"/>
      <c r="D27" s="195"/>
      <c r="E27" s="195"/>
      <c r="F27" s="195"/>
      <c r="G27" s="195"/>
      <c r="H27" s="195"/>
      <c r="I27" s="195"/>
      <c r="J27" s="195"/>
      <c r="K27" s="195"/>
      <c r="L27" s="195"/>
      <c r="M27" s="195"/>
      <c r="N27" s="195"/>
      <c r="O27" s="195"/>
      <c r="P27" s="195"/>
      <c r="Q27" s="195"/>
      <c r="R27" s="195"/>
      <c r="S27" s="195"/>
      <c r="T27" s="12">
        <v>12</v>
      </c>
      <c r="U27" s="195"/>
      <c r="V27" s="195"/>
      <c r="W27" s="195"/>
      <c r="X27" s="195"/>
      <c r="Y27" s="195"/>
      <c r="Z27" s="195"/>
      <c r="AA27" s="195"/>
      <c r="AB27" s="195"/>
      <c r="AC27" s="195"/>
      <c r="AD27" s="195"/>
      <c r="AE27" s="195"/>
      <c r="AF27" s="195"/>
      <c r="AG27" s="195"/>
      <c r="AH27" s="195"/>
      <c r="AI27" s="195"/>
      <c r="AJ27" s="195"/>
      <c r="AK27" s="195"/>
      <c r="AL27" s="12">
        <v>12</v>
      </c>
      <c r="AM27" s="195"/>
      <c r="AN27" s="195"/>
      <c r="AO27" s="195"/>
      <c r="AP27" s="195"/>
      <c r="AQ27" s="195"/>
      <c r="AR27" s="195"/>
      <c r="AS27" s="195"/>
      <c r="AT27" s="195"/>
      <c r="AU27" s="195"/>
      <c r="AV27" s="195"/>
      <c r="AW27" s="195"/>
      <c r="AX27" s="195"/>
      <c r="AY27" s="195"/>
      <c r="AZ27" s="195"/>
      <c r="BA27" s="195"/>
      <c r="BB27" s="195"/>
      <c r="BC27" s="195"/>
      <c r="BD27" s="197">
        <v>12</v>
      </c>
      <c r="BE27" s="195"/>
      <c r="BF27" s="195"/>
      <c r="BG27" s="195"/>
      <c r="BH27" s="195"/>
      <c r="BI27" s="195"/>
      <c r="BJ27" s="195"/>
      <c r="BK27" s="195"/>
      <c r="BL27" s="195"/>
      <c r="BM27" s="195"/>
      <c r="BN27" s="195"/>
      <c r="BO27" s="195"/>
      <c r="BP27" s="195"/>
      <c r="BQ27" s="195"/>
      <c r="BR27" s="195"/>
      <c r="BS27" s="195"/>
      <c r="BT27" s="195"/>
      <c r="BU27" s="195"/>
      <c r="BV27" s="12">
        <v>12</v>
      </c>
      <c r="BW27" s="195"/>
      <c r="BX27" s="195"/>
      <c r="BY27" s="195"/>
      <c r="BZ27" s="195"/>
      <c r="CA27" s="195"/>
      <c r="CB27" s="195"/>
      <c r="CC27" s="195"/>
      <c r="CD27" s="195"/>
      <c r="CE27" s="195"/>
      <c r="CF27" s="195"/>
      <c r="CG27" s="195"/>
      <c r="CH27" s="195"/>
      <c r="CI27" s="195"/>
      <c r="CJ27" s="195"/>
      <c r="CK27" s="195"/>
      <c r="CL27" s="195"/>
      <c r="CM27" s="195"/>
      <c r="CN27" s="12">
        <v>12</v>
      </c>
      <c r="CO27" s="195"/>
      <c r="CP27" s="195"/>
      <c r="CQ27" s="195"/>
      <c r="CR27" s="195"/>
      <c r="CS27" s="195"/>
      <c r="CT27" s="195"/>
      <c r="CU27" s="195"/>
      <c r="CV27" s="195"/>
      <c r="CW27" s="195"/>
      <c r="CX27" s="195"/>
      <c r="CY27" s="195"/>
      <c r="CZ27" s="195"/>
      <c r="DA27" s="195"/>
      <c r="DB27" s="195"/>
      <c r="DC27" s="195"/>
      <c r="DD27" s="195"/>
      <c r="DE27" s="195"/>
      <c r="DF27" s="12">
        <v>12</v>
      </c>
      <c r="DG27" s="195"/>
      <c r="DH27" s="195"/>
      <c r="DI27" s="195"/>
      <c r="DJ27" s="195"/>
      <c r="DK27" s="195"/>
      <c r="DL27" s="195"/>
      <c r="DM27" s="195"/>
      <c r="DN27" s="195"/>
      <c r="DO27" s="195"/>
      <c r="DP27" s="195"/>
      <c r="DQ27" s="195"/>
      <c r="DR27" s="195"/>
      <c r="DS27" s="195"/>
      <c r="DT27" s="195"/>
      <c r="DU27" s="195"/>
      <c r="DV27" s="195"/>
      <c r="DW27" s="195"/>
      <c r="DX27" s="12">
        <v>12</v>
      </c>
      <c r="DY27" s="195"/>
      <c r="DZ27" s="195"/>
      <c r="EA27" s="195"/>
      <c r="EB27" s="195"/>
      <c r="EC27" s="195"/>
      <c r="ED27" s="195"/>
      <c r="EE27" s="195"/>
      <c r="EF27" s="195"/>
      <c r="EG27" s="195"/>
      <c r="EH27" s="195"/>
      <c r="EI27" s="195"/>
      <c r="EJ27" s="195"/>
      <c r="EK27" s="195"/>
      <c r="EL27" s="195"/>
      <c r="EM27" s="195"/>
      <c r="EN27" s="195"/>
      <c r="EO27" s="195"/>
      <c r="EP27" s="12">
        <v>12</v>
      </c>
      <c r="EQ27" s="195"/>
      <c r="ER27" s="195"/>
      <c r="ES27" s="195"/>
      <c r="ET27" s="195"/>
      <c r="EU27" s="195"/>
      <c r="EV27" s="195"/>
      <c r="EW27" s="195"/>
      <c r="EX27" s="195"/>
      <c r="EY27" s="195"/>
      <c r="EZ27" s="195"/>
      <c r="FA27" s="195"/>
      <c r="FB27" s="195"/>
      <c r="FC27" s="195"/>
      <c r="FD27" s="195"/>
      <c r="FE27" s="195"/>
      <c r="FF27" s="195"/>
      <c r="FG27" s="195"/>
      <c r="FH27" s="12">
        <v>12</v>
      </c>
      <c r="FI27" s="195"/>
      <c r="FJ27" s="195"/>
      <c r="FK27" s="195"/>
      <c r="FL27" s="195"/>
      <c r="FM27" s="195"/>
      <c r="FN27" s="195"/>
      <c r="FO27" s="195"/>
      <c r="FP27" s="195"/>
      <c r="FQ27" s="195"/>
      <c r="FR27" s="195"/>
      <c r="FS27" s="195"/>
      <c r="FT27" s="195"/>
      <c r="FU27" s="195"/>
      <c r="FV27" s="195"/>
      <c r="FW27" s="195"/>
      <c r="FX27" s="195"/>
      <c r="FY27" s="195"/>
    </row>
    <row r="28" spans="2:181" x14ac:dyDescent="0.25">
      <c r="B28" s="12">
        <v>13</v>
      </c>
      <c r="C28" s="195"/>
      <c r="D28" s="195"/>
      <c r="E28" s="195"/>
      <c r="F28" s="195"/>
      <c r="G28" s="195"/>
      <c r="H28" s="195"/>
      <c r="I28" s="195"/>
      <c r="J28" s="195"/>
      <c r="K28" s="195"/>
      <c r="L28" s="195"/>
      <c r="M28" s="195"/>
      <c r="N28" s="195"/>
      <c r="O28" s="195"/>
      <c r="P28" s="195"/>
      <c r="Q28" s="195"/>
      <c r="R28" s="195"/>
      <c r="S28" s="195"/>
      <c r="T28" s="12">
        <v>13</v>
      </c>
      <c r="U28" s="195"/>
      <c r="V28" s="195"/>
      <c r="W28" s="195"/>
      <c r="X28" s="195"/>
      <c r="Y28" s="195"/>
      <c r="Z28" s="195"/>
      <c r="AA28" s="195"/>
      <c r="AB28" s="195"/>
      <c r="AC28" s="195"/>
      <c r="AD28" s="195"/>
      <c r="AE28" s="195"/>
      <c r="AF28" s="195"/>
      <c r="AG28" s="195"/>
      <c r="AH28" s="195"/>
      <c r="AI28" s="195"/>
      <c r="AJ28" s="195"/>
      <c r="AK28" s="195"/>
      <c r="AL28" s="12">
        <v>13</v>
      </c>
      <c r="AM28" s="195"/>
      <c r="AN28" s="195"/>
      <c r="AO28" s="195"/>
      <c r="AP28" s="195"/>
      <c r="AQ28" s="195"/>
      <c r="AR28" s="195"/>
      <c r="AS28" s="195"/>
      <c r="AT28" s="195"/>
      <c r="AU28" s="195"/>
      <c r="AV28" s="195"/>
      <c r="AW28" s="195"/>
      <c r="AX28" s="195"/>
      <c r="AY28" s="195"/>
      <c r="AZ28" s="195"/>
      <c r="BA28" s="195"/>
      <c r="BB28" s="195"/>
      <c r="BC28" s="195"/>
      <c r="BD28" s="12">
        <v>13</v>
      </c>
      <c r="BE28" s="195"/>
      <c r="BF28" s="195"/>
      <c r="BG28" s="195"/>
      <c r="BH28" s="195"/>
      <c r="BI28" s="195"/>
      <c r="BJ28" s="195"/>
      <c r="BK28" s="195"/>
      <c r="BL28" s="195"/>
      <c r="BM28" s="195"/>
      <c r="BN28" s="195"/>
      <c r="BO28" s="195"/>
      <c r="BP28" s="195"/>
      <c r="BQ28" s="195"/>
      <c r="BR28" s="195"/>
      <c r="BS28" s="195"/>
      <c r="BT28" s="195"/>
      <c r="BU28" s="195"/>
      <c r="BV28" s="12">
        <v>13</v>
      </c>
      <c r="BW28" s="195"/>
      <c r="BX28" s="195"/>
      <c r="BY28" s="195"/>
      <c r="BZ28" s="195"/>
      <c r="CA28" s="195"/>
      <c r="CB28" s="195"/>
      <c r="CC28" s="195"/>
      <c r="CD28" s="195"/>
      <c r="CE28" s="195"/>
      <c r="CF28" s="195"/>
      <c r="CG28" s="195"/>
      <c r="CH28" s="195"/>
      <c r="CI28" s="195"/>
      <c r="CJ28" s="195"/>
      <c r="CK28" s="195"/>
      <c r="CL28" s="195"/>
      <c r="CM28" s="195"/>
      <c r="CN28" s="12">
        <v>13</v>
      </c>
      <c r="CO28" s="195"/>
      <c r="CP28" s="195"/>
      <c r="CQ28" s="195"/>
      <c r="CR28" s="195"/>
      <c r="CS28" s="195"/>
      <c r="CT28" s="195"/>
      <c r="CU28" s="195"/>
      <c r="CV28" s="195"/>
      <c r="CW28" s="195"/>
      <c r="CX28" s="195"/>
      <c r="CY28" s="195"/>
      <c r="CZ28" s="195"/>
      <c r="DA28" s="195"/>
      <c r="DB28" s="195"/>
      <c r="DC28" s="195"/>
      <c r="DD28" s="195"/>
      <c r="DE28" s="195"/>
      <c r="DF28" s="12">
        <v>13</v>
      </c>
      <c r="DG28" s="195"/>
      <c r="DH28" s="195"/>
      <c r="DI28" s="195"/>
      <c r="DJ28" s="195"/>
      <c r="DK28" s="195"/>
      <c r="DL28" s="195"/>
      <c r="DM28" s="195"/>
      <c r="DN28" s="195"/>
      <c r="DO28" s="195"/>
      <c r="DP28" s="195"/>
      <c r="DQ28" s="195"/>
      <c r="DR28" s="195"/>
      <c r="DS28" s="195"/>
      <c r="DT28" s="195"/>
      <c r="DU28" s="195"/>
      <c r="DV28" s="195"/>
      <c r="DW28" s="195"/>
      <c r="DX28" s="12">
        <v>13</v>
      </c>
      <c r="DY28" s="195"/>
      <c r="DZ28" s="195"/>
      <c r="EA28" s="195"/>
      <c r="EB28" s="195"/>
      <c r="EC28" s="195"/>
      <c r="ED28" s="195"/>
      <c r="EE28" s="195"/>
      <c r="EF28" s="195"/>
      <c r="EG28" s="195"/>
      <c r="EH28" s="195"/>
      <c r="EI28" s="195"/>
      <c r="EJ28" s="195"/>
      <c r="EK28" s="195"/>
      <c r="EL28" s="195"/>
      <c r="EM28" s="195"/>
      <c r="EN28" s="195"/>
      <c r="EO28" s="195"/>
      <c r="EP28" s="12">
        <v>13</v>
      </c>
      <c r="EQ28" s="195"/>
      <c r="ER28" s="195"/>
      <c r="ES28" s="195"/>
      <c r="ET28" s="195"/>
      <c r="EU28" s="195"/>
      <c r="EV28" s="195"/>
      <c r="EW28" s="195"/>
      <c r="EX28" s="195"/>
      <c r="EY28" s="195"/>
      <c r="EZ28" s="195"/>
      <c r="FA28" s="195"/>
      <c r="FB28" s="195"/>
      <c r="FC28" s="195"/>
      <c r="FD28" s="195"/>
      <c r="FE28" s="195"/>
      <c r="FF28" s="195"/>
      <c r="FG28" s="195"/>
      <c r="FH28" s="12">
        <v>13</v>
      </c>
      <c r="FI28" s="195"/>
      <c r="FJ28" s="195"/>
      <c r="FK28" s="195"/>
      <c r="FL28" s="195"/>
      <c r="FM28" s="195"/>
      <c r="FN28" s="195"/>
      <c r="FO28" s="195"/>
      <c r="FP28" s="195"/>
      <c r="FQ28" s="195"/>
      <c r="FR28" s="195"/>
      <c r="FS28" s="195"/>
      <c r="FT28" s="195"/>
      <c r="FU28" s="195"/>
      <c r="FV28" s="195"/>
      <c r="FW28" s="195"/>
      <c r="FX28" s="195"/>
      <c r="FY28" s="195"/>
    </row>
    <row r="29" spans="2:181" x14ac:dyDescent="0.25">
      <c r="B29" s="12">
        <v>14</v>
      </c>
      <c r="C29" s="195"/>
      <c r="D29" s="195"/>
      <c r="E29" s="195"/>
      <c r="F29" s="195"/>
      <c r="G29" s="195"/>
      <c r="H29" s="195"/>
      <c r="I29" s="195"/>
      <c r="J29" s="195"/>
      <c r="K29" s="195"/>
      <c r="L29" s="195"/>
      <c r="M29" s="195"/>
      <c r="N29" s="195"/>
      <c r="O29" s="195"/>
      <c r="P29" s="195"/>
      <c r="Q29" s="195"/>
      <c r="R29" s="195"/>
      <c r="S29" s="195"/>
      <c r="T29" s="12">
        <v>14</v>
      </c>
      <c r="U29" s="195"/>
      <c r="V29" s="195"/>
      <c r="W29" s="195"/>
      <c r="X29" s="195"/>
      <c r="Y29" s="195"/>
      <c r="Z29" s="195"/>
      <c r="AA29" s="195"/>
      <c r="AB29" s="195"/>
      <c r="AC29" s="195"/>
      <c r="AD29" s="195"/>
      <c r="AE29" s="195"/>
      <c r="AF29" s="195"/>
      <c r="AG29" s="195"/>
      <c r="AH29" s="195"/>
      <c r="AI29" s="195"/>
      <c r="AJ29" s="195"/>
      <c r="AK29" s="195"/>
      <c r="AL29" s="12">
        <v>14</v>
      </c>
      <c r="AM29" s="195"/>
      <c r="AN29" s="195"/>
      <c r="AO29" s="195"/>
      <c r="AP29" s="195"/>
      <c r="AQ29" s="195"/>
      <c r="AR29" s="195"/>
      <c r="AS29" s="195"/>
      <c r="AT29" s="195"/>
      <c r="AU29" s="195"/>
      <c r="AV29" s="195"/>
      <c r="AW29" s="195"/>
      <c r="AX29" s="195"/>
      <c r="AY29" s="195"/>
      <c r="AZ29" s="195"/>
      <c r="BA29" s="195"/>
      <c r="BB29" s="195"/>
      <c r="BC29" s="195"/>
      <c r="BD29" s="197">
        <v>14</v>
      </c>
      <c r="BE29" s="195"/>
      <c r="BF29" s="195"/>
      <c r="BG29" s="195"/>
      <c r="BH29" s="195"/>
      <c r="BI29" s="195"/>
      <c r="BJ29" s="195"/>
      <c r="BK29" s="195"/>
      <c r="BL29" s="195"/>
      <c r="BM29" s="195"/>
      <c r="BN29" s="195"/>
      <c r="BO29" s="195"/>
      <c r="BP29" s="195"/>
      <c r="BQ29" s="195"/>
      <c r="BR29" s="195"/>
      <c r="BS29" s="195"/>
      <c r="BT29" s="195"/>
      <c r="BU29" s="195"/>
      <c r="BV29" s="12">
        <v>14</v>
      </c>
      <c r="BW29" s="195"/>
      <c r="BX29" s="195"/>
      <c r="BY29" s="195"/>
      <c r="BZ29" s="195"/>
      <c r="CA29" s="195"/>
      <c r="CB29" s="195"/>
      <c r="CC29" s="195"/>
      <c r="CD29" s="195"/>
      <c r="CE29" s="195"/>
      <c r="CF29" s="195"/>
      <c r="CG29" s="195"/>
      <c r="CH29" s="195"/>
      <c r="CI29" s="195"/>
      <c r="CJ29" s="195"/>
      <c r="CK29" s="195"/>
      <c r="CL29" s="195"/>
      <c r="CM29" s="195"/>
      <c r="CN29" s="12">
        <v>14</v>
      </c>
      <c r="CO29" s="195"/>
      <c r="CP29" s="195"/>
      <c r="CQ29" s="195"/>
      <c r="CR29" s="195"/>
      <c r="CS29" s="195"/>
      <c r="CT29" s="195"/>
      <c r="CU29" s="195"/>
      <c r="CV29" s="195"/>
      <c r="CW29" s="195"/>
      <c r="CX29" s="195"/>
      <c r="CY29" s="195"/>
      <c r="CZ29" s="195"/>
      <c r="DA29" s="195"/>
      <c r="DB29" s="195"/>
      <c r="DC29" s="195"/>
      <c r="DD29" s="195"/>
      <c r="DE29" s="195"/>
      <c r="DF29" s="12">
        <v>14</v>
      </c>
      <c r="DG29" s="195"/>
      <c r="DH29" s="195"/>
      <c r="DI29" s="195"/>
      <c r="DJ29" s="195"/>
      <c r="DK29" s="195"/>
      <c r="DL29" s="195"/>
      <c r="DM29" s="195"/>
      <c r="DN29" s="195"/>
      <c r="DO29" s="195"/>
      <c r="DP29" s="195"/>
      <c r="DQ29" s="195"/>
      <c r="DR29" s="195"/>
      <c r="DS29" s="195"/>
      <c r="DT29" s="195"/>
      <c r="DU29" s="195"/>
      <c r="DV29" s="195"/>
      <c r="DW29" s="195"/>
      <c r="DX29" s="12">
        <v>14</v>
      </c>
      <c r="DY29" s="195"/>
      <c r="DZ29" s="195"/>
      <c r="EA29" s="195"/>
      <c r="EB29" s="195"/>
      <c r="EC29" s="195"/>
      <c r="ED29" s="195"/>
      <c r="EE29" s="195"/>
      <c r="EF29" s="195"/>
      <c r="EG29" s="195"/>
      <c r="EH29" s="195"/>
      <c r="EI29" s="195"/>
      <c r="EJ29" s="195"/>
      <c r="EK29" s="195"/>
      <c r="EL29" s="195"/>
      <c r="EM29" s="195"/>
      <c r="EN29" s="195"/>
      <c r="EO29" s="195"/>
      <c r="EP29" s="12">
        <v>14</v>
      </c>
      <c r="EQ29" s="195"/>
      <c r="ER29" s="195"/>
      <c r="ES29" s="195"/>
      <c r="ET29" s="195"/>
      <c r="EU29" s="195"/>
      <c r="EV29" s="195"/>
      <c r="EW29" s="195"/>
      <c r="EX29" s="195"/>
      <c r="EY29" s="195"/>
      <c r="EZ29" s="195"/>
      <c r="FA29" s="195"/>
      <c r="FB29" s="195"/>
      <c r="FC29" s="195"/>
      <c r="FD29" s="195"/>
      <c r="FE29" s="195"/>
      <c r="FF29" s="195"/>
      <c r="FG29" s="195"/>
      <c r="FH29" s="12">
        <v>14</v>
      </c>
      <c r="FI29" s="195"/>
      <c r="FJ29" s="195"/>
      <c r="FK29" s="195"/>
      <c r="FL29" s="195"/>
      <c r="FM29" s="195"/>
      <c r="FN29" s="195"/>
      <c r="FO29" s="195"/>
      <c r="FP29" s="195"/>
      <c r="FQ29" s="195"/>
      <c r="FR29" s="195"/>
      <c r="FS29" s="195"/>
      <c r="FT29" s="195"/>
      <c r="FU29" s="195"/>
      <c r="FV29" s="195"/>
      <c r="FW29" s="195"/>
      <c r="FX29" s="195"/>
      <c r="FY29" s="195"/>
    </row>
    <row r="30" spans="2:181" x14ac:dyDescent="0.25">
      <c r="B30" s="12">
        <v>15</v>
      </c>
      <c r="C30" s="195"/>
      <c r="D30" s="195"/>
      <c r="E30" s="195"/>
      <c r="F30" s="195"/>
      <c r="G30" s="195"/>
      <c r="H30" s="195"/>
      <c r="I30" s="195"/>
      <c r="J30" s="195"/>
      <c r="K30" s="195"/>
      <c r="L30" s="195"/>
      <c r="M30" s="195"/>
      <c r="N30" s="195"/>
      <c r="O30" s="195"/>
      <c r="P30" s="195"/>
      <c r="Q30" s="195"/>
      <c r="R30" s="195"/>
      <c r="S30" s="195"/>
      <c r="T30" s="12">
        <v>15</v>
      </c>
      <c r="U30" s="195"/>
      <c r="V30" s="195"/>
      <c r="W30" s="195"/>
      <c r="X30" s="195"/>
      <c r="Y30" s="195"/>
      <c r="Z30" s="195"/>
      <c r="AA30" s="195"/>
      <c r="AB30" s="195"/>
      <c r="AC30" s="195"/>
      <c r="AD30" s="195"/>
      <c r="AE30" s="195"/>
      <c r="AF30" s="195"/>
      <c r="AG30" s="195"/>
      <c r="AH30" s="195"/>
      <c r="AI30" s="195"/>
      <c r="AJ30" s="195"/>
      <c r="AK30" s="195"/>
      <c r="AL30" s="12">
        <v>15</v>
      </c>
      <c r="AM30" s="195"/>
      <c r="AN30" s="195"/>
      <c r="AO30" s="195"/>
      <c r="AP30" s="195"/>
      <c r="AQ30" s="195"/>
      <c r="AR30" s="195"/>
      <c r="AS30" s="195"/>
      <c r="AT30" s="195"/>
      <c r="AU30" s="195"/>
      <c r="AV30" s="195"/>
      <c r="AW30" s="195"/>
      <c r="AX30" s="195"/>
      <c r="AY30" s="195"/>
      <c r="AZ30" s="195"/>
      <c r="BA30" s="195"/>
      <c r="BB30" s="195"/>
      <c r="BC30" s="195"/>
      <c r="BD30" s="12">
        <v>15</v>
      </c>
      <c r="BE30" s="195"/>
      <c r="BF30" s="195"/>
      <c r="BG30" s="195"/>
      <c r="BH30" s="195"/>
      <c r="BI30" s="195"/>
      <c r="BJ30" s="195"/>
      <c r="BK30" s="195"/>
      <c r="BL30" s="195"/>
      <c r="BM30" s="195"/>
      <c r="BN30" s="195"/>
      <c r="BO30" s="195"/>
      <c r="BP30" s="195"/>
      <c r="BQ30" s="195"/>
      <c r="BR30" s="195"/>
      <c r="BS30" s="195"/>
      <c r="BT30" s="195"/>
      <c r="BU30" s="195"/>
      <c r="BV30" s="12">
        <v>15</v>
      </c>
      <c r="BW30" s="195"/>
      <c r="BX30" s="195"/>
      <c r="BY30" s="195"/>
      <c r="BZ30" s="195"/>
      <c r="CA30" s="195"/>
      <c r="CB30" s="195"/>
      <c r="CC30" s="195"/>
      <c r="CD30" s="195"/>
      <c r="CE30" s="195"/>
      <c r="CF30" s="195"/>
      <c r="CG30" s="195"/>
      <c r="CH30" s="195"/>
      <c r="CI30" s="195"/>
      <c r="CJ30" s="195"/>
      <c r="CK30" s="195"/>
      <c r="CL30" s="195"/>
      <c r="CM30" s="195"/>
      <c r="CN30" s="12">
        <v>15</v>
      </c>
      <c r="CO30" s="195"/>
      <c r="CP30" s="195"/>
      <c r="CQ30" s="195"/>
      <c r="CR30" s="195"/>
      <c r="CS30" s="195"/>
      <c r="CT30" s="195"/>
      <c r="CU30" s="195"/>
      <c r="CV30" s="195"/>
      <c r="CW30" s="195"/>
      <c r="CX30" s="195"/>
      <c r="CY30" s="195"/>
      <c r="CZ30" s="195"/>
      <c r="DA30" s="195"/>
      <c r="DB30" s="195"/>
      <c r="DC30" s="195"/>
      <c r="DD30" s="195"/>
      <c r="DE30" s="195"/>
      <c r="DF30" s="12">
        <v>15</v>
      </c>
      <c r="DG30" s="195"/>
      <c r="DH30" s="195"/>
      <c r="DI30" s="195"/>
      <c r="DJ30" s="195"/>
      <c r="DK30" s="195"/>
      <c r="DL30" s="195"/>
      <c r="DM30" s="195"/>
      <c r="DN30" s="195"/>
      <c r="DO30" s="195"/>
      <c r="DP30" s="195"/>
      <c r="DQ30" s="195"/>
      <c r="DR30" s="195"/>
      <c r="DS30" s="195"/>
      <c r="DT30" s="195"/>
      <c r="DU30" s="195"/>
      <c r="DV30" s="195"/>
      <c r="DW30" s="195"/>
      <c r="DX30" s="12">
        <v>15</v>
      </c>
      <c r="DY30" s="195"/>
      <c r="DZ30" s="195"/>
      <c r="EA30" s="195"/>
      <c r="EB30" s="195"/>
      <c r="EC30" s="195"/>
      <c r="ED30" s="195"/>
      <c r="EE30" s="195"/>
      <c r="EF30" s="195"/>
      <c r="EG30" s="195"/>
      <c r="EH30" s="195"/>
      <c r="EI30" s="195"/>
      <c r="EJ30" s="195"/>
      <c r="EK30" s="195"/>
      <c r="EL30" s="195"/>
      <c r="EM30" s="195"/>
      <c r="EN30" s="195"/>
      <c r="EO30" s="195"/>
      <c r="EP30" s="12">
        <v>15</v>
      </c>
      <c r="EQ30" s="195"/>
      <c r="ER30" s="195"/>
      <c r="ES30" s="195"/>
      <c r="ET30" s="195"/>
      <c r="EU30" s="195"/>
      <c r="EV30" s="195"/>
      <c r="EW30" s="195"/>
      <c r="EX30" s="195"/>
      <c r="EY30" s="195"/>
      <c r="EZ30" s="195"/>
      <c r="FA30" s="195"/>
      <c r="FB30" s="195"/>
      <c r="FC30" s="195"/>
      <c r="FD30" s="195"/>
      <c r="FE30" s="195"/>
      <c r="FF30" s="195"/>
      <c r="FG30" s="195"/>
      <c r="FH30" s="12">
        <v>15</v>
      </c>
      <c r="FI30" s="195"/>
      <c r="FJ30" s="195"/>
      <c r="FK30" s="195"/>
      <c r="FL30" s="195"/>
      <c r="FM30" s="195"/>
      <c r="FN30" s="195"/>
      <c r="FO30" s="195"/>
      <c r="FP30" s="195"/>
      <c r="FQ30" s="195"/>
      <c r="FR30" s="195"/>
      <c r="FS30" s="195"/>
      <c r="FT30" s="195"/>
      <c r="FU30" s="195"/>
      <c r="FV30" s="195"/>
      <c r="FW30" s="195"/>
      <c r="FX30" s="195"/>
      <c r="FY30" s="195"/>
    </row>
    <row r="31" spans="2:181" x14ac:dyDescent="0.25">
      <c r="B31" s="12">
        <v>16</v>
      </c>
      <c r="C31" s="195"/>
      <c r="D31" s="195"/>
      <c r="E31" s="195"/>
      <c r="F31" s="195"/>
      <c r="G31" s="195"/>
      <c r="H31" s="195"/>
      <c r="I31" s="195"/>
      <c r="J31" s="195"/>
      <c r="K31" s="195"/>
      <c r="L31" s="195"/>
      <c r="M31" s="195"/>
      <c r="N31" s="195"/>
      <c r="O31" s="195"/>
      <c r="P31" s="195"/>
      <c r="Q31" s="195"/>
      <c r="R31" s="195"/>
      <c r="S31" s="195"/>
      <c r="T31" s="12">
        <v>16</v>
      </c>
      <c r="U31" s="195"/>
      <c r="V31" s="195"/>
      <c r="W31" s="195"/>
      <c r="X31" s="195"/>
      <c r="Y31" s="195"/>
      <c r="Z31" s="195"/>
      <c r="AA31" s="195"/>
      <c r="AB31" s="195"/>
      <c r="AC31" s="195"/>
      <c r="AD31" s="195"/>
      <c r="AE31" s="195"/>
      <c r="AF31" s="195"/>
      <c r="AG31" s="195"/>
      <c r="AH31" s="195"/>
      <c r="AI31" s="195"/>
      <c r="AJ31" s="195"/>
      <c r="AK31" s="195"/>
      <c r="AL31" s="12">
        <v>16</v>
      </c>
      <c r="AM31" s="195"/>
      <c r="AN31" s="195"/>
      <c r="AO31" s="195"/>
      <c r="AP31" s="195"/>
      <c r="AQ31" s="195"/>
      <c r="AR31" s="195"/>
      <c r="AS31" s="195"/>
      <c r="AT31" s="195"/>
      <c r="AU31" s="195"/>
      <c r="AV31" s="195"/>
      <c r="AW31" s="195"/>
      <c r="AX31" s="195"/>
      <c r="AY31" s="195"/>
      <c r="AZ31" s="195"/>
      <c r="BA31" s="195"/>
      <c r="BB31" s="195"/>
      <c r="BC31" s="195"/>
      <c r="BD31" s="197">
        <v>16</v>
      </c>
      <c r="BE31" s="195"/>
      <c r="BF31" s="195"/>
      <c r="BG31" s="195"/>
      <c r="BH31" s="195"/>
      <c r="BI31" s="195"/>
      <c r="BJ31" s="195"/>
      <c r="BK31" s="195"/>
      <c r="BL31" s="195"/>
      <c r="BM31" s="195"/>
      <c r="BN31" s="195"/>
      <c r="BO31" s="195"/>
      <c r="BP31" s="195"/>
      <c r="BQ31" s="195"/>
      <c r="BR31" s="195"/>
      <c r="BS31" s="195"/>
      <c r="BT31" s="195"/>
      <c r="BU31" s="195"/>
      <c r="BV31" s="12">
        <v>16</v>
      </c>
      <c r="BW31" s="195"/>
      <c r="BX31" s="195"/>
      <c r="BY31" s="195"/>
      <c r="BZ31" s="195"/>
      <c r="CA31" s="195"/>
      <c r="CB31" s="195"/>
      <c r="CC31" s="195"/>
      <c r="CD31" s="195"/>
      <c r="CE31" s="195"/>
      <c r="CF31" s="195"/>
      <c r="CG31" s="195"/>
      <c r="CH31" s="195"/>
      <c r="CI31" s="195"/>
      <c r="CJ31" s="195"/>
      <c r="CK31" s="195"/>
      <c r="CL31" s="195"/>
      <c r="CM31" s="195"/>
      <c r="CN31" s="12">
        <v>16</v>
      </c>
      <c r="CO31" s="195"/>
      <c r="CP31" s="195"/>
      <c r="CQ31" s="195"/>
      <c r="CR31" s="195"/>
      <c r="CS31" s="195"/>
      <c r="CT31" s="195"/>
      <c r="CU31" s="195"/>
      <c r="CV31" s="195"/>
      <c r="CW31" s="195"/>
      <c r="CX31" s="195"/>
      <c r="CY31" s="195"/>
      <c r="CZ31" s="195"/>
      <c r="DA31" s="195"/>
      <c r="DB31" s="195"/>
      <c r="DC31" s="195"/>
      <c r="DD31" s="195"/>
      <c r="DE31" s="195"/>
      <c r="DF31" s="12">
        <v>16</v>
      </c>
      <c r="DG31" s="195"/>
      <c r="DH31" s="195"/>
      <c r="DI31" s="195"/>
      <c r="DJ31" s="195"/>
      <c r="DK31" s="195"/>
      <c r="DL31" s="195"/>
      <c r="DM31" s="195"/>
      <c r="DN31" s="195"/>
      <c r="DO31" s="195"/>
      <c r="DP31" s="195"/>
      <c r="DQ31" s="195"/>
      <c r="DR31" s="195"/>
      <c r="DS31" s="195"/>
      <c r="DT31" s="195"/>
      <c r="DU31" s="195"/>
      <c r="DV31" s="195"/>
      <c r="DW31" s="195"/>
      <c r="DX31" s="12">
        <v>16</v>
      </c>
      <c r="DY31" s="195"/>
      <c r="DZ31" s="195"/>
      <c r="EA31" s="195"/>
      <c r="EB31" s="195"/>
      <c r="EC31" s="195"/>
      <c r="ED31" s="195"/>
      <c r="EE31" s="195"/>
      <c r="EF31" s="195"/>
      <c r="EG31" s="195"/>
      <c r="EH31" s="195"/>
      <c r="EI31" s="195"/>
      <c r="EJ31" s="195"/>
      <c r="EK31" s="195"/>
      <c r="EL31" s="195"/>
      <c r="EM31" s="195"/>
      <c r="EN31" s="195"/>
      <c r="EO31" s="195"/>
      <c r="EP31" s="12">
        <v>16</v>
      </c>
      <c r="EQ31" s="195"/>
      <c r="ER31" s="195"/>
      <c r="ES31" s="195"/>
      <c r="ET31" s="195"/>
      <c r="EU31" s="195"/>
      <c r="EV31" s="195"/>
      <c r="EW31" s="195"/>
      <c r="EX31" s="195"/>
      <c r="EY31" s="195"/>
      <c r="EZ31" s="195"/>
      <c r="FA31" s="195"/>
      <c r="FB31" s="195"/>
      <c r="FC31" s="195"/>
      <c r="FD31" s="195"/>
      <c r="FE31" s="195"/>
      <c r="FF31" s="195"/>
      <c r="FG31" s="195"/>
      <c r="FH31" s="12">
        <v>16</v>
      </c>
      <c r="FI31" s="195"/>
      <c r="FJ31" s="195"/>
      <c r="FK31" s="195"/>
      <c r="FL31" s="195"/>
      <c r="FM31" s="195"/>
      <c r="FN31" s="195"/>
      <c r="FO31" s="195"/>
      <c r="FP31" s="195"/>
      <c r="FQ31" s="195"/>
      <c r="FR31" s="195"/>
      <c r="FS31" s="195"/>
      <c r="FT31" s="195"/>
      <c r="FU31" s="195"/>
      <c r="FV31" s="195"/>
      <c r="FW31" s="195"/>
      <c r="FX31" s="195"/>
      <c r="FY31" s="195"/>
    </row>
    <row r="32" spans="2:181" x14ac:dyDescent="0.25">
      <c r="B32" s="12">
        <v>17</v>
      </c>
      <c r="C32" s="195"/>
      <c r="D32" s="195"/>
      <c r="E32" s="195"/>
      <c r="F32" s="195"/>
      <c r="G32" s="195"/>
      <c r="H32" s="195"/>
      <c r="I32" s="195"/>
      <c r="J32" s="195"/>
      <c r="K32" s="195"/>
      <c r="L32" s="195"/>
      <c r="M32" s="195"/>
      <c r="N32" s="195"/>
      <c r="O32" s="195"/>
      <c r="P32" s="195"/>
      <c r="Q32" s="195"/>
      <c r="R32" s="195"/>
      <c r="S32" s="195"/>
      <c r="T32" s="12">
        <v>17</v>
      </c>
      <c r="U32" s="195"/>
      <c r="V32" s="195"/>
      <c r="W32" s="195"/>
      <c r="X32" s="195"/>
      <c r="Y32" s="195"/>
      <c r="Z32" s="195"/>
      <c r="AA32" s="195"/>
      <c r="AB32" s="195"/>
      <c r="AC32" s="195"/>
      <c r="AD32" s="195"/>
      <c r="AE32" s="195"/>
      <c r="AF32" s="195"/>
      <c r="AG32" s="195"/>
      <c r="AH32" s="195"/>
      <c r="AI32" s="195"/>
      <c r="AJ32" s="195"/>
      <c r="AK32" s="195"/>
      <c r="AL32" s="12">
        <v>17</v>
      </c>
      <c r="AM32" s="195"/>
      <c r="AN32" s="195"/>
      <c r="AO32" s="195"/>
      <c r="AP32" s="195"/>
      <c r="AQ32" s="195"/>
      <c r="AR32" s="195"/>
      <c r="AS32" s="195"/>
      <c r="AT32" s="195"/>
      <c r="AU32" s="195"/>
      <c r="AV32" s="195"/>
      <c r="AW32" s="195"/>
      <c r="AX32" s="195"/>
      <c r="AY32" s="195"/>
      <c r="AZ32" s="195"/>
      <c r="BA32" s="195"/>
      <c r="BB32" s="195"/>
      <c r="BC32" s="195"/>
      <c r="BD32" s="12">
        <v>17</v>
      </c>
      <c r="BE32" s="195"/>
      <c r="BF32" s="195"/>
      <c r="BG32" s="195"/>
      <c r="BH32" s="195"/>
      <c r="BI32" s="195"/>
      <c r="BJ32" s="195"/>
      <c r="BK32" s="195"/>
      <c r="BL32" s="195"/>
      <c r="BM32" s="195"/>
      <c r="BN32" s="195"/>
      <c r="BO32" s="195"/>
      <c r="BP32" s="195"/>
      <c r="BQ32" s="195"/>
      <c r="BR32" s="195"/>
      <c r="BS32" s="195"/>
      <c r="BT32" s="195"/>
      <c r="BU32" s="195"/>
      <c r="BV32" s="12">
        <v>17</v>
      </c>
      <c r="BW32" s="195"/>
      <c r="BX32" s="195"/>
      <c r="BY32" s="195"/>
      <c r="BZ32" s="195"/>
      <c r="CA32" s="195"/>
      <c r="CB32" s="195"/>
      <c r="CC32" s="195"/>
      <c r="CD32" s="195"/>
      <c r="CE32" s="195"/>
      <c r="CF32" s="195"/>
      <c r="CG32" s="195"/>
      <c r="CH32" s="195"/>
      <c r="CI32" s="195"/>
      <c r="CJ32" s="195"/>
      <c r="CK32" s="195"/>
      <c r="CL32" s="195"/>
      <c r="CM32" s="195"/>
      <c r="CN32" s="12">
        <v>17</v>
      </c>
      <c r="CO32" s="195"/>
      <c r="CP32" s="195"/>
      <c r="CQ32" s="195"/>
      <c r="CR32" s="195"/>
      <c r="CS32" s="195"/>
      <c r="CT32" s="195"/>
      <c r="CU32" s="195"/>
      <c r="CV32" s="195"/>
      <c r="CW32" s="195"/>
      <c r="CX32" s="195"/>
      <c r="CY32" s="195"/>
      <c r="CZ32" s="195"/>
      <c r="DA32" s="195"/>
      <c r="DB32" s="195"/>
      <c r="DC32" s="195"/>
      <c r="DD32" s="195"/>
      <c r="DE32" s="195"/>
      <c r="DF32" s="12">
        <v>17</v>
      </c>
      <c r="DG32" s="195"/>
      <c r="DH32" s="195"/>
      <c r="DI32" s="195"/>
      <c r="DJ32" s="195"/>
      <c r="DK32" s="195"/>
      <c r="DL32" s="195"/>
      <c r="DM32" s="195"/>
      <c r="DN32" s="195"/>
      <c r="DO32" s="195"/>
      <c r="DP32" s="195"/>
      <c r="DQ32" s="195"/>
      <c r="DR32" s="195"/>
      <c r="DS32" s="195"/>
      <c r="DT32" s="195"/>
      <c r="DU32" s="195"/>
      <c r="DV32" s="195"/>
      <c r="DW32" s="195"/>
      <c r="DX32" s="12">
        <v>17</v>
      </c>
      <c r="DY32" s="195"/>
      <c r="DZ32" s="195"/>
      <c r="EA32" s="195"/>
      <c r="EB32" s="195"/>
      <c r="EC32" s="195"/>
      <c r="ED32" s="195"/>
      <c r="EE32" s="195"/>
      <c r="EF32" s="195"/>
      <c r="EG32" s="195"/>
      <c r="EH32" s="195"/>
      <c r="EI32" s="195"/>
      <c r="EJ32" s="195"/>
      <c r="EK32" s="195"/>
      <c r="EL32" s="195"/>
      <c r="EM32" s="195"/>
      <c r="EN32" s="195"/>
      <c r="EO32" s="195"/>
      <c r="EP32" s="12">
        <v>17</v>
      </c>
      <c r="EQ32" s="195"/>
      <c r="ER32" s="195"/>
      <c r="ES32" s="195"/>
      <c r="ET32" s="195"/>
      <c r="EU32" s="195"/>
      <c r="EV32" s="195"/>
      <c r="EW32" s="195"/>
      <c r="EX32" s="195"/>
      <c r="EY32" s="195"/>
      <c r="EZ32" s="195"/>
      <c r="FA32" s="195"/>
      <c r="FB32" s="195"/>
      <c r="FC32" s="195"/>
      <c r="FD32" s="195"/>
      <c r="FE32" s="195"/>
      <c r="FF32" s="195"/>
      <c r="FG32" s="195"/>
      <c r="FH32" s="12">
        <v>17</v>
      </c>
      <c r="FI32" s="195"/>
      <c r="FJ32" s="195"/>
      <c r="FK32" s="195"/>
      <c r="FL32" s="195"/>
      <c r="FM32" s="195"/>
      <c r="FN32" s="195"/>
      <c r="FO32" s="195"/>
      <c r="FP32" s="195"/>
      <c r="FQ32" s="195"/>
      <c r="FR32" s="195"/>
      <c r="FS32" s="195"/>
      <c r="FT32" s="195"/>
      <c r="FU32" s="195"/>
      <c r="FV32" s="195"/>
      <c r="FW32" s="195"/>
      <c r="FX32" s="195"/>
      <c r="FY32" s="195"/>
    </row>
    <row r="33" spans="2:181" x14ac:dyDescent="0.25">
      <c r="B33" s="12">
        <v>18</v>
      </c>
      <c r="C33" s="195"/>
      <c r="D33" s="195"/>
      <c r="E33" s="195"/>
      <c r="F33" s="195"/>
      <c r="G33" s="195"/>
      <c r="H33" s="195"/>
      <c r="I33" s="195"/>
      <c r="J33" s="195"/>
      <c r="K33" s="195"/>
      <c r="L33" s="195"/>
      <c r="M33" s="195"/>
      <c r="N33" s="195"/>
      <c r="O33" s="195"/>
      <c r="P33" s="195"/>
      <c r="Q33" s="195"/>
      <c r="R33" s="195"/>
      <c r="S33" s="195"/>
      <c r="T33" s="12">
        <v>18</v>
      </c>
      <c r="U33" s="195"/>
      <c r="V33" s="195"/>
      <c r="W33" s="195"/>
      <c r="X33" s="195"/>
      <c r="Y33" s="195"/>
      <c r="Z33" s="195"/>
      <c r="AA33" s="195"/>
      <c r="AB33" s="195"/>
      <c r="AC33" s="195"/>
      <c r="AD33" s="195"/>
      <c r="AE33" s="195"/>
      <c r="AF33" s="195"/>
      <c r="AG33" s="195"/>
      <c r="AH33" s="195"/>
      <c r="AI33" s="195"/>
      <c r="AJ33" s="195"/>
      <c r="AK33" s="195"/>
      <c r="AL33" s="12">
        <v>18</v>
      </c>
      <c r="AM33" s="195"/>
      <c r="AN33" s="195"/>
      <c r="AO33" s="195"/>
      <c r="AP33" s="195"/>
      <c r="AQ33" s="195"/>
      <c r="AR33" s="195"/>
      <c r="AS33" s="195"/>
      <c r="AT33" s="195"/>
      <c r="AU33" s="195"/>
      <c r="AV33" s="195"/>
      <c r="AW33" s="195"/>
      <c r="AX33" s="195"/>
      <c r="AY33" s="195"/>
      <c r="AZ33" s="195"/>
      <c r="BA33" s="195"/>
      <c r="BB33" s="195"/>
      <c r="BC33" s="195"/>
      <c r="BD33" s="197">
        <v>18</v>
      </c>
      <c r="BE33" s="195"/>
      <c r="BF33" s="195"/>
      <c r="BG33" s="195"/>
      <c r="BH33" s="195"/>
      <c r="BI33" s="195"/>
      <c r="BJ33" s="195"/>
      <c r="BK33" s="195"/>
      <c r="BL33" s="195"/>
      <c r="BM33" s="195"/>
      <c r="BN33" s="195"/>
      <c r="BO33" s="195"/>
      <c r="BP33" s="195"/>
      <c r="BQ33" s="195"/>
      <c r="BR33" s="195"/>
      <c r="BS33" s="195"/>
      <c r="BT33" s="195"/>
      <c r="BU33" s="195"/>
      <c r="BV33" s="12">
        <v>18</v>
      </c>
      <c r="BW33" s="195"/>
      <c r="BX33" s="195"/>
      <c r="BY33" s="195"/>
      <c r="BZ33" s="195"/>
      <c r="CA33" s="195"/>
      <c r="CB33" s="195"/>
      <c r="CC33" s="195"/>
      <c r="CD33" s="195"/>
      <c r="CE33" s="195"/>
      <c r="CF33" s="195"/>
      <c r="CG33" s="195"/>
      <c r="CH33" s="195"/>
      <c r="CI33" s="195"/>
      <c r="CJ33" s="195"/>
      <c r="CK33" s="195"/>
      <c r="CL33" s="195"/>
      <c r="CM33" s="195"/>
      <c r="CN33" s="12">
        <v>18</v>
      </c>
      <c r="CO33" s="195"/>
      <c r="CP33" s="195"/>
      <c r="CQ33" s="195"/>
      <c r="CR33" s="195"/>
      <c r="CS33" s="195"/>
      <c r="CT33" s="195"/>
      <c r="CU33" s="195"/>
      <c r="CV33" s="195"/>
      <c r="CW33" s="195"/>
      <c r="CX33" s="195"/>
      <c r="CY33" s="195"/>
      <c r="CZ33" s="195"/>
      <c r="DA33" s="195"/>
      <c r="DB33" s="195"/>
      <c r="DC33" s="195"/>
      <c r="DD33" s="195"/>
      <c r="DE33" s="195"/>
      <c r="DF33" s="12">
        <v>18</v>
      </c>
      <c r="DG33" s="195"/>
      <c r="DH33" s="195"/>
      <c r="DI33" s="195"/>
      <c r="DJ33" s="195"/>
      <c r="DK33" s="195"/>
      <c r="DL33" s="195"/>
      <c r="DM33" s="195"/>
      <c r="DN33" s="195"/>
      <c r="DO33" s="195"/>
      <c r="DP33" s="195"/>
      <c r="DQ33" s="195"/>
      <c r="DR33" s="195"/>
      <c r="DS33" s="195"/>
      <c r="DT33" s="195"/>
      <c r="DU33" s="195"/>
      <c r="DV33" s="195"/>
      <c r="DW33" s="195"/>
      <c r="DX33" s="12">
        <v>18</v>
      </c>
      <c r="DY33" s="195"/>
      <c r="DZ33" s="195"/>
      <c r="EA33" s="195"/>
      <c r="EB33" s="195"/>
      <c r="EC33" s="195"/>
      <c r="ED33" s="195"/>
      <c r="EE33" s="195"/>
      <c r="EF33" s="195"/>
      <c r="EG33" s="195"/>
      <c r="EH33" s="195"/>
      <c r="EI33" s="195"/>
      <c r="EJ33" s="195"/>
      <c r="EK33" s="195"/>
      <c r="EL33" s="195"/>
      <c r="EM33" s="195"/>
      <c r="EN33" s="195"/>
      <c r="EO33" s="195"/>
      <c r="EP33" s="12">
        <v>18</v>
      </c>
      <c r="EQ33" s="195"/>
      <c r="ER33" s="195"/>
      <c r="ES33" s="195"/>
      <c r="ET33" s="195"/>
      <c r="EU33" s="195"/>
      <c r="EV33" s="195"/>
      <c r="EW33" s="195"/>
      <c r="EX33" s="195"/>
      <c r="EY33" s="195"/>
      <c r="EZ33" s="195"/>
      <c r="FA33" s="195"/>
      <c r="FB33" s="195"/>
      <c r="FC33" s="195"/>
      <c r="FD33" s="195"/>
      <c r="FE33" s="195"/>
      <c r="FF33" s="195"/>
      <c r="FG33" s="195"/>
      <c r="FH33" s="12">
        <v>18</v>
      </c>
      <c r="FI33" s="195"/>
      <c r="FJ33" s="195"/>
      <c r="FK33" s="195"/>
      <c r="FL33" s="195"/>
      <c r="FM33" s="195"/>
      <c r="FN33" s="195"/>
      <c r="FO33" s="195"/>
      <c r="FP33" s="195"/>
      <c r="FQ33" s="195"/>
      <c r="FR33" s="195"/>
      <c r="FS33" s="195"/>
      <c r="FT33" s="195"/>
      <c r="FU33" s="195"/>
      <c r="FV33" s="195"/>
      <c r="FW33" s="195"/>
      <c r="FX33" s="195"/>
      <c r="FY33" s="195"/>
    </row>
    <row r="34" spans="2:181" x14ac:dyDescent="0.25">
      <c r="B34" s="12">
        <v>19</v>
      </c>
      <c r="C34" s="195"/>
      <c r="D34" s="195"/>
      <c r="E34" s="195"/>
      <c r="F34" s="195"/>
      <c r="G34" s="195"/>
      <c r="H34" s="195"/>
      <c r="I34" s="195"/>
      <c r="J34" s="195"/>
      <c r="K34" s="195"/>
      <c r="L34" s="195"/>
      <c r="M34" s="195"/>
      <c r="N34" s="195"/>
      <c r="O34" s="195"/>
      <c r="P34" s="195"/>
      <c r="Q34" s="195"/>
      <c r="R34" s="195"/>
      <c r="S34" s="195"/>
      <c r="T34" s="12">
        <v>19</v>
      </c>
      <c r="U34" s="195"/>
      <c r="V34" s="195"/>
      <c r="W34" s="195"/>
      <c r="X34" s="195"/>
      <c r="Y34" s="195"/>
      <c r="Z34" s="195"/>
      <c r="AA34" s="195"/>
      <c r="AB34" s="195"/>
      <c r="AC34" s="195"/>
      <c r="AD34" s="195"/>
      <c r="AE34" s="195"/>
      <c r="AF34" s="195"/>
      <c r="AG34" s="195"/>
      <c r="AH34" s="195"/>
      <c r="AI34" s="195"/>
      <c r="AJ34" s="195"/>
      <c r="AK34" s="195"/>
      <c r="AL34" s="12">
        <v>19</v>
      </c>
      <c r="AM34" s="195"/>
      <c r="AN34" s="195"/>
      <c r="AO34" s="195"/>
      <c r="AP34" s="195"/>
      <c r="AQ34" s="195"/>
      <c r="AR34" s="195"/>
      <c r="AS34" s="195"/>
      <c r="AT34" s="195"/>
      <c r="AU34" s="195"/>
      <c r="AV34" s="195"/>
      <c r="AW34" s="195"/>
      <c r="AX34" s="195"/>
      <c r="AY34" s="195"/>
      <c r="AZ34" s="195"/>
      <c r="BA34" s="195"/>
      <c r="BB34" s="195"/>
      <c r="BC34" s="195"/>
      <c r="BD34" s="12">
        <v>19</v>
      </c>
      <c r="BE34" s="195"/>
      <c r="BF34" s="195"/>
      <c r="BG34" s="195"/>
      <c r="BH34" s="195"/>
      <c r="BI34" s="195"/>
      <c r="BJ34" s="195"/>
      <c r="BK34" s="195"/>
      <c r="BL34" s="195"/>
      <c r="BM34" s="195"/>
      <c r="BN34" s="195"/>
      <c r="BO34" s="195"/>
      <c r="BP34" s="195"/>
      <c r="BQ34" s="195"/>
      <c r="BR34" s="195"/>
      <c r="BS34" s="195"/>
      <c r="BT34" s="195"/>
      <c r="BU34" s="195"/>
      <c r="BV34" s="12">
        <v>19</v>
      </c>
      <c r="BW34" s="195"/>
      <c r="BX34" s="195"/>
      <c r="BY34" s="195"/>
      <c r="BZ34" s="195"/>
      <c r="CA34" s="195"/>
      <c r="CB34" s="195"/>
      <c r="CC34" s="195"/>
      <c r="CD34" s="195"/>
      <c r="CE34" s="195"/>
      <c r="CF34" s="195"/>
      <c r="CG34" s="195"/>
      <c r="CH34" s="195"/>
      <c r="CI34" s="195"/>
      <c r="CJ34" s="195"/>
      <c r="CK34" s="195"/>
      <c r="CL34" s="195"/>
      <c r="CM34" s="195"/>
      <c r="CN34" s="12">
        <v>19</v>
      </c>
      <c r="CO34" s="195"/>
      <c r="CP34" s="195"/>
      <c r="CQ34" s="195"/>
      <c r="CR34" s="195"/>
      <c r="CS34" s="195"/>
      <c r="CT34" s="195"/>
      <c r="CU34" s="195"/>
      <c r="CV34" s="195"/>
      <c r="CW34" s="195"/>
      <c r="CX34" s="195"/>
      <c r="CY34" s="195"/>
      <c r="CZ34" s="195"/>
      <c r="DA34" s="195"/>
      <c r="DB34" s="195"/>
      <c r="DC34" s="195"/>
      <c r="DD34" s="195"/>
      <c r="DE34" s="195"/>
      <c r="DF34" s="12">
        <v>19</v>
      </c>
      <c r="DG34" s="195"/>
      <c r="DH34" s="195"/>
      <c r="DI34" s="195"/>
      <c r="DJ34" s="195"/>
      <c r="DK34" s="195"/>
      <c r="DL34" s="195"/>
      <c r="DM34" s="195"/>
      <c r="DN34" s="195"/>
      <c r="DO34" s="195"/>
      <c r="DP34" s="195"/>
      <c r="DQ34" s="195"/>
      <c r="DR34" s="195"/>
      <c r="DS34" s="195"/>
      <c r="DT34" s="195"/>
      <c r="DU34" s="195"/>
      <c r="DV34" s="195"/>
      <c r="DW34" s="195"/>
      <c r="DX34" s="12">
        <v>19</v>
      </c>
      <c r="DY34" s="195"/>
      <c r="DZ34" s="195"/>
      <c r="EA34" s="195"/>
      <c r="EB34" s="195"/>
      <c r="EC34" s="195"/>
      <c r="ED34" s="195"/>
      <c r="EE34" s="195"/>
      <c r="EF34" s="195"/>
      <c r="EG34" s="195"/>
      <c r="EH34" s="195"/>
      <c r="EI34" s="195"/>
      <c r="EJ34" s="195"/>
      <c r="EK34" s="195"/>
      <c r="EL34" s="195"/>
      <c r="EM34" s="195"/>
      <c r="EN34" s="195"/>
      <c r="EO34" s="195"/>
      <c r="EP34" s="12">
        <v>19</v>
      </c>
      <c r="EQ34" s="195"/>
      <c r="ER34" s="195"/>
      <c r="ES34" s="195"/>
      <c r="ET34" s="195"/>
      <c r="EU34" s="195"/>
      <c r="EV34" s="195"/>
      <c r="EW34" s="195"/>
      <c r="EX34" s="195"/>
      <c r="EY34" s="195"/>
      <c r="EZ34" s="195"/>
      <c r="FA34" s="195"/>
      <c r="FB34" s="195"/>
      <c r="FC34" s="195"/>
      <c r="FD34" s="195"/>
      <c r="FE34" s="195"/>
      <c r="FF34" s="195"/>
      <c r="FG34" s="195"/>
      <c r="FH34" s="12">
        <v>19</v>
      </c>
      <c r="FI34" s="195"/>
      <c r="FJ34" s="195"/>
      <c r="FK34" s="195"/>
      <c r="FL34" s="195"/>
      <c r="FM34" s="195"/>
      <c r="FN34" s="195"/>
      <c r="FO34" s="195"/>
      <c r="FP34" s="195"/>
      <c r="FQ34" s="195"/>
      <c r="FR34" s="195"/>
      <c r="FS34" s="195"/>
      <c r="FT34" s="195"/>
      <c r="FU34" s="195"/>
      <c r="FV34" s="195"/>
      <c r="FW34" s="195"/>
      <c r="FX34" s="195"/>
      <c r="FY34" s="195"/>
    </row>
    <row r="35" spans="2:181" x14ac:dyDescent="0.25">
      <c r="B35" s="12">
        <v>20</v>
      </c>
      <c r="C35" s="195"/>
      <c r="D35" s="195"/>
      <c r="E35" s="195"/>
      <c r="F35" s="195"/>
      <c r="G35" s="195"/>
      <c r="H35" s="195"/>
      <c r="I35" s="195"/>
      <c r="J35" s="195"/>
      <c r="K35" s="195"/>
      <c r="L35" s="195"/>
      <c r="M35" s="195"/>
      <c r="N35" s="195"/>
      <c r="O35" s="195"/>
      <c r="P35" s="195"/>
      <c r="Q35" s="195"/>
      <c r="R35" s="195"/>
      <c r="S35" s="195"/>
      <c r="T35" s="12">
        <v>20</v>
      </c>
      <c r="U35" s="195"/>
      <c r="V35" s="195"/>
      <c r="W35" s="195"/>
      <c r="X35" s="195"/>
      <c r="Y35" s="195"/>
      <c r="Z35" s="195"/>
      <c r="AA35" s="195"/>
      <c r="AB35" s="195"/>
      <c r="AC35" s="195"/>
      <c r="AD35" s="195"/>
      <c r="AE35" s="195"/>
      <c r="AF35" s="195"/>
      <c r="AG35" s="195"/>
      <c r="AH35" s="195"/>
      <c r="AI35" s="195"/>
      <c r="AJ35" s="195"/>
      <c r="AK35" s="195"/>
      <c r="AL35" s="12">
        <v>20</v>
      </c>
      <c r="AM35" s="195"/>
      <c r="AN35" s="195"/>
      <c r="AO35" s="195"/>
      <c r="AP35" s="195"/>
      <c r="AQ35" s="195"/>
      <c r="AR35" s="195"/>
      <c r="AS35" s="195"/>
      <c r="AT35" s="195"/>
      <c r="AU35" s="195"/>
      <c r="AV35" s="195"/>
      <c r="AW35" s="195"/>
      <c r="AX35" s="195"/>
      <c r="AY35" s="195"/>
      <c r="AZ35" s="195"/>
      <c r="BA35" s="195"/>
      <c r="BB35" s="195"/>
      <c r="BC35" s="195"/>
      <c r="BD35" s="197">
        <v>20</v>
      </c>
      <c r="BE35" s="195"/>
      <c r="BF35" s="195"/>
      <c r="BG35" s="195"/>
      <c r="BH35" s="195"/>
      <c r="BI35" s="195"/>
      <c r="BJ35" s="195"/>
      <c r="BK35" s="195"/>
      <c r="BL35" s="195"/>
      <c r="BM35" s="195"/>
      <c r="BN35" s="195"/>
      <c r="BO35" s="195"/>
      <c r="BP35" s="195"/>
      <c r="BQ35" s="195"/>
      <c r="BR35" s="195"/>
      <c r="BS35" s="195"/>
      <c r="BT35" s="195"/>
      <c r="BU35" s="195"/>
      <c r="BV35" s="12">
        <v>20</v>
      </c>
      <c r="BW35" s="195"/>
      <c r="BX35" s="195"/>
      <c r="BY35" s="195"/>
      <c r="BZ35" s="195"/>
      <c r="CA35" s="195"/>
      <c r="CB35" s="195"/>
      <c r="CC35" s="195"/>
      <c r="CD35" s="195"/>
      <c r="CE35" s="195"/>
      <c r="CF35" s="195"/>
      <c r="CG35" s="195"/>
      <c r="CH35" s="195"/>
      <c r="CI35" s="195"/>
      <c r="CJ35" s="195"/>
      <c r="CK35" s="195"/>
      <c r="CL35" s="195"/>
      <c r="CM35" s="195"/>
      <c r="CN35" s="12">
        <v>20</v>
      </c>
      <c r="CO35" s="195"/>
      <c r="CP35" s="195"/>
      <c r="CQ35" s="195"/>
      <c r="CR35" s="195"/>
      <c r="CS35" s="195"/>
      <c r="CT35" s="195"/>
      <c r="CU35" s="195"/>
      <c r="CV35" s="195"/>
      <c r="CW35" s="195"/>
      <c r="CX35" s="195"/>
      <c r="CY35" s="195"/>
      <c r="CZ35" s="195"/>
      <c r="DA35" s="195"/>
      <c r="DB35" s="195"/>
      <c r="DC35" s="195"/>
      <c r="DD35" s="195"/>
      <c r="DE35" s="195"/>
      <c r="DF35" s="12">
        <v>20</v>
      </c>
      <c r="DG35" s="195"/>
      <c r="DH35" s="195"/>
      <c r="DI35" s="195"/>
      <c r="DJ35" s="195"/>
      <c r="DK35" s="195"/>
      <c r="DL35" s="195"/>
      <c r="DM35" s="195"/>
      <c r="DN35" s="195"/>
      <c r="DO35" s="195"/>
      <c r="DP35" s="195"/>
      <c r="DQ35" s="195"/>
      <c r="DR35" s="195"/>
      <c r="DS35" s="195"/>
      <c r="DT35" s="195"/>
      <c r="DU35" s="195"/>
      <c r="DV35" s="195"/>
      <c r="DW35" s="195"/>
      <c r="DX35" s="12">
        <v>20</v>
      </c>
      <c r="DY35" s="195"/>
      <c r="DZ35" s="195"/>
      <c r="EA35" s="195"/>
      <c r="EB35" s="195"/>
      <c r="EC35" s="195"/>
      <c r="ED35" s="195"/>
      <c r="EE35" s="195"/>
      <c r="EF35" s="195"/>
      <c r="EG35" s="195"/>
      <c r="EH35" s="195"/>
      <c r="EI35" s="195"/>
      <c r="EJ35" s="195"/>
      <c r="EK35" s="195"/>
      <c r="EL35" s="195"/>
      <c r="EM35" s="195"/>
      <c r="EN35" s="195"/>
      <c r="EO35" s="195"/>
      <c r="EP35" s="12">
        <v>20</v>
      </c>
      <c r="EQ35" s="195"/>
      <c r="ER35" s="195"/>
      <c r="ES35" s="195"/>
      <c r="ET35" s="195"/>
      <c r="EU35" s="195"/>
      <c r="EV35" s="195"/>
      <c r="EW35" s="195"/>
      <c r="EX35" s="195"/>
      <c r="EY35" s="195"/>
      <c r="EZ35" s="195"/>
      <c r="FA35" s="195"/>
      <c r="FB35" s="195"/>
      <c r="FC35" s="195"/>
      <c r="FD35" s="195"/>
      <c r="FE35" s="195"/>
      <c r="FF35" s="195"/>
      <c r="FG35" s="195"/>
      <c r="FH35" s="12">
        <v>20</v>
      </c>
      <c r="FI35" s="195"/>
      <c r="FJ35" s="195"/>
      <c r="FK35" s="195"/>
      <c r="FL35" s="195"/>
      <c r="FM35" s="195"/>
      <c r="FN35" s="195"/>
      <c r="FO35" s="195"/>
      <c r="FP35" s="195"/>
      <c r="FQ35" s="195"/>
      <c r="FR35" s="195"/>
      <c r="FS35" s="195"/>
      <c r="FT35" s="195"/>
      <c r="FU35" s="195"/>
      <c r="FV35" s="195"/>
      <c r="FW35" s="195"/>
      <c r="FX35" s="195"/>
      <c r="FY35" s="195"/>
    </row>
    <row r="36" spans="2:181" x14ac:dyDescent="0.25">
      <c r="B36" s="12">
        <v>21</v>
      </c>
      <c r="C36" s="195"/>
      <c r="D36" s="195"/>
      <c r="E36" s="195"/>
      <c r="F36" s="195"/>
      <c r="G36" s="195"/>
      <c r="H36" s="195"/>
      <c r="I36" s="195"/>
      <c r="J36" s="195"/>
      <c r="K36" s="195"/>
      <c r="L36" s="195"/>
      <c r="M36" s="195"/>
      <c r="N36" s="195"/>
      <c r="O36" s="195"/>
      <c r="P36" s="195"/>
      <c r="Q36" s="195"/>
      <c r="R36" s="195"/>
      <c r="S36" s="195"/>
      <c r="T36" s="12">
        <v>21</v>
      </c>
      <c r="U36" s="195"/>
      <c r="V36" s="195"/>
      <c r="W36" s="195"/>
      <c r="X36" s="195"/>
      <c r="Y36" s="195"/>
      <c r="Z36" s="195"/>
      <c r="AA36" s="195"/>
      <c r="AB36" s="195"/>
      <c r="AC36" s="195"/>
      <c r="AD36" s="195"/>
      <c r="AE36" s="195"/>
      <c r="AF36" s="195"/>
      <c r="AG36" s="195"/>
      <c r="AH36" s="195"/>
      <c r="AI36" s="195"/>
      <c r="AJ36" s="195"/>
      <c r="AK36" s="195"/>
      <c r="AL36" s="12">
        <v>21</v>
      </c>
      <c r="AM36" s="195"/>
      <c r="AN36" s="195"/>
      <c r="AO36" s="195"/>
      <c r="AP36" s="195"/>
      <c r="AQ36" s="195"/>
      <c r="AR36" s="195"/>
      <c r="AS36" s="195"/>
      <c r="AT36" s="195"/>
      <c r="AU36" s="195"/>
      <c r="AV36" s="195"/>
      <c r="AW36" s="195"/>
      <c r="AX36" s="195"/>
      <c r="AY36" s="195"/>
      <c r="AZ36" s="195"/>
      <c r="BA36" s="195"/>
      <c r="BB36" s="195"/>
      <c r="BC36" s="195"/>
      <c r="BD36" s="12">
        <v>21</v>
      </c>
      <c r="BE36" s="195"/>
      <c r="BF36" s="195"/>
      <c r="BG36" s="195"/>
      <c r="BH36" s="195"/>
      <c r="BI36" s="195"/>
      <c r="BJ36" s="195"/>
      <c r="BK36" s="195"/>
      <c r="BL36" s="195"/>
      <c r="BM36" s="195"/>
      <c r="BN36" s="195"/>
      <c r="BO36" s="195"/>
      <c r="BP36" s="195"/>
      <c r="BQ36" s="195"/>
      <c r="BR36" s="195"/>
      <c r="BS36" s="195"/>
      <c r="BT36" s="195"/>
      <c r="BU36" s="195"/>
      <c r="BV36" s="12">
        <v>21</v>
      </c>
      <c r="BW36" s="195"/>
      <c r="BX36" s="195"/>
      <c r="BY36" s="195"/>
      <c r="BZ36" s="195"/>
      <c r="CA36" s="195"/>
      <c r="CB36" s="195"/>
      <c r="CC36" s="195"/>
      <c r="CD36" s="195"/>
      <c r="CE36" s="195"/>
      <c r="CF36" s="195"/>
      <c r="CG36" s="195"/>
      <c r="CH36" s="195"/>
      <c r="CI36" s="195"/>
      <c r="CJ36" s="195"/>
      <c r="CK36" s="195"/>
      <c r="CL36" s="195"/>
      <c r="CM36" s="195"/>
      <c r="CN36" s="12">
        <v>21</v>
      </c>
      <c r="CO36" s="195"/>
      <c r="CP36" s="195"/>
      <c r="CQ36" s="195"/>
      <c r="CR36" s="195"/>
      <c r="CS36" s="195"/>
      <c r="CT36" s="195"/>
      <c r="CU36" s="195"/>
      <c r="CV36" s="195"/>
      <c r="CW36" s="195"/>
      <c r="CX36" s="195"/>
      <c r="CY36" s="195"/>
      <c r="CZ36" s="195"/>
      <c r="DA36" s="195"/>
      <c r="DB36" s="195"/>
      <c r="DC36" s="195"/>
      <c r="DD36" s="195"/>
      <c r="DE36" s="195"/>
      <c r="DF36" s="12">
        <v>21</v>
      </c>
      <c r="DG36" s="195"/>
      <c r="DH36" s="195"/>
      <c r="DI36" s="195"/>
      <c r="DJ36" s="195"/>
      <c r="DK36" s="195"/>
      <c r="DL36" s="195"/>
      <c r="DM36" s="195"/>
      <c r="DN36" s="195"/>
      <c r="DO36" s="195"/>
      <c r="DP36" s="195"/>
      <c r="DQ36" s="195"/>
      <c r="DR36" s="195"/>
      <c r="DS36" s="195"/>
      <c r="DT36" s="195"/>
      <c r="DU36" s="195"/>
      <c r="DV36" s="195"/>
      <c r="DW36" s="195"/>
      <c r="DX36" s="12">
        <v>21</v>
      </c>
      <c r="DY36" s="195"/>
      <c r="DZ36" s="195"/>
      <c r="EA36" s="195"/>
      <c r="EB36" s="195"/>
      <c r="EC36" s="195"/>
      <c r="ED36" s="195"/>
      <c r="EE36" s="195"/>
      <c r="EF36" s="195"/>
      <c r="EG36" s="195"/>
      <c r="EH36" s="195"/>
      <c r="EI36" s="195"/>
      <c r="EJ36" s="195"/>
      <c r="EK36" s="195"/>
      <c r="EL36" s="195"/>
      <c r="EM36" s="195"/>
      <c r="EN36" s="195"/>
      <c r="EO36" s="195"/>
      <c r="EP36" s="12">
        <v>21</v>
      </c>
      <c r="EQ36" s="195"/>
      <c r="ER36" s="195"/>
      <c r="ES36" s="195"/>
      <c r="ET36" s="195"/>
      <c r="EU36" s="195"/>
      <c r="EV36" s="195"/>
      <c r="EW36" s="195"/>
      <c r="EX36" s="195"/>
      <c r="EY36" s="195"/>
      <c r="EZ36" s="195"/>
      <c r="FA36" s="195"/>
      <c r="FB36" s="195"/>
      <c r="FC36" s="195"/>
      <c r="FD36" s="195"/>
      <c r="FE36" s="195"/>
      <c r="FF36" s="195"/>
      <c r="FG36" s="195"/>
      <c r="FH36" s="12">
        <v>21</v>
      </c>
      <c r="FI36" s="195"/>
      <c r="FJ36" s="195"/>
      <c r="FK36" s="195"/>
      <c r="FL36" s="195"/>
      <c r="FM36" s="195"/>
      <c r="FN36" s="195"/>
      <c r="FO36" s="195"/>
      <c r="FP36" s="195"/>
      <c r="FQ36" s="195"/>
      <c r="FR36" s="195"/>
      <c r="FS36" s="195"/>
      <c r="FT36" s="195"/>
      <c r="FU36" s="195"/>
      <c r="FV36" s="195"/>
      <c r="FW36" s="195"/>
      <c r="FX36" s="195"/>
      <c r="FY36" s="195"/>
    </row>
    <row r="37" spans="2:181" x14ac:dyDescent="0.25">
      <c r="B37" s="12">
        <v>22</v>
      </c>
      <c r="C37" s="195"/>
      <c r="D37" s="195"/>
      <c r="E37" s="195"/>
      <c r="F37" s="195"/>
      <c r="G37" s="195"/>
      <c r="H37" s="195"/>
      <c r="I37" s="195"/>
      <c r="J37" s="195"/>
      <c r="K37" s="195"/>
      <c r="L37" s="195"/>
      <c r="M37" s="195"/>
      <c r="N37" s="195"/>
      <c r="O37" s="195"/>
      <c r="P37" s="195"/>
      <c r="Q37" s="195"/>
      <c r="R37" s="195"/>
      <c r="S37" s="195"/>
      <c r="T37" s="12">
        <v>22</v>
      </c>
      <c r="U37" s="195"/>
      <c r="V37" s="195"/>
      <c r="W37" s="195"/>
      <c r="X37" s="195"/>
      <c r="Y37" s="195"/>
      <c r="Z37" s="195"/>
      <c r="AA37" s="195"/>
      <c r="AB37" s="195"/>
      <c r="AC37" s="195"/>
      <c r="AD37" s="195"/>
      <c r="AE37" s="195"/>
      <c r="AF37" s="195"/>
      <c r="AG37" s="195"/>
      <c r="AH37" s="195"/>
      <c r="AI37" s="195"/>
      <c r="AJ37" s="195"/>
      <c r="AK37" s="195"/>
      <c r="AL37" s="12">
        <v>22</v>
      </c>
      <c r="AM37" s="195"/>
      <c r="AN37" s="195"/>
      <c r="AO37" s="195"/>
      <c r="AP37" s="195"/>
      <c r="AQ37" s="195"/>
      <c r="AR37" s="195"/>
      <c r="AS37" s="195"/>
      <c r="AT37" s="195"/>
      <c r="AU37" s="195"/>
      <c r="AV37" s="195"/>
      <c r="AW37" s="195"/>
      <c r="AX37" s="195"/>
      <c r="AY37" s="195"/>
      <c r="AZ37" s="195"/>
      <c r="BA37" s="195"/>
      <c r="BB37" s="195"/>
      <c r="BC37" s="195"/>
      <c r="BD37" s="197">
        <v>22</v>
      </c>
      <c r="BE37" s="195"/>
      <c r="BF37" s="195"/>
      <c r="BG37" s="195"/>
      <c r="BH37" s="195"/>
      <c r="BI37" s="195"/>
      <c r="BJ37" s="195"/>
      <c r="BK37" s="195"/>
      <c r="BL37" s="195"/>
      <c r="BM37" s="195"/>
      <c r="BN37" s="195"/>
      <c r="BO37" s="195"/>
      <c r="BP37" s="195"/>
      <c r="BQ37" s="195"/>
      <c r="BR37" s="195"/>
      <c r="BS37" s="195"/>
      <c r="BT37" s="195"/>
      <c r="BU37" s="195"/>
      <c r="BV37" s="12">
        <v>22</v>
      </c>
      <c r="BW37" s="195"/>
      <c r="BX37" s="195"/>
      <c r="BY37" s="195"/>
      <c r="BZ37" s="195"/>
      <c r="CA37" s="195"/>
      <c r="CB37" s="195"/>
      <c r="CC37" s="195"/>
      <c r="CD37" s="195"/>
      <c r="CE37" s="195"/>
      <c r="CF37" s="195"/>
      <c r="CG37" s="195"/>
      <c r="CH37" s="195"/>
      <c r="CI37" s="195"/>
      <c r="CJ37" s="195"/>
      <c r="CK37" s="195"/>
      <c r="CL37" s="195"/>
      <c r="CM37" s="195"/>
      <c r="CN37" s="12">
        <v>22</v>
      </c>
      <c r="CO37" s="195"/>
      <c r="CP37" s="195"/>
      <c r="CQ37" s="195"/>
      <c r="CR37" s="195"/>
      <c r="CS37" s="195"/>
      <c r="CT37" s="195"/>
      <c r="CU37" s="195"/>
      <c r="CV37" s="195"/>
      <c r="CW37" s="195"/>
      <c r="CX37" s="195"/>
      <c r="CY37" s="195"/>
      <c r="CZ37" s="195"/>
      <c r="DA37" s="195"/>
      <c r="DB37" s="195"/>
      <c r="DC37" s="195"/>
      <c r="DD37" s="195"/>
      <c r="DE37" s="195"/>
      <c r="DF37" s="12">
        <v>22</v>
      </c>
      <c r="DG37" s="195"/>
      <c r="DH37" s="195"/>
      <c r="DI37" s="195"/>
      <c r="DJ37" s="195"/>
      <c r="DK37" s="195"/>
      <c r="DL37" s="195"/>
      <c r="DM37" s="195"/>
      <c r="DN37" s="195"/>
      <c r="DO37" s="195"/>
      <c r="DP37" s="195"/>
      <c r="DQ37" s="195"/>
      <c r="DR37" s="195"/>
      <c r="DS37" s="195"/>
      <c r="DT37" s="195"/>
      <c r="DU37" s="195"/>
      <c r="DV37" s="195"/>
      <c r="DW37" s="195"/>
      <c r="DX37" s="12">
        <v>22</v>
      </c>
      <c r="DY37" s="195"/>
      <c r="DZ37" s="195"/>
      <c r="EA37" s="195"/>
      <c r="EB37" s="195"/>
      <c r="EC37" s="195"/>
      <c r="ED37" s="195"/>
      <c r="EE37" s="195"/>
      <c r="EF37" s="195"/>
      <c r="EG37" s="195"/>
      <c r="EH37" s="195"/>
      <c r="EI37" s="195"/>
      <c r="EJ37" s="195"/>
      <c r="EK37" s="195"/>
      <c r="EL37" s="195"/>
      <c r="EM37" s="195"/>
      <c r="EN37" s="195"/>
      <c r="EO37" s="195"/>
      <c r="EP37" s="12">
        <v>22</v>
      </c>
      <c r="EQ37" s="195"/>
      <c r="ER37" s="195"/>
      <c r="ES37" s="195"/>
      <c r="ET37" s="195"/>
      <c r="EU37" s="195"/>
      <c r="EV37" s="195"/>
      <c r="EW37" s="195"/>
      <c r="EX37" s="195"/>
      <c r="EY37" s="195"/>
      <c r="EZ37" s="195"/>
      <c r="FA37" s="195"/>
      <c r="FB37" s="195"/>
      <c r="FC37" s="195"/>
      <c r="FD37" s="195"/>
      <c r="FE37" s="195"/>
      <c r="FF37" s="195"/>
      <c r="FG37" s="195"/>
      <c r="FH37" s="12">
        <v>22</v>
      </c>
      <c r="FI37" s="195"/>
      <c r="FJ37" s="195"/>
      <c r="FK37" s="195"/>
      <c r="FL37" s="195"/>
      <c r="FM37" s="195"/>
      <c r="FN37" s="195"/>
      <c r="FO37" s="195"/>
      <c r="FP37" s="195"/>
      <c r="FQ37" s="195"/>
      <c r="FR37" s="195"/>
      <c r="FS37" s="195"/>
      <c r="FT37" s="195"/>
      <c r="FU37" s="195"/>
      <c r="FV37" s="195"/>
      <c r="FW37" s="195"/>
      <c r="FX37" s="195"/>
      <c r="FY37" s="195"/>
    </row>
    <row r="38" spans="2:181" x14ac:dyDescent="0.25">
      <c r="B38" s="12">
        <v>23</v>
      </c>
      <c r="C38" s="195"/>
      <c r="D38" s="195"/>
      <c r="E38" s="195"/>
      <c r="F38" s="195"/>
      <c r="G38" s="195"/>
      <c r="H38" s="195"/>
      <c r="I38" s="195"/>
      <c r="J38" s="195"/>
      <c r="K38" s="195"/>
      <c r="L38" s="195"/>
      <c r="M38" s="195"/>
      <c r="N38" s="195"/>
      <c r="O38" s="195"/>
      <c r="P38" s="195"/>
      <c r="Q38" s="195"/>
      <c r="R38" s="195"/>
      <c r="S38" s="195"/>
      <c r="T38" s="12">
        <v>23</v>
      </c>
      <c r="U38" s="195"/>
      <c r="V38" s="195"/>
      <c r="W38" s="195"/>
      <c r="X38" s="195"/>
      <c r="Y38" s="195"/>
      <c r="Z38" s="195"/>
      <c r="AA38" s="195"/>
      <c r="AB38" s="195"/>
      <c r="AC38" s="195"/>
      <c r="AD38" s="195"/>
      <c r="AE38" s="195"/>
      <c r="AF38" s="195"/>
      <c r="AG38" s="195"/>
      <c r="AH38" s="195"/>
      <c r="AI38" s="195"/>
      <c r="AJ38" s="195"/>
      <c r="AK38" s="195"/>
      <c r="AL38" s="12">
        <v>23</v>
      </c>
      <c r="AM38" s="195"/>
      <c r="AN38" s="195"/>
      <c r="AO38" s="195"/>
      <c r="AP38" s="195"/>
      <c r="AQ38" s="195"/>
      <c r="AR38" s="195"/>
      <c r="AS38" s="195"/>
      <c r="AT38" s="195"/>
      <c r="AU38" s="195"/>
      <c r="AV38" s="195"/>
      <c r="AW38" s="195"/>
      <c r="AX38" s="195"/>
      <c r="AY38" s="195"/>
      <c r="AZ38" s="195"/>
      <c r="BA38" s="195"/>
      <c r="BB38" s="195"/>
      <c r="BC38" s="195"/>
      <c r="BD38" s="12">
        <v>23</v>
      </c>
      <c r="BE38" s="195"/>
      <c r="BF38" s="195"/>
      <c r="BG38" s="195"/>
      <c r="BH38" s="195"/>
      <c r="BI38" s="195"/>
      <c r="BJ38" s="195"/>
      <c r="BK38" s="195"/>
      <c r="BL38" s="195"/>
      <c r="BM38" s="195"/>
      <c r="BN38" s="195"/>
      <c r="BO38" s="195"/>
      <c r="BP38" s="195"/>
      <c r="BQ38" s="195"/>
      <c r="BR38" s="195"/>
      <c r="BS38" s="195"/>
      <c r="BT38" s="195"/>
      <c r="BU38" s="195"/>
      <c r="BV38" s="12">
        <v>23</v>
      </c>
      <c r="BW38" s="195"/>
      <c r="BX38" s="195"/>
      <c r="BY38" s="195"/>
      <c r="BZ38" s="195"/>
      <c r="CA38" s="195"/>
      <c r="CB38" s="195"/>
      <c r="CC38" s="195"/>
      <c r="CD38" s="195"/>
      <c r="CE38" s="195"/>
      <c r="CF38" s="195"/>
      <c r="CG38" s="195"/>
      <c r="CH38" s="195"/>
      <c r="CI38" s="195"/>
      <c r="CJ38" s="195"/>
      <c r="CK38" s="195"/>
      <c r="CL38" s="195"/>
      <c r="CM38" s="195"/>
      <c r="CN38" s="12">
        <v>23</v>
      </c>
      <c r="CO38" s="195"/>
      <c r="CP38" s="195"/>
      <c r="CQ38" s="195"/>
      <c r="CR38" s="195"/>
      <c r="CS38" s="195"/>
      <c r="CT38" s="195"/>
      <c r="CU38" s="195"/>
      <c r="CV38" s="195"/>
      <c r="CW38" s="195"/>
      <c r="CX38" s="195"/>
      <c r="CY38" s="195"/>
      <c r="CZ38" s="195"/>
      <c r="DA38" s="195"/>
      <c r="DB38" s="195"/>
      <c r="DC38" s="195"/>
      <c r="DD38" s="195"/>
      <c r="DE38" s="195"/>
      <c r="DF38" s="12">
        <v>23</v>
      </c>
      <c r="DG38" s="195"/>
      <c r="DH38" s="195"/>
      <c r="DI38" s="195"/>
      <c r="DJ38" s="195"/>
      <c r="DK38" s="195"/>
      <c r="DL38" s="195"/>
      <c r="DM38" s="195"/>
      <c r="DN38" s="195"/>
      <c r="DO38" s="195"/>
      <c r="DP38" s="195"/>
      <c r="DQ38" s="195"/>
      <c r="DR38" s="195"/>
      <c r="DS38" s="195"/>
      <c r="DT38" s="195"/>
      <c r="DU38" s="195"/>
      <c r="DV38" s="195"/>
      <c r="DW38" s="195"/>
      <c r="DX38" s="12">
        <v>23</v>
      </c>
      <c r="DY38" s="195"/>
      <c r="DZ38" s="195"/>
      <c r="EA38" s="195"/>
      <c r="EB38" s="195"/>
      <c r="EC38" s="195"/>
      <c r="ED38" s="195"/>
      <c r="EE38" s="195"/>
      <c r="EF38" s="195"/>
      <c r="EG38" s="195"/>
      <c r="EH38" s="195"/>
      <c r="EI38" s="195"/>
      <c r="EJ38" s="195"/>
      <c r="EK38" s="195"/>
      <c r="EL38" s="195"/>
      <c r="EM38" s="195"/>
      <c r="EN38" s="195"/>
      <c r="EO38" s="195"/>
      <c r="EP38" s="12">
        <v>23</v>
      </c>
      <c r="EQ38" s="195"/>
      <c r="ER38" s="195"/>
      <c r="ES38" s="195"/>
      <c r="ET38" s="195"/>
      <c r="EU38" s="195"/>
      <c r="EV38" s="195"/>
      <c r="EW38" s="195"/>
      <c r="EX38" s="195"/>
      <c r="EY38" s="195"/>
      <c r="EZ38" s="195"/>
      <c r="FA38" s="195"/>
      <c r="FB38" s="195"/>
      <c r="FC38" s="195"/>
      <c r="FD38" s="195"/>
      <c r="FE38" s="195"/>
      <c r="FF38" s="195"/>
      <c r="FG38" s="195"/>
      <c r="FH38" s="12">
        <v>23</v>
      </c>
      <c r="FI38" s="195"/>
      <c r="FJ38" s="195"/>
      <c r="FK38" s="195"/>
      <c r="FL38" s="195"/>
      <c r="FM38" s="195"/>
      <c r="FN38" s="195"/>
      <c r="FO38" s="195"/>
      <c r="FP38" s="195"/>
      <c r="FQ38" s="195"/>
      <c r="FR38" s="195"/>
      <c r="FS38" s="195"/>
      <c r="FT38" s="195"/>
      <c r="FU38" s="195"/>
      <c r="FV38" s="195"/>
      <c r="FW38" s="195"/>
      <c r="FX38" s="195"/>
      <c r="FY38" s="195"/>
    </row>
    <row r="39" spans="2:181" x14ac:dyDescent="0.25">
      <c r="B39" s="12">
        <v>24</v>
      </c>
      <c r="C39" s="195"/>
      <c r="D39" s="195"/>
      <c r="E39" s="195"/>
      <c r="F39" s="195"/>
      <c r="G39" s="195"/>
      <c r="H39" s="195"/>
      <c r="I39" s="195"/>
      <c r="J39" s="195"/>
      <c r="K39" s="195"/>
      <c r="L39" s="195"/>
      <c r="M39" s="195"/>
      <c r="N39" s="195"/>
      <c r="O39" s="195"/>
      <c r="P39" s="195"/>
      <c r="Q39" s="195"/>
      <c r="R39" s="195"/>
      <c r="S39" s="195"/>
      <c r="T39" s="12">
        <v>24</v>
      </c>
      <c r="U39" s="195"/>
      <c r="V39" s="195"/>
      <c r="W39" s="195"/>
      <c r="X39" s="195"/>
      <c r="Y39" s="195"/>
      <c r="Z39" s="195"/>
      <c r="AA39" s="195"/>
      <c r="AB39" s="195"/>
      <c r="AC39" s="195"/>
      <c r="AD39" s="195"/>
      <c r="AE39" s="195"/>
      <c r="AF39" s="195"/>
      <c r="AG39" s="195"/>
      <c r="AH39" s="195"/>
      <c r="AI39" s="195"/>
      <c r="AJ39" s="195"/>
      <c r="AK39" s="195"/>
      <c r="AL39" s="12">
        <v>24</v>
      </c>
      <c r="AM39" s="195"/>
      <c r="AN39" s="195"/>
      <c r="AO39" s="195"/>
      <c r="AP39" s="195"/>
      <c r="AQ39" s="195"/>
      <c r="AR39" s="195"/>
      <c r="AS39" s="195"/>
      <c r="AT39" s="195"/>
      <c r="AU39" s="195"/>
      <c r="AV39" s="195"/>
      <c r="AW39" s="195"/>
      <c r="AX39" s="195"/>
      <c r="AY39" s="195"/>
      <c r="AZ39" s="195"/>
      <c r="BA39" s="195"/>
      <c r="BB39" s="195"/>
      <c r="BC39" s="195"/>
      <c r="BD39" s="197">
        <v>24</v>
      </c>
      <c r="BE39" s="195"/>
      <c r="BF39" s="195"/>
      <c r="BG39" s="195"/>
      <c r="BH39" s="195"/>
      <c r="BI39" s="195"/>
      <c r="BJ39" s="195"/>
      <c r="BK39" s="195"/>
      <c r="BL39" s="195"/>
      <c r="BM39" s="195"/>
      <c r="BN39" s="195"/>
      <c r="BO39" s="195"/>
      <c r="BP39" s="195"/>
      <c r="BQ39" s="195"/>
      <c r="BR39" s="195"/>
      <c r="BS39" s="195"/>
      <c r="BT39" s="195"/>
      <c r="BU39" s="195"/>
      <c r="BV39" s="12">
        <v>24</v>
      </c>
      <c r="BW39" s="195"/>
      <c r="BX39" s="195"/>
      <c r="BY39" s="195"/>
      <c r="BZ39" s="195"/>
      <c r="CA39" s="195"/>
      <c r="CB39" s="195"/>
      <c r="CC39" s="195"/>
      <c r="CD39" s="195"/>
      <c r="CE39" s="195"/>
      <c r="CF39" s="195"/>
      <c r="CG39" s="195"/>
      <c r="CH39" s="195"/>
      <c r="CI39" s="195"/>
      <c r="CJ39" s="195"/>
      <c r="CK39" s="195"/>
      <c r="CL39" s="195"/>
      <c r="CM39" s="195"/>
      <c r="CN39" s="12">
        <v>24</v>
      </c>
      <c r="CO39" s="195"/>
      <c r="CP39" s="195"/>
      <c r="CQ39" s="195"/>
      <c r="CR39" s="195"/>
      <c r="CS39" s="195"/>
      <c r="CT39" s="195"/>
      <c r="CU39" s="195"/>
      <c r="CV39" s="195"/>
      <c r="CW39" s="195"/>
      <c r="CX39" s="195"/>
      <c r="CY39" s="195"/>
      <c r="CZ39" s="195"/>
      <c r="DA39" s="195"/>
      <c r="DB39" s="195"/>
      <c r="DC39" s="195"/>
      <c r="DD39" s="195"/>
      <c r="DE39" s="195"/>
      <c r="DF39" s="12">
        <v>24</v>
      </c>
      <c r="DG39" s="195"/>
      <c r="DH39" s="195"/>
      <c r="DI39" s="195"/>
      <c r="DJ39" s="195"/>
      <c r="DK39" s="195"/>
      <c r="DL39" s="195"/>
      <c r="DM39" s="195"/>
      <c r="DN39" s="195"/>
      <c r="DO39" s="195"/>
      <c r="DP39" s="195"/>
      <c r="DQ39" s="195"/>
      <c r="DR39" s="195"/>
      <c r="DS39" s="195"/>
      <c r="DT39" s="195"/>
      <c r="DU39" s="195"/>
      <c r="DV39" s="195"/>
      <c r="DW39" s="195"/>
      <c r="DX39" s="12">
        <v>24</v>
      </c>
      <c r="DY39" s="195"/>
      <c r="DZ39" s="195"/>
      <c r="EA39" s="195"/>
      <c r="EB39" s="195"/>
      <c r="EC39" s="195"/>
      <c r="ED39" s="195"/>
      <c r="EE39" s="195"/>
      <c r="EF39" s="195"/>
      <c r="EG39" s="195"/>
      <c r="EH39" s="195"/>
      <c r="EI39" s="195"/>
      <c r="EJ39" s="195"/>
      <c r="EK39" s="195"/>
      <c r="EL39" s="195"/>
      <c r="EM39" s="195"/>
      <c r="EN39" s="195"/>
      <c r="EO39" s="195"/>
      <c r="EP39" s="12">
        <v>24</v>
      </c>
      <c r="EQ39" s="195"/>
      <c r="ER39" s="195"/>
      <c r="ES39" s="195"/>
      <c r="ET39" s="195"/>
      <c r="EU39" s="195"/>
      <c r="EV39" s="195"/>
      <c r="EW39" s="195"/>
      <c r="EX39" s="195"/>
      <c r="EY39" s="195"/>
      <c r="EZ39" s="195"/>
      <c r="FA39" s="195"/>
      <c r="FB39" s="195"/>
      <c r="FC39" s="195"/>
      <c r="FD39" s="195"/>
      <c r="FE39" s="195"/>
      <c r="FF39" s="195"/>
      <c r="FG39" s="195"/>
      <c r="FH39" s="12">
        <v>24</v>
      </c>
      <c r="FI39" s="195"/>
      <c r="FJ39" s="195"/>
      <c r="FK39" s="195"/>
      <c r="FL39" s="195"/>
      <c r="FM39" s="195"/>
      <c r="FN39" s="195"/>
      <c r="FO39" s="195"/>
      <c r="FP39" s="195"/>
      <c r="FQ39" s="195"/>
      <c r="FR39" s="195"/>
      <c r="FS39" s="195"/>
      <c r="FT39" s="195"/>
      <c r="FU39" s="195"/>
      <c r="FV39" s="195"/>
      <c r="FW39" s="195"/>
      <c r="FX39" s="195"/>
      <c r="FY39" s="195"/>
    </row>
    <row r="40" spans="2:181" x14ac:dyDescent="0.25">
      <c r="B40" s="12">
        <v>25</v>
      </c>
      <c r="C40" s="195"/>
      <c r="D40" s="195"/>
      <c r="E40" s="195"/>
      <c r="F40" s="195"/>
      <c r="G40" s="195"/>
      <c r="H40" s="195"/>
      <c r="I40" s="195"/>
      <c r="J40" s="195"/>
      <c r="K40" s="195"/>
      <c r="L40" s="195"/>
      <c r="M40" s="195"/>
      <c r="N40" s="195"/>
      <c r="O40" s="195"/>
      <c r="P40" s="195"/>
      <c r="Q40" s="195"/>
      <c r="R40" s="195"/>
      <c r="S40" s="195"/>
      <c r="T40" s="12">
        <v>25</v>
      </c>
      <c r="U40" s="195"/>
      <c r="V40" s="195"/>
      <c r="W40" s="195"/>
      <c r="X40" s="195"/>
      <c r="Y40" s="195"/>
      <c r="Z40" s="195"/>
      <c r="AA40" s="195"/>
      <c r="AB40" s="195"/>
      <c r="AC40" s="195"/>
      <c r="AD40" s="195"/>
      <c r="AE40" s="195"/>
      <c r="AF40" s="195"/>
      <c r="AG40" s="195"/>
      <c r="AH40" s="195"/>
      <c r="AI40" s="195"/>
      <c r="AJ40" s="195"/>
      <c r="AK40" s="195"/>
      <c r="AL40" s="12">
        <v>25</v>
      </c>
      <c r="AM40" s="195"/>
      <c r="AN40" s="195"/>
      <c r="AO40" s="195"/>
      <c r="AP40" s="195"/>
      <c r="AQ40" s="195"/>
      <c r="AR40" s="195"/>
      <c r="AS40" s="195"/>
      <c r="AT40" s="195"/>
      <c r="AU40" s="195"/>
      <c r="AV40" s="195"/>
      <c r="AW40" s="195"/>
      <c r="AX40" s="195"/>
      <c r="AY40" s="195"/>
      <c r="AZ40" s="195"/>
      <c r="BA40" s="195"/>
      <c r="BB40" s="195"/>
      <c r="BC40" s="195"/>
      <c r="BD40" s="12">
        <v>25</v>
      </c>
      <c r="BE40" s="195"/>
      <c r="BF40" s="195"/>
      <c r="BG40" s="195"/>
      <c r="BH40" s="195"/>
      <c r="BI40" s="195"/>
      <c r="BJ40" s="195"/>
      <c r="BK40" s="195"/>
      <c r="BL40" s="195"/>
      <c r="BM40" s="195"/>
      <c r="BN40" s="195"/>
      <c r="BO40" s="195"/>
      <c r="BP40" s="195"/>
      <c r="BQ40" s="195"/>
      <c r="BR40" s="195"/>
      <c r="BS40" s="195"/>
      <c r="BT40" s="195"/>
      <c r="BU40" s="195"/>
      <c r="BV40" s="12">
        <v>25</v>
      </c>
      <c r="BW40" s="195"/>
      <c r="BX40" s="195"/>
      <c r="BY40" s="195"/>
      <c r="BZ40" s="195"/>
      <c r="CA40" s="195"/>
      <c r="CB40" s="195"/>
      <c r="CC40" s="195"/>
      <c r="CD40" s="195"/>
      <c r="CE40" s="195"/>
      <c r="CF40" s="195"/>
      <c r="CG40" s="195"/>
      <c r="CH40" s="195"/>
      <c r="CI40" s="195"/>
      <c r="CJ40" s="195"/>
      <c r="CK40" s="195"/>
      <c r="CL40" s="195"/>
      <c r="CM40" s="195"/>
      <c r="CN40" s="12">
        <v>25</v>
      </c>
      <c r="CO40" s="195"/>
      <c r="CP40" s="195"/>
      <c r="CQ40" s="195"/>
      <c r="CR40" s="195"/>
      <c r="CS40" s="195"/>
      <c r="CT40" s="195"/>
      <c r="CU40" s="195"/>
      <c r="CV40" s="195"/>
      <c r="CW40" s="195"/>
      <c r="CX40" s="195"/>
      <c r="CY40" s="195"/>
      <c r="CZ40" s="195"/>
      <c r="DA40" s="195"/>
      <c r="DB40" s="195"/>
      <c r="DC40" s="195"/>
      <c r="DD40" s="195"/>
      <c r="DE40" s="195"/>
      <c r="DF40" s="12">
        <v>25</v>
      </c>
      <c r="DG40" s="195"/>
      <c r="DH40" s="195"/>
      <c r="DI40" s="195"/>
      <c r="DJ40" s="195"/>
      <c r="DK40" s="195"/>
      <c r="DL40" s="195"/>
      <c r="DM40" s="195"/>
      <c r="DN40" s="195"/>
      <c r="DO40" s="195"/>
      <c r="DP40" s="195"/>
      <c r="DQ40" s="195"/>
      <c r="DR40" s="195"/>
      <c r="DS40" s="195"/>
      <c r="DT40" s="195"/>
      <c r="DU40" s="195"/>
      <c r="DV40" s="195"/>
      <c r="DW40" s="195"/>
      <c r="DX40" s="12">
        <v>25</v>
      </c>
      <c r="DY40" s="195"/>
      <c r="DZ40" s="195"/>
      <c r="EA40" s="195"/>
      <c r="EB40" s="195"/>
      <c r="EC40" s="195"/>
      <c r="ED40" s="195"/>
      <c r="EE40" s="195"/>
      <c r="EF40" s="195"/>
      <c r="EG40" s="195"/>
      <c r="EH40" s="195"/>
      <c r="EI40" s="195"/>
      <c r="EJ40" s="195"/>
      <c r="EK40" s="195"/>
      <c r="EL40" s="195"/>
      <c r="EM40" s="195"/>
      <c r="EN40" s="195"/>
      <c r="EO40" s="195"/>
      <c r="EP40" s="12">
        <v>25</v>
      </c>
      <c r="EQ40" s="195"/>
      <c r="ER40" s="195"/>
      <c r="ES40" s="195"/>
      <c r="ET40" s="195"/>
      <c r="EU40" s="195"/>
      <c r="EV40" s="195"/>
      <c r="EW40" s="195"/>
      <c r="EX40" s="195"/>
      <c r="EY40" s="195"/>
      <c r="EZ40" s="195"/>
      <c r="FA40" s="195"/>
      <c r="FB40" s="195"/>
      <c r="FC40" s="195"/>
      <c r="FD40" s="195"/>
      <c r="FE40" s="195"/>
      <c r="FF40" s="195"/>
      <c r="FG40" s="195"/>
      <c r="FH40" s="12">
        <v>25</v>
      </c>
      <c r="FI40" s="195"/>
      <c r="FJ40" s="195"/>
      <c r="FK40" s="195"/>
      <c r="FL40" s="195"/>
      <c r="FM40" s="195"/>
      <c r="FN40" s="195"/>
      <c r="FO40" s="195"/>
      <c r="FP40" s="195"/>
      <c r="FQ40" s="195"/>
      <c r="FR40" s="195"/>
      <c r="FS40" s="195"/>
      <c r="FT40" s="195"/>
      <c r="FU40" s="195"/>
      <c r="FV40" s="195"/>
      <c r="FW40" s="195"/>
      <c r="FX40" s="195"/>
      <c r="FY40" s="195"/>
    </row>
    <row r="41" spans="2:181" x14ac:dyDescent="0.25">
      <c r="B41" s="12">
        <v>26</v>
      </c>
      <c r="C41" s="195"/>
      <c r="D41" s="195"/>
      <c r="E41" s="195"/>
      <c r="F41" s="195"/>
      <c r="G41" s="195"/>
      <c r="H41" s="195"/>
      <c r="I41" s="195"/>
      <c r="J41" s="195"/>
      <c r="K41" s="195"/>
      <c r="L41" s="195"/>
      <c r="M41" s="195"/>
      <c r="N41" s="195"/>
      <c r="O41" s="195"/>
      <c r="P41" s="195"/>
      <c r="Q41" s="195"/>
      <c r="R41" s="195"/>
      <c r="S41" s="195"/>
      <c r="T41" s="12">
        <v>26</v>
      </c>
      <c r="U41" s="195"/>
      <c r="V41" s="195"/>
      <c r="W41" s="195"/>
      <c r="X41" s="195"/>
      <c r="Y41" s="195"/>
      <c r="Z41" s="195"/>
      <c r="AA41" s="195"/>
      <c r="AB41" s="195"/>
      <c r="AC41" s="195"/>
      <c r="AD41" s="195"/>
      <c r="AE41" s="195"/>
      <c r="AF41" s="195"/>
      <c r="AG41" s="195"/>
      <c r="AH41" s="195"/>
      <c r="AI41" s="195"/>
      <c r="AJ41" s="195"/>
      <c r="AK41" s="195"/>
      <c r="AL41" s="12">
        <v>26</v>
      </c>
      <c r="AM41" s="195"/>
      <c r="AN41" s="195"/>
      <c r="AO41" s="195"/>
      <c r="AP41" s="195"/>
      <c r="AQ41" s="195"/>
      <c r="AR41" s="195"/>
      <c r="AS41" s="195"/>
      <c r="AT41" s="195"/>
      <c r="AU41" s="195"/>
      <c r="AV41" s="195"/>
      <c r="AW41" s="195"/>
      <c r="AX41" s="195"/>
      <c r="AY41" s="195"/>
      <c r="AZ41" s="195"/>
      <c r="BA41" s="195"/>
      <c r="BB41" s="195"/>
      <c r="BC41" s="195"/>
      <c r="BD41" s="197">
        <v>26</v>
      </c>
      <c r="BE41" s="195"/>
      <c r="BF41" s="195"/>
      <c r="BG41" s="195"/>
      <c r="BH41" s="195"/>
      <c r="BI41" s="195"/>
      <c r="BJ41" s="195"/>
      <c r="BK41" s="195"/>
      <c r="BL41" s="195"/>
      <c r="BM41" s="195"/>
      <c r="BN41" s="195"/>
      <c r="BO41" s="195"/>
      <c r="BP41" s="195"/>
      <c r="BQ41" s="195"/>
      <c r="BR41" s="195"/>
      <c r="BS41" s="195"/>
      <c r="BT41" s="195"/>
      <c r="BU41" s="195"/>
      <c r="BV41" s="12">
        <v>26</v>
      </c>
      <c r="BW41" s="195"/>
      <c r="BX41" s="195"/>
      <c r="BY41" s="195"/>
      <c r="BZ41" s="195"/>
      <c r="CA41" s="195"/>
      <c r="CB41" s="195"/>
      <c r="CC41" s="195"/>
      <c r="CD41" s="195"/>
      <c r="CE41" s="195"/>
      <c r="CF41" s="195"/>
      <c r="CG41" s="195"/>
      <c r="CH41" s="195"/>
      <c r="CI41" s="195"/>
      <c r="CJ41" s="195"/>
      <c r="CK41" s="195"/>
      <c r="CL41" s="195"/>
      <c r="CM41" s="195"/>
      <c r="CN41" s="12">
        <v>26</v>
      </c>
      <c r="CO41" s="195"/>
      <c r="CP41" s="195"/>
      <c r="CQ41" s="195"/>
      <c r="CR41" s="195"/>
      <c r="CS41" s="195"/>
      <c r="CT41" s="195"/>
      <c r="CU41" s="195"/>
      <c r="CV41" s="195"/>
      <c r="CW41" s="195"/>
      <c r="CX41" s="195"/>
      <c r="CY41" s="195"/>
      <c r="CZ41" s="195"/>
      <c r="DA41" s="195"/>
      <c r="DB41" s="195"/>
      <c r="DC41" s="195"/>
      <c r="DD41" s="195"/>
      <c r="DE41" s="195"/>
      <c r="DF41" s="12">
        <v>26</v>
      </c>
      <c r="DG41" s="195"/>
      <c r="DH41" s="195"/>
      <c r="DI41" s="195"/>
      <c r="DJ41" s="195"/>
      <c r="DK41" s="195"/>
      <c r="DL41" s="195"/>
      <c r="DM41" s="195"/>
      <c r="DN41" s="195"/>
      <c r="DO41" s="195"/>
      <c r="DP41" s="195"/>
      <c r="DQ41" s="195"/>
      <c r="DR41" s="195"/>
      <c r="DS41" s="195"/>
      <c r="DT41" s="195"/>
      <c r="DU41" s="195"/>
      <c r="DV41" s="195"/>
      <c r="DW41" s="195"/>
      <c r="DX41" s="12">
        <v>26</v>
      </c>
      <c r="DY41" s="195"/>
      <c r="DZ41" s="195"/>
      <c r="EA41" s="195"/>
      <c r="EB41" s="195"/>
      <c r="EC41" s="195"/>
      <c r="ED41" s="195"/>
      <c r="EE41" s="195"/>
      <c r="EF41" s="195"/>
      <c r="EG41" s="195"/>
      <c r="EH41" s="195"/>
      <c r="EI41" s="195"/>
      <c r="EJ41" s="195"/>
      <c r="EK41" s="195"/>
      <c r="EL41" s="195"/>
      <c r="EM41" s="195"/>
      <c r="EN41" s="195"/>
      <c r="EO41" s="195"/>
      <c r="EP41" s="12">
        <v>26</v>
      </c>
      <c r="EQ41" s="195"/>
      <c r="ER41" s="195"/>
      <c r="ES41" s="195"/>
      <c r="ET41" s="195"/>
      <c r="EU41" s="195"/>
      <c r="EV41" s="195"/>
      <c r="EW41" s="195"/>
      <c r="EX41" s="195"/>
      <c r="EY41" s="195"/>
      <c r="EZ41" s="195"/>
      <c r="FA41" s="195"/>
      <c r="FB41" s="195"/>
      <c r="FC41" s="195"/>
      <c r="FD41" s="195"/>
      <c r="FE41" s="195"/>
      <c r="FF41" s="195"/>
      <c r="FG41" s="195"/>
      <c r="FH41" s="12">
        <v>26</v>
      </c>
      <c r="FI41" s="195"/>
      <c r="FJ41" s="195"/>
      <c r="FK41" s="195"/>
      <c r="FL41" s="195"/>
      <c r="FM41" s="195"/>
      <c r="FN41" s="195"/>
      <c r="FO41" s="195"/>
      <c r="FP41" s="195"/>
      <c r="FQ41" s="195"/>
      <c r="FR41" s="195"/>
      <c r="FS41" s="195"/>
      <c r="FT41" s="195"/>
      <c r="FU41" s="195"/>
      <c r="FV41" s="195"/>
      <c r="FW41" s="195"/>
      <c r="FX41" s="195"/>
      <c r="FY41" s="195"/>
    </row>
    <row r="42" spans="2:181" x14ac:dyDescent="0.25">
      <c r="B42" s="12">
        <v>27</v>
      </c>
      <c r="C42" s="195"/>
      <c r="D42" s="195"/>
      <c r="E42" s="195"/>
      <c r="F42" s="195"/>
      <c r="G42" s="195"/>
      <c r="H42" s="195"/>
      <c r="I42" s="195"/>
      <c r="J42" s="195"/>
      <c r="K42" s="195"/>
      <c r="L42" s="195"/>
      <c r="M42" s="195"/>
      <c r="N42" s="195"/>
      <c r="O42" s="195"/>
      <c r="P42" s="195"/>
      <c r="Q42" s="195"/>
      <c r="R42" s="195"/>
      <c r="S42" s="195"/>
      <c r="T42" s="12">
        <v>27</v>
      </c>
      <c r="U42" s="195"/>
      <c r="V42" s="195"/>
      <c r="W42" s="195"/>
      <c r="X42" s="195"/>
      <c r="Y42" s="195"/>
      <c r="Z42" s="195"/>
      <c r="AA42" s="195"/>
      <c r="AB42" s="195"/>
      <c r="AC42" s="195"/>
      <c r="AD42" s="195"/>
      <c r="AE42" s="195"/>
      <c r="AF42" s="195"/>
      <c r="AG42" s="195"/>
      <c r="AH42" s="195"/>
      <c r="AI42" s="195"/>
      <c r="AJ42" s="195"/>
      <c r="AK42" s="195"/>
      <c r="AL42" s="12">
        <v>27</v>
      </c>
      <c r="AM42" s="195"/>
      <c r="AN42" s="195"/>
      <c r="AO42" s="195"/>
      <c r="AP42" s="195"/>
      <c r="AQ42" s="195"/>
      <c r="AR42" s="195"/>
      <c r="AS42" s="195"/>
      <c r="AT42" s="195"/>
      <c r="AU42" s="195"/>
      <c r="AV42" s="195"/>
      <c r="AW42" s="195"/>
      <c r="AX42" s="195"/>
      <c r="AY42" s="195"/>
      <c r="AZ42" s="195"/>
      <c r="BA42" s="195"/>
      <c r="BB42" s="195"/>
      <c r="BC42" s="195"/>
      <c r="BD42" s="12">
        <v>27</v>
      </c>
      <c r="BE42" s="195"/>
      <c r="BF42" s="195"/>
      <c r="BG42" s="195"/>
      <c r="BH42" s="195"/>
      <c r="BI42" s="195"/>
      <c r="BJ42" s="195"/>
      <c r="BK42" s="195"/>
      <c r="BL42" s="195"/>
      <c r="BM42" s="195"/>
      <c r="BN42" s="195"/>
      <c r="BO42" s="195"/>
      <c r="BP42" s="195"/>
      <c r="BQ42" s="195"/>
      <c r="BR42" s="195"/>
      <c r="BS42" s="195"/>
      <c r="BT42" s="195"/>
      <c r="BU42" s="195"/>
      <c r="BV42" s="12">
        <v>27</v>
      </c>
      <c r="BW42" s="195"/>
      <c r="BX42" s="195"/>
      <c r="BY42" s="195"/>
      <c r="BZ42" s="195"/>
      <c r="CA42" s="195"/>
      <c r="CB42" s="195"/>
      <c r="CC42" s="195"/>
      <c r="CD42" s="195"/>
      <c r="CE42" s="195"/>
      <c r="CF42" s="195"/>
      <c r="CG42" s="195"/>
      <c r="CH42" s="195"/>
      <c r="CI42" s="195"/>
      <c r="CJ42" s="195"/>
      <c r="CK42" s="195"/>
      <c r="CL42" s="195"/>
      <c r="CM42" s="195"/>
      <c r="CN42" s="12">
        <v>27</v>
      </c>
      <c r="CO42" s="195"/>
      <c r="CP42" s="195"/>
      <c r="CQ42" s="195"/>
      <c r="CR42" s="195"/>
      <c r="CS42" s="195"/>
      <c r="CT42" s="195"/>
      <c r="CU42" s="195"/>
      <c r="CV42" s="195"/>
      <c r="CW42" s="195"/>
      <c r="CX42" s="195"/>
      <c r="CY42" s="195"/>
      <c r="CZ42" s="195"/>
      <c r="DA42" s="195"/>
      <c r="DB42" s="195"/>
      <c r="DC42" s="195"/>
      <c r="DD42" s="195"/>
      <c r="DE42" s="195"/>
      <c r="DF42" s="12">
        <v>27</v>
      </c>
      <c r="DG42" s="195"/>
      <c r="DH42" s="195"/>
      <c r="DI42" s="195"/>
      <c r="DJ42" s="195"/>
      <c r="DK42" s="195"/>
      <c r="DL42" s="195"/>
      <c r="DM42" s="195"/>
      <c r="DN42" s="195"/>
      <c r="DO42" s="195"/>
      <c r="DP42" s="195"/>
      <c r="DQ42" s="195"/>
      <c r="DR42" s="195"/>
      <c r="DS42" s="195"/>
      <c r="DT42" s="195"/>
      <c r="DU42" s="195"/>
      <c r="DV42" s="195"/>
      <c r="DW42" s="195"/>
      <c r="DX42" s="12">
        <v>27</v>
      </c>
      <c r="DY42" s="195"/>
      <c r="DZ42" s="195"/>
      <c r="EA42" s="195"/>
      <c r="EB42" s="195"/>
      <c r="EC42" s="195"/>
      <c r="ED42" s="195"/>
      <c r="EE42" s="195"/>
      <c r="EF42" s="195"/>
      <c r="EG42" s="195"/>
      <c r="EH42" s="195"/>
      <c r="EI42" s="195"/>
      <c r="EJ42" s="195"/>
      <c r="EK42" s="195"/>
      <c r="EL42" s="195"/>
      <c r="EM42" s="195"/>
      <c r="EN42" s="195"/>
      <c r="EO42" s="195"/>
      <c r="EP42" s="12">
        <v>27</v>
      </c>
      <c r="EQ42" s="195"/>
      <c r="ER42" s="195"/>
      <c r="ES42" s="195"/>
      <c r="ET42" s="195"/>
      <c r="EU42" s="195"/>
      <c r="EV42" s="195"/>
      <c r="EW42" s="195"/>
      <c r="EX42" s="195"/>
      <c r="EY42" s="195"/>
      <c r="EZ42" s="195"/>
      <c r="FA42" s="195"/>
      <c r="FB42" s="195"/>
      <c r="FC42" s="195"/>
      <c r="FD42" s="195"/>
      <c r="FE42" s="195"/>
      <c r="FF42" s="195"/>
      <c r="FG42" s="195"/>
      <c r="FH42" s="12">
        <v>27</v>
      </c>
      <c r="FI42" s="195"/>
      <c r="FJ42" s="195"/>
      <c r="FK42" s="195"/>
      <c r="FL42" s="195"/>
      <c r="FM42" s="195"/>
      <c r="FN42" s="195"/>
      <c r="FO42" s="195"/>
      <c r="FP42" s="195"/>
      <c r="FQ42" s="195"/>
      <c r="FR42" s="195"/>
      <c r="FS42" s="195"/>
      <c r="FT42" s="195"/>
      <c r="FU42" s="195"/>
      <c r="FV42" s="195"/>
      <c r="FW42" s="195"/>
      <c r="FX42" s="195"/>
      <c r="FY42" s="195"/>
    </row>
    <row r="43" spans="2:181" x14ac:dyDescent="0.25">
      <c r="B43" s="12">
        <v>28</v>
      </c>
      <c r="C43" s="195"/>
      <c r="D43" s="195"/>
      <c r="E43" s="195"/>
      <c r="F43" s="195"/>
      <c r="G43" s="195"/>
      <c r="H43" s="195"/>
      <c r="I43" s="195"/>
      <c r="J43" s="195"/>
      <c r="K43" s="195"/>
      <c r="L43" s="195"/>
      <c r="M43" s="195"/>
      <c r="N43" s="195"/>
      <c r="O43" s="195"/>
      <c r="P43" s="195"/>
      <c r="Q43" s="195"/>
      <c r="R43" s="195"/>
      <c r="S43" s="195"/>
      <c r="T43" s="12">
        <v>28</v>
      </c>
      <c r="U43" s="195"/>
      <c r="V43" s="195"/>
      <c r="W43" s="195"/>
      <c r="X43" s="195"/>
      <c r="Y43" s="195"/>
      <c r="Z43" s="195"/>
      <c r="AA43" s="195"/>
      <c r="AB43" s="195"/>
      <c r="AC43" s="195"/>
      <c r="AD43" s="195"/>
      <c r="AE43" s="195"/>
      <c r="AF43" s="195"/>
      <c r="AG43" s="195"/>
      <c r="AH43" s="195"/>
      <c r="AI43" s="195"/>
      <c r="AJ43" s="195"/>
      <c r="AK43" s="195"/>
      <c r="AL43" s="12">
        <v>28</v>
      </c>
      <c r="AM43" s="195"/>
      <c r="AN43" s="195"/>
      <c r="AO43" s="195"/>
      <c r="AP43" s="195"/>
      <c r="AQ43" s="195"/>
      <c r="AR43" s="195"/>
      <c r="AS43" s="195"/>
      <c r="AT43" s="195"/>
      <c r="AU43" s="195"/>
      <c r="AV43" s="195"/>
      <c r="AW43" s="195"/>
      <c r="AX43" s="195"/>
      <c r="AY43" s="195"/>
      <c r="AZ43" s="195"/>
      <c r="BA43" s="195"/>
      <c r="BB43" s="195"/>
      <c r="BC43" s="195"/>
      <c r="BD43" s="197">
        <v>28</v>
      </c>
      <c r="BE43" s="195"/>
      <c r="BF43" s="195"/>
      <c r="BG43" s="195"/>
      <c r="BH43" s="195"/>
      <c r="BI43" s="195"/>
      <c r="BJ43" s="195"/>
      <c r="BK43" s="195"/>
      <c r="BL43" s="195"/>
      <c r="BM43" s="195"/>
      <c r="BN43" s="195"/>
      <c r="BO43" s="195"/>
      <c r="BP43" s="195"/>
      <c r="BQ43" s="195"/>
      <c r="BR43" s="195"/>
      <c r="BS43" s="195"/>
      <c r="BT43" s="195"/>
      <c r="BU43" s="195"/>
      <c r="BV43" s="12">
        <v>28</v>
      </c>
      <c r="BW43" s="195"/>
      <c r="BX43" s="195"/>
      <c r="BY43" s="195"/>
      <c r="BZ43" s="195"/>
      <c r="CA43" s="195"/>
      <c r="CB43" s="195"/>
      <c r="CC43" s="195"/>
      <c r="CD43" s="195"/>
      <c r="CE43" s="195"/>
      <c r="CF43" s="195"/>
      <c r="CG43" s="195"/>
      <c r="CH43" s="195"/>
      <c r="CI43" s="195"/>
      <c r="CJ43" s="195"/>
      <c r="CK43" s="195"/>
      <c r="CL43" s="195"/>
      <c r="CM43" s="195"/>
      <c r="CN43" s="12">
        <v>28</v>
      </c>
      <c r="CO43" s="195"/>
      <c r="CP43" s="195"/>
      <c r="CQ43" s="195"/>
      <c r="CR43" s="195"/>
      <c r="CS43" s="195"/>
      <c r="CT43" s="195"/>
      <c r="CU43" s="195"/>
      <c r="CV43" s="195"/>
      <c r="CW43" s="195"/>
      <c r="CX43" s="195"/>
      <c r="CY43" s="195"/>
      <c r="CZ43" s="195"/>
      <c r="DA43" s="195"/>
      <c r="DB43" s="195"/>
      <c r="DC43" s="195"/>
      <c r="DD43" s="195"/>
      <c r="DE43" s="195"/>
      <c r="DF43" s="12">
        <v>28</v>
      </c>
      <c r="DG43" s="195"/>
      <c r="DH43" s="195"/>
      <c r="DI43" s="195"/>
      <c r="DJ43" s="195"/>
      <c r="DK43" s="195"/>
      <c r="DL43" s="195"/>
      <c r="DM43" s="195"/>
      <c r="DN43" s="195"/>
      <c r="DO43" s="195"/>
      <c r="DP43" s="195"/>
      <c r="DQ43" s="195"/>
      <c r="DR43" s="195"/>
      <c r="DS43" s="195"/>
      <c r="DT43" s="195"/>
      <c r="DU43" s="195"/>
      <c r="DV43" s="195"/>
      <c r="DW43" s="195"/>
      <c r="DX43" s="12">
        <v>28</v>
      </c>
      <c r="DY43" s="195"/>
      <c r="DZ43" s="195"/>
      <c r="EA43" s="195"/>
      <c r="EB43" s="195"/>
      <c r="EC43" s="195"/>
      <c r="ED43" s="195"/>
      <c r="EE43" s="195"/>
      <c r="EF43" s="195"/>
      <c r="EG43" s="195"/>
      <c r="EH43" s="195"/>
      <c r="EI43" s="195"/>
      <c r="EJ43" s="195"/>
      <c r="EK43" s="195"/>
      <c r="EL43" s="195"/>
      <c r="EM43" s="195"/>
      <c r="EN43" s="195"/>
      <c r="EO43" s="195"/>
      <c r="EP43" s="12">
        <v>28</v>
      </c>
      <c r="EQ43" s="195"/>
      <c r="ER43" s="195"/>
      <c r="ES43" s="195"/>
      <c r="ET43" s="195"/>
      <c r="EU43" s="195"/>
      <c r="EV43" s="195"/>
      <c r="EW43" s="195"/>
      <c r="EX43" s="195"/>
      <c r="EY43" s="195"/>
      <c r="EZ43" s="195"/>
      <c r="FA43" s="195"/>
      <c r="FB43" s="195"/>
      <c r="FC43" s="195"/>
      <c r="FD43" s="195"/>
      <c r="FE43" s="195"/>
      <c r="FF43" s="195"/>
      <c r="FG43" s="195"/>
      <c r="FH43" s="12">
        <v>28</v>
      </c>
      <c r="FI43" s="195"/>
      <c r="FJ43" s="195"/>
      <c r="FK43" s="195"/>
      <c r="FL43" s="195"/>
      <c r="FM43" s="195"/>
      <c r="FN43" s="195"/>
      <c r="FO43" s="195"/>
      <c r="FP43" s="195"/>
      <c r="FQ43" s="195"/>
      <c r="FR43" s="195"/>
      <c r="FS43" s="195"/>
      <c r="FT43" s="195"/>
      <c r="FU43" s="195"/>
      <c r="FV43" s="195"/>
      <c r="FW43" s="195"/>
      <c r="FX43" s="195"/>
      <c r="FY43" s="195"/>
    </row>
    <row r="44" spans="2:181" x14ac:dyDescent="0.25">
      <c r="B44" s="12">
        <v>29</v>
      </c>
      <c r="C44" s="195"/>
      <c r="D44" s="195"/>
      <c r="E44" s="195"/>
      <c r="F44" s="195"/>
      <c r="G44" s="195"/>
      <c r="H44" s="195"/>
      <c r="I44" s="195"/>
      <c r="J44" s="195"/>
      <c r="K44" s="195"/>
      <c r="L44" s="195"/>
      <c r="M44" s="195"/>
      <c r="N44" s="195"/>
      <c r="O44" s="195"/>
      <c r="P44" s="195"/>
      <c r="Q44" s="195"/>
      <c r="R44" s="195"/>
      <c r="S44" s="195"/>
      <c r="T44" s="12">
        <v>29</v>
      </c>
      <c r="U44" s="195"/>
      <c r="V44" s="195"/>
      <c r="W44" s="195"/>
      <c r="X44" s="195"/>
      <c r="Y44" s="195"/>
      <c r="Z44" s="195"/>
      <c r="AA44" s="195"/>
      <c r="AB44" s="195"/>
      <c r="AC44" s="195"/>
      <c r="AD44" s="195"/>
      <c r="AE44" s="195"/>
      <c r="AF44" s="195"/>
      <c r="AG44" s="195"/>
      <c r="AH44" s="195"/>
      <c r="AI44" s="195"/>
      <c r="AJ44" s="195"/>
      <c r="AK44" s="195"/>
      <c r="AL44" s="12">
        <v>29</v>
      </c>
      <c r="AM44" s="195"/>
      <c r="AN44" s="195"/>
      <c r="AO44" s="195"/>
      <c r="AP44" s="195"/>
      <c r="AQ44" s="195"/>
      <c r="AR44" s="195"/>
      <c r="AS44" s="195"/>
      <c r="AT44" s="195"/>
      <c r="AU44" s="195"/>
      <c r="AV44" s="195"/>
      <c r="AW44" s="195"/>
      <c r="AX44" s="195"/>
      <c r="AY44" s="195"/>
      <c r="AZ44" s="195"/>
      <c r="BA44" s="195"/>
      <c r="BB44" s="195"/>
      <c r="BC44" s="195"/>
      <c r="BD44" s="12">
        <v>29</v>
      </c>
      <c r="BE44" s="195"/>
      <c r="BF44" s="195"/>
      <c r="BG44" s="195"/>
      <c r="BH44" s="195"/>
      <c r="BI44" s="195"/>
      <c r="BJ44" s="195"/>
      <c r="BK44" s="195"/>
      <c r="BL44" s="195"/>
      <c r="BM44" s="195"/>
      <c r="BN44" s="195"/>
      <c r="BO44" s="195"/>
      <c r="BP44" s="195"/>
      <c r="BQ44" s="195"/>
      <c r="BR44" s="195"/>
      <c r="BS44" s="195"/>
      <c r="BT44" s="195"/>
      <c r="BU44" s="195"/>
      <c r="BV44" s="12">
        <v>29</v>
      </c>
      <c r="BW44" s="195"/>
      <c r="BX44" s="195"/>
      <c r="BY44" s="195"/>
      <c r="BZ44" s="195"/>
      <c r="CA44" s="195"/>
      <c r="CB44" s="195"/>
      <c r="CC44" s="195"/>
      <c r="CD44" s="195"/>
      <c r="CE44" s="195"/>
      <c r="CF44" s="195"/>
      <c r="CG44" s="195"/>
      <c r="CH44" s="195"/>
      <c r="CI44" s="195"/>
      <c r="CJ44" s="195"/>
      <c r="CK44" s="195"/>
      <c r="CL44" s="195"/>
      <c r="CM44" s="195"/>
      <c r="CN44" s="12">
        <v>29</v>
      </c>
      <c r="CO44" s="195"/>
      <c r="CP44" s="195"/>
      <c r="CQ44" s="195"/>
      <c r="CR44" s="195"/>
      <c r="CS44" s="195"/>
      <c r="CT44" s="195"/>
      <c r="CU44" s="195"/>
      <c r="CV44" s="195"/>
      <c r="CW44" s="195"/>
      <c r="CX44" s="195"/>
      <c r="CY44" s="195"/>
      <c r="CZ44" s="195"/>
      <c r="DA44" s="195"/>
      <c r="DB44" s="195"/>
      <c r="DC44" s="195"/>
      <c r="DD44" s="195"/>
      <c r="DE44" s="195"/>
      <c r="DF44" s="12">
        <v>29</v>
      </c>
      <c r="DG44" s="195"/>
      <c r="DH44" s="195"/>
      <c r="DI44" s="195"/>
      <c r="DJ44" s="195"/>
      <c r="DK44" s="195"/>
      <c r="DL44" s="195"/>
      <c r="DM44" s="195"/>
      <c r="DN44" s="195"/>
      <c r="DO44" s="195"/>
      <c r="DP44" s="195"/>
      <c r="DQ44" s="195"/>
      <c r="DR44" s="195"/>
      <c r="DS44" s="195"/>
      <c r="DT44" s="195"/>
      <c r="DU44" s="195"/>
      <c r="DV44" s="195"/>
      <c r="DW44" s="195"/>
      <c r="DX44" s="12">
        <v>29</v>
      </c>
      <c r="DY44" s="195"/>
      <c r="DZ44" s="195"/>
      <c r="EA44" s="195"/>
      <c r="EB44" s="195"/>
      <c r="EC44" s="195"/>
      <c r="ED44" s="195"/>
      <c r="EE44" s="195"/>
      <c r="EF44" s="195"/>
      <c r="EG44" s="195"/>
      <c r="EH44" s="195"/>
      <c r="EI44" s="195"/>
      <c r="EJ44" s="195"/>
      <c r="EK44" s="195"/>
      <c r="EL44" s="195"/>
      <c r="EM44" s="195"/>
      <c r="EN44" s="195"/>
      <c r="EO44" s="195"/>
      <c r="EP44" s="12">
        <v>29</v>
      </c>
      <c r="EQ44" s="195"/>
      <c r="ER44" s="195"/>
      <c r="ES44" s="195"/>
      <c r="ET44" s="195"/>
      <c r="EU44" s="195"/>
      <c r="EV44" s="195"/>
      <c r="EW44" s="195"/>
      <c r="EX44" s="195"/>
      <c r="EY44" s="195"/>
      <c r="EZ44" s="195"/>
      <c r="FA44" s="195"/>
      <c r="FB44" s="195"/>
      <c r="FC44" s="195"/>
      <c r="FD44" s="195"/>
      <c r="FE44" s="195"/>
      <c r="FF44" s="195"/>
      <c r="FG44" s="195"/>
      <c r="FH44" s="12">
        <v>29</v>
      </c>
      <c r="FI44" s="195"/>
      <c r="FJ44" s="195"/>
      <c r="FK44" s="195"/>
      <c r="FL44" s="195"/>
      <c r="FM44" s="195"/>
      <c r="FN44" s="195"/>
      <c r="FO44" s="195"/>
      <c r="FP44" s="195"/>
      <c r="FQ44" s="195"/>
      <c r="FR44" s="195"/>
      <c r="FS44" s="195"/>
      <c r="FT44" s="195"/>
      <c r="FU44" s="195"/>
      <c r="FV44" s="195"/>
      <c r="FW44" s="195"/>
      <c r="FX44" s="195"/>
      <c r="FY44" s="195"/>
    </row>
    <row r="45" spans="2:181" x14ac:dyDescent="0.25">
      <c r="B45" s="12">
        <v>30</v>
      </c>
      <c r="C45" s="195"/>
      <c r="D45" s="195"/>
      <c r="E45" s="195"/>
      <c r="F45" s="195"/>
      <c r="G45" s="195"/>
      <c r="H45" s="195"/>
      <c r="I45" s="195"/>
      <c r="J45" s="195"/>
      <c r="K45" s="195"/>
      <c r="L45" s="195"/>
      <c r="M45" s="195"/>
      <c r="N45" s="195"/>
      <c r="O45" s="195"/>
      <c r="P45" s="195"/>
      <c r="Q45" s="195"/>
      <c r="R45" s="195"/>
      <c r="S45" s="195"/>
      <c r="T45" s="12">
        <v>30</v>
      </c>
      <c r="U45" s="195"/>
      <c r="V45" s="195"/>
      <c r="W45" s="195"/>
      <c r="X45" s="195"/>
      <c r="Y45" s="195"/>
      <c r="Z45" s="195"/>
      <c r="AA45" s="195"/>
      <c r="AB45" s="195"/>
      <c r="AC45" s="195"/>
      <c r="AD45" s="195"/>
      <c r="AE45" s="195"/>
      <c r="AF45" s="195"/>
      <c r="AG45" s="195"/>
      <c r="AH45" s="195"/>
      <c r="AI45" s="195"/>
      <c r="AJ45" s="195"/>
      <c r="AK45" s="195"/>
      <c r="AL45" s="12">
        <v>30</v>
      </c>
      <c r="AM45" s="195"/>
      <c r="AN45" s="195"/>
      <c r="AO45" s="195"/>
      <c r="AP45" s="195"/>
      <c r="AQ45" s="195"/>
      <c r="AR45" s="195"/>
      <c r="AS45" s="195"/>
      <c r="AT45" s="195"/>
      <c r="AU45" s="195"/>
      <c r="AV45" s="195"/>
      <c r="AW45" s="195"/>
      <c r="AX45" s="195"/>
      <c r="AY45" s="195"/>
      <c r="AZ45" s="195"/>
      <c r="BA45" s="195"/>
      <c r="BB45" s="195"/>
      <c r="BC45" s="195"/>
      <c r="BD45" s="197">
        <v>30</v>
      </c>
      <c r="BE45" s="195"/>
      <c r="BF45" s="195"/>
      <c r="BG45" s="195"/>
      <c r="BH45" s="195"/>
      <c r="BI45" s="195"/>
      <c r="BJ45" s="195"/>
      <c r="BK45" s="195"/>
      <c r="BL45" s="195"/>
      <c r="BM45" s="195"/>
      <c r="BN45" s="195"/>
      <c r="BO45" s="195"/>
      <c r="BP45" s="195"/>
      <c r="BQ45" s="195"/>
      <c r="BR45" s="195"/>
      <c r="BS45" s="195"/>
      <c r="BT45" s="195"/>
      <c r="BU45" s="195"/>
      <c r="BV45" s="12">
        <v>30</v>
      </c>
      <c r="BW45" s="195"/>
      <c r="BX45" s="195"/>
      <c r="BY45" s="195"/>
      <c r="BZ45" s="195"/>
      <c r="CA45" s="195"/>
      <c r="CB45" s="195"/>
      <c r="CC45" s="195"/>
      <c r="CD45" s="195"/>
      <c r="CE45" s="195"/>
      <c r="CF45" s="195"/>
      <c r="CG45" s="195"/>
      <c r="CH45" s="195"/>
      <c r="CI45" s="195"/>
      <c r="CJ45" s="195"/>
      <c r="CK45" s="195"/>
      <c r="CL45" s="195"/>
      <c r="CM45" s="195"/>
      <c r="CN45" s="12">
        <v>30</v>
      </c>
      <c r="CO45" s="195"/>
      <c r="CP45" s="195"/>
      <c r="CQ45" s="195"/>
      <c r="CR45" s="195"/>
      <c r="CS45" s="195"/>
      <c r="CT45" s="195"/>
      <c r="CU45" s="195"/>
      <c r="CV45" s="195"/>
      <c r="CW45" s="195"/>
      <c r="CX45" s="195"/>
      <c r="CY45" s="195"/>
      <c r="CZ45" s="195"/>
      <c r="DA45" s="195"/>
      <c r="DB45" s="195"/>
      <c r="DC45" s="195"/>
      <c r="DD45" s="195"/>
      <c r="DE45" s="195"/>
      <c r="DF45" s="12">
        <v>30</v>
      </c>
      <c r="DG45" s="195"/>
      <c r="DH45" s="195"/>
      <c r="DI45" s="195"/>
      <c r="DJ45" s="195"/>
      <c r="DK45" s="195"/>
      <c r="DL45" s="195"/>
      <c r="DM45" s="195"/>
      <c r="DN45" s="195"/>
      <c r="DO45" s="195"/>
      <c r="DP45" s="195"/>
      <c r="DQ45" s="195"/>
      <c r="DR45" s="195"/>
      <c r="DS45" s="195"/>
      <c r="DT45" s="195"/>
      <c r="DU45" s="195"/>
      <c r="DV45" s="195"/>
      <c r="DW45" s="195"/>
      <c r="DX45" s="12">
        <v>30</v>
      </c>
      <c r="DY45" s="195"/>
      <c r="DZ45" s="195"/>
      <c r="EA45" s="195"/>
      <c r="EB45" s="195"/>
      <c r="EC45" s="195"/>
      <c r="ED45" s="195"/>
      <c r="EE45" s="195"/>
      <c r="EF45" s="195"/>
      <c r="EG45" s="195"/>
      <c r="EH45" s="195"/>
      <c r="EI45" s="195"/>
      <c r="EJ45" s="195"/>
      <c r="EK45" s="195"/>
      <c r="EL45" s="195"/>
      <c r="EM45" s="195"/>
      <c r="EN45" s="195"/>
      <c r="EO45" s="195"/>
      <c r="EP45" s="12">
        <v>30</v>
      </c>
      <c r="EQ45" s="195"/>
      <c r="ER45" s="195"/>
      <c r="ES45" s="195"/>
      <c r="ET45" s="195"/>
      <c r="EU45" s="195"/>
      <c r="EV45" s="195"/>
      <c r="EW45" s="195"/>
      <c r="EX45" s="195"/>
      <c r="EY45" s="195"/>
      <c r="EZ45" s="195"/>
      <c r="FA45" s="195"/>
      <c r="FB45" s="195"/>
      <c r="FC45" s="195"/>
      <c r="FD45" s="195"/>
      <c r="FE45" s="195"/>
      <c r="FF45" s="195"/>
      <c r="FG45" s="195"/>
      <c r="FH45" s="12">
        <v>30</v>
      </c>
      <c r="FI45" s="195"/>
      <c r="FJ45" s="195"/>
      <c r="FK45" s="195"/>
      <c r="FL45" s="195"/>
      <c r="FM45" s="195"/>
      <c r="FN45" s="195"/>
      <c r="FO45" s="195"/>
      <c r="FP45" s="195"/>
      <c r="FQ45" s="195"/>
      <c r="FR45" s="195"/>
      <c r="FS45" s="195"/>
      <c r="FT45" s="195"/>
      <c r="FU45" s="195"/>
      <c r="FV45" s="195"/>
      <c r="FW45" s="195"/>
      <c r="FX45" s="195"/>
      <c r="FY45" s="195"/>
    </row>
    <row r="46" spans="2:181" hidden="1" x14ac:dyDescent="0.25">
      <c r="B46" s="191" t="s">
        <v>371</v>
      </c>
      <c r="C46" s="198"/>
      <c r="D46" s="198"/>
      <c r="E46" s="198"/>
      <c r="F46" s="198"/>
      <c r="G46" s="198"/>
      <c r="H46" s="198"/>
      <c r="I46" s="198"/>
      <c r="J46" s="198"/>
      <c r="K46" s="198"/>
      <c r="L46" s="198"/>
      <c r="M46" s="198"/>
      <c r="N46" s="198"/>
      <c r="O46" s="198"/>
      <c r="P46" s="198"/>
      <c r="Q46" s="198"/>
      <c r="R46" s="198"/>
      <c r="S46" s="198"/>
      <c r="T46" s="176"/>
      <c r="U46" s="198"/>
      <c r="V46" s="198"/>
      <c r="W46" s="198"/>
      <c r="X46" s="198"/>
      <c r="Y46" s="198"/>
      <c r="Z46" s="198"/>
      <c r="AA46" s="198"/>
      <c r="AB46" s="198"/>
      <c r="AC46" s="198"/>
      <c r="AD46" s="198"/>
      <c r="AE46" s="198"/>
      <c r="AF46" s="198"/>
      <c r="AG46" s="198"/>
      <c r="AH46" s="198"/>
      <c r="AI46" s="198"/>
      <c r="AJ46" s="198"/>
      <c r="AK46" s="198"/>
      <c r="AL46" s="176"/>
      <c r="AM46" s="198"/>
      <c r="AN46" s="198"/>
      <c r="AO46" s="198"/>
      <c r="AP46" s="198"/>
      <c r="AQ46" s="198"/>
      <c r="AR46" s="198"/>
      <c r="AS46" s="198"/>
      <c r="AT46" s="198"/>
      <c r="AU46" s="198"/>
      <c r="AV46" s="198"/>
      <c r="AW46" s="198"/>
      <c r="AX46" s="198"/>
      <c r="AY46" s="198"/>
      <c r="AZ46" s="198"/>
      <c r="BA46" s="198"/>
      <c r="BB46" s="198"/>
      <c r="BC46" s="198"/>
      <c r="BD46" s="176"/>
      <c r="BE46" s="198"/>
      <c r="BF46" s="198"/>
      <c r="BG46" s="198"/>
      <c r="BH46" s="198"/>
      <c r="BI46" s="198"/>
      <c r="BJ46" s="198"/>
      <c r="BK46" s="198"/>
      <c r="BL46" s="198"/>
      <c r="BM46" s="198"/>
      <c r="BN46" s="198"/>
      <c r="BO46" s="198"/>
      <c r="BP46" s="198"/>
      <c r="BQ46" s="198"/>
      <c r="BR46" s="198"/>
      <c r="BS46" s="198"/>
      <c r="BT46" s="198"/>
      <c r="BU46" s="198"/>
      <c r="BV46" s="176"/>
      <c r="BW46" s="198"/>
      <c r="BX46" s="198"/>
      <c r="BY46" s="198"/>
      <c r="BZ46" s="198"/>
      <c r="CA46" s="198"/>
      <c r="CB46" s="198"/>
      <c r="CC46" s="198"/>
      <c r="CD46" s="198"/>
      <c r="CE46" s="198"/>
      <c r="CF46" s="198"/>
      <c r="CG46" s="198"/>
      <c r="CH46" s="198"/>
      <c r="CI46" s="198"/>
      <c r="CJ46" s="198"/>
      <c r="CK46" s="198"/>
      <c r="CL46" s="198"/>
      <c r="CM46" s="198"/>
      <c r="CN46" s="176"/>
      <c r="CO46" s="198"/>
      <c r="CP46" s="198"/>
      <c r="CQ46" s="198"/>
      <c r="CR46" s="198"/>
      <c r="CS46" s="198"/>
      <c r="CT46" s="198"/>
      <c r="CU46" s="198"/>
      <c r="CV46" s="198"/>
      <c r="CW46" s="198"/>
      <c r="CX46" s="198"/>
      <c r="CY46" s="198"/>
      <c r="CZ46" s="198"/>
      <c r="DA46" s="198"/>
      <c r="DB46" s="198"/>
      <c r="DC46" s="198"/>
      <c r="DD46" s="198"/>
      <c r="DE46" s="198"/>
      <c r="DF46" s="176"/>
      <c r="DG46" s="198"/>
      <c r="DH46" s="198"/>
      <c r="DI46" s="198"/>
      <c r="DJ46" s="198"/>
      <c r="DK46" s="198"/>
      <c r="DL46" s="198"/>
      <c r="DM46" s="198"/>
      <c r="DN46" s="198"/>
      <c r="DO46" s="198"/>
      <c r="DP46" s="198"/>
      <c r="DQ46" s="198"/>
      <c r="DR46" s="198"/>
      <c r="DS46" s="198"/>
      <c r="DT46" s="198"/>
      <c r="DU46" s="198"/>
      <c r="DV46" s="198"/>
      <c r="DW46" s="198"/>
      <c r="DX46" s="176"/>
      <c r="DY46" s="198"/>
      <c r="DZ46" s="198"/>
      <c r="EA46" s="198"/>
      <c r="EB46" s="198"/>
      <c r="EC46" s="198"/>
      <c r="ED46" s="198"/>
      <c r="EE46" s="198"/>
      <c r="EF46" s="198"/>
      <c r="EG46" s="198"/>
      <c r="EH46" s="198"/>
      <c r="EI46" s="198"/>
      <c r="EJ46" s="198"/>
      <c r="EK46" s="198"/>
      <c r="EL46" s="198"/>
      <c r="EM46" s="198"/>
      <c r="EN46" s="198"/>
      <c r="EO46" s="198"/>
      <c r="EP46" s="176"/>
      <c r="EQ46" s="198"/>
      <c r="ER46" s="198"/>
      <c r="ES46" s="198"/>
      <c r="ET46" s="198"/>
      <c r="EU46" s="198"/>
      <c r="EV46" s="198"/>
      <c r="EW46" s="198"/>
      <c r="EX46" s="198"/>
      <c r="EY46" s="198"/>
      <c r="EZ46" s="198"/>
      <c r="FA46" s="198"/>
      <c r="FB46" s="198"/>
      <c r="FC46" s="198"/>
      <c r="FD46" s="198"/>
      <c r="FE46" s="198"/>
      <c r="FF46" s="198"/>
      <c r="FG46" s="198"/>
      <c r="FH46" s="176"/>
      <c r="FI46" s="198"/>
      <c r="FJ46" s="198"/>
      <c r="FK46" s="198"/>
      <c r="FL46" s="198"/>
      <c r="FM46" s="198"/>
      <c r="FN46" s="198"/>
      <c r="FO46" s="198"/>
      <c r="FP46" s="198"/>
      <c r="FQ46" s="198"/>
      <c r="FR46" s="198"/>
      <c r="FS46" s="198"/>
      <c r="FT46" s="198"/>
      <c r="FU46" s="198"/>
      <c r="FV46" s="198"/>
      <c r="FW46" s="198"/>
      <c r="FX46" s="198"/>
      <c r="FY46" s="198"/>
    </row>
    <row r="47" spans="2:181" x14ac:dyDescent="0.25">
      <c r="B47" s="977" t="s">
        <v>543</v>
      </c>
      <c r="C47" s="977"/>
      <c r="D47" s="977"/>
      <c r="E47" s="977"/>
      <c r="F47" s="977"/>
      <c r="G47" s="199">
        <f>COUNTA(C16:S45)</f>
        <v>0</v>
      </c>
      <c r="H47" s="198" t="s">
        <v>544</v>
      </c>
      <c r="I47" s="198"/>
      <c r="J47" s="198"/>
      <c r="K47" s="198"/>
      <c r="L47" s="198"/>
      <c r="M47" s="200"/>
      <c r="N47" s="201"/>
      <c r="O47" s="198"/>
      <c r="P47" s="198"/>
      <c r="Q47" s="198"/>
      <c r="R47" s="198"/>
      <c r="S47" s="198"/>
      <c r="T47" s="977" t="s">
        <v>543</v>
      </c>
      <c r="U47" s="977"/>
      <c r="V47" s="977"/>
      <c r="W47" s="977"/>
      <c r="X47" s="977"/>
      <c r="Y47" s="199">
        <f>COUNTA(U16:AK45)</f>
        <v>0</v>
      </c>
      <c r="Z47" s="198" t="s">
        <v>544</v>
      </c>
      <c r="AA47" s="198"/>
      <c r="AB47" s="198"/>
      <c r="AC47" s="198"/>
      <c r="AD47" s="198"/>
      <c r="AE47" s="198"/>
      <c r="AF47" s="198"/>
      <c r="AG47" s="198"/>
      <c r="AH47" s="198"/>
      <c r="AI47" s="198"/>
      <c r="AJ47" s="198"/>
      <c r="AK47" s="198"/>
      <c r="AL47" s="977" t="s">
        <v>543</v>
      </c>
      <c r="AM47" s="977"/>
      <c r="AN47" s="977"/>
      <c r="AO47" s="977"/>
      <c r="AP47" s="977"/>
      <c r="AQ47" s="199">
        <f>COUNTA(AM16:BC45)</f>
        <v>0</v>
      </c>
      <c r="AR47" s="198" t="s">
        <v>544</v>
      </c>
      <c r="AS47" s="198"/>
      <c r="AT47" s="198"/>
      <c r="AU47" s="198"/>
      <c r="AV47" s="198"/>
      <c r="AW47" s="198"/>
      <c r="AX47" s="198"/>
      <c r="AY47" s="198"/>
      <c r="AZ47" s="198"/>
      <c r="BA47" s="198"/>
      <c r="BB47" s="198"/>
      <c r="BC47" s="198"/>
      <c r="BD47" s="977" t="s">
        <v>543</v>
      </c>
      <c r="BE47" s="977"/>
      <c r="BF47" s="977"/>
      <c r="BG47" s="977"/>
      <c r="BH47" s="977"/>
      <c r="BI47" s="199">
        <f>COUNTA(BE16:BU45)</f>
        <v>0</v>
      </c>
      <c r="BJ47" s="198" t="s">
        <v>544</v>
      </c>
      <c r="BK47" s="198"/>
      <c r="BL47" s="198"/>
      <c r="BM47" s="198"/>
      <c r="BN47" s="198"/>
      <c r="BO47" s="198"/>
      <c r="BP47" s="198"/>
      <c r="BQ47" s="198"/>
      <c r="BR47" s="198"/>
      <c r="BS47" s="198"/>
      <c r="BT47" s="198"/>
      <c r="BU47" s="198"/>
      <c r="BV47" s="977" t="s">
        <v>543</v>
      </c>
      <c r="BW47" s="977"/>
      <c r="BX47" s="977"/>
      <c r="BY47" s="977"/>
      <c r="BZ47" s="977"/>
      <c r="CA47" s="199">
        <f>COUNTA(BW16:CM45)</f>
        <v>0</v>
      </c>
      <c r="CB47" s="198" t="s">
        <v>544</v>
      </c>
      <c r="CC47" s="198"/>
      <c r="CD47" s="198"/>
      <c r="CE47" s="198"/>
      <c r="CF47" s="198"/>
      <c r="CG47" s="198"/>
      <c r="CH47" s="198"/>
      <c r="CI47" s="198"/>
      <c r="CJ47" s="198"/>
      <c r="CK47" s="198"/>
      <c r="CL47" s="198"/>
      <c r="CM47" s="198"/>
      <c r="CN47" s="977" t="s">
        <v>543</v>
      </c>
      <c r="CO47" s="977"/>
      <c r="CP47" s="977"/>
      <c r="CQ47" s="977"/>
      <c r="CR47" s="977"/>
      <c r="CS47" s="199">
        <f>COUNTA(CO16:DE45)</f>
        <v>0</v>
      </c>
      <c r="CT47" s="198" t="s">
        <v>544</v>
      </c>
      <c r="CU47" s="198"/>
      <c r="CV47" s="198"/>
      <c r="CW47" s="198"/>
      <c r="CX47" s="198"/>
      <c r="CY47" s="198"/>
      <c r="CZ47" s="198"/>
      <c r="DA47" s="198"/>
      <c r="DB47" s="198"/>
      <c r="DC47" s="198"/>
      <c r="DD47" s="198"/>
      <c r="DE47" s="198"/>
      <c r="DF47" s="977" t="s">
        <v>543</v>
      </c>
      <c r="DG47" s="977"/>
      <c r="DH47" s="977"/>
      <c r="DI47" s="977"/>
      <c r="DJ47" s="977"/>
      <c r="DK47" s="199">
        <f>COUNTA(DG16:DW45)</f>
        <v>0</v>
      </c>
      <c r="DL47" s="198" t="s">
        <v>544</v>
      </c>
      <c r="DM47" s="198"/>
      <c r="DN47" s="198"/>
      <c r="DO47" s="198"/>
      <c r="DP47" s="198"/>
      <c r="DQ47" s="198"/>
      <c r="DR47" s="198"/>
      <c r="DS47" s="198"/>
      <c r="DT47" s="198"/>
      <c r="DU47" s="198"/>
      <c r="DV47" s="198"/>
      <c r="DW47" s="198"/>
      <c r="DX47" s="977" t="s">
        <v>543</v>
      </c>
      <c r="DY47" s="977"/>
      <c r="DZ47" s="977"/>
      <c r="EA47" s="977"/>
      <c r="EB47" s="977"/>
      <c r="EC47" s="199">
        <f>COUNTA(DY16:EO45)</f>
        <v>0</v>
      </c>
      <c r="ED47" s="198" t="s">
        <v>544</v>
      </c>
      <c r="EE47" s="198"/>
      <c r="EF47" s="198"/>
      <c r="EG47" s="198"/>
      <c r="EH47" s="198"/>
      <c r="EI47" s="198"/>
      <c r="EJ47" s="198"/>
      <c r="EK47" s="198"/>
      <c r="EL47" s="198"/>
      <c r="EM47" s="198"/>
      <c r="EN47" s="198"/>
      <c r="EO47" s="198"/>
      <c r="EP47" s="977" t="s">
        <v>543</v>
      </c>
      <c r="EQ47" s="977"/>
      <c r="ER47" s="977"/>
      <c r="ES47" s="977"/>
      <c r="ET47" s="977"/>
      <c r="EU47" s="199">
        <f>COUNTA(EQ16:FG45)</f>
        <v>0</v>
      </c>
      <c r="EV47" s="198" t="s">
        <v>544</v>
      </c>
      <c r="EW47" s="198"/>
      <c r="EX47" s="198"/>
      <c r="EY47" s="198"/>
      <c r="EZ47" s="198"/>
      <c r="FA47" s="198"/>
      <c r="FB47" s="198"/>
      <c r="FC47" s="198"/>
      <c r="FD47" s="198"/>
      <c r="FE47" s="198"/>
      <c r="FF47" s="198"/>
      <c r="FG47" s="198"/>
      <c r="FH47" s="977" t="s">
        <v>543</v>
      </c>
      <c r="FI47" s="977"/>
      <c r="FJ47" s="977"/>
      <c r="FK47" s="977"/>
      <c r="FL47" s="977"/>
      <c r="FM47" s="199">
        <f>COUNTA(FI16:FY45)</f>
        <v>0</v>
      </c>
      <c r="FN47" s="198" t="s">
        <v>544</v>
      </c>
      <c r="FO47" s="198"/>
      <c r="FP47" s="198"/>
      <c r="FQ47" s="198"/>
      <c r="FR47" s="198"/>
      <c r="FS47" s="198"/>
      <c r="FT47" s="198"/>
      <c r="FU47" s="198"/>
      <c r="FV47" s="198"/>
      <c r="FW47" s="198"/>
      <c r="FX47" s="198"/>
      <c r="FY47" s="198"/>
    </row>
    <row r="48" spans="2:181" hidden="1" x14ac:dyDescent="0.25">
      <c r="B48" s="664" t="s">
        <v>546</v>
      </c>
      <c r="C48" s="664"/>
      <c r="D48" s="664"/>
      <c r="E48" s="664"/>
      <c r="F48" s="674"/>
      <c r="G48" s="674"/>
      <c r="H48" s="188" t="s">
        <v>547</v>
      </c>
      <c r="I48" s="188"/>
      <c r="M48" s="203" t="s">
        <v>548</v>
      </c>
      <c r="N48" s="204">
        <f>MIN(C16:S45,U16:AK45)</f>
        <v>0</v>
      </c>
    </row>
    <row r="49" spans="2:181" x14ac:dyDescent="0.25">
      <c r="B49" s="205"/>
      <c r="C49" s="205"/>
      <c r="D49" s="205"/>
      <c r="E49" s="205"/>
      <c r="F49" s="205"/>
      <c r="G49" s="205"/>
      <c r="H49" s="205"/>
      <c r="I49" s="205"/>
      <c r="J49" s="205"/>
      <c r="K49" s="205"/>
      <c r="L49" s="205"/>
      <c r="M49" s="205"/>
      <c r="N49" s="198"/>
      <c r="O49" s="198"/>
      <c r="P49" s="205"/>
      <c r="Q49" s="198"/>
      <c r="R49" s="198"/>
      <c r="S49" s="198"/>
      <c r="T49" s="205"/>
      <c r="U49" s="205"/>
      <c r="V49" s="205"/>
      <c r="W49" s="205"/>
      <c r="X49" s="205"/>
      <c r="Y49" s="205"/>
      <c r="Z49" s="205"/>
      <c r="AA49" s="205"/>
      <c r="AB49" s="205"/>
      <c r="AC49" s="205"/>
      <c r="AD49" s="205"/>
      <c r="AE49" s="205"/>
      <c r="AF49" s="198"/>
      <c r="AG49" s="198"/>
      <c r="AH49" s="205"/>
      <c r="AI49" s="198"/>
      <c r="AJ49" s="198"/>
      <c r="AK49" s="198"/>
      <c r="AL49" s="205"/>
      <c r="AM49" s="205"/>
      <c r="AN49" s="205"/>
      <c r="AO49" s="205"/>
      <c r="AP49" s="205"/>
      <c r="AQ49" s="205"/>
      <c r="AR49" s="205"/>
      <c r="AS49" s="205"/>
      <c r="AT49" s="205"/>
      <c r="AU49" s="205"/>
      <c r="AV49" s="205"/>
      <c r="AW49" s="205"/>
      <c r="AX49" s="198"/>
      <c r="AY49" s="198"/>
      <c r="AZ49" s="205"/>
      <c r="BA49" s="198"/>
      <c r="BB49" s="198"/>
      <c r="BC49" s="198"/>
      <c r="BD49" s="205"/>
      <c r="BE49" s="205"/>
      <c r="BF49" s="205"/>
      <c r="BG49" s="205"/>
      <c r="BH49" s="205"/>
      <c r="BI49" s="205"/>
      <c r="BJ49" s="205"/>
      <c r="BK49" s="205"/>
      <c r="BL49" s="205"/>
      <c r="BM49" s="205"/>
      <c r="BN49" s="205"/>
      <c r="BO49" s="205"/>
      <c r="BP49" s="198"/>
      <c r="BQ49" s="198"/>
      <c r="BR49" s="205"/>
      <c r="BS49" s="198"/>
      <c r="BT49" s="198"/>
      <c r="BU49" s="198"/>
      <c r="BV49" s="205"/>
      <c r="BW49" s="205"/>
      <c r="BX49" s="205"/>
      <c r="BY49" s="205"/>
      <c r="BZ49" s="205"/>
      <c r="CA49" s="205"/>
      <c r="CB49" s="205"/>
      <c r="CC49" s="205"/>
      <c r="CD49" s="205"/>
      <c r="CE49" s="205"/>
      <c r="CF49" s="205"/>
      <c r="CG49" s="205"/>
      <c r="CH49" s="198"/>
      <c r="CI49" s="198"/>
      <c r="CJ49" s="205"/>
      <c r="CK49" s="198"/>
      <c r="CL49" s="198"/>
      <c r="CM49" s="198"/>
      <c r="CN49" s="205"/>
      <c r="CO49" s="205"/>
      <c r="CP49" s="205"/>
      <c r="CQ49" s="205"/>
      <c r="CR49" s="205"/>
      <c r="CS49" s="205"/>
      <c r="CT49" s="205"/>
      <c r="CU49" s="205"/>
      <c r="CV49" s="205"/>
      <c r="CW49" s="205"/>
      <c r="CX49" s="205"/>
      <c r="CY49" s="205"/>
      <c r="CZ49" s="198"/>
      <c r="DA49" s="198"/>
      <c r="DB49" s="205"/>
      <c r="DC49" s="198"/>
      <c r="DD49" s="198"/>
      <c r="DE49" s="198"/>
      <c r="DF49" s="205"/>
      <c r="DG49" s="205"/>
      <c r="DH49" s="205"/>
      <c r="DI49" s="205"/>
      <c r="DJ49" s="205"/>
      <c r="DK49" s="205"/>
      <c r="DL49" s="205"/>
      <c r="DM49" s="205"/>
      <c r="DN49" s="205"/>
      <c r="DO49" s="205"/>
      <c r="DP49" s="205"/>
      <c r="DQ49" s="205"/>
      <c r="DR49" s="198"/>
      <c r="DS49" s="198"/>
      <c r="DT49" s="205"/>
      <c r="DU49" s="198"/>
      <c r="DV49" s="198"/>
      <c r="DW49" s="198"/>
      <c r="DX49" s="205"/>
      <c r="DY49" s="205"/>
      <c r="DZ49" s="205"/>
      <c r="EA49" s="205"/>
      <c r="EB49" s="205"/>
      <c r="EC49" s="205"/>
      <c r="ED49" s="205"/>
      <c r="EE49" s="205"/>
      <c r="EF49" s="205"/>
      <c r="EG49" s="205"/>
      <c r="EH49" s="205"/>
      <c r="EI49" s="205"/>
      <c r="EJ49" s="198"/>
      <c r="EK49" s="198"/>
      <c r="EL49" s="205"/>
      <c r="EM49" s="198"/>
      <c r="EN49" s="198"/>
      <c r="EO49" s="198"/>
      <c r="EP49" s="205"/>
      <c r="EQ49" s="205"/>
      <c r="ER49" s="205"/>
      <c r="ES49" s="205"/>
      <c r="ET49" s="205"/>
      <c r="EU49" s="205"/>
      <c r="EV49" s="205"/>
      <c r="EW49" s="205"/>
      <c r="EX49" s="205"/>
      <c r="EY49" s="205"/>
      <c r="EZ49" s="205"/>
      <c r="FA49" s="205"/>
      <c r="FB49" s="198"/>
      <c r="FC49" s="198"/>
      <c r="FD49" s="205"/>
      <c r="FE49" s="198"/>
      <c r="FF49" s="198"/>
      <c r="FG49" s="198"/>
      <c r="FH49" s="205"/>
      <c r="FI49" s="205"/>
      <c r="FJ49" s="205"/>
      <c r="FK49" s="205"/>
      <c r="FL49" s="205"/>
      <c r="FM49" s="205"/>
      <c r="FN49" s="205"/>
      <c r="FO49" s="205"/>
      <c r="FP49" s="205"/>
      <c r="FQ49" s="205"/>
      <c r="FR49" s="205"/>
      <c r="FS49" s="205"/>
      <c r="FT49" s="198"/>
      <c r="FU49" s="198"/>
      <c r="FV49" s="205"/>
      <c r="FW49" s="198"/>
      <c r="FX49" s="198"/>
      <c r="FY49" s="198"/>
    </row>
    <row r="50" spans="2:181" x14ac:dyDescent="0.25">
      <c r="B50" s="205" t="s">
        <v>635</v>
      </c>
      <c r="C50" s="205"/>
      <c r="D50" s="205"/>
      <c r="E50" s="205"/>
      <c r="F50" s="205"/>
      <c r="G50" s="205"/>
      <c r="H50" s="990" t="e">
        <f>#REF!</f>
        <v>#REF!</v>
      </c>
      <c r="I50" s="990"/>
      <c r="J50" s="990"/>
      <c r="K50" s="990"/>
      <c r="L50" s="990"/>
      <c r="M50" s="198"/>
      <c r="N50" s="198"/>
      <c r="O50" s="198"/>
      <c r="P50" s="198"/>
      <c r="Q50" s="198"/>
      <c r="R50" s="198"/>
      <c r="S50" s="198"/>
      <c r="T50" s="205"/>
      <c r="U50" s="205"/>
      <c r="V50" s="205"/>
      <c r="W50" s="205"/>
      <c r="X50" s="205"/>
      <c r="Y50" s="205"/>
      <c r="Z50" s="205"/>
      <c r="AA50" s="198"/>
      <c r="AB50" s="198"/>
      <c r="AC50" s="205"/>
      <c r="AD50" s="198"/>
      <c r="AE50" s="198"/>
      <c r="AF50" s="198"/>
      <c r="AG50" s="198"/>
      <c r="AH50" s="198"/>
      <c r="AI50" s="198"/>
      <c r="AJ50" s="198"/>
      <c r="AK50" s="198"/>
      <c r="AL50" s="205"/>
      <c r="AM50" s="205"/>
      <c r="AN50" s="205"/>
      <c r="AO50" s="205"/>
      <c r="AP50" s="205"/>
      <c r="AQ50" s="205"/>
      <c r="AR50" s="205"/>
      <c r="AS50" s="198"/>
      <c r="AT50" s="198"/>
      <c r="AU50" s="205"/>
      <c r="AV50" s="198"/>
      <c r="AW50" s="198"/>
      <c r="AX50" s="198"/>
      <c r="AY50" s="198"/>
      <c r="AZ50" s="198"/>
      <c r="BA50" s="198"/>
      <c r="BB50" s="198"/>
      <c r="BC50" s="198"/>
      <c r="BD50" s="205"/>
      <c r="BE50" s="205"/>
      <c r="BF50" s="205"/>
      <c r="BG50" s="205"/>
      <c r="BH50" s="205"/>
      <c r="BI50" s="205"/>
      <c r="BJ50" s="205"/>
      <c r="BK50" s="198"/>
      <c r="BL50" s="198"/>
      <c r="BM50" s="205"/>
      <c r="BN50" s="198"/>
      <c r="BO50" s="198"/>
      <c r="BP50" s="198"/>
      <c r="BQ50" s="198"/>
      <c r="BR50" s="198"/>
      <c r="BS50" s="198"/>
      <c r="BT50" s="198"/>
      <c r="BU50" s="198"/>
      <c r="BV50" s="205"/>
      <c r="BW50" s="205"/>
      <c r="BX50" s="205"/>
      <c r="BY50" s="205"/>
      <c r="BZ50" s="205"/>
      <c r="CA50" s="205"/>
      <c r="CB50" s="205"/>
      <c r="CC50" s="198"/>
      <c r="CD50" s="198"/>
      <c r="CE50" s="205"/>
      <c r="CF50" s="198"/>
      <c r="CG50" s="198"/>
      <c r="CH50" s="198"/>
      <c r="CI50" s="198"/>
      <c r="CJ50" s="198"/>
      <c r="CK50" s="198"/>
      <c r="CL50" s="198"/>
      <c r="CM50" s="198"/>
      <c r="CN50" s="205"/>
      <c r="CO50" s="205"/>
      <c r="CP50" s="205"/>
      <c r="CQ50" s="205"/>
      <c r="CR50" s="205"/>
      <c r="CS50" s="205"/>
      <c r="CT50" s="205"/>
      <c r="CU50" s="198"/>
      <c r="CV50" s="198"/>
      <c r="CW50" s="205"/>
      <c r="CX50" s="198"/>
      <c r="CY50" s="198"/>
      <c r="CZ50" s="198"/>
      <c r="DA50" s="198"/>
      <c r="DB50" s="198"/>
      <c r="DC50" s="198"/>
      <c r="DD50" s="198"/>
      <c r="DE50" s="198"/>
      <c r="DF50" s="205"/>
      <c r="DG50" s="205"/>
      <c r="DH50" s="205"/>
      <c r="DI50" s="205"/>
      <c r="DJ50" s="205"/>
      <c r="DK50" s="205"/>
      <c r="DL50" s="205"/>
      <c r="DM50" s="198"/>
      <c r="DN50" s="198"/>
      <c r="DO50" s="205"/>
      <c r="DP50" s="198"/>
      <c r="DQ50" s="198"/>
      <c r="DR50" s="198"/>
      <c r="DS50" s="198"/>
      <c r="DT50" s="198"/>
      <c r="DU50" s="198"/>
      <c r="DV50" s="198"/>
      <c r="DW50" s="198"/>
      <c r="DX50" s="205"/>
      <c r="DY50" s="205"/>
      <c r="DZ50" s="205"/>
      <c r="EA50" s="205"/>
      <c r="EB50" s="205"/>
      <c r="EC50" s="205"/>
      <c r="ED50" s="205"/>
      <c r="EE50" s="198"/>
      <c r="EF50" s="198"/>
      <c r="EG50" s="205"/>
      <c r="EH50" s="198"/>
      <c r="EI50" s="198"/>
      <c r="EJ50" s="198"/>
      <c r="EK50" s="198"/>
      <c r="EL50" s="198"/>
      <c r="EM50" s="198"/>
      <c r="EN50" s="198"/>
      <c r="EO50" s="198"/>
      <c r="EP50" s="205"/>
      <c r="EQ50" s="205"/>
      <c r="ER50" s="205"/>
      <c r="ES50" s="205"/>
      <c r="ET50" s="205"/>
      <c r="EU50" s="205"/>
      <c r="EV50" s="205"/>
      <c r="EW50" s="198"/>
      <c r="EX50" s="198"/>
      <c r="EY50" s="205"/>
      <c r="EZ50" s="198"/>
      <c r="FA50" s="198"/>
      <c r="FB50" s="198"/>
      <c r="FC50" s="198"/>
      <c r="FD50" s="198"/>
      <c r="FE50" s="198"/>
      <c r="FF50" s="198"/>
      <c r="FG50" s="198"/>
      <c r="FH50" s="205"/>
      <c r="FI50" s="205"/>
      <c r="FJ50" s="205"/>
      <c r="FK50" s="205"/>
      <c r="FL50" s="205"/>
      <c r="FM50" s="205"/>
      <c r="FN50" s="205"/>
      <c r="FO50" s="198"/>
      <c r="FP50" s="198"/>
      <c r="FQ50" s="205"/>
      <c r="FR50" s="198"/>
      <c r="FS50" s="198"/>
      <c r="FT50" s="198"/>
      <c r="FU50" s="198"/>
      <c r="FV50" s="198"/>
      <c r="FW50" s="198"/>
      <c r="FX50" s="198"/>
      <c r="FY50" s="198"/>
    </row>
    <row r="51" spans="2:181" x14ac:dyDescent="0.25">
      <c r="B51" s="206"/>
      <c r="C51" s="206"/>
      <c r="D51" s="206"/>
      <c r="E51" s="206"/>
      <c r="F51" s="206"/>
      <c r="G51" s="206"/>
      <c r="H51" s="206"/>
      <c r="I51" s="206"/>
      <c r="J51" s="206"/>
      <c r="K51" s="206"/>
      <c r="L51" s="206"/>
      <c r="M51" s="206"/>
      <c r="N51" s="206"/>
      <c r="O51" s="206"/>
      <c r="P51" s="206"/>
      <c r="Q51" s="206"/>
      <c r="R51" s="206"/>
      <c r="S51" s="206"/>
      <c r="T51" s="206"/>
      <c r="U51" s="206"/>
      <c r="V51" s="206"/>
      <c r="W51" s="206"/>
      <c r="X51" s="206"/>
      <c r="Y51" s="206"/>
      <c r="Z51" s="206"/>
      <c r="AA51" s="206"/>
      <c r="AB51" s="206"/>
      <c r="AC51" s="206"/>
      <c r="AD51" s="206"/>
      <c r="AE51" s="206"/>
      <c r="AF51" s="206"/>
      <c r="AG51" s="206"/>
      <c r="AH51" s="206"/>
      <c r="AI51" s="206"/>
      <c r="AJ51" s="206"/>
      <c r="AK51" s="206"/>
      <c r="AL51" s="206"/>
      <c r="AM51" s="206"/>
      <c r="AN51" s="206"/>
      <c r="AO51" s="206"/>
      <c r="AP51" s="206"/>
      <c r="AQ51" s="206"/>
      <c r="AR51" s="206"/>
      <c r="AS51" s="206"/>
      <c r="AT51" s="206"/>
      <c r="AU51" s="206"/>
      <c r="AV51" s="206"/>
      <c r="AW51" s="206"/>
      <c r="AX51" s="206"/>
      <c r="AY51" s="206"/>
      <c r="AZ51" s="206"/>
      <c r="BA51" s="206"/>
      <c r="BB51" s="206"/>
      <c r="BC51" s="206"/>
      <c r="BD51" s="206"/>
      <c r="BE51" s="206"/>
      <c r="BF51" s="206"/>
      <c r="BG51" s="206"/>
      <c r="BH51" s="206"/>
      <c r="BI51" s="206"/>
      <c r="BJ51" s="206"/>
      <c r="BK51" s="206"/>
      <c r="BL51" s="206"/>
      <c r="BM51" s="206"/>
      <c r="BN51" s="206"/>
      <c r="BO51" s="206"/>
      <c r="BP51" s="206"/>
      <c r="BQ51" s="206"/>
      <c r="BR51" s="206"/>
      <c r="BS51" s="206"/>
      <c r="BT51" s="206"/>
      <c r="BU51" s="206"/>
      <c r="BV51" s="206"/>
      <c r="BW51" s="206"/>
      <c r="BX51" s="206"/>
      <c r="BY51" s="206"/>
      <c r="BZ51" s="206"/>
      <c r="CA51" s="206"/>
      <c r="CB51" s="206"/>
      <c r="CC51" s="206"/>
      <c r="CD51" s="206"/>
      <c r="CE51" s="206"/>
      <c r="CF51" s="206"/>
      <c r="CG51" s="206"/>
      <c r="CH51" s="206"/>
      <c r="CI51" s="206"/>
      <c r="CJ51" s="206"/>
      <c r="CK51" s="206"/>
      <c r="CL51" s="206"/>
      <c r="CM51" s="206"/>
      <c r="CN51" s="206"/>
      <c r="CO51" s="206"/>
      <c r="CP51" s="206"/>
      <c r="CQ51" s="206"/>
      <c r="CR51" s="206"/>
      <c r="CS51" s="206"/>
      <c r="CT51" s="206"/>
      <c r="CU51" s="206"/>
      <c r="CV51" s="206"/>
      <c r="CW51" s="206"/>
      <c r="CX51" s="206"/>
      <c r="CY51" s="206"/>
      <c r="CZ51" s="206"/>
      <c r="DA51" s="206"/>
      <c r="DB51" s="206"/>
      <c r="DC51" s="206"/>
      <c r="DD51" s="206"/>
      <c r="DE51" s="206"/>
      <c r="DF51" s="206"/>
      <c r="DG51" s="206"/>
      <c r="DH51" s="206"/>
      <c r="DI51" s="206"/>
      <c r="DJ51" s="206"/>
      <c r="DK51" s="206"/>
      <c r="DL51" s="206"/>
      <c r="DM51" s="206"/>
      <c r="DN51" s="206"/>
      <c r="DO51" s="206"/>
      <c r="DP51" s="206"/>
      <c r="DQ51" s="206"/>
      <c r="DR51" s="206"/>
      <c r="DS51" s="206"/>
      <c r="DT51" s="206"/>
      <c r="DU51" s="206"/>
      <c r="DV51" s="206"/>
      <c r="DW51" s="206"/>
      <c r="DX51" s="206"/>
      <c r="DY51" s="206"/>
      <c r="DZ51" s="206"/>
      <c r="EA51" s="206"/>
      <c r="EB51" s="206"/>
      <c r="EC51" s="206"/>
      <c r="ED51" s="206"/>
      <c r="EE51" s="206"/>
      <c r="EF51" s="206"/>
      <c r="EG51" s="206"/>
      <c r="EH51" s="206"/>
      <c r="EI51" s="206"/>
      <c r="EJ51" s="206"/>
      <c r="EK51" s="206"/>
      <c r="EL51" s="206"/>
      <c r="EM51" s="206"/>
      <c r="EN51" s="206"/>
      <c r="EO51" s="206"/>
      <c r="EP51" s="206"/>
      <c r="EQ51" s="206"/>
      <c r="ER51" s="206"/>
      <c r="ES51" s="206"/>
      <c r="ET51" s="206"/>
      <c r="EU51" s="206"/>
      <c r="EV51" s="206"/>
      <c r="EW51" s="206"/>
      <c r="EX51" s="206"/>
      <c r="EY51" s="206"/>
      <c r="EZ51" s="206"/>
      <c r="FA51" s="206"/>
      <c r="FB51" s="206"/>
      <c r="FC51" s="206"/>
      <c r="FD51" s="206"/>
      <c r="FE51" s="206"/>
      <c r="FF51" s="206"/>
      <c r="FG51" s="206"/>
      <c r="FH51" s="206"/>
      <c r="FI51" s="206"/>
      <c r="FJ51" s="206"/>
      <c r="FK51" s="206"/>
      <c r="FL51" s="206"/>
      <c r="FM51" s="206"/>
      <c r="FN51" s="206"/>
      <c r="FO51" s="206"/>
      <c r="FP51" s="206"/>
      <c r="FQ51" s="206"/>
      <c r="FR51" s="206"/>
      <c r="FS51" s="206"/>
      <c r="FT51" s="206"/>
      <c r="FU51" s="206"/>
      <c r="FV51" s="206"/>
      <c r="FW51" s="206"/>
      <c r="FX51" s="206"/>
      <c r="FY51" s="206"/>
    </row>
    <row r="52" spans="2:181" x14ac:dyDescent="0.25">
      <c r="B52" s="190"/>
      <c r="C52" s="190">
        <v>1</v>
      </c>
      <c r="D52" s="190">
        <v>2</v>
      </c>
      <c r="E52" s="190">
        <v>3</v>
      </c>
      <c r="F52" s="190">
        <v>4</v>
      </c>
      <c r="G52" s="190">
        <v>5</v>
      </c>
      <c r="H52" s="190">
        <v>6</v>
      </c>
      <c r="I52" s="190">
        <v>7</v>
      </c>
      <c r="J52" s="190">
        <v>8</v>
      </c>
      <c r="K52" s="190">
        <v>9</v>
      </c>
      <c r="L52" s="190">
        <v>10</v>
      </c>
      <c r="M52" s="190">
        <v>11</v>
      </c>
      <c r="N52" s="190">
        <v>12</v>
      </c>
      <c r="O52" s="190">
        <v>13</v>
      </c>
      <c r="P52" s="190">
        <v>14</v>
      </c>
      <c r="Q52" s="190">
        <v>15</v>
      </c>
      <c r="R52" s="190">
        <v>16</v>
      </c>
      <c r="S52" s="190">
        <v>17</v>
      </c>
      <c r="T52" s="207"/>
      <c r="U52" s="207">
        <v>18</v>
      </c>
      <c r="V52" s="207">
        <v>19</v>
      </c>
      <c r="W52" s="207">
        <v>20</v>
      </c>
      <c r="X52" s="207">
        <v>21</v>
      </c>
      <c r="Y52" s="207">
        <v>22</v>
      </c>
      <c r="Z52" s="207">
        <v>23</v>
      </c>
      <c r="AA52" s="207">
        <v>24</v>
      </c>
      <c r="AB52" s="207">
        <v>25</v>
      </c>
      <c r="AC52" s="207">
        <v>26</v>
      </c>
      <c r="AD52" s="207">
        <v>27</v>
      </c>
      <c r="AE52" s="207">
        <v>28</v>
      </c>
      <c r="AF52" s="207">
        <v>29</v>
      </c>
      <c r="AG52" s="207">
        <v>30</v>
      </c>
      <c r="AH52" s="207">
        <v>31</v>
      </c>
      <c r="AI52" s="207">
        <v>32</v>
      </c>
      <c r="AJ52" s="207">
        <v>33</v>
      </c>
      <c r="AK52" s="207">
        <v>34</v>
      </c>
      <c r="AL52" s="207"/>
      <c r="AM52" s="207">
        <v>35</v>
      </c>
      <c r="AN52" s="207">
        <v>36</v>
      </c>
      <c r="AO52" s="207">
        <v>37</v>
      </c>
      <c r="AP52" s="207">
        <v>38</v>
      </c>
      <c r="AQ52" s="207">
        <v>39</v>
      </c>
      <c r="AR52" s="207">
        <v>40</v>
      </c>
      <c r="AS52" s="207">
        <v>41</v>
      </c>
      <c r="AT52" s="207">
        <v>42</v>
      </c>
      <c r="AU52" s="207">
        <v>43</v>
      </c>
      <c r="AV52" s="207">
        <v>44</v>
      </c>
      <c r="AW52" s="207">
        <v>45</v>
      </c>
      <c r="AX52" s="207">
        <v>46</v>
      </c>
      <c r="AY52" s="207">
        <v>47</v>
      </c>
      <c r="AZ52" s="207">
        <v>48</v>
      </c>
      <c r="BA52" s="207">
        <v>49</v>
      </c>
      <c r="BB52" s="207">
        <v>50</v>
      </c>
      <c r="BC52" s="207">
        <v>51</v>
      </c>
      <c r="BD52" s="207"/>
      <c r="BE52" s="207">
        <v>52</v>
      </c>
      <c r="BF52" s="207">
        <v>53</v>
      </c>
      <c r="BG52" s="207">
        <v>54</v>
      </c>
      <c r="BH52" s="207">
        <v>55</v>
      </c>
      <c r="BI52" s="207">
        <v>56</v>
      </c>
      <c r="BJ52" s="207">
        <v>57</v>
      </c>
      <c r="BK52" s="207">
        <v>58</v>
      </c>
      <c r="BL52" s="207">
        <v>59</v>
      </c>
      <c r="BM52" s="207">
        <v>60</v>
      </c>
      <c r="BN52" s="207">
        <v>61</v>
      </c>
      <c r="BO52" s="207">
        <v>62</v>
      </c>
      <c r="BP52" s="207">
        <v>63</v>
      </c>
      <c r="BQ52" s="207">
        <v>64</v>
      </c>
      <c r="BR52" s="207">
        <v>65</v>
      </c>
      <c r="BS52" s="207">
        <v>66</v>
      </c>
      <c r="BT52" s="207">
        <v>67</v>
      </c>
      <c r="BU52" s="207">
        <v>68</v>
      </c>
      <c r="BV52" s="207"/>
      <c r="BW52" s="207">
        <v>69</v>
      </c>
      <c r="BX52" s="207">
        <v>70</v>
      </c>
      <c r="BY52" s="207">
        <v>71</v>
      </c>
      <c r="BZ52" s="207">
        <v>72</v>
      </c>
      <c r="CA52" s="207">
        <v>73</v>
      </c>
      <c r="CB52" s="207">
        <v>74</v>
      </c>
      <c r="CC52" s="207">
        <v>75</v>
      </c>
      <c r="CD52" s="207">
        <v>76</v>
      </c>
      <c r="CE52" s="207">
        <v>77</v>
      </c>
      <c r="CF52" s="207">
        <v>78</v>
      </c>
      <c r="CG52" s="207">
        <v>79</v>
      </c>
      <c r="CH52" s="207">
        <v>80</v>
      </c>
      <c r="CI52" s="207">
        <v>81</v>
      </c>
      <c r="CJ52" s="207">
        <v>82</v>
      </c>
      <c r="CK52" s="207">
        <v>83</v>
      </c>
      <c r="CL52" s="207">
        <v>84</v>
      </c>
      <c r="CM52" s="207">
        <v>85</v>
      </c>
      <c r="CN52" s="207"/>
      <c r="CO52" s="207">
        <v>86</v>
      </c>
      <c r="CP52" s="207">
        <v>87</v>
      </c>
      <c r="CQ52" s="207">
        <v>88</v>
      </c>
      <c r="CR52" s="207">
        <v>89</v>
      </c>
      <c r="CS52" s="207">
        <v>90</v>
      </c>
      <c r="CT52" s="207">
        <v>91</v>
      </c>
      <c r="CU52" s="207">
        <v>92</v>
      </c>
      <c r="CV52" s="207">
        <v>93</v>
      </c>
      <c r="CW52" s="207">
        <v>94</v>
      </c>
      <c r="CX52" s="207">
        <v>95</v>
      </c>
      <c r="CY52" s="207">
        <v>96</v>
      </c>
      <c r="CZ52" s="207">
        <v>97</v>
      </c>
      <c r="DA52" s="207">
        <v>98</v>
      </c>
      <c r="DB52" s="207">
        <v>99</v>
      </c>
      <c r="DC52" s="207">
        <v>100</v>
      </c>
      <c r="DD52" s="207">
        <v>101</v>
      </c>
      <c r="DE52" s="207">
        <v>102</v>
      </c>
      <c r="DF52" s="207"/>
      <c r="DG52" s="207">
        <v>103</v>
      </c>
      <c r="DH52" s="207">
        <v>104</v>
      </c>
      <c r="DI52" s="207">
        <v>105</v>
      </c>
      <c r="DJ52" s="207">
        <v>106</v>
      </c>
      <c r="DK52" s="207">
        <v>107</v>
      </c>
      <c r="DL52" s="207">
        <v>108</v>
      </c>
      <c r="DM52" s="207">
        <v>109</v>
      </c>
      <c r="DN52" s="207">
        <v>110</v>
      </c>
      <c r="DO52" s="207">
        <v>111</v>
      </c>
      <c r="DP52" s="207">
        <v>112</v>
      </c>
      <c r="DQ52" s="207">
        <v>113</v>
      </c>
      <c r="DR52" s="207">
        <v>114</v>
      </c>
      <c r="DS52" s="207">
        <v>115</v>
      </c>
      <c r="DT52" s="207">
        <v>116</v>
      </c>
      <c r="DU52" s="207">
        <v>117</v>
      </c>
      <c r="DV52" s="207">
        <v>118</v>
      </c>
      <c r="DW52" s="207">
        <v>119</v>
      </c>
      <c r="DX52" s="207"/>
      <c r="DY52" s="207">
        <v>120</v>
      </c>
      <c r="DZ52" s="207">
        <v>121</v>
      </c>
      <c r="EA52" s="207">
        <v>122</v>
      </c>
      <c r="EB52" s="207">
        <v>123</v>
      </c>
      <c r="EC52" s="207">
        <v>124</v>
      </c>
      <c r="ED52" s="207">
        <v>125</v>
      </c>
      <c r="EE52" s="207">
        <v>126</v>
      </c>
      <c r="EF52" s="207">
        <v>127</v>
      </c>
      <c r="EG52" s="207">
        <v>128</v>
      </c>
      <c r="EH52" s="207">
        <v>129</v>
      </c>
      <c r="EI52" s="207">
        <v>130</v>
      </c>
      <c r="EJ52" s="207">
        <v>131</v>
      </c>
      <c r="EK52" s="207">
        <v>132</v>
      </c>
      <c r="EL52" s="207">
        <v>133</v>
      </c>
      <c r="EM52" s="207">
        <v>134</v>
      </c>
      <c r="EN52" s="207">
        <v>135</v>
      </c>
      <c r="EO52" s="207">
        <v>136</v>
      </c>
      <c r="EP52" s="207"/>
      <c r="EQ52" s="207">
        <v>137</v>
      </c>
      <c r="ER52" s="207">
        <v>138</v>
      </c>
      <c r="ES52" s="207">
        <v>139</v>
      </c>
      <c r="ET52" s="207">
        <v>140</v>
      </c>
      <c r="EU52" s="207">
        <v>141</v>
      </c>
      <c r="EV52" s="207">
        <v>142</v>
      </c>
      <c r="EW52" s="207">
        <v>143</v>
      </c>
      <c r="EX52" s="207">
        <v>144</v>
      </c>
      <c r="EY52" s="207">
        <v>145</v>
      </c>
      <c r="EZ52" s="207">
        <v>146</v>
      </c>
      <c r="FA52" s="207">
        <v>147</v>
      </c>
      <c r="FB52" s="207">
        <v>148</v>
      </c>
      <c r="FC52" s="207">
        <v>149</v>
      </c>
      <c r="FD52" s="207">
        <v>150</v>
      </c>
      <c r="FE52" s="207">
        <v>151</v>
      </c>
      <c r="FF52" s="207">
        <v>152</v>
      </c>
      <c r="FG52" s="207">
        <v>153</v>
      </c>
      <c r="FH52" s="207"/>
      <c r="FI52" s="207">
        <v>154</v>
      </c>
      <c r="FJ52" s="207">
        <v>155</v>
      </c>
      <c r="FK52" s="207">
        <v>156</v>
      </c>
      <c r="FL52" s="207">
        <v>157</v>
      </c>
      <c r="FM52" s="207">
        <v>158</v>
      </c>
      <c r="FN52" s="207">
        <v>159</v>
      </c>
      <c r="FO52" s="207">
        <v>160</v>
      </c>
      <c r="FP52" s="207">
        <v>161</v>
      </c>
      <c r="FQ52" s="207">
        <v>162</v>
      </c>
      <c r="FR52" s="207">
        <v>163</v>
      </c>
      <c r="FS52" s="207">
        <v>164</v>
      </c>
      <c r="FT52" s="207">
        <v>165</v>
      </c>
      <c r="FU52" s="207">
        <v>166</v>
      </c>
      <c r="FV52" s="207">
        <v>167</v>
      </c>
      <c r="FW52" s="207">
        <v>168</v>
      </c>
      <c r="FX52" s="207">
        <v>169</v>
      </c>
      <c r="FY52" s="207">
        <v>170</v>
      </c>
    </row>
    <row r="53" spans="2:181" ht="30" customHeight="1" x14ac:dyDescent="0.25">
      <c r="B53" s="193" t="s">
        <v>372</v>
      </c>
      <c r="C53" s="194" t="s">
        <v>373</v>
      </c>
      <c r="D53" s="194" t="s">
        <v>374</v>
      </c>
      <c r="E53" s="195" t="s">
        <v>375</v>
      </c>
      <c r="F53" s="195" t="s">
        <v>376</v>
      </c>
      <c r="G53" s="195" t="s">
        <v>377</v>
      </c>
      <c r="H53" s="195" t="s">
        <v>378</v>
      </c>
      <c r="I53" s="195" t="s">
        <v>379</v>
      </c>
      <c r="J53" s="195" t="s">
        <v>380</v>
      </c>
      <c r="K53" s="195" t="s">
        <v>381</v>
      </c>
      <c r="L53" s="196" t="s">
        <v>382</v>
      </c>
      <c r="M53" s="196" t="s">
        <v>383</v>
      </c>
      <c r="N53" s="196" t="s">
        <v>384</v>
      </c>
      <c r="O53" s="196" t="s">
        <v>385</v>
      </c>
      <c r="P53" s="196" t="s">
        <v>386</v>
      </c>
      <c r="Q53" s="196" t="s">
        <v>387</v>
      </c>
      <c r="R53" s="196" t="s">
        <v>388</v>
      </c>
      <c r="S53" s="196" t="s">
        <v>389</v>
      </c>
      <c r="T53" s="193" t="s">
        <v>372</v>
      </c>
      <c r="U53" s="194" t="s">
        <v>390</v>
      </c>
      <c r="V53" s="194" t="s">
        <v>391</v>
      </c>
      <c r="W53" s="195" t="s">
        <v>392</v>
      </c>
      <c r="X53" s="195" t="s">
        <v>393</v>
      </c>
      <c r="Y53" s="195" t="s">
        <v>394</v>
      </c>
      <c r="Z53" s="195" t="s">
        <v>395</v>
      </c>
      <c r="AA53" s="195" t="s">
        <v>396</v>
      </c>
      <c r="AB53" s="195" t="s">
        <v>397</v>
      </c>
      <c r="AC53" s="195" t="s">
        <v>398</v>
      </c>
      <c r="AD53" s="196" t="s">
        <v>399</v>
      </c>
      <c r="AE53" s="196" t="s">
        <v>400</v>
      </c>
      <c r="AF53" s="196" t="s">
        <v>401</v>
      </c>
      <c r="AG53" s="196" t="s">
        <v>402</v>
      </c>
      <c r="AH53" s="196" t="s">
        <v>403</v>
      </c>
      <c r="AI53" s="196" t="s">
        <v>404</v>
      </c>
      <c r="AJ53" s="196" t="s">
        <v>405</v>
      </c>
      <c r="AK53" s="196" t="s">
        <v>406</v>
      </c>
      <c r="AL53" s="193" t="s">
        <v>372</v>
      </c>
      <c r="AM53" s="194" t="s">
        <v>407</v>
      </c>
      <c r="AN53" s="194" t="s">
        <v>408</v>
      </c>
      <c r="AO53" s="195" t="s">
        <v>409</v>
      </c>
      <c r="AP53" s="195" t="s">
        <v>410</v>
      </c>
      <c r="AQ53" s="195" t="s">
        <v>411</v>
      </c>
      <c r="AR53" s="195" t="s">
        <v>412</v>
      </c>
      <c r="AS53" s="195" t="s">
        <v>413</v>
      </c>
      <c r="AT53" s="195" t="s">
        <v>414</v>
      </c>
      <c r="AU53" s="195" t="s">
        <v>415</v>
      </c>
      <c r="AV53" s="196" t="s">
        <v>416</v>
      </c>
      <c r="AW53" s="196" t="s">
        <v>417</v>
      </c>
      <c r="AX53" s="196" t="s">
        <v>418</v>
      </c>
      <c r="AY53" s="196" t="s">
        <v>419</v>
      </c>
      <c r="AZ53" s="196" t="s">
        <v>420</v>
      </c>
      <c r="BA53" s="196" t="s">
        <v>421</v>
      </c>
      <c r="BB53" s="196" t="s">
        <v>422</v>
      </c>
      <c r="BC53" s="196" t="s">
        <v>423</v>
      </c>
      <c r="BD53" s="193" t="s">
        <v>372</v>
      </c>
      <c r="BE53" s="194" t="s">
        <v>424</v>
      </c>
      <c r="BF53" s="194" t="s">
        <v>425</v>
      </c>
      <c r="BG53" s="195" t="s">
        <v>426</v>
      </c>
      <c r="BH53" s="195" t="s">
        <v>427</v>
      </c>
      <c r="BI53" s="195" t="s">
        <v>428</v>
      </c>
      <c r="BJ53" s="195" t="s">
        <v>429</v>
      </c>
      <c r="BK53" s="195" t="s">
        <v>430</v>
      </c>
      <c r="BL53" s="195" t="s">
        <v>431</v>
      </c>
      <c r="BM53" s="195" t="s">
        <v>432</v>
      </c>
      <c r="BN53" s="196" t="s">
        <v>433</v>
      </c>
      <c r="BO53" s="196" t="s">
        <v>434</v>
      </c>
      <c r="BP53" s="196" t="s">
        <v>435</v>
      </c>
      <c r="BQ53" s="196" t="s">
        <v>436</v>
      </c>
      <c r="BR53" s="196" t="s">
        <v>437</v>
      </c>
      <c r="BS53" s="196" t="s">
        <v>438</v>
      </c>
      <c r="BT53" s="196" t="s">
        <v>439</v>
      </c>
      <c r="BU53" s="196" t="s">
        <v>440</v>
      </c>
      <c r="BV53" s="193" t="s">
        <v>372</v>
      </c>
      <c r="BW53" s="194" t="s">
        <v>441</v>
      </c>
      <c r="BX53" s="194" t="s">
        <v>442</v>
      </c>
      <c r="BY53" s="195" t="s">
        <v>443</v>
      </c>
      <c r="BZ53" s="195" t="s">
        <v>444</v>
      </c>
      <c r="CA53" s="195" t="s">
        <v>445</v>
      </c>
      <c r="CB53" s="195" t="s">
        <v>446</v>
      </c>
      <c r="CC53" s="195" t="s">
        <v>447</v>
      </c>
      <c r="CD53" s="195" t="s">
        <v>448</v>
      </c>
      <c r="CE53" s="195" t="s">
        <v>449</v>
      </c>
      <c r="CF53" s="196" t="s">
        <v>450</v>
      </c>
      <c r="CG53" s="196" t="s">
        <v>451</v>
      </c>
      <c r="CH53" s="196" t="s">
        <v>452</v>
      </c>
      <c r="CI53" s="196" t="s">
        <v>453</v>
      </c>
      <c r="CJ53" s="196" t="s">
        <v>454</v>
      </c>
      <c r="CK53" s="196" t="s">
        <v>455</v>
      </c>
      <c r="CL53" s="196" t="s">
        <v>456</v>
      </c>
      <c r="CM53" s="196" t="s">
        <v>457</v>
      </c>
      <c r="CN53" s="193" t="s">
        <v>372</v>
      </c>
      <c r="CO53" s="194" t="s">
        <v>458</v>
      </c>
      <c r="CP53" s="194" t="s">
        <v>459</v>
      </c>
      <c r="CQ53" s="195" t="s">
        <v>460</v>
      </c>
      <c r="CR53" s="195" t="s">
        <v>461</v>
      </c>
      <c r="CS53" s="195" t="s">
        <v>462</v>
      </c>
      <c r="CT53" s="195" t="s">
        <v>463</v>
      </c>
      <c r="CU53" s="195" t="s">
        <v>464</v>
      </c>
      <c r="CV53" s="195" t="s">
        <v>465</v>
      </c>
      <c r="CW53" s="195" t="s">
        <v>466</v>
      </c>
      <c r="CX53" s="196" t="s">
        <v>467</v>
      </c>
      <c r="CY53" s="196" t="s">
        <v>468</v>
      </c>
      <c r="CZ53" s="196" t="s">
        <v>469</v>
      </c>
      <c r="DA53" s="196" t="s">
        <v>470</v>
      </c>
      <c r="DB53" s="196" t="s">
        <v>471</v>
      </c>
      <c r="DC53" s="196" t="s">
        <v>472</v>
      </c>
      <c r="DD53" s="196" t="s">
        <v>473</v>
      </c>
      <c r="DE53" s="196" t="s">
        <v>474</v>
      </c>
      <c r="DF53" s="193" t="s">
        <v>372</v>
      </c>
      <c r="DG53" s="194" t="s">
        <v>492</v>
      </c>
      <c r="DH53" s="194" t="s">
        <v>493</v>
      </c>
      <c r="DI53" s="195" t="s">
        <v>494</v>
      </c>
      <c r="DJ53" s="195" t="s">
        <v>495</v>
      </c>
      <c r="DK53" s="195" t="s">
        <v>496</v>
      </c>
      <c r="DL53" s="195" t="s">
        <v>497</v>
      </c>
      <c r="DM53" s="195" t="s">
        <v>498</v>
      </c>
      <c r="DN53" s="195" t="s">
        <v>499</v>
      </c>
      <c r="DO53" s="195" t="s">
        <v>500</v>
      </c>
      <c r="DP53" s="196" t="s">
        <v>501</v>
      </c>
      <c r="DQ53" s="196" t="s">
        <v>502</v>
      </c>
      <c r="DR53" s="196" t="s">
        <v>503</v>
      </c>
      <c r="DS53" s="196" t="s">
        <v>504</v>
      </c>
      <c r="DT53" s="196" t="s">
        <v>505</v>
      </c>
      <c r="DU53" s="196" t="s">
        <v>506</v>
      </c>
      <c r="DV53" s="196" t="s">
        <v>507</v>
      </c>
      <c r="DW53" s="196" t="s">
        <v>508</v>
      </c>
      <c r="DX53" s="193" t="s">
        <v>372</v>
      </c>
      <c r="DY53" s="194" t="s">
        <v>492</v>
      </c>
      <c r="DZ53" s="194" t="s">
        <v>493</v>
      </c>
      <c r="EA53" s="195" t="s">
        <v>494</v>
      </c>
      <c r="EB53" s="195" t="s">
        <v>495</v>
      </c>
      <c r="EC53" s="195" t="s">
        <v>496</v>
      </c>
      <c r="ED53" s="195" t="s">
        <v>497</v>
      </c>
      <c r="EE53" s="195" t="s">
        <v>498</v>
      </c>
      <c r="EF53" s="195" t="s">
        <v>499</v>
      </c>
      <c r="EG53" s="195" t="s">
        <v>500</v>
      </c>
      <c r="EH53" s="196" t="s">
        <v>501</v>
      </c>
      <c r="EI53" s="196" t="s">
        <v>502</v>
      </c>
      <c r="EJ53" s="196" t="s">
        <v>503</v>
      </c>
      <c r="EK53" s="196" t="s">
        <v>504</v>
      </c>
      <c r="EL53" s="196" t="s">
        <v>505</v>
      </c>
      <c r="EM53" s="196" t="s">
        <v>506</v>
      </c>
      <c r="EN53" s="196" t="s">
        <v>507</v>
      </c>
      <c r="EO53" s="196" t="s">
        <v>508</v>
      </c>
      <c r="EP53" s="193" t="s">
        <v>372</v>
      </c>
      <c r="EQ53" s="194" t="s">
        <v>509</v>
      </c>
      <c r="ER53" s="194" t="s">
        <v>510</v>
      </c>
      <c r="ES53" s="195" t="s">
        <v>511</v>
      </c>
      <c r="ET53" s="195" t="s">
        <v>512</v>
      </c>
      <c r="EU53" s="195" t="s">
        <v>513</v>
      </c>
      <c r="EV53" s="195" t="s">
        <v>514</v>
      </c>
      <c r="EW53" s="195" t="s">
        <v>515</v>
      </c>
      <c r="EX53" s="195" t="s">
        <v>516</v>
      </c>
      <c r="EY53" s="195" t="s">
        <v>517</v>
      </c>
      <c r="EZ53" s="196" t="s">
        <v>518</v>
      </c>
      <c r="FA53" s="196" t="s">
        <v>519</v>
      </c>
      <c r="FB53" s="196" t="s">
        <v>520</v>
      </c>
      <c r="FC53" s="196" t="s">
        <v>521</v>
      </c>
      <c r="FD53" s="196" t="s">
        <v>522</v>
      </c>
      <c r="FE53" s="196" t="s">
        <v>523</v>
      </c>
      <c r="FF53" s="196" t="s">
        <v>524</v>
      </c>
      <c r="FG53" s="196" t="s">
        <v>525</v>
      </c>
      <c r="FH53" s="193" t="s">
        <v>372</v>
      </c>
      <c r="FI53" s="194" t="s">
        <v>526</v>
      </c>
      <c r="FJ53" s="194" t="s">
        <v>527</v>
      </c>
      <c r="FK53" s="195" t="s">
        <v>528</v>
      </c>
      <c r="FL53" s="195" t="s">
        <v>529</v>
      </c>
      <c r="FM53" s="195" t="s">
        <v>530</v>
      </c>
      <c r="FN53" s="195" t="s">
        <v>531</v>
      </c>
      <c r="FO53" s="195" t="s">
        <v>532</v>
      </c>
      <c r="FP53" s="195" t="s">
        <v>533</v>
      </c>
      <c r="FQ53" s="195" t="s">
        <v>534</v>
      </c>
      <c r="FR53" s="196" t="s">
        <v>535</v>
      </c>
      <c r="FS53" s="196" t="s">
        <v>536</v>
      </c>
      <c r="FT53" s="196" t="s">
        <v>537</v>
      </c>
      <c r="FU53" s="196" t="s">
        <v>538</v>
      </c>
      <c r="FV53" s="196" t="s">
        <v>539</v>
      </c>
      <c r="FW53" s="196" t="s">
        <v>540</v>
      </c>
      <c r="FX53" s="196" t="s">
        <v>541</v>
      </c>
      <c r="FY53" s="196" t="s">
        <v>542</v>
      </c>
    </row>
    <row r="54" spans="2:181" x14ac:dyDescent="0.25">
      <c r="B54" s="12">
        <v>31</v>
      </c>
      <c r="C54" s="195"/>
      <c r="D54" s="195"/>
      <c r="E54" s="195"/>
      <c r="F54" s="195"/>
      <c r="G54" s="195"/>
      <c r="H54" s="195"/>
      <c r="I54" s="195"/>
      <c r="J54" s="195"/>
      <c r="K54" s="195"/>
      <c r="L54" s="195"/>
      <c r="M54" s="195"/>
      <c r="N54" s="195"/>
      <c r="O54" s="195"/>
      <c r="P54" s="195"/>
      <c r="Q54" s="195"/>
      <c r="R54" s="195"/>
      <c r="S54" s="195"/>
      <c r="T54" s="12">
        <v>31</v>
      </c>
      <c r="U54" s="195"/>
      <c r="V54" s="195"/>
      <c r="W54" s="195"/>
      <c r="X54" s="195"/>
      <c r="Y54" s="195"/>
      <c r="Z54" s="195"/>
      <c r="AA54" s="195"/>
      <c r="AB54" s="195"/>
      <c r="AC54" s="195"/>
      <c r="AD54" s="195"/>
      <c r="AE54" s="195"/>
      <c r="AF54" s="195"/>
      <c r="AG54" s="195"/>
      <c r="AH54" s="195"/>
      <c r="AI54" s="195"/>
      <c r="AJ54" s="195"/>
      <c r="AK54" s="195"/>
      <c r="AL54" s="12">
        <v>31</v>
      </c>
      <c r="AM54" s="195"/>
      <c r="AN54" s="195"/>
      <c r="AO54" s="195"/>
      <c r="AP54" s="195"/>
      <c r="AQ54" s="195"/>
      <c r="AR54" s="195"/>
      <c r="AS54" s="195"/>
      <c r="AT54" s="195"/>
      <c r="AU54" s="195"/>
      <c r="AV54" s="195"/>
      <c r="AW54" s="195"/>
      <c r="AX54" s="195"/>
      <c r="AY54" s="195"/>
      <c r="AZ54" s="195"/>
      <c r="BA54" s="195"/>
      <c r="BB54" s="195"/>
      <c r="BC54" s="195"/>
      <c r="BD54" s="12">
        <v>31</v>
      </c>
      <c r="BE54" s="195"/>
      <c r="BF54" s="195"/>
      <c r="BG54" s="195"/>
      <c r="BH54" s="195"/>
      <c r="BI54" s="195"/>
      <c r="BJ54" s="195"/>
      <c r="BK54" s="195"/>
      <c r="BL54" s="195"/>
      <c r="BM54" s="195"/>
      <c r="BN54" s="195"/>
      <c r="BO54" s="195"/>
      <c r="BP54" s="195"/>
      <c r="BQ54" s="195"/>
      <c r="BR54" s="195"/>
      <c r="BS54" s="195"/>
      <c r="BT54" s="195"/>
      <c r="BU54" s="195"/>
      <c r="BV54" s="12">
        <v>31</v>
      </c>
      <c r="BW54" s="195"/>
      <c r="BX54" s="195"/>
      <c r="BY54" s="195"/>
      <c r="BZ54" s="195"/>
      <c r="CA54" s="195"/>
      <c r="CB54" s="195"/>
      <c r="CC54" s="195"/>
      <c r="CD54" s="195"/>
      <c r="CE54" s="195"/>
      <c r="CF54" s="195"/>
      <c r="CG54" s="195"/>
      <c r="CH54" s="195"/>
      <c r="CI54" s="195"/>
      <c r="CJ54" s="195"/>
      <c r="CK54" s="195"/>
      <c r="CL54" s="195"/>
      <c r="CM54" s="195"/>
      <c r="CN54" s="12">
        <v>31</v>
      </c>
      <c r="CO54" s="195"/>
      <c r="CP54" s="195"/>
      <c r="CQ54" s="195"/>
      <c r="CR54" s="195"/>
      <c r="CS54" s="195"/>
      <c r="CT54" s="195"/>
      <c r="CU54" s="195"/>
      <c r="CV54" s="195"/>
      <c r="CW54" s="195"/>
      <c r="CX54" s="195"/>
      <c r="CY54" s="195"/>
      <c r="CZ54" s="195"/>
      <c r="DA54" s="195"/>
      <c r="DB54" s="195"/>
      <c r="DC54" s="195"/>
      <c r="DD54" s="195"/>
      <c r="DE54" s="195"/>
      <c r="DF54" s="12">
        <v>31</v>
      </c>
      <c r="DG54" s="195"/>
      <c r="DH54" s="195"/>
      <c r="DI54" s="195"/>
      <c r="DJ54" s="195"/>
      <c r="DK54" s="195"/>
      <c r="DL54" s="195"/>
      <c r="DM54" s="195"/>
      <c r="DN54" s="195"/>
      <c r="DO54" s="195"/>
      <c r="DP54" s="195"/>
      <c r="DQ54" s="195"/>
      <c r="DR54" s="195"/>
      <c r="DS54" s="195"/>
      <c r="DT54" s="195"/>
      <c r="DU54" s="195"/>
      <c r="DV54" s="195"/>
      <c r="DW54" s="195"/>
      <c r="DX54" s="12">
        <v>31</v>
      </c>
      <c r="DY54" s="195"/>
      <c r="DZ54" s="195"/>
      <c r="EA54" s="195"/>
      <c r="EB54" s="195"/>
      <c r="EC54" s="195"/>
      <c r="ED54" s="195"/>
      <c r="EE54" s="195"/>
      <c r="EF54" s="195"/>
      <c r="EG54" s="195"/>
      <c r="EH54" s="195"/>
      <c r="EI54" s="195"/>
      <c r="EJ54" s="195"/>
      <c r="EK54" s="195"/>
      <c r="EL54" s="195"/>
      <c r="EM54" s="195"/>
      <c r="EN54" s="195"/>
      <c r="EO54" s="195"/>
      <c r="EP54" s="12">
        <v>31</v>
      </c>
      <c r="EQ54" s="195"/>
      <c r="ER54" s="195"/>
      <c r="ES54" s="195"/>
      <c r="ET54" s="195"/>
      <c r="EU54" s="195"/>
      <c r="EV54" s="195"/>
      <c r="EW54" s="195"/>
      <c r="EX54" s="195"/>
      <c r="EY54" s="195"/>
      <c r="EZ54" s="195"/>
      <c r="FA54" s="195"/>
      <c r="FB54" s="195"/>
      <c r="FC54" s="195"/>
      <c r="FD54" s="195"/>
      <c r="FE54" s="195"/>
      <c r="FF54" s="195"/>
      <c r="FG54" s="195"/>
      <c r="FH54" s="12">
        <v>31</v>
      </c>
      <c r="FI54" s="195"/>
      <c r="FJ54" s="195"/>
      <c r="FK54" s="195"/>
      <c r="FL54" s="195"/>
      <c r="FM54" s="195"/>
      <c r="FN54" s="195"/>
      <c r="FO54" s="195"/>
      <c r="FP54" s="195"/>
      <c r="FQ54" s="195"/>
      <c r="FR54" s="195"/>
      <c r="FS54" s="195"/>
      <c r="FT54" s="195"/>
      <c r="FU54" s="195"/>
      <c r="FV54" s="195"/>
      <c r="FW54" s="195"/>
      <c r="FX54" s="195"/>
      <c r="FY54" s="195"/>
    </row>
    <row r="55" spans="2:181" x14ac:dyDescent="0.25">
      <c r="B55" s="12">
        <v>32</v>
      </c>
      <c r="C55" s="195"/>
      <c r="D55" s="195"/>
      <c r="E55" s="195"/>
      <c r="F55" s="195"/>
      <c r="G55" s="195"/>
      <c r="H55" s="195"/>
      <c r="I55" s="195"/>
      <c r="J55" s="195"/>
      <c r="K55" s="195"/>
      <c r="L55" s="195"/>
      <c r="M55" s="195"/>
      <c r="N55" s="195"/>
      <c r="O55" s="195"/>
      <c r="P55" s="195"/>
      <c r="Q55" s="195"/>
      <c r="R55" s="195"/>
      <c r="S55" s="195"/>
      <c r="T55" s="12">
        <v>32</v>
      </c>
      <c r="U55" s="195"/>
      <c r="V55" s="195"/>
      <c r="W55" s="195"/>
      <c r="X55" s="195"/>
      <c r="Y55" s="195"/>
      <c r="Z55" s="195"/>
      <c r="AA55" s="195"/>
      <c r="AB55" s="195"/>
      <c r="AC55" s="195"/>
      <c r="AD55" s="195"/>
      <c r="AE55" s="195"/>
      <c r="AF55" s="195"/>
      <c r="AG55" s="195"/>
      <c r="AH55" s="195"/>
      <c r="AI55" s="195"/>
      <c r="AJ55" s="195"/>
      <c r="AK55" s="195"/>
      <c r="AL55" s="12">
        <v>32</v>
      </c>
      <c r="AM55" s="195"/>
      <c r="AN55" s="195"/>
      <c r="AO55" s="195"/>
      <c r="AP55" s="195"/>
      <c r="AQ55" s="195"/>
      <c r="AR55" s="195"/>
      <c r="AS55" s="195"/>
      <c r="AT55" s="195"/>
      <c r="AU55" s="195"/>
      <c r="AV55" s="195"/>
      <c r="AW55" s="195"/>
      <c r="AX55" s="195"/>
      <c r="AY55" s="195"/>
      <c r="AZ55" s="195"/>
      <c r="BA55" s="195"/>
      <c r="BB55" s="195"/>
      <c r="BC55" s="195"/>
      <c r="BD55" s="12">
        <v>32</v>
      </c>
      <c r="BE55" s="195"/>
      <c r="BF55" s="195"/>
      <c r="BG55" s="195"/>
      <c r="BH55" s="195"/>
      <c r="BI55" s="195"/>
      <c r="BJ55" s="195"/>
      <c r="BK55" s="195"/>
      <c r="BL55" s="195"/>
      <c r="BM55" s="195"/>
      <c r="BN55" s="195"/>
      <c r="BO55" s="195"/>
      <c r="BP55" s="195"/>
      <c r="BQ55" s="195"/>
      <c r="BR55" s="195"/>
      <c r="BS55" s="195"/>
      <c r="BT55" s="195"/>
      <c r="BU55" s="195"/>
      <c r="BV55" s="12">
        <v>32</v>
      </c>
      <c r="BW55" s="195"/>
      <c r="BX55" s="195"/>
      <c r="BY55" s="195"/>
      <c r="BZ55" s="195"/>
      <c r="CA55" s="195"/>
      <c r="CB55" s="195"/>
      <c r="CC55" s="195"/>
      <c r="CD55" s="195"/>
      <c r="CE55" s="195"/>
      <c r="CF55" s="195"/>
      <c r="CG55" s="195"/>
      <c r="CH55" s="195"/>
      <c r="CI55" s="195"/>
      <c r="CJ55" s="195"/>
      <c r="CK55" s="195"/>
      <c r="CL55" s="195"/>
      <c r="CM55" s="195"/>
      <c r="CN55" s="12">
        <v>32</v>
      </c>
      <c r="CO55" s="195"/>
      <c r="CP55" s="195"/>
      <c r="CQ55" s="195"/>
      <c r="CR55" s="195"/>
      <c r="CS55" s="195"/>
      <c r="CT55" s="195"/>
      <c r="CU55" s="195"/>
      <c r="CV55" s="195"/>
      <c r="CW55" s="195"/>
      <c r="CX55" s="195"/>
      <c r="CY55" s="195"/>
      <c r="CZ55" s="195"/>
      <c r="DA55" s="195"/>
      <c r="DB55" s="195"/>
      <c r="DC55" s="195"/>
      <c r="DD55" s="195"/>
      <c r="DE55" s="195"/>
      <c r="DF55" s="12">
        <v>32</v>
      </c>
      <c r="DG55" s="195"/>
      <c r="DH55" s="195"/>
      <c r="DI55" s="195"/>
      <c r="DJ55" s="195"/>
      <c r="DK55" s="195"/>
      <c r="DL55" s="195"/>
      <c r="DM55" s="195"/>
      <c r="DN55" s="195"/>
      <c r="DO55" s="195"/>
      <c r="DP55" s="195"/>
      <c r="DQ55" s="195"/>
      <c r="DR55" s="195"/>
      <c r="DS55" s="195"/>
      <c r="DT55" s="195"/>
      <c r="DU55" s="195"/>
      <c r="DV55" s="195"/>
      <c r="DW55" s="195"/>
      <c r="DX55" s="12">
        <v>32</v>
      </c>
      <c r="DY55" s="195"/>
      <c r="DZ55" s="195"/>
      <c r="EA55" s="195"/>
      <c r="EB55" s="195"/>
      <c r="EC55" s="195"/>
      <c r="ED55" s="195"/>
      <c r="EE55" s="195"/>
      <c r="EF55" s="195"/>
      <c r="EG55" s="195"/>
      <c r="EH55" s="195"/>
      <c r="EI55" s="195"/>
      <c r="EJ55" s="195"/>
      <c r="EK55" s="195"/>
      <c r="EL55" s="195"/>
      <c r="EM55" s="195"/>
      <c r="EN55" s="195"/>
      <c r="EO55" s="195"/>
      <c r="EP55" s="12">
        <v>32</v>
      </c>
      <c r="EQ55" s="195"/>
      <c r="ER55" s="195"/>
      <c r="ES55" s="195"/>
      <c r="ET55" s="195"/>
      <c r="EU55" s="195"/>
      <c r="EV55" s="195"/>
      <c r="EW55" s="195"/>
      <c r="EX55" s="195"/>
      <c r="EY55" s="195"/>
      <c r="EZ55" s="195"/>
      <c r="FA55" s="195"/>
      <c r="FB55" s="195"/>
      <c r="FC55" s="195"/>
      <c r="FD55" s="195"/>
      <c r="FE55" s="195"/>
      <c r="FF55" s="195"/>
      <c r="FG55" s="195"/>
      <c r="FH55" s="12">
        <v>32</v>
      </c>
      <c r="FI55" s="195"/>
      <c r="FJ55" s="195"/>
      <c r="FK55" s="195"/>
      <c r="FL55" s="195"/>
      <c r="FM55" s="195"/>
      <c r="FN55" s="195"/>
      <c r="FO55" s="195"/>
      <c r="FP55" s="195"/>
      <c r="FQ55" s="195"/>
      <c r="FR55" s="195"/>
      <c r="FS55" s="195"/>
      <c r="FT55" s="195"/>
      <c r="FU55" s="195"/>
      <c r="FV55" s="195"/>
      <c r="FW55" s="195"/>
      <c r="FX55" s="195"/>
      <c r="FY55" s="195"/>
    </row>
    <row r="56" spans="2:181" x14ac:dyDescent="0.25">
      <c r="B56" s="12">
        <v>33</v>
      </c>
      <c r="C56" s="195"/>
      <c r="D56" s="195"/>
      <c r="E56" s="195"/>
      <c r="F56" s="195"/>
      <c r="G56" s="195"/>
      <c r="H56" s="195"/>
      <c r="I56" s="195"/>
      <c r="J56" s="195"/>
      <c r="K56" s="195"/>
      <c r="L56" s="195"/>
      <c r="M56" s="195"/>
      <c r="N56" s="195"/>
      <c r="O56" s="195"/>
      <c r="P56" s="195"/>
      <c r="Q56" s="195"/>
      <c r="R56" s="195"/>
      <c r="S56" s="195"/>
      <c r="T56" s="12">
        <v>33</v>
      </c>
      <c r="U56" s="195"/>
      <c r="V56" s="195"/>
      <c r="W56" s="195"/>
      <c r="X56" s="195"/>
      <c r="Y56" s="195"/>
      <c r="Z56" s="195"/>
      <c r="AA56" s="195"/>
      <c r="AB56" s="195"/>
      <c r="AC56" s="195"/>
      <c r="AD56" s="195"/>
      <c r="AE56" s="195"/>
      <c r="AF56" s="195"/>
      <c r="AG56" s="195"/>
      <c r="AH56" s="195"/>
      <c r="AI56" s="195"/>
      <c r="AJ56" s="195"/>
      <c r="AK56" s="195"/>
      <c r="AL56" s="12">
        <v>33</v>
      </c>
      <c r="AM56" s="195"/>
      <c r="AN56" s="195"/>
      <c r="AO56" s="195"/>
      <c r="AP56" s="195"/>
      <c r="AQ56" s="195"/>
      <c r="AR56" s="195"/>
      <c r="AS56" s="195"/>
      <c r="AT56" s="195"/>
      <c r="AU56" s="195"/>
      <c r="AV56" s="195"/>
      <c r="AW56" s="195"/>
      <c r="AX56" s="195"/>
      <c r="AY56" s="195"/>
      <c r="AZ56" s="195"/>
      <c r="BA56" s="195"/>
      <c r="BB56" s="195"/>
      <c r="BC56" s="195"/>
      <c r="BD56" s="12">
        <v>33</v>
      </c>
      <c r="BE56" s="195"/>
      <c r="BF56" s="195"/>
      <c r="BG56" s="195"/>
      <c r="BH56" s="195"/>
      <c r="BI56" s="195"/>
      <c r="BJ56" s="195"/>
      <c r="BK56" s="195"/>
      <c r="BL56" s="195"/>
      <c r="BM56" s="195"/>
      <c r="BN56" s="195"/>
      <c r="BO56" s="195"/>
      <c r="BP56" s="195"/>
      <c r="BQ56" s="195"/>
      <c r="BR56" s="195"/>
      <c r="BS56" s="195"/>
      <c r="BT56" s="195"/>
      <c r="BU56" s="195"/>
      <c r="BV56" s="12">
        <v>33</v>
      </c>
      <c r="BW56" s="195"/>
      <c r="BX56" s="195"/>
      <c r="BY56" s="195"/>
      <c r="BZ56" s="195"/>
      <c r="CA56" s="195"/>
      <c r="CB56" s="195"/>
      <c r="CC56" s="195"/>
      <c r="CD56" s="195"/>
      <c r="CE56" s="195"/>
      <c r="CF56" s="195"/>
      <c r="CG56" s="195"/>
      <c r="CH56" s="195"/>
      <c r="CI56" s="195"/>
      <c r="CJ56" s="195"/>
      <c r="CK56" s="195"/>
      <c r="CL56" s="195"/>
      <c r="CM56" s="195"/>
      <c r="CN56" s="12">
        <v>33</v>
      </c>
      <c r="CO56" s="195"/>
      <c r="CP56" s="195"/>
      <c r="CQ56" s="195"/>
      <c r="CR56" s="195"/>
      <c r="CS56" s="195"/>
      <c r="CT56" s="195"/>
      <c r="CU56" s="195"/>
      <c r="CV56" s="195"/>
      <c r="CW56" s="195"/>
      <c r="CX56" s="195"/>
      <c r="CY56" s="195"/>
      <c r="CZ56" s="195"/>
      <c r="DA56" s="195"/>
      <c r="DB56" s="195"/>
      <c r="DC56" s="195"/>
      <c r="DD56" s="195"/>
      <c r="DE56" s="195"/>
      <c r="DF56" s="12">
        <v>33</v>
      </c>
      <c r="DG56" s="195"/>
      <c r="DH56" s="195"/>
      <c r="DI56" s="195"/>
      <c r="DJ56" s="195"/>
      <c r="DK56" s="195"/>
      <c r="DL56" s="195"/>
      <c r="DM56" s="195"/>
      <c r="DN56" s="195"/>
      <c r="DO56" s="195"/>
      <c r="DP56" s="195"/>
      <c r="DQ56" s="195"/>
      <c r="DR56" s="195"/>
      <c r="DS56" s="195"/>
      <c r="DT56" s="195"/>
      <c r="DU56" s="195"/>
      <c r="DV56" s="195"/>
      <c r="DW56" s="195"/>
      <c r="DX56" s="12">
        <v>33</v>
      </c>
      <c r="DY56" s="195"/>
      <c r="DZ56" s="195"/>
      <c r="EA56" s="195"/>
      <c r="EB56" s="195"/>
      <c r="EC56" s="195"/>
      <c r="ED56" s="195"/>
      <c r="EE56" s="195"/>
      <c r="EF56" s="195"/>
      <c r="EG56" s="195"/>
      <c r="EH56" s="195"/>
      <c r="EI56" s="195"/>
      <c r="EJ56" s="195"/>
      <c r="EK56" s="195"/>
      <c r="EL56" s="195"/>
      <c r="EM56" s="195"/>
      <c r="EN56" s="195"/>
      <c r="EO56" s="195"/>
      <c r="EP56" s="12">
        <v>33</v>
      </c>
      <c r="EQ56" s="195"/>
      <c r="ER56" s="195"/>
      <c r="ES56" s="195"/>
      <c r="ET56" s="195"/>
      <c r="EU56" s="195"/>
      <c r="EV56" s="195"/>
      <c r="EW56" s="195"/>
      <c r="EX56" s="195"/>
      <c r="EY56" s="195"/>
      <c r="EZ56" s="195"/>
      <c r="FA56" s="195"/>
      <c r="FB56" s="195"/>
      <c r="FC56" s="195"/>
      <c r="FD56" s="195"/>
      <c r="FE56" s="195"/>
      <c r="FF56" s="195"/>
      <c r="FG56" s="195"/>
      <c r="FH56" s="12">
        <v>33</v>
      </c>
      <c r="FI56" s="195"/>
      <c r="FJ56" s="195"/>
      <c r="FK56" s="195"/>
      <c r="FL56" s="195"/>
      <c r="FM56" s="195"/>
      <c r="FN56" s="195"/>
      <c r="FO56" s="195"/>
      <c r="FP56" s="195"/>
      <c r="FQ56" s="195"/>
      <c r="FR56" s="195"/>
      <c r="FS56" s="195"/>
      <c r="FT56" s="195"/>
      <c r="FU56" s="195"/>
      <c r="FV56" s="195"/>
      <c r="FW56" s="195"/>
      <c r="FX56" s="195"/>
      <c r="FY56" s="195"/>
    </row>
    <row r="57" spans="2:181" x14ac:dyDescent="0.25">
      <c r="B57" s="12">
        <v>34</v>
      </c>
      <c r="C57" s="195"/>
      <c r="D57" s="195"/>
      <c r="E57" s="195"/>
      <c r="F57" s="195"/>
      <c r="G57" s="195"/>
      <c r="H57" s="195"/>
      <c r="I57" s="195"/>
      <c r="J57" s="195"/>
      <c r="K57" s="195"/>
      <c r="L57" s="195"/>
      <c r="M57" s="195"/>
      <c r="N57" s="195"/>
      <c r="O57" s="195"/>
      <c r="P57" s="195"/>
      <c r="Q57" s="195"/>
      <c r="R57" s="195"/>
      <c r="S57" s="195"/>
      <c r="T57" s="12">
        <v>34</v>
      </c>
      <c r="U57" s="195"/>
      <c r="V57" s="195"/>
      <c r="W57" s="195"/>
      <c r="X57" s="195"/>
      <c r="Y57" s="195"/>
      <c r="Z57" s="195"/>
      <c r="AA57" s="195"/>
      <c r="AB57" s="195"/>
      <c r="AC57" s="195"/>
      <c r="AD57" s="195"/>
      <c r="AE57" s="195"/>
      <c r="AF57" s="195"/>
      <c r="AG57" s="195"/>
      <c r="AH57" s="195"/>
      <c r="AI57" s="195"/>
      <c r="AJ57" s="195"/>
      <c r="AK57" s="195"/>
      <c r="AL57" s="12">
        <v>34</v>
      </c>
      <c r="AM57" s="195"/>
      <c r="AN57" s="195"/>
      <c r="AO57" s="195"/>
      <c r="AP57" s="195"/>
      <c r="AQ57" s="195"/>
      <c r="AR57" s="195"/>
      <c r="AS57" s="195"/>
      <c r="AT57" s="195"/>
      <c r="AU57" s="195"/>
      <c r="AV57" s="195"/>
      <c r="AW57" s="195"/>
      <c r="AX57" s="195"/>
      <c r="AY57" s="195"/>
      <c r="AZ57" s="195"/>
      <c r="BA57" s="195"/>
      <c r="BB57" s="195"/>
      <c r="BC57" s="195"/>
      <c r="BD57" s="12">
        <v>34</v>
      </c>
      <c r="BE57" s="195"/>
      <c r="BF57" s="195"/>
      <c r="BG57" s="195"/>
      <c r="BH57" s="195"/>
      <c r="BI57" s="195"/>
      <c r="BJ57" s="195"/>
      <c r="BK57" s="195"/>
      <c r="BL57" s="195"/>
      <c r="BM57" s="195"/>
      <c r="BN57" s="195"/>
      <c r="BO57" s="195"/>
      <c r="BP57" s="195"/>
      <c r="BQ57" s="195"/>
      <c r="BR57" s="195"/>
      <c r="BS57" s="195"/>
      <c r="BT57" s="195"/>
      <c r="BU57" s="195"/>
      <c r="BV57" s="12">
        <v>34</v>
      </c>
      <c r="BW57" s="195"/>
      <c r="BX57" s="195"/>
      <c r="BY57" s="195"/>
      <c r="BZ57" s="195"/>
      <c r="CA57" s="195"/>
      <c r="CB57" s="195"/>
      <c r="CC57" s="195"/>
      <c r="CD57" s="195"/>
      <c r="CE57" s="195"/>
      <c r="CF57" s="195"/>
      <c r="CG57" s="195"/>
      <c r="CH57" s="195"/>
      <c r="CI57" s="195"/>
      <c r="CJ57" s="195"/>
      <c r="CK57" s="195"/>
      <c r="CL57" s="195"/>
      <c r="CM57" s="195"/>
      <c r="CN57" s="12">
        <v>34</v>
      </c>
      <c r="CO57" s="195"/>
      <c r="CP57" s="195"/>
      <c r="CQ57" s="195"/>
      <c r="CR57" s="195"/>
      <c r="CS57" s="195"/>
      <c r="CT57" s="195"/>
      <c r="CU57" s="195"/>
      <c r="CV57" s="195"/>
      <c r="CW57" s="195"/>
      <c r="CX57" s="195"/>
      <c r="CY57" s="195"/>
      <c r="CZ57" s="195"/>
      <c r="DA57" s="195"/>
      <c r="DB57" s="195"/>
      <c r="DC57" s="195"/>
      <c r="DD57" s="195"/>
      <c r="DE57" s="195"/>
      <c r="DF57" s="12">
        <v>34</v>
      </c>
      <c r="DG57" s="195"/>
      <c r="DH57" s="195"/>
      <c r="DI57" s="195"/>
      <c r="DJ57" s="195"/>
      <c r="DK57" s="195"/>
      <c r="DL57" s="195"/>
      <c r="DM57" s="195"/>
      <c r="DN57" s="195"/>
      <c r="DO57" s="195"/>
      <c r="DP57" s="195"/>
      <c r="DQ57" s="195"/>
      <c r="DR57" s="195"/>
      <c r="DS57" s="195"/>
      <c r="DT57" s="195"/>
      <c r="DU57" s="195"/>
      <c r="DV57" s="195"/>
      <c r="DW57" s="195"/>
      <c r="DX57" s="12">
        <v>34</v>
      </c>
      <c r="DY57" s="195"/>
      <c r="DZ57" s="195"/>
      <c r="EA57" s="195"/>
      <c r="EB57" s="195"/>
      <c r="EC57" s="195"/>
      <c r="ED57" s="195"/>
      <c r="EE57" s="195"/>
      <c r="EF57" s="195"/>
      <c r="EG57" s="195"/>
      <c r="EH57" s="195"/>
      <c r="EI57" s="195"/>
      <c r="EJ57" s="195"/>
      <c r="EK57" s="195"/>
      <c r="EL57" s="195"/>
      <c r="EM57" s="195"/>
      <c r="EN57" s="195"/>
      <c r="EO57" s="195"/>
      <c r="EP57" s="12">
        <v>34</v>
      </c>
      <c r="EQ57" s="195"/>
      <c r="ER57" s="195"/>
      <c r="ES57" s="195"/>
      <c r="ET57" s="195"/>
      <c r="EU57" s="195"/>
      <c r="EV57" s="195"/>
      <c r="EW57" s="195"/>
      <c r="EX57" s="195"/>
      <c r="EY57" s="195"/>
      <c r="EZ57" s="195"/>
      <c r="FA57" s="195"/>
      <c r="FB57" s="195"/>
      <c r="FC57" s="195"/>
      <c r="FD57" s="195"/>
      <c r="FE57" s="195"/>
      <c r="FF57" s="195"/>
      <c r="FG57" s="195"/>
      <c r="FH57" s="12">
        <v>34</v>
      </c>
      <c r="FI57" s="195"/>
      <c r="FJ57" s="195"/>
      <c r="FK57" s="195"/>
      <c r="FL57" s="195"/>
      <c r="FM57" s="195"/>
      <c r="FN57" s="195"/>
      <c r="FO57" s="195"/>
      <c r="FP57" s="195"/>
      <c r="FQ57" s="195"/>
      <c r="FR57" s="195"/>
      <c r="FS57" s="195"/>
      <c r="FT57" s="195"/>
      <c r="FU57" s="195"/>
      <c r="FV57" s="195"/>
      <c r="FW57" s="195"/>
      <c r="FX57" s="195"/>
      <c r="FY57" s="195"/>
    </row>
    <row r="58" spans="2:181" x14ac:dyDescent="0.25">
      <c r="B58" s="12">
        <v>35</v>
      </c>
      <c r="C58" s="195"/>
      <c r="D58" s="195"/>
      <c r="E58" s="195"/>
      <c r="F58" s="195"/>
      <c r="G58" s="195"/>
      <c r="H58" s="195"/>
      <c r="I58" s="195"/>
      <c r="J58" s="195"/>
      <c r="K58" s="195"/>
      <c r="L58" s="195"/>
      <c r="M58" s="195"/>
      <c r="N58" s="195"/>
      <c r="O58" s="195"/>
      <c r="P58" s="195"/>
      <c r="Q58" s="195"/>
      <c r="R58" s="195"/>
      <c r="S58" s="195"/>
      <c r="T58" s="12">
        <v>35</v>
      </c>
      <c r="U58" s="195"/>
      <c r="V58" s="195"/>
      <c r="W58" s="195"/>
      <c r="X58" s="195"/>
      <c r="Y58" s="195"/>
      <c r="Z58" s="195"/>
      <c r="AA58" s="195"/>
      <c r="AB58" s="195"/>
      <c r="AC58" s="195"/>
      <c r="AD58" s="195"/>
      <c r="AE58" s="195"/>
      <c r="AF58" s="195"/>
      <c r="AG58" s="195"/>
      <c r="AH58" s="195"/>
      <c r="AI58" s="195"/>
      <c r="AJ58" s="195"/>
      <c r="AK58" s="195"/>
      <c r="AL58" s="12">
        <v>35</v>
      </c>
      <c r="AM58" s="195"/>
      <c r="AN58" s="195"/>
      <c r="AO58" s="195"/>
      <c r="AP58" s="195"/>
      <c r="AQ58" s="195"/>
      <c r="AR58" s="195"/>
      <c r="AS58" s="195"/>
      <c r="AT58" s="195"/>
      <c r="AU58" s="195"/>
      <c r="AV58" s="195"/>
      <c r="AW58" s="195"/>
      <c r="AX58" s="195"/>
      <c r="AY58" s="195"/>
      <c r="AZ58" s="195"/>
      <c r="BA58" s="195"/>
      <c r="BB58" s="195"/>
      <c r="BC58" s="195"/>
      <c r="BD58" s="12">
        <v>35</v>
      </c>
      <c r="BE58" s="195"/>
      <c r="BF58" s="195"/>
      <c r="BG58" s="195"/>
      <c r="BH58" s="195"/>
      <c r="BI58" s="195"/>
      <c r="BJ58" s="195"/>
      <c r="BK58" s="195"/>
      <c r="BL58" s="195"/>
      <c r="BM58" s="195"/>
      <c r="BN58" s="195"/>
      <c r="BO58" s="195"/>
      <c r="BP58" s="195"/>
      <c r="BQ58" s="195"/>
      <c r="BR58" s="195"/>
      <c r="BS58" s="195"/>
      <c r="BT58" s="195"/>
      <c r="BU58" s="195"/>
      <c r="BV58" s="12">
        <v>35</v>
      </c>
      <c r="BW58" s="195"/>
      <c r="BX58" s="195"/>
      <c r="BY58" s="195"/>
      <c r="BZ58" s="195"/>
      <c r="CA58" s="195"/>
      <c r="CB58" s="195"/>
      <c r="CC58" s="195"/>
      <c r="CD58" s="195"/>
      <c r="CE58" s="195"/>
      <c r="CF58" s="195"/>
      <c r="CG58" s="195"/>
      <c r="CH58" s="195"/>
      <c r="CI58" s="195"/>
      <c r="CJ58" s="195"/>
      <c r="CK58" s="195"/>
      <c r="CL58" s="195"/>
      <c r="CM58" s="195"/>
      <c r="CN58" s="12">
        <v>35</v>
      </c>
      <c r="CO58" s="195"/>
      <c r="CP58" s="195"/>
      <c r="CQ58" s="195"/>
      <c r="CR58" s="195"/>
      <c r="CS58" s="195"/>
      <c r="CT58" s="195"/>
      <c r="CU58" s="195"/>
      <c r="CV58" s="195"/>
      <c r="CW58" s="195"/>
      <c r="CX58" s="195"/>
      <c r="CY58" s="195"/>
      <c r="CZ58" s="195"/>
      <c r="DA58" s="195"/>
      <c r="DB58" s="195"/>
      <c r="DC58" s="195"/>
      <c r="DD58" s="195"/>
      <c r="DE58" s="195"/>
      <c r="DF58" s="12">
        <v>35</v>
      </c>
      <c r="DG58" s="195"/>
      <c r="DH58" s="195"/>
      <c r="DI58" s="195"/>
      <c r="DJ58" s="195"/>
      <c r="DK58" s="195"/>
      <c r="DL58" s="195"/>
      <c r="DM58" s="195"/>
      <c r="DN58" s="195"/>
      <c r="DO58" s="195"/>
      <c r="DP58" s="195"/>
      <c r="DQ58" s="195"/>
      <c r="DR58" s="195"/>
      <c r="DS58" s="195"/>
      <c r="DT58" s="195"/>
      <c r="DU58" s="195"/>
      <c r="DV58" s="195"/>
      <c r="DW58" s="195"/>
      <c r="DX58" s="12">
        <v>35</v>
      </c>
      <c r="DY58" s="195"/>
      <c r="DZ58" s="195"/>
      <c r="EA58" s="195"/>
      <c r="EB58" s="195"/>
      <c r="EC58" s="195"/>
      <c r="ED58" s="195"/>
      <c r="EE58" s="195"/>
      <c r="EF58" s="195"/>
      <c r="EG58" s="195"/>
      <c r="EH58" s="195"/>
      <c r="EI58" s="195"/>
      <c r="EJ58" s="195"/>
      <c r="EK58" s="195"/>
      <c r="EL58" s="195"/>
      <c r="EM58" s="195"/>
      <c r="EN58" s="195"/>
      <c r="EO58" s="195"/>
      <c r="EP58" s="12">
        <v>35</v>
      </c>
      <c r="EQ58" s="195"/>
      <c r="ER58" s="195"/>
      <c r="ES58" s="195"/>
      <c r="ET58" s="195"/>
      <c r="EU58" s="195"/>
      <c r="EV58" s="195"/>
      <c r="EW58" s="195"/>
      <c r="EX58" s="195"/>
      <c r="EY58" s="195"/>
      <c r="EZ58" s="195"/>
      <c r="FA58" s="195"/>
      <c r="FB58" s="195"/>
      <c r="FC58" s="195"/>
      <c r="FD58" s="195"/>
      <c r="FE58" s="195"/>
      <c r="FF58" s="195"/>
      <c r="FG58" s="195"/>
      <c r="FH58" s="12">
        <v>35</v>
      </c>
      <c r="FI58" s="195"/>
      <c r="FJ58" s="195"/>
      <c r="FK58" s="195"/>
      <c r="FL58" s="195"/>
      <c r="FM58" s="195"/>
      <c r="FN58" s="195"/>
      <c r="FO58" s="195"/>
      <c r="FP58" s="195"/>
      <c r="FQ58" s="195"/>
      <c r="FR58" s="195"/>
      <c r="FS58" s="195"/>
      <c r="FT58" s="195"/>
      <c r="FU58" s="195"/>
      <c r="FV58" s="195"/>
      <c r="FW58" s="195"/>
      <c r="FX58" s="195"/>
      <c r="FY58" s="195"/>
    </row>
    <row r="59" spans="2:181" x14ac:dyDescent="0.25">
      <c r="B59" s="12">
        <v>36</v>
      </c>
      <c r="C59" s="195"/>
      <c r="D59" s="195"/>
      <c r="E59" s="195"/>
      <c r="F59" s="195"/>
      <c r="G59" s="195"/>
      <c r="H59" s="195"/>
      <c r="I59" s="195"/>
      <c r="J59" s="195"/>
      <c r="K59" s="195"/>
      <c r="L59" s="195"/>
      <c r="M59" s="195"/>
      <c r="N59" s="195"/>
      <c r="O59" s="195"/>
      <c r="P59" s="195"/>
      <c r="Q59" s="195"/>
      <c r="R59" s="195"/>
      <c r="S59" s="195"/>
      <c r="T59" s="12">
        <v>36</v>
      </c>
      <c r="U59" s="195"/>
      <c r="V59" s="195"/>
      <c r="W59" s="195"/>
      <c r="X59" s="195"/>
      <c r="Y59" s="195"/>
      <c r="Z59" s="195"/>
      <c r="AA59" s="195"/>
      <c r="AB59" s="195"/>
      <c r="AC59" s="195"/>
      <c r="AD59" s="195"/>
      <c r="AE59" s="195"/>
      <c r="AF59" s="195"/>
      <c r="AG59" s="195"/>
      <c r="AH59" s="195"/>
      <c r="AI59" s="195"/>
      <c r="AJ59" s="195"/>
      <c r="AK59" s="195"/>
      <c r="AL59" s="12">
        <v>36</v>
      </c>
      <c r="AM59" s="195"/>
      <c r="AN59" s="195"/>
      <c r="AO59" s="195"/>
      <c r="AP59" s="195"/>
      <c r="AQ59" s="195"/>
      <c r="AR59" s="195"/>
      <c r="AS59" s="195"/>
      <c r="AT59" s="195"/>
      <c r="AU59" s="195"/>
      <c r="AV59" s="195"/>
      <c r="AW59" s="195"/>
      <c r="AX59" s="195"/>
      <c r="AY59" s="195"/>
      <c r="AZ59" s="195"/>
      <c r="BA59" s="195"/>
      <c r="BB59" s="195"/>
      <c r="BC59" s="195"/>
      <c r="BD59" s="12">
        <v>36</v>
      </c>
      <c r="BE59" s="195"/>
      <c r="BF59" s="195"/>
      <c r="BG59" s="195"/>
      <c r="BH59" s="195"/>
      <c r="BI59" s="195"/>
      <c r="BJ59" s="195"/>
      <c r="BK59" s="195"/>
      <c r="BL59" s="195"/>
      <c r="BM59" s="195"/>
      <c r="BN59" s="195"/>
      <c r="BO59" s="195"/>
      <c r="BP59" s="195"/>
      <c r="BQ59" s="195"/>
      <c r="BR59" s="195"/>
      <c r="BS59" s="195"/>
      <c r="BT59" s="195"/>
      <c r="BU59" s="195"/>
      <c r="BV59" s="12">
        <v>36</v>
      </c>
      <c r="BW59" s="195"/>
      <c r="BX59" s="195"/>
      <c r="BY59" s="195"/>
      <c r="BZ59" s="195"/>
      <c r="CA59" s="195"/>
      <c r="CB59" s="195"/>
      <c r="CC59" s="195"/>
      <c r="CD59" s="195"/>
      <c r="CE59" s="195"/>
      <c r="CF59" s="195"/>
      <c r="CG59" s="195"/>
      <c r="CH59" s="195"/>
      <c r="CI59" s="195"/>
      <c r="CJ59" s="195"/>
      <c r="CK59" s="195"/>
      <c r="CL59" s="195"/>
      <c r="CM59" s="195"/>
      <c r="CN59" s="12">
        <v>36</v>
      </c>
      <c r="CO59" s="195"/>
      <c r="CP59" s="195"/>
      <c r="CQ59" s="195"/>
      <c r="CR59" s="195"/>
      <c r="CS59" s="195"/>
      <c r="CT59" s="195"/>
      <c r="CU59" s="195"/>
      <c r="CV59" s="195"/>
      <c r="CW59" s="195"/>
      <c r="CX59" s="195"/>
      <c r="CY59" s="195"/>
      <c r="CZ59" s="195"/>
      <c r="DA59" s="195"/>
      <c r="DB59" s="195"/>
      <c r="DC59" s="195"/>
      <c r="DD59" s="195"/>
      <c r="DE59" s="195"/>
      <c r="DF59" s="12">
        <v>36</v>
      </c>
      <c r="DG59" s="195"/>
      <c r="DH59" s="195"/>
      <c r="DI59" s="195"/>
      <c r="DJ59" s="195"/>
      <c r="DK59" s="195"/>
      <c r="DL59" s="195"/>
      <c r="DM59" s="195"/>
      <c r="DN59" s="195"/>
      <c r="DO59" s="195"/>
      <c r="DP59" s="195"/>
      <c r="DQ59" s="195"/>
      <c r="DR59" s="195"/>
      <c r="DS59" s="195"/>
      <c r="DT59" s="195"/>
      <c r="DU59" s="195"/>
      <c r="DV59" s="195"/>
      <c r="DW59" s="195"/>
      <c r="DX59" s="12">
        <v>36</v>
      </c>
      <c r="DY59" s="195"/>
      <c r="DZ59" s="195"/>
      <c r="EA59" s="195"/>
      <c r="EB59" s="195"/>
      <c r="EC59" s="195"/>
      <c r="ED59" s="195"/>
      <c r="EE59" s="195"/>
      <c r="EF59" s="195"/>
      <c r="EG59" s="195"/>
      <c r="EH59" s="195"/>
      <c r="EI59" s="195"/>
      <c r="EJ59" s="195"/>
      <c r="EK59" s="195"/>
      <c r="EL59" s="195"/>
      <c r="EM59" s="195"/>
      <c r="EN59" s="195"/>
      <c r="EO59" s="195"/>
      <c r="EP59" s="12">
        <v>36</v>
      </c>
      <c r="EQ59" s="195"/>
      <c r="ER59" s="195"/>
      <c r="ES59" s="195"/>
      <c r="ET59" s="195"/>
      <c r="EU59" s="195"/>
      <c r="EV59" s="195"/>
      <c r="EW59" s="195"/>
      <c r="EX59" s="195"/>
      <c r="EY59" s="195"/>
      <c r="EZ59" s="195"/>
      <c r="FA59" s="195"/>
      <c r="FB59" s="195"/>
      <c r="FC59" s="195"/>
      <c r="FD59" s="195"/>
      <c r="FE59" s="195"/>
      <c r="FF59" s="195"/>
      <c r="FG59" s="195"/>
      <c r="FH59" s="12">
        <v>36</v>
      </c>
      <c r="FI59" s="195"/>
      <c r="FJ59" s="195"/>
      <c r="FK59" s="195"/>
      <c r="FL59" s="195"/>
      <c r="FM59" s="195"/>
      <c r="FN59" s="195"/>
      <c r="FO59" s="195"/>
      <c r="FP59" s="195"/>
      <c r="FQ59" s="195"/>
      <c r="FR59" s="195"/>
      <c r="FS59" s="195"/>
      <c r="FT59" s="195"/>
      <c r="FU59" s="195"/>
      <c r="FV59" s="195"/>
      <c r="FW59" s="195"/>
      <c r="FX59" s="195"/>
      <c r="FY59" s="195"/>
    </row>
    <row r="60" spans="2:181" x14ac:dyDescent="0.25">
      <c r="B60" s="12">
        <v>37</v>
      </c>
      <c r="C60" s="195"/>
      <c r="D60" s="195"/>
      <c r="E60" s="195"/>
      <c r="F60" s="195"/>
      <c r="G60" s="195"/>
      <c r="H60" s="195"/>
      <c r="I60" s="195"/>
      <c r="J60" s="195"/>
      <c r="K60" s="195"/>
      <c r="L60" s="195"/>
      <c r="M60" s="195"/>
      <c r="N60" s="195"/>
      <c r="O60" s="195"/>
      <c r="P60" s="195"/>
      <c r="Q60" s="195"/>
      <c r="R60" s="195"/>
      <c r="S60" s="195"/>
      <c r="T60" s="12">
        <v>37</v>
      </c>
      <c r="U60" s="195"/>
      <c r="V60" s="195"/>
      <c r="W60" s="195"/>
      <c r="X60" s="195"/>
      <c r="Y60" s="195"/>
      <c r="Z60" s="195"/>
      <c r="AA60" s="195"/>
      <c r="AB60" s="195"/>
      <c r="AC60" s="195"/>
      <c r="AD60" s="195"/>
      <c r="AE60" s="195"/>
      <c r="AF60" s="195"/>
      <c r="AG60" s="195"/>
      <c r="AH60" s="195"/>
      <c r="AI60" s="195"/>
      <c r="AJ60" s="195"/>
      <c r="AK60" s="195"/>
      <c r="AL60" s="12">
        <v>37</v>
      </c>
      <c r="AM60" s="195"/>
      <c r="AN60" s="195"/>
      <c r="AO60" s="195"/>
      <c r="AP60" s="195"/>
      <c r="AQ60" s="195"/>
      <c r="AR60" s="195"/>
      <c r="AS60" s="195"/>
      <c r="AT60" s="195"/>
      <c r="AU60" s="195"/>
      <c r="AV60" s="195"/>
      <c r="AW60" s="195"/>
      <c r="AX60" s="195"/>
      <c r="AY60" s="195"/>
      <c r="AZ60" s="195"/>
      <c r="BA60" s="195"/>
      <c r="BB60" s="195"/>
      <c r="BC60" s="195"/>
      <c r="BD60" s="12">
        <v>37</v>
      </c>
      <c r="BE60" s="195"/>
      <c r="BF60" s="195"/>
      <c r="BG60" s="195"/>
      <c r="BH60" s="195"/>
      <c r="BI60" s="195"/>
      <c r="BJ60" s="195"/>
      <c r="BK60" s="195"/>
      <c r="BL60" s="195"/>
      <c r="BM60" s="195"/>
      <c r="BN60" s="195"/>
      <c r="BO60" s="195"/>
      <c r="BP60" s="195"/>
      <c r="BQ60" s="195"/>
      <c r="BR60" s="195"/>
      <c r="BS60" s="195"/>
      <c r="BT60" s="195"/>
      <c r="BU60" s="195"/>
      <c r="BV60" s="12">
        <v>37</v>
      </c>
      <c r="BW60" s="195"/>
      <c r="BX60" s="195"/>
      <c r="BY60" s="195"/>
      <c r="BZ60" s="195"/>
      <c r="CA60" s="195"/>
      <c r="CB60" s="195"/>
      <c r="CC60" s="195"/>
      <c r="CD60" s="195"/>
      <c r="CE60" s="195"/>
      <c r="CF60" s="195"/>
      <c r="CG60" s="195"/>
      <c r="CH60" s="195"/>
      <c r="CI60" s="195"/>
      <c r="CJ60" s="195"/>
      <c r="CK60" s="195"/>
      <c r="CL60" s="195"/>
      <c r="CM60" s="195"/>
      <c r="CN60" s="12">
        <v>37</v>
      </c>
      <c r="CO60" s="195"/>
      <c r="CP60" s="195"/>
      <c r="CQ60" s="195"/>
      <c r="CR60" s="195"/>
      <c r="CS60" s="195"/>
      <c r="CT60" s="195"/>
      <c r="CU60" s="195"/>
      <c r="CV60" s="195"/>
      <c r="CW60" s="195"/>
      <c r="CX60" s="195"/>
      <c r="CY60" s="195"/>
      <c r="CZ60" s="195"/>
      <c r="DA60" s="195"/>
      <c r="DB60" s="195"/>
      <c r="DC60" s="195"/>
      <c r="DD60" s="195"/>
      <c r="DE60" s="195"/>
      <c r="DF60" s="12">
        <v>37</v>
      </c>
      <c r="DG60" s="195"/>
      <c r="DH60" s="195"/>
      <c r="DI60" s="195"/>
      <c r="DJ60" s="195"/>
      <c r="DK60" s="195"/>
      <c r="DL60" s="195"/>
      <c r="DM60" s="195"/>
      <c r="DN60" s="195"/>
      <c r="DO60" s="195"/>
      <c r="DP60" s="195"/>
      <c r="DQ60" s="195"/>
      <c r="DR60" s="195"/>
      <c r="DS60" s="195"/>
      <c r="DT60" s="195"/>
      <c r="DU60" s="195"/>
      <c r="DV60" s="195"/>
      <c r="DW60" s="195"/>
      <c r="DX60" s="12">
        <v>37</v>
      </c>
      <c r="DY60" s="195"/>
      <c r="DZ60" s="195"/>
      <c r="EA60" s="195"/>
      <c r="EB60" s="195"/>
      <c r="EC60" s="195"/>
      <c r="ED60" s="195"/>
      <c r="EE60" s="195"/>
      <c r="EF60" s="195"/>
      <c r="EG60" s="195"/>
      <c r="EH60" s="195"/>
      <c r="EI60" s="195"/>
      <c r="EJ60" s="195"/>
      <c r="EK60" s="195"/>
      <c r="EL60" s="195"/>
      <c r="EM60" s="195"/>
      <c r="EN60" s="195"/>
      <c r="EO60" s="195"/>
      <c r="EP60" s="12">
        <v>37</v>
      </c>
      <c r="EQ60" s="195"/>
      <c r="ER60" s="195"/>
      <c r="ES60" s="195"/>
      <c r="ET60" s="195"/>
      <c r="EU60" s="195"/>
      <c r="EV60" s="195"/>
      <c r="EW60" s="195"/>
      <c r="EX60" s="195"/>
      <c r="EY60" s="195"/>
      <c r="EZ60" s="195"/>
      <c r="FA60" s="195"/>
      <c r="FB60" s="195"/>
      <c r="FC60" s="195"/>
      <c r="FD60" s="195"/>
      <c r="FE60" s="195"/>
      <c r="FF60" s="195"/>
      <c r="FG60" s="195"/>
      <c r="FH60" s="12">
        <v>37</v>
      </c>
      <c r="FI60" s="195"/>
      <c r="FJ60" s="195"/>
      <c r="FK60" s="195"/>
      <c r="FL60" s="195"/>
      <c r="FM60" s="195"/>
      <c r="FN60" s="195"/>
      <c r="FO60" s="195"/>
      <c r="FP60" s="195"/>
      <c r="FQ60" s="195"/>
      <c r="FR60" s="195"/>
      <c r="FS60" s="195"/>
      <c r="FT60" s="195"/>
      <c r="FU60" s="195"/>
      <c r="FV60" s="195"/>
      <c r="FW60" s="195"/>
      <c r="FX60" s="195"/>
      <c r="FY60" s="195"/>
    </row>
    <row r="61" spans="2:181" x14ac:dyDescent="0.25">
      <c r="B61" s="12">
        <v>38</v>
      </c>
      <c r="C61" s="195"/>
      <c r="D61" s="195"/>
      <c r="E61" s="195"/>
      <c r="F61" s="195"/>
      <c r="G61" s="195"/>
      <c r="H61" s="195"/>
      <c r="I61" s="195"/>
      <c r="J61" s="195"/>
      <c r="K61" s="195"/>
      <c r="L61" s="195"/>
      <c r="M61" s="195"/>
      <c r="N61" s="195"/>
      <c r="O61" s="195"/>
      <c r="P61" s="195"/>
      <c r="Q61" s="195"/>
      <c r="R61" s="195"/>
      <c r="S61" s="195"/>
      <c r="T61" s="12">
        <v>38</v>
      </c>
      <c r="U61" s="195"/>
      <c r="V61" s="195"/>
      <c r="W61" s="195"/>
      <c r="X61" s="195"/>
      <c r="Y61" s="195"/>
      <c r="Z61" s="195"/>
      <c r="AA61" s="195"/>
      <c r="AB61" s="195"/>
      <c r="AC61" s="195"/>
      <c r="AD61" s="195"/>
      <c r="AE61" s="195"/>
      <c r="AF61" s="195"/>
      <c r="AG61" s="195"/>
      <c r="AH61" s="195"/>
      <c r="AI61" s="195"/>
      <c r="AJ61" s="195"/>
      <c r="AK61" s="195"/>
      <c r="AL61" s="12">
        <v>38</v>
      </c>
      <c r="AM61" s="195"/>
      <c r="AN61" s="195"/>
      <c r="AO61" s="195"/>
      <c r="AP61" s="195"/>
      <c r="AQ61" s="195"/>
      <c r="AR61" s="195"/>
      <c r="AS61" s="195"/>
      <c r="AT61" s="195"/>
      <c r="AU61" s="195"/>
      <c r="AV61" s="195"/>
      <c r="AW61" s="195"/>
      <c r="AX61" s="195"/>
      <c r="AY61" s="195"/>
      <c r="AZ61" s="195"/>
      <c r="BA61" s="195"/>
      <c r="BB61" s="195"/>
      <c r="BC61" s="195"/>
      <c r="BD61" s="12">
        <v>38</v>
      </c>
      <c r="BE61" s="195"/>
      <c r="BF61" s="195"/>
      <c r="BG61" s="195"/>
      <c r="BH61" s="195"/>
      <c r="BI61" s="195"/>
      <c r="BJ61" s="195"/>
      <c r="BK61" s="195"/>
      <c r="BL61" s="195"/>
      <c r="BM61" s="195"/>
      <c r="BN61" s="195"/>
      <c r="BO61" s="195"/>
      <c r="BP61" s="195"/>
      <c r="BQ61" s="195"/>
      <c r="BR61" s="195"/>
      <c r="BS61" s="195"/>
      <c r="BT61" s="195"/>
      <c r="BU61" s="195"/>
      <c r="BV61" s="12">
        <v>38</v>
      </c>
      <c r="BW61" s="195"/>
      <c r="BX61" s="195"/>
      <c r="BY61" s="195"/>
      <c r="BZ61" s="195"/>
      <c r="CA61" s="195"/>
      <c r="CB61" s="195"/>
      <c r="CC61" s="195"/>
      <c r="CD61" s="195"/>
      <c r="CE61" s="195"/>
      <c r="CF61" s="195"/>
      <c r="CG61" s="195"/>
      <c r="CH61" s="195"/>
      <c r="CI61" s="195"/>
      <c r="CJ61" s="195"/>
      <c r="CK61" s="195"/>
      <c r="CL61" s="195"/>
      <c r="CM61" s="195"/>
      <c r="CN61" s="12">
        <v>38</v>
      </c>
      <c r="CO61" s="195"/>
      <c r="CP61" s="195"/>
      <c r="CQ61" s="195"/>
      <c r="CR61" s="195"/>
      <c r="CS61" s="195"/>
      <c r="CT61" s="195"/>
      <c r="CU61" s="195"/>
      <c r="CV61" s="195"/>
      <c r="CW61" s="195"/>
      <c r="CX61" s="195"/>
      <c r="CY61" s="195"/>
      <c r="CZ61" s="195"/>
      <c r="DA61" s="195"/>
      <c r="DB61" s="195"/>
      <c r="DC61" s="195"/>
      <c r="DD61" s="195"/>
      <c r="DE61" s="195"/>
      <c r="DF61" s="12">
        <v>38</v>
      </c>
      <c r="DG61" s="195"/>
      <c r="DH61" s="195"/>
      <c r="DI61" s="195"/>
      <c r="DJ61" s="195"/>
      <c r="DK61" s="195"/>
      <c r="DL61" s="195"/>
      <c r="DM61" s="195"/>
      <c r="DN61" s="195"/>
      <c r="DO61" s="195"/>
      <c r="DP61" s="195"/>
      <c r="DQ61" s="195"/>
      <c r="DR61" s="195"/>
      <c r="DS61" s="195"/>
      <c r="DT61" s="195"/>
      <c r="DU61" s="195"/>
      <c r="DV61" s="195"/>
      <c r="DW61" s="195"/>
      <c r="DX61" s="12">
        <v>38</v>
      </c>
      <c r="DY61" s="195"/>
      <c r="DZ61" s="195"/>
      <c r="EA61" s="195"/>
      <c r="EB61" s="195"/>
      <c r="EC61" s="195"/>
      <c r="ED61" s="195"/>
      <c r="EE61" s="195"/>
      <c r="EF61" s="195"/>
      <c r="EG61" s="195"/>
      <c r="EH61" s="195"/>
      <c r="EI61" s="195"/>
      <c r="EJ61" s="195"/>
      <c r="EK61" s="195"/>
      <c r="EL61" s="195"/>
      <c r="EM61" s="195"/>
      <c r="EN61" s="195"/>
      <c r="EO61" s="195"/>
      <c r="EP61" s="12">
        <v>38</v>
      </c>
      <c r="EQ61" s="195"/>
      <c r="ER61" s="195"/>
      <c r="ES61" s="195"/>
      <c r="ET61" s="195"/>
      <c r="EU61" s="195"/>
      <c r="EV61" s="195"/>
      <c r="EW61" s="195"/>
      <c r="EX61" s="195"/>
      <c r="EY61" s="195"/>
      <c r="EZ61" s="195"/>
      <c r="FA61" s="195"/>
      <c r="FB61" s="195"/>
      <c r="FC61" s="195"/>
      <c r="FD61" s="195"/>
      <c r="FE61" s="195"/>
      <c r="FF61" s="195"/>
      <c r="FG61" s="195"/>
      <c r="FH61" s="12">
        <v>38</v>
      </c>
      <c r="FI61" s="195"/>
      <c r="FJ61" s="195"/>
      <c r="FK61" s="195"/>
      <c r="FL61" s="195"/>
      <c r="FM61" s="195"/>
      <c r="FN61" s="195"/>
      <c r="FO61" s="195"/>
      <c r="FP61" s="195"/>
      <c r="FQ61" s="195"/>
      <c r="FR61" s="195"/>
      <c r="FS61" s="195"/>
      <c r="FT61" s="195"/>
      <c r="FU61" s="195"/>
      <c r="FV61" s="195"/>
      <c r="FW61" s="195"/>
      <c r="FX61" s="195"/>
      <c r="FY61" s="195"/>
    </row>
    <row r="62" spans="2:181" x14ac:dyDescent="0.25">
      <c r="B62" s="12">
        <v>39</v>
      </c>
      <c r="C62" s="195"/>
      <c r="D62" s="195"/>
      <c r="E62" s="195"/>
      <c r="F62" s="195"/>
      <c r="G62" s="195"/>
      <c r="H62" s="195"/>
      <c r="I62" s="195"/>
      <c r="J62" s="195"/>
      <c r="K62" s="195"/>
      <c r="L62" s="195"/>
      <c r="M62" s="195"/>
      <c r="N62" s="195"/>
      <c r="O62" s="195"/>
      <c r="P62" s="195"/>
      <c r="Q62" s="195"/>
      <c r="R62" s="195"/>
      <c r="S62" s="195"/>
      <c r="T62" s="12">
        <v>39</v>
      </c>
      <c r="U62" s="195"/>
      <c r="V62" s="195"/>
      <c r="W62" s="195"/>
      <c r="X62" s="195"/>
      <c r="Y62" s="195"/>
      <c r="Z62" s="195"/>
      <c r="AA62" s="195"/>
      <c r="AB62" s="195"/>
      <c r="AC62" s="195"/>
      <c r="AD62" s="195"/>
      <c r="AE62" s="195"/>
      <c r="AF62" s="195"/>
      <c r="AG62" s="195"/>
      <c r="AH62" s="195"/>
      <c r="AI62" s="195"/>
      <c r="AJ62" s="195"/>
      <c r="AK62" s="195"/>
      <c r="AL62" s="12">
        <v>39</v>
      </c>
      <c r="AM62" s="195"/>
      <c r="AN62" s="195"/>
      <c r="AO62" s="195"/>
      <c r="AP62" s="195"/>
      <c r="AQ62" s="195"/>
      <c r="AR62" s="195"/>
      <c r="AS62" s="195"/>
      <c r="AT62" s="195"/>
      <c r="AU62" s="195"/>
      <c r="AV62" s="195"/>
      <c r="AW62" s="195"/>
      <c r="AX62" s="195"/>
      <c r="AY62" s="195"/>
      <c r="AZ62" s="195"/>
      <c r="BA62" s="195"/>
      <c r="BB62" s="195"/>
      <c r="BC62" s="195"/>
      <c r="BD62" s="12">
        <v>39</v>
      </c>
      <c r="BE62" s="195"/>
      <c r="BF62" s="195"/>
      <c r="BG62" s="195"/>
      <c r="BH62" s="195"/>
      <c r="BI62" s="195"/>
      <c r="BJ62" s="195"/>
      <c r="BK62" s="195"/>
      <c r="BL62" s="195"/>
      <c r="BM62" s="195"/>
      <c r="BN62" s="195"/>
      <c r="BO62" s="195"/>
      <c r="BP62" s="195"/>
      <c r="BQ62" s="195"/>
      <c r="BR62" s="195"/>
      <c r="BS62" s="195"/>
      <c r="BT62" s="195"/>
      <c r="BU62" s="195"/>
      <c r="BV62" s="12">
        <v>39</v>
      </c>
      <c r="BW62" s="195"/>
      <c r="BX62" s="195"/>
      <c r="BY62" s="195"/>
      <c r="BZ62" s="195"/>
      <c r="CA62" s="195"/>
      <c r="CB62" s="195"/>
      <c r="CC62" s="195"/>
      <c r="CD62" s="195"/>
      <c r="CE62" s="195"/>
      <c r="CF62" s="195"/>
      <c r="CG62" s="195"/>
      <c r="CH62" s="195"/>
      <c r="CI62" s="195"/>
      <c r="CJ62" s="195"/>
      <c r="CK62" s="195"/>
      <c r="CL62" s="195"/>
      <c r="CM62" s="195"/>
      <c r="CN62" s="12">
        <v>39</v>
      </c>
      <c r="CO62" s="195"/>
      <c r="CP62" s="195"/>
      <c r="CQ62" s="195"/>
      <c r="CR62" s="195"/>
      <c r="CS62" s="195"/>
      <c r="CT62" s="195"/>
      <c r="CU62" s="195"/>
      <c r="CV62" s="195"/>
      <c r="CW62" s="195"/>
      <c r="CX62" s="195"/>
      <c r="CY62" s="195"/>
      <c r="CZ62" s="195"/>
      <c r="DA62" s="195"/>
      <c r="DB62" s="195"/>
      <c r="DC62" s="195"/>
      <c r="DD62" s="195"/>
      <c r="DE62" s="195"/>
      <c r="DF62" s="12">
        <v>39</v>
      </c>
      <c r="DG62" s="195"/>
      <c r="DH62" s="195"/>
      <c r="DI62" s="195"/>
      <c r="DJ62" s="195"/>
      <c r="DK62" s="195"/>
      <c r="DL62" s="195"/>
      <c r="DM62" s="195"/>
      <c r="DN62" s="195"/>
      <c r="DO62" s="195"/>
      <c r="DP62" s="195"/>
      <c r="DQ62" s="195"/>
      <c r="DR62" s="195"/>
      <c r="DS62" s="195"/>
      <c r="DT62" s="195"/>
      <c r="DU62" s="195"/>
      <c r="DV62" s="195"/>
      <c r="DW62" s="195"/>
      <c r="DX62" s="12">
        <v>39</v>
      </c>
      <c r="DY62" s="195"/>
      <c r="DZ62" s="195"/>
      <c r="EA62" s="195"/>
      <c r="EB62" s="195"/>
      <c r="EC62" s="195"/>
      <c r="ED62" s="195"/>
      <c r="EE62" s="195"/>
      <c r="EF62" s="195"/>
      <c r="EG62" s="195"/>
      <c r="EH62" s="195"/>
      <c r="EI62" s="195"/>
      <c r="EJ62" s="195"/>
      <c r="EK62" s="195"/>
      <c r="EL62" s="195"/>
      <c r="EM62" s="195"/>
      <c r="EN62" s="195"/>
      <c r="EO62" s="195"/>
      <c r="EP62" s="12">
        <v>39</v>
      </c>
      <c r="EQ62" s="195"/>
      <c r="ER62" s="195"/>
      <c r="ES62" s="195"/>
      <c r="ET62" s="195"/>
      <c r="EU62" s="195"/>
      <c r="EV62" s="195"/>
      <c r="EW62" s="195"/>
      <c r="EX62" s="195"/>
      <c r="EY62" s="195"/>
      <c r="EZ62" s="195"/>
      <c r="FA62" s="195"/>
      <c r="FB62" s="195"/>
      <c r="FC62" s="195"/>
      <c r="FD62" s="195"/>
      <c r="FE62" s="195"/>
      <c r="FF62" s="195"/>
      <c r="FG62" s="195"/>
      <c r="FH62" s="12">
        <v>39</v>
      </c>
      <c r="FI62" s="195"/>
      <c r="FJ62" s="195"/>
      <c r="FK62" s="195"/>
      <c r="FL62" s="195"/>
      <c r="FM62" s="195"/>
      <c r="FN62" s="195"/>
      <c r="FO62" s="195"/>
      <c r="FP62" s="195"/>
      <c r="FQ62" s="195"/>
      <c r="FR62" s="195"/>
      <c r="FS62" s="195"/>
      <c r="FT62" s="195"/>
      <c r="FU62" s="195"/>
      <c r="FV62" s="195"/>
      <c r="FW62" s="195"/>
      <c r="FX62" s="195"/>
      <c r="FY62" s="195"/>
    </row>
    <row r="63" spans="2:181" x14ac:dyDescent="0.25">
      <c r="B63" s="12">
        <v>40</v>
      </c>
      <c r="C63" s="195"/>
      <c r="D63" s="195"/>
      <c r="E63" s="195"/>
      <c r="F63" s="195"/>
      <c r="G63" s="195"/>
      <c r="H63" s="195"/>
      <c r="I63" s="195"/>
      <c r="J63" s="195"/>
      <c r="K63" s="195"/>
      <c r="L63" s="195"/>
      <c r="M63" s="195"/>
      <c r="N63" s="195"/>
      <c r="O63" s="195"/>
      <c r="P63" s="195"/>
      <c r="Q63" s="195"/>
      <c r="R63" s="195"/>
      <c r="S63" s="195"/>
      <c r="T63" s="12">
        <v>40</v>
      </c>
      <c r="U63" s="195"/>
      <c r="V63" s="195"/>
      <c r="W63" s="195"/>
      <c r="X63" s="195"/>
      <c r="Y63" s="195"/>
      <c r="Z63" s="195"/>
      <c r="AA63" s="195"/>
      <c r="AB63" s="195"/>
      <c r="AC63" s="195"/>
      <c r="AD63" s="195"/>
      <c r="AE63" s="195"/>
      <c r="AF63" s="195"/>
      <c r="AG63" s="195"/>
      <c r="AH63" s="195"/>
      <c r="AI63" s="195"/>
      <c r="AJ63" s="195"/>
      <c r="AK63" s="195"/>
      <c r="AL63" s="12">
        <v>40</v>
      </c>
      <c r="AM63" s="195"/>
      <c r="AN63" s="195"/>
      <c r="AO63" s="195"/>
      <c r="AP63" s="195"/>
      <c r="AQ63" s="195"/>
      <c r="AR63" s="195"/>
      <c r="AS63" s="195"/>
      <c r="AT63" s="195"/>
      <c r="AU63" s="195"/>
      <c r="AV63" s="195"/>
      <c r="AW63" s="195"/>
      <c r="AX63" s="195"/>
      <c r="AY63" s="195"/>
      <c r="AZ63" s="195"/>
      <c r="BA63" s="195"/>
      <c r="BB63" s="195"/>
      <c r="BC63" s="195"/>
      <c r="BD63" s="12">
        <v>40</v>
      </c>
      <c r="BE63" s="195"/>
      <c r="BF63" s="195"/>
      <c r="BG63" s="195"/>
      <c r="BH63" s="195"/>
      <c r="BI63" s="195"/>
      <c r="BJ63" s="195"/>
      <c r="BK63" s="195"/>
      <c r="BL63" s="195"/>
      <c r="BM63" s="195"/>
      <c r="BN63" s="195"/>
      <c r="BO63" s="195"/>
      <c r="BP63" s="195"/>
      <c r="BQ63" s="195"/>
      <c r="BR63" s="195"/>
      <c r="BS63" s="195"/>
      <c r="BT63" s="195"/>
      <c r="BU63" s="195"/>
      <c r="BV63" s="12">
        <v>40</v>
      </c>
      <c r="BW63" s="195"/>
      <c r="BX63" s="195"/>
      <c r="BY63" s="195"/>
      <c r="BZ63" s="195"/>
      <c r="CA63" s="195"/>
      <c r="CB63" s="195"/>
      <c r="CC63" s="195"/>
      <c r="CD63" s="195"/>
      <c r="CE63" s="195"/>
      <c r="CF63" s="195"/>
      <c r="CG63" s="195"/>
      <c r="CH63" s="195"/>
      <c r="CI63" s="195"/>
      <c r="CJ63" s="195"/>
      <c r="CK63" s="195"/>
      <c r="CL63" s="195"/>
      <c r="CM63" s="195"/>
      <c r="CN63" s="12">
        <v>40</v>
      </c>
      <c r="CO63" s="195"/>
      <c r="CP63" s="195"/>
      <c r="CQ63" s="195"/>
      <c r="CR63" s="195"/>
      <c r="CS63" s="195"/>
      <c r="CT63" s="195"/>
      <c r="CU63" s="195"/>
      <c r="CV63" s="195"/>
      <c r="CW63" s="195"/>
      <c r="CX63" s="195"/>
      <c r="CY63" s="195"/>
      <c r="CZ63" s="195"/>
      <c r="DA63" s="195"/>
      <c r="DB63" s="195"/>
      <c r="DC63" s="195"/>
      <c r="DD63" s="195"/>
      <c r="DE63" s="195"/>
      <c r="DF63" s="12">
        <v>40</v>
      </c>
      <c r="DG63" s="195"/>
      <c r="DH63" s="195"/>
      <c r="DI63" s="195"/>
      <c r="DJ63" s="195"/>
      <c r="DK63" s="195"/>
      <c r="DL63" s="195"/>
      <c r="DM63" s="195"/>
      <c r="DN63" s="195"/>
      <c r="DO63" s="195"/>
      <c r="DP63" s="195"/>
      <c r="DQ63" s="195"/>
      <c r="DR63" s="195"/>
      <c r="DS63" s="195"/>
      <c r="DT63" s="195"/>
      <c r="DU63" s="195"/>
      <c r="DV63" s="195"/>
      <c r="DW63" s="195"/>
      <c r="DX63" s="12">
        <v>40</v>
      </c>
      <c r="DY63" s="195"/>
      <c r="DZ63" s="195"/>
      <c r="EA63" s="195"/>
      <c r="EB63" s="195"/>
      <c r="EC63" s="195"/>
      <c r="ED63" s="195"/>
      <c r="EE63" s="195"/>
      <c r="EF63" s="195"/>
      <c r="EG63" s="195"/>
      <c r="EH63" s="195"/>
      <c r="EI63" s="195"/>
      <c r="EJ63" s="195"/>
      <c r="EK63" s="195"/>
      <c r="EL63" s="195"/>
      <c r="EM63" s="195"/>
      <c r="EN63" s="195"/>
      <c r="EO63" s="195"/>
      <c r="EP63" s="12">
        <v>40</v>
      </c>
      <c r="EQ63" s="195"/>
      <c r="ER63" s="195"/>
      <c r="ES63" s="195"/>
      <c r="ET63" s="195"/>
      <c r="EU63" s="195"/>
      <c r="EV63" s="195"/>
      <c r="EW63" s="195"/>
      <c r="EX63" s="195"/>
      <c r="EY63" s="195"/>
      <c r="EZ63" s="195"/>
      <c r="FA63" s="195"/>
      <c r="FB63" s="195"/>
      <c r="FC63" s="195"/>
      <c r="FD63" s="195"/>
      <c r="FE63" s="195"/>
      <c r="FF63" s="195"/>
      <c r="FG63" s="195"/>
      <c r="FH63" s="12">
        <v>40</v>
      </c>
      <c r="FI63" s="195"/>
      <c r="FJ63" s="195"/>
      <c r="FK63" s="195"/>
      <c r="FL63" s="195"/>
      <c r="FM63" s="195"/>
      <c r="FN63" s="195"/>
      <c r="FO63" s="195"/>
      <c r="FP63" s="195"/>
      <c r="FQ63" s="195"/>
      <c r="FR63" s="195"/>
      <c r="FS63" s="195"/>
      <c r="FT63" s="195"/>
      <c r="FU63" s="195"/>
      <c r="FV63" s="195"/>
      <c r="FW63" s="195"/>
      <c r="FX63" s="195"/>
      <c r="FY63" s="195"/>
    </row>
    <row r="64" spans="2:181" x14ac:dyDescent="0.25">
      <c r="B64" s="12">
        <v>41</v>
      </c>
      <c r="C64" s="195"/>
      <c r="D64" s="195"/>
      <c r="E64" s="195"/>
      <c r="F64" s="195"/>
      <c r="G64" s="195"/>
      <c r="H64" s="195"/>
      <c r="I64" s="195"/>
      <c r="J64" s="195"/>
      <c r="K64" s="195"/>
      <c r="L64" s="195"/>
      <c r="M64" s="195"/>
      <c r="N64" s="195"/>
      <c r="O64" s="195"/>
      <c r="P64" s="195"/>
      <c r="Q64" s="195"/>
      <c r="R64" s="195"/>
      <c r="S64" s="195"/>
      <c r="T64" s="12">
        <v>41</v>
      </c>
      <c r="U64" s="195"/>
      <c r="V64" s="195"/>
      <c r="W64" s="195"/>
      <c r="X64" s="195"/>
      <c r="Y64" s="195"/>
      <c r="Z64" s="195"/>
      <c r="AA64" s="195"/>
      <c r="AB64" s="195"/>
      <c r="AC64" s="195"/>
      <c r="AD64" s="195"/>
      <c r="AE64" s="195"/>
      <c r="AF64" s="195"/>
      <c r="AG64" s="195"/>
      <c r="AH64" s="195"/>
      <c r="AI64" s="195"/>
      <c r="AJ64" s="195"/>
      <c r="AK64" s="195"/>
      <c r="AL64" s="12">
        <v>41</v>
      </c>
      <c r="AM64" s="195"/>
      <c r="AN64" s="195"/>
      <c r="AO64" s="195"/>
      <c r="AP64" s="195"/>
      <c r="AQ64" s="195"/>
      <c r="AR64" s="195"/>
      <c r="AS64" s="195"/>
      <c r="AT64" s="195"/>
      <c r="AU64" s="195"/>
      <c r="AV64" s="195"/>
      <c r="AW64" s="195"/>
      <c r="AX64" s="195"/>
      <c r="AY64" s="195"/>
      <c r="AZ64" s="195"/>
      <c r="BA64" s="195"/>
      <c r="BB64" s="195"/>
      <c r="BC64" s="195"/>
      <c r="BD64" s="12">
        <v>41</v>
      </c>
      <c r="BE64" s="195"/>
      <c r="BF64" s="195"/>
      <c r="BG64" s="195"/>
      <c r="BH64" s="195"/>
      <c r="BI64" s="195"/>
      <c r="BJ64" s="195"/>
      <c r="BK64" s="195"/>
      <c r="BL64" s="195"/>
      <c r="BM64" s="195"/>
      <c r="BN64" s="195"/>
      <c r="BO64" s="195"/>
      <c r="BP64" s="195"/>
      <c r="BQ64" s="195"/>
      <c r="BR64" s="195"/>
      <c r="BS64" s="195"/>
      <c r="BT64" s="195"/>
      <c r="BU64" s="195"/>
      <c r="BV64" s="12">
        <v>41</v>
      </c>
      <c r="BW64" s="195"/>
      <c r="BX64" s="195"/>
      <c r="BY64" s="195"/>
      <c r="BZ64" s="195"/>
      <c r="CA64" s="195"/>
      <c r="CB64" s="195"/>
      <c r="CC64" s="195"/>
      <c r="CD64" s="195"/>
      <c r="CE64" s="195"/>
      <c r="CF64" s="195"/>
      <c r="CG64" s="195"/>
      <c r="CH64" s="195"/>
      <c r="CI64" s="195"/>
      <c r="CJ64" s="195"/>
      <c r="CK64" s="195"/>
      <c r="CL64" s="195"/>
      <c r="CM64" s="195"/>
      <c r="CN64" s="12">
        <v>41</v>
      </c>
      <c r="CO64" s="195"/>
      <c r="CP64" s="195"/>
      <c r="CQ64" s="195"/>
      <c r="CR64" s="195"/>
      <c r="CS64" s="195"/>
      <c r="CT64" s="195"/>
      <c r="CU64" s="195"/>
      <c r="CV64" s="195"/>
      <c r="CW64" s="195"/>
      <c r="CX64" s="195"/>
      <c r="CY64" s="195"/>
      <c r="CZ64" s="195"/>
      <c r="DA64" s="195"/>
      <c r="DB64" s="195"/>
      <c r="DC64" s="195"/>
      <c r="DD64" s="195"/>
      <c r="DE64" s="195"/>
      <c r="DF64" s="12">
        <v>41</v>
      </c>
      <c r="DG64" s="195"/>
      <c r="DH64" s="195"/>
      <c r="DI64" s="195"/>
      <c r="DJ64" s="195"/>
      <c r="DK64" s="195"/>
      <c r="DL64" s="195"/>
      <c r="DM64" s="195"/>
      <c r="DN64" s="195"/>
      <c r="DO64" s="195"/>
      <c r="DP64" s="195"/>
      <c r="DQ64" s="195"/>
      <c r="DR64" s="195"/>
      <c r="DS64" s="195"/>
      <c r="DT64" s="195"/>
      <c r="DU64" s="195"/>
      <c r="DV64" s="195"/>
      <c r="DW64" s="195"/>
      <c r="DX64" s="12">
        <v>41</v>
      </c>
      <c r="DY64" s="195"/>
      <c r="DZ64" s="195"/>
      <c r="EA64" s="195"/>
      <c r="EB64" s="195"/>
      <c r="EC64" s="195"/>
      <c r="ED64" s="195"/>
      <c r="EE64" s="195"/>
      <c r="EF64" s="195"/>
      <c r="EG64" s="195"/>
      <c r="EH64" s="195"/>
      <c r="EI64" s="195"/>
      <c r="EJ64" s="195"/>
      <c r="EK64" s="195"/>
      <c r="EL64" s="195"/>
      <c r="EM64" s="195"/>
      <c r="EN64" s="195"/>
      <c r="EO64" s="195"/>
      <c r="EP64" s="12">
        <v>41</v>
      </c>
      <c r="EQ64" s="195"/>
      <c r="ER64" s="195"/>
      <c r="ES64" s="195"/>
      <c r="ET64" s="195"/>
      <c r="EU64" s="195"/>
      <c r="EV64" s="195"/>
      <c r="EW64" s="195"/>
      <c r="EX64" s="195"/>
      <c r="EY64" s="195"/>
      <c r="EZ64" s="195"/>
      <c r="FA64" s="195"/>
      <c r="FB64" s="195"/>
      <c r="FC64" s="195"/>
      <c r="FD64" s="195"/>
      <c r="FE64" s="195"/>
      <c r="FF64" s="195"/>
      <c r="FG64" s="195"/>
      <c r="FH64" s="12">
        <v>41</v>
      </c>
      <c r="FI64" s="195"/>
      <c r="FJ64" s="195"/>
      <c r="FK64" s="195"/>
      <c r="FL64" s="195"/>
      <c r="FM64" s="195"/>
      <c r="FN64" s="195"/>
      <c r="FO64" s="195"/>
      <c r="FP64" s="195"/>
      <c r="FQ64" s="195"/>
      <c r="FR64" s="195"/>
      <c r="FS64" s="195"/>
      <c r="FT64" s="195"/>
      <c r="FU64" s="195"/>
      <c r="FV64" s="195"/>
      <c r="FW64" s="195"/>
      <c r="FX64" s="195"/>
      <c r="FY64" s="195"/>
    </row>
    <row r="65" spans="2:181" x14ac:dyDescent="0.25">
      <c r="B65" s="12">
        <v>42</v>
      </c>
      <c r="C65" s="195"/>
      <c r="D65" s="195"/>
      <c r="E65" s="195"/>
      <c r="F65" s="195"/>
      <c r="G65" s="195"/>
      <c r="H65" s="195"/>
      <c r="I65" s="195"/>
      <c r="J65" s="195"/>
      <c r="K65" s="195"/>
      <c r="L65" s="195"/>
      <c r="M65" s="195"/>
      <c r="N65" s="195"/>
      <c r="O65" s="195"/>
      <c r="P65" s="195"/>
      <c r="Q65" s="195"/>
      <c r="R65" s="195"/>
      <c r="S65" s="195"/>
      <c r="T65" s="12">
        <v>42</v>
      </c>
      <c r="U65" s="195"/>
      <c r="V65" s="195"/>
      <c r="W65" s="195"/>
      <c r="X65" s="195"/>
      <c r="Y65" s="195"/>
      <c r="Z65" s="195"/>
      <c r="AA65" s="195"/>
      <c r="AB65" s="195"/>
      <c r="AC65" s="195"/>
      <c r="AD65" s="195"/>
      <c r="AE65" s="195"/>
      <c r="AF65" s="195"/>
      <c r="AG65" s="195"/>
      <c r="AH65" s="195"/>
      <c r="AI65" s="195"/>
      <c r="AJ65" s="195"/>
      <c r="AK65" s="195"/>
      <c r="AL65" s="12">
        <v>42</v>
      </c>
      <c r="AM65" s="195"/>
      <c r="AN65" s="195"/>
      <c r="AO65" s="195"/>
      <c r="AP65" s="195"/>
      <c r="AQ65" s="195"/>
      <c r="AR65" s="195"/>
      <c r="AS65" s="195"/>
      <c r="AT65" s="195"/>
      <c r="AU65" s="195"/>
      <c r="AV65" s="195"/>
      <c r="AW65" s="195"/>
      <c r="AX65" s="195"/>
      <c r="AY65" s="195"/>
      <c r="AZ65" s="195"/>
      <c r="BA65" s="195"/>
      <c r="BB65" s="195"/>
      <c r="BC65" s="195"/>
      <c r="BD65" s="12">
        <v>42</v>
      </c>
      <c r="BE65" s="195"/>
      <c r="BF65" s="195"/>
      <c r="BG65" s="195"/>
      <c r="BH65" s="195"/>
      <c r="BI65" s="195"/>
      <c r="BJ65" s="195"/>
      <c r="BK65" s="195"/>
      <c r="BL65" s="195"/>
      <c r="BM65" s="195"/>
      <c r="BN65" s="195"/>
      <c r="BO65" s="195"/>
      <c r="BP65" s="195"/>
      <c r="BQ65" s="195"/>
      <c r="BR65" s="195"/>
      <c r="BS65" s="195"/>
      <c r="BT65" s="195"/>
      <c r="BU65" s="195"/>
      <c r="BV65" s="12">
        <v>42</v>
      </c>
      <c r="BW65" s="195"/>
      <c r="BX65" s="195"/>
      <c r="BY65" s="195"/>
      <c r="BZ65" s="195"/>
      <c r="CA65" s="195"/>
      <c r="CB65" s="195"/>
      <c r="CC65" s="195"/>
      <c r="CD65" s="195"/>
      <c r="CE65" s="195"/>
      <c r="CF65" s="195"/>
      <c r="CG65" s="195"/>
      <c r="CH65" s="195"/>
      <c r="CI65" s="195"/>
      <c r="CJ65" s="195"/>
      <c r="CK65" s="195"/>
      <c r="CL65" s="195"/>
      <c r="CM65" s="195"/>
      <c r="CN65" s="12">
        <v>42</v>
      </c>
      <c r="CO65" s="195"/>
      <c r="CP65" s="195"/>
      <c r="CQ65" s="195"/>
      <c r="CR65" s="195"/>
      <c r="CS65" s="195"/>
      <c r="CT65" s="195"/>
      <c r="CU65" s="195"/>
      <c r="CV65" s="195"/>
      <c r="CW65" s="195"/>
      <c r="CX65" s="195"/>
      <c r="CY65" s="195"/>
      <c r="CZ65" s="195"/>
      <c r="DA65" s="195"/>
      <c r="DB65" s="195"/>
      <c r="DC65" s="195"/>
      <c r="DD65" s="195"/>
      <c r="DE65" s="195"/>
      <c r="DF65" s="12">
        <v>42</v>
      </c>
      <c r="DG65" s="195"/>
      <c r="DH65" s="195"/>
      <c r="DI65" s="195"/>
      <c r="DJ65" s="195"/>
      <c r="DK65" s="195"/>
      <c r="DL65" s="195"/>
      <c r="DM65" s="195"/>
      <c r="DN65" s="195"/>
      <c r="DO65" s="195"/>
      <c r="DP65" s="195"/>
      <c r="DQ65" s="195"/>
      <c r="DR65" s="195"/>
      <c r="DS65" s="195"/>
      <c r="DT65" s="195"/>
      <c r="DU65" s="195"/>
      <c r="DV65" s="195"/>
      <c r="DW65" s="195"/>
      <c r="DX65" s="12">
        <v>42</v>
      </c>
      <c r="DY65" s="195"/>
      <c r="DZ65" s="195"/>
      <c r="EA65" s="195"/>
      <c r="EB65" s="195"/>
      <c r="EC65" s="195"/>
      <c r="ED65" s="195"/>
      <c r="EE65" s="195"/>
      <c r="EF65" s="195"/>
      <c r="EG65" s="195"/>
      <c r="EH65" s="195"/>
      <c r="EI65" s="195"/>
      <c r="EJ65" s="195"/>
      <c r="EK65" s="195"/>
      <c r="EL65" s="195"/>
      <c r="EM65" s="195"/>
      <c r="EN65" s="195"/>
      <c r="EO65" s="195"/>
      <c r="EP65" s="12">
        <v>42</v>
      </c>
      <c r="EQ65" s="195"/>
      <c r="ER65" s="195"/>
      <c r="ES65" s="195"/>
      <c r="ET65" s="195"/>
      <c r="EU65" s="195"/>
      <c r="EV65" s="195"/>
      <c r="EW65" s="195"/>
      <c r="EX65" s="195"/>
      <c r="EY65" s="195"/>
      <c r="EZ65" s="195"/>
      <c r="FA65" s="195"/>
      <c r="FB65" s="195"/>
      <c r="FC65" s="195"/>
      <c r="FD65" s="195"/>
      <c r="FE65" s="195"/>
      <c r="FF65" s="195"/>
      <c r="FG65" s="195"/>
      <c r="FH65" s="12">
        <v>42</v>
      </c>
      <c r="FI65" s="195"/>
      <c r="FJ65" s="195"/>
      <c r="FK65" s="195"/>
      <c r="FL65" s="195"/>
      <c r="FM65" s="195"/>
      <c r="FN65" s="195"/>
      <c r="FO65" s="195"/>
      <c r="FP65" s="195"/>
      <c r="FQ65" s="195"/>
      <c r="FR65" s="195"/>
      <c r="FS65" s="195"/>
      <c r="FT65" s="195"/>
      <c r="FU65" s="195"/>
      <c r="FV65" s="195"/>
      <c r="FW65" s="195"/>
      <c r="FX65" s="195"/>
      <c r="FY65" s="195"/>
    </row>
    <row r="66" spans="2:181" x14ac:dyDescent="0.25">
      <c r="B66" s="12">
        <v>43</v>
      </c>
      <c r="C66" s="195"/>
      <c r="D66" s="195"/>
      <c r="E66" s="195"/>
      <c r="F66" s="195"/>
      <c r="G66" s="195"/>
      <c r="H66" s="195"/>
      <c r="I66" s="195"/>
      <c r="J66" s="195"/>
      <c r="K66" s="195"/>
      <c r="L66" s="195"/>
      <c r="M66" s="195"/>
      <c r="N66" s="195"/>
      <c r="O66" s="195"/>
      <c r="P66" s="195"/>
      <c r="Q66" s="195"/>
      <c r="R66" s="195"/>
      <c r="S66" s="195"/>
      <c r="T66" s="12">
        <v>43</v>
      </c>
      <c r="U66" s="195"/>
      <c r="V66" s="195"/>
      <c r="W66" s="195"/>
      <c r="X66" s="195"/>
      <c r="Y66" s="195"/>
      <c r="Z66" s="195"/>
      <c r="AA66" s="195"/>
      <c r="AB66" s="195"/>
      <c r="AC66" s="195"/>
      <c r="AD66" s="195"/>
      <c r="AE66" s="195"/>
      <c r="AF66" s="195"/>
      <c r="AG66" s="195"/>
      <c r="AH66" s="195"/>
      <c r="AI66" s="195"/>
      <c r="AJ66" s="195"/>
      <c r="AK66" s="195"/>
      <c r="AL66" s="12">
        <v>43</v>
      </c>
      <c r="AM66" s="195"/>
      <c r="AN66" s="195"/>
      <c r="AO66" s="195"/>
      <c r="AP66" s="195"/>
      <c r="AQ66" s="195"/>
      <c r="AR66" s="195"/>
      <c r="AS66" s="195"/>
      <c r="AT66" s="195"/>
      <c r="AU66" s="195"/>
      <c r="AV66" s="195"/>
      <c r="AW66" s="195"/>
      <c r="AX66" s="195"/>
      <c r="AY66" s="195"/>
      <c r="AZ66" s="195"/>
      <c r="BA66" s="195"/>
      <c r="BB66" s="195"/>
      <c r="BC66" s="195"/>
      <c r="BD66" s="12">
        <v>43</v>
      </c>
      <c r="BE66" s="195"/>
      <c r="BF66" s="195"/>
      <c r="BG66" s="195"/>
      <c r="BH66" s="195"/>
      <c r="BI66" s="195"/>
      <c r="BJ66" s="195"/>
      <c r="BK66" s="195"/>
      <c r="BL66" s="195"/>
      <c r="BM66" s="195"/>
      <c r="BN66" s="195"/>
      <c r="BO66" s="195"/>
      <c r="BP66" s="195"/>
      <c r="BQ66" s="195"/>
      <c r="BR66" s="195"/>
      <c r="BS66" s="195"/>
      <c r="BT66" s="195"/>
      <c r="BU66" s="195"/>
      <c r="BV66" s="12">
        <v>43</v>
      </c>
      <c r="BW66" s="195"/>
      <c r="BX66" s="195"/>
      <c r="BY66" s="195"/>
      <c r="BZ66" s="195"/>
      <c r="CA66" s="195"/>
      <c r="CB66" s="195"/>
      <c r="CC66" s="195"/>
      <c r="CD66" s="195"/>
      <c r="CE66" s="195"/>
      <c r="CF66" s="195"/>
      <c r="CG66" s="195"/>
      <c r="CH66" s="195"/>
      <c r="CI66" s="195"/>
      <c r="CJ66" s="195"/>
      <c r="CK66" s="195"/>
      <c r="CL66" s="195"/>
      <c r="CM66" s="195"/>
      <c r="CN66" s="12">
        <v>43</v>
      </c>
      <c r="CO66" s="195"/>
      <c r="CP66" s="195"/>
      <c r="CQ66" s="195"/>
      <c r="CR66" s="195"/>
      <c r="CS66" s="195"/>
      <c r="CT66" s="195"/>
      <c r="CU66" s="195"/>
      <c r="CV66" s="195"/>
      <c r="CW66" s="195"/>
      <c r="CX66" s="195"/>
      <c r="CY66" s="195"/>
      <c r="CZ66" s="195"/>
      <c r="DA66" s="195"/>
      <c r="DB66" s="195"/>
      <c r="DC66" s="195"/>
      <c r="DD66" s="195"/>
      <c r="DE66" s="195"/>
      <c r="DF66" s="12">
        <v>43</v>
      </c>
      <c r="DG66" s="195"/>
      <c r="DH66" s="195"/>
      <c r="DI66" s="195"/>
      <c r="DJ66" s="195"/>
      <c r="DK66" s="195"/>
      <c r="DL66" s="195"/>
      <c r="DM66" s="195"/>
      <c r="DN66" s="195"/>
      <c r="DO66" s="195"/>
      <c r="DP66" s="195"/>
      <c r="DQ66" s="195"/>
      <c r="DR66" s="195"/>
      <c r="DS66" s="195"/>
      <c r="DT66" s="195"/>
      <c r="DU66" s="195"/>
      <c r="DV66" s="195"/>
      <c r="DW66" s="195"/>
      <c r="DX66" s="12">
        <v>43</v>
      </c>
      <c r="DY66" s="195"/>
      <c r="DZ66" s="195"/>
      <c r="EA66" s="195"/>
      <c r="EB66" s="195"/>
      <c r="EC66" s="195"/>
      <c r="ED66" s="195"/>
      <c r="EE66" s="195"/>
      <c r="EF66" s="195"/>
      <c r="EG66" s="195"/>
      <c r="EH66" s="195"/>
      <c r="EI66" s="195"/>
      <c r="EJ66" s="195"/>
      <c r="EK66" s="195"/>
      <c r="EL66" s="195"/>
      <c r="EM66" s="195"/>
      <c r="EN66" s="195"/>
      <c r="EO66" s="195"/>
      <c r="EP66" s="12">
        <v>43</v>
      </c>
      <c r="EQ66" s="195"/>
      <c r="ER66" s="195"/>
      <c r="ES66" s="195"/>
      <c r="ET66" s="195"/>
      <c r="EU66" s="195"/>
      <c r="EV66" s="195"/>
      <c r="EW66" s="195"/>
      <c r="EX66" s="195"/>
      <c r="EY66" s="195"/>
      <c r="EZ66" s="195"/>
      <c r="FA66" s="195"/>
      <c r="FB66" s="195"/>
      <c r="FC66" s="195"/>
      <c r="FD66" s="195"/>
      <c r="FE66" s="195"/>
      <c r="FF66" s="195"/>
      <c r="FG66" s="195"/>
      <c r="FH66" s="12">
        <v>43</v>
      </c>
      <c r="FI66" s="195"/>
      <c r="FJ66" s="195"/>
      <c r="FK66" s="195"/>
      <c r="FL66" s="195"/>
      <c r="FM66" s="195"/>
      <c r="FN66" s="195"/>
      <c r="FO66" s="195"/>
      <c r="FP66" s="195"/>
      <c r="FQ66" s="195"/>
      <c r="FR66" s="195"/>
      <c r="FS66" s="195"/>
      <c r="FT66" s="195"/>
      <c r="FU66" s="195"/>
      <c r="FV66" s="195"/>
      <c r="FW66" s="195"/>
      <c r="FX66" s="195"/>
      <c r="FY66" s="195"/>
    </row>
    <row r="67" spans="2:181" x14ac:dyDescent="0.25">
      <c r="B67" s="12">
        <v>44</v>
      </c>
      <c r="C67" s="195"/>
      <c r="D67" s="195"/>
      <c r="E67" s="195"/>
      <c r="F67" s="195"/>
      <c r="G67" s="195"/>
      <c r="H67" s="195"/>
      <c r="I67" s="195"/>
      <c r="J67" s="195"/>
      <c r="K67" s="195"/>
      <c r="L67" s="195"/>
      <c r="M67" s="195"/>
      <c r="N67" s="195"/>
      <c r="O67" s="195"/>
      <c r="P67" s="195"/>
      <c r="Q67" s="195"/>
      <c r="R67" s="195"/>
      <c r="S67" s="195"/>
      <c r="T67" s="12">
        <v>44</v>
      </c>
      <c r="U67" s="195"/>
      <c r="V67" s="195"/>
      <c r="W67" s="195"/>
      <c r="X67" s="195"/>
      <c r="Y67" s="195"/>
      <c r="Z67" s="195"/>
      <c r="AA67" s="195"/>
      <c r="AB67" s="195"/>
      <c r="AC67" s="195"/>
      <c r="AD67" s="195"/>
      <c r="AE67" s="195"/>
      <c r="AF67" s="195"/>
      <c r="AG67" s="195"/>
      <c r="AH67" s="195"/>
      <c r="AI67" s="195"/>
      <c r="AJ67" s="195"/>
      <c r="AK67" s="195"/>
      <c r="AL67" s="12">
        <v>44</v>
      </c>
      <c r="AM67" s="195"/>
      <c r="AN67" s="195"/>
      <c r="AO67" s="195"/>
      <c r="AP67" s="195"/>
      <c r="AQ67" s="195"/>
      <c r="AR67" s="195"/>
      <c r="AS67" s="195"/>
      <c r="AT67" s="195"/>
      <c r="AU67" s="195"/>
      <c r="AV67" s="195"/>
      <c r="AW67" s="195"/>
      <c r="AX67" s="195"/>
      <c r="AY67" s="195"/>
      <c r="AZ67" s="195"/>
      <c r="BA67" s="195"/>
      <c r="BB67" s="195"/>
      <c r="BC67" s="195"/>
      <c r="BD67" s="12">
        <v>44</v>
      </c>
      <c r="BE67" s="195"/>
      <c r="BF67" s="195"/>
      <c r="BG67" s="195"/>
      <c r="BH67" s="195"/>
      <c r="BI67" s="195"/>
      <c r="BJ67" s="195"/>
      <c r="BK67" s="195"/>
      <c r="BL67" s="195"/>
      <c r="BM67" s="195"/>
      <c r="BN67" s="195"/>
      <c r="BO67" s="195"/>
      <c r="BP67" s="195"/>
      <c r="BQ67" s="195"/>
      <c r="BR67" s="195"/>
      <c r="BS67" s="195"/>
      <c r="BT67" s="195"/>
      <c r="BU67" s="195"/>
      <c r="BV67" s="12">
        <v>44</v>
      </c>
      <c r="BW67" s="195"/>
      <c r="BX67" s="195"/>
      <c r="BY67" s="195"/>
      <c r="BZ67" s="195"/>
      <c r="CA67" s="195"/>
      <c r="CB67" s="195"/>
      <c r="CC67" s="195"/>
      <c r="CD67" s="195"/>
      <c r="CE67" s="195"/>
      <c r="CF67" s="195"/>
      <c r="CG67" s="195"/>
      <c r="CH67" s="195"/>
      <c r="CI67" s="195"/>
      <c r="CJ67" s="195"/>
      <c r="CK67" s="195"/>
      <c r="CL67" s="195"/>
      <c r="CM67" s="195"/>
      <c r="CN67" s="12">
        <v>44</v>
      </c>
      <c r="CO67" s="195"/>
      <c r="CP67" s="195"/>
      <c r="CQ67" s="195"/>
      <c r="CR67" s="195"/>
      <c r="CS67" s="195"/>
      <c r="CT67" s="195"/>
      <c r="CU67" s="195"/>
      <c r="CV67" s="195"/>
      <c r="CW67" s="195"/>
      <c r="CX67" s="195"/>
      <c r="CY67" s="195"/>
      <c r="CZ67" s="195"/>
      <c r="DA67" s="195"/>
      <c r="DB67" s="195"/>
      <c r="DC67" s="195"/>
      <c r="DD67" s="195"/>
      <c r="DE67" s="195"/>
      <c r="DF67" s="12">
        <v>44</v>
      </c>
      <c r="DG67" s="195"/>
      <c r="DH67" s="195"/>
      <c r="DI67" s="195"/>
      <c r="DJ67" s="195"/>
      <c r="DK67" s="195"/>
      <c r="DL67" s="195"/>
      <c r="DM67" s="195"/>
      <c r="DN67" s="195"/>
      <c r="DO67" s="195"/>
      <c r="DP67" s="195"/>
      <c r="DQ67" s="195"/>
      <c r="DR67" s="195"/>
      <c r="DS67" s="195"/>
      <c r="DT67" s="195"/>
      <c r="DU67" s="195"/>
      <c r="DV67" s="195"/>
      <c r="DW67" s="195"/>
      <c r="DX67" s="12">
        <v>44</v>
      </c>
      <c r="DY67" s="195"/>
      <c r="DZ67" s="195"/>
      <c r="EA67" s="195"/>
      <c r="EB67" s="195"/>
      <c r="EC67" s="195"/>
      <c r="ED67" s="195"/>
      <c r="EE67" s="195"/>
      <c r="EF67" s="195"/>
      <c r="EG67" s="195"/>
      <c r="EH67" s="195"/>
      <c r="EI67" s="195"/>
      <c r="EJ67" s="195"/>
      <c r="EK67" s="195"/>
      <c r="EL67" s="195"/>
      <c r="EM67" s="195"/>
      <c r="EN67" s="195"/>
      <c r="EO67" s="195"/>
      <c r="EP67" s="12">
        <v>44</v>
      </c>
      <c r="EQ67" s="195"/>
      <c r="ER67" s="195"/>
      <c r="ES67" s="195"/>
      <c r="ET67" s="195"/>
      <c r="EU67" s="195"/>
      <c r="EV67" s="195"/>
      <c r="EW67" s="195"/>
      <c r="EX67" s="195"/>
      <c r="EY67" s="195"/>
      <c r="EZ67" s="195"/>
      <c r="FA67" s="195"/>
      <c r="FB67" s="195"/>
      <c r="FC67" s="195"/>
      <c r="FD67" s="195"/>
      <c r="FE67" s="195"/>
      <c r="FF67" s="195"/>
      <c r="FG67" s="195"/>
      <c r="FH67" s="12">
        <v>44</v>
      </c>
      <c r="FI67" s="195"/>
      <c r="FJ67" s="195"/>
      <c r="FK67" s="195"/>
      <c r="FL67" s="195"/>
      <c r="FM67" s="195"/>
      <c r="FN67" s="195"/>
      <c r="FO67" s="195"/>
      <c r="FP67" s="195"/>
      <c r="FQ67" s="195"/>
      <c r="FR67" s="195"/>
      <c r="FS67" s="195"/>
      <c r="FT67" s="195"/>
      <c r="FU67" s="195"/>
      <c r="FV67" s="195"/>
      <c r="FW67" s="195"/>
      <c r="FX67" s="195"/>
      <c r="FY67" s="195"/>
    </row>
    <row r="68" spans="2:181" x14ac:dyDescent="0.25">
      <c r="B68" s="12">
        <v>45</v>
      </c>
      <c r="C68" s="195"/>
      <c r="D68" s="195"/>
      <c r="E68" s="195"/>
      <c r="F68" s="195"/>
      <c r="G68" s="195"/>
      <c r="H68" s="195"/>
      <c r="I68" s="195"/>
      <c r="J68" s="195"/>
      <c r="K68" s="195"/>
      <c r="L68" s="195"/>
      <c r="M68" s="195"/>
      <c r="N68" s="195"/>
      <c r="O68" s="195"/>
      <c r="P68" s="195"/>
      <c r="Q68" s="195"/>
      <c r="R68" s="195"/>
      <c r="S68" s="195"/>
      <c r="T68" s="12">
        <v>45</v>
      </c>
      <c r="U68" s="195"/>
      <c r="V68" s="195"/>
      <c r="W68" s="195"/>
      <c r="X68" s="195"/>
      <c r="Y68" s="195"/>
      <c r="Z68" s="195"/>
      <c r="AA68" s="195"/>
      <c r="AB68" s="195"/>
      <c r="AC68" s="195"/>
      <c r="AD68" s="195"/>
      <c r="AE68" s="195"/>
      <c r="AF68" s="195"/>
      <c r="AG68" s="195"/>
      <c r="AH68" s="195"/>
      <c r="AI68" s="195"/>
      <c r="AJ68" s="195"/>
      <c r="AK68" s="195"/>
      <c r="AL68" s="12">
        <v>45</v>
      </c>
      <c r="AM68" s="195"/>
      <c r="AN68" s="195"/>
      <c r="AO68" s="195"/>
      <c r="AP68" s="195"/>
      <c r="AQ68" s="195"/>
      <c r="AR68" s="195"/>
      <c r="AS68" s="195"/>
      <c r="AT68" s="195"/>
      <c r="AU68" s="195"/>
      <c r="AV68" s="195"/>
      <c r="AW68" s="195"/>
      <c r="AX68" s="195"/>
      <c r="AY68" s="195"/>
      <c r="AZ68" s="195"/>
      <c r="BA68" s="195"/>
      <c r="BB68" s="195"/>
      <c r="BC68" s="195"/>
      <c r="BD68" s="12">
        <v>45</v>
      </c>
      <c r="BE68" s="195"/>
      <c r="BF68" s="195"/>
      <c r="BG68" s="195"/>
      <c r="BH68" s="195"/>
      <c r="BI68" s="195"/>
      <c r="BJ68" s="195"/>
      <c r="BK68" s="195"/>
      <c r="BL68" s="195"/>
      <c r="BM68" s="195"/>
      <c r="BN68" s="195"/>
      <c r="BO68" s="195"/>
      <c r="BP68" s="195"/>
      <c r="BQ68" s="195"/>
      <c r="BR68" s="195"/>
      <c r="BS68" s="195"/>
      <c r="BT68" s="195"/>
      <c r="BU68" s="195"/>
      <c r="BV68" s="12">
        <v>45</v>
      </c>
      <c r="BW68" s="195"/>
      <c r="BX68" s="195"/>
      <c r="BY68" s="195"/>
      <c r="BZ68" s="195"/>
      <c r="CA68" s="195"/>
      <c r="CB68" s="195"/>
      <c r="CC68" s="195"/>
      <c r="CD68" s="195"/>
      <c r="CE68" s="195"/>
      <c r="CF68" s="195"/>
      <c r="CG68" s="195"/>
      <c r="CH68" s="195"/>
      <c r="CI68" s="195"/>
      <c r="CJ68" s="195"/>
      <c r="CK68" s="195"/>
      <c r="CL68" s="195"/>
      <c r="CM68" s="195"/>
      <c r="CN68" s="12">
        <v>45</v>
      </c>
      <c r="CO68" s="195"/>
      <c r="CP68" s="195"/>
      <c r="CQ68" s="195"/>
      <c r="CR68" s="195"/>
      <c r="CS68" s="195"/>
      <c r="CT68" s="195"/>
      <c r="CU68" s="195"/>
      <c r="CV68" s="195"/>
      <c r="CW68" s="195"/>
      <c r="CX68" s="195"/>
      <c r="CY68" s="195"/>
      <c r="CZ68" s="195"/>
      <c r="DA68" s="195"/>
      <c r="DB68" s="195"/>
      <c r="DC68" s="195"/>
      <c r="DD68" s="195"/>
      <c r="DE68" s="195"/>
      <c r="DF68" s="12">
        <v>45</v>
      </c>
      <c r="DG68" s="195"/>
      <c r="DH68" s="195"/>
      <c r="DI68" s="195"/>
      <c r="DJ68" s="195"/>
      <c r="DK68" s="195"/>
      <c r="DL68" s="195"/>
      <c r="DM68" s="195"/>
      <c r="DN68" s="195"/>
      <c r="DO68" s="195"/>
      <c r="DP68" s="195"/>
      <c r="DQ68" s="195"/>
      <c r="DR68" s="195"/>
      <c r="DS68" s="195"/>
      <c r="DT68" s="195"/>
      <c r="DU68" s="195"/>
      <c r="DV68" s="195"/>
      <c r="DW68" s="195"/>
      <c r="DX68" s="12">
        <v>45</v>
      </c>
      <c r="DY68" s="195"/>
      <c r="DZ68" s="195"/>
      <c r="EA68" s="195"/>
      <c r="EB68" s="195"/>
      <c r="EC68" s="195"/>
      <c r="ED68" s="195"/>
      <c r="EE68" s="195"/>
      <c r="EF68" s="195"/>
      <c r="EG68" s="195"/>
      <c r="EH68" s="195"/>
      <c r="EI68" s="195"/>
      <c r="EJ68" s="195"/>
      <c r="EK68" s="195"/>
      <c r="EL68" s="195"/>
      <c r="EM68" s="195"/>
      <c r="EN68" s="195"/>
      <c r="EO68" s="195"/>
      <c r="EP68" s="12">
        <v>45</v>
      </c>
      <c r="EQ68" s="195"/>
      <c r="ER68" s="195"/>
      <c r="ES68" s="195"/>
      <c r="ET68" s="195"/>
      <c r="EU68" s="195"/>
      <c r="EV68" s="195"/>
      <c r="EW68" s="195"/>
      <c r="EX68" s="195"/>
      <c r="EY68" s="195"/>
      <c r="EZ68" s="195"/>
      <c r="FA68" s="195"/>
      <c r="FB68" s="195"/>
      <c r="FC68" s="195"/>
      <c r="FD68" s="195"/>
      <c r="FE68" s="195"/>
      <c r="FF68" s="195"/>
      <c r="FG68" s="195"/>
      <c r="FH68" s="12">
        <v>45</v>
      </c>
      <c r="FI68" s="195"/>
      <c r="FJ68" s="195"/>
      <c r="FK68" s="195"/>
      <c r="FL68" s="195"/>
      <c r="FM68" s="195"/>
      <c r="FN68" s="195"/>
      <c r="FO68" s="195"/>
      <c r="FP68" s="195"/>
      <c r="FQ68" s="195"/>
      <c r="FR68" s="195"/>
      <c r="FS68" s="195"/>
      <c r="FT68" s="195"/>
      <c r="FU68" s="195"/>
      <c r="FV68" s="195"/>
      <c r="FW68" s="195"/>
      <c r="FX68" s="195"/>
      <c r="FY68" s="195"/>
    </row>
    <row r="69" spans="2:181" x14ac:dyDescent="0.25">
      <c r="B69" s="12">
        <v>46</v>
      </c>
      <c r="C69" s="195"/>
      <c r="D69" s="195"/>
      <c r="E69" s="195"/>
      <c r="F69" s="195"/>
      <c r="G69" s="195"/>
      <c r="H69" s="195"/>
      <c r="I69" s="195"/>
      <c r="J69" s="195"/>
      <c r="K69" s="195"/>
      <c r="L69" s="195"/>
      <c r="M69" s="195"/>
      <c r="N69" s="195"/>
      <c r="O69" s="195"/>
      <c r="P69" s="195"/>
      <c r="Q69" s="195"/>
      <c r="R69" s="195"/>
      <c r="S69" s="195"/>
      <c r="T69" s="12">
        <v>46</v>
      </c>
      <c r="U69" s="195"/>
      <c r="V69" s="195"/>
      <c r="W69" s="195"/>
      <c r="X69" s="195"/>
      <c r="Y69" s="195"/>
      <c r="Z69" s="195"/>
      <c r="AA69" s="195"/>
      <c r="AB69" s="195"/>
      <c r="AC69" s="195"/>
      <c r="AD69" s="195"/>
      <c r="AE69" s="195"/>
      <c r="AF69" s="195"/>
      <c r="AG69" s="195"/>
      <c r="AH69" s="195"/>
      <c r="AI69" s="195"/>
      <c r="AJ69" s="195"/>
      <c r="AK69" s="195"/>
      <c r="AL69" s="12">
        <v>46</v>
      </c>
      <c r="AM69" s="195"/>
      <c r="AN69" s="195"/>
      <c r="AO69" s="195"/>
      <c r="AP69" s="195"/>
      <c r="AQ69" s="195"/>
      <c r="AR69" s="195"/>
      <c r="AS69" s="195"/>
      <c r="AT69" s="195"/>
      <c r="AU69" s="195"/>
      <c r="AV69" s="195"/>
      <c r="AW69" s="195"/>
      <c r="AX69" s="195"/>
      <c r="AY69" s="195"/>
      <c r="AZ69" s="195"/>
      <c r="BA69" s="195"/>
      <c r="BB69" s="195"/>
      <c r="BC69" s="195"/>
      <c r="BD69" s="12">
        <v>46</v>
      </c>
      <c r="BE69" s="195"/>
      <c r="BF69" s="195"/>
      <c r="BG69" s="195"/>
      <c r="BH69" s="195"/>
      <c r="BI69" s="195"/>
      <c r="BJ69" s="195"/>
      <c r="BK69" s="195"/>
      <c r="BL69" s="195"/>
      <c r="BM69" s="195"/>
      <c r="BN69" s="195"/>
      <c r="BO69" s="195"/>
      <c r="BP69" s="195"/>
      <c r="BQ69" s="195"/>
      <c r="BR69" s="195"/>
      <c r="BS69" s="195"/>
      <c r="BT69" s="195"/>
      <c r="BU69" s="195"/>
      <c r="BV69" s="12">
        <v>46</v>
      </c>
      <c r="BW69" s="195"/>
      <c r="BX69" s="195"/>
      <c r="BY69" s="195"/>
      <c r="BZ69" s="195"/>
      <c r="CA69" s="195"/>
      <c r="CB69" s="195"/>
      <c r="CC69" s="195"/>
      <c r="CD69" s="195"/>
      <c r="CE69" s="195"/>
      <c r="CF69" s="195"/>
      <c r="CG69" s="195"/>
      <c r="CH69" s="195"/>
      <c r="CI69" s="195"/>
      <c r="CJ69" s="195"/>
      <c r="CK69" s="195"/>
      <c r="CL69" s="195"/>
      <c r="CM69" s="195"/>
      <c r="CN69" s="12">
        <v>46</v>
      </c>
      <c r="CO69" s="195"/>
      <c r="CP69" s="195"/>
      <c r="CQ69" s="195"/>
      <c r="CR69" s="195"/>
      <c r="CS69" s="195"/>
      <c r="CT69" s="195"/>
      <c r="CU69" s="195"/>
      <c r="CV69" s="195"/>
      <c r="CW69" s="195"/>
      <c r="CX69" s="195"/>
      <c r="CY69" s="195"/>
      <c r="CZ69" s="195"/>
      <c r="DA69" s="195"/>
      <c r="DB69" s="195"/>
      <c r="DC69" s="195"/>
      <c r="DD69" s="195"/>
      <c r="DE69" s="195"/>
      <c r="DF69" s="12">
        <v>46</v>
      </c>
      <c r="DG69" s="195"/>
      <c r="DH69" s="195"/>
      <c r="DI69" s="195"/>
      <c r="DJ69" s="195"/>
      <c r="DK69" s="195"/>
      <c r="DL69" s="195"/>
      <c r="DM69" s="195"/>
      <c r="DN69" s="195"/>
      <c r="DO69" s="195"/>
      <c r="DP69" s="195"/>
      <c r="DQ69" s="195"/>
      <c r="DR69" s="195"/>
      <c r="DS69" s="195"/>
      <c r="DT69" s="195"/>
      <c r="DU69" s="195"/>
      <c r="DV69" s="195"/>
      <c r="DW69" s="195"/>
      <c r="DX69" s="12">
        <v>46</v>
      </c>
      <c r="DY69" s="195"/>
      <c r="DZ69" s="195"/>
      <c r="EA69" s="195"/>
      <c r="EB69" s="195"/>
      <c r="EC69" s="195"/>
      <c r="ED69" s="195"/>
      <c r="EE69" s="195"/>
      <c r="EF69" s="195"/>
      <c r="EG69" s="195"/>
      <c r="EH69" s="195"/>
      <c r="EI69" s="195"/>
      <c r="EJ69" s="195"/>
      <c r="EK69" s="195"/>
      <c r="EL69" s="195"/>
      <c r="EM69" s="195"/>
      <c r="EN69" s="195"/>
      <c r="EO69" s="195"/>
      <c r="EP69" s="12">
        <v>46</v>
      </c>
      <c r="EQ69" s="195"/>
      <c r="ER69" s="195"/>
      <c r="ES69" s="195"/>
      <c r="ET69" s="195"/>
      <c r="EU69" s="195"/>
      <c r="EV69" s="195"/>
      <c r="EW69" s="195"/>
      <c r="EX69" s="195"/>
      <c r="EY69" s="195"/>
      <c r="EZ69" s="195"/>
      <c r="FA69" s="195"/>
      <c r="FB69" s="195"/>
      <c r="FC69" s="195"/>
      <c r="FD69" s="195"/>
      <c r="FE69" s="195"/>
      <c r="FF69" s="195"/>
      <c r="FG69" s="195"/>
      <c r="FH69" s="12">
        <v>46</v>
      </c>
      <c r="FI69" s="195"/>
      <c r="FJ69" s="195"/>
      <c r="FK69" s="195"/>
      <c r="FL69" s="195"/>
      <c r="FM69" s="195"/>
      <c r="FN69" s="195"/>
      <c r="FO69" s="195"/>
      <c r="FP69" s="195"/>
      <c r="FQ69" s="195"/>
      <c r="FR69" s="195"/>
      <c r="FS69" s="195"/>
      <c r="FT69" s="195"/>
      <c r="FU69" s="195"/>
      <c r="FV69" s="195"/>
      <c r="FW69" s="195"/>
      <c r="FX69" s="195"/>
      <c r="FY69" s="195"/>
    </row>
    <row r="70" spans="2:181" x14ac:dyDescent="0.25">
      <c r="B70" s="12">
        <v>47</v>
      </c>
      <c r="C70" s="195"/>
      <c r="D70" s="195"/>
      <c r="E70" s="195"/>
      <c r="F70" s="195"/>
      <c r="G70" s="195"/>
      <c r="H70" s="195"/>
      <c r="I70" s="195"/>
      <c r="J70" s="195"/>
      <c r="K70" s="195"/>
      <c r="L70" s="195"/>
      <c r="M70" s="195"/>
      <c r="N70" s="195"/>
      <c r="O70" s="195"/>
      <c r="P70" s="195"/>
      <c r="Q70" s="195"/>
      <c r="R70" s="195"/>
      <c r="S70" s="195"/>
      <c r="T70" s="12">
        <v>47</v>
      </c>
      <c r="U70" s="195"/>
      <c r="V70" s="195"/>
      <c r="W70" s="195"/>
      <c r="X70" s="195"/>
      <c r="Y70" s="195"/>
      <c r="Z70" s="195"/>
      <c r="AA70" s="195"/>
      <c r="AB70" s="195"/>
      <c r="AC70" s="195"/>
      <c r="AD70" s="195"/>
      <c r="AE70" s="195"/>
      <c r="AF70" s="195"/>
      <c r="AG70" s="195"/>
      <c r="AH70" s="195"/>
      <c r="AI70" s="195"/>
      <c r="AJ70" s="195"/>
      <c r="AK70" s="195"/>
      <c r="AL70" s="12">
        <v>47</v>
      </c>
      <c r="AM70" s="195"/>
      <c r="AN70" s="195"/>
      <c r="AO70" s="195"/>
      <c r="AP70" s="195"/>
      <c r="AQ70" s="195"/>
      <c r="AR70" s="195"/>
      <c r="AS70" s="195"/>
      <c r="AT70" s="195"/>
      <c r="AU70" s="195"/>
      <c r="AV70" s="195"/>
      <c r="AW70" s="195"/>
      <c r="AX70" s="195"/>
      <c r="AY70" s="195"/>
      <c r="AZ70" s="195"/>
      <c r="BA70" s="195"/>
      <c r="BB70" s="195"/>
      <c r="BC70" s="195"/>
      <c r="BD70" s="12">
        <v>47</v>
      </c>
      <c r="BE70" s="195"/>
      <c r="BF70" s="195"/>
      <c r="BG70" s="195"/>
      <c r="BH70" s="195"/>
      <c r="BI70" s="195"/>
      <c r="BJ70" s="195"/>
      <c r="BK70" s="195"/>
      <c r="BL70" s="195"/>
      <c r="BM70" s="195"/>
      <c r="BN70" s="195"/>
      <c r="BO70" s="195"/>
      <c r="BP70" s="195"/>
      <c r="BQ70" s="195"/>
      <c r="BR70" s="195"/>
      <c r="BS70" s="195"/>
      <c r="BT70" s="195"/>
      <c r="BU70" s="195"/>
      <c r="BV70" s="12">
        <v>47</v>
      </c>
      <c r="BW70" s="195"/>
      <c r="BX70" s="195"/>
      <c r="BY70" s="195"/>
      <c r="BZ70" s="195"/>
      <c r="CA70" s="195"/>
      <c r="CB70" s="195"/>
      <c r="CC70" s="195"/>
      <c r="CD70" s="195"/>
      <c r="CE70" s="195"/>
      <c r="CF70" s="195"/>
      <c r="CG70" s="195"/>
      <c r="CH70" s="195"/>
      <c r="CI70" s="195"/>
      <c r="CJ70" s="195"/>
      <c r="CK70" s="195"/>
      <c r="CL70" s="195"/>
      <c r="CM70" s="195"/>
      <c r="CN70" s="12">
        <v>47</v>
      </c>
      <c r="CO70" s="195"/>
      <c r="CP70" s="195"/>
      <c r="CQ70" s="195"/>
      <c r="CR70" s="195"/>
      <c r="CS70" s="195"/>
      <c r="CT70" s="195"/>
      <c r="CU70" s="195"/>
      <c r="CV70" s="195"/>
      <c r="CW70" s="195"/>
      <c r="CX70" s="195"/>
      <c r="CY70" s="195"/>
      <c r="CZ70" s="195"/>
      <c r="DA70" s="195"/>
      <c r="DB70" s="195"/>
      <c r="DC70" s="195"/>
      <c r="DD70" s="195"/>
      <c r="DE70" s="195"/>
      <c r="DF70" s="12">
        <v>47</v>
      </c>
      <c r="DG70" s="195"/>
      <c r="DH70" s="195"/>
      <c r="DI70" s="195"/>
      <c r="DJ70" s="195"/>
      <c r="DK70" s="195"/>
      <c r="DL70" s="195"/>
      <c r="DM70" s="195"/>
      <c r="DN70" s="195"/>
      <c r="DO70" s="195"/>
      <c r="DP70" s="195"/>
      <c r="DQ70" s="195"/>
      <c r="DR70" s="195"/>
      <c r="DS70" s="195"/>
      <c r="DT70" s="195"/>
      <c r="DU70" s="195"/>
      <c r="DV70" s="195"/>
      <c r="DW70" s="195"/>
      <c r="DX70" s="12">
        <v>47</v>
      </c>
      <c r="DY70" s="195"/>
      <c r="DZ70" s="195"/>
      <c r="EA70" s="195"/>
      <c r="EB70" s="195"/>
      <c r="EC70" s="195"/>
      <c r="ED70" s="195"/>
      <c r="EE70" s="195"/>
      <c r="EF70" s="195"/>
      <c r="EG70" s="195"/>
      <c r="EH70" s="195"/>
      <c r="EI70" s="195"/>
      <c r="EJ70" s="195"/>
      <c r="EK70" s="195"/>
      <c r="EL70" s="195"/>
      <c r="EM70" s="195"/>
      <c r="EN70" s="195"/>
      <c r="EO70" s="195"/>
      <c r="EP70" s="12">
        <v>47</v>
      </c>
      <c r="EQ70" s="195"/>
      <c r="ER70" s="195"/>
      <c r="ES70" s="195"/>
      <c r="ET70" s="195"/>
      <c r="EU70" s="195"/>
      <c r="EV70" s="195"/>
      <c r="EW70" s="195"/>
      <c r="EX70" s="195"/>
      <c r="EY70" s="195"/>
      <c r="EZ70" s="195"/>
      <c r="FA70" s="195"/>
      <c r="FB70" s="195"/>
      <c r="FC70" s="195"/>
      <c r="FD70" s="195"/>
      <c r="FE70" s="195"/>
      <c r="FF70" s="195"/>
      <c r="FG70" s="195"/>
      <c r="FH70" s="12">
        <v>47</v>
      </c>
      <c r="FI70" s="195"/>
      <c r="FJ70" s="195"/>
      <c r="FK70" s="195"/>
      <c r="FL70" s="195"/>
      <c r="FM70" s="195"/>
      <c r="FN70" s="195"/>
      <c r="FO70" s="195"/>
      <c r="FP70" s="195"/>
      <c r="FQ70" s="195"/>
      <c r="FR70" s="195"/>
      <c r="FS70" s="195"/>
      <c r="FT70" s="195"/>
      <c r="FU70" s="195"/>
      <c r="FV70" s="195"/>
      <c r="FW70" s="195"/>
      <c r="FX70" s="195"/>
      <c r="FY70" s="195"/>
    </row>
    <row r="71" spans="2:181" x14ac:dyDescent="0.25">
      <c r="B71" s="12">
        <v>48</v>
      </c>
      <c r="C71" s="195"/>
      <c r="D71" s="195"/>
      <c r="E71" s="195"/>
      <c r="F71" s="195"/>
      <c r="G71" s="195"/>
      <c r="H71" s="195"/>
      <c r="I71" s="195"/>
      <c r="J71" s="195"/>
      <c r="K71" s="195"/>
      <c r="L71" s="195"/>
      <c r="M71" s="195"/>
      <c r="N71" s="195"/>
      <c r="O71" s="195"/>
      <c r="P71" s="195"/>
      <c r="Q71" s="195"/>
      <c r="R71" s="195"/>
      <c r="S71" s="195"/>
      <c r="T71" s="12">
        <v>48</v>
      </c>
      <c r="U71" s="195"/>
      <c r="V71" s="195"/>
      <c r="W71" s="195"/>
      <c r="X71" s="195"/>
      <c r="Y71" s="195"/>
      <c r="Z71" s="195"/>
      <c r="AA71" s="195"/>
      <c r="AB71" s="195"/>
      <c r="AC71" s="195"/>
      <c r="AD71" s="195"/>
      <c r="AE71" s="195"/>
      <c r="AF71" s="195"/>
      <c r="AG71" s="195"/>
      <c r="AH71" s="195"/>
      <c r="AI71" s="195"/>
      <c r="AJ71" s="195"/>
      <c r="AK71" s="195"/>
      <c r="AL71" s="12">
        <v>48</v>
      </c>
      <c r="AM71" s="195"/>
      <c r="AN71" s="195"/>
      <c r="AO71" s="195"/>
      <c r="AP71" s="195"/>
      <c r="AQ71" s="195"/>
      <c r="AR71" s="195"/>
      <c r="AS71" s="195"/>
      <c r="AT71" s="195"/>
      <c r="AU71" s="195"/>
      <c r="AV71" s="195"/>
      <c r="AW71" s="195"/>
      <c r="AX71" s="195"/>
      <c r="AY71" s="195"/>
      <c r="AZ71" s="195"/>
      <c r="BA71" s="195"/>
      <c r="BB71" s="195"/>
      <c r="BC71" s="195"/>
      <c r="BD71" s="12">
        <v>48</v>
      </c>
      <c r="BE71" s="195"/>
      <c r="BF71" s="195"/>
      <c r="BG71" s="195"/>
      <c r="BH71" s="195"/>
      <c r="BI71" s="195"/>
      <c r="BJ71" s="195"/>
      <c r="BK71" s="195"/>
      <c r="BL71" s="195"/>
      <c r="BM71" s="195"/>
      <c r="BN71" s="195"/>
      <c r="BO71" s="195"/>
      <c r="BP71" s="195"/>
      <c r="BQ71" s="195"/>
      <c r="BR71" s="195"/>
      <c r="BS71" s="195"/>
      <c r="BT71" s="195"/>
      <c r="BU71" s="195"/>
      <c r="BV71" s="12">
        <v>48</v>
      </c>
      <c r="BW71" s="195"/>
      <c r="BX71" s="195"/>
      <c r="BY71" s="195"/>
      <c r="BZ71" s="195"/>
      <c r="CA71" s="195"/>
      <c r="CB71" s="195"/>
      <c r="CC71" s="195"/>
      <c r="CD71" s="195"/>
      <c r="CE71" s="195"/>
      <c r="CF71" s="195"/>
      <c r="CG71" s="195"/>
      <c r="CH71" s="195"/>
      <c r="CI71" s="195"/>
      <c r="CJ71" s="195"/>
      <c r="CK71" s="195"/>
      <c r="CL71" s="195"/>
      <c r="CM71" s="195"/>
      <c r="CN71" s="12">
        <v>48</v>
      </c>
      <c r="CO71" s="195"/>
      <c r="CP71" s="195"/>
      <c r="CQ71" s="195"/>
      <c r="CR71" s="195"/>
      <c r="CS71" s="195"/>
      <c r="CT71" s="195"/>
      <c r="CU71" s="195"/>
      <c r="CV71" s="195"/>
      <c r="CW71" s="195"/>
      <c r="CX71" s="195"/>
      <c r="CY71" s="195"/>
      <c r="CZ71" s="195"/>
      <c r="DA71" s="195"/>
      <c r="DB71" s="195"/>
      <c r="DC71" s="195"/>
      <c r="DD71" s="195"/>
      <c r="DE71" s="195"/>
      <c r="DF71" s="12">
        <v>48</v>
      </c>
      <c r="DG71" s="195"/>
      <c r="DH71" s="195"/>
      <c r="DI71" s="195"/>
      <c r="DJ71" s="195"/>
      <c r="DK71" s="195"/>
      <c r="DL71" s="195"/>
      <c r="DM71" s="195"/>
      <c r="DN71" s="195"/>
      <c r="DO71" s="195"/>
      <c r="DP71" s="195"/>
      <c r="DQ71" s="195"/>
      <c r="DR71" s="195"/>
      <c r="DS71" s="195"/>
      <c r="DT71" s="195"/>
      <c r="DU71" s="195"/>
      <c r="DV71" s="195"/>
      <c r="DW71" s="195"/>
      <c r="DX71" s="12">
        <v>48</v>
      </c>
      <c r="DY71" s="195"/>
      <c r="DZ71" s="195"/>
      <c r="EA71" s="195"/>
      <c r="EB71" s="195"/>
      <c r="EC71" s="195"/>
      <c r="ED71" s="195"/>
      <c r="EE71" s="195"/>
      <c r="EF71" s="195"/>
      <c r="EG71" s="195"/>
      <c r="EH71" s="195"/>
      <c r="EI71" s="195"/>
      <c r="EJ71" s="195"/>
      <c r="EK71" s="195"/>
      <c r="EL71" s="195"/>
      <c r="EM71" s="195"/>
      <c r="EN71" s="195"/>
      <c r="EO71" s="195"/>
      <c r="EP71" s="12">
        <v>48</v>
      </c>
      <c r="EQ71" s="195"/>
      <c r="ER71" s="195"/>
      <c r="ES71" s="195"/>
      <c r="ET71" s="195"/>
      <c r="EU71" s="195"/>
      <c r="EV71" s="195"/>
      <c r="EW71" s="195"/>
      <c r="EX71" s="195"/>
      <c r="EY71" s="195"/>
      <c r="EZ71" s="195"/>
      <c r="FA71" s="195"/>
      <c r="FB71" s="195"/>
      <c r="FC71" s="195"/>
      <c r="FD71" s="195"/>
      <c r="FE71" s="195"/>
      <c r="FF71" s="195"/>
      <c r="FG71" s="195"/>
      <c r="FH71" s="12">
        <v>48</v>
      </c>
      <c r="FI71" s="195"/>
      <c r="FJ71" s="195"/>
      <c r="FK71" s="195"/>
      <c r="FL71" s="195"/>
      <c r="FM71" s="195"/>
      <c r="FN71" s="195"/>
      <c r="FO71" s="195"/>
      <c r="FP71" s="195"/>
      <c r="FQ71" s="195"/>
      <c r="FR71" s="195"/>
      <c r="FS71" s="195"/>
      <c r="FT71" s="195"/>
      <c r="FU71" s="195"/>
      <c r="FV71" s="195"/>
      <c r="FW71" s="195"/>
      <c r="FX71" s="195"/>
      <c r="FY71" s="195"/>
    </row>
    <row r="72" spans="2:181" x14ac:dyDescent="0.25">
      <c r="B72" s="12">
        <v>49</v>
      </c>
      <c r="C72" s="195"/>
      <c r="D72" s="195"/>
      <c r="E72" s="195"/>
      <c r="F72" s="195"/>
      <c r="G72" s="195"/>
      <c r="H72" s="195"/>
      <c r="I72" s="195"/>
      <c r="J72" s="195"/>
      <c r="K72" s="195"/>
      <c r="L72" s="195"/>
      <c r="M72" s="195"/>
      <c r="N72" s="195"/>
      <c r="O72" s="195"/>
      <c r="P72" s="195"/>
      <c r="Q72" s="195"/>
      <c r="R72" s="195"/>
      <c r="S72" s="195"/>
      <c r="T72" s="12">
        <v>49</v>
      </c>
      <c r="U72" s="195"/>
      <c r="V72" s="195"/>
      <c r="W72" s="195"/>
      <c r="X72" s="195"/>
      <c r="Y72" s="195"/>
      <c r="Z72" s="195"/>
      <c r="AA72" s="195"/>
      <c r="AB72" s="195"/>
      <c r="AC72" s="195"/>
      <c r="AD72" s="195"/>
      <c r="AE72" s="195"/>
      <c r="AF72" s="195"/>
      <c r="AG72" s="195"/>
      <c r="AH72" s="195"/>
      <c r="AI72" s="195"/>
      <c r="AJ72" s="195"/>
      <c r="AK72" s="195"/>
      <c r="AL72" s="12">
        <v>49</v>
      </c>
      <c r="AM72" s="195"/>
      <c r="AN72" s="195"/>
      <c r="AO72" s="195"/>
      <c r="AP72" s="195"/>
      <c r="AQ72" s="195"/>
      <c r="AR72" s="195"/>
      <c r="AS72" s="195"/>
      <c r="AT72" s="195"/>
      <c r="AU72" s="195"/>
      <c r="AV72" s="195"/>
      <c r="AW72" s="195"/>
      <c r="AX72" s="195"/>
      <c r="AY72" s="195"/>
      <c r="AZ72" s="195"/>
      <c r="BA72" s="195"/>
      <c r="BB72" s="195"/>
      <c r="BC72" s="195"/>
      <c r="BD72" s="12">
        <v>49</v>
      </c>
      <c r="BE72" s="195"/>
      <c r="BF72" s="195"/>
      <c r="BG72" s="195"/>
      <c r="BH72" s="195"/>
      <c r="BI72" s="195"/>
      <c r="BJ72" s="195"/>
      <c r="BK72" s="195"/>
      <c r="BL72" s="195"/>
      <c r="BM72" s="195"/>
      <c r="BN72" s="195"/>
      <c r="BO72" s="195"/>
      <c r="BP72" s="195"/>
      <c r="BQ72" s="195"/>
      <c r="BR72" s="195"/>
      <c r="BS72" s="195"/>
      <c r="BT72" s="195"/>
      <c r="BU72" s="195"/>
      <c r="BV72" s="12">
        <v>49</v>
      </c>
      <c r="BW72" s="195"/>
      <c r="BX72" s="195"/>
      <c r="BY72" s="195"/>
      <c r="BZ72" s="195"/>
      <c r="CA72" s="195"/>
      <c r="CB72" s="195"/>
      <c r="CC72" s="195"/>
      <c r="CD72" s="195"/>
      <c r="CE72" s="195"/>
      <c r="CF72" s="195"/>
      <c r="CG72" s="195"/>
      <c r="CH72" s="195"/>
      <c r="CI72" s="195"/>
      <c r="CJ72" s="195"/>
      <c r="CK72" s="195"/>
      <c r="CL72" s="195"/>
      <c r="CM72" s="195"/>
      <c r="CN72" s="12">
        <v>49</v>
      </c>
      <c r="CO72" s="195"/>
      <c r="CP72" s="195"/>
      <c r="CQ72" s="195"/>
      <c r="CR72" s="195"/>
      <c r="CS72" s="195"/>
      <c r="CT72" s="195"/>
      <c r="CU72" s="195"/>
      <c r="CV72" s="195"/>
      <c r="CW72" s="195"/>
      <c r="CX72" s="195"/>
      <c r="CY72" s="195"/>
      <c r="CZ72" s="195"/>
      <c r="DA72" s="195"/>
      <c r="DB72" s="195"/>
      <c r="DC72" s="195"/>
      <c r="DD72" s="195"/>
      <c r="DE72" s="195"/>
      <c r="DF72" s="12">
        <v>49</v>
      </c>
      <c r="DG72" s="195"/>
      <c r="DH72" s="195"/>
      <c r="DI72" s="195"/>
      <c r="DJ72" s="195"/>
      <c r="DK72" s="195"/>
      <c r="DL72" s="195"/>
      <c r="DM72" s="195"/>
      <c r="DN72" s="195"/>
      <c r="DO72" s="195"/>
      <c r="DP72" s="195"/>
      <c r="DQ72" s="195"/>
      <c r="DR72" s="195"/>
      <c r="DS72" s="195"/>
      <c r="DT72" s="195"/>
      <c r="DU72" s="195"/>
      <c r="DV72" s="195"/>
      <c r="DW72" s="195"/>
      <c r="DX72" s="12">
        <v>49</v>
      </c>
      <c r="DY72" s="195"/>
      <c r="DZ72" s="195"/>
      <c r="EA72" s="195"/>
      <c r="EB72" s="195"/>
      <c r="EC72" s="195"/>
      <c r="ED72" s="195"/>
      <c r="EE72" s="195"/>
      <c r="EF72" s="195"/>
      <c r="EG72" s="195"/>
      <c r="EH72" s="195"/>
      <c r="EI72" s="195"/>
      <c r="EJ72" s="195"/>
      <c r="EK72" s="195"/>
      <c r="EL72" s="195"/>
      <c r="EM72" s="195"/>
      <c r="EN72" s="195"/>
      <c r="EO72" s="195"/>
      <c r="EP72" s="12">
        <v>49</v>
      </c>
      <c r="EQ72" s="195"/>
      <c r="ER72" s="195"/>
      <c r="ES72" s="195"/>
      <c r="ET72" s="195"/>
      <c r="EU72" s="195"/>
      <c r="EV72" s="195"/>
      <c r="EW72" s="195"/>
      <c r="EX72" s="195"/>
      <c r="EY72" s="195"/>
      <c r="EZ72" s="195"/>
      <c r="FA72" s="195"/>
      <c r="FB72" s="195"/>
      <c r="FC72" s="195"/>
      <c r="FD72" s="195"/>
      <c r="FE72" s="195"/>
      <c r="FF72" s="195"/>
      <c r="FG72" s="195"/>
      <c r="FH72" s="12">
        <v>49</v>
      </c>
      <c r="FI72" s="195"/>
      <c r="FJ72" s="195"/>
      <c r="FK72" s="195"/>
      <c r="FL72" s="195"/>
      <c r="FM72" s="195"/>
      <c r="FN72" s="195"/>
      <c r="FO72" s="195"/>
      <c r="FP72" s="195"/>
      <c r="FQ72" s="195"/>
      <c r="FR72" s="195"/>
      <c r="FS72" s="195"/>
      <c r="FT72" s="195"/>
      <c r="FU72" s="195"/>
      <c r="FV72" s="195"/>
      <c r="FW72" s="195"/>
      <c r="FX72" s="195"/>
      <c r="FY72" s="195"/>
    </row>
    <row r="73" spans="2:181" x14ac:dyDescent="0.25">
      <c r="B73" s="12">
        <v>50</v>
      </c>
      <c r="C73" s="195"/>
      <c r="D73" s="195"/>
      <c r="E73" s="195"/>
      <c r="F73" s="195"/>
      <c r="G73" s="195"/>
      <c r="H73" s="195"/>
      <c r="I73" s="195"/>
      <c r="J73" s="195"/>
      <c r="K73" s="195"/>
      <c r="L73" s="195"/>
      <c r="M73" s="195"/>
      <c r="N73" s="195"/>
      <c r="O73" s="195"/>
      <c r="P73" s="195"/>
      <c r="Q73" s="195"/>
      <c r="R73" s="195"/>
      <c r="S73" s="195"/>
      <c r="T73" s="12">
        <v>50</v>
      </c>
      <c r="U73" s="195"/>
      <c r="V73" s="195"/>
      <c r="W73" s="195"/>
      <c r="X73" s="195"/>
      <c r="Y73" s="195"/>
      <c r="Z73" s="195"/>
      <c r="AA73" s="195"/>
      <c r="AB73" s="195"/>
      <c r="AC73" s="195"/>
      <c r="AD73" s="195"/>
      <c r="AE73" s="195"/>
      <c r="AF73" s="195"/>
      <c r="AG73" s="195"/>
      <c r="AH73" s="195"/>
      <c r="AI73" s="195"/>
      <c r="AJ73" s="195"/>
      <c r="AK73" s="195"/>
      <c r="AL73" s="12">
        <v>50</v>
      </c>
      <c r="AM73" s="195"/>
      <c r="AN73" s="195"/>
      <c r="AO73" s="195"/>
      <c r="AP73" s="195"/>
      <c r="AQ73" s="195"/>
      <c r="AR73" s="195"/>
      <c r="AS73" s="195"/>
      <c r="AT73" s="195"/>
      <c r="AU73" s="195"/>
      <c r="AV73" s="195"/>
      <c r="AW73" s="195"/>
      <c r="AX73" s="195"/>
      <c r="AY73" s="195"/>
      <c r="AZ73" s="195"/>
      <c r="BA73" s="195"/>
      <c r="BB73" s="195"/>
      <c r="BC73" s="195"/>
      <c r="BD73" s="12">
        <v>50</v>
      </c>
      <c r="BE73" s="195"/>
      <c r="BF73" s="195"/>
      <c r="BG73" s="195"/>
      <c r="BH73" s="195"/>
      <c r="BI73" s="195"/>
      <c r="BJ73" s="195"/>
      <c r="BK73" s="195"/>
      <c r="BL73" s="195"/>
      <c r="BM73" s="195"/>
      <c r="BN73" s="195"/>
      <c r="BO73" s="195"/>
      <c r="BP73" s="195"/>
      <c r="BQ73" s="195"/>
      <c r="BR73" s="195"/>
      <c r="BS73" s="195"/>
      <c r="BT73" s="195"/>
      <c r="BU73" s="195"/>
      <c r="BV73" s="12">
        <v>50</v>
      </c>
      <c r="BW73" s="195"/>
      <c r="BX73" s="195"/>
      <c r="BY73" s="195"/>
      <c r="BZ73" s="195"/>
      <c r="CA73" s="195"/>
      <c r="CB73" s="195"/>
      <c r="CC73" s="195"/>
      <c r="CD73" s="195"/>
      <c r="CE73" s="195"/>
      <c r="CF73" s="195"/>
      <c r="CG73" s="195"/>
      <c r="CH73" s="195"/>
      <c r="CI73" s="195"/>
      <c r="CJ73" s="195"/>
      <c r="CK73" s="195"/>
      <c r="CL73" s="195"/>
      <c r="CM73" s="195"/>
      <c r="CN73" s="12">
        <v>50</v>
      </c>
      <c r="CO73" s="195"/>
      <c r="CP73" s="195"/>
      <c r="CQ73" s="195"/>
      <c r="CR73" s="195"/>
      <c r="CS73" s="195"/>
      <c r="CT73" s="195"/>
      <c r="CU73" s="195"/>
      <c r="CV73" s="195"/>
      <c r="CW73" s="195"/>
      <c r="CX73" s="195"/>
      <c r="CY73" s="195"/>
      <c r="CZ73" s="195"/>
      <c r="DA73" s="195"/>
      <c r="DB73" s="195"/>
      <c r="DC73" s="195"/>
      <c r="DD73" s="195"/>
      <c r="DE73" s="195"/>
      <c r="DF73" s="12">
        <v>50</v>
      </c>
      <c r="DG73" s="195"/>
      <c r="DH73" s="195"/>
      <c r="DI73" s="195"/>
      <c r="DJ73" s="195"/>
      <c r="DK73" s="195"/>
      <c r="DL73" s="195"/>
      <c r="DM73" s="195"/>
      <c r="DN73" s="195"/>
      <c r="DO73" s="195"/>
      <c r="DP73" s="195"/>
      <c r="DQ73" s="195"/>
      <c r="DR73" s="195"/>
      <c r="DS73" s="195"/>
      <c r="DT73" s="195"/>
      <c r="DU73" s="195"/>
      <c r="DV73" s="195"/>
      <c r="DW73" s="195"/>
      <c r="DX73" s="12">
        <v>50</v>
      </c>
      <c r="DY73" s="195"/>
      <c r="DZ73" s="195"/>
      <c r="EA73" s="195"/>
      <c r="EB73" s="195"/>
      <c r="EC73" s="195"/>
      <c r="ED73" s="195"/>
      <c r="EE73" s="195"/>
      <c r="EF73" s="195"/>
      <c r="EG73" s="195"/>
      <c r="EH73" s="195"/>
      <c r="EI73" s="195"/>
      <c r="EJ73" s="195"/>
      <c r="EK73" s="195"/>
      <c r="EL73" s="195"/>
      <c r="EM73" s="195"/>
      <c r="EN73" s="195"/>
      <c r="EO73" s="195"/>
      <c r="EP73" s="12">
        <v>50</v>
      </c>
      <c r="EQ73" s="195"/>
      <c r="ER73" s="195"/>
      <c r="ES73" s="195"/>
      <c r="ET73" s="195"/>
      <c r="EU73" s="195"/>
      <c r="EV73" s="195"/>
      <c r="EW73" s="195"/>
      <c r="EX73" s="195"/>
      <c r="EY73" s="195"/>
      <c r="EZ73" s="195"/>
      <c r="FA73" s="195"/>
      <c r="FB73" s="195"/>
      <c r="FC73" s="195"/>
      <c r="FD73" s="195"/>
      <c r="FE73" s="195"/>
      <c r="FF73" s="195"/>
      <c r="FG73" s="195"/>
      <c r="FH73" s="12">
        <v>50</v>
      </c>
      <c r="FI73" s="195"/>
      <c r="FJ73" s="195"/>
      <c r="FK73" s="195"/>
      <c r="FL73" s="195"/>
      <c r="FM73" s="195"/>
      <c r="FN73" s="195"/>
      <c r="FO73" s="195"/>
      <c r="FP73" s="195"/>
      <c r="FQ73" s="195"/>
      <c r="FR73" s="195"/>
      <c r="FS73" s="195"/>
      <c r="FT73" s="195"/>
      <c r="FU73" s="195"/>
      <c r="FV73" s="195"/>
      <c r="FW73" s="195"/>
      <c r="FX73" s="195"/>
      <c r="FY73" s="195"/>
    </row>
    <row r="74" spans="2:181" x14ac:dyDescent="0.25">
      <c r="B74" s="12">
        <v>51</v>
      </c>
      <c r="C74" s="195"/>
      <c r="D74" s="195"/>
      <c r="E74" s="195"/>
      <c r="F74" s="195"/>
      <c r="G74" s="195"/>
      <c r="H74" s="195"/>
      <c r="I74" s="195"/>
      <c r="J74" s="195"/>
      <c r="K74" s="195"/>
      <c r="L74" s="195"/>
      <c r="M74" s="195"/>
      <c r="N74" s="195"/>
      <c r="O74" s="195"/>
      <c r="P74" s="195"/>
      <c r="Q74" s="195"/>
      <c r="R74" s="195"/>
      <c r="S74" s="195"/>
      <c r="T74" s="12">
        <v>51</v>
      </c>
      <c r="U74" s="195"/>
      <c r="V74" s="195"/>
      <c r="W74" s="195"/>
      <c r="X74" s="195"/>
      <c r="Y74" s="195"/>
      <c r="Z74" s="195"/>
      <c r="AA74" s="195"/>
      <c r="AB74" s="195"/>
      <c r="AC74" s="195"/>
      <c r="AD74" s="195"/>
      <c r="AE74" s="195"/>
      <c r="AF74" s="195"/>
      <c r="AG74" s="195"/>
      <c r="AH74" s="195"/>
      <c r="AI74" s="195"/>
      <c r="AJ74" s="195"/>
      <c r="AK74" s="195"/>
      <c r="AL74" s="12">
        <v>51</v>
      </c>
      <c r="AM74" s="195"/>
      <c r="AN74" s="195"/>
      <c r="AO74" s="195"/>
      <c r="AP74" s="195"/>
      <c r="AQ74" s="195"/>
      <c r="AR74" s="195"/>
      <c r="AS74" s="195"/>
      <c r="AT74" s="195"/>
      <c r="AU74" s="195"/>
      <c r="AV74" s="195"/>
      <c r="AW74" s="195"/>
      <c r="AX74" s="195"/>
      <c r="AY74" s="195"/>
      <c r="AZ74" s="195"/>
      <c r="BA74" s="195"/>
      <c r="BB74" s="195"/>
      <c r="BC74" s="195"/>
      <c r="BD74" s="12">
        <v>51</v>
      </c>
      <c r="BE74" s="195"/>
      <c r="BF74" s="195"/>
      <c r="BG74" s="195"/>
      <c r="BH74" s="195"/>
      <c r="BI74" s="195"/>
      <c r="BJ74" s="195"/>
      <c r="BK74" s="195"/>
      <c r="BL74" s="195"/>
      <c r="BM74" s="195"/>
      <c r="BN74" s="195"/>
      <c r="BO74" s="195"/>
      <c r="BP74" s="195"/>
      <c r="BQ74" s="195"/>
      <c r="BR74" s="195"/>
      <c r="BS74" s="195"/>
      <c r="BT74" s="195"/>
      <c r="BU74" s="195"/>
      <c r="BV74" s="12">
        <v>51</v>
      </c>
      <c r="BW74" s="195"/>
      <c r="BX74" s="195"/>
      <c r="BY74" s="195"/>
      <c r="BZ74" s="195"/>
      <c r="CA74" s="195"/>
      <c r="CB74" s="195"/>
      <c r="CC74" s="195"/>
      <c r="CD74" s="195"/>
      <c r="CE74" s="195"/>
      <c r="CF74" s="195"/>
      <c r="CG74" s="195"/>
      <c r="CH74" s="195"/>
      <c r="CI74" s="195"/>
      <c r="CJ74" s="195"/>
      <c r="CK74" s="195"/>
      <c r="CL74" s="195"/>
      <c r="CM74" s="195"/>
      <c r="CN74" s="12">
        <v>51</v>
      </c>
      <c r="CO74" s="195"/>
      <c r="CP74" s="195"/>
      <c r="CQ74" s="195"/>
      <c r="CR74" s="195"/>
      <c r="CS74" s="195"/>
      <c r="CT74" s="195"/>
      <c r="CU74" s="195"/>
      <c r="CV74" s="195"/>
      <c r="CW74" s="195"/>
      <c r="CX74" s="195"/>
      <c r="CY74" s="195"/>
      <c r="CZ74" s="195"/>
      <c r="DA74" s="195"/>
      <c r="DB74" s="195"/>
      <c r="DC74" s="195"/>
      <c r="DD74" s="195"/>
      <c r="DE74" s="195"/>
      <c r="DF74" s="12">
        <v>51</v>
      </c>
      <c r="DG74" s="195"/>
      <c r="DH74" s="195"/>
      <c r="DI74" s="195"/>
      <c r="DJ74" s="195"/>
      <c r="DK74" s="195"/>
      <c r="DL74" s="195"/>
      <c r="DM74" s="195"/>
      <c r="DN74" s="195"/>
      <c r="DO74" s="195"/>
      <c r="DP74" s="195"/>
      <c r="DQ74" s="195"/>
      <c r="DR74" s="195"/>
      <c r="DS74" s="195"/>
      <c r="DT74" s="195"/>
      <c r="DU74" s="195"/>
      <c r="DV74" s="195"/>
      <c r="DW74" s="195"/>
      <c r="DX74" s="12">
        <v>51</v>
      </c>
      <c r="DY74" s="195"/>
      <c r="DZ74" s="195"/>
      <c r="EA74" s="195"/>
      <c r="EB74" s="195"/>
      <c r="EC74" s="195"/>
      <c r="ED74" s="195"/>
      <c r="EE74" s="195"/>
      <c r="EF74" s="195"/>
      <c r="EG74" s="195"/>
      <c r="EH74" s="195"/>
      <c r="EI74" s="195"/>
      <c r="EJ74" s="195"/>
      <c r="EK74" s="195"/>
      <c r="EL74" s="195"/>
      <c r="EM74" s="195"/>
      <c r="EN74" s="195"/>
      <c r="EO74" s="195"/>
      <c r="EP74" s="12">
        <v>51</v>
      </c>
      <c r="EQ74" s="195"/>
      <c r="ER74" s="195"/>
      <c r="ES74" s="195"/>
      <c r="ET74" s="195"/>
      <c r="EU74" s="195"/>
      <c r="EV74" s="195"/>
      <c r="EW74" s="195"/>
      <c r="EX74" s="195"/>
      <c r="EY74" s="195"/>
      <c r="EZ74" s="195"/>
      <c r="FA74" s="195"/>
      <c r="FB74" s="195"/>
      <c r="FC74" s="195"/>
      <c r="FD74" s="195"/>
      <c r="FE74" s="195"/>
      <c r="FF74" s="195"/>
      <c r="FG74" s="195"/>
      <c r="FH74" s="12">
        <v>51</v>
      </c>
      <c r="FI74" s="195"/>
      <c r="FJ74" s="195"/>
      <c r="FK74" s="195"/>
      <c r="FL74" s="195"/>
      <c r="FM74" s="195"/>
      <c r="FN74" s="195"/>
      <c r="FO74" s="195"/>
      <c r="FP74" s="195"/>
      <c r="FQ74" s="195"/>
      <c r="FR74" s="195"/>
      <c r="FS74" s="195"/>
      <c r="FT74" s="195"/>
      <c r="FU74" s="195"/>
      <c r="FV74" s="195"/>
      <c r="FW74" s="195"/>
      <c r="FX74" s="195"/>
      <c r="FY74" s="195"/>
    </row>
    <row r="75" spans="2:181" x14ac:dyDescent="0.25">
      <c r="B75" s="12">
        <v>52</v>
      </c>
      <c r="C75" s="195"/>
      <c r="D75" s="195"/>
      <c r="E75" s="195"/>
      <c r="F75" s="195"/>
      <c r="G75" s="195"/>
      <c r="H75" s="195"/>
      <c r="I75" s="195"/>
      <c r="J75" s="195"/>
      <c r="K75" s="195"/>
      <c r="L75" s="195"/>
      <c r="M75" s="195"/>
      <c r="N75" s="195"/>
      <c r="O75" s="195"/>
      <c r="P75" s="195"/>
      <c r="Q75" s="195"/>
      <c r="R75" s="195"/>
      <c r="S75" s="195"/>
      <c r="T75" s="12">
        <v>52</v>
      </c>
      <c r="U75" s="195"/>
      <c r="V75" s="195"/>
      <c r="W75" s="195"/>
      <c r="X75" s="195"/>
      <c r="Y75" s="195"/>
      <c r="Z75" s="195"/>
      <c r="AA75" s="195"/>
      <c r="AB75" s="195"/>
      <c r="AC75" s="195"/>
      <c r="AD75" s="195"/>
      <c r="AE75" s="195"/>
      <c r="AF75" s="195"/>
      <c r="AG75" s="195"/>
      <c r="AH75" s="195"/>
      <c r="AI75" s="195"/>
      <c r="AJ75" s="195"/>
      <c r="AK75" s="195"/>
      <c r="AL75" s="12">
        <v>52</v>
      </c>
      <c r="AM75" s="195"/>
      <c r="AN75" s="195"/>
      <c r="AO75" s="195"/>
      <c r="AP75" s="195"/>
      <c r="AQ75" s="195"/>
      <c r="AR75" s="195"/>
      <c r="AS75" s="195"/>
      <c r="AT75" s="195"/>
      <c r="AU75" s="195"/>
      <c r="AV75" s="195"/>
      <c r="AW75" s="195"/>
      <c r="AX75" s="195"/>
      <c r="AY75" s="195"/>
      <c r="AZ75" s="195"/>
      <c r="BA75" s="195"/>
      <c r="BB75" s="195"/>
      <c r="BC75" s="195"/>
      <c r="BD75" s="12">
        <v>52</v>
      </c>
      <c r="BE75" s="195"/>
      <c r="BF75" s="195"/>
      <c r="BG75" s="195"/>
      <c r="BH75" s="195"/>
      <c r="BI75" s="195"/>
      <c r="BJ75" s="195"/>
      <c r="BK75" s="195"/>
      <c r="BL75" s="195"/>
      <c r="BM75" s="195"/>
      <c r="BN75" s="195"/>
      <c r="BO75" s="195"/>
      <c r="BP75" s="195"/>
      <c r="BQ75" s="195"/>
      <c r="BR75" s="195"/>
      <c r="BS75" s="195"/>
      <c r="BT75" s="195"/>
      <c r="BU75" s="195"/>
      <c r="BV75" s="12">
        <v>52</v>
      </c>
      <c r="BW75" s="195"/>
      <c r="BX75" s="195"/>
      <c r="BY75" s="195"/>
      <c r="BZ75" s="195"/>
      <c r="CA75" s="195"/>
      <c r="CB75" s="195"/>
      <c r="CC75" s="195"/>
      <c r="CD75" s="195"/>
      <c r="CE75" s="195"/>
      <c r="CF75" s="195"/>
      <c r="CG75" s="195"/>
      <c r="CH75" s="195"/>
      <c r="CI75" s="195"/>
      <c r="CJ75" s="195"/>
      <c r="CK75" s="195"/>
      <c r="CL75" s="195"/>
      <c r="CM75" s="195"/>
      <c r="CN75" s="12">
        <v>52</v>
      </c>
      <c r="CO75" s="195"/>
      <c r="CP75" s="195"/>
      <c r="CQ75" s="195"/>
      <c r="CR75" s="195"/>
      <c r="CS75" s="195"/>
      <c r="CT75" s="195"/>
      <c r="CU75" s="195"/>
      <c r="CV75" s="195"/>
      <c r="CW75" s="195"/>
      <c r="CX75" s="195"/>
      <c r="CY75" s="195"/>
      <c r="CZ75" s="195"/>
      <c r="DA75" s="195"/>
      <c r="DB75" s="195"/>
      <c r="DC75" s="195"/>
      <c r="DD75" s="195"/>
      <c r="DE75" s="195"/>
      <c r="DF75" s="12">
        <v>52</v>
      </c>
      <c r="DG75" s="195"/>
      <c r="DH75" s="195"/>
      <c r="DI75" s="195"/>
      <c r="DJ75" s="195"/>
      <c r="DK75" s="195"/>
      <c r="DL75" s="195"/>
      <c r="DM75" s="195"/>
      <c r="DN75" s="195"/>
      <c r="DO75" s="195"/>
      <c r="DP75" s="195"/>
      <c r="DQ75" s="195"/>
      <c r="DR75" s="195"/>
      <c r="DS75" s="195"/>
      <c r="DT75" s="195"/>
      <c r="DU75" s="195"/>
      <c r="DV75" s="195"/>
      <c r="DW75" s="195"/>
      <c r="DX75" s="12">
        <v>52</v>
      </c>
      <c r="DY75" s="195"/>
      <c r="DZ75" s="195"/>
      <c r="EA75" s="195"/>
      <c r="EB75" s="195"/>
      <c r="EC75" s="195"/>
      <c r="ED75" s="195"/>
      <c r="EE75" s="195"/>
      <c r="EF75" s="195"/>
      <c r="EG75" s="195"/>
      <c r="EH75" s="195"/>
      <c r="EI75" s="195"/>
      <c r="EJ75" s="195"/>
      <c r="EK75" s="195"/>
      <c r="EL75" s="195"/>
      <c r="EM75" s="195"/>
      <c r="EN75" s="195"/>
      <c r="EO75" s="195"/>
      <c r="EP75" s="12">
        <v>52</v>
      </c>
      <c r="EQ75" s="195"/>
      <c r="ER75" s="195"/>
      <c r="ES75" s="195"/>
      <c r="ET75" s="195"/>
      <c r="EU75" s="195"/>
      <c r="EV75" s="195"/>
      <c r="EW75" s="195"/>
      <c r="EX75" s="195"/>
      <c r="EY75" s="195"/>
      <c r="EZ75" s="195"/>
      <c r="FA75" s="195"/>
      <c r="FB75" s="195"/>
      <c r="FC75" s="195"/>
      <c r="FD75" s="195"/>
      <c r="FE75" s="195"/>
      <c r="FF75" s="195"/>
      <c r="FG75" s="195"/>
      <c r="FH75" s="12">
        <v>52</v>
      </c>
      <c r="FI75" s="195"/>
      <c r="FJ75" s="195"/>
      <c r="FK75" s="195"/>
      <c r="FL75" s="195"/>
      <c r="FM75" s="195"/>
      <c r="FN75" s="195"/>
      <c r="FO75" s="195"/>
      <c r="FP75" s="195"/>
      <c r="FQ75" s="195"/>
      <c r="FR75" s="195"/>
      <c r="FS75" s="195"/>
      <c r="FT75" s="195"/>
      <c r="FU75" s="195"/>
      <c r="FV75" s="195"/>
      <c r="FW75" s="195"/>
      <c r="FX75" s="195"/>
      <c r="FY75" s="195"/>
    </row>
    <row r="76" spans="2:181" x14ac:dyDescent="0.25">
      <c r="B76" s="12">
        <v>53</v>
      </c>
      <c r="C76" s="195"/>
      <c r="D76" s="195"/>
      <c r="E76" s="195"/>
      <c r="F76" s="195"/>
      <c r="G76" s="195"/>
      <c r="H76" s="195"/>
      <c r="I76" s="195"/>
      <c r="J76" s="195"/>
      <c r="K76" s="195"/>
      <c r="L76" s="195"/>
      <c r="M76" s="195"/>
      <c r="N76" s="195"/>
      <c r="O76" s="195"/>
      <c r="P76" s="195"/>
      <c r="Q76" s="195"/>
      <c r="R76" s="195"/>
      <c r="S76" s="195"/>
      <c r="T76" s="12">
        <v>53</v>
      </c>
      <c r="U76" s="195"/>
      <c r="V76" s="195"/>
      <c r="W76" s="195"/>
      <c r="X76" s="195"/>
      <c r="Y76" s="195"/>
      <c r="Z76" s="195"/>
      <c r="AA76" s="195"/>
      <c r="AB76" s="195"/>
      <c r="AC76" s="195"/>
      <c r="AD76" s="195"/>
      <c r="AE76" s="195"/>
      <c r="AF76" s="195"/>
      <c r="AG76" s="195"/>
      <c r="AH76" s="195"/>
      <c r="AI76" s="195"/>
      <c r="AJ76" s="195"/>
      <c r="AK76" s="195"/>
      <c r="AL76" s="12">
        <v>53</v>
      </c>
      <c r="AM76" s="195"/>
      <c r="AN76" s="195"/>
      <c r="AO76" s="195"/>
      <c r="AP76" s="195"/>
      <c r="AQ76" s="195"/>
      <c r="AR76" s="195"/>
      <c r="AS76" s="195"/>
      <c r="AT76" s="195"/>
      <c r="AU76" s="195"/>
      <c r="AV76" s="195"/>
      <c r="AW76" s="195"/>
      <c r="AX76" s="195"/>
      <c r="AY76" s="195"/>
      <c r="AZ76" s="195"/>
      <c r="BA76" s="195"/>
      <c r="BB76" s="195"/>
      <c r="BC76" s="195"/>
      <c r="BD76" s="12">
        <v>53</v>
      </c>
      <c r="BE76" s="195"/>
      <c r="BF76" s="195"/>
      <c r="BG76" s="195"/>
      <c r="BH76" s="195"/>
      <c r="BI76" s="195"/>
      <c r="BJ76" s="195"/>
      <c r="BK76" s="195"/>
      <c r="BL76" s="195"/>
      <c r="BM76" s="195"/>
      <c r="BN76" s="195"/>
      <c r="BO76" s="195"/>
      <c r="BP76" s="195"/>
      <c r="BQ76" s="195"/>
      <c r="BR76" s="195"/>
      <c r="BS76" s="195"/>
      <c r="BT76" s="195"/>
      <c r="BU76" s="195"/>
      <c r="BV76" s="12">
        <v>53</v>
      </c>
      <c r="BW76" s="195"/>
      <c r="BX76" s="195"/>
      <c r="BY76" s="195"/>
      <c r="BZ76" s="195"/>
      <c r="CA76" s="195"/>
      <c r="CB76" s="195"/>
      <c r="CC76" s="195"/>
      <c r="CD76" s="195"/>
      <c r="CE76" s="195"/>
      <c r="CF76" s="195"/>
      <c r="CG76" s="195"/>
      <c r="CH76" s="195"/>
      <c r="CI76" s="195"/>
      <c r="CJ76" s="195"/>
      <c r="CK76" s="195"/>
      <c r="CL76" s="195"/>
      <c r="CM76" s="195"/>
      <c r="CN76" s="12">
        <v>53</v>
      </c>
      <c r="CO76" s="195"/>
      <c r="CP76" s="195"/>
      <c r="CQ76" s="195"/>
      <c r="CR76" s="195"/>
      <c r="CS76" s="195"/>
      <c r="CT76" s="195"/>
      <c r="CU76" s="195"/>
      <c r="CV76" s="195"/>
      <c r="CW76" s="195"/>
      <c r="CX76" s="195"/>
      <c r="CY76" s="195"/>
      <c r="CZ76" s="195"/>
      <c r="DA76" s="195"/>
      <c r="DB76" s="195"/>
      <c r="DC76" s="195"/>
      <c r="DD76" s="195"/>
      <c r="DE76" s="195"/>
      <c r="DF76" s="12">
        <v>53</v>
      </c>
      <c r="DG76" s="195"/>
      <c r="DH76" s="195"/>
      <c r="DI76" s="195"/>
      <c r="DJ76" s="195"/>
      <c r="DK76" s="195"/>
      <c r="DL76" s="195"/>
      <c r="DM76" s="195"/>
      <c r="DN76" s="195"/>
      <c r="DO76" s="195"/>
      <c r="DP76" s="195"/>
      <c r="DQ76" s="195"/>
      <c r="DR76" s="195"/>
      <c r="DS76" s="195"/>
      <c r="DT76" s="195"/>
      <c r="DU76" s="195"/>
      <c r="DV76" s="195"/>
      <c r="DW76" s="195"/>
      <c r="DX76" s="12">
        <v>53</v>
      </c>
      <c r="DY76" s="195"/>
      <c r="DZ76" s="195"/>
      <c r="EA76" s="195"/>
      <c r="EB76" s="195"/>
      <c r="EC76" s="195"/>
      <c r="ED76" s="195"/>
      <c r="EE76" s="195"/>
      <c r="EF76" s="195"/>
      <c r="EG76" s="195"/>
      <c r="EH76" s="195"/>
      <c r="EI76" s="195"/>
      <c r="EJ76" s="195"/>
      <c r="EK76" s="195"/>
      <c r="EL76" s="195"/>
      <c r="EM76" s="195"/>
      <c r="EN76" s="195"/>
      <c r="EO76" s="195"/>
      <c r="EP76" s="12">
        <v>53</v>
      </c>
      <c r="EQ76" s="195"/>
      <c r="ER76" s="195"/>
      <c r="ES76" s="195"/>
      <c r="ET76" s="195"/>
      <c r="EU76" s="195"/>
      <c r="EV76" s="195"/>
      <c r="EW76" s="195"/>
      <c r="EX76" s="195"/>
      <c r="EY76" s="195"/>
      <c r="EZ76" s="195"/>
      <c r="FA76" s="195"/>
      <c r="FB76" s="195"/>
      <c r="FC76" s="195"/>
      <c r="FD76" s="195"/>
      <c r="FE76" s="195"/>
      <c r="FF76" s="195"/>
      <c r="FG76" s="195"/>
      <c r="FH76" s="12">
        <v>53</v>
      </c>
      <c r="FI76" s="195"/>
      <c r="FJ76" s="195"/>
      <c r="FK76" s="195"/>
      <c r="FL76" s="195"/>
      <c r="FM76" s="195"/>
      <c r="FN76" s="195"/>
      <c r="FO76" s="195"/>
      <c r="FP76" s="195"/>
      <c r="FQ76" s="195"/>
      <c r="FR76" s="195"/>
      <c r="FS76" s="195"/>
      <c r="FT76" s="195"/>
      <c r="FU76" s="195"/>
      <c r="FV76" s="195"/>
      <c r="FW76" s="195"/>
      <c r="FX76" s="195"/>
      <c r="FY76" s="195"/>
    </row>
    <row r="77" spans="2:181" x14ac:dyDescent="0.25">
      <c r="B77" s="12">
        <v>54</v>
      </c>
      <c r="C77" s="195"/>
      <c r="D77" s="195"/>
      <c r="E77" s="195"/>
      <c r="F77" s="195"/>
      <c r="G77" s="195"/>
      <c r="H77" s="195"/>
      <c r="I77" s="195"/>
      <c r="J77" s="195"/>
      <c r="K77" s="195"/>
      <c r="L77" s="195"/>
      <c r="M77" s="195"/>
      <c r="N77" s="195"/>
      <c r="O77" s="195"/>
      <c r="P77" s="195"/>
      <c r="Q77" s="195"/>
      <c r="R77" s="195"/>
      <c r="S77" s="195"/>
      <c r="T77" s="12">
        <v>54</v>
      </c>
      <c r="U77" s="195"/>
      <c r="V77" s="195"/>
      <c r="W77" s="195"/>
      <c r="X77" s="195"/>
      <c r="Y77" s="195"/>
      <c r="Z77" s="195"/>
      <c r="AA77" s="195"/>
      <c r="AB77" s="195"/>
      <c r="AC77" s="195"/>
      <c r="AD77" s="195"/>
      <c r="AE77" s="195"/>
      <c r="AF77" s="195"/>
      <c r="AG77" s="195"/>
      <c r="AH77" s="195"/>
      <c r="AI77" s="195"/>
      <c r="AJ77" s="195"/>
      <c r="AK77" s="195"/>
      <c r="AL77" s="12">
        <v>54</v>
      </c>
      <c r="AM77" s="195"/>
      <c r="AN77" s="195"/>
      <c r="AO77" s="195"/>
      <c r="AP77" s="195"/>
      <c r="AQ77" s="195"/>
      <c r="AR77" s="195"/>
      <c r="AS77" s="195"/>
      <c r="AT77" s="195"/>
      <c r="AU77" s="195"/>
      <c r="AV77" s="195"/>
      <c r="AW77" s="195"/>
      <c r="AX77" s="195"/>
      <c r="AY77" s="195"/>
      <c r="AZ77" s="195"/>
      <c r="BA77" s="195"/>
      <c r="BB77" s="195"/>
      <c r="BC77" s="195"/>
      <c r="BD77" s="12">
        <v>54</v>
      </c>
      <c r="BE77" s="195"/>
      <c r="BF77" s="195"/>
      <c r="BG77" s="195"/>
      <c r="BH77" s="195"/>
      <c r="BI77" s="195"/>
      <c r="BJ77" s="195"/>
      <c r="BK77" s="195"/>
      <c r="BL77" s="195"/>
      <c r="BM77" s="195"/>
      <c r="BN77" s="195"/>
      <c r="BO77" s="195"/>
      <c r="BP77" s="195"/>
      <c r="BQ77" s="195"/>
      <c r="BR77" s="195"/>
      <c r="BS77" s="195"/>
      <c r="BT77" s="195"/>
      <c r="BU77" s="195"/>
      <c r="BV77" s="12">
        <v>54</v>
      </c>
      <c r="BW77" s="195"/>
      <c r="BX77" s="195"/>
      <c r="BY77" s="195"/>
      <c r="BZ77" s="195"/>
      <c r="CA77" s="195"/>
      <c r="CB77" s="195"/>
      <c r="CC77" s="195"/>
      <c r="CD77" s="195"/>
      <c r="CE77" s="195"/>
      <c r="CF77" s="195"/>
      <c r="CG77" s="195"/>
      <c r="CH77" s="195"/>
      <c r="CI77" s="195"/>
      <c r="CJ77" s="195"/>
      <c r="CK77" s="195"/>
      <c r="CL77" s="195"/>
      <c r="CM77" s="195"/>
      <c r="CN77" s="12">
        <v>54</v>
      </c>
      <c r="CO77" s="195"/>
      <c r="CP77" s="195"/>
      <c r="CQ77" s="195"/>
      <c r="CR77" s="195"/>
      <c r="CS77" s="195"/>
      <c r="CT77" s="195"/>
      <c r="CU77" s="195"/>
      <c r="CV77" s="195"/>
      <c r="CW77" s="195"/>
      <c r="CX77" s="195"/>
      <c r="CY77" s="195"/>
      <c r="CZ77" s="195"/>
      <c r="DA77" s="195"/>
      <c r="DB77" s="195"/>
      <c r="DC77" s="195"/>
      <c r="DD77" s="195"/>
      <c r="DE77" s="195"/>
      <c r="DF77" s="12">
        <v>54</v>
      </c>
      <c r="DG77" s="195"/>
      <c r="DH77" s="195"/>
      <c r="DI77" s="195"/>
      <c r="DJ77" s="195"/>
      <c r="DK77" s="195"/>
      <c r="DL77" s="195"/>
      <c r="DM77" s="195"/>
      <c r="DN77" s="195"/>
      <c r="DO77" s="195"/>
      <c r="DP77" s="195"/>
      <c r="DQ77" s="195"/>
      <c r="DR77" s="195"/>
      <c r="DS77" s="195"/>
      <c r="DT77" s="195"/>
      <c r="DU77" s="195"/>
      <c r="DV77" s="195"/>
      <c r="DW77" s="195"/>
      <c r="DX77" s="12">
        <v>54</v>
      </c>
      <c r="DY77" s="195"/>
      <c r="DZ77" s="195"/>
      <c r="EA77" s="195"/>
      <c r="EB77" s="195"/>
      <c r="EC77" s="195"/>
      <c r="ED77" s="195"/>
      <c r="EE77" s="195"/>
      <c r="EF77" s="195"/>
      <c r="EG77" s="195"/>
      <c r="EH77" s="195"/>
      <c r="EI77" s="195"/>
      <c r="EJ77" s="195"/>
      <c r="EK77" s="195"/>
      <c r="EL77" s="195"/>
      <c r="EM77" s="195"/>
      <c r="EN77" s="195"/>
      <c r="EO77" s="195"/>
      <c r="EP77" s="12">
        <v>54</v>
      </c>
      <c r="EQ77" s="195"/>
      <c r="ER77" s="195"/>
      <c r="ES77" s="195"/>
      <c r="ET77" s="195"/>
      <c r="EU77" s="195"/>
      <c r="EV77" s="195"/>
      <c r="EW77" s="195"/>
      <c r="EX77" s="195"/>
      <c r="EY77" s="195"/>
      <c r="EZ77" s="195"/>
      <c r="FA77" s="195"/>
      <c r="FB77" s="195"/>
      <c r="FC77" s="195"/>
      <c r="FD77" s="195"/>
      <c r="FE77" s="195"/>
      <c r="FF77" s="195"/>
      <c r="FG77" s="195"/>
      <c r="FH77" s="12">
        <v>54</v>
      </c>
      <c r="FI77" s="195"/>
      <c r="FJ77" s="195"/>
      <c r="FK77" s="195"/>
      <c r="FL77" s="195"/>
      <c r="FM77" s="195"/>
      <c r="FN77" s="195"/>
      <c r="FO77" s="195"/>
      <c r="FP77" s="195"/>
      <c r="FQ77" s="195"/>
      <c r="FR77" s="195"/>
      <c r="FS77" s="195"/>
      <c r="FT77" s="195"/>
      <c r="FU77" s="195"/>
      <c r="FV77" s="195"/>
      <c r="FW77" s="195"/>
      <c r="FX77" s="195"/>
      <c r="FY77" s="195"/>
    </row>
    <row r="78" spans="2:181" x14ac:dyDescent="0.25">
      <c r="B78" s="12">
        <v>55</v>
      </c>
      <c r="C78" s="195"/>
      <c r="D78" s="195"/>
      <c r="E78" s="195"/>
      <c r="F78" s="195"/>
      <c r="G78" s="195"/>
      <c r="H78" s="195"/>
      <c r="I78" s="195"/>
      <c r="J78" s="195"/>
      <c r="K78" s="195"/>
      <c r="L78" s="195"/>
      <c r="M78" s="195"/>
      <c r="N78" s="195"/>
      <c r="O78" s="195"/>
      <c r="P78" s="195"/>
      <c r="Q78" s="195"/>
      <c r="R78" s="195"/>
      <c r="S78" s="195"/>
      <c r="T78" s="12">
        <v>55</v>
      </c>
      <c r="U78" s="195"/>
      <c r="V78" s="195"/>
      <c r="W78" s="195"/>
      <c r="X78" s="195"/>
      <c r="Y78" s="195"/>
      <c r="Z78" s="195"/>
      <c r="AA78" s="195"/>
      <c r="AB78" s="195"/>
      <c r="AC78" s="195"/>
      <c r="AD78" s="195"/>
      <c r="AE78" s="195"/>
      <c r="AF78" s="195"/>
      <c r="AG78" s="195"/>
      <c r="AH78" s="195"/>
      <c r="AI78" s="195"/>
      <c r="AJ78" s="195"/>
      <c r="AK78" s="195"/>
      <c r="AL78" s="12">
        <v>55</v>
      </c>
      <c r="AM78" s="195"/>
      <c r="AN78" s="195"/>
      <c r="AO78" s="195"/>
      <c r="AP78" s="195"/>
      <c r="AQ78" s="195"/>
      <c r="AR78" s="195"/>
      <c r="AS78" s="195"/>
      <c r="AT78" s="195"/>
      <c r="AU78" s="195"/>
      <c r="AV78" s="195"/>
      <c r="AW78" s="195"/>
      <c r="AX78" s="195"/>
      <c r="AY78" s="195"/>
      <c r="AZ78" s="195"/>
      <c r="BA78" s="195"/>
      <c r="BB78" s="195"/>
      <c r="BC78" s="195"/>
      <c r="BD78" s="12">
        <v>55</v>
      </c>
      <c r="BE78" s="195"/>
      <c r="BF78" s="195"/>
      <c r="BG78" s="195"/>
      <c r="BH78" s="195"/>
      <c r="BI78" s="195"/>
      <c r="BJ78" s="195"/>
      <c r="BK78" s="195"/>
      <c r="BL78" s="195"/>
      <c r="BM78" s="195"/>
      <c r="BN78" s="195"/>
      <c r="BO78" s="195"/>
      <c r="BP78" s="195"/>
      <c r="BQ78" s="195"/>
      <c r="BR78" s="195"/>
      <c r="BS78" s="195"/>
      <c r="BT78" s="195"/>
      <c r="BU78" s="195"/>
      <c r="BV78" s="12">
        <v>55</v>
      </c>
      <c r="BW78" s="195"/>
      <c r="BX78" s="195"/>
      <c r="BY78" s="195"/>
      <c r="BZ78" s="195"/>
      <c r="CA78" s="195"/>
      <c r="CB78" s="195"/>
      <c r="CC78" s="195"/>
      <c r="CD78" s="195"/>
      <c r="CE78" s="195"/>
      <c r="CF78" s="195"/>
      <c r="CG78" s="195"/>
      <c r="CH78" s="195"/>
      <c r="CI78" s="195"/>
      <c r="CJ78" s="195"/>
      <c r="CK78" s="195"/>
      <c r="CL78" s="195"/>
      <c r="CM78" s="195"/>
      <c r="CN78" s="12">
        <v>55</v>
      </c>
      <c r="CO78" s="195"/>
      <c r="CP78" s="195"/>
      <c r="CQ78" s="195"/>
      <c r="CR78" s="195"/>
      <c r="CS78" s="195"/>
      <c r="CT78" s="195"/>
      <c r="CU78" s="195"/>
      <c r="CV78" s="195"/>
      <c r="CW78" s="195"/>
      <c r="CX78" s="195"/>
      <c r="CY78" s="195"/>
      <c r="CZ78" s="195"/>
      <c r="DA78" s="195"/>
      <c r="DB78" s="195"/>
      <c r="DC78" s="195"/>
      <c r="DD78" s="195"/>
      <c r="DE78" s="195"/>
      <c r="DF78" s="12">
        <v>55</v>
      </c>
      <c r="DG78" s="195"/>
      <c r="DH78" s="195"/>
      <c r="DI78" s="195"/>
      <c r="DJ78" s="195"/>
      <c r="DK78" s="195"/>
      <c r="DL78" s="195"/>
      <c r="DM78" s="195"/>
      <c r="DN78" s="195"/>
      <c r="DO78" s="195"/>
      <c r="DP78" s="195"/>
      <c r="DQ78" s="195"/>
      <c r="DR78" s="195"/>
      <c r="DS78" s="195"/>
      <c r="DT78" s="195"/>
      <c r="DU78" s="195"/>
      <c r="DV78" s="195"/>
      <c r="DW78" s="195"/>
      <c r="DX78" s="12">
        <v>55</v>
      </c>
      <c r="DY78" s="195"/>
      <c r="DZ78" s="195"/>
      <c r="EA78" s="195"/>
      <c r="EB78" s="195"/>
      <c r="EC78" s="195"/>
      <c r="ED78" s="195"/>
      <c r="EE78" s="195"/>
      <c r="EF78" s="195"/>
      <c r="EG78" s="195"/>
      <c r="EH78" s="195"/>
      <c r="EI78" s="195"/>
      <c r="EJ78" s="195"/>
      <c r="EK78" s="195"/>
      <c r="EL78" s="195"/>
      <c r="EM78" s="195"/>
      <c r="EN78" s="195"/>
      <c r="EO78" s="195"/>
      <c r="EP78" s="12">
        <v>55</v>
      </c>
      <c r="EQ78" s="195"/>
      <c r="ER78" s="195"/>
      <c r="ES78" s="195"/>
      <c r="ET78" s="195"/>
      <c r="EU78" s="195"/>
      <c r="EV78" s="195"/>
      <c r="EW78" s="195"/>
      <c r="EX78" s="195"/>
      <c r="EY78" s="195"/>
      <c r="EZ78" s="195"/>
      <c r="FA78" s="195"/>
      <c r="FB78" s="195"/>
      <c r="FC78" s="195"/>
      <c r="FD78" s="195"/>
      <c r="FE78" s="195"/>
      <c r="FF78" s="195"/>
      <c r="FG78" s="195"/>
      <c r="FH78" s="12">
        <v>55</v>
      </c>
      <c r="FI78" s="195"/>
      <c r="FJ78" s="195"/>
      <c r="FK78" s="195"/>
      <c r="FL78" s="195"/>
      <c r="FM78" s="195"/>
      <c r="FN78" s="195"/>
      <c r="FO78" s="195"/>
      <c r="FP78" s="195"/>
      <c r="FQ78" s="195"/>
      <c r="FR78" s="195"/>
      <c r="FS78" s="195"/>
      <c r="FT78" s="195"/>
      <c r="FU78" s="195"/>
      <c r="FV78" s="195"/>
      <c r="FW78" s="195"/>
      <c r="FX78" s="195"/>
      <c r="FY78" s="195"/>
    </row>
    <row r="79" spans="2:181" x14ac:dyDescent="0.25">
      <c r="B79" s="12">
        <v>56</v>
      </c>
      <c r="C79" s="195"/>
      <c r="D79" s="195"/>
      <c r="E79" s="195"/>
      <c r="F79" s="195"/>
      <c r="G79" s="195"/>
      <c r="H79" s="195"/>
      <c r="I79" s="195"/>
      <c r="J79" s="195"/>
      <c r="K79" s="195"/>
      <c r="L79" s="195"/>
      <c r="M79" s="195"/>
      <c r="N79" s="195"/>
      <c r="O79" s="195"/>
      <c r="P79" s="195"/>
      <c r="Q79" s="195"/>
      <c r="R79" s="195"/>
      <c r="S79" s="195"/>
      <c r="T79" s="12">
        <v>56</v>
      </c>
      <c r="U79" s="195"/>
      <c r="V79" s="195"/>
      <c r="W79" s="195"/>
      <c r="X79" s="195"/>
      <c r="Y79" s="195"/>
      <c r="Z79" s="195"/>
      <c r="AA79" s="195"/>
      <c r="AB79" s="195"/>
      <c r="AC79" s="195"/>
      <c r="AD79" s="195"/>
      <c r="AE79" s="195"/>
      <c r="AF79" s="195"/>
      <c r="AG79" s="195"/>
      <c r="AH79" s="195"/>
      <c r="AI79" s="195"/>
      <c r="AJ79" s="195"/>
      <c r="AK79" s="195"/>
      <c r="AL79" s="12">
        <v>56</v>
      </c>
      <c r="AM79" s="195"/>
      <c r="AN79" s="195"/>
      <c r="AO79" s="195"/>
      <c r="AP79" s="195"/>
      <c r="AQ79" s="195"/>
      <c r="AR79" s="195"/>
      <c r="AS79" s="195"/>
      <c r="AT79" s="195"/>
      <c r="AU79" s="195"/>
      <c r="AV79" s="195"/>
      <c r="AW79" s="195"/>
      <c r="AX79" s="195"/>
      <c r="AY79" s="195"/>
      <c r="AZ79" s="195"/>
      <c r="BA79" s="195"/>
      <c r="BB79" s="195"/>
      <c r="BC79" s="195"/>
      <c r="BD79" s="12">
        <v>56</v>
      </c>
      <c r="BE79" s="195"/>
      <c r="BF79" s="195"/>
      <c r="BG79" s="195"/>
      <c r="BH79" s="195"/>
      <c r="BI79" s="195"/>
      <c r="BJ79" s="195"/>
      <c r="BK79" s="195"/>
      <c r="BL79" s="195"/>
      <c r="BM79" s="195"/>
      <c r="BN79" s="195"/>
      <c r="BO79" s="195"/>
      <c r="BP79" s="195"/>
      <c r="BQ79" s="195"/>
      <c r="BR79" s="195"/>
      <c r="BS79" s="195"/>
      <c r="BT79" s="195"/>
      <c r="BU79" s="195"/>
      <c r="BV79" s="12">
        <v>56</v>
      </c>
      <c r="BW79" s="195"/>
      <c r="BX79" s="195"/>
      <c r="BY79" s="195"/>
      <c r="BZ79" s="195"/>
      <c r="CA79" s="195"/>
      <c r="CB79" s="195"/>
      <c r="CC79" s="195"/>
      <c r="CD79" s="195"/>
      <c r="CE79" s="195"/>
      <c r="CF79" s="195"/>
      <c r="CG79" s="195"/>
      <c r="CH79" s="195"/>
      <c r="CI79" s="195"/>
      <c r="CJ79" s="195"/>
      <c r="CK79" s="195"/>
      <c r="CL79" s="195"/>
      <c r="CM79" s="195"/>
      <c r="CN79" s="12">
        <v>56</v>
      </c>
      <c r="CO79" s="195"/>
      <c r="CP79" s="195"/>
      <c r="CQ79" s="195"/>
      <c r="CR79" s="195"/>
      <c r="CS79" s="195"/>
      <c r="CT79" s="195"/>
      <c r="CU79" s="195"/>
      <c r="CV79" s="195"/>
      <c r="CW79" s="195"/>
      <c r="CX79" s="195"/>
      <c r="CY79" s="195"/>
      <c r="CZ79" s="195"/>
      <c r="DA79" s="195"/>
      <c r="DB79" s="195"/>
      <c r="DC79" s="195"/>
      <c r="DD79" s="195"/>
      <c r="DE79" s="195"/>
      <c r="DF79" s="12">
        <v>56</v>
      </c>
      <c r="DG79" s="195"/>
      <c r="DH79" s="195"/>
      <c r="DI79" s="195"/>
      <c r="DJ79" s="195"/>
      <c r="DK79" s="195"/>
      <c r="DL79" s="195"/>
      <c r="DM79" s="195"/>
      <c r="DN79" s="195"/>
      <c r="DO79" s="195"/>
      <c r="DP79" s="195"/>
      <c r="DQ79" s="195"/>
      <c r="DR79" s="195"/>
      <c r="DS79" s="195"/>
      <c r="DT79" s="195"/>
      <c r="DU79" s="195"/>
      <c r="DV79" s="195"/>
      <c r="DW79" s="195"/>
      <c r="DX79" s="12">
        <v>56</v>
      </c>
      <c r="DY79" s="195"/>
      <c r="DZ79" s="195"/>
      <c r="EA79" s="195"/>
      <c r="EB79" s="195"/>
      <c r="EC79" s="195"/>
      <c r="ED79" s="195"/>
      <c r="EE79" s="195"/>
      <c r="EF79" s="195"/>
      <c r="EG79" s="195"/>
      <c r="EH79" s="195"/>
      <c r="EI79" s="195"/>
      <c r="EJ79" s="195"/>
      <c r="EK79" s="195"/>
      <c r="EL79" s="195"/>
      <c r="EM79" s="195"/>
      <c r="EN79" s="195"/>
      <c r="EO79" s="195"/>
      <c r="EP79" s="12">
        <v>56</v>
      </c>
      <c r="EQ79" s="195"/>
      <c r="ER79" s="195"/>
      <c r="ES79" s="195"/>
      <c r="ET79" s="195"/>
      <c r="EU79" s="195"/>
      <c r="EV79" s="195"/>
      <c r="EW79" s="195"/>
      <c r="EX79" s="195"/>
      <c r="EY79" s="195"/>
      <c r="EZ79" s="195"/>
      <c r="FA79" s="195"/>
      <c r="FB79" s="195"/>
      <c r="FC79" s="195"/>
      <c r="FD79" s="195"/>
      <c r="FE79" s="195"/>
      <c r="FF79" s="195"/>
      <c r="FG79" s="195"/>
      <c r="FH79" s="12">
        <v>56</v>
      </c>
      <c r="FI79" s="195"/>
      <c r="FJ79" s="195"/>
      <c r="FK79" s="195"/>
      <c r="FL79" s="195"/>
      <c r="FM79" s="195"/>
      <c r="FN79" s="195"/>
      <c r="FO79" s="195"/>
      <c r="FP79" s="195"/>
      <c r="FQ79" s="195"/>
      <c r="FR79" s="195"/>
      <c r="FS79" s="195"/>
      <c r="FT79" s="195"/>
      <c r="FU79" s="195"/>
      <c r="FV79" s="195"/>
      <c r="FW79" s="195"/>
      <c r="FX79" s="195"/>
      <c r="FY79" s="195"/>
    </row>
    <row r="80" spans="2:181" x14ac:dyDescent="0.25">
      <c r="B80" s="12">
        <v>57</v>
      </c>
      <c r="C80" s="195"/>
      <c r="D80" s="195"/>
      <c r="E80" s="195"/>
      <c r="F80" s="195"/>
      <c r="G80" s="195"/>
      <c r="H80" s="195"/>
      <c r="I80" s="195"/>
      <c r="J80" s="195"/>
      <c r="K80" s="195"/>
      <c r="L80" s="195"/>
      <c r="M80" s="195"/>
      <c r="N80" s="195"/>
      <c r="O80" s="195"/>
      <c r="P80" s="195"/>
      <c r="Q80" s="195"/>
      <c r="R80" s="195"/>
      <c r="S80" s="195"/>
      <c r="T80" s="12">
        <v>57</v>
      </c>
      <c r="U80" s="195"/>
      <c r="V80" s="195"/>
      <c r="W80" s="195"/>
      <c r="X80" s="195"/>
      <c r="Y80" s="195"/>
      <c r="Z80" s="195"/>
      <c r="AA80" s="195"/>
      <c r="AB80" s="195"/>
      <c r="AC80" s="195"/>
      <c r="AD80" s="195"/>
      <c r="AE80" s="195"/>
      <c r="AF80" s="195"/>
      <c r="AG80" s="195"/>
      <c r="AH80" s="195"/>
      <c r="AI80" s="195"/>
      <c r="AJ80" s="195"/>
      <c r="AK80" s="195"/>
      <c r="AL80" s="12">
        <v>57</v>
      </c>
      <c r="AM80" s="195"/>
      <c r="AN80" s="195"/>
      <c r="AO80" s="195"/>
      <c r="AP80" s="195"/>
      <c r="AQ80" s="195"/>
      <c r="AR80" s="195"/>
      <c r="AS80" s="195"/>
      <c r="AT80" s="195"/>
      <c r="AU80" s="195"/>
      <c r="AV80" s="195"/>
      <c r="AW80" s="195"/>
      <c r="AX80" s="195"/>
      <c r="AY80" s="195"/>
      <c r="AZ80" s="195"/>
      <c r="BA80" s="195"/>
      <c r="BB80" s="195"/>
      <c r="BC80" s="195"/>
      <c r="BD80" s="12">
        <v>57</v>
      </c>
      <c r="BE80" s="195"/>
      <c r="BF80" s="195"/>
      <c r="BG80" s="195"/>
      <c r="BH80" s="195"/>
      <c r="BI80" s="195"/>
      <c r="BJ80" s="195"/>
      <c r="BK80" s="195"/>
      <c r="BL80" s="195"/>
      <c r="BM80" s="195"/>
      <c r="BN80" s="195"/>
      <c r="BO80" s="195"/>
      <c r="BP80" s="195"/>
      <c r="BQ80" s="195"/>
      <c r="BR80" s="195"/>
      <c r="BS80" s="195"/>
      <c r="BT80" s="195"/>
      <c r="BU80" s="195"/>
      <c r="BV80" s="12">
        <v>57</v>
      </c>
      <c r="BW80" s="195"/>
      <c r="BX80" s="195"/>
      <c r="BY80" s="195"/>
      <c r="BZ80" s="195"/>
      <c r="CA80" s="195"/>
      <c r="CB80" s="195"/>
      <c r="CC80" s="195"/>
      <c r="CD80" s="195"/>
      <c r="CE80" s="195"/>
      <c r="CF80" s="195"/>
      <c r="CG80" s="195"/>
      <c r="CH80" s="195"/>
      <c r="CI80" s="195"/>
      <c r="CJ80" s="195"/>
      <c r="CK80" s="195"/>
      <c r="CL80" s="195"/>
      <c r="CM80" s="195"/>
      <c r="CN80" s="12">
        <v>57</v>
      </c>
      <c r="CO80" s="195"/>
      <c r="CP80" s="195"/>
      <c r="CQ80" s="195"/>
      <c r="CR80" s="195"/>
      <c r="CS80" s="195"/>
      <c r="CT80" s="195"/>
      <c r="CU80" s="195"/>
      <c r="CV80" s="195"/>
      <c r="CW80" s="195"/>
      <c r="CX80" s="195"/>
      <c r="CY80" s="195"/>
      <c r="CZ80" s="195"/>
      <c r="DA80" s="195"/>
      <c r="DB80" s="195"/>
      <c r="DC80" s="195"/>
      <c r="DD80" s="195"/>
      <c r="DE80" s="195"/>
      <c r="DF80" s="12">
        <v>57</v>
      </c>
      <c r="DG80" s="195"/>
      <c r="DH80" s="195"/>
      <c r="DI80" s="195"/>
      <c r="DJ80" s="195"/>
      <c r="DK80" s="195"/>
      <c r="DL80" s="195"/>
      <c r="DM80" s="195"/>
      <c r="DN80" s="195"/>
      <c r="DO80" s="195"/>
      <c r="DP80" s="195"/>
      <c r="DQ80" s="195"/>
      <c r="DR80" s="195"/>
      <c r="DS80" s="195"/>
      <c r="DT80" s="195"/>
      <c r="DU80" s="195"/>
      <c r="DV80" s="195"/>
      <c r="DW80" s="195"/>
      <c r="DX80" s="12">
        <v>57</v>
      </c>
      <c r="DY80" s="195"/>
      <c r="DZ80" s="195"/>
      <c r="EA80" s="195"/>
      <c r="EB80" s="195"/>
      <c r="EC80" s="195"/>
      <c r="ED80" s="195"/>
      <c r="EE80" s="195"/>
      <c r="EF80" s="195"/>
      <c r="EG80" s="195"/>
      <c r="EH80" s="195"/>
      <c r="EI80" s="195"/>
      <c r="EJ80" s="195"/>
      <c r="EK80" s="195"/>
      <c r="EL80" s="195"/>
      <c r="EM80" s="195"/>
      <c r="EN80" s="195"/>
      <c r="EO80" s="195"/>
      <c r="EP80" s="12">
        <v>57</v>
      </c>
      <c r="EQ80" s="195"/>
      <c r="ER80" s="195"/>
      <c r="ES80" s="195"/>
      <c r="ET80" s="195"/>
      <c r="EU80" s="195"/>
      <c r="EV80" s="195"/>
      <c r="EW80" s="195"/>
      <c r="EX80" s="195"/>
      <c r="EY80" s="195"/>
      <c r="EZ80" s="195"/>
      <c r="FA80" s="195"/>
      <c r="FB80" s="195"/>
      <c r="FC80" s="195"/>
      <c r="FD80" s="195"/>
      <c r="FE80" s="195"/>
      <c r="FF80" s="195"/>
      <c r="FG80" s="195"/>
      <c r="FH80" s="12">
        <v>57</v>
      </c>
      <c r="FI80" s="195"/>
      <c r="FJ80" s="195"/>
      <c r="FK80" s="195"/>
      <c r="FL80" s="195"/>
      <c r="FM80" s="195"/>
      <c r="FN80" s="195"/>
      <c r="FO80" s="195"/>
      <c r="FP80" s="195"/>
      <c r="FQ80" s="195"/>
      <c r="FR80" s="195"/>
      <c r="FS80" s="195"/>
      <c r="FT80" s="195"/>
      <c r="FU80" s="195"/>
      <c r="FV80" s="195"/>
      <c r="FW80" s="195"/>
      <c r="FX80" s="195"/>
      <c r="FY80" s="195"/>
    </row>
    <row r="81" spans="2:181" x14ac:dyDescent="0.25">
      <c r="B81" s="12">
        <v>58</v>
      </c>
      <c r="C81" s="195"/>
      <c r="D81" s="195"/>
      <c r="E81" s="195"/>
      <c r="F81" s="195"/>
      <c r="G81" s="195"/>
      <c r="H81" s="195"/>
      <c r="I81" s="195"/>
      <c r="J81" s="195"/>
      <c r="K81" s="195"/>
      <c r="L81" s="195"/>
      <c r="M81" s="195"/>
      <c r="N81" s="195"/>
      <c r="O81" s="195"/>
      <c r="P81" s="195"/>
      <c r="Q81" s="195"/>
      <c r="R81" s="195"/>
      <c r="S81" s="195"/>
      <c r="T81" s="12">
        <v>58</v>
      </c>
      <c r="U81" s="195"/>
      <c r="V81" s="195"/>
      <c r="W81" s="195"/>
      <c r="X81" s="195"/>
      <c r="Y81" s="195"/>
      <c r="Z81" s="195"/>
      <c r="AA81" s="195"/>
      <c r="AB81" s="195"/>
      <c r="AC81" s="195"/>
      <c r="AD81" s="195"/>
      <c r="AE81" s="195"/>
      <c r="AF81" s="195"/>
      <c r="AG81" s="195"/>
      <c r="AH81" s="195"/>
      <c r="AI81" s="195"/>
      <c r="AJ81" s="195"/>
      <c r="AK81" s="195"/>
      <c r="AL81" s="12">
        <v>58</v>
      </c>
      <c r="AM81" s="195"/>
      <c r="AN81" s="195"/>
      <c r="AO81" s="195"/>
      <c r="AP81" s="195"/>
      <c r="AQ81" s="195"/>
      <c r="AR81" s="195"/>
      <c r="AS81" s="195"/>
      <c r="AT81" s="195"/>
      <c r="AU81" s="195"/>
      <c r="AV81" s="195"/>
      <c r="AW81" s="195"/>
      <c r="AX81" s="195"/>
      <c r="AY81" s="195"/>
      <c r="AZ81" s="195"/>
      <c r="BA81" s="195"/>
      <c r="BB81" s="195"/>
      <c r="BC81" s="195"/>
      <c r="BD81" s="12">
        <v>58</v>
      </c>
      <c r="BE81" s="195"/>
      <c r="BF81" s="195"/>
      <c r="BG81" s="195"/>
      <c r="BH81" s="195"/>
      <c r="BI81" s="195"/>
      <c r="BJ81" s="195"/>
      <c r="BK81" s="195"/>
      <c r="BL81" s="195"/>
      <c r="BM81" s="195"/>
      <c r="BN81" s="195"/>
      <c r="BO81" s="195"/>
      <c r="BP81" s="195"/>
      <c r="BQ81" s="195"/>
      <c r="BR81" s="195"/>
      <c r="BS81" s="195"/>
      <c r="BT81" s="195"/>
      <c r="BU81" s="195"/>
      <c r="BV81" s="12">
        <v>58</v>
      </c>
      <c r="BW81" s="195"/>
      <c r="BX81" s="195"/>
      <c r="BY81" s="195"/>
      <c r="BZ81" s="195"/>
      <c r="CA81" s="195"/>
      <c r="CB81" s="195"/>
      <c r="CC81" s="195"/>
      <c r="CD81" s="195"/>
      <c r="CE81" s="195"/>
      <c r="CF81" s="195"/>
      <c r="CG81" s="195"/>
      <c r="CH81" s="195"/>
      <c r="CI81" s="195"/>
      <c r="CJ81" s="195"/>
      <c r="CK81" s="195"/>
      <c r="CL81" s="195"/>
      <c r="CM81" s="195"/>
      <c r="CN81" s="12">
        <v>58</v>
      </c>
      <c r="CO81" s="195"/>
      <c r="CP81" s="195"/>
      <c r="CQ81" s="195"/>
      <c r="CR81" s="195"/>
      <c r="CS81" s="195"/>
      <c r="CT81" s="195"/>
      <c r="CU81" s="195"/>
      <c r="CV81" s="195"/>
      <c r="CW81" s="195"/>
      <c r="CX81" s="195"/>
      <c r="CY81" s="195"/>
      <c r="CZ81" s="195"/>
      <c r="DA81" s="195"/>
      <c r="DB81" s="195"/>
      <c r="DC81" s="195"/>
      <c r="DD81" s="195"/>
      <c r="DE81" s="195"/>
      <c r="DF81" s="12">
        <v>58</v>
      </c>
      <c r="DG81" s="195"/>
      <c r="DH81" s="195"/>
      <c r="DI81" s="195"/>
      <c r="DJ81" s="195"/>
      <c r="DK81" s="195"/>
      <c r="DL81" s="195"/>
      <c r="DM81" s="195"/>
      <c r="DN81" s="195"/>
      <c r="DO81" s="195"/>
      <c r="DP81" s="195"/>
      <c r="DQ81" s="195"/>
      <c r="DR81" s="195"/>
      <c r="DS81" s="195"/>
      <c r="DT81" s="195"/>
      <c r="DU81" s="195"/>
      <c r="DV81" s="195"/>
      <c r="DW81" s="195"/>
      <c r="DX81" s="12">
        <v>58</v>
      </c>
      <c r="DY81" s="195"/>
      <c r="DZ81" s="195"/>
      <c r="EA81" s="195"/>
      <c r="EB81" s="195"/>
      <c r="EC81" s="195"/>
      <c r="ED81" s="195"/>
      <c r="EE81" s="195"/>
      <c r="EF81" s="195"/>
      <c r="EG81" s="195"/>
      <c r="EH81" s="195"/>
      <c r="EI81" s="195"/>
      <c r="EJ81" s="195"/>
      <c r="EK81" s="195"/>
      <c r="EL81" s="195"/>
      <c r="EM81" s="195"/>
      <c r="EN81" s="195"/>
      <c r="EO81" s="195"/>
      <c r="EP81" s="12">
        <v>58</v>
      </c>
      <c r="EQ81" s="195"/>
      <c r="ER81" s="195"/>
      <c r="ES81" s="195"/>
      <c r="ET81" s="195"/>
      <c r="EU81" s="195"/>
      <c r="EV81" s="195"/>
      <c r="EW81" s="195"/>
      <c r="EX81" s="195"/>
      <c r="EY81" s="195"/>
      <c r="EZ81" s="195"/>
      <c r="FA81" s="195"/>
      <c r="FB81" s="195"/>
      <c r="FC81" s="195"/>
      <c r="FD81" s="195"/>
      <c r="FE81" s="195"/>
      <c r="FF81" s="195"/>
      <c r="FG81" s="195"/>
      <c r="FH81" s="12">
        <v>58</v>
      </c>
      <c r="FI81" s="195"/>
      <c r="FJ81" s="195"/>
      <c r="FK81" s="195"/>
      <c r="FL81" s="195"/>
      <c r="FM81" s="195"/>
      <c r="FN81" s="195"/>
      <c r="FO81" s="195"/>
      <c r="FP81" s="195"/>
      <c r="FQ81" s="195"/>
      <c r="FR81" s="195"/>
      <c r="FS81" s="195"/>
      <c r="FT81" s="195"/>
      <c r="FU81" s="195"/>
      <c r="FV81" s="195"/>
      <c r="FW81" s="195"/>
      <c r="FX81" s="195"/>
      <c r="FY81" s="195"/>
    </row>
    <row r="82" spans="2:181" x14ac:dyDescent="0.25">
      <c r="B82" s="12">
        <v>59</v>
      </c>
      <c r="C82" s="195"/>
      <c r="D82" s="195"/>
      <c r="E82" s="195"/>
      <c r="F82" s="195"/>
      <c r="G82" s="195"/>
      <c r="H82" s="195"/>
      <c r="I82" s="195"/>
      <c r="J82" s="195"/>
      <c r="K82" s="195"/>
      <c r="L82" s="195"/>
      <c r="M82" s="195"/>
      <c r="N82" s="195"/>
      <c r="O82" s="195"/>
      <c r="P82" s="195"/>
      <c r="Q82" s="195"/>
      <c r="R82" s="195"/>
      <c r="S82" s="195"/>
      <c r="T82" s="12">
        <v>59</v>
      </c>
      <c r="U82" s="195"/>
      <c r="V82" s="195"/>
      <c r="W82" s="195"/>
      <c r="X82" s="195"/>
      <c r="Y82" s="195"/>
      <c r="Z82" s="195"/>
      <c r="AA82" s="195"/>
      <c r="AB82" s="195"/>
      <c r="AC82" s="195"/>
      <c r="AD82" s="195"/>
      <c r="AE82" s="195"/>
      <c r="AF82" s="195"/>
      <c r="AG82" s="195"/>
      <c r="AH82" s="195"/>
      <c r="AI82" s="195"/>
      <c r="AJ82" s="195"/>
      <c r="AK82" s="195"/>
      <c r="AL82" s="12">
        <v>59</v>
      </c>
      <c r="AM82" s="195"/>
      <c r="AN82" s="195"/>
      <c r="AO82" s="195"/>
      <c r="AP82" s="195"/>
      <c r="AQ82" s="195"/>
      <c r="AR82" s="195"/>
      <c r="AS82" s="195"/>
      <c r="AT82" s="195"/>
      <c r="AU82" s="195"/>
      <c r="AV82" s="195"/>
      <c r="AW82" s="195"/>
      <c r="AX82" s="195"/>
      <c r="AY82" s="195"/>
      <c r="AZ82" s="195"/>
      <c r="BA82" s="195"/>
      <c r="BB82" s="195"/>
      <c r="BC82" s="195"/>
      <c r="BD82" s="12">
        <v>59</v>
      </c>
      <c r="BE82" s="195"/>
      <c r="BF82" s="195"/>
      <c r="BG82" s="195"/>
      <c r="BH82" s="195"/>
      <c r="BI82" s="195"/>
      <c r="BJ82" s="195"/>
      <c r="BK82" s="195"/>
      <c r="BL82" s="195"/>
      <c r="BM82" s="195"/>
      <c r="BN82" s="195"/>
      <c r="BO82" s="195"/>
      <c r="BP82" s="195"/>
      <c r="BQ82" s="195"/>
      <c r="BR82" s="195"/>
      <c r="BS82" s="195"/>
      <c r="BT82" s="195"/>
      <c r="BU82" s="195"/>
      <c r="BV82" s="12">
        <v>59</v>
      </c>
      <c r="BW82" s="195"/>
      <c r="BX82" s="195"/>
      <c r="BY82" s="195"/>
      <c r="BZ82" s="195"/>
      <c r="CA82" s="195"/>
      <c r="CB82" s="195"/>
      <c r="CC82" s="195"/>
      <c r="CD82" s="195"/>
      <c r="CE82" s="195"/>
      <c r="CF82" s="195"/>
      <c r="CG82" s="195"/>
      <c r="CH82" s="195"/>
      <c r="CI82" s="195"/>
      <c r="CJ82" s="195"/>
      <c r="CK82" s="195"/>
      <c r="CL82" s="195"/>
      <c r="CM82" s="195"/>
      <c r="CN82" s="12">
        <v>59</v>
      </c>
      <c r="CO82" s="195"/>
      <c r="CP82" s="195"/>
      <c r="CQ82" s="195"/>
      <c r="CR82" s="195"/>
      <c r="CS82" s="195"/>
      <c r="CT82" s="195"/>
      <c r="CU82" s="195"/>
      <c r="CV82" s="195"/>
      <c r="CW82" s="195"/>
      <c r="CX82" s="195"/>
      <c r="CY82" s="195"/>
      <c r="CZ82" s="195"/>
      <c r="DA82" s="195"/>
      <c r="DB82" s="195"/>
      <c r="DC82" s="195"/>
      <c r="DD82" s="195"/>
      <c r="DE82" s="195"/>
      <c r="DF82" s="12">
        <v>59</v>
      </c>
      <c r="DG82" s="195"/>
      <c r="DH82" s="195"/>
      <c r="DI82" s="195"/>
      <c r="DJ82" s="195"/>
      <c r="DK82" s="195"/>
      <c r="DL82" s="195"/>
      <c r="DM82" s="195"/>
      <c r="DN82" s="195"/>
      <c r="DO82" s="195"/>
      <c r="DP82" s="195"/>
      <c r="DQ82" s="195"/>
      <c r="DR82" s="195"/>
      <c r="DS82" s="195"/>
      <c r="DT82" s="195"/>
      <c r="DU82" s="195"/>
      <c r="DV82" s="195"/>
      <c r="DW82" s="195"/>
      <c r="DX82" s="12">
        <v>59</v>
      </c>
      <c r="DY82" s="195"/>
      <c r="DZ82" s="195"/>
      <c r="EA82" s="195"/>
      <c r="EB82" s="195"/>
      <c r="EC82" s="195"/>
      <c r="ED82" s="195"/>
      <c r="EE82" s="195"/>
      <c r="EF82" s="195"/>
      <c r="EG82" s="195"/>
      <c r="EH82" s="195"/>
      <c r="EI82" s="195"/>
      <c r="EJ82" s="195"/>
      <c r="EK82" s="195"/>
      <c r="EL82" s="195"/>
      <c r="EM82" s="195"/>
      <c r="EN82" s="195"/>
      <c r="EO82" s="195"/>
      <c r="EP82" s="12">
        <v>59</v>
      </c>
      <c r="EQ82" s="195"/>
      <c r="ER82" s="195"/>
      <c r="ES82" s="195"/>
      <c r="ET82" s="195"/>
      <c r="EU82" s="195"/>
      <c r="EV82" s="195"/>
      <c r="EW82" s="195"/>
      <c r="EX82" s="195"/>
      <c r="EY82" s="195"/>
      <c r="EZ82" s="195"/>
      <c r="FA82" s="195"/>
      <c r="FB82" s="195"/>
      <c r="FC82" s="195"/>
      <c r="FD82" s="195"/>
      <c r="FE82" s="195"/>
      <c r="FF82" s="195"/>
      <c r="FG82" s="195"/>
      <c r="FH82" s="12">
        <v>59</v>
      </c>
      <c r="FI82" s="195"/>
      <c r="FJ82" s="195"/>
      <c r="FK82" s="195"/>
      <c r="FL82" s="195"/>
      <c r="FM82" s="195"/>
      <c r="FN82" s="195"/>
      <c r="FO82" s="195"/>
      <c r="FP82" s="195"/>
      <c r="FQ82" s="195"/>
      <c r="FR82" s="195"/>
      <c r="FS82" s="195"/>
      <c r="FT82" s="195"/>
      <c r="FU82" s="195"/>
      <c r="FV82" s="195"/>
      <c r="FW82" s="195"/>
      <c r="FX82" s="195"/>
      <c r="FY82" s="195"/>
    </row>
    <row r="83" spans="2:181" x14ac:dyDescent="0.25">
      <c r="B83" s="12">
        <v>60</v>
      </c>
      <c r="C83" s="195"/>
      <c r="D83" s="195"/>
      <c r="E83" s="195"/>
      <c r="F83" s="195"/>
      <c r="G83" s="195"/>
      <c r="H83" s="195"/>
      <c r="I83" s="195"/>
      <c r="J83" s="195"/>
      <c r="K83" s="195"/>
      <c r="L83" s="195"/>
      <c r="M83" s="195"/>
      <c r="N83" s="195"/>
      <c r="O83" s="195"/>
      <c r="P83" s="195"/>
      <c r="Q83" s="195"/>
      <c r="R83" s="195"/>
      <c r="S83" s="195"/>
      <c r="T83" s="12">
        <v>60</v>
      </c>
      <c r="U83" s="195"/>
      <c r="V83" s="195"/>
      <c r="W83" s="195"/>
      <c r="X83" s="195"/>
      <c r="Y83" s="195"/>
      <c r="Z83" s="195"/>
      <c r="AA83" s="195"/>
      <c r="AB83" s="195"/>
      <c r="AC83" s="195"/>
      <c r="AD83" s="195"/>
      <c r="AE83" s="195"/>
      <c r="AF83" s="195"/>
      <c r="AG83" s="195"/>
      <c r="AH83" s="195"/>
      <c r="AI83" s="195"/>
      <c r="AJ83" s="195"/>
      <c r="AK83" s="195"/>
      <c r="AL83" s="12">
        <v>60</v>
      </c>
      <c r="AM83" s="195"/>
      <c r="AN83" s="195"/>
      <c r="AO83" s="195"/>
      <c r="AP83" s="195"/>
      <c r="AQ83" s="195"/>
      <c r="AR83" s="195"/>
      <c r="AS83" s="195"/>
      <c r="AT83" s="195"/>
      <c r="AU83" s="195"/>
      <c r="AV83" s="195"/>
      <c r="AW83" s="195"/>
      <c r="AX83" s="195"/>
      <c r="AY83" s="195"/>
      <c r="AZ83" s="195"/>
      <c r="BA83" s="195"/>
      <c r="BB83" s="195"/>
      <c r="BC83" s="195"/>
      <c r="BD83" s="12">
        <v>60</v>
      </c>
      <c r="BE83" s="195"/>
      <c r="BF83" s="195"/>
      <c r="BG83" s="195"/>
      <c r="BH83" s="195"/>
      <c r="BI83" s="195"/>
      <c r="BJ83" s="195"/>
      <c r="BK83" s="195"/>
      <c r="BL83" s="195"/>
      <c r="BM83" s="195"/>
      <c r="BN83" s="195"/>
      <c r="BO83" s="195"/>
      <c r="BP83" s="195"/>
      <c r="BQ83" s="195"/>
      <c r="BR83" s="195"/>
      <c r="BS83" s="195"/>
      <c r="BT83" s="195"/>
      <c r="BU83" s="195"/>
      <c r="BV83" s="12">
        <v>60</v>
      </c>
      <c r="BW83" s="195"/>
      <c r="BX83" s="195"/>
      <c r="BY83" s="195"/>
      <c r="BZ83" s="195"/>
      <c r="CA83" s="195"/>
      <c r="CB83" s="195"/>
      <c r="CC83" s="195"/>
      <c r="CD83" s="195"/>
      <c r="CE83" s="195"/>
      <c r="CF83" s="195"/>
      <c r="CG83" s="195"/>
      <c r="CH83" s="195"/>
      <c r="CI83" s="195"/>
      <c r="CJ83" s="195"/>
      <c r="CK83" s="195"/>
      <c r="CL83" s="195"/>
      <c r="CM83" s="195"/>
      <c r="CN83" s="12">
        <v>60</v>
      </c>
      <c r="CO83" s="195"/>
      <c r="CP83" s="195"/>
      <c r="CQ83" s="195"/>
      <c r="CR83" s="195"/>
      <c r="CS83" s="195"/>
      <c r="CT83" s="195"/>
      <c r="CU83" s="195"/>
      <c r="CV83" s="195"/>
      <c r="CW83" s="195"/>
      <c r="CX83" s="195"/>
      <c r="CY83" s="195"/>
      <c r="CZ83" s="195"/>
      <c r="DA83" s="195"/>
      <c r="DB83" s="195"/>
      <c r="DC83" s="195"/>
      <c r="DD83" s="195"/>
      <c r="DE83" s="195"/>
      <c r="DF83" s="12">
        <v>60</v>
      </c>
      <c r="DG83" s="195"/>
      <c r="DH83" s="195"/>
      <c r="DI83" s="195"/>
      <c r="DJ83" s="195"/>
      <c r="DK83" s="195"/>
      <c r="DL83" s="195"/>
      <c r="DM83" s="195"/>
      <c r="DN83" s="195"/>
      <c r="DO83" s="195"/>
      <c r="DP83" s="195"/>
      <c r="DQ83" s="195"/>
      <c r="DR83" s="195"/>
      <c r="DS83" s="195"/>
      <c r="DT83" s="195"/>
      <c r="DU83" s="195"/>
      <c r="DV83" s="195"/>
      <c r="DW83" s="195"/>
      <c r="DX83" s="12">
        <v>60</v>
      </c>
      <c r="DY83" s="195"/>
      <c r="DZ83" s="195"/>
      <c r="EA83" s="195"/>
      <c r="EB83" s="195"/>
      <c r="EC83" s="195"/>
      <c r="ED83" s="195"/>
      <c r="EE83" s="195"/>
      <c r="EF83" s="195"/>
      <c r="EG83" s="195"/>
      <c r="EH83" s="195"/>
      <c r="EI83" s="195"/>
      <c r="EJ83" s="195"/>
      <c r="EK83" s="195"/>
      <c r="EL83" s="195"/>
      <c r="EM83" s="195"/>
      <c r="EN83" s="195"/>
      <c r="EO83" s="195"/>
      <c r="EP83" s="12">
        <v>60</v>
      </c>
      <c r="EQ83" s="195"/>
      <c r="ER83" s="195"/>
      <c r="ES83" s="195"/>
      <c r="ET83" s="195"/>
      <c r="EU83" s="195"/>
      <c r="EV83" s="195"/>
      <c r="EW83" s="195"/>
      <c r="EX83" s="195"/>
      <c r="EY83" s="195"/>
      <c r="EZ83" s="195"/>
      <c r="FA83" s="195"/>
      <c r="FB83" s="195"/>
      <c r="FC83" s="195"/>
      <c r="FD83" s="195"/>
      <c r="FE83" s="195"/>
      <c r="FF83" s="195"/>
      <c r="FG83" s="195"/>
      <c r="FH83" s="12">
        <v>60</v>
      </c>
      <c r="FI83" s="195"/>
      <c r="FJ83" s="195"/>
      <c r="FK83" s="195"/>
      <c r="FL83" s="195"/>
      <c r="FM83" s="195"/>
      <c r="FN83" s="195"/>
      <c r="FO83" s="195"/>
      <c r="FP83" s="195"/>
      <c r="FQ83" s="195"/>
      <c r="FR83" s="195"/>
      <c r="FS83" s="195"/>
      <c r="FT83" s="195"/>
      <c r="FU83" s="195"/>
      <c r="FV83" s="195"/>
      <c r="FW83" s="195"/>
      <c r="FX83" s="195"/>
      <c r="FY83" s="195"/>
    </row>
    <row r="84" spans="2:181" x14ac:dyDescent="0.25">
      <c r="B84" s="176"/>
      <c r="C84" s="198"/>
      <c r="D84" s="198"/>
      <c r="E84" s="198"/>
      <c r="F84" s="198"/>
      <c r="G84" s="198"/>
      <c r="H84" s="198"/>
      <c r="I84" s="198"/>
      <c r="J84" s="198"/>
      <c r="K84" s="198"/>
      <c r="L84" s="198"/>
      <c r="M84" s="198"/>
      <c r="N84" s="198"/>
      <c r="O84" s="198"/>
      <c r="P84" s="198"/>
      <c r="Q84" s="198"/>
      <c r="R84" s="198"/>
      <c r="S84" s="198"/>
      <c r="T84" s="176"/>
      <c r="U84" s="198"/>
      <c r="V84" s="198"/>
      <c r="W84" s="198"/>
      <c r="X84" s="198"/>
      <c r="Y84" s="198"/>
      <c r="Z84" s="198"/>
      <c r="AA84" s="198"/>
      <c r="AB84" s="198"/>
      <c r="AC84" s="198"/>
      <c r="AD84" s="198"/>
      <c r="AE84" s="198"/>
      <c r="AF84" s="198"/>
      <c r="AG84" s="198"/>
      <c r="AH84" s="198"/>
      <c r="AI84" s="198"/>
      <c r="AJ84" s="198"/>
      <c r="AK84" s="198"/>
      <c r="AL84" s="176"/>
      <c r="AM84" s="198"/>
      <c r="AN84" s="198"/>
      <c r="AO84" s="198"/>
      <c r="AP84" s="198"/>
      <c r="AQ84" s="198"/>
      <c r="AR84" s="198"/>
      <c r="AS84" s="198"/>
      <c r="AT84" s="198"/>
      <c r="AU84" s="198"/>
      <c r="AV84" s="198"/>
      <c r="AW84" s="198"/>
      <c r="AX84" s="198"/>
      <c r="AY84" s="198"/>
      <c r="AZ84" s="198"/>
      <c r="BA84" s="198"/>
      <c r="BB84" s="198"/>
      <c r="BC84" s="198"/>
      <c r="BD84" s="176"/>
      <c r="BE84" s="198"/>
      <c r="BF84" s="198"/>
      <c r="BG84" s="198"/>
      <c r="BH84" s="198"/>
      <c r="BI84" s="198"/>
      <c r="BJ84" s="198"/>
      <c r="BK84" s="198"/>
      <c r="BL84" s="198"/>
      <c r="BM84" s="198"/>
      <c r="BN84" s="198"/>
      <c r="BO84" s="198"/>
      <c r="BP84" s="198"/>
      <c r="BQ84" s="198"/>
      <c r="BR84" s="198"/>
      <c r="BS84" s="198"/>
      <c r="BT84" s="198"/>
      <c r="BU84" s="198"/>
      <c r="BV84" s="176"/>
      <c r="BW84" s="198"/>
      <c r="BX84" s="198"/>
      <c r="BY84" s="198"/>
      <c r="BZ84" s="198"/>
      <c r="CA84" s="198"/>
      <c r="CB84" s="198"/>
      <c r="CC84" s="198"/>
      <c r="CD84" s="198"/>
      <c r="CE84" s="198"/>
      <c r="CF84" s="198"/>
      <c r="CG84" s="198"/>
      <c r="CH84" s="198"/>
      <c r="CI84" s="198"/>
      <c r="CJ84" s="198"/>
      <c r="CK84" s="198"/>
      <c r="CL84" s="198"/>
      <c r="CM84" s="198"/>
      <c r="CN84" s="176"/>
      <c r="CO84" s="198"/>
      <c r="CP84" s="198"/>
      <c r="CQ84" s="198"/>
      <c r="CR84" s="198"/>
      <c r="CS84" s="198"/>
      <c r="CT84" s="198"/>
      <c r="CU84" s="198"/>
      <c r="CV84" s="198"/>
      <c r="CW84" s="198"/>
      <c r="CX84" s="198"/>
      <c r="CY84" s="198"/>
      <c r="CZ84" s="198"/>
      <c r="DA84" s="198"/>
      <c r="DB84" s="198"/>
      <c r="DC84" s="198"/>
      <c r="DD84" s="198"/>
      <c r="DE84" s="198"/>
      <c r="DF84" s="176"/>
      <c r="DG84" s="198"/>
      <c r="DH84" s="198"/>
      <c r="DI84" s="198"/>
      <c r="DJ84" s="198"/>
      <c r="DK84" s="198"/>
      <c r="DL84" s="198"/>
      <c r="DM84" s="198"/>
      <c r="DN84" s="198"/>
      <c r="DO84" s="198"/>
      <c r="DP84" s="198"/>
      <c r="DQ84" s="198"/>
      <c r="DR84" s="198"/>
      <c r="DS84" s="198"/>
      <c r="DT84" s="198"/>
      <c r="DU84" s="198"/>
      <c r="DV84" s="198"/>
      <c r="DW84" s="198"/>
      <c r="DX84" s="176"/>
      <c r="DY84" s="198"/>
      <c r="DZ84" s="198"/>
      <c r="EA84" s="198"/>
      <c r="EB84" s="198"/>
      <c r="EC84" s="198"/>
      <c r="ED84" s="198"/>
      <c r="EE84" s="198"/>
      <c r="EF84" s="198"/>
      <c r="EG84" s="198"/>
      <c r="EH84" s="198"/>
      <c r="EI84" s="198"/>
      <c r="EJ84" s="198"/>
      <c r="EK84" s="198"/>
      <c r="EL84" s="198"/>
      <c r="EM84" s="198"/>
      <c r="EN84" s="198"/>
      <c r="EO84" s="198"/>
      <c r="EP84" s="176"/>
      <c r="EQ84" s="198"/>
      <c r="ER84" s="198"/>
      <c r="ES84" s="198"/>
      <c r="ET84" s="198"/>
      <c r="EU84" s="198"/>
      <c r="EV84" s="198"/>
      <c r="EW84" s="198"/>
      <c r="EX84" s="198"/>
      <c r="EY84" s="198"/>
      <c r="EZ84" s="198"/>
      <c r="FA84" s="198"/>
      <c r="FB84" s="198"/>
      <c r="FC84" s="198"/>
      <c r="FD84" s="198"/>
      <c r="FE84" s="198"/>
      <c r="FF84" s="198"/>
      <c r="FG84" s="198"/>
      <c r="FH84" s="176"/>
      <c r="FI84" s="198"/>
      <c r="FJ84" s="198"/>
      <c r="FK84" s="198"/>
      <c r="FL84" s="198"/>
      <c r="FM84" s="198"/>
      <c r="FN84" s="198"/>
      <c r="FO84" s="198"/>
      <c r="FP84" s="198"/>
      <c r="FQ84" s="198"/>
      <c r="FR84" s="198"/>
      <c r="FS84" s="198"/>
      <c r="FT84" s="198"/>
      <c r="FU84" s="198"/>
      <c r="FV84" s="198"/>
      <c r="FW84" s="198"/>
      <c r="FX84" s="198"/>
      <c r="FY84" s="198"/>
    </row>
    <row r="85" spans="2:181" x14ac:dyDescent="0.25">
      <c r="B85" s="977" t="s">
        <v>543</v>
      </c>
      <c r="C85" s="977"/>
      <c r="D85" s="977"/>
      <c r="E85" s="977"/>
      <c r="F85" s="977"/>
      <c r="G85" s="199">
        <f>COUNTA(C54:S83)</f>
        <v>0</v>
      </c>
      <c r="H85" s="198" t="s">
        <v>544</v>
      </c>
      <c r="I85" s="198"/>
      <c r="J85" s="198"/>
      <c r="K85" s="198"/>
      <c r="L85" s="198"/>
      <c r="M85" s="200" t="s">
        <v>545</v>
      </c>
      <c r="N85" s="201">
        <f>MAX(C54:S83,U54:AK83)</f>
        <v>0</v>
      </c>
      <c r="O85" s="198"/>
      <c r="P85" s="198"/>
      <c r="Q85" s="198"/>
      <c r="R85" s="198"/>
      <c r="S85" s="198"/>
      <c r="T85" s="977" t="s">
        <v>543</v>
      </c>
      <c r="U85" s="977"/>
      <c r="V85" s="977"/>
      <c r="W85" s="977"/>
      <c r="X85" s="977"/>
      <c r="Y85" s="199">
        <f>COUNTA(U54:AK83)</f>
        <v>0</v>
      </c>
      <c r="Z85" s="198" t="s">
        <v>544</v>
      </c>
      <c r="AA85" s="198"/>
      <c r="AB85" s="198"/>
      <c r="AC85" s="198"/>
      <c r="AD85" s="198"/>
      <c r="AE85" s="198"/>
      <c r="AF85" s="198"/>
      <c r="AG85" s="198"/>
      <c r="AH85" s="198"/>
      <c r="AI85" s="198"/>
      <c r="AJ85" s="198"/>
      <c r="AK85" s="198"/>
      <c r="AL85" s="977" t="s">
        <v>543</v>
      </c>
      <c r="AM85" s="977"/>
      <c r="AN85" s="977"/>
      <c r="AO85" s="977"/>
      <c r="AP85" s="977"/>
      <c r="AQ85" s="199">
        <f>COUNTA(AM54:BC83)</f>
        <v>0</v>
      </c>
      <c r="AR85" s="198" t="s">
        <v>544</v>
      </c>
      <c r="AS85" s="198"/>
      <c r="AT85" s="198"/>
      <c r="AU85" s="198"/>
      <c r="AV85" s="198"/>
      <c r="AW85" s="198"/>
      <c r="AX85" s="198"/>
      <c r="AY85" s="198"/>
      <c r="AZ85" s="198"/>
      <c r="BA85" s="198"/>
      <c r="BB85" s="198"/>
      <c r="BC85" s="198"/>
      <c r="BD85" s="977" t="s">
        <v>543</v>
      </c>
      <c r="BE85" s="977"/>
      <c r="BF85" s="977"/>
      <c r="BG85" s="977"/>
      <c r="BH85" s="977"/>
      <c r="BI85" s="199">
        <f>COUNTA(BE54:BU83)</f>
        <v>0</v>
      </c>
      <c r="BJ85" s="198" t="s">
        <v>544</v>
      </c>
      <c r="BK85" s="198"/>
      <c r="BL85" s="198"/>
      <c r="BM85" s="198"/>
      <c r="BN85" s="198"/>
      <c r="BO85" s="198"/>
      <c r="BP85" s="198"/>
      <c r="BQ85" s="198"/>
      <c r="BR85" s="198"/>
      <c r="BS85" s="198"/>
      <c r="BT85" s="198"/>
      <c r="BU85" s="198"/>
      <c r="BV85" s="977" t="s">
        <v>543</v>
      </c>
      <c r="BW85" s="977"/>
      <c r="BX85" s="977"/>
      <c r="BY85" s="977"/>
      <c r="BZ85" s="977"/>
      <c r="CA85" s="199">
        <f>COUNTA(BW54:CM83)</f>
        <v>0</v>
      </c>
      <c r="CB85" s="198" t="s">
        <v>544</v>
      </c>
      <c r="CC85" s="198"/>
      <c r="CD85" s="198"/>
      <c r="CE85" s="198"/>
      <c r="CF85" s="198"/>
      <c r="CG85" s="198"/>
      <c r="CH85" s="198"/>
      <c r="CI85" s="198"/>
      <c r="CJ85" s="198"/>
      <c r="CK85" s="198"/>
      <c r="CL85" s="198"/>
      <c r="CM85" s="198"/>
      <c r="CN85" s="977" t="s">
        <v>543</v>
      </c>
      <c r="CO85" s="977"/>
      <c r="CP85" s="977"/>
      <c r="CQ85" s="977"/>
      <c r="CR85" s="977"/>
      <c r="CS85" s="199">
        <f>COUNTA(CO54:DE83)</f>
        <v>0</v>
      </c>
      <c r="CT85" s="198" t="s">
        <v>544</v>
      </c>
      <c r="CU85" s="198"/>
      <c r="CV85" s="198"/>
      <c r="CW85" s="198"/>
      <c r="CX85" s="198"/>
      <c r="CY85" s="198"/>
      <c r="CZ85" s="198"/>
      <c r="DA85" s="198"/>
      <c r="DB85" s="198"/>
      <c r="DC85" s="198"/>
      <c r="DD85" s="198"/>
      <c r="DE85" s="198"/>
      <c r="DF85" s="977" t="s">
        <v>543</v>
      </c>
      <c r="DG85" s="977"/>
      <c r="DH85" s="977"/>
      <c r="DI85" s="977"/>
      <c r="DJ85" s="977"/>
      <c r="DK85" s="199">
        <f>COUNTA(DG54:DW83)</f>
        <v>0</v>
      </c>
      <c r="DL85" s="198" t="s">
        <v>544</v>
      </c>
      <c r="DM85" s="198"/>
      <c r="DN85" s="198"/>
      <c r="DO85" s="198"/>
      <c r="DP85" s="198"/>
      <c r="DQ85" s="198"/>
      <c r="DR85" s="198"/>
      <c r="DS85" s="198"/>
      <c r="DT85" s="198"/>
      <c r="DU85" s="198"/>
      <c r="DV85" s="198"/>
      <c r="DW85" s="198"/>
      <c r="DX85" s="977" t="s">
        <v>543</v>
      </c>
      <c r="DY85" s="977"/>
      <c r="DZ85" s="977"/>
      <c r="EA85" s="977"/>
      <c r="EB85" s="977"/>
      <c r="EC85" s="199">
        <f>COUNTA(DY54:EO83)</f>
        <v>0</v>
      </c>
      <c r="ED85" s="198" t="s">
        <v>544</v>
      </c>
      <c r="EE85" s="198"/>
      <c r="EF85" s="198"/>
      <c r="EG85" s="198"/>
      <c r="EH85" s="198"/>
      <c r="EI85" s="198"/>
      <c r="EJ85" s="198"/>
      <c r="EK85" s="198"/>
      <c r="EL85" s="198"/>
      <c r="EM85" s="198"/>
      <c r="EN85" s="198"/>
      <c r="EO85" s="198"/>
      <c r="EP85" s="977" t="s">
        <v>543</v>
      </c>
      <c r="EQ85" s="977"/>
      <c r="ER85" s="977"/>
      <c r="ES85" s="977"/>
      <c r="ET85" s="977"/>
      <c r="EU85" s="199">
        <f>COUNTA(EQ54:FG83)</f>
        <v>0</v>
      </c>
      <c r="EV85" s="198" t="s">
        <v>544</v>
      </c>
      <c r="EW85" s="198"/>
      <c r="EX85" s="198"/>
      <c r="EY85" s="198"/>
      <c r="EZ85" s="198"/>
      <c r="FA85" s="198"/>
      <c r="FB85" s="198"/>
      <c r="FC85" s="198"/>
      <c r="FD85" s="198"/>
      <c r="FE85" s="198"/>
      <c r="FF85" s="198"/>
      <c r="FG85" s="198"/>
      <c r="FH85" s="977" t="s">
        <v>543</v>
      </c>
      <c r="FI85" s="977"/>
      <c r="FJ85" s="977"/>
      <c r="FK85" s="977"/>
      <c r="FL85" s="977"/>
      <c r="FM85" s="199">
        <f>COUNTA(FI54:FY83)</f>
        <v>0</v>
      </c>
      <c r="FN85" s="198" t="s">
        <v>544</v>
      </c>
      <c r="FO85" s="198"/>
      <c r="FP85" s="198"/>
      <c r="FQ85" s="198"/>
      <c r="FR85" s="198"/>
      <c r="FS85" s="198"/>
      <c r="FT85" s="198"/>
      <c r="FU85" s="198"/>
      <c r="FV85" s="198"/>
      <c r="FW85" s="198"/>
      <c r="FX85" s="198"/>
      <c r="FY85" s="198"/>
    </row>
    <row r="86" spans="2:181" x14ac:dyDescent="0.25">
      <c r="M86" s="203" t="s">
        <v>548</v>
      </c>
      <c r="N86" s="204">
        <f>MIN(C54:S83,U54:AK83)</f>
        <v>0</v>
      </c>
    </row>
    <row r="87" spans="2:181" x14ac:dyDescent="0.25">
      <c r="B87" s="205" t="s">
        <v>549</v>
      </c>
      <c r="C87" s="205"/>
      <c r="D87" s="205"/>
      <c r="E87" s="205"/>
      <c r="F87" s="205"/>
      <c r="G87" s="205"/>
      <c r="H87" s="990"/>
      <c r="I87" s="990"/>
      <c r="J87" s="990"/>
      <c r="K87" s="990"/>
      <c r="L87" s="990"/>
      <c r="M87" s="198"/>
      <c r="N87" s="198"/>
      <c r="O87" s="198"/>
      <c r="P87" s="198"/>
      <c r="Q87" s="198"/>
      <c r="R87" s="198"/>
      <c r="S87" s="198"/>
      <c r="T87" s="205"/>
      <c r="U87" s="205"/>
      <c r="V87" s="205"/>
      <c r="W87" s="205"/>
      <c r="X87" s="205"/>
      <c r="Y87" s="205"/>
      <c r="Z87" s="205"/>
      <c r="AA87" s="198"/>
      <c r="AB87" s="198"/>
      <c r="AC87" s="205"/>
      <c r="AD87" s="198"/>
      <c r="AE87" s="198"/>
      <c r="AF87" s="198"/>
      <c r="AG87" s="198"/>
      <c r="AH87" s="198"/>
      <c r="AI87" s="198"/>
      <c r="AJ87" s="198"/>
      <c r="AK87" s="198"/>
      <c r="AL87" s="205"/>
      <c r="AM87" s="205"/>
      <c r="AN87" s="205"/>
      <c r="AO87" s="205"/>
      <c r="AP87" s="205"/>
      <c r="AQ87" s="205"/>
      <c r="AR87" s="205"/>
      <c r="AS87" s="198"/>
      <c r="AT87" s="198"/>
      <c r="AU87" s="205"/>
      <c r="AV87" s="198"/>
      <c r="AW87" s="198"/>
      <c r="AX87" s="198"/>
      <c r="AY87" s="198"/>
      <c r="AZ87" s="198"/>
      <c r="BA87" s="198"/>
      <c r="BB87" s="198"/>
      <c r="BC87" s="198"/>
      <c r="BD87" s="205"/>
      <c r="BE87" s="205"/>
      <c r="BF87" s="205"/>
      <c r="BG87" s="205"/>
      <c r="BH87" s="205"/>
      <c r="BI87" s="205"/>
      <c r="BJ87" s="205"/>
      <c r="BK87" s="198"/>
      <c r="BL87" s="198"/>
      <c r="BM87" s="205"/>
      <c r="BN87" s="198"/>
      <c r="BO87" s="198"/>
      <c r="BP87" s="198"/>
      <c r="BQ87" s="198"/>
      <c r="BR87" s="198"/>
      <c r="BS87" s="198"/>
      <c r="BT87" s="198"/>
      <c r="BU87" s="198"/>
      <c r="BV87" s="205"/>
      <c r="BW87" s="205"/>
      <c r="BX87" s="205"/>
      <c r="BY87" s="205"/>
      <c r="BZ87" s="205"/>
      <c r="CA87" s="205"/>
      <c r="CB87" s="205"/>
      <c r="CC87" s="198"/>
      <c r="CD87" s="198"/>
      <c r="CE87" s="205"/>
      <c r="CF87" s="198"/>
      <c r="CG87" s="198"/>
      <c r="CH87" s="198"/>
      <c r="CI87" s="198"/>
      <c r="CJ87" s="198"/>
      <c r="CK87" s="198"/>
      <c r="CL87" s="198"/>
      <c r="CM87" s="198"/>
      <c r="CN87" s="205"/>
      <c r="CO87" s="205"/>
      <c r="CP87" s="205"/>
      <c r="CQ87" s="205"/>
      <c r="CR87" s="205"/>
      <c r="CS87" s="205"/>
      <c r="CT87" s="205"/>
      <c r="CU87" s="198"/>
      <c r="CV87" s="198"/>
      <c r="CW87" s="205"/>
      <c r="CX87" s="198"/>
      <c r="CY87" s="198"/>
      <c r="CZ87" s="198"/>
      <c r="DA87" s="198"/>
      <c r="DB87" s="198"/>
      <c r="DC87" s="198"/>
      <c r="DD87" s="198"/>
      <c r="DE87" s="198"/>
      <c r="DF87" s="205"/>
      <c r="DG87" s="205"/>
      <c r="DH87" s="205"/>
      <c r="DI87" s="205"/>
      <c r="DJ87" s="205"/>
      <c r="DK87" s="205"/>
      <c r="DL87" s="205"/>
      <c r="DM87" s="198"/>
      <c r="DN87" s="198"/>
      <c r="DO87" s="205"/>
      <c r="DP87" s="198"/>
      <c r="DQ87" s="198"/>
      <c r="DR87" s="198"/>
      <c r="DS87" s="198"/>
      <c r="DT87" s="198"/>
      <c r="DU87" s="198"/>
      <c r="DV87" s="198"/>
      <c r="DW87" s="198"/>
      <c r="DX87" s="205"/>
      <c r="DY87" s="205"/>
      <c r="DZ87" s="205"/>
      <c r="EA87" s="205"/>
      <c r="EB87" s="205"/>
      <c r="EC87" s="205"/>
      <c r="ED87" s="205"/>
      <c r="EE87" s="198"/>
      <c r="EF87" s="198"/>
      <c r="EG87" s="205"/>
      <c r="EH87" s="198"/>
      <c r="EI87" s="198"/>
      <c r="EJ87" s="198"/>
      <c r="EK87" s="198"/>
      <c r="EL87" s="198"/>
      <c r="EM87" s="198"/>
      <c r="EN87" s="198"/>
      <c r="EO87" s="198"/>
      <c r="EP87" s="205"/>
      <c r="EQ87" s="205"/>
      <c r="ER87" s="205"/>
      <c r="ES87" s="205"/>
      <c r="ET87" s="205"/>
      <c r="EU87" s="205"/>
      <c r="EV87" s="205"/>
      <c r="EW87" s="198"/>
      <c r="EX87" s="198"/>
      <c r="EY87" s="205"/>
      <c r="EZ87" s="198"/>
      <c r="FA87" s="198"/>
      <c r="FB87" s="198"/>
      <c r="FC87" s="198"/>
      <c r="FD87" s="198"/>
      <c r="FE87" s="198"/>
      <c r="FF87" s="198"/>
      <c r="FG87" s="198"/>
      <c r="FH87" s="205"/>
      <c r="FI87" s="205"/>
      <c r="FJ87" s="205"/>
      <c r="FK87" s="205"/>
      <c r="FL87" s="205"/>
      <c r="FM87" s="205"/>
      <c r="FN87" s="205"/>
      <c r="FO87" s="198"/>
      <c r="FP87" s="198"/>
      <c r="FQ87" s="205"/>
      <c r="FR87" s="198"/>
      <c r="FS87" s="198"/>
      <c r="FT87" s="198"/>
      <c r="FU87" s="198"/>
      <c r="FV87" s="198"/>
      <c r="FW87" s="198"/>
      <c r="FX87" s="198"/>
      <c r="FY87" s="198"/>
    </row>
    <row r="88" spans="2:181" x14ac:dyDescent="0.25">
      <c r="B88" s="208"/>
      <c r="C88" s="205"/>
      <c r="D88" s="205"/>
      <c r="E88" s="205"/>
      <c r="F88" s="205"/>
      <c r="G88" s="205"/>
      <c r="H88" s="205"/>
      <c r="I88" s="198"/>
      <c r="J88" s="209"/>
      <c r="K88" s="208"/>
      <c r="L88" s="198"/>
      <c r="M88" s="198"/>
      <c r="N88" s="198"/>
      <c r="O88" s="198"/>
      <c r="P88" s="198"/>
      <c r="Q88" s="198"/>
      <c r="R88" s="198"/>
      <c r="S88" s="209"/>
      <c r="T88" s="208"/>
      <c r="U88" s="205"/>
      <c r="V88" s="205"/>
      <c r="W88" s="205"/>
      <c r="X88" s="205"/>
      <c r="Y88" s="205"/>
      <c r="Z88" s="205"/>
      <c r="AA88" s="198"/>
      <c r="AB88" s="209"/>
      <c r="AC88" s="208"/>
      <c r="AD88" s="198"/>
      <c r="AE88" s="198"/>
      <c r="AF88" s="198"/>
      <c r="AG88" s="198"/>
      <c r="AH88" s="198"/>
      <c r="AI88" s="198"/>
      <c r="AJ88" s="198"/>
      <c r="AK88" s="209"/>
      <c r="AL88" s="208"/>
      <c r="AM88" s="205"/>
      <c r="AN88" s="205"/>
      <c r="AO88" s="205"/>
      <c r="AP88" s="205"/>
      <c r="AQ88" s="205"/>
      <c r="AR88" s="205"/>
      <c r="AS88" s="198"/>
      <c r="AT88" s="209"/>
      <c r="AU88" s="208"/>
      <c r="AV88" s="198"/>
      <c r="AW88" s="198"/>
      <c r="AX88" s="198"/>
      <c r="AY88" s="198"/>
      <c r="AZ88" s="198"/>
      <c r="BA88" s="198"/>
      <c r="BB88" s="198"/>
      <c r="BC88" s="209"/>
      <c r="BD88" s="208"/>
      <c r="BE88" s="205"/>
      <c r="BF88" s="205"/>
      <c r="BG88" s="205"/>
      <c r="BH88" s="205"/>
      <c r="BI88" s="205"/>
      <c r="BJ88" s="205"/>
      <c r="BK88" s="198"/>
      <c r="BL88" s="209"/>
      <c r="BM88" s="208"/>
      <c r="BN88" s="198"/>
      <c r="BO88" s="198"/>
      <c r="BP88" s="198"/>
      <c r="BQ88" s="198"/>
      <c r="BR88" s="198"/>
      <c r="BS88" s="198"/>
      <c r="BT88" s="198"/>
      <c r="BU88" s="209"/>
      <c r="BV88" s="208"/>
      <c r="BW88" s="205"/>
      <c r="BX88" s="205"/>
      <c r="BY88" s="205"/>
      <c r="BZ88" s="205"/>
      <c r="CA88" s="205"/>
      <c r="CB88" s="205"/>
      <c r="CC88" s="198"/>
      <c r="CD88" s="209"/>
      <c r="CE88" s="208"/>
      <c r="CF88" s="198"/>
      <c r="CG88" s="198"/>
      <c r="CH88" s="198"/>
      <c r="CI88" s="198"/>
      <c r="CJ88" s="198"/>
      <c r="CK88" s="198"/>
      <c r="CL88" s="198"/>
      <c r="CM88" s="209"/>
      <c r="CN88" s="208"/>
      <c r="CO88" s="205"/>
      <c r="CP88" s="205"/>
      <c r="CQ88" s="205"/>
      <c r="CR88" s="205"/>
      <c r="CS88" s="205"/>
      <c r="CT88" s="205"/>
      <c r="CU88" s="198"/>
      <c r="CV88" s="209"/>
      <c r="CW88" s="208"/>
      <c r="CX88" s="198"/>
      <c r="CY88" s="198"/>
      <c r="CZ88" s="198"/>
      <c r="DA88" s="198"/>
      <c r="DB88" s="198"/>
      <c r="DC88" s="198"/>
      <c r="DD88" s="198"/>
      <c r="DE88" s="209"/>
      <c r="DF88" s="208"/>
      <c r="DG88" s="205"/>
      <c r="DH88" s="205"/>
      <c r="DI88" s="205"/>
      <c r="DJ88" s="205"/>
      <c r="DK88" s="205"/>
      <c r="DL88" s="205"/>
      <c r="DM88" s="198"/>
      <c r="DN88" s="209"/>
      <c r="DO88" s="208"/>
      <c r="DP88" s="198"/>
      <c r="DQ88" s="198"/>
      <c r="DR88" s="198"/>
      <c r="DS88" s="198"/>
      <c r="DT88" s="198"/>
      <c r="DU88" s="198"/>
      <c r="DV88" s="198"/>
      <c r="DW88" s="209"/>
      <c r="DX88" s="208"/>
      <c r="DY88" s="205"/>
      <c r="DZ88" s="205"/>
      <c r="EA88" s="205"/>
      <c r="EB88" s="205"/>
      <c r="EC88" s="205"/>
      <c r="ED88" s="205"/>
      <c r="EE88" s="198"/>
      <c r="EF88" s="209"/>
      <c r="EG88" s="208"/>
      <c r="EH88" s="198"/>
      <c r="EI88" s="198"/>
      <c r="EJ88" s="198"/>
      <c r="EK88" s="198"/>
      <c r="EL88" s="198"/>
      <c r="EM88" s="198"/>
      <c r="EN88" s="198"/>
      <c r="EO88" s="209"/>
      <c r="EP88" s="208"/>
      <c r="EQ88" s="205"/>
      <c r="ER88" s="205"/>
      <c r="ES88" s="205"/>
      <c r="ET88" s="205"/>
      <c r="EU88" s="205"/>
      <c r="EV88" s="205"/>
      <c r="EW88" s="198"/>
      <c r="EX88" s="209"/>
      <c r="EY88" s="208"/>
      <c r="EZ88" s="198"/>
      <c r="FA88" s="198"/>
      <c r="FB88" s="198"/>
      <c r="FC88" s="198"/>
      <c r="FD88" s="198"/>
      <c r="FE88" s="198"/>
      <c r="FF88" s="198"/>
      <c r="FG88" s="209"/>
      <c r="FH88" s="208"/>
      <c r="FI88" s="205"/>
      <c r="FJ88" s="205"/>
      <c r="FK88" s="205"/>
      <c r="FL88" s="205"/>
      <c r="FM88" s="205"/>
      <c r="FN88" s="205"/>
      <c r="FO88" s="198"/>
      <c r="FP88" s="209"/>
      <c r="FQ88" s="208"/>
      <c r="FR88" s="198"/>
      <c r="FS88" s="198"/>
      <c r="FT88" s="198"/>
      <c r="FU88" s="198"/>
      <c r="FV88" s="198"/>
      <c r="FW88" s="198"/>
      <c r="FX88" s="198"/>
      <c r="FY88" s="209"/>
    </row>
    <row r="89" spans="2:181" x14ac:dyDescent="0.25">
      <c r="B89" s="210"/>
      <c r="C89" s="206"/>
      <c r="D89" s="206"/>
      <c r="E89" s="206"/>
      <c r="F89" s="206"/>
      <c r="G89" s="206"/>
      <c r="H89" s="206"/>
      <c r="I89" s="206"/>
      <c r="J89" s="211"/>
      <c r="K89" s="210"/>
      <c r="L89" s="206"/>
      <c r="M89" s="206"/>
      <c r="N89" s="206"/>
      <c r="O89" s="206"/>
      <c r="P89" s="206"/>
      <c r="Q89" s="206"/>
      <c r="R89" s="206"/>
      <c r="S89" s="211"/>
      <c r="T89" s="210"/>
      <c r="U89" s="206"/>
      <c r="V89" s="206"/>
      <c r="W89" s="206"/>
      <c r="X89" s="206"/>
      <c r="Y89" s="206"/>
      <c r="Z89" s="206"/>
      <c r="AA89" s="206"/>
      <c r="AB89" s="211"/>
      <c r="AC89" s="210"/>
      <c r="AD89" s="206"/>
      <c r="AE89" s="206"/>
      <c r="AF89" s="206"/>
      <c r="AG89" s="206"/>
      <c r="AH89" s="206"/>
      <c r="AI89" s="206"/>
      <c r="AJ89" s="206"/>
      <c r="AK89" s="211"/>
      <c r="AL89" s="210"/>
      <c r="AM89" s="206"/>
      <c r="AN89" s="206"/>
      <c r="AO89" s="206"/>
      <c r="AP89" s="206"/>
      <c r="AQ89" s="206"/>
      <c r="AR89" s="206"/>
      <c r="AS89" s="206"/>
      <c r="AT89" s="211"/>
      <c r="AU89" s="210"/>
      <c r="AV89" s="206"/>
      <c r="AW89" s="206"/>
      <c r="AX89" s="206"/>
      <c r="AY89" s="206"/>
      <c r="AZ89" s="206"/>
      <c r="BA89" s="206"/>
      <c r="BB89" s="206"/>
      <c r="BC89" s="211"/>
      <c r="BD89" s="210"/>
      <c r="BE89" s="206"/>
      <c r="BF89" s="206"/>
      <c r="BG89" s="206"/>
      <c r="BH89" s="206"/>
      <c r="BI89" s="206"/>
      <c r="BJ89" s="206"/>
      <c r="BK89" s="206"/>
      <c r="BL89" s="211"/>
      <c r="BM89" s="210"/>
      <c r="BN89" s="206"/>
      <c r="BO89" s="206"/>
      <c r="BP89" s="206"/>
      <c r="BQ89" s="206"/>
      <c r="BR89" s="206"/>
      <c r="BS89" s="206"/>
      <c r="BT89" s="206"/>
      <c r="BU89" s="211"/>
      <c r="BV89" s="210"/>
      <c r="BW89" s="206"/>
      <c r="BX89" s="206"/>
      <c r="BY89" s="206"/>
      <c r="BZ89" s="206"/>
      <c r="CA89" s="206"/>
      <c r="CB89" s="206"/>
      <c r="CC89" s="206"/>
      <c r="CD89" s="211"/>
      <c r="CE89" s="210"/>
      <c r="CF89" s="206"/>
      <c r="CG89" s="206"/>
      <c r="CH89" s="206"/>
      <c r="CI89" s="206"/>
      <c r="CJ89" s="206"/>
      <c r="CK89" s="206"/>
      <c r="CL89" s="206"/>
      <c r="CM89" s="211"/>
      <c r="CN89" s="210"/>
      <c r="CO89" s="206"/>
      <c r="CP89" s="206"/>
      <c r="CQ89" s="206"/>
      <c r="CR89" s="206"/>
      <c r="CS89" s="206"/>
      <c r="CT89" s="206"/>
      <c r="CU89" s="206"/>
      <c r="CV89" s="211"/>
      <c r="CW89" s="210"/>
      <c r="CX89" s="206"/>
      <c r="CY89" s="206"/>
      <c r="CZ89" s="206"/>
      <c r="DA89" s="206"/>
      <c r="DB89" s="206"/>
      <c r="DC89" s="206"/>
      <c r="DD89" s="206"/>
      <c r="DE89" s="211"/>
      <c r="DF89" s="210"/>
      <c r="DG89" s="206"/>
      <c r="DH89" s="206"/>
      <c r="DI89" s="206"/>
      <c r="DJ89" s="206"/>
      <c r="DK89" s="206"/>
      <c r="DL89" s="206"/>
      <c r="DM89" s="206"/>
      <c r="DN89" s="211"/>
      <c r="DO89" s="210"/>
      <c r="DP89" s="206"/>
      <c r="DQ89" s="206"/>
      <c r="DR89" s="206"/>
      <c r="DS89" s="206"/>
      <c r="DT89" s="206"/>
      <c r="DU89" s="206"/>
      <c r="DV89" s="206"/>
      <c r="DW89" s="211"/>
      <c r="DX89" s="210"/>
      <c r="DY89" s="206"/>
      <c r="DZ89" s="206"/>
      <c r="EA89" s="206"/>
      <c r="EB89" s="206"/>
      <c r="EC89" s="206"/>
      <c r="ED89" s="206"/>
      <c r="EE89" s="206"/>
      <c r="EF89" s="211"/>
      <c r="EG89" s="210"/>
      <c r="EH89" s="206"/>
      <c r="EI89" s="206"/>
      <c r="EJ89" s="206"/>
      <c r="EK89" s="206"/>
      <c r="EL89" s="206"/>
      <c r="EM89" s="206"/>
      <c r="EN89" s="206"/>
      <c r="EO89" s="211"/>
      <c r="EP89" s="210"/>
      <c r="EQ89" s="206"/>
      <c r="ER89" s="206"/>
      <c r="ES89" s="206"/>
      <c r="ET89" s="206"/>
      <c r="EU89" s="206"/>
      <c r="EV89" s="206"/>
      <c r="EW89" s="206"/>
      <c r="EX89" s="211"/>
      <c r="EY89" s="210"/>
      <c r="EZ89" s="206"/>
      <c r="FA89" s="206"/>
      <c r="FB89" s="206"/>
      <c r="FC89" s="206"/>
      <c r="FD89" s="206"/>
      <c r="FE89" s="206"/>
      <c r="FF89" s="206"/>
      <c r="FG89" s="211"/>
      <c r="FH89" s="210"/>
      <c r="FI89" s="206"/>
      <c r="FJ89" s="206"/>
      <c r="FK89" s="206"/>
      <c r="FL89" s="206"/>
      <c r="FM89" s="206"/>
      <c r="FN89" s="206"/>
      <c r="FO89" s="206"/>
      <c r="FP89" s="211"/>
      <c r="FQ89" s="210"/>
      <c r="FR89" s="206"/>
      <c r="FS89" s="206"/>
      <c r="FT89" s="206"/>
      <c r="FU89" s="206"/>
      <c r="FV89" s="206"/>
      <c r="FW89" s="206"/>
      <c r="FX89" s="206"/>
      <c r="FY89" s="211"/>
    </row>
    <row r="91" spans="2:181" ht="30" customHeight="1" x14ac:dyDescent="0.25">
      <c r="B91" s="193" t="s">
        <v>372</v>
      </c>
      <c r="C91" s="194" t="s">
        <v>373</v>
      </c>
      <c r="D91" s="194" t="s">
        <v>374</v>
      </c>
      <c r="E91" s="195" t="s">
        <v>375</v>
      </c>
      <c r="F91" s="195" t="s">
        <v>376</v>
      </c>
      <c r="G91" s="195" t="s">
        <v>377</v>
      </c>
      <c r="H91" s="195" t="s">
        <v>378</v>
      </c>
      <c r="I91" s="195" t="s">
        <v>379</v>
      </c>
      <c r="J91" s="195" t="s">
        <v>380</v>
      </c>
      <c r="K91" s="195" t="s">
        <v>381</v>
      </c>
      <c r="L91" s="196" t="s">
        <v>382</v>
      </c>
      <c r="M91" s="196" t="s">
        <v>383</v>
      </c>
      <c r="N91" s="196" t="s">
        <v>384</v>
      </c>
      <c r="O91" s="196" t="s">
        <v>385</v>
      </c>
      <c r="P91" s="196" t="s">
        <v>386</v>
      </c>
      <c r="Q91" s="196" t="s">
        <v>387</v>
      </c>
      <c r="R91" s="196" t="s">
        <v>388</v>
      </c>
      <c r="S91" s="196" t="s">
        <v>389</v>
      </c>
      <c r="T91" s="193" t="s">
        <v>372</v>
      </c>
      <c r="U91" s="194" t="s">
        <v>390</v>
      </c>
      <c r="V91" s="194" t="s">
        <v>391</v>
      </c>
      <c r="W91" s="195" t="s">
        <v>392</v>
      </c>
      <c r="X91" s="195" t="s">
        <v>393</v>
      </c>
      <c r="Y91" s="195" t="s">
        <v>394</v>
      </c>
      <c r="Z91" s="195" t="s">
        <v>395</v>
      </c>
      <c r="AA91" s="195" t="s">
        <v>396</v>
      </c>
      <c r="AB91" s="195" t="s">
        <v>397</v>
      </c>
      <c r="AC91" s="195" t="s">
        <v>398</v>
      </c>
      <c r="AD91" s="196" t="s">
        <v>399</v>
      </c>
      <c r="AE91" s="196" t="s">
        <v>400</v>
      </c>
      <c r="AF91" s="196" t="s">
        <v>401</v>
      </c>
      <c r="AG91" s="196" t="s">
        <v>402</v>
      </c>
      <c r="AH91" s="196" t="s">
        <v>403</v>
      </c>
      <c r="AI91" s="196" t="s">
        <v>404</v>
      </c>
      <c r="AJ91" s="196" t="s">
        <v>405</v>
      </c>
      <c r="AK91" s="196" t="s">
        <v>406</v>
      </c>
      <c r="AL91" s="193" t="s">
        <v>372</v>
      </c>
      <c r="AM91" s="194" t="s">
        <v>407</v>
      </c>
      <c r="AN91" s="194" t="s">
        <v>408</v>
      </c>
      <c r="AO91" s="195" t="s">
        <v>409</v>
      </c>
      <c r="AP91" s="195" t="s">
        <v>410</v>
      </c>
      <c r="AQ91" s="195" t="s">
        <v>411</v>
      </c>
      <c r="AR91" s="195" t="s">
        <v>412</v>
      </c>
      <c r="AS91" s="195" t="s">
        <v>413</v>
      </c>
      <c r="AT91" s="195" t="s">
        <v>414</v>
      </c>
      <c r="AU91" s="195" t="s">
        <v>415</v>
      </c>
      <c r="AV91" s="196" t="s">
        <v>416</v>
      </c>
      <c r="AW91" s="196" t="s">
        <v>417</v>
      </c>
      <c r="AX91" s="196" t="s">
        <v>418</v>
      </c>
      <c r="AY91" s="196" t="s">
        <v>419</v>
      </c>
      <c r="AZ91" s="196" t="s">
        <v>420</v>
      </c>
      <c r="BA91" s="196" t="s">
        <v>421</v>
      </c>
      <c r="BB91" s="196" t="s">
        <v>422</v>
      </c>
      <c r="BC91" s="196" t="s">
        <v>423</v>
      </c>
      <c r="BD91" s="193" t="s">
        <v>372</v>
      </c>
      <c r="BE91" s="194" t="s">
        <v>424</v>
      </c>
      <c r="BF91" s="194" t="s">
        <v>425</v>
      </c>
      <c r="BG91" s="195" t="s">
        <v>426</v>
      </c>
      <c r="BH91" s="195" t="s">
        <v>427</v>
      </c>
      <c r="BI91" s="195" t="s">
        <v>428</v>
      </c>
      <c r="BJ91" s="195" t="s">
        <v>429</v>
      </c>
      <c r="BK91" s="195" t="s">
        <v>430</v>
      </c>
      <c r="BL91" s="195" t="s">
        <v>431</v>
      </c>
      <c r="BM91" s="195" t="s">
        <v>432</v>
      </c>
      <c r="BN91" s="196" t="s">
        <v>433</v>
      </c>
      <c r="BO91" s="196" t="s">
        <v>434</v>
      </c>
      <c r="BP91" s="196" t="s">
        <v>435</v>
      </c>
      <c r="BQ91" s="196" t="s">
        <v>436</v>
      </c>
      <c r="BR91" s="196" t="s">
        <v>437</v>
      </c>
      <c r="BS91" s="196" t="s">
        <v>438</v>
      </c>
      <c r="BT91" s="196" t="s">
        <v>439</v>
      </c>
      <c r="BU91" s="196" t="s">
        <v>440</v>
      </c>
      <c r="BV91" s="193" t="s">
        <v>372</v>
      </c>
      <c r="BW91" s="194" t="s">
        <v>441</v>
      </c>
      <c r="BX91" s="194" t="s">
        <v>442</v>
      </c>
      <c r="BY91" s="195" t="s">
        <v>443</v>
      </c>
      <c r="BZ91" s="195" t="s">
        <v>444</v>
      </c>
      <c r="CA91" s="195" t="s">
        <v>445</v>
      </c>
      <c r="CB91" s="195" t="s">
        <v>446</v>
      </c>
      <c r="CC91" s="195" t="s">
        <v>447</v>
      </c>
      <c r="CD91" s="195" t="s">
        <v>448</v>
      </c>
      <c r="CE91" s="195" t="s">
        <v>449</v>
      </c>
      <c r="CF91" s="196" t="s">
        <v>450</v>
      </c>
      <c r="CG91" s="196" t="s">
        <v>451</v>
      </c>
      <c r="CH91" s="196" t="s">
        <v>452</v>
      </c>
      <c r="CI91" s="196" t="s">
        <v>453</v>
      </c>
      <c r="CJ91" s="196" t="s">
        <v>454</v>
      </c>
      <c r="CK91" s="196" t="s">
        <v>455</v>
      </c>
      <c r="CL91" s="196" t="s">
        <v>456</v>
      </c>
      <c r="CM91" s="196" t="s">
        <v>457</v>
      </c>
      <c r="CN91" s="193" t="s">
        <v>372</v>
      </c>
      <c r="CO91" s="194" t="s">
        <v>458</v>
      </c>
      <c r="CP91" s="194" t="s">
        <v>459</v>
      </c>
      <c r="CQ91" s="195" t="s">
        <v>460</v>
      </c>
      <c r="CR91" s="195" t="s">
        <v>461</v>
      </c>
      <c r="CS91" s="195" t="s">
        <v>462</v>
      </c>
      <c r="CT91" s="195" t="s">
        <v>463</v>
      </c>
      <c r="CU91" s="195" t="s">
        <v>464</v>
      </c>
      <c r="CV91" s="195" t="s">
        <v>465</v>
      </c>
      <c r="CW91" s="195" t="s">
        <v>466</v>
      </c>
      <c r="CX91" s="196" t="s">
        <v>467</v>
      </c>
      <c r="CY91" s="196" t="s">
        <v>468</v>
      </c>
      <c r="CZ91" s="196" t="s">
        <v>469</v>
      </c>
      <c r="DA91" s="196" t="s">
        <v>470</v>
      </c>
      <c r="DB91" s="196" t="s">
        <v>471</v>
      </c>
      <c r="DC91" s="196" t="s">
        <v>472</v>
      </c>
      <c r="DD91" s="196" t="s">
        <v>473</v>
      </c>
      <c r="DE91" s="196" t="s">
        <v>474</v>
      </c>
      <c r="DF91" s="193" t="s">
        <v>372</v>
      </c>
      <c r="DG91" s="194" t="s">
        <v>509</v>
      </c>
      <c r="DH91" s="194" t="s">
        <v>510</v>
      </c>
      <c r="DI91" s="195" t="s">
        <v>511</v>
      </c>
      <c r="DJ91" s="195" t="s">
        <v>512</v>
      </c>
      <c r="DK91" s="195" t="s">
        <v>513</v>
      </c>
      <c r="DL91" s="195" t="s">
        <v>514</v>
      </c>
      <c r="DM91" s="195" t="s">
        <v>515</v>
      </c>
      <c r="DN91" s="195" t="s">
        <v>516</v>
      </c>
      <c r="DO91" s="195" t="s">
        <v>517</v>
      </c>
      <c r="DP91" s="196" t="s">
        <v>518</v>
      </c>
      <c r="DQ91" s="196" t="s">
        <v>519</v>
      </c>
      <c r="DR91" s="196" t="s">
        <v>520</v>
      </c>
      <c r="DS91" s="196" t="s">
        <v>521</v>
      </c>
      <c r="DT91" s="196" t="s">
        <v>522</v>
      </c>
      <c r="DU91" s="196" t="s">
        <v>523</v>
      </c>
      <c r="DV91" s="196" t="s">
        <v>524</v>
      </c>
      <c r="DW91" s="196" t="s">
        <v>525</v>
      </c>
      <c r="DX91" s="193" t="s">
        <v>372</v>
      </c>
      <c r="DY91" s="194" t="s">
        <v>492</v>
      </c>
      <c r="DZ91" s="194" t="s">
        <v>493</v>
      </c>
      <c r="EA91" s="195" t="s">
        <v>494</v>
      </c>
      <c r="EB91" s="195" t="s">
        <v>495</v>
      </c>
      <c r="EC91" s="195" t="s">
        <v>496</v>
      </c>
      <c r="ED91" s="195" t="s">
        <v>497</v>
      </c>
      <c r="EE91" s="195" t="s">
        <v>498</v>
      </c>
      <c r="EF91" s="195" t="s">
        <v>499</v>
      </c>
      <c r="EG91" s="195" t="s">
        <v>500</v>
      </c>
      <c r="EH91" s="196" t="s">
        <v>501</v>
      </c>
      <c r="EI91" s="196" t="s">
        <v>502</v>
      </c>
      <c r="EJ91" s="196" t="s">
        <v>503</v>
      </c>
      <c r="EK91" s="196" t="s">
        <v>504</v>
      </c>
      <c r="EL91" s="196" t="s">
        <v>505</v>
      </c>
      <c r="EM91" s="196" t="s">
        <v>506</v>
      </c>
      <c r="EN91" s="196" t="s">
        <v>507</v>
      </c>
      <c r="EO91" s="196" t="s">
        <v>508</v>
      </c>
      <c r="EP91" s="193" t="s">
        <v>372</v>
      </c>
      <c r="EQ91" s="194" t="s">
        <v>509</v>
      </c>
      <c r="ER91" s="194" t="s">
        <v>510</v>
      </c>
      <c r="ES91" s="195" t="s">
        <v>511</v>
      </c>
      <c r="ET91" s="195" t="s">
        <v>512</v>
      </c>
      <c r="EU91" s="195" t="s">
        <v>513</v>
      </c>
      <c r="EV91" s="195" t="s">
        <v>514</v>
      </c>
      <c r="EW91" s="195" t="s">
        <v>515</v>
      </c>
      <c r="EX91" s="195" t="s">
        <v>516</v>
      </c>
      <c r="EY91" s="195" t="s">
        <v>517</v>
      </c>
      <c r="EZ91" s="196" t="s">
        <v>518</v>
      </c>
      <c r="FA91" s="196" t="s">
        <v>519</v>
      </c>
      <c r="FB91" s="196" t="s">
        <v>520</v>
      </c>
      <c r="FC91" s="196" t="s">
        <v>521</v>
      </c>
      <c r="FD91" s="196" t="s">
        <v>522</v>
      </c>
      <c r="FE91" s="196" t="s">
        <v>523</v>
      </c>
      <c r="FF91" s="196" t="s">
        <v>524</v>
      </c>
      <c r="FG91" s="196" t="s">
        <v>525</v>
      </c>
      <c r="FH91" s="193" t="s">
        <v>372</v>
      </c>
      <c r="FI91" s="194" t="s">
        <v>526</v>
      </c>
      <c r="FJ91" s="194" t="s">
        <v>527</v>
      </c>
      <c r="FK91" s="195" t="s">
        <v>528</v>
      </c>
      <c r="FL91" s="195" t="s">
        <v>529</v>
      </c>
      <c r="FM91" s="195" t="s">
        <v>530</v>
      </c>
      <c r="FN91" s="195" t="s">
        <v>531</v>
      </c>
      <c r="FO91" s="195" t="s">
        <v>532</v>
      </c>
      <c r="FP91" s="195" t="s">
        <v>533</v>
      </c>
      <c r="FQ91" s="195" t="s">
        <v>534</v>
      </c>
      <c r="FR91" s="196" t="s">
        <v>535</v>
      </c>
      <c r="FS91" s="196" t="s">
        <v>536</v>
      </c>
      <c r="FT91" s="196" t="s">
        <v>537</v>
      </c>
      <c r="FU91" s="196" t="s">
        <v>538</v>
      </c>
      <c r="FV91" s="196" t="s">
        <v>539</v>
      </c>
      <c r="FW91" s="196" t="s">
        <v>540</v>
      </c>
      <c r="FX91" s="196" t="s">
        <v>541</v>
      </c>
      <c r="FY91" s="196" t="s">
        <v>542</v>
      </c>
    </row>
    <row r="92" spans="2:181" x14ac:dyDescent="0.25">
      <c r="B92" s="12">
        <v>61</v>
      </c>
      <c r="C92" s="195"/>
      <c r="D92" s="195"/>
      <c r="E92" s="195"/>
      <c r="F92" s="195"/>
      <c r="G92" s="195"/>
      <c r="H92" s="195"/>
      <c r="I92" s="195"/>
      <c r="J92" s="195"/>
      <c r="K92" s="195"/>
      <c r="L92" s="195"/>
      <c r="M92" s="195"/>
      <c r="N92" s="195"/>
      <c r="O92" s="195"/>
      <c r="P92" s="195"/>
      <c r="Q92" s="195"/>
      <c r="R92" s="195"/>
      <c r="S92" s="195"/>
      <c r="T92" s="12">
        <v>61</v>
      </c>
      <c r="U92" s="195"/>
      <c r="V92" s="195"/>
      <c r="W92" s="195"/>
      <c r="X92" s="195"/>
      <c r="Y92" s="195"/>
      <c r="Z92" s="195"/>
      <c r="AA92" s="195"/>
      <c r="AB92" s="195"/>
      <c r="AC92" s="195"/>
      <c r="AD92" s="195"/>
      <c r="AE92" s="195"/>
      <c r="AF92" s="195"/>
      <c r="AG92" s="195"/>
      <c r="AH92" s="195"/>
      <c r="AI92" s="195"/>
      <c r="AJ92" s="195"/>
      <c r="AK92" s="195"/>
      <c r="AL92" s="12">
        <v>61</v>
      </c>
      <c r="AM92" s="195"/>
      <c r="AN92" s="195"/>
      <c r="AO92" s="195"/>
      <c r="AP92" s="195"/>
      <c r="AQ92" s="195"/>
      <c r="AR92" s="195"/>
      <c r="AS92" s="195"/>
      <c r="AT92" s="195"/>
      <c r="AU92" s="195"/>
      <c r="AV92" s="195"/>
      <c r="AW92" s="195"/>
      <c r="AX92" s="195"/>
      <c r="AY92" s="195"/>
      <c r="AZ92" s="195"/>
      <c r="BA92" s="195"/>
      <c r="BB92" s="195"/>
      <c r="BC92" s="195"/>
      <c r="BD92" s="12">
        <v>61</v>
      </c>
      <c r="BE92" s="195"/>
      <c r="BF92" s="195"/>
      <c r="BG92" s="195"/>
      <c r="BH92" s="195"/>
      <c r="BI92" s="195"/>
      <c r="BJ92" s="195"/>
      <c r="BK92" s="195"/>
      <c r="BL92" s="195"/>
      <c r="BM92" s="195"/>
      <c r="BN92" s="195"/>
      <c r="BO92" s="195"/>
      <c r="BP92" s="195"/>
      <c r="BQ92" s="195"/>
      <c r="BR92" s="195"/>
      <c r="BS92" s="195"/>
      <c r="BT92" s="195"/>
      <c r="BU92" s="195"/>
      <c r="BV92" s="12">
        <v>61</v>
      </c>
      <c r="BW92" s="195"/>
      <c r="BX92" s="195"/>
      <c r="BY92" s="195"/>
      <c r="BZ92" s="195"/>
      <c r="CA92" s="195"/>
      <c r="CB92" s="195"/>
      <c r="CC92" s="195"/>
      <c r="CD92" s="195"/>
      <c r="CE92" s="195"/>
      <c r="CF92" s="195"/>
      <c r="CG92" s="195"/>
      <c r="CH92" s="195"/>
      <c r="CI92" s="195"/>
      <c r="CJ92" s="195"/>
      <c r="CK92" s="195"/>
      <c r="CL92" s="195"/>
      <c r="CM92" s="195"/>
      <c r="CN92" s="12">
        <v>61</v>
      </c>
      <c r="CO92" s="195"/>
      <c r="CP92" s="195"/>
      <c r="CQ92" s="195"/>
      <c r="CR92" s="195"/>
      <c r="CS92" s="195"/>
      <c r="CT92" s="195"/>
      <c r="CU92" s="195"/>
      <c r="CV92" s="195"/>
      <c r="CW92" s="195"/>
      <c r="CX92" s="195"/>
      <c r="CY92" s="195"/>
      <c r="CZ92" s="195"/>
      <c r="DA92" s="195"/>
      <c r="DB92" s="195"/>
      <c r="DC92" s="195"/>
      <c r="DD92" s="195"/>
      <c r="DE92" s="195"/>
      <c r="DF92" s="12">
        <v>61</v>
      </c>
      <c r="DG92" s="195"/>
      <c r="DH92" s="195"/>
      <c r="DI92" s="195"/>
      <c r="DJ92" s="195"/>
      <c r="DK92" s="195"/>
      <c r="DL92" s="195"/>
      <c r="DM92" s="195"/>
      <c r="DN92" s="195"/>
      <c r="DO92" s="195"/>
      <c r="DP92" s="195"/>
      <c r="DQ92" s="195"/>
      <c r="DR92" s="195"/>
      <c r="DS92" s="195"/>
      <c r="DT92" s="195"/>
      <c r="DU92" s="195"/>
      <c r="DV92" s="195"/>
      <c r="DW92" s="195"/>
      <c r="DX92" s="12">
        <v>61</v>
      </c>
      <c r="DY92" s="195"/>
      <c r="DZ92" s="195"/>
      <c r="EA92" s="195"/>
      <c r="EB92" s="195"/>
      <c r="EC92" s="195"/>
      <c r="ED92" s="195"/>
      <c r="EE92" s="195"/>
      <c r="EF92" s="195"/>
      <c r="EG92" s="195"/>
      <c r="EH92" s="195"/>
      <c r="EI92" s="195"/>
      <c r="EJ92" s="195"/>
      <c r="EK92" s="195"/>
      <c r="EL92" s="195"/>
      <c r="EM92" s="195"/>
      <c r="EN92" s="195"/>
      <c r="EO92" s="195"/>
      <c r="EP92" s="12">
        <v>61</v>
      </c>
      <c r="EQ92" s="195"/>
      <c r="ER92" s="195"/>
      <c r="ES92" s="195"/>
      <c r="ET92" s="195"/>
      <c r="EU92" s="195"/>
      <c r="EV92" s="195"/>
      <c r="EW92" s="195"/>
      <c r="EX92" s="195"/>
      <c r="EY92" s="195"/>
      <c r="EZ92" s="195"/>
      <c r="FA92" s="195"/>
      <c r="FB92" s="195"/>
      <c r="FC92" s="195"/>
      <c r="FD92" s="195"/>
      <c r="FE92" s="195"/>
      <c r="FF92" s="195"/>
      <c r="FG92" s="195"/>
      <c r="FH92" s="12">
        <v>61</v>
      </c>
      <c r="FI92" s="195"/>
      <c r="FJ92" s="195"/>
      <c r="FK92" s="195"/>
      <c r="FL92" s="195"/>
      <c r="FM92" s="195"/>
      <c r="FN92" s="195"/>
      <c r="FO92" s="195"/>
      <c r="FP92" s="195"/>
      <c r="FQ92" s="195"/>
      <c r="FR92" s="195"/>
      <c r="FS92" s="195"/>
      <c r="FT92" s="195"/>
      <c r="FU92" s="195"/>
      <c r="FV92" s="195"/>
      <c r="FW92" s="195"/>
      <c r="FX92" s="195"/>
      <c r="FY92" s="195"/>
    </row>
    <row r="93" spans="2:181" x14ac:dyDescent="0.25">
      <c r="B93" s="12">
        <v>62</v>
      </c>
      <c r="C93" s="195"/>
      <c r="D93" s="195"/>
      <c r="E93" s="195"/>
      <c r="F93" s="195"/>
      <c r="G93" s="195"/>
      <c r="H93" s="195"/>
      <c r="I93" s="195"/>
      <c r="J93" s="195"/>
      <c r="K93" s="195"/>
      <c r="L93" s="195"/>
      <c r="M93" s="195"/>
      <c r="N93" s="195"/>
      <c r="O93" s="195"/>
      <c r="P93" s="195"/>
      <c r="Q93" s="195"/>
      <c r="R93" s="195"/>
      <c r="S93" s="195"/>
      <c r="T93" s="12">
        <v>62</v>
      </c>
      <c r="U93" s="195"/>
      <c r="V93" s="195"/>
      <c r="W93" s="195"/>
      <c r="X93" s="195"/>
      <c r="Y93" s="195"/>
      <c r="Z93" s="195"/>
      <c r="AA93" s="195"/>
      <c r="AB93" s="195"/>
      <c r="AC93" s="195"/>
      <c r="AD93" s="195"/>
      <c r="AE93" s="195"/>
      <c r="AF93" s="195"/>
      <c r="AG93" s="195"/>
      <c r="AH93" s="195"/>
      <c r="AI93" s="195"/>
      <c r="AJ93" s="195"/>
      <c r="AK93" s="195"/>
      <c r="AL93" s="12">
        <v>62</v>
      </c>
      <c r="AM93" s="195"/>
      <c r="AN93" s="195"/>
      <c r="AO93" s="195"/>
      <c r="AP93" s="195"/>
      <c r="AQ93" s="195"/>
      <c r="AR93" s="195"/>
      <c r="AS93" s="195"/>
      <c r="AT93" s="195"/>
      <c r="AU93" s="195"/>
      <c r="AV93" s="195"/>
      <c r="AW93" s="195"/>
      <c r="AX93" s="195"/>
      <c r="AY93" s="195"/>
      <c r="AZ93" s="195"/>
      <c r="BA93" s="195"/>
      <c r="BB93" s="195"/>
      <c r="BC93" s="195"/>
      <c r="BD93" s="12">
        <v>62</v>
      </c>
      <c r="BE93" s="195"/>
      <c r="BF93" s="195"/>
      <c r="BG93" s="195"/>
      <c r="BH93" s="195"/>
      <c r="BI93" s="195"/>
      <c r="BJ93" s="195"/>
      <c r="BK93" s="195"/>
      <c r="BL93" s="195"/>
      <c r="BM93" s="195"/>
      <c r="BN93" s="195"/>
      <c r="BO93" s="195"/>
      <c r="BP93" s="195"/>
      <c r="BQ93" s="195"/>
      <c r="BR93" s="195"/>
      <c r="BS93" s="195"/>
      <c r="BT93" s="195"/>
      <c r="BU93" s="195"/>
      <c r="BV93" s="12">
        <v>62</v>
      </c>
      <c r="BW93" s="195"/>
      <c r="BX93" s="195"/>
      <c r="BY93" s="195"/>
      <c r="BZ93" s="195"/>
      <c r="CA93" s="195"/>
      <c r="CB93" s="195"/>
      <c r="CC93" s="195"/>
      <c r="CD93" s="195"/>
      <c r="CE93" s="195"/>
      <c r="CF93" s="195"/>
      <c r="CG93" s="195"/>
      <c r="CH93" s="195"/>
      <c r="CI93" s="195"/>
      <c r="CJ93" s="195"/>
      <c r="CK93" s="195"/>
      <c r="CL93" s="195"/>
      <c r="CM93" s="195"/>
      <c r="CN93" s="12">
        <v>62</v>
      </c>
      <c r="CO93" s="195"/>
      <c r="CP93" s="195"/>
      <c r="CQ93" s="195"/>
      <c r="CR93" s="195"/>
      <c r="CS93" s="195"/>
      <c r="CT93" s="195"/>
      <c r="CU93" s="195"/>
      <c r="CV93" s="195"/>
      <c r="CW93" s="195"/>
      <c r="CX93" s="195"/>
      <c r="CY93" s="195"/>
      <c r="CZ93" s="195"/>
      <c r="DA93" s="195"/>
      <c r="DB93" s="195"/>
      <c r="DC93" s="195"/>
      <c r="DD93" s="195"/>
      <c r="DE93" s="195"/>
      <c r="DF93" s="12">
        <v>62</v>
      </c>
      <c r="DG93" s="195"/>
      <c r="DH93" s="195"/>
      <c r="DI93" s="195"/>
      <c r="DJ93" s="195"/>
      <c r="DK93" s="195"/>
      <c r="DL93" s="195"/>
      <c r="DM93" s="195"/>
      <c r="DN93" s="195"/>
      <c r="DO93" s="195"/>
      <c r="DP93" s="195"/>
      <c r="DQ93" s="195"/>
      <c r="DR93" s="195"/>
      <c r="DS93" s="195"/>
      <c r="DT93" s="195"/>
      <c r="DU93" s="195"/>
      <c r="DV93" s="195"/>
      <c r="DW93" s="195"/>
      <c r="DX93" s="12">
        <v>62</v>
      </c>
      <c r="DY93" s="195"/>
      <c r="DZ93" s="195"/>
      <c r="EA93" s="195"/>
      <c r="EB93" s="195"/>
      <c r="EC93" s="195"/>
      <c r="ED93" s="195"/>
      <c r="EE93" s="195"/>
      <c r="EF93" s="195"/>
      <c r="EG93" s="195"/>
      <c r="EH93" s="195"/>
      <c r="EI93" s="195"/>
      <c r="EJ93" s="195"/>
      <c r="EK93" s="195"/>
      <c r="EL93" s="195"/>
      <c r="EM93" s="195"/>
      <c r="EN93" s="195"/>
      <c r="EO93" s="195"/>
      <c r="EP93" s="12">
        <v>62</v>
      </c>
      <c r="EQ93" s="195"/>
      <c r="ER93" s="195"/>
      <c r="ES93" s="195"/>
      <c r="ET93" s="195"/>
      <c r="EU93" s="195"/>
      <c r="EV93" s="195"/>
      <c r="EW93" s="195"/>
      <c r="EX93" s="195"/>
      <c r="EY93" s="195"/>
      <c r="EZ93" s="195"/>
      <c r="FA93" s="195"/>
      <c r="FB93" s="195"/>
      <c r="FC93" s="195"/>
      <c r="FD93" s="195"/>
      <c r="FE93" s="195"/>
      <c r="FF93" s="195"/>
      <c r="FG93" s="195"/>
      <c r="FH93" s="12">
        <v>62</v>
      </c>
      <c r="FI93" s="195"/>
      <c r="FJ93" s="195"/>
      <c r="FK93" s="195"/>
      <c r="FL93" s="195"/>
      <c r="FM93" s="195"/>
      <c r="FN93" s="195"/>
      <c r="FO93" s="195"/>
      <c r="FP93" s="195"/>
      <c r="FQ93" s="195"/>
      <c r="FR93" s="195"/>
      <c r="FS93" s="195"/>
      <c r="FT93" s="195"/>
      <c r="FU93" s="195"/>
      <c r="FV93" s="195"/>
      <c r="FW93" s="195"/>
      <c r="FX93" s="195"/>
      <c r="FY93" s="195"/>
    </row>
    <row r="94" spans="2:181" x14ac:dyDescent="0.25">
      <c r="B94" s="12">
        <v>63</v>
      </c>
      <c r="C94" s="195"/>
      <c r="D94" s="195"/>
      <c r="E94" s="195"/>
      <c r="F94" s="195"/>
      <c r="G94" s="195"/>
      <c r="H94" s="195"/>
      <c r="I94" s="195"/>
      <c r="J94" s="195"/>
      <c r="K94" s="195"/>
      <c r="L94" s="195"/>
      <c r="M94" s="195"/>
      <c r="N94" s="195"/>
      <c r="O94" s="195"/>
      <c r="P94" s="195"/>
      <c r="Q94" s="195"/>
      <c r="R94" s="195"/>
      <c r="S94" s="195"/>
      <c r="T94" s="12">
        <v>63</v>
      </c>
      <c r="U94" s="195"/>
      <c r="V94" s="195"/>
      <c r="W94" s="195"/>
      <c r="X94" s="195"/>
      <c r="Y94" s="195"/>
      <c r="Z94" s="195"/>
      <c r="AA94" s="195"/>
      <c r="AB94" s="195"/>
      <c r="AC94" s="195"/>
      <c r="AD94" s="195"/>
      <c r="AE94" s="195"/>
      <c r="AF94" s="195"/>
      <c r="AG94" s="195"/>
      <c r="AH94" s="195"/>
      <c r="AI94" s="195"/>
      <c r="AJ94" s="195"/>
      <c r="AK94" s="195"/>
      <c r="AL94" s="12">
        <v>63</v>
      </c>
      <c r="AM94" s="195"/>
      <c r="AN94" s="195"/>
      <c r="AO94" s="195"/>
      <c r="AP94" s="195"/>
      <c r="AQ94" s="195"/>
      <c r="AR94" s="195"/>
      <c r="AS94" s="195"/>
      <c r="AT94" s="195"/>
      <c r="AU94" s="195"/>
      <c r="AV94" s="195"/>
      <c r="AW94" s="195"/>
      <c r="AX94" s="195"/>
      <c r="AY94" s="195"/>
      <c r="AZ94" s="195"/>
      <c r="BA94" s="195"/>
      <c r="BB94" s="195"/>
      <c r="BC94" s="195"/>
      <c r="BD94" s="12">
        <v>63</v>
      </c>
      <c r="BE94" s="195"/>
      <c r="BF94" s="195"/>
      <c r="BG94" s="195"/>
      <c r="BH94" s="195"/>
      <c r="BI94" s="195"/>
      <c r="BJ94" s="195"/>
      <c r="BK94" s="195"/>
      <c r="BL94" s="195"/>
      <c r="BM94" s="195"/>
      <c r="BN94" s="195"/>
      <c r="BO94" s="195"/>
      <c r="BP94" s="195"/>
      <c r="BQ94" s="195"/>
      <c r="BR94" s="195"/>
      <c r="BS94" s="195"/>
      <c r="BT94" s="195"/>
      <c r="BU94" s="195"/>
      <c r="BV94" s="12">
        <v>63</v>
      </c>
      <c r="BW94" s="195"/>
      <c r="BX94" s="195"/>
      <c r="BY94" s="195"/>
      <c r="BZ94" s="195"/>
      <c r="CA94" s="195"/>
      <c r="CB94" s="195"/>
      <c r="CC94" s="195"/>
      <c r="CD94" s="195"/>
      <c r="CE94" s="195"/>
      <c r="CF94" s="195"/>
      <c r="CG94" s="195"/>
      <c r="CH94" s="195"/>
      <c r="CI94" s="195"/>
      <c r="CJ94" s="195"/>
      <c r="CK94" s="195"/>
      <c r="CL94" s="195"/>
      <c r="CM94" s="195"/>
      <c r="CN94" s="12">
        <v>63</v>
      </c>
      <c r="CO94" s="195"/>
      <c r="CP94" s="195"/>
      <c r="CQ94" s="195"/>
      <c r="CR94" s="195"/>
      <c r="CS94" s="195"/>
      <c r="CT94" s="195"/>
      <c r="CU94" s="195"/>
      <c r="CV94" s="195"/>
      <c r="CW94" s="195"/>
      <c r="CX94" s="195"/>
      <c r="CY94" s="195"/>
      <c r="CZ94" s="195"/>
      <c r="DA94" s="195"/>
      <c r="DB94" s="195"/>
      <c r="DC94" s="195"/>
      <c r="DD94" s="195"/>
      <c r="DE94" s="195"/>
      <c r="DF94" s="12">
        <v>63</v>
      </c>
      <c r="DG94" s="195"/>
      <c r="DH94" s="195"/>
      <c r="DI94" s="195"/>
      <c r="DJ94" s="195"/>
      <c r="DK94" s="195"/>
      <c r="DL94" s="195"/>
      <c r="DM94" s="195"/>
      <c r="DN94" s="195"/>
      <c r="DO94" s="195"/>
      <c r="DP94" s="195"/>
      <c r="DQ94" s="195"/>
      <c r="DR94" s="195"/>
      <c r="DS94" s="195"/>
      <c r="DT94" s="195"/>
      <c r="DU94" s="195"/>
      <c r="DV94" s="195"/>
      <c r="DW94" s="195"/>
      <c r="DX94" s="12">
        <v>63</v>
      </c>
      <c r="DY94" s="195"/>
      <c r="DZ94" s="195"/>
      <c r="EA94" s="195"/>
      <c r="EB94" s="195"/>
      <c r="EC94" s="195"/>
      <c r="ED94" s="195"/>
      <c r="EE94" s="195"/>
      <c r="EF94" s="195"/>
      <c r="EG94" s="195"/>
      <c r="EH94" s="195"/>
      <c r="EI94" s="195"/>
      <c r="EJ94" s="195"/>
      <c r="EK94" s="195"/>
      <c r="EL94" s="195"/>
      <c r="EM94" s="195"/>
      <c r="EN94" s="195"/>
      <c r="EO94" s="195"/>
      <c r="EP94" s="12">
        <v>63</v>
      </c>
      <c r="EQ94" s="195"/>
      <c r="ER94" s="195"/>
      <c r="ES94" s="195"/>
      <c r="ET94" s="195"/>
      <c r="EU94" s="195"/>
      <c r="EV94" s="195"/>
      <c r="EW94" s="195"/>
      <c r="EX94" s="195"/>
      <c r="EY94" s="195"/>
      <c r="EZ94" s="195"/>
      <c r="FA94" s="195"/>
      <c r="FB94" s="195"/>
      <c r="FC94" s="195"/>
      <c r="FD94" s="195"/>
      <c r="FE94" s="195"/>
      <c r="FF94" s="195"/>
      <c r="FG94" s="195"/>
      <c r="FH94" s="12">
        <v>63</v>
      </c>
      <c r="FI94" s="195"/>
      <c r="FJ94" s="195"/>
      <c r="FK94" s="195"/>
      <c r="FL94" s="195"/>
      <c r="FM94" s="195"/>
      <c r="FN94" s="195"/>
      <c r="FO94" s="195"/>
      <c r="FP94" s="195"/>
      <c r="FQ94" s="195"/>
      <c r="FR94" s="195"/>
      <c r="FS94" s="195"/>
      <c r="FT94" s="195"/>
      <c r="FU94" s="195"/>
      <c r="FV94" s="195"/>
      <c r="FW94" s="195"/>
      <c r="FX94" s="195"/>
      <c r="FY94" s="195"/>
    </row>
    <row r="95" spans="2:181" x14ac:dyDescent="0.25">
      <c r="B95" s="12">
        <v>64</v>
      </c>
      <c r="C95" s="195"/>
      <c r="D95" s="195"/>
      <c r="E95" s="195"/>
      <c r="F95" s="195"/>
      <c r="G95" s="195"/>
      <c r="H95" s="195"/>
      <c r="I95" s="195"/>
      <c r="J95" s="195"/>
      <c r="K95" s="195"/>
      <c r="L95" s="195"/>
      <c r="M95" s="195"/>
      <c r="N95" s="195"/>
      <c r="O95" s="195"/>
      <c r="P95" s="195"/>
      <c r="Q95" s="195"/>
      <c r="R95" s="195"/>
      <c r="S95" s="195"/>
      <c r="T95" s="12">
        <v>64</v>
      </c>
      <c r="U95" s="195"/>
      <c r="V95" s="195"/>
      <c r="W95" s="195"/>
      <c r="X95" s="195"/>
      <c r="Y95" s="195"/>
      <c r="Z95" s="195"/>
      <c r="AA95" s="195"/>
      <c r="AB95" s="195"/>
      <c r="AC95" s="195"/>
      <c r="AD95" s="195"/>
      <c r="AE95" s="195"/>
      <c r="AF95" s="195"/>
      <c r="AG95" s="195"/>
      <c r="AH95" s="195"/>
      <c r="AI95" s="195"/>
      <c r="AJ95" s="195"/>
      <c r="AK95" s="195"/>
      <c r="AL95" s="12">
        <v>64</v>
      </c>
      <c r="AM95" s="195"/>
      <c r="AN95" s="195"/>
      <c r="AO95" s="195"/>
      <c r="AP95" s="195"/>
      <c r="AQ95" s="195"/>
      <c r="AR95" s="195"/>
      <c r="AS95" s="195"/>
      <c r="AT95" s="195"/>
      <c r="AU95" s="195"/>
      <c r="AV95" s="195"/>
      <c r="AW95" s="195"/>
      <c r="AX95" s="195"/>
      <c r="AY95" s="195"/>
      <c r="AZ95" s="195"/>
      <c r="BA95" s="195"/>
      <c r="BB95" s="195"/>
      <c r="BC95" s="195"/>
      <c r="BD95" s="12">
        <v>64</v>
      </c>
      <c r="BE95" s="195"/>
      <c r="BF95" s="195"/>
      <c r="BG95" s="195"/>
      <c r="BH95" s="195"/>
      <c r="BI95" s="195"/>
      <c r="BJ95" s="195"/>
      <c r="BK95" s="195"/>
      <c r="BL95" s="195"/>
      <c r="BM95" s="195"/>
      <c r="BN95" s="195"/>
      <c r="BO95" s="195"/>
      <c r="BP95" s="195"/>
      <c r="BQ95" s="195"/>
      <c r="BR95" s="195"/>
      <c r="BS95" s="195"/>
      <c r="BT95" s="195"/>
      <c r="BU95" s="195"/>
      <c r="BV95" s="12">
        <v>64</v>
      </c>
      <c r="BW95" s="195"/>
      <c r="BX95" s="195"/>
      <c r="BY95" s="195"/>
      <c r="BZ95" s="195"/>
      <c r="CA95" s="195"/>
      <c r="CB95" s="195"/>
      <c r="CC95" s="195"/>
      <c r="CD95" s="195"/>
      <c r="CE95" s="195"/>
      <c r="CF95" s="195"/>
      <c r="CG95" s="195"/>
      <c r="CH95" s="195"/>
      <c r="CI95" s="195"/>
      <c r="CJ95" s="195"/>
      <c r="CK95" s="195"/>
      <c r="CL95" s="195"/>
      <c r="CM95" s="195"/>
      <c r="CN95" s="12">
        <v>64</v>
      </c>
      <c r="CO95" s="195"/>
      <c r="CP95" s="195"/>
      <c r="CQ95" s="195"/>
      <c r="CR95" s="195"/>
      <c r="CS95" s="195"/>
      <c r="CT95" s="195"/>
      <c r="CU95" s="195"/>
      <c r="CV95" s="195"/>
      <c r="CW95" s="195"/>
      <c r="CX95" s="195"/>
      <c r="CY95" s="195"/>
      <c r="CZ95" s="195"/>
      <c r="DA95" s="195"/>
      <c r="DB95" s="195"/>
      <c r="DC95" s="195"/>
      <c r="DD95" s="195"/>
      <c r="DE95" s="195"/>
      <c r="DF95" s="12">
        <v>64</v>
      </c>
      <c r="DG95" s="195"/>
      <c r="DH95" s="195"/>
      <c r="DI95" s="195"/>
      <c r="DJ95" s="195"/>
      <c r="DK95" s="195"/>
      <c r="DL95" s="195"/>
      <c r="DM95" s="195"/>
      <c r="DN95" s="195"/>
      <c r="DO95" s="195"/>
      <c r="DP95" s="195"/>
      <c r="DQ95" s="195"/>
      <c r="DR95" s="195"/>
      <c r="DS95" s="195"/>
      <c r="DT95" s="195"/>
      <c r="DU95" s="195"/>
      <c r="DV95" s="195"/>
      <c r="DW95" s="195"/>
      <c r="DX95" s="12">
        <v>64</v>
      </c>
      <c r="DY95" s="195"/>
      <c r="DZ95" s="195"/>
      <c r="EA95" s="195"/>
      <c r="EB95" s="195"/>
      <c r="EC95" s="195"/>
      <c r="ED95" s="195"/>
      <c r="EE95" s="195"/>
      <c r="EF95" s="195"/>
      <c r="EG95" s="195"/>
      <c r="EH95" s="195"/>
      <c r="EI95" s="195"/>
      <c r="EJ95" s="195"/>
      <c r="EK95" s="195"/>
      <c r="EL95" s="195"/>
      <c r="EM95" s="195"/>
      <c r="EN95" s="195"/>
      <c r="EO95" s="195"/>
      <c r="EP95" s="12">
        <v>64</v>
      </c>
      <c r="EQ95" s="195"/>
      <c r="ER95" s="195"/>
      <c r="ES95" s="195"/>
      <c r="ET95" s="195"/>
      <c r="EU95" s="195"/>
      <c r="EV95" s="195"/>
      <c r="EW95" s="195"/>
      <c r="EX95" s="195"/>
      <c r="EY95" s="195"/>
      <c r="EZ95" s="195"/>
      <c r="FA95" s="195"/>
      <c r="FB95" s="195"/>
      <c r="FC95" s="195"/>
      <c r="FD95" s="195"/>
      <c r="FE95" s="195"/>
      <c r="FF95" s="195"/>
      <c r="FG95" s="195"/>
      <c r="FH95" s="12">
        <v>64</v>
      </c>
      <c r="FI95" s="195"/>
      <c r="FJ95" s="195"/>
      <c r="FK95" s="195"/>
      <c r="FL95" s="195"/>
      <c r="FM95" s="195"/>
      <c r="FN95" s="195"/>
      <c r="FO95" s="195"/>
      <c r="FP95" s="195"/>
      <c r="FQ95" s="195"/>
      <c r="FR95" s="195"/>
      <c r="FS95" s="195"/>
      <c r="FT95" s="195"/>
      <c r="FU95" s="195"/>
      <c r="FV95" s="195"/>
      <c r="FW95" s="195"/>
      <c r="FX95" s="195"/>
      <c r="FY95" s="195"/>
    </row>
    <row r="96" spans="2:181" x14ac:dyDescent="0.25">
      <c r="B96" s="12">
        <v>65</v>
      </c>
      <c r="C96" s="195"/>
      <c r="D96" s="195"/>
      <c r="E96" s="195"/>
      <c r="F96" s="195"/>
      <c r="G96" s="195"/>
      <c r="H96" s="195"/>
      <c r="I96" s="195"/>
      <c r="J96" s="195"/>
      <c r="K96" s="195"/>
      <c r="L96" s="195"/>
      <c r="M96" s="195"/>
      <c r="N96" s="195"/>
      <c r="O96" s="195"/>
      <c r="P96" s="195"/>
      <c r="Q96" s="195"/>
      <c r="R96" s="195"/>
      <c r="S96" s="195"/>
      <c r="T96" s="12">
        <v>65</v>
      </c>
      <c r="U96" s="195"/>
      <c r="V96" s="195"/>
      <c r="W96" s="195"/>
      <c r="X96" s="195"/>
      <c r="Y96" s="195"/>
      <c r="Z96" s="195"/>
      <c r="AA96" s="195"/>
      <c r="AB96" s="195"/>
      <c r="AC96" s="195"/>
      <c r="AD96" s="195"/>
      <c r="AE96" s="195"/>
      <c r="AF96" s="195"/>
      <c r="AG96" s="195"/>
      <c r="AH96" s="195"/>
      <c r="AI96" s="195"/>
      <c r="AJ96" s="195"/>
      <c r="AK96" s="195"/>
      <c r="AL96" s="12">
        <v>65</v>
      </c>
      <c r="AM96" s="195"/>
      <c r="AN96" s="195"/>
      <c r="AO96" s="195"/>
      <c r="AP96" s="195"/>
      <c r="AQ96" s="195"/>
      <c r="AR96" s="195"/>
      <c r="AS96" s="195"/>
      <c r="AT96" s="195"/>
      <c r="AU96" s="195"/>
      <c r="AV96" s="195"/>
      <c r="AW96" s="195"/>
      <c r="AX96" s="195"/>
      <c r="AY96" s="195"/>
      <c r="AZ96" s="195"/>
      <c r="BA96" s="195"/>
      <c r="BB96" s="195"/>
      <c r="BC96" s="195"/>
      <c r="BD96" s="12">
        <v>65</v>
      </c>
      <c r="BE96" s="195"/>
      <c r="BF96" s="195"/>
      <c r="BG96" s="195"/>
      <c r="BH96" s="195"/>
      <c r="BI96" s="195"/>
      <c r="BJ96" s="195"/>
      <c r="BK96" s="195"/>
      <c r="BL96" s="195"/>
      <c r="BM96" s="195"/>
      <c r="BN96" s="195"/>
      <c r="BO96" s="195"/>
      <c r="BP96" s="195"/>
      <c r="BQ96" s="195"/>
      <c r="BR96" s="195"/>
      <c r="BS96" s="195"/>
      <c r="BT96" s="195"/>
      <c r="BU96" s="195"/>
      <c r="BV96" s="12">
        <v>65</v>
      </c>
      <c r="BW96" s="195"/>
      <c r="BX96" s="195"/>
      <c r="BY96" s="195"/>
      <c r="BZ96" s="195"/>
      <c r="CA96" s="195"/>
      <c r="CB96" s="195"/>
      <c r="CC96" s="195"/>
      <c r="CD96" s="195"/>
      <c r="CE96" s="195"/>
      <c r="CF96" s="195"/>
      <c r="CG96" s="195"/>
      <c r="CH96" s="195"/>
      <c r="CI96" s="195"/>
      <c r="CJ96" s="195"/>
      <c r="CK96" s="195"/>
      <c r="CL96" s="195"/>
      <c r="CM96" s="195"/>
      <c r="CN96" s="12">
        <v>65</v>
      </c>
      <c r="CO96" s="195"/>
      <c r="CP96" s="195"/>
      <c r="CQ96" s="195"/>
      <c r="CR96" s="195"/>
      <c r="CS96" s="195"/>
      <c r="CT96" s="195"/>
      <c r="CU96" s="195"/>
      <c r="CV96" s="195"/>
      <c r="CW96" s="195"/>
      <c r="CX96" s="195"/>
      <c r="CY96" s="195"/>
      <c r="CZ96" s="195"/>
      <c r="DA96" s="195"/>
      <c r="DB96" s="195"/>
      <c r="DC96" s="195"/>
      <c r="DD96" s="195"/>
      <c r="DE96" s="195"/>
      <c r="DF96" s="12">
        <v>65</v>
      </c>
      <c r="DG96" s="195"/>
      <c r="DH96" s="195"/>
      <c r="DI96" s="195"/>
      <c r="DJ96" s="195"/>
      <c r="DK96" s="195"/>
      <c r="DL96" s="195"/>
      <c r="DM96" s="195"/>
      <c r="DN96" s="195"/>
      <c r="DO96" s="195"/>
      <c r="DP96" s="195"/>
      <c r="DQ96" s="195"/>
      <c r="DR96" s="195"/>
      <c r="DS96" s="195"/>
      <c r="DT96" s="195"/>
      <c r="DU96" s="195"/>
      <c r="DV96" s="195"/>
      <c r="DW96" s="195"/>
      <c r="DX96" s="12">
        <v>65</v>
      </c>
      <c r="DY96" s="195"/>
      <c r="DZ96" s="195"/>
      <c r="EA96" s="195"/>
      <c r="EB96" s="195"/>
      <c r="EC96" s="195"/>
      <c r="ED96" s="195"/>
      <c r="EE96" s="195"/>
      <c r="EF96" s="195"/>
      <c r="EG96" s="195"/>
      <c r="EH96" s="195"/>
      <c r="EI96" s="195"/>
      <c r="EJ96" s="195"/>
      <c r="EK96" s="195"/>
      <c r="EL96" s="195"/>
      <c r="EM96" s="195"/>
      <c r="EN96" s="195"/>
      <c r="EO96" s="195"/>
      <c r="EP96" s="12">
        <v>65</v>
      </c>
      <c r="EQ96" s="195"/>
      <c r="ER96" s="195"/>
      <c r="ES96" s="195"/>
      <c r="ET96" s="195"/>
      <c r="EU96" s="195"/>
      <c r="EV96" s="195"/>
      <c r="EW96" s="195"/>
      <c r="EX96" s="195"/>
      <c r="EY96" s="195"/>
      <c r="EZ96" s="195"/>
      <c r="FA96" s="195"/>
      <c r="FB96" s="195"/>
      <c r="FC96" s="195"/>
      <c r="FD96" s="195"/>
      <c r="FE96" s="195"/>
      <c r="FF96" s="195"/>
      <c r="FG96" s="195"/>
      <c r="FH96" s="12">
        <v>65</v>
      </c>
      <c r="FI96" s="195"/>
      <c r="FJ96" s="195"/>
      <c r="FK96" s="195"/>
      <c r="FL96" s="195"/>
      <c r="FM96" s="195"/>
      <c r="FN96" s="195"/>
      <c r="FO96" s="195"/>
      <c r="FP96" s="195"/>
      <c r="FQ96" s="195"/>
      <c r="FR96" s="195"/>
      <c r="FS96" s="195"/>
      <c r="FT96" s="195"/>
      <c r="FU96" s="195"/>
      <c r="FV96" s="195"/>
      <c r="FW96" s="195"/>
      <c r="FX96" s="195"/>
      <c r="FY96" s="195"/>
    </row>
    <row r="97" spans="2:181" x14ac:dyDescent="0.25">
      <c r="B97" s="12">
        <v>66</v>
      </c>
      <c r="C97" s="195"/>
      <c r="D97" s="195"/>
      <c r="E97" s="195"/>
      <c r="F97" s="195"/>
      <c r="G97" s="195"/>
      <c r="H97" s="195"/>
      <c r="I97" s="195"/>
      <c r="J97" s="195"/>
      <c r="K97" s="195"/>
      <c r="L97" s="195"/>
      <c r="M97" s="195"/>
      <c r="N97" s="195"/>
      <c r="O97" s="195"/>
      <c r="P97" s="195"/>
      <c r="Q97" s="195"/>
      <c r="R97" s="195"/>
      <c r="S97" s="195"/>
      <c r="T97" s="12">
        <v>66</v>
      </c>
      <c r="U97" s="195"/>
      <c r="V97" s="195"/>
      <c r="W97" s="195"/>
      <c r="X97" s="195"/>
      <c r="Y97" s="195"/>
      <c r="Z97" s="195"/>
      <c r="AA97" s="195"/>
      <c r="AB97" s="195"/>
      <c r="AC97" s="195"/>
      <c r="AD97" s="195"/>
      <c r="AE97" s="195"/>
      <c r="AF97" s="195"/>
      <c r="AG97" s="195"/>
      <c r="AH97" s="195"/>
      <c r="AI97" s="195"/>
      <c r="AJ97" s="195"/>
      <c r="AK97" s="195"/>
      <c r="AL97" s="12">
        <v>66</v>
      </c>
      <c r="AM97" s="195"/>
      <c r="AN97" s="195"/>
      <c r="AO97" s="195"/>
      <c r="AP97" s="195"/>
      <c r="AQ97" s="195"/>
      <c r="AR97" s="195"/>
      <c r="AS97" s="195"/>
      <c r="AT97" s="195"/>
      <c r="AU97" s="195"/>
      <c r="AV97" s="195"/>
      <c r="AW97" s="195"/>
      <c r="AX97" s="195"/>
      <c r="AY97" s="195"/>
      <c r="AZ97" s="195"/>
      <c r="BA97" s="195"/>
      <c r="BB97" s="195"/>
      <c r="BC97" s="195"/>
      <c r="BD97" s="12">
        <v>66</v>
      </c>
      <c r="BE97" s="195"/>
      <c r="BF97" s="195"/>
      <c r="BG97" s="195"/>
      <c r="BH97" s="195"/>
      <c r="BI97" s="195"/>
      <c r="BJ97" s="195"/>
      <c r="BK97" s="195"/>
      <c r="BL97" s="195"/>
      <c r="BM97" s="195"/>
      <c r="BN97" s="195"/>
      <c r="BO97" s="195"/>
      <c r="BP97" s="195"/>
      <c r="BQ97" s="195"/>
      <c r="BR97" s="195"/>
      <c r="BS97" s="195"/>
      <c r="BT97" s="195"/>
      <c r="BU97" s="195"/>
      <c r="BV97" s="12">
        <v>66</v>
      </c>
      <c r="BW97" s="195"/>
      <c r="BX97" s="195"/>
      <c r="BY97" s="195"/>
      <c r="BZ97" s="195"/>
      <c r="CA97" s="195"/>
      <c r="CB97" s="195"/>
      <c r="CC97" s="195"/>
      <c r="CD97" s="195"/>
      <c r="CE97" s="195"/>
      <c r="CF97" s="195"/>
      <c r="CG97" s="195"/>
      <c r="CH97" s="195"/>
      <c r="CI97" s="195"/>
      <c r="CJ97" s="195"/>
      <c r="CK97" s="195"/>
      <c r="CL97" s="195"/>
      <c r="CM97" s="195"/>
      <c r="CN97" s="12">
        <v>66</v>
      </c>
      <c r="CO97" s="195"/>
      <c r="CP97" s="195"/>
      <c r="CQ97" s="195"/>
      <c r="CR97" s="195"/>
      <c r="CS97" s="195"/>
      <c r="CT97" s="195"/>
      <c r="CU97" s="195"/>
      <c r="CV97" s="195"/>
      <c r="CW97" s="195"/>
      <c r="CX97" s="195"/>
      <c r="CY97" s="195"/>
      <c r="CZ97" s="195"/>
      <c r="DA97" s="195"/>
      <c r="DB97" s="195"/>
      <c r="DC97" s="195"/>
      <c r="DD97" s="195"/>
      <c r="DE97" s="195"/>
      <c r="DF97" s="12">
        <v>66</v>
      </c>
      <c r="DG97" s="195"/>
      <c r="DH97" s="195"/>
      <c r="DI97" s="195"/>
      <c r="DJ97" s="195"/>
      <c r="DK97" s="195"/>
      <c r="DL97" s="195"/>
      <c r="DM97" s="195"/>
      <c r="DN97" s="195"/>
      <c r="DO97" s="195"/>
      <c r="DP97" s="195"/>
      <c r="DQ97" s="195"/>
      <c r="DR97" s="195"/>
      <c r="DS97" s="195"/>
      <c r="DT97" s="195"/>
      <c r="DU97" s="195"/>
      <c r="DV97" s="195"/>
      <c r="DW97" s="195"/>
      <c r="DX97" s="12">
        <v>66</v>
      </c>
      <c r="DY97" s="195"/>
      <c r="DZ97" s="195"/>
      <c r="EA97" s="195"/>
      <c r="EB97" s="195"/>
      <c r="EC97" s="195"/>
      <c r="ED97" s="195"/>
      <c r="EE97" s="195"/>
      <c r="EF97" s="195"/>
      <c r="EG97" s="195"/>
      <c r="EH97" s="195"/>
      <c r="EI97" s="195"/>
      <c r="EJ97" s="195"/>
      <c r="EK97" s="195"/>
      <c r="EL97" s="195"/>
      <c r="EM97" s="195"/>
      <c r="EN97" s="195"/>
      <c r="EO97" s="195"/>
      <c r="EP97" s="12">
        <v>66</v>
      </c>
      <c r="EQ97" s="195"/>
      <c r="ER97" s="195"/>
      <c r="ES97" s="195"/>
      <c r="ET97" s="195"/>
      <c r="EU97" s="195"/>
      <c r="EV97" s="195"/>
      <c r="EW97" s="195"/>
      <c r="EX97" s="195"/>
      <c r="EY97" s="195"/>
      <c r="EZ97" s="195"/>
      <c r="FA97" s="195"/>
      <c r="FB97" s="195"/>
      <c r="FC97" s="195"/>
      <c r="FD97" s="195"/>
      <c r="FE97" s="195"/>
      <c r="FF97" s="195"/>
      <c r="FG97" s="195"/>
      <c r="FH97" s="12">
        <v>66</v>
      </c>
      <c r="FI97" s="195"/>
      <c r="FJ97" s="195"/>
      <c r="FK97" s="195"/>
      <c r="FL97" s="195"/>
      <c r="FM97" s="195"/>
      <c r="FN97" s="195"/>
      <c r="FO97" s="195"/>
      <c r="FP97" s="195"/>
      <c r="FQ97" s="195"/>
      <c r="FR97" s="195"/>
      <c r="FS97" s="195"/>
      <c r="FT97" s="195"/>
      <c r="FU97" s="195"/>
      <c r="FV97" s="195"/>
      <c r="FW97" s="195"/>
      <c r="FX97" s="195"/>
      <c r="FY97" s="195"/>
    </row>
    <row r="98" spans="2:181" x14ac:dyDescent="0.25">
      <c r="B98" s="12">
        <v>67</v>
      </c>
      <c r="C98" s="195"/>
      <c r="D98" s="195"/>
      <c r="E98" s="195"/>
      <c r="F98" s="195"/>
      <c r="G98" s="195"/>
      <c r="H98" s="195"/>
      <c r="I98" s="195"/>
      <c r="J98" s="195"/>
      <c r="K98" s="195"/>
      <c r="L98" s="195"/>
      <c r="M98" s="195"/>
      <c r="N98" s="195"/>
      <c r="O98" s="195"/>
      <c r="P98" s="195"/>
      <c r="Q98" s="195"/>
      <c r="R98" s="195"/>
      <c r="S98" s="195"/>
      <c r="T98" s="12">
        <v>67</v>
      </c>
      <c r="U98" s="195"/>
      <c r="V98" s="195"/>
      <c r="W98" s="195"/>
      <c r="X98" s="195"/>
      <c r="Y98" s="195"/>
      <c r="Z98" s="195"/>
      <c r="AA98" s="195"/>
      <c r="AB98" s="195"/>
      <c r="AC98" s="195"/>
      <c r="AD98" s="195"/>
      <c r="AE98" s="195"/>
      <c r="AF98" s="195"/>
      <c r="AG98" s="195"/>
      <c r="AH98" s="195"/>
      <c r="AI98" s="195"/>
      <c r="AJ98" s="195"/>
      <c r="AK98" s="195"/>
      <c r="AL98" s="12">
        <v>67</v>
      </c>
      <c r="AM98" s="195"/>
      <c r="AN98" s="195"/>
      <c r="AO98" s="195"/>
      <c r="AP98" s="195"/>
      <c r="AQ98" s="195"/>
      <c r="AR98" s="195"/>
      <c r="AS98" s="195"/>
      <c r="AT98" s="195"/>
      <c r="AU98" s="195"/>
      <c r="AV98" s="195"/>
      <c r="AW98" s="195"/>
      <c r="AX98" s="195"/>
      <c r="AY98" s="195"/>
      <c r="AZ98" s="195"/>
      <c r="BA98" s="195"/>
      <c r="BB98" s="195"/>
      <c r="BC98" s="195"/>
      <c r="BD98" s="12">
        <v>67</v>
      </c>
      <c r="BE98" s="195"/>
      <c r="BF98" s="195"/>
      <c r="BG98" s="195"/>
      <c r="BH98" s="195"/>
      <c r="BI98" s="195"/>
      <c r="BJ98" s="195"/>
      <c r="BK98" s="195"/>
      <c r="BL98" s="195"/>
      <c r="BM98" s="195"/>
      <c r="BN98" s="195"/>
      <c r="BO98" s="195"/>
      <c r="BP98" s="195"/>
      <c r="BQ98" s="195"/>
      <c r="BR98" s="195"/>
      <c r="BS98" s="195"/>
      <c r="BT98" s="195"/>
      <c r="BU98" s="195"/>
      <c r="BV98" s="12">
        <v>67</v>
      </c>
      <c r="BW98" s="195"/>
      <c r="BX98" s="195"/>
      <c r="BY98" s="195"/>
      <c r="BZ98" s="195"/>
      <c r="CA98" s="195"/>
      <c r="CB98" s="195"/>
      <c r="CC98" s="195"/>
      <c r="CD98" s="195"/>
      <c r="CE98" s="195"/>
      <c r="CF98" s="195"/>
      <c r="CG98" s="195"/>
      <c r="CH98" s="195"/>
      <c r="CI98" s="195"/>
      <c r="CJ98" s="195"/>
      <c r="CK98" s="195"/>
      <c r="CL98" s="195"/>
      <c r="CM98" s="195"/>
      <c r="CN98" s="12">
        <v>67</v>
      </c>
      <c r="CO98" s="195"/>
      <c r="CP98" s="195"/>
      <c r="CQ98" s="195"/>
      <c r="CR98" s="195"/>
      <c r="CS98" s="195"/>
      <c r="CT98" s="195"/>
      <c r="CU98" s="195"/>
      <c r="CV98" s="195"/>
      <c r="CW98" s="195"/>
      <c r="CX98" s="195"/>
      <c r="CY98" s="195"/>
      <c r="CZ98" s="195"/>
      <c r="DA98" s="195"/>
      <c r="DB98" s="195"/>
      <c r="DC98" s="195"/>
      <c r="DD98" s="195"/>
      <c r="DE98" s="195"/>
      <c r="DF98" s="12">
        <v>67</v>
      </c>
      <c r="DG98" s="195"/>
      <c r="DH98" s="195"/>
      <c r="DI98" s="195"/>
      <c r="DJ98" s="195"/>
      <c r="DK98" s="195"/>
      <c r="DL98" s="195"/>
      <c r="DM98" s="195"/>
      <c r="DN98" s="195"/>
      <c r="DO98" s="195"/>
      <c r="DP98" s="195"/>
      <c r="DQ98" s="195"/>
      <c r="DR98" s="195"/>
      <c r="DS98" s="195"/>
      <c r="DT98" s="195"/>
      <c r="DU98" s="195"/>
      <c r="DV98" s="195"/>
      <c r="DW98" s="195"/>
      <c r="DX98" s="12">
        <v>67</v>
      </c>
      <c r="DY98" s="195"/>
      <c r="DZ98" s="195"/>
      <c r="EA98" s="195"/>
      <c r="EB98" s="195"/>
      <c r="EC98" s="195"/>
      <c r="ED98" s="195"/>
      <c r="EE98" s="195"/>
      <c r="EF98" s="195"/>
      <c r="EG98" s="195"/>
      <c r="EH98" s="195"/>
      <c r="EI98" s="195"/>
      <c r="EJ98" s="195"/>
      <c r="EK98" s="195"/>
      <c r="EL98" s="195"/>
      <c r="EM98" s="195"/>
      <c r="EN98" s="195"/>
      <c r="EO98" s="195"/>
      <c r="EP98" s="12">
        <v>67</v>
      </c>
      <c r="EQ98" s="195"/>
      <c r="ER98" s="195"/>
      <c r="ES98" s="195"/>
      <c r="ET98" s="195"/>
      <c r="EU98" s="195"/>
      <c r="EV98" s="195"/>
      <c r="EW98" s="195"/>
      <c r="EX98" s="195"/>
      <c r="EY98" s="195"/>
      <c r="EZ98" s="195"/>
      <c r="FA98" s="195"/>
      <c r="FB98" s="195"/>
      <c r="FC98" s="195"/>
      <c r="FD98" s="195"/>
      <c r="FE98" s="195"/>
      <c r="FF98" s="195"/>
      <c r="FG98" s="195"/>
      <c r="FH98" s="12">
        <v>67</v>
      </c>
      <c r="FI98" s="195"/>
      <c r="FJ98" s="195"/>
      <c r="FK98" s="195"/>
      <c r="FL98" s="195"/>
      <c r="FM98" s="195"/>
      <c r="FN98" s="195"/>
      <c r="FO98" s="195"/>
      <c r="FP98" s="195"/>
      <c r="FQ98" s="195"/>
      <c r="FR98" s="195"/>
      <c r="FS98" s="195"/>
      <c r="FT98" s="195"/>
      <c r="FU98" s="195"/>
      <c r="FV98" s="195"/>
      <c r="FW98" s="195"/>
      <c r="FX98" s="195"/>
      <c r="FY98" s="195"/>
    </row>
    <row r="99" spans="2:181" x14ac:dyDescent="0.25">
      <c r="B99" s="12">
        <v>68</v>
      </c>
      <c r="C99" s="195"/>
      <c r="D99" s="195"/>
      <c r="E99" s="195"/>
      <c r="F99" s="195"/>
      <c r="G99" s="195"/>
      <c r="H99" s="195"/>
      <c r="I99" s="195"/>
      <c r="J99" s="195"/>
      <c r="K99" s="195"/>
      <c r="L99" s="195"/>
      <c r="M99" s="195"/>
      <c r="N99" s="195"/>
      <c r="O99" s="195"/>
      <c r="P99" s="195"/>
      <c r="Q99" s="195"/>
      <c r="R99" s="195"/>
      <c r="S99" s="195"/>
      <c r="T99" s="12">
        <v>68</v>
      </c>
      <c r="U99" s="195"/>
      <c r="V99" s="195"/>
      <c r="W99" s="195"/>
      <c r="X99" s="195"/>
      <c r="Y99" s="195"/>
      <c r="Z99" s="195"/>
      <c r="AA99" s="195"/>
      <c r="AB99" s="195"/>
      <c r="AC99" s="195"/>
      <c r="AD99" s="195"/>
      <c r="AE99" s="195"/>
      <c r="AF99" s="195"/>
      <c r="AG99" s="195"/>
      <c r="AH99" s="195"/>
      <c r="AI99" s="195"/>
      <c r="AJ99" s="195"/>
      <c r="AK99" s="195"/>
      <c r="AL99" s="12">
        <v>68</v>
      </c>
      <c r="AM99" s="195"/>
      <c r="AN99" s="195"/>
      <c r="AO99" s="195"/>
      <c r="AP99" s="195"/>
      <c r="AQ99" s="195"/>
      <c r="AR99" s="195"/>
      <c r="AS99" s="195"/>
      <c r="AT99" s="195"/>
      <c r="AU99" s="195"/>
      <c r="AV99" s="195"/>
      <c r="AW99" s="195"/>
      <c r="AX99" s="195"/>
      <c r="AY99" s="195"/>
      <c r="AZ99" s="195"/>
      <c r="BA99" s="195"/>
      <c r="BB99" s="195"/>
      <c r="BC99" s="195"/>
      <c r="BD99" s="12">
        <v>68</v>
      </c>
      <c r="BE99" s="195"/>
      <c r="BF99" s="195"/>
      <c r="BG99" s="195"/>
      <c r="BH99" s="195"/>
      <c r="BI99" s="195"/>
      <c r="BJ99" s="195"/>
      <c r="BK99" s="195"/>
      <c r="BL99" s="195"/>
      <c r="BM99" s="195"/>
      <c r="BN99" s="195"/>
      <c r="BO99" s="195"/>
      <c r="BP99" s="195"/>
      <c r="BQ99" s="195"/>
      <c r="BR99" s="195"/>
      <c r="BS99" s="195"/>
      <c r="BT99" s="195"/>
      <c r="BU99" s="195"/>
      <c r="BV99" s="12">
        <v>68</v>
      </c>
      <c r="BW99" s="195"/>
      <c r="BX99" s="195"/>
      <c r="BY99" s="195"/>
      <c r="BZ99" s="195"/>
      <c r="CA99" s="195"/>
      <c r="CB99" s="195"/>
      <c r="CC99" s="195"/>
      <c r="CD99" s="195"/>
      <c r="CE99" s="195"/>
      <c r="CF99" s="195"/>
      <c r="CG99" s="195"/>
      <c r="CH99" s="195"/>
      <c r="CI99" s="195"/>
      <c r="CJ99" s="195"/>
      <c r="CK99" s="195"/>
      <c r="CL99" s="195"/>
      <c r="CM99" s="195"/>
      <c r="CN99" s="12">
        <v>68</v>
      </c>
      <c r="CO99" s="195"/>
      <c r="CP99" s="195"/>
      <c r="CQ99" s="195"/>
      <c r="CR99" s="195"/>
      <c r="CS99" s="195"/>
      <c r="CT99" s="195"/>
      <c r="CU99" s="195"/>
      <c r="CV99" s="195"/>
      <c r="CW99" s="195"/>
      <c r="CX99" s="195"/>
      <c r="CY99" s="195"/>
      <c r="CZ99" s="195"/>
      <c r="DA99" s="195"/>
      <c r="DB99" s="195"/>
      <c r="DC99" s="195"/>
      <c r="DD99" s="195"/>
      <c r="DE99" s="195"/>
      <c r="DF99" s="12">
        <v>68</v>
      </c>
      <c r="DG99" s="195"/>
      <c r="DH99" s="195"/>
      <c r="DI99" s="195"/>
      <c r="DJ99" s="195"/>
      <c r="DK99" s="195"/>
      <c r="DL99" s="195"/>
      <c r="DM99" s="195"/>
      <c r="DN99" s="195"/>
      <c r="DO99" s="195"/>
      <c r="DP99" s="195"/>
      <c r="DQ99" s="195"/>
      <c r="DR99" s="195"/>
      <c r="DS99" s="195"/>
      <c r="DT99" s="195"/>
      <c r="DU99" s="195"/>
      <c r="DV99" s="195"/>
      <c r="DW99" s="195"/>
      <c r="DX99" s="12">
        <v>68</v>
      </c>
      <c r="DY99" s="195"/>
      <c r="DZ99" s="195"/>
      <c r="EA99" s="195"/>
      <c r="EB99" s="195"/>
      <c r="EC99" s="195"/>
      <c r="ED99" s="195"/>
      <c r="EE99" s="195"/>
      <c r="EF99" s="195"/>
      <c r="EG99" s="195"/>
      <c r="EH99" s="195"/>
      <c r="EI99" s="195"/>
      <c r="EJ99" s="195"/>
      <c r="EK99" s="195"/>
      <c r="EL99" s="195"/>
      <c r="EM99" s="195"/>
      <c r="EN99" s="195"/>
      <c r="EO99" s="195"/>
      <c r="EP99" s="12">
        <v>68</v>
      </c>
      <c r="EQ99" s="195"/>
      <c r="ER99" s="195"/>
      <c r="ES99" s="195"/>
      <c r="ET99" s="195"/>
      <c r="EU99" s="195"/>
      <c r="EV99" s="195"/>
      <c r="EW99" s="195"/>
      <c r="EX99" s="195"/>
      <c r="EY99" s="195"/>
      <c r="EZ99" s="195"/>
      <c r="FA99" s="195"/>
      <c r="FB99" s="195"/>
      <c r="FC99" s="195"/>
      <c r="FD99" s="195"/>
      <c r="FE99" s="195"/>
      <c r="FF99" s="195"/>
      <c r="FG99" s="195"/>
      <c r="FH99" s="12">
        <v>68</v>
      </c>
      <c r="FI99" s="195"/>
      <c r="FJ99" s="195"/>
      <c r="FK99" s="195"/>
      <c r="FL99" s="195"/>
      <c r="FM99" s="195"/>
      <c r="FN99" s="195"/>
      <c r="FO99" s="195"/>
      <c r="FP99" s="195"/>
      <c r="FQ99" s="195"/>
      <c r="FR99" s="195"/>
      <c r="FS99" s="195"/>
      <c r="FT99" s="195"/>
      <c r="FU99" s="195"/>
      <c r="FV99" s="195"/>
      <c r="FW99" s="195"/>
      <c r="FX99" s="195"/>
      <c r="FY99" s="195"/>
    </row>
    <row r="100" spans="2:181" x14ac:dyDescent="0.25">
      <c r="B100" s="12">
        <v>69</v>
      </c>
      <c r="C100" s="195"/>
      <c r="D100" s="195"/>
      <c r="E100" s="195"/>
      <c r="F100" s="195"/>
      <c r="G100" s="195"/>
      <c r="H100" s="195"/>
      <c r="I100" s="195"/>
      <c r="J100" s="195"/>
      <c r="K100" s="195"/>
      <c r="L100" s="195"/>
      <c r="M100" s="195"/>
      <c r="N100" s="195"/>
      <c r="O100" s="195"/>
      <c r="P100" s="195"/>
      <c r="Q100" s="195"/>
      <c r="R100" s="195"/>
      <c r="S100" s="195"/>
      <c r="T100" s="12">
        <v>69</v>
      </c>
      <c r="U100" s="195"/>
      <c r="V100" s="195"/>
      <c r="W100" s="195"/>
      <c r="X100" s="195"/>
      <c r="Y100" s="195"/>
      <c r="Z100" s="195"/>
      <c r="AA100" s="195"/>
      <c r="AB100" s="195"/>
      <c r="AC100" s="195"/>
      <c r="AD100" s="195"/>
      <c r="AE100" s="195"/>
      <c r="AF100" s="195"/>
      <c r="AG100" s="195"/>
      <c r="AH100" s="195"/>
      <c r="AI100" s="195"/>
      <c r="AJ100" s="195"/>
      <c r="AK100" s="195"/>
      <c r="AL100" s="12">
        <v>69</v>
      </c>
      <c r="AM100" s="195"/>
      <c r="AN100" s="195"/>
      <c r="AO100" s="195"/>
      <c r="AP100" s="195"/>
      <c r="AQ100" s="195"/>
      <c r="AR100" s="195"/>
      <c r="AS100" s="195"/>
      <c r="AT100" s="195"/>
      <c r="AU100" s="195"/>
      <c r="AV100" s="195"/>
      <c r="AW100" s="195"/>
      <c r="AX100" s="195"/>
      <c r="AY100" s="195"/>
      <c r="AZ100" s="195"/>
      <c r="BA100" s="195"/>
      <c r="BB100" s="195"/>
      <c r="BC100" s="195"/>
      <c r="BD100" s="12">
        <v>69</v>
      </c>
      <c r="BE100" s="195"/>
      <c r="BF100" s="195"/>
      <c r="BG100" s="195"/>
      <c r="BH100" s="195"/>
      <c r="BI100" s="195"/>
      <c r="BJ100" s="195"/>
      <c r="BK100" s="195"/>
      <c r="BL100" s="195"/>
      <c r="BM100" s="195"/>
      <c r="BN100" s="195"/>
      <c r="BO100" s="195"/>
      <c r="BP100" s="195"/>
      <c r="BQ100" s="195"/>
      <c r="BR100" s="195"/>
      <c r="BS100" s="195"/>
      <c r="BT100" s="195"/>
      <c r="BU100" s="195"/>
      <c r="BV100" s="12">
        <v>69</v>
      </c>
      <c r="BW100" s="195"/>
      <c r="BX100" s="195"/>
      <c r="BY100" s="195"/>
      <c r="BZ100" s="195"/>
      <c r="CA100" s="195"/>
      <c r="CB100" s="195"/>
      <c r="CC100" s="195"/>
      <c r="CD100" s="195"/>
      <c r="CE100" s="195"/>
      <c r="CF100" s="195"/>
      <c r="CG100" s="195"/>
      <c r="CH100" s="195"/>
      <c r="CI100" s="195"/>
      <c r="CJ100" s="195"/>
      <c r="CK100" s="195"/>
      <c r="CL100" s="195"/>
      <c r="CM100" s="195"/>
      <c r="CN100" s="12">
        <v>69</v>
      </c>
      <c r="CO100" s="195"/>
      <c r="CP100" s="195"/>
      <c r="CQ100" s="195"/>
      <c r="CR100" s="195"/>
      <c r="CS100" s="195"/>
      <c r="CT100" s="195"/>
      <c r="CU100" s="195"/>
      <c r="CV100" s="195"/>
      <c r="CW100" s="195"/>
      <c r="CX100" s="195"/>
      <c r="CY100" s="195"/>
      <c r="CZ100" s="195"/>
      <c r="DA100" s="195"/>
      <c r="DB100" s="195"/>
      <c r="DC100" s="195"/>
      <c r="DD100" s="195"/>
      <c r="DE100" s="195"/>
      <c r="DF100" s="12">
        <v>69</v>
      </c>
      <c r="DG100" s="195"/>
      <c r="DH100" s="195"/>
      <c r="DI100" s="195"/>
      <c r="DJ100" s="195"/>
      <c r="DK100" s="195"/>
      <c r="DL100" s="195"/>
      <c r="DM100" s="195"/>
      <c r="DN100" s="195"/>
      <c r="DO100" s="195"/>
      <c r="DP100" s="195"/>
      <c r="DQ100" s="195"/>
      <c r="DR100" s="195"/>
      <c r="DS100" s="195"/>
      <c r="DT100" s="195"/>
      <c r="DU100" s="195"/>
      <c r="DV100" s="195"/>
      <c r="DW100" s="195"/>
      <c r="DX100" s="12">
        <v>69</v>
      </c>
      <c r="DY100" s="195"/>
      <c r="DZ100" s="195"/>
      <c r="EA100" s="195"/>
      <c r="EB100" s="195"/>
      <c r="EC100" s="195"/>
      <c r="ED100" s="195"/>
      <c r="EE100" s="195"/>
      <c r="EF100" s="195"/>
      <c r="EG100" s="195"/>
      <c r="EH100" s="195"/>
      <c r="EI100" s="195"/>
      <c r="EJ100" s="195"/>
      <c r="EK100" s="195"/>
      <c r="EL100" s="195"/>
      <c r="EM100" s="195"/>
      <c r="EN100" s="195"/>
      <c r="EO100" s="195"/>
      <c r="EP100" s="12">
        <v>69</v>
      </c>
      <c r="EQ100" s="195"/>
      <c r="ER100" s="195"/>
      <c r="ES100" s="195"/>
      <c r="ET100" s="195"/>
      <c r="EU100" s="195"/>
      <c r="EV100" s="195"/>
      <c r="EW100" s="195"/>
      <c r="EX100" s="195"/>
      <c r="EY100" s="195"/>
      <c r="EZ100" s="195"/>
      <c r="FA100" s="195"/>
      <c r="FB100" s="195"/>
      <c r="FC100" s="195"/>
      <c r="FD100" s="195"/>
      <c r="FE100" s="195"/>
      <c r="FF100" s="195"/>
      <c r="FG100" s="195"/>
      <c r="FH100" s="12">
        <v>69</v>
      </c>
      <c r="FI100" s="195"/>
      <c r="FJ100" s="195"/>
      <c r="FK100" s="195"/>
      <c r="FL100" s="195"/>
      <c r="FM100" s="195"/>
      <c r="FN100" s="195"/>
      <c r="FO100" s="195"/>
      <c r="FP100" s="195"/>
      <c r="FQ100" s="195"/>
      <c r="FR100" s="195"/>
      <c r="FS100" s="195"/>
      <c r="FT100" s="195"/>
      <c r="FU100" s="195"/>
      <c r="FV100" s="195"/>
      <c r="FW100" s="195"/>
      <c r="FX100" s="195"/>
      <c r="FY100" s="195"/>
    </row>
    <row r="101" spans="2:181" x14ac:dyDescent="0.25">
      <c r="B101" s="12">
        <v>70</v>
      </c>
      <c r="C101" s="195"/>
      <c r="D101" s="195"/>
      <c r="E101" s="195"/>
      <c r="F101" s="195"/>
      <c r="G101" s="195"/>
      <c r="H101" s="195"/>
      <c r="I101" s="195"/>
      <c r="J101" s="195"/>
      <c r="K101" s="195"/>
      <c r="L101" s="195"/>
      <c r="M101" s="195"/>
      <c r="N101" s="195"/>
      <c r="O101" s="195"/>
      <c r="P101" s="195"/>
      <c r="Q101" s="195"/>
      <c r="R101" s="195"/>
      <c r="S101" s="195"/>
      <c r="T101" s="12">
        <v>70</v>
      </c>
      <c r="U101" s="195"/>
      <c r="V101" s="195"/>
      <c r="W101" s="195"/>
      <c r="X101" s="195"/>
      <c r="Y101" s="195"/>
      <c r="Z101" s="195"/>
      <c r="AA101" s="195"/>
      <c r="AB101" s="195"/>
      <c r="AC101" s="195"/>
      <c r="AD101" s="195"/>
      <c r="AE101" s="195"/>
      <c r="AF101" s="195"/>
      <c r="AG101" s="195"/>
      <c r="AH101" s="195"/>
      <c r="AI101" s="195"/>
      <c r="AJ101" s="195"/>
      <c r="AK101" s="195"/>
      <c r="AL101" s="12">
        <v>70</v>
      </c>
      <c r="AM101" s="195"/>
      <c r="AN101" s="195"/>
      <c r="AO101" s="195"/>
      <c r="AP101" s="195"/>
      <c r="AQ101" s="195"/>
      <c r="AR101" s="195"/>
      <c r="AS101" s="195"/>
      <c r="AT101" s="195"/>
      <c r="AU101" s="195"/>
      <c r="AV101" s="195"/>
      <c r="AW101" s="195"/>
      <c r="AX101" s="195"/>
      <c r="AY101" s="195"/>
      <c r="AZ101" s="195"/>
      <c r="BA101" s="195"/>
      <c r="BB101" s="195"/>
      <c r="BC101" s="195"/>
      <c r="BD101" s="12">
        <v>70</v>
      </c>
      <c r="BE101" s="195"/>
      <c r="BF101" s="195"/>
      <c r="BG101" s="195"/>
      <c r="BH101" s="195"/>
      <c r="BI101" s="195"/>
      <c r="BJ101" s="195"/>
      <c r="BK101" s="195"/>
      <c r="BL101" s="195"/>
      <c r="BM101" s="195"/>
      <c r="BN101" s="195"/>
      <c r="BO101" s="195"/>
      <c r="BP101" s="195"/>
      <c r="BQ101" s="195"/>
      <c r="BR101" s="195"/>
      <c r="BS101" s="195"/>
      <c r="BT101" s="195"/>
      <c r="BU101" s="195"/>
      <c r="BV101" s="12">
        <v>70</v>
      </c>
      <c r="BW101" s="195"/>
      <c r="BX101" s="195"/>
      <c r="BY101" s="195"/>
      <c r="BZ101" s="195"/>
      <c r="CA101" s="195"/>
      <c r="CB101" s="195"/>
      <c r="CC101" s="195"/>
      <c r="CD101" s="195"/>
      <c r="CE101" s="195"/>
      <c r="CF101" s="195"/>
      <c r="CG101" s="195"/>
      <c r="CH101" s="195"/>
      <c r="CI101" s="195"/>
      <c r="CJ101" s="195"/>
      <c r="CK101" s="195"/>
      <c r="CL101" s="195"/>
      <c r="CM101" s="195"/>
      <c r="CN101" s="12">
        <v>70</v>
      </c>
      <c r="CO101" s="195"/>
      <c r="CP101" s="195"/>
      <c r="CQ101" s="195"/>
      <c r="CR101" s="195"/>
      <c r="CS101" s="195"/>
      <c r="CT101" s="195"/>
      <c r="CU101" s="195"/>
      <c r="CV101" s="195"/>
      <c r="CW101" s="195"/>
      <c r="CX101" s="195"/>
      <c r="CY101" s="195"/>
      <c r="CZ101" s="195"/>
      <c r="DA101" s="195"/>
      <c r="DB101" s="195"/>
      <c r="DC101" s="195"/>
      <c r="DD101" s="195"/>
      <c r="DE101" s="195"/>
      <c r="DF101" s="12">
        <v>70</v>
      </c>
      <c r="DG101" s="195"/>
      <c r="DH101" s="195"/>
      <c r="DI101" s="195"/>
      <c r="DJ101" s="195"/>
      <c r="DK101" s="195"/>
      <c r="DL101" s="195"/>
      <c r="DM101" s="195"/>
      <c r="DN101" s="195"/>
      <c r="DO101" s="195"/>
      <c r="DP101" s="195"/>
      <c r="DQ101" s="195"/>
      <c r="DR101" s="195"/>
      <c r="DS101" s="195"/>
      <c r="DT101" s="195"/>
      <c r="DU101" s="195"/>
      <c r="DV101" s="195"/>
      <c r="DW101" s="195"/>
      <c r="DX101" s="12">
        <v>70</v>
      </c>
      <c r="DY101" s="195"/>
      <c r="DZ101" s="195"/>
      <c r="EA101" s="195"/>
      <c r="EB101" s="195"/>
      <c r="EC101" s="195"/>
      <c r="ED101" s="195"/>
      <c r="EE101" s="195"/>
      <c r="EF101" s="195"/>
      <c r="EG101" s="195"/>
      <c r="EH101" s="195"/>
      <c r="EI101" s="195"/>
      <c r="EJ101" s="195"/>
      <c r="EK101" s="195"/>
      <c r="EL101" s="195"/>
      <c r="EM101" s="195"/>
      <c r="EN101" s="195"/>
      <c r="EO101" s="195"/>
      <c r="EP101" s="12">
        <v>70</v>
      </c>
      <c r="EQ101" s="195"/>
      <c r="ER101" s="195"/>
      <c r="ES101" s="195"/>
      <c r="ET101" s="195"/>
      <c r="EU101" s="195"/>
      <c r="EV101" s="195"/>
      <c r="EW101" s="195"/>
      <c r="EX101" s="195"/>
      <c r="EY101" s="195"/>
      <c r="EZ101" s="195"/>
      <c r="FA101" s="195"/>
      <c r="FB101" s="195"/>
      <c r="FC101" s="195"/>
      <c r="FD101" s="195"/>
      <c r="FE101" s="195"/>
      <c r="FF101" s="195"/>
      <c r="FG101" s="195"/>
      <c r="FH101" s="12">
        <v>70</v>
      </c>
      <c r="FI101" s="195"/>
      <c r="FJ101" s="195"/>
      <c r="FK101" s="195"/>
      <c r="FL101" s="195"/>
      <c r="FM101" s="195"/>
      <c r="FN101" s="195"/>
      <c r="FO101" s="195"/>
      <c r="FP101" s="195"/>
      <c r="FQ101" s="195"/>
      <c r="FR101" s="195"/>
      <c r="FS101" s="195"/>
      <c r="FT101" s="195"/>
      <c r="FU101" s="195"/>
      <c r="FV101" s="195"/>
      <c r="FW101" s="195"/>
      <c r="FX101" s="195"/>
      <c r="FY101" s="195"/>
    </row>
    <row r="102" spans="2:181" x14ac:dyDescent="0.25">
      <c r="B102" s="12">
        <v>71</v>
      </c>
      <c r="C102" s="195"/>
      <c r="D102" s="195"/>
      <c r="E102" s="195"/>
      <c r="F102" s="195"/>
      <c r="G102" s="195"/>
      <c r="H102" s="195"/>
      <c r="I102" s="195"/>
      <c r="J102" s="195"/>
      <c r="K102" s="195"/>
      <c r="L102" s="195"/>
      <c r="M102" s="195"/>
      <c r="N102" s="195"/>
      <c r="O102" s="195"/>
      <c r="P102" s="195"/>
      <c r="Q102" s="195"/>
      <c r="R102" s="195"/>
      <c r="S102" s="195"/>
      <c r="T102" s="12">
        <v>71</v>
      </c>
      <c r="U102" s="195"/>
      <c r="V102" s="195"/>
      <c r="W102" s="195"/>
      <c r="X102" s="195"/>
      <c r="Y102" s="195"/>
      <c r="Z102" s="195"/>
      <c r="AA102" s="195"/>
      <c r="AB102" s="195"/>
      <c r="AC102" s="195"/>
      <c r="AD102" s="195"/>
      <c r="AE102" s="195"/>
      <c r="AF102" s="195"/>
      <c r="AG102" s="195"/>
      <c r="AH102" s="195"/>
      <c r="AI102" s="195"/>
      <c r="AJ102" s="195"/>
      <c r="AK102" s="195"/>
      <c r="AL102" s="12">
        <v>71</v>
      </c>
      <c r="AM102" s="195"/>
      <c r="AN102" s="195"/>
      <c r="AO102" s="195"/>
      <c r="AP102" s="195"/>
      <c r="AQ102" s="195"/>
      <c r="AR102" s="195"/>
      <c r="AS102" s="195"/>
      <c r="AT102" s="195"/>
      <c r="AU102" s="195"/>
      <c r="AV102" s="195"/>
      <c r="AW102" s="195"/>
      <c r="AX102" s="195"/>
      <c r="AY102" s="195"/>
      <c r="AZ102" s="195"/>
      <c r="BA102" s="195"/>
      <c r="BB102" s="195"/>
      <c r="BC102" s="195"/>
      <c r="BD102" s="12">
        <v>71</v>
      </c>
      <c r="BE102" s="195"/>
      <c r="BF102" s="195"/>
      <c r="BG102" s="195"/>
      <c r="BH102" s="195"/>
      <c r="BI102" s="195"/>
      <c r="BJ102" s="195"/>
      <c r="BK102" s="195"/>
      <c r="BL102" s="195"/>
      <c r="BM102" s="195"/>
      <c r="BN102" s="195"/>
      <c r="BO102" s="195"/>
      <c r="BP102" s="195"/>
      <c r="BQ102" s="195"/>
      <c r="BR102" s="195"/>
      <c r="BS102" s="195"/>
      <c r="BT102" s="195"/>
      <c r="BU102" s="195"/>
      <c r="BV102" s="12">
        <v>71</v>
      </c>
      <c r="BW102" s="195"/>
      <c r="BX102" s="195"/>
      <c r="BY102" s="195"/>
      <c r="BZ102" s="195"/>
      <c r="CA102" s="195"/>
      <c r="CB102" s="195"/>
      <c r="CC102" s="195"/>
      <c r="CD102" s="195"/>
      <c r="CE102" s="195"/>
      <c r="CF102" s="195"/>
      <c r="CG102" s="195"/>
      <c r="CH102" s="195"/>
      <c r="CI102" s="195"/>
      <c r="CJ102" s="195"/>
      <c r="CK102" s="195"/>
      <c r="CL102" s="195"/>
      <c r="CM102" s="195"/>
      <c r="CN102" s="12">
        <v>71</v>
      </c>
      <c r="CO102" s="195"/>
      <c r="CP102" s="195"/>
      <c r="CQ102" s="195"/>
      <c r="CR102" s="195"/>
      <c r="CS102" s="195"/>
      <c r="CT102" s="195"/>
      <c r="CU102" s="195"/>
      <c r="CV102" s="195"/>
      <c r="CW102" s="195"/>
      <c r="CX102" s="195"/>
      <c r="CY102" s="195"/>
      <c r="CZ102" s="195"/>
      <c r="DA102" s="195"/>
      <c r="DB102" s="195"/>
      <c r="DC102" s="195"/>
      <c r="DD102" s="195"/>
      <c r="DE102" s="195"/>
      <c r="DF102" s="12">
        <v>71</v>
      </c>
      <c r="DG102" s="195"/>
      <c r="DH102" s="195"/>
      <c r="DI102" s="195"/>
      <c r="DJ102" s="195"/>
      <c r="DK102" s="195"/>
      <c r="DL102" s="195"/>
      <c r="DM102" s="195"/>
      <c r="DN102" s="195"/>
      <c r="DO102" s="195"/>
      <c r="DP102" s="195"/>
      <c r="DQ102" s="195"/>
      <c r="DR102" s="195"/>
      <c r="DS102" s="195"/>
      <c r="DT102" s="195"/>
      <c r="DU102" s="195"/>
      <c r="DV102" s="195"/>
      <c r="DW102" s="195"/>
      <c r="DX102" s="12">
        <v>71</v>
      </c>
      <c r="DY102" s="195"/>
      <c r="DZ102" s="195"/>
      <c r="EA102" s="195"/>
      <c r="EB102" s="195"/>
      <c r="EC102" s="195"/>
      <c r="ED102" s="195"/>
      <c r="EE102" s="195"/>
      <c r="EF102" s="195"/>
      <c r="EG102" s="195"/>
      <c r="EH102" s="195"/>
      <c r="EI102" s="195"/>
      <c r="EJ102" s="195"/>
      <c r="EK102" s="195"/>
      <c r="EL102" s="195"/>
      <c r="EM102" s="195"/>
      <c r="EN102" s="195"/>
      <c r="EO102" s="195"/>
      <c r="EP102" s="12">
        <v>71</v>
      </c>
      <c r="EQ102" s="195"/>
      <c r="ER102" s="195"/>
      <c r="ES102" s="195"/>
      <c r="ET102" s="195"/>
      <c r="EU102" s="195"/>
      <c r="EV102" s="195"/>
      <c r="EW102" s="195"/>
      <c r="EX102" s="195"/>
      <c r="EY102" s="195"/>
      <c r="EZ102" s="195"/>
      <c r="FA102" s="195"/>
      <c r="FB102" s="195"/>
      <c r="FC102" s="195"/>
      <c r="FD102" s="195"/>
      <c r="FE102" s="195"/>
      <c r="FF102" s="195"/>
      <c r="FG102" s="195"/>
      <c r="FH102" s="12">
        <v>71</v>
      </c>
      <c r="FI102" s="195"/>
      <c r="FJ102" s="195"/>
      <c r="FK102" s="195"/>
      <c r="FL102" s="195"/>
      <c r="FM102" s="195"/>
      <c r="FN102" s="195"/>
      <c r="FO102" s="195"/>
      <c r="FP102" s="195"/>
      <c r="FQ102" s="195"/>
      <c r="FR102" s="195"/>
      <c r="FS102" s="195"/>
      <c r="FT102" s="195"/>
      <c r="FU102" s="195"/>
      <c r="FV102" s="195"/>
      <c r="FW102" s="195"/>
      <c r="FX102" s="195"/>
      <c r="FY102" s="195"/>
    </row>
    <row r="103" spans="2:181" x14ac:dyDescent="0.25">
      <c r="B103" s="12">
        <v>72</v>
      </c>
      <c r="C103" s="195"/>
      <c r="D103" s="195"/>
      <c r="E103" s="195"/>
      <c r="F103" s="195"/>
      <c r="G103" s="195"/>
      <c r="H103" s="195"/>
      <c r="I103" s="195"/>
      <c r="J103" s="195"/>
      <c r="K103" s="195"/>
      <c r="L103" s="195"/>
      <c r="M103" s="195"/>
      <c r="N103" s="195"/>
      <c r="O103" s="195"/>
      <c r="P103" s="195"/>
      <c r="Q103" s="195"/>
      <c r="R103" s="195"/>
      <c r="S103" s="195"/>
      <c r="T103" s="12">
        <v>72</v>
      </c>
      <c r="U103" s="195"/>
      <c r="V103" s="195"/>
      <c r="W103" s="195"/>
      <c r="X103" s="195"/>
      <c r="Y103" s="195"/>
      <c r="Z103" s="195"/>
      <c r="AA103" s="195"/>
      <c r="AB103" s="195"/>
      <c r="AC103" s="195"/>
      <c r="AD103" s="195"/>
      <c r="AE103" s="195"/>
      <c r="AF103" s="195"/>
      <c r="AG103" s="195"/>
      <c r="AH103" s="195"/>
      <c r="AI103" s="195"/>
      <c r="AJ103" s="195"/>
      <c r="AK103" s="195"/>
      <c r="AL103" s="12">
        <v>72</v>
      </c>
      <c r="AM103" s="195"/>
      <c r="AN103" s="195"/>
      <c r="AO103" s="195"/>
      <c r="AP103" s="195"/>
      <c r="AQ103" s="195"/>
      <c r="AR103" s="195"/>
      <c r="AS103" s="195"/>
      <c r="AT103" s="195"/>
      <c r="AU103" s="195"/>
      <c r="AV103" s="195"/>
      <c r="AW103" s="195"/>
      <c r="AX103" s="195"/>
      <c r="AY103" s="195"/>
      <c r="AZ103" s="195"/>
      <c r="BA103" s="195"/>
      <c r="BB103" s="195"/>
      <c r="BC103" s="195"/>
      <c r="BD103" s="12">
        <v>72</v>
      </c>
      <c r="BE103" s="195"/>
      <c r="BF103" s="195"/>
      <c r="BG103" s="195"/>
      <c r="BH103" s="195"/>
      <c r="BI103" s="195"/>
      <c r="BJ103" s="195"/>
      <c r="BK103" s="195"/>
      <c r="BL103" s="195"/>
      <c r="BM103" s="195"/>
      <c r="BN103" s="195"/>
      <c r="BO103" s="195"/>
      <c r="BP103" s="195"/>
      <c r="BQ103" s="195"/>
      <c r="BR103" s="195"/>
      <c r="BS103" s="195"/>
      <c r="BT103" s="195"/>
      <c r="BU103" s="195"/>
      <c r="BV103" s="12">
        <v>72</v>
      </c>
      <c r="BW103" s="195"/>
      <c r="BX103" s="195"/>
      <c r="BY103" s="195"/>
      <c r="BZ103" s="195"/>
      <c r="CA103" s="195"/>
      <c r="CB103" s="195"/>
      <c r="CC103" s="195"/>
      <c r="CD103" s="195"/>
      <c r="CE103" s="195"/>
      <c r="CF103" s="195"/>
      <c r="CG103" s="195"/>
      <c r="CH103" s="195"/>
      <c r="CI103" s="195"/>
      <c r="CJ103" s="195"/>
      <c r="CK103" s="195"/>
      <c r="CL103" s="195"/>
      <c r="CM103" s="195"/>
      <c r="CN103" s="12">
        <v>72</v>
      </c>
      <c r="CO103" s="195"/>
      <c r="CP103" s="195"/>
      <c r="CQ103" s="195"/>
      <c r="CR103" s="195"/>
      <c r="CS103" s="195"/>
      <c r="CT103" s="195"/>
      <c r="CU103" s="195"/>
      <c r="CV103" s="195"/>
      <c r="CW103" s="195"/>
      <c r="CX103" s="195"/>
      <c r="CY103" s="195"/>
      <c r="CZ103" s="195"/>
      <c r="DA103" s="195"/>
      <c r="DB103" s="195"/>
      <c r="DC103" s="195"/>
      <c r="DD103" s="195"/>
      <c r="DE103" s="195"/>
      <c r="DF103" s="12">
        <v>72</v>
      </c>
      <c r="DG103" s="195"/>
      <c r="DH103" s="195"/>
      <c r="DI103" s="195"/>
      <c r="DJ103" s="195"/>
      <c r="DK103" s="195"/>
      <c r="DL103" s="195"/>
      <c r="DM103" s="195"/>
      <c r="DN103" s="195"/>
      <c r="DO103" s="195"/>
      <c r="DP103" s="195"/>
      <c r="DQ103" s="195"/>
      <c r="DR103" s="195"/>
      <c r="DS103" s="195"/>
      <c r="DT103" s="195"/>
      <c r="DU103" s="195"/>
      <c r="DV103" s="195"/>
      <c r="DW103" s="195"/>
      <c r="DX103" s="12">
        <v>72</v>
      </c>
      <c r="DY103" s="195"/>
      <c r="DZ103" s="195"/>
      <c r="EA103" s="195"/>
      <c r="EB103" s="195"/>
      <c r="EC103" s="195"/>
      <c r="ED103" s="195"/>
      <c r="EE103" s="195"/>
      <c r="EF103" s="195"/>
      <c r="EG103" s="195"/>
      <c r="EH103" s="195"/>
      <c r="EI103" s="195"/>
      <c r="EJ103" s="195"/>
      <c r="EK103" s="195"/>
      <c r="EL103" s="195"/>
      <c r="EM103" s="195"/>
      <c r="EN103" s="195"/>
      <c r="EO103" s="195"/>
      <c r="EP103" s="12">
        <v>72</v>
      </c>
      <c r="EQ103" s="195"/>
      <c r="ER103" s="195"/>
      <c r="ES103" s="195"/>
      <c r="ET103" s="195"/>
      <c r="EU103" s="195"/>
      <c r="EV103" s="195"/>
      <c r="EW103" s="195"/>
      <c r="EX103" s="195"/>
      <c r="EY103" s="195"/>
      <c r="EZ103" s="195"/>
      <c r="FA103" s="195"/>
      <c r="FB103" s="195"/>
      <c r="FC103" s="195"/>
      <c r="FD103" s="195"/>
      <c r="FE103" s="195"/>
      <c r="FF103" s="195"/>
      <c r="FG103" s="195"/>
      <c r="FH103" s="12">
        <v>72</v>
      </c>
      <c r="FI103" s="195"/>
      <c r="FJ103" s="195"/>
      <c r="FK103" s="195"/>
      <c r="FL103" s="195"/>
      <c r="FM103" s="195"/>
      <c r="FN103" s="195"/>
      <c r="FO103" s="195"/>
      <c r="FP103" s="195"/>
      <c r="FQ103" s="195"/>
      <c r="FR103" s="195"/>
      <c r="FS103" s="195"/>
      <c r="FT103" s="195"/>
      <c r="FU103" s="195"/>
      <c r="FV103" s="195"/>
      <c r="FW103" s="195"/>
      <c r="FX103" s="195"/>
      <c r="FY103" s="195"/>
    </row>
    <row r="104" spans="2:181" x14ac:dyDescent="0.25">
      <c r="B104" s="12">
        <v>73</v>
      </c>
      <c r="C104" s="195"/>
      <c r="D104" s="195"/>
      <c r="E104" s="195"/>
      <c r="F104" s="195"/>
      <c r="G104" s="195"/>
      <c r="H104" s="195"/>
      <c r="I104" s="195"/>
      <c r="J104" s="195"/>
      <c r="K104" s="195"/>
      <c r="L104" s="195"/>
      <c r="M104" s="195"/>
      <c r="N104" s="195"/>
      <c r="O104" s="195"/>
      <c r="P104" s="195"/>
      <c r="Q104" s="195"/>
      <c r="R104" s="195"/>
      <c r="S104" s="195"/>
      <c r="T104" s="12">
        <v>73</v>
      </c>
      <c r="U104" s="195"/>
      <c r="V104" s="195"/>
      <c r="W104" s="195"/>
      <c r="X104" s="195"/>
      <c r="Y104" s="195"/>
      <c r="Z104" s="195"/>
      <c r="AA104" s="195"/>
      <c r="AB104" s="195"/>
      <c r="AC104" s="195"/>
      <c r="AD104" s="195"/>
      <c r="AE104" s="195"/>
      <c r="AF104" s="195"/>
      <c r="AG104" s="195"/>
      <c r="AH104" s="195"/>
      <c r="AI104" s="195"/>
      <c r="AJ104" s="195"/>
      <c r="AK104" s="195"/>
      <c r="AL104" s="12">
        <v>73</v>
      </c>
      <c r="AM104" s="195"/>
      <c r="AN104" s="195"/>
      <c r="AO104" s="195"/>
      <c r="AP104" s="195"/>
      <c r="AQ104" s="195"/>
      <c r="AR104" s="195"/>
      <c r="AS104" s="195"/>
      <c r="AT104" s="195"/>
      <c r="AU104" s="195"/>
      <c r="AV104" s="195"/>
      <c r="AW104" s="195"/>
      <c r="AX104" s="195"/>
      <c r="AY104" s="195"/>
      <c r="AZ104" s="195"/>
      <c r="BA104" s="195"/>
      <c r="BB104" s="195"/>
      <c r="BC104" s="195"/>
      <c r="BD104" s="12">
        <v>73</v>
      </c>
      <c r="BE104" s="195"/>
      <c r="BF104" s="195"/>
      <c r="BG104" s="195"/>
      <c r="BH104" s="195"/>
      <c r="BI104" s="195"/>
      <c r="BJ104" s="195"/>
      <c r="BK104" s="195"/>
      <c r="BL104" s="195"/>
      <c r="BM104" s="195"/>
      <c r="BN104" s="195"/>
      <c r="BO104" s="195"/>
      <c r="BP104" s="195"/>
      <c r="BQ104" s="195"/>
      <c r="BR104" s="195"/>
      <c r="BS104" s="195"/>
      <c r="BT104" s="195"/>
      <c r="BU104" s="195"/>
      <c r="BV104" s="12">
        <v>73</v>
      </c>
      <c r="BW104" s="195"/>
      <c r="BX104" s="195"/>
      <c r="BY104" s="195"/>
      <c r="BZ104" s="195"/>
      <c r="CA104" s="195"/>
      <c r="CB104" s="195"/>
      <c r="CC104" s="195"/>
      <c r="CD104" s="195"/>
      <c r="CE104" s="195"/>
      <c r="CF104" s="195"/>
      <c r="CG104" s="195"/>
      <c r="CH104" s="195"/>
      <c r="CI104" s="195"/>
      <c r="CJ104" s="195"/>
      <c r="CK104" s="195"/>
      <c r="CL104" s="195"/>
      <c r="CM104" s="195"/>
      <c r="CN104" s="12">
        <v>73</v>
      </c>
      <c r="CO104" s="195"/>
      <c r="CP104" s="195"/>
      <c r="CQ104" s="195"/>
      <c r="CR104" s="195"/>
      <c r="CS104" s="195"/>
      <c r="CT104" s="195"/>
      <c r="CU104" s="195"/>
      <c r="CV104" s="195"/>
      <c r="CW104" s="195"/>
      <c r="CX104" s="195"/>
      <c r="CY104" s="195"/>
      <c r="CZ104" s="195"/>
      <c r="DA104" s="195"/>
      <c r="DB104" s="195"/>
      <c r="DC104" s="195"/>
      <c r="DD104" s="195"/>
      <c r="DE104" s="195"/>
      <c r="DF104" s="12">
        <v>73</v>
      </c>
      <c r="DG104" s="195"/>
      <c r="DH104" s="195"/>
      <c r="DI104" s="195"/>
      <c r="DJ104" s="195"/>
      <c r="DK104" s="195"/>
      <c r="DL104" s="195"/>
      <c r="DM104" s="195"/>
      <c r="DN104" s="195"/>
      <c r="DO104" s="195"/>
      <c r="DP104" s="195"/>
      <c r="DQ104" s="195"/>
      <c r="DR104" s="195"/>
      <c r="DS104" s="195"/>
      <c r="DT104" s="195"/>
      <c r="DU104" s="195"/>
      <c r="DV104" s="195"/>
      <c r="DW104" s="195"/>
      <c r="DX104" s="12">
        <v>73</v>
      </c>
      <c r="DY104" s="195"/>
      <c r="DZ104" s="195"/>
      <c r="EA104" s="195"/>
      <c r="EB104" s="195"/>
      <c r="EC104" s="195"/>
      <c r="ED104" s="195"/>
      <c r="EE104" s="195"/>
      <c r="EF104" s="195"/>
      <c r="EG104" s="195"/>
      <c r="EH104" s="195"/>
      <c r="EI104" s="195"/>
      <c r="EJ104" s="195"/>
      <c r="EK104" s="195"/>
      <c r="EL104" s="195"/>
      <c r="EM104" s="195"/>
      <c r="EN104" s="195"/>
      <c r="EO104" s="195"/>
      <c r="EP104" s="12">
        <v>73</v>
      </c>
      <c r="EQ104" s="195"/>
      <c r="ER104" s="195"/>
      <c r="ES104" s="195"/>
      <c r="ET104" s="195"/>
      <c r="EU104" s="195"/>
      <c r="EV104" s="195"/>
      <c r="EW104" s="195"/>
      <c r="EX104" s="195"/>
      <c r="EY104" s="195"/>
      <c r="EZ104" s="195"/>
      <c r="FA104" s="195"/>
      <c r="FB104" s="195"/>
      <c r="FC104" s="195"/>
      <c r="FD104" s="195"/>
      <c r="FE104" s="195"/>
      <c r="FF104" s="195"/>
      <c r="FG104" s="195"/>
      <c r="FH104" s="12">
        <v>73</v>
      </c>
      <c r="FI104" s="195"/>
      <c r="FJ104" s="195"/>
      <c r="FK104" s="195"/>
      <c r="FL104" s="195"/>
      <c r="FM104" s="195"/>
      <c r="FN104" s="195"/>
      <c r="FO104" s="195"/>
      <c r="FP104" s="195"/>
      <c r="FQ104" s="195"/>
      <c r="FR104" s="195"/>
      <c r="FS104" s="195"/>
      <c r="FT104" s="195"/>
      <c r="FU104" s="195"/>
      <c r="FV104" s="195"/>
      <c r="FW104" s="195"/>
      <c r="FX104" s="195"/>
      <c r="FY104" s="195"/>
    </row>
    <row r="105" spans="2:181" x14ac:dyDescent="0.25">
      <c r="B105" s="12">
        <v>74</v>
      </c>
      <c r="C105" s="195"/>
      <c r="D105" s="195"/>
      <c r="E105" s="195"/>
      <c r="F105" s="195"/>
      <c r="G105" s="195"/>
      <c r="H105" s="195"/>
      <c r="I105" s="195"/>
      <c r="J105" s="195"/>
      <c r="K105" s="195"/>
      <c r="L105" s="195"/>
      <c r="M105" s="195"/>
      <c r="N105" s="195"/>
      <c r="O105" s="195"/>
      <c r="P105" s="195"/>
      <c r="Q105" s="195"/>
      <c r="R105" s="195"/>
      <c r="S105" s="195"/>
      <c r="T105" s="12">
        <v>74</v>
      </c>
      <c r="U105" s="195"/>
      <c r="V105" s="195"/>
      <c r="W105" s="195"/>
      <c r="X105" s="195"/>
      <c r="Y105" s="195"/>
      <c r="Z105" s="195"/>
      <c r="AA105" s="195"/>
      <c r="AB105" s="195"/>
      <c r="AC105" s="195"/>
      <c r="AD105" s="195"/>
      <c r="AE105" s="195"/>
      <c r="AF105" s="195"/>
      <c r="AG105" s="195"/>
      <c r="AH105" s="195"/>
      <c r="AI105" s="195"/>
      <c r="AJ105" s="195"/>
      <c r="AK105" s="195"/>
      <c r="AL105" s="12">
        <v>74</v>
      </c>
      <c r="AM105" s="195"/>
      <c r="AN105" s="195"/>
      <c r="AO105" s="195"/>
      <c r="AP105" s="195"/>
      <c r="AQ105" s="195"/>
      <c r="AR105" s="195"/>
      <c r="AS105" s="195"/>
      <c r="AT105" s="195"/>
      <c r="AU105" s="195"/>
      <c r="AV105" s="195"/>
      <c r="AW105" s="195"/>
      <c r="AX105" s="195"/>
      <c r="AY105" s="195"/>
      <c r="AZ105" s="195"/>
      <c r="BA105" s="195"/>
      <c r="BB105" s="195"/>
      <c r="BC105" s="195"/>
      <c r="BD105" s="12">
        <v>74</v>
      </c>
      <c r="BE105" s="195"/>
      <c r="BF105" s="195"/>
      <c r="BG105" s="195"/>
      <c r="BH105" s="195"/>
      <c r="BI105" s="195"/>
      <c r="BJ105" s="195"/>
      <c r="BK105" s="195"/>
      <c r="BL105" s="195"/>
      <c r="BM105" s="195"/>
      <c r="BN105" s="195"/>
      <c r="BO105" s="195"/>
      <c r="BP105" s="195"/>
      <c r="BQ105" s="195"/>
      <c r="BR105" s="195"/>
      <c r="BS105" s="195"/>
      <c r="BT105" s="195"/>
      <c r="BU105" s="195"/>
      <c r="BV105" s="12">
        <v>74</v>
      </c>
      <c r="BW105" s="195"/>
      <c r="BX105" s="195"/>
      <c r="BY105" s="195"/>
      <c r="BZ105" s="195"/>
      <c r="CA105" s="195"/>
      <c r="CB105" s="195"/>
      <c r="CC105" s="195"/>
      <c r="CD105" s="195"/>
      <c r="CE105" s="195"/>
      <c r="CF105" s="195"/>
      <c r="CG105" s="195"/>
      <c r="CH105" s="195"/>
      <c r="CI105" s="195"/>
      <c r="CJ105" s="195"/>
      <c r="CK105" s="195"/>
      <c r="CL105" s="195"/>
      <c r="CM105" s="195"/>
      <c r="CN105" s="12">
        <v>74</v>
      </c>
      <c r="CO105" s="195"/>
      <c r="CP105" s="195"/>
      <c r="CQ105" s="195"/>
      <c r="CR105" s="195"/>
      <c r="CS105" s="195"/>
      <c r="CT105" s="195"/>
      <c r="CU105" s="195"/>
      <c r="CV105" s="195"/>
      <c r="CW105" s="195"/>
      <c r="CX105" s="195"/>
      <c r="CY105" s="195"/>
      <c r="CZ105" s="195"/>
      <c r="DA105" s="195"/>
      <c r="DB105" s="195"/>
      <c r="DC105" s="195"/>
      <c r="DD105" s="195"/>
      <c r="DE105" s="195"/>
      <c r="DF105" s="12">
        <v>74</v>
      </c>
      <c r="DG105" s="195"/>
      <c r="DH105" s="195"/>
      <c r="DI105" s="195"/>
      <c r="DJ105" s="195"/>
      <c r="DK105" s="195"/>
      <c r="DL105" s="195"/>
      <c r="DM105" s="195"/>
      <c r="DN105" s="195"/>
      <c r="DO105" s="195"/>
      <c r="DP105" s="195"/>
      <c r="DQ105" s="195"/>
      <c r="DR105" s="195"/>
      <c r="DS105" s="195"/>
      <c r="DT105" s="195"/>
      <c r="DU105" s="195"/>
      <c r="DV105" s="195"/>
      <c r="DW105" s="195"/>
      <c r="DX105" s="12">
        <v>74</v>
      </c>
      <c r="DY105" s="195"/>
      <c r="DZ105" s="195"/>
      <c r="EA105" s="195"/>
      <c r="EB105" s="195"/>
      <c r="EC105" s="195"/>
      <c r="ED105" s="195"/>
      <c r="EE105" s="195"/>
      <c r="EF105" s="195"/>
      <c r="EG105" s="195"/>
      <c r="EH105" s="195"/>
      <c r="EI105" s="195"/>
      <c r="EJ105" s="195"/>
      <c r="EK105" s="195"/>
      <c r="EL105" s="195"/>
      <c r="EM105" s="195"/>
      <c r="EN105" s="195"/>
      <c r="EO105" s="195"/>
      <c r="EP105" s="12">
        <v>74</v>
      </c>
      <c r="EQ105" s="195"/>
      <c r="ER105" s="195"/>
      <c r="ES105" s="195"/>
      <c r="ET105" s="195"/>
      <c r="EU105" s="195"/>
      <c r="EV105" s="195"/>
      <c r="EW105" s="195"/>
      <c r="EX105" s="195"/>
      <c r="EY105" s="195"/>
      <c r="EZ105" s="195"/>
      <c r="FA105" s="195"/>
      <c r="FB105" s="195"/>
      <c r="FC105" s="195"/>
      <c r="FD105" s="195"/>
      <c r="FE105" s="195"/>
      <c r="FF105" s="195"/>
      <c r="FG105" s="195"/>
      <c r="FH105" s="12">
        <v>74</v>
      </c>
      <c r="FI105" s="195"/>
      <c r="FJ105" s="195"/>
      <c r="FK105" s="195"/>
      <c r="FL105" s="195"/>
      <c r="FM105" s="195"/>
      <c r="FN105" s="195"/>
      <c r="FO105" s="195"/>
      <c r="FP105" s="195"/>
      <c r="FQ105" s="195"/>
      <c r="FR105" s="195"/>
      <c r="FS105" s="195"/>
      <c r="FT105" s="195"/>
      <c r="FU105" s="195"/>
      <c r="FV105" s="195"/>
      <c r="FW105" s="195"/>
      <c r="FX105" s="195"/>
      <c r="FY105" s="195"/>
    </row>
    <row r="106" spans="2:181" x14ac:dyDescent="0.25">
      <c r="B106" s="12">
        <v>75</v>
      </c>
      <c r="C106" s="195"/>
      <c r="D106" s="195"/>
      <c r="E106" s="195"/>
      <c r="F106" s="195"/>
      <c r="G106" s="195"/>
      <c r="H106" s="195"/>
      <c r="I106" s="195"/>
      <c r="J106" s="195"/>
      <c r="K106" s="195"/>
      <c r="L106" s="195"/>
      <c r="M106" s="195"/>
      <c r="N106" s="195"/>
      <c r="O106" s="195"/>
      <c r="P106" s="195"/>
      <c r="Q106" s="195"/>
      <c r="R106" s="195"/>
      <c r="S106" s="195"/>
      <c r="T106" s="12">
        <v>75</v>
      </c>
      <c r="U106" s="195"/>
      <c r="V106" s="195"/>
      <c r="W106" s="195"/>
      <c r="X106" s="195"/>
      <c r="Y106" s="195"/>
      <c r="Z106" s="195"/>
      <c r="AA106" s="195"/>
      <c r="AB106" s="195"/>
      <c r="AC106" s="195"/>
      <c r="AD106" s="195"/>
      <c r="AE106" s="195"/>
      <c r="AF106" s="195"/>
      <c r="AG106" s="195"/>
      <c r="AH106" s="195"/>
      <c r="AI106" s="195"/>
      <c r="AJ106" s="195"/>
      <c r="AK106" s="195"/>
      <c r="AL106" s="12">
        <v>75</v>
      </c>
      <c r="AM106" s="195"/>
      <c r="AN106" s="195"/>
      <c r="AO106" s="195"/>
      <c r="AP106" s="195"/>
      <c r="AQ106" s="195"/>
      <c r="AR106" s="195"/>
      <c r="AS106" s="195"/>
      <c r="AT106" s="195"/>
      <c r="AU106" s="195"/>
      <c r="AV106" s="195"/>
      <c r="AW106" s="195"/>
      <c r="AX106" s="195"/>
      <c r="AY106" s="195"/>
      <c r="AZ106" s="195"/>
      <c r="BA106" s="195"/>
      <c r="BB106" s="195"/>
      <c r="BC106" s="195"/>
      <c r="BD106" s="12">
        <v>75</v>
      </c>
      <c r="BE106" s="195"/>
      <c r="BF106" s="195"/>
      <c r="BG106" s="195"/>
      <c r="BH106" s="195"/>
      <c r="BI106" s="195"/>
      <c r="BJ106" s="195"/>
      <c r="BK106" s="195"/>
      <c r="BL106" s="195"/>
      <c r="BM106" s="195"/>
      <c r="BN106" s="195"/>
      <c r="BO106" s="195"/>
      <c r="BP106" s="195"/>
      <c r="BQ106" s="195"/>
      <c r="BR106" s="195"/>
      <c r="BS106" s="195"/>
      <c r="BT106" s="195"/>
      <c r="BU106" s="195"/>
      <c r="BV106" s="12">
        <v>75</v>
      </c>
      <c r="BW106" s="195"/>
      <c r="BX106" s="195"/>
      <c r="BY106" s="195"/>
      <c r="BZ106" s="195"/>
      <c r="CA106" s="195"/>
      <c r="CB106" s="195"/>
      <c r="CC106" s="195"/>
      <c r="CD106" s="195"/>
      <c r="CE106" s="195"/>
      <c r="CF106" s="195"/>
      <c r="CG106" s="195"/>
      <c r="CH106" s="195"/>
      <c r="CI106" s="195"/>
      <c r="CJ106" s="195"/>
      <c r="CK106" s="195"/>
      <c r="CL106" s="195"/>
      <c r="CM106" s="195"/>
      <c r="CN106" s="12">
        <v>75</v>
      </c>
      <c r="CO106" s="195"/>
      <c r="CP106" s="195"/>
      <c r="CQ106" s="195"/>
      <c r="CR106" s="195"/>
      <c r="CS106" s="195"/>
      <c r="CT106" s="195"/>
      <c r="CU106" s="195"/>
      <c r="CV106" s="195"/>
      <c r="CW106" s="195"/>
      <c r="CX106" s="195"/>
      <c r="CY106" s="195"/>
      <c r="CZ106" s="195"/>
      <c r="DA106" s="195"/>
      <c r="DB106" s="195"/>
      <c r="DC106" s="195"/>
      <c r="DD106" s="195"/>
      <c r="DE106" s="195"/>
      <c r="DF106" s="12">
        <v>75</v>
      </c>
      <c r="DG106" s="195"/>
      <c r="DH106" s="195"/>
      <c r="DI106" s="195"/>
      <c r="DJ106" s="195"/>
      <c r="DK106" s="195"/>
      <c r="DL106" s="195"/>
      <c r="DM106" s="195"/>
      <c r="DN106" s="195"/>
      <c r="DO106" s="195"/>
      <c r="DP106" s="195"/>
      <c r="DQ106" s="195"/>
      <c r="DR106" s="195"/>
      <c r="DS106" s="195"/>
      <c r="DT106" s="195"/>
      <c r="DU106" s="195"/>
      <c r="DV106" s="195"/>
      <c r="DW106" s="195"/>
      <c r="DX106" s="12">
        <v>75</v>
      </c>
      <c r="DY106" s="195"/>
      <c r="DZ106" s="195"/>
      <c r="EA106" s="195"/>
      <c r="EB106" s="195"/>
      <c r="EC106" s="195"/>
      <c r="ED106" s="195"/>
      <c r="EE106" s="195"/>
      <c r="EF106" s="195"/>
      <c r="EG106" s="195"/>
      <c r="EH106" s="195"/>
      <c r="EI106" s="195"/>
      <c r="EJ106" s="195"/>
      <c r="EK106" s="195"/>
      <c r="EL106" s="195"/>
      <c r="EM106" s="195"/>
      <c r="EN106" s="195"/>
      <c r="EO106" s="195"/>
      <c r="EP106" s="12">
        <v>75</v>
      </c>
      <c r="EQ106" s="195"/>
      <c r="ER106" s="195"/>
      <c r="ES106" s="195"/>
      <c r="ET106" s="195"/>
      <c r="EU106" s="195"/>
      <c r="EV106" s="195"/>
      <c r="EW106" s="195"/>
      <c r="EX106" s="195"/>
      <c r="EY106" s="195"/>
      <c r="EZ106" s="195"/>
      <c r="FA106" s="195"/>
      <c r="FB106" s="195"/>
      <c r="FC106" s="195"/>
      <c r="FD106" s="195"/>
      <c r="FE106" s="195"/>
      <c r="FF106" s="195"/>
      <c r="FG106" s="195"/>
      <c r="FH106" s="12">
        <v>75</v>
      </c>
      <c r="FI106" s="195"/>
      <c r="FJ106" s="195"/>
      <c r="FK106" s="195"/>
      <c r="FL106" s="195"/>
      <c r="FM106" s="195"/>
      <c r="FN106" s="195"/>
      <c r="FO106" s="195"/>
      <c r="FP106" s="195"/>
      <c r="FQ106" s="195"/>
      <c r="FR106" s="195"/>
      <c r="FS106" s="195"/>
      <c r="FT106" s="195"/>
      <c r="FU106" s="195"/>
      <c r="FV106" s="195"/>
      <c r="FW106" s="195"/>
      <c r="FX106" s="195"/>
      <c r="FY106" s="195"/>
    </row>
    <row r="107" spans="2:181" x14ac:dyDescent="0.25">
      <c r="B107" s="12">
        <v>76</v>
      </c>
      <c r="C107" s="195"/>
      <c r="D107" s="195"/>
      <c r="E107" s="195"/>
      <c r="F107" s="195"/>
      <c r="G107" s="195"/>
      <c r="H107" s="195"/>
      <c r="I107" s="195"/>
      <c r="J107" s="195"/>
      <c r="K107" s="195"/>
      <c r="L107" s="195"/>
      <c r="M107" s="195"/>
      <c r="N107" s="195"/>
      <c r="O107" s="195"/>
      <c r="P107" s="195"/>
      <c r="Q107" s="195"/>
      <c r="R107" s="195"/>
      <c r="S107" s="195"/>
      <c r="T107" s="12">
        <v>76</v>
      </c>
      <c r="U107" s="195"/>
      <c r="V107" s="195"/>
      <c r="W107" s="195"/>
      <c r="X107" s="195"/>
      <c r="Y107" s="195"/>
      <c r="Z107" s="195"/>
      <c r="AA107" s="195"/>
      <c r="AB107" s="195"/>
      <c r="AC107" s="195"/>
      <c r="AD107" s="195"/>
      <c r="AE107" s="195"/>
      <c r="AF107" s="195"/>
      <c r="AG107" s="195"/>
      <c r="AH107" s="195"/>
      <c r="AI107" s="195"/>
      <c r="AJ107" s="195"/>
      <c r="AK107" s="195"/>
      <c r="AL107" s="12">
        <v>76</v>
      </c>
      <c r="AM107" s="195"/>
      <c r="AN107" s="195"/>
      <c r="AO107" s="195"/>
      <c r="AP107" s="195"/>
      <c r="AQ107" s="195"/>
      <c r="AR107" s="195"/>
      <c r="AS107" s="195"/>
      <c r="AT107" s="195"/>
      <c r="AU107" s="195"/>
      <c r="AV107" s="195"/>
      <c r="AW107" s="195"/>
      <c r="AX107" s="195"/>
      <c r="AY107" s="195"/>
      <c r="AZ107" s="195"/>
      <c r="BA107" s="195"/>
      <c r="BB107" s="195"/>
      <c r="BC107" s="195"/>
      <c r="BD107" s="12">
        <v>76</v>
      </c>
      <c r="BE107" s="195"/>
      <c r="BF107" s="195"/>
      <c r="BG107" s="195"/>
      <c r="BH107" s="195"/>
      <c r="BI107" s="195"/>
      <c r="BJ107" s="195"/>
      <c r="BK107" s="195"/>
      <c r="BL107" s="195"/>
      <c r="BM107" s="195"/>
      <c r="BN107" s="195"/>
      <c r="BO107" s="195"/>
      <c r="BP107" s="195"/>
      <c r="BQ107" s="195"/>
      <c r="BR107" s="195"/>
      <c r="BS107" s="195"/>
      <c r="BT107" s="195"/>
      <c r="BU107" s="195"/>
      <c r="BV107" s="12">
        <v>76</v>
      </c>
      <c r="BW107" s="195"/>
      <c r="BX107" s="195"/>
      <c r="BY107" s="195"/>
      <c r="BZ107" s="195"/>
      <c r="CA107" s="195"/>
      <c r="CB107" s="195"/>
      <c r="CC107" s="195"/>
      <c r="CD107" s="195"/>
      <c r="CE107" s="195"/>
      <c r="CF107" s="195"/>
      <c r="CG107" s="195"/>
      <c r="CH107" s="195"/>
      <c r="CI107" s="195"/>
      <c r="CJ107" s="195"/>
      <c r="CK107" s="195"/>
      <c r="CL107" s="195"/>
      <c r="CM107" s="195"/>
      <c r="CN107" s="12">
        <v>76</v>
      </c>
      <c r="CO107" s="195"/>
      <c r="CP107" s="195"/>
      <c r="CQ107" s="195"/>
      <c r="CR107" s="195"/>
      <c r="CS107" s="195"/>
      <c r="CT107" s="195"/>
      <c r="CU107" s="195"/>
      <c r="CV107" s="195"/>
      <c r="CW107" s="195"/>
      <c r="CX107" s="195"/>
      <c r="CY107" s="195"/>
      <c r="CZ107" s="195"/>
      <c r="DA107" s="195"/>
      <c r="DB107" s="195"/>
      <c r="DC107" s="195"/>
      <c r="DD107" s="195"/>
      <c r="DE107" s="195"/>
      <c r="DF107" s="12">
        <v>76</v>
      </c>
      <c r="DG107" s="195"/>
      <c r="DH107" s="195"/>
      <c r="DI107" s="195"/>
      <c r="DJ107" s="195"/>
      <c r="DK107" s="195"/>
      <c r="DL107" s="195"/>
      <c r="DM107" s="195"/>
      <c r="DN107" s="195"/>
      <c r="DO107" s="195"/>
      <c r="DP107" s="195"/>
      <c r="DQ107" s="195"/>
      <c r="DR107" s="195"/>
      <c r="DS107" s="195"/>
      <c r="DT107" s="195"/>
      <c r="DU107" s="195"/>
      <c r="DV107" s="195"/>
      <c r="DW107" s="195"/>
      <c r="DX107" s="12">
        <v>76</v>
      </c>
      <c r="DY107" s="195"/>
      <c r="DZ107" s="195"/>
      <c r="EA107" s="195"/>
      <c r="EB107" s="195"/>
      <c r="EC107" s="195"/>
      <c r="ED107" s="195"/>
      <c r="EE107" s="195"/>
      <c r="EF107" s="195"/>
      <c r="EG107" s="195"/>
      <c r="EH107" s="195"/>
      <c r="EI107" s="195"/>
      <c r="EJ107" s="195"/>
      <c r="EK107" s="195"/>
      <c r="EL107" s="195"/>
      <c r="EM107" s="195"/>
      <c r="EN107" s="195"/>
      <c r="EO107" s="195"/>
      <c r="EP107" s="12">
        <v>76</v>
      </c>
      <c r="EQ107" s="195"/>
      <c r="ER107" s="195"/>
      <c r="ES107" s="195"/>
      <c r="ET107" s="195"/>
      <c r="EU107" s="195"/>
      <c r="EV107" s="195"/>
      <c r="EW107" s="195"/>
      <c r="EX107" s="195"/>
      <c r="EY107" s="195"/>
      <c r="EZ107" s="195"/>
      <c r="FA107" s="195"/>
      <c r="FB107" s="195"/>
      <c r="FC107" s="195"/>
      <c r="FD107" s="195"/>
      <c r="FE107" s="195"/>
      <c r="FF107" s="195"/>
      <c r="FG107" s="195"/>
      <c r="FH107" s="12">
        <v>76</v>
      </c>
      <c r="FI107" s="195"/>
      <c r="FJ107" s="195"/>
      <c r="FK107" s="195"/>
      <c r="FL107" s="195"/>
      <c r="FM107" s="195"/>
      <c r="FN107" s="195"/>
      <c r="FO107" s="195"/>
      <c r="FP107" s="195"/>
      <c r="FQ107" s="195"/>
      <c r="FR107" s="195"/>
      <c r="FS107" s="195"/>
      <c r="FT107" s="195"/>
      <c r="FU107" s="195"/>
      <c r="FV107" s="195"/>
      <c r="FW107" s="195"/>
      <c r="FX107" s="195"/>
      <c r="FY107" s="195"/>
    </row>
    <row r="108" spans="2:181" x14ac:dyDescent="0.25">
      <c r="B108" s="12">
        <v>77</v>
      </c>
      <c r="C108" s="195"/>
      <c r="D108" s="195"/>
      <c r="E108" s="195"/>
      <c r="F108" s="195"/>
      <c r="G108" s="195"/>
      <c r="H108" s="195"/>
      <c r="I108" s="195"/>
      <c r="J108" s="195"/>
      <c r="K108" s="195"/>
      <c r="L108" s="195"/>
      <c r="M108" s="195"/>
      <c r="N108" s="195"/>
      <c r="O108" s="195"/>
      <c r="P108" s="195"/>
      <c r="Q108" s="195"/>
      <c r="R108" s="195"/>
      <c r="S108" s="195"/>
      <c r="T108" s="12">
        <v>77</v>
      </c>
      <c r="U108" s="195"/>
      <c r="V108" s="195"/>
      <c r="W108" s="195"/>
      <c r="X108" s="195"/>
      <c r="Y108" s="195"/>
      <c r="Z108" s="195"/>
      <c r="AA108" s="195"/>
      <c r="AB108" s="195"/>
      <c r="AC108" s="195"/>
      <c r="AD108" s="195"/>
      <c r="AE108" s="195"/>
      <c r="AF108" s="195"/>
      <c r="AG108" s="195"/>
      <c r="AH108" s="195"/>
      <c r="AI108" s="195"/>
      <c r="AJ108" s="195"/>
      <c r="AK108" s="195"/>
      <c r="AL108" s="12">
        <v>77</v>
      </c>
      <c r="AM108" s="195"/>
      <c r="AN108" s="195"/>
      <c r="AO108" s="195"/>
      <c r="AP108" s="195"/>
      <c r="AQ108" s="195"/>
      <c r="AR108" s="195"/>
      <c r="AS108" s="195"/>
      <c r="AT108" s="195"/>
      <c r="AU108" s="195"/>
      <c r="AV108" s="195"/>
      <c r="AW108" s="195"/>
      <c r="AX108" s="195"/>
      <c r="AY108" s="195"/>
      <c r="AZ108" s="195"/>
      <c r="BA108" s="195"/>
      <c r="BB108" s="195"/>
      <c r="BC108" s="195"/>
      <c r="BD108" s="12">
        <v>77</v>
      </c>
      <c r="BE108" s="195"/>
      <c r="BF108" s="195"/>
      <c r="BG108" s="195"/>
      <c r="BH108" s="195"/>
      <c r="BI108" s="195"/>
      <c r="BJ108" s="195"/>
      <c r="BK108" s="195"/>
      <c r="BL108" s="195"/>
      <c r="BM108" s="195"/>
      <c r="BN108" s="195"/>
      <c r="BO108" s="195"/>
      <c r="BP108" s="195"/>
      <c r="BQ108" s="195"/>
      <c r="BR108" s="195"/>
      <c r="BS108" s="195"/>
      <c r="BT108" s="195"/>
      <c r="BU108" s="195"/>
      <c r="BV108" s="12">
        <v>77</v>
      </c>
      <c r="BW108" s="195"/>
      <c r="BX108" s="195"/>
      <c r="BY108" s="195"/>
      <c r="BZ108" s="195"/>
      <c r="CA108" s="195"/>
      <c r="CB108" s="195"/>
      <c r="CC108" s="195"/>
      <c r="CD108" s="195"/>
      <c r="CE108" s="195"/>
      <c r="CF108" s="195"/>
      <c r="CG108" s="195"/>
      <c r="CH108" s="195"/>
      <c r="CI108" s="195"/>
      <c r="CJ108" s="195"/>
      <c r="CK108" s="195"/>
      <c r="CL108" s="195"/>
      <c r="CM108" s="195"/>
      <c r="CN108" s="12">
        <v>77</v>
      </c>
      <c r="CO108" s="195"/>
      <c r="CP108" s="195"/>
      <c r="CQ108" s="195"/>
      <c r="CR108" s="195"/>
      <c r="CS108" s="195"/>
      <c r="CT108" s="195"/>
      <c r="CU108" s="195"/>
      <c r="CV108" s="195"/>
      <c r="CW108" s="195"/>
      <c r="CX108" s="195"/>
      <c r="CY108" s="195"/>
      <c r="CZ108" s="195"/>
      <c r="DA108" s="195"/>
      <c r="DB108" s="195"/>
      <c r="DC108" s="195"/>
      <c r="DD108" s="195"/>
      <c r="DE108" s="195"/>
      <c r="DF108" s="12">
        <v>77</v>
      </c>
      <c r="DG108" s="195"/>
      <c r="DH108" s="195"/>
      <c r="DI108" s="195"/>
      <c r="DJ108" s="195"/>
      <c r="DK108" s="195"/>
      <c r="DL108" s="195"/>
      <c r="DM108" s="195"/>
      <c r="DN108" s="195"/>
      <c r="DO108" s="195"/>
      <c r="DP108" s="195"/>
      <c r="DQ108" s="195"/>
      <c r="DR108" s="195"/>
      <c r="DS108" s="195"/>
      <c r="DT108" s="195"/>
      <c r="DU108" s="195"/>
      <c r="DV108" s="195"/>
      <c r="DW108" s="195"/>
      <c r="DX108" s="12">
        <v>77</v>
      </c>
      <c r="DY108" s="195"/>
      <c r="DZ108" s="195"/>
      <c r="EA108" s="195"/>
      <c r="EB108" s="195"/>
      <c r="EC108" s="195"/>
      <c r="ED108" s="195"/>
      <c r="EE108" s="195"/>
      <c r="EF108" s="195"/>
      <c r="EG108" s="195"/>
      <c r="EH108" s="195"/>
      <c r="EI108" s="195"/>
      <c r="EJ108" s="195"/>
      <c r="EK108" s="195"/>
      <c r="EL108" s="195"/>
      <c r="EM108" s="195"/>
      <c r="EN108" s="195"/>
      <c r="EO108" s="195"/>
      <c r="EP108" s="12">
        <v>77</v>
      </c>
      <c r="EQ108" s="195"/>
      <c r="ER108" s="195"/>
      <c r="ES108" s="195"/>
      <c r="ET108" s="195"/>
      <c r="EU108" s="195"/>
      <c r="EV108" s="195"/>
      <c r="EW108" s="195"/>
      <c r="EX108" s="195"/>
      <c r="EY108" s="195"/>
      <c r="EZ108" s="195"/>
      <c r="FA108" s="195"/>
      <c r="FB108" s="195"/>
      <c r="FC108" s="195"/>
      <c r="FD108" s="195"/>
      <c r="FE108" s="195"/>
      <c r="FF108" s="195"/>
      <c r="FG108" s="195"/>
      <c r="FH108" s="12">
        <v>77</v>
      </c>
      <c r="FI108" s="195"/>
      <c r="FJ108" s="195"/>
      <c r="FK108" s="195"/>
      <c r="FL108" s="195"/>
      <c r="FM108" s="195"/>
      <c r="FN108" s="195"/>
      <c r="FO108" s="195"/>
      <c r="FP108" s="195"/>
      <c r="FQ108" s="195"/>
      <c r="FR108" s="195"/>
      <c r="FS108" s="195"/>
      <c r="FT108" s="195"/>
      <c r="FU108" s="195"/>
      <c r="FV108" s="195"/>
      <c r="FW108" s="195"/>
      <c r="FX108" s="195"/>
      <c r="FY108" s="195"/>
    </row>
    <row r="109" spans="2:181" x14ac:dyDescent="0.25">
      <c r="B109" s="12">
        <v>78</v>
      </c>
      <c r="C109" s="195"/>
      <c r="D109" s="195"/>
      <c r="E109" s="195"/>
      <c r="F109" s="195"/>
      <c r="G109" s="195"/>
      <c r="H109" s="195"/>
      <c r="I109" s="195"/>
      <c r="J109" s="195"/>
      <c r="K109" s="195"/>
      <c r="L109" s="195"/>
      <c r="M109" s="195"/>
      <c r="N109" s="195"/>
      <c r="O109" s="195"/>
      <c r="P109" s="195"/>
      <c r="Q109" s="195"/>
      <c r="R109" s="195"/>
      <c r="S109" s="195"/>
      <c r="T109" s="12">
        <v>78</v>
      </c>
      <c r="U109" s="195"/>
      <c r="V109" s="195"/>
      <c r="W109" s="195"/>
      <c r="X109" s="195"/>
      <c r="Y109" s="195"/>
      <c r="Z109" s="195"/>
      <c r="AA109" s="195"/>
      <c r="AB109" s="195"/>
      <c r="AC109" s="195"/>
      <c r="AD109" s="195"/>
      <c r="AE109" s="195"/>
      <c r="AF109" s="195"/>
      <c r="AG109" s="195"/>
      <c r="AH109" s="195"/>
      <c r="AI109" s="195"/>
      <c r="AJ109" s="195"/>
      <c r="AK109" s="195"/>
      <c r="AL109" s="12">
        <v>78</v>
      </c>
      <c r="AM109" s="195"/>
      <c r="AN109" s="195"/>
      <c r="AO109" s="195"/>
      <c r="AP109" s="195"/>
      <c r="AQ109" s="195"/>
      <c r="AR109" s="195"/>
      <c r="AS109" s="195"/>
      <c r="AT109" s="195"/>
      <c r="AU109" s="195"/>
      <c r="AV109" s="195"/>
      <c r="AW109" s="195"/>
      <c r="AX109" s="195"/>
      <c r="AY109" s="195"/>
      <c r="AZ109" s="195"/>
      <c r="BA109" s="195"/>
      <c r="BB109" s="195"/>
      <c r="BC109" s="195"/>
      <c r="BD109" s="12">
        <v>78</v>
      </c>
      <c r="BE109" s="195"/>
      <c r="BF109" s="195"/>
      <c r="BG109" s="195"/>
      <c r="BH109" s="195"/>
      <c r="BI109" s="195"/>
      <c r="BJ109" s="195"/>
      <c r="BK109" s="195"/>
      <c r="BL109" s="195"/>
      <c r="BM109" s="195"/>
      <c r="BN109" s="195"/>
      <c r="BO109" s="195"/>
      <c r="BP109" s="195"/>
      <c r="BQ109" s="195"/>
      <c r="BR109" s="195"/>
      <c r="BS109" s="195"/>
      <c r="BT109" s="195"/>
      <c r="BU109" s="195"/>
      <c r="BV109" s="12">
        <v>78</v>
      </c>
      <c r="BW109" s="195"/>
      <c r="BX109" s="195"/>
      <c r="BY109" s="195"/>
      <c r="BZ109" s="195"/>
      <c r="CA109" s="195"/>
      <c r="CB109" s="195"/>
      <c r="CC109" s="195"/>
      <c r="CD109" s="195"/>
      <c r="CE109" s="195"/>
      <c r="CF109" s="195"/>
      <c r="CG109" s="195"/>
      <c r="CH109" s="195"/>
      <c r="CI109" s="195"/>
      <c r="CJ109" s="195"/>
      <c r="CK109" s="195"/>
      <c r="CL109" s="195"/>
      <c r="CM109" s="195"/>
      <c r="CN109" s="12">
        <v>78</v>
      </c>
      <c r="CO109" s="195"/>
      <c r="CP109" s="195"/>
      <c r="CQ109" s="195"/>
      <c r="CR109" s="195"/>
      <c r="CS109" s="195"/>
      <c r="CT109" s="195"/>
      <c r="CU109" s="195"/>
      <c r="CV109" s="195"/>
      <c r="CW109" s="195"/>
      <c r="CX109" s="195"/>
      <c r="CY109" s="195"/>
      <c r="CZ109" s="195"/>
      <c r="DA109" s="195"/>
      <c r="DB109" s="195"/>
      <c r="DC109" s="195"/>
      <c r="DD109" s="195"/>
      <c r="DE109" s="195"/>
      <c r="DF109" s="12">
        <v>78</v>
      </c>
      <c r="DG109" s="195"/>
      <c r="DH109" s="195"/>
      <c r="DI109" s="195"/>
      <c r="DJ109" s="195"/>
      <c r="DK109" s="195"/>
      <c r="DL109" s="195"/>
      <c r="DM109" s="195"/>
      <c r="DN109" s="195"/>
      <c r="DO109" s="195"/>
      <c r="DP109" s="195"/>
      <c r="DQ109" s="195"/>
      <c r="DR109" s="195"/>
      <c r="DS109" s="195"/>
      <c r="DT109" s="195"/>
      <c r="DU109" s="195"/>
      <c r="DV109" s="195"/>
      <c r="DW109" s="195"/>
      <c r="DX109" s="12">
        <v>78</v>
      </c>
      <c r="DY109" s="195"/>
      <c r="DZ109" s="195"/>
      <c r="EA109" s="195"/>
      <c r="EB109" s="195"/>
      <c r="EC109" s="195"/>
      <c r="ED109" s="195"/>
      <c r="EE109" s="195"/>
      <c r="EF109" s="195"/>
      <c r="EG109" s="195"/>
      <c r="EH109" s="195"/>
      <c r="EI109" s="195"/>
      <c r="EJ109" s="195"/>
      <c r="EK109" s="195"/>
      <c r="EL109" s="195"/>
      <c r="EM109" s="195"/>
      <c r="EN109" s="195"/>
      <c r="EO109" s="195"/>
      <c r="EP109" s="12">
        <v>78</v>
      </c>
      <c r="EQ109" s="195"/>
      <c r="ER109" s="195"/>
      <c r="ES109" s="195"/>
      <c r="ET109" s="195"/>
      <c r="EU109" s="195"/>
      <c r="EV109" s="195"/>
      <c r="EW109" s="195"/>
      <c r="EX109" s="195"/>
      <c r="EY109" s="195"/>
      <c r="EZ109" s="195"/>
      <c r="FA109" s="195"/>
      <c r="FB109" s="195"/>
      <c r="FC109" s="195"/>
      <c r="FD109" s="195"/>
      <c r="FE109" s="195"/>
      <c r="FF109" s="195"/>
      <c r="FG109" s="195"/>
      <c r="FH109" s="12">
        <v>78</v>
      </c>
      <c r="FI109" s="195"/>
      <c r="FJ109" s="195"/>
      <c r="FK109" s="195"/>
      <c r="FL109" s="195"/>
      <c r="FM109" s="195"/>
      <c r="FN109" s="195"/>
      <c r="FO109" s="195"/>
      <c r="FP109" s="195"/>
      <c r="FQ109" s="195"/>
      <c r="FR109" s="195"/>
      <c r="FS109" s="195"/>
      <c r="FT109" s="195"/>
      <c r="FU109" s="195"/>
      <c r="FV109" s="195"/>
      <c r="FW109" s="195"/>
      <c r="FX109" s="195"/>
      <c r="FY109" s="195"/>
    </row>
    <row r="110" spans="2:181" x14ac:dyDescent="0.25">
      <c r="B110" s="12">
        <v>79</v>
      </c>
      <c r="C110" s="195"/>
      <c r="D110" s="195"/>
      <c r="E110" s="195"/>
      <c r="F110" s="195"/>
      <c r="G110" s="195"/>
      <c r="H110" s="195"/>
      <c r="I110" s="195"/>
      <c r="J110" s="195"/>
      <c r="K110" s="195"/>
      <c r="L110" s="195"/>
      <c r="M110" s="195"/>
      <c r="N110" s="195"/>
      <c r="O110" s="195"/>
      <c r="P110" s="195"/>
      <c r="Q110" s="195"/>
      <c r="R110" s="195"/>
      <c r="S110" s="195"/>
      <c r="T110" s="12">
        <v>79</v>
      </c>
      <c r="U110" s="195"/>
      <c r="V110" s="195"/>
      <c r="W110" s="195"/>
      <c r="X110" s="195"/>
      <c r="Y110" s="195"/>
      <c r="Z110" s="195"/>
      <c r="AA110" s="195"/>
      <c r="AB110" s="195"/>
      <c r="AC110" s="195"/>
      <c r="AD110" s="195"/>
      <c r="AE110" s="195"/>
      <c r="AF110" s="195"/>
      <c r="AG110" s="195"/>
      <c r="AH110" s="195"/>
      <c r="AI110" s="195"/>
      <c r="AJ110" s="195"/>
      <c r="AK110" s="195"/>
      <c r="AL110" s="12">
        <v>79</v>
      </c>
      <c r="AM110" s="195"/>
      <c r="AN110" s="195"/>
      <c r="AO110" s="195"/>
      <c r="AP110" s="195"/>
      <c r="AQ110" s="195"/>
      <c r="AR110" s="195"/>
      <c r="AS110" s="195"/>
      <c r="AT110" s="195"/>
      <c r="AU110" s="195"/>
      <c r="AV110" s="195"/>
      <c r="AW110" s="195"/>
      <c r="AX110" s="195"/>
      <c r="AY110" s="195"/>
      <c r="AZ110" s="195"/>
      <c r="BA110" s="195"/>
      <c r="BB110" s="195"/>
      <c r="BC110" s="195"/>
      <c r="BD110" s="12">
        <v>79</v>
      </c>
      <c r="BE110" s="195"/>
      <c r="BF110" s="195"/>
      <c r="BG110" s="195"/>
      <c r="BH110" s="195"/>
      <c r="BI110" s="195"/>
      <c r="BJ110" s="195"/>
      <c r="BK110" s="195"/>
      <c r="BL110" s="195"/>
      <c r="BM110" s="195"/>
      <c r="BN110" s="195"/>
      <c r="BO110" s="195"/>
      <c r="BP110" s="195"/>
      <c r="BQ110" s="195"/>
      <c r="BR110" s="195"/>
      <c r="BS110" s="195"/>
      <c r="BT110" s="195"/>
      <c r="BU110" s="195"/>
      <c r="BV110" s="12">
        <v>79</v>
      </c>
      <c r="BW110" s="195"/>
      <c r="BX110" s="195"/>
      <c r="BY110" s="195"/>
      <c r="BZ110" s="195"/>
      <c r="CA110" s="195"/>
      <c r="CB110" s="195"/>
      <c r="CC110" s="195"/>
      <c r="CD110" s="195"/>
      <c r="CE110" s="195"/>
      <c r="CF110" s="195"/>
      <c r="CG110" s="195"/>
      <c r="CH110" s="195"/>
      <c r="CI110" s="195"/>
      <c r="CJ110" s="195"/>
      <c r="CK110" s="195"/>
      <c r="CL110" s="195"/>
      <c r="CM110" s="195"/>
      <c r="CN110" s="12">
        <v>79</v>
      </c>
      <c r="CO110" s="195"/>
      <c r="CP110" s="195"/>
      <c r="CQ110" s="195"/>
      <c r="CR110" s="195"/>
      <c r="CS110" s="195"/>
      <c r="CT110" s="195"/>
      <c r="CU110" s="195"/>
      <c r="CV110" s="195"/>
      <c r="CW110" s="195"/>
      <c r="CX110" s="195"/>
      <c r="CY110" s="195"/>
      <c r="CZ110" s="195"/>
      <c r="DA110" s="195"/>
      <c r="DB110" s="195"/>
      <c r="DC110" s="195"/>
      <c r="DD110" s="195"/>
      <c r="DE110" s="195"/>
      <c r="DF110" s="12">
        <v>79</v>
      </c>
      <c r="DG110" s="195"/>
      <c r="DH110" s="195"/>
      <c r="DI110" s="195"/>
      <c r="DJ110" s="195"/>
      <c r="DK110" s="195"/>
      <c r="DL110" s="195"/>
      <c r="DM110" s="195"/>
      <c r="DN110" s="195"/>
      <c r="DO110" s="195"/>
      <c r="DP110" s="195"/>
      <c r="DQ110" s="195"/>
      <c r="DR110" s="195"/>
      <c r="DS110" s="195"/>
      <c r="DT110" s="195"/>
      <c r="DU110" s="195"/>
      <c r="DV110" s="195"/>
      <c r="DW110" s="195"/>
      <c r="DX110" s="12">
        <v>79</v>
      </c>
      <c r="DY110" s="195"/>
      <c r="DZ110" s="195"/>
      <c r="EA110" s="195"/>
      <c r="EB110" s="195"/>
      <c r="EC110" s="195"/>
      <c r="ED110" s="195"/>
      <c r="EE110" s="195"/>
      <c r="EF110" s="195"/>
      <c r="EG110" s="195"/>
      <c r="EH110" s="195"/>
      <c r="EI110" s="195"/>
      <c r="EJ110" s="195"/>
      <c r="EK110" s="195"/>
      <c r="EL110" s="195"/>
      <c r="EM110" s="195"/>
      <c r="EN110" s="195"/>
      <c r="EO110" s="195"/>
      <c r="EP110" s="12">
        <v>79</v>
      </c>
      <c r="EQ110" s="195"/>
      <c r="ER110" s="195"/>
      <c r="ES110" s="195"/>
      <c r="ET110" s="195"/>
      <c r="EU110" s="195"/>
      <c r="EV110" s="195"/>
      <c r="EW110" s="195"/>
      <c r="EX110" s="195"/>
      <c r="EY110" s="195"/>
      <c r="EZ110" s="195"/>
      <c r="FA110" s="195"/>
      <c r="FB110" s="195"/>
      <c r="FC110" s="195"/>
      <c r="FD110" s="195"/>
      <c r="FE110" s="195"/>
      <c r="FF110" s="195"/>
      <c r="FG110" s="195"/>
      <c r="FH110" s="12">
        <v>79</v>
      </c>
      <c r="FI110" s="195"/>
      <c r="FJ110" s="195"/>
      <c r="FK110" s="195"/>
      <c r="FL110" s="195"/>
      <c r="FM110" s="195"/>
      <c r="FN110" s="195"/>
      <c r="FO110" s="195"/>
      <c r="FP110" s="195"/>
      <c r="FQ110" s="195"/>
      <c r="FR110" s="195"/>
      <c r="FS110" s="195"/>
      <c r="FT110" s="195"/>
      <c r="FU110" s="195"/>
      <c r="FV110" s="195"/>
      <c r="FW110" s="195"/>
      <c r="FX110" s="195"/>
      <c r="FY110" s="195"/>
    </row>
    <row r="111" spans="2:181" x14ac:dyDescent="0.25">
      <c r="B111" s="12">
        <v>80</v>
      </c>
      <c r="C111" s="195"/>
      <c r="D111" s="195"/>
      <c r="E111" s="195"/>
      <c r="F111" s="195"/>
      <c r="G111" s="195"/>
      <c r="H111" s="195"/>
      <c r="I111" s="195"/>
      <c r="J111" s="195"/>
      <c r="K111" s="195"/>
      <c r="L111" s="195"/>
      <c r="M111" s="195"/>
      <c r="N111" s="195"/>
      <c r="O111" s="195"/>
      <c r="P111" s="195"/>
      <c r="Q111" s="195"/>
      <c r="R111" s="195"/>
      <c r="S111" s="195"/>
      <c r="T111" s="12">
        <v>80</v>
      </c>
      <c r="U111" s="195"/>
      <c r="V111" s="195"/>
      <c r="W111" s="195"/>
      <c r="X111" s="195"/>
      <c r="Y111" s="195"/>
      <c r="Z111" s="195"/>
      <c r="AA111" s="195"/>
      <c r="AB111" s="195"/>
      <c r="AC111" s="195"/>
      <c r="AD111" s="195"/>
      <c r="AE111" s="195"/>
      <c r="AF111" s="195"/>
      <c r="AG111" s="195"/>
      <c r="AH111" s="195"/>
      <c r="AI111" s="195"/>
      <c r="AJ111" s="195"/>
      <c r="AK111" s="195"/>
      <c r="AL111" s="12">
        <v>80</v>
      </c>
      <c r="AM111" s="195"/>
      <c r="AN111" s="195"/>
      <c r="AO111" s="195"/>
      <c r="AP111" s="195"/>
      <c r="AQ111" s="195"/>
      <c r="AR111" s="195"/>
      <c r="AS111" s="195"/>
      <c r="AT111" s="195"/>
      <c r="AU111" s="195"/>
      <c r="AV111" s="195"/>
      <c r="AW111" s="195"/>
      <c r="AX111" s="195"/>
      <c r="AY111" s="195"/>
      <c r="AZ111" s="195"/>
      <c r="BA111" s="195"/>
      <c r="BB111" s="195"/>
      <c r="BC111" s="195"/>
      <c r="BD111" s="12">
        <v>80</v>
      </c>
      <c r="BE111" s="195"/>
      <c r="BF111" s="195"/>
      <c r="BG111" s="195"/>
      <c r="BH111" s="195"/>
      <c r="BI111" s="195"/>
      <c r="BJ111" s="195"/>
      <c r="BK111" s="195"/>
      <c r="BL111" s="195"/>
      <c r="BM111" s="195"/>
      <c r="BN111" s="195"/>
      <c r="BO111" s="195"/>
      <c r="BP111" s="195"/>
      <c r="BQ111" s="195"/>
      <c r="BR111" s="195"/>
      <c r="BS111" s="195"/>
      <c r="BT111" s="195"/>
      <c r="BU111" s="195"/>
      <c r="BV111" s="12">
        <v>80</v>
      </c>
      <c r="BW111" s="195"/>
      <c r="BX111" s="195"/>
      <c r="BY111" s="195"/>
      <c r="BZ111" s="195"/>
      <c r="CA111" s="195"/>
      <c r="CB111" s="195"/>
      <c r="CC111" s="195"/>
      <c r="CD111" s="195"/>
      <c r="CE111" s="195"/>
      <c r="CF111" s="195"/>
      <c r="CG111" s="195"/>
      <c r="CH111" s="195"/>
      <c r="CI111" s="195"/>
      <c r="CJ111" s="195"/>
      <c r="CK111" s="195"/>
      <c r="CL111" s="195"/>
      <c r="CM111" s="195"/>
      <c r="CN111" s="12">
        <v>80</v>
      </c>
      <c r="CO111" s="195"/>
      <c r="CP111" s="195"/>
      <c r="CQ111" s="195"/>
      <c r="CR111" s="195"/>
      <c r="CS111" s="195"/>
      <c r="CT111" s="195"/>
      <c r="CU111" s="195"/>
      <c r="CV111" s="195"/>
      <c r="CW111" s="195"/>
      <c r="CX111" s="195"/>
      <c r="CY111" s="195"/>
      <c r="CZ111" s="195"/>
      <c r="DA111" s="195"/>
      <c r="DB111" s="195"/>
      <c r="DC111" s="195"/>
      <c r="DD111" s="195"/>
      <c r="DE111" s="195"/>
      <c r="DF111" s="12">
        <v>80</v>
      </c>
      <c r="DG111" s="195"/>
      <c r="DH111" s="195"/>
      <c r="DI111" s="195"/>
      <c r="DJ111" s="195"/>
      <c r="DK111" s="195"/>
      <c r="DL111" s="195"/>
      <c r="DM111" s="195"/>
      <c r="DN111" s="195"/>
      <c r="DO111" s="195"/>
      <c r="DP111" s="195"/>
      <c r="DQ111" s="195"/>
      <c r="DR111" s="195"/>
      <c r="DS111" s="195"/>
      <c r="DT111" s="195"/>
      <c r="DU111" s="195"/>
      <c r="DV111" s="195"/>
      <c r="DW111" s="195"/>
      <c r="DX111" s="12">
        <v>80</v>
      </c>
      <c r="DY111" s="195"/>
      <c r="DZ111" s="195"/>
      <c r="EA111" s="195"/>
      <c r="EB111" s="195"/>
      <c r="EC111" s="195"/>
      <c r="ED111" s="195"/>
      <c r="EE111" s="195"/>
      <c r="EF111" s="195"/>
      <c r="EG111" s="195"/>
      <c r="EH111" s="195"/>
      <c r="EI111" s="195"/>
      <c r="EJ111" s="195"/>
      <c r="EK111" s="195"/>
      <c r="EL111" s="195"/>
      <c r="EM111" s="195"/>
      <c r="EN111" s="195"/>
      <c r="EO111" s="195"/>
      <c r="EP111" s="12">
        <v>80</v>
      </c>
      <c r="EQ111" s="195"/>
      <c r="ER111" s="195"/>
      <c r="ES111" s="195"/>
      <c r="ET111" s="195"/>
      <c r="EU111" s="195"/>
      <c r="EV111" s="195"/>
      <c r="EW111" s="195"/>
      <c r="EX111" s="195"/>
      <c r="EY111" s="195"/>
      <c r="EZ111" s="195"/>
      <c r="FA111" s="195"/>
      <c r="FB111" s="195"/>
      <c r="FC111" s="195"/>
      <c r="FD111" s="195"/>
      <c r="FE111" s="195"/>
      <c r="FF111" s="195"/>
      <c r="FG111" s="195"/>
      <c r="FH111" s="12">
        <v>80</v>
      </c>
      <c r="FI111" s="195"/>
      <c r="FJ111" s="195"/>
      <c r="FK111" s="195"/>
      <c r="FL111" s="195"/>
      <c r="FM111" s="195"/>
      <c r="FN111" s="195"/>
      <c r="FO111" s="195"/>
      <c r="FP111" s="195"/>
      <c r="FQ111" s="195"/>
      <c r="FR111" s="195"/>
      <c r="FS111" s="195"/>
      <c r="FT111" s="195"/>
      <c r="FU111" s="195"/>
      <c r="FV111" s="195"/>
      <c r="FW111" s="195"/>
      <c r="FX111" s="195"/>
      <c r="FY111" s="195"/>
    </row>
    <row r="112" spans="2:181" x14ac:dyDescent="0.25">
      <c r="B112" s="12">
        <v>81</v>
      </c>
      <c r="C112" s="195"/>
      <c r="D112" s="195"/>
      <c r="E112" s="195"/>
      <c r="F112" s="195"/>
      <c r="G112" s="195"/>
      <c r="H112" s="195"/>
      <c r="I112" s="195"/>
      <c r="J112" s="195"/>
      <c r="K112" s="195"/>
      <c r="L112" s="195"/>
      <c r="M112" s="195"/>
      <c r="N112" s="195"/>
      <c r="O112" s="195"/>
      <c r="P112" s="195"/>
      <c r="Q112" s="195"/>
      <c r="R112" s="195"/>
      <c r="S112" s="195"/>
      <c r="T112" s="12">
        <v>81</v>
      </c>
      <c r="U112" s="195"/>
      <c r="V112" s="195"/>
      <c r="W112" s="195"/>
      <c r="X112" s="195"/>
      <c r="Y112" s="195"/>
      <c r="Z112" s="195"/>
      <c r="AA112" s="195"/>
      <c r="AB112" s="195"/>
      <c r="AC112" s="195"/>
      <c r="AD112" s="195"/>
      <c r="AE112" s="195"/>
      <c r="AF112" s="195"/>
      <c r="AG112" s="195"/>
      <c r="AH112" s="195"/>
      <c r="AI112" s="195"/>
      <c r="AJ112" s="195"/>
      <c r="AK112" s="195"/>
      <c r="AL112" s="12">
        <v>81</v>
      </c>
      <c r="AM112" s="195"/>
      <c r="AN112" s="195"/>
      <c r="AO112" s="195"/>
      <c r="AP112" s="195"/>
      <c r="AQ112" s="195"/>
      <c r="AR112" s="195"/>
      <c r="AS112" s="195"/>
      <c r="AT112" s="195"/>
      <c r="AU112" s="195"/>
      <c r="AV112" s="195"/>
      <c r="AW112" s="195"/>
      <c r="AX112" s="195"/>
      <c r="AY112" s="195"/>
      <c r="AZ112" s="195"/>
      <c r="BA112" s="195"/>
      <c r="BB112" s="195"/>
      <c r="BC112" s="195"/>
      <c r="BD112" s="12">
        <v>81</v>
      </c>
      <c r="BE112" s="195"/>
      <c r="BF112" s="195"/>
      <c r="BG112" s="195"/>
      <c r="BH112" s="195"/>
      <c r="BI112" s="195"/>
      <c r="BJ112" s="195"/>
      <c r="BK112" s="195"/>
      <c r="BL112" s="195"/>
      <c r="BM112" s="195"/>
      <c r="BN112" s="195"/>
      <c r="BO112" s="195"/>
      <c r="BP112" s="195"/>
      <c r="BQ112" s="195"/>
      <c r="BR112" s="195"/>
      <c r="BS112" s="195"/>
      <c r="BT112" s="195"/>
      <c r="BU112" s="195"/>
      <c r="BV112" s="12">
        <v>81</v>
      </c>
      <c r="BW112" s="195"/>
      <c r="BX112" s="195"/>
      <c r="BY112" s="195"/>
      <c r="BZ112" s="195"/>
      <c r="CA112" s="195"/>
      <c r="CB112" s="195"/>
      <c r="CC112" s="195"/>
      <c r="CD112" s="195"/>
      <c r="CE112" s="195"/>
      <c r="CF112" s="195"/>
      <c r="CG112" s="195"/>
      <c r="CH112" s="195"/>
      <c r="CI112" s="195"/>
      <c r="CJ112" s="195"/>
      <c r="CK112" s="195"/>
      <c r="CL112" s="195"/>
      <c r="CM112" s="195"/>
      <c r="CN112" s="12">
        <v>81</v>
      </c>
      <c r="CO112" s="195"/>
      <c r="CP112" s="195"/>
      <c r="CQ112" s="195"/>
      <c r="CR112" s="195"/>
      <c r="CS112" s="195"/>
      <c r="CT112" s="195"/>
      <c r="CU112" s="195"/>
      <c r="CV112" s="195"/>
      <c r="CW112" s="195"/>
      <c r="CX112" s="195"/>
      <c r="CY112" s="195"/>
      <c r="CZ112" s="195"/>
      <c r="DA112" s="195"/>
      <c r="DB112" s="195"/>
      <c r="DC112" s="195"/>
      <c r="DD112" s="195"/>
      <c r="DE112" s="195"/>
      <c r="DF112" s="12">
        <v>81</v>
      </c>
      <c r="DG112" s="195"/>
      <c r="DH112" s="195"/>
      <c r="DI112" s="195"/>
      <c r="DJ112" s="195"/>
      <c r="DK112" s="195"/>
      <c r="DL112" s="195"/>
      <c r="DM112" s="195"/>
      <c r="DN112" s="195"/>
      <c r="DO112" s="195"/>
      <c r="DP112" s="195"/>
      <c r="DQ112" s="195"/>
      <c r="DR112" s="195"/>
      <c r="DS112" s="195"/>
      <c r="DT112" s="195"/>
      <c r="DU112" s="195"/>
      <c r="DV112" s="195"/>
      <c r="DW112" s="195"/>
      <c r="DX112" s="12">
        <v>81</v>
      </c>
      <c r="DY112" s="195"/>
      <c r="DZ112" s="195"/>
      <c r="EA112" s="195"/>
      <c r="EB112" s="195"/>
      <c r="EC112" s="195"/>
      <c r="ED112" s="195"/>
      <c r="EE112" s="195"/>
      <c r="EF112" s="195"/>
      <c r="EG112" s="195"/>
      <c r="EH112" s="195"/>
      <c r="EI112" s="195"/>
      <c r="EJ112" s="195"/>
      <c r="EK112" s="195"/>
      <c r="EL112" s="195"/>
      <c r="EM112" s="195"/>
      <c r="EN112" s="195"/>
      <c r="EO112" s="195"/>
      <c r="EP112" s="12">
        <v>81</v>
      </c>
      <c r="EQ112" s="195"/>
      <c r="ER112" s="195"/>
      <c r="ES112" s="195"/>
      <c r="ET112" s="195"/>
      <c r="EU112" s="195"/>
      <c r="EV112" s="195"/>
      <c r="EW112" s="195"/>
      <c r="EX112" s="195"/>
      <c r="EY112" s="195"/>
      <c r="EZ112" s="195"/>
      <c r="FA112" s="195"/>
      <c r="FB112" s="195"/>
      <c r="FC112" s="195"/>
      <c r="FD112" s="195"/>
      <c r="FE112" s="195"/>
      <c r="FF112" s="195"/>
      <c r="FG112" s="195"/>
      <c r="FH112" s="12">
        <v>81</v>
      </c>
      <c r="FI112" s="195"/>
      <c r="FJ112" s="195"/>
      <c r="FK112" s="195"/>
      <c r="FL112" s="195"/>
      <c r="FM112" s="195"/>
      <c r="FN112" s="195"/>
      <c r="FO112" s="195"/>
      <c r="FP112" s="195"/>
      <c r="FQ112" s="195"/>
      <c r="FR112" s="195"/>
      <c r="FS112" s="195"/>
      <c r="FT112" s="195"/>
      <c r="FU112" s="195"/>
      <c r="FV112" s="195"/>
      <c r="FW112" s="195"/>
      <c r="FX112" s="195"/>
      <c r="FY112" s="195"/>
    </row>
    <row r="113" spans="2:181" x14ac:dyDescent="0.25">
      <c r="B113" s="12">
        <v>82</v>
      </c>
      <c r="C113" s="195"/>
      <c r="D113" s="195"/>
      <c r="E113" s="195"/>
      <c r="F113" s="195"/>
      <c r="G113" s="195"/>
      <c r="H113" s="195"/>
      <c r="I113" s="195"/>
      <c r="J113" s="195"/>
      <c r="K113" s="195"/>
      <c r="L113" s="195"/>
      <c r="M113" s="195"/>
      <c r="N113" s="195"/>
      <c r="O113" s="195"/>
      <c r="P113" s="195"/>
      <c r="Q113" s="195"/>
      <c r="R113" s="195"/>
      <c r="S113" s="195"/>
      <c r="T113" s="12">
        <v>82</v>
      </c>
      <c r="U113" s="195"/>
      <c r="V113" s="195"/>
      <c r="W113" s="195"/>
      <c r="X113" s="195"/>
      <c r="Y113" s="195"/>
      <c r="Z113" s="195"/>
      <c r="AA113" s="195"/>
      <c r="AB113" s="195"/>
      <c r="AC113" s="195"/>
      <c r="AD113" s="195"/>
      <c r="AE113" s="195"/>
      <c r="AF113" s="195"/>
      <c r="AG113" s="195"/>
      <c r="AH113" s="195"/>
      <c r="AI113" s="195"/>
      <c r="AJ113" s="195"/>
      <c r="AK113" s="195"/>
      <c r="AL113" s="12">
        <v>82</v>
      </c>
      <c r="AM113" s="195"/>
      <c r="AN113" s="195"/>
      <c r="AO113" s="195"/>
      <c r="AP113" s="195"/>
      <c r="AQ113" s="195"/>
      <c r="AR113" s="195"/>
      <c r="AS113" s="195"/>
      <c r="AT113" s="195"/>
      <c r="AU113" s="195"/>
      <c r="AV113" s="195"/>
      <c r="AW113" s="195"/>
      <c r="AX113" s="195"/>
      <c r="AY113" s="195"/>
      <c r="AZ113" s="195"/>
      <c r="BA113" s="195"/>
      <c r="BB113" s="195"/>
      <c r="BC113" s="195"/>
      <c r="BD113" s="12">
        <v>82</v>
      </c>
      <c r="BE113" s="195"/>
      <c r="BF113" s="195"/>
      <c r="BG113" s="195"/>
      <c r="BH113" s="195"/>
      <c r="BI113" s="195"/>
      <c r="BJ113" s="195"/>
      <c r="BK113" s="195"/>
      <c r="BL113" s="195"/>
      <c r="BM113" s="195"/>
      <c r="BN113" s="195"/>
      <c r="BO113" s="195"/>
      <c r="BP113" s="195"/>
      <c r="BQ113" s="195"/>
      <c r="BR113" s="195"/>
      <c r="BS113" s="195"/>
      <c r="BT113" s="195"/>
      <c r="BU113" s="195"/>
      <c r="BV113" s="12">
        <v>82</v>
      </c>
      <c r="BW113" s="195"/>
      <c r="BX113" s="195"/>
      <c r="BY113" s="195"/>
      <c r="BZ113" s="195"/>
      <c r="CA113" s="195"/>
      <c r="CB113" s="195"/>
      <c r="CC113" s="195"/>
      <c r="CD113" s="195"/>
      <c r="CE113" s="195"/>
      <c r="CF113" s="195"/>
      <c r="CG113" s="195"/>
      <c r="CH113" s="195"/>
      <c r="CI113" s="195"/>
      <c r="CJ113" s="195"/>
      <c r="CK113" s="195"/>
      <c r="CL113" s="195"/>
      <c r="CM113" s="195"/>
      <c r="CN113" s="12">
        <v>82</v>
      </c>
      <c r="CO113" s="195"/>
      <c r="CP113" s="195"/>
      <c r="CQ113" s="195"/>
      <c r="CR113" s="195"/>
      <c r="CS113" s="195"/>
      <c r="CT113" s="195"/>
      <c r="CU113" s="195"/>
      <c r="CV113" s="195"/>
      <c r="CW113" s="195"/>
      <c r="CX113" s="195"/>
      <c r="CY113" s="195"/>
      <c r="CZ113" s="195"/>
      <c r="DA113" s="195"/>
      <c r="DB113" s="195"/>
      <c r="DC113" s="195"/>
      <c r="DD113" s="195"/>
      <c r="DE113" s="195"/>
      <c r="DF113" s="12">
        <v>82</v>
      </c>
      <c r="DG113" s="195"/>
      <c r="DH113" s="195"/>
      <c r="DI113" s="195"/>
      <c r="DJ113" s="195"/>
      <c r="DK113" s="195"/>
      <c r="DL113" s="195"/>
      <c r="DM113" s="195"/>
      <c r="DN113" s="195"/>
      <c r="DO113" s="195"/>
      <c r="DP113" s="195"/>
      <c r="DQ113" s="195"/>
      <c r="DR113" s="195"/>
      <c r="DS113" s="195"/>
      <c r="DT113" s="195"/>
      <c r="DU113" s="195"/>
      <c r="DV113" s="195"/>
      <c r="DW113" s="195"/>
      <c r="DX113" s="12">
        <v>82</v>
      </c>
      <c r="DY113" s="195"/>
      <c r="DZ113" s="195"/>
      <c r="EA113" s="195"/>
      <c r="EB113" s="195"/>
      <c r="EC113" s="195"/>
      <c r="ED113" s="195"/>
      <c r="EE113" s="195"/>
      <c r="EF113" s="195"/>
      <c r="EG113" s="195"/>
      <c r="EH113" s="195"/>
      <c r="EI113" s="195"/>
      <c r="EJ113" s="195"/>
      <c r="EK113" s="195"/>
      <c r="EL113" s="195"/>
      <c r="EM113" s="195"/>
      <c r="EN113" s="195"/>
      <c r="EO113" s="195"/>
      <c r="EP113" s="12">
        <v>82</v>
      </c>
      <c r="EQ113" s="195"/>
      <c r="ER113" s="195"/>
      <c r="ES113" s="195"/>
      <c r="ET113" s="195"/>
      <c r="EU113" s="195"/>
      <c r="EV113" s="195"/>
      <c r="EW113" s="195"/>
      <c r="EX113" s="195"/>
      <c r="EY113" s="195"/>
      <c r="EZ113" s="195"/>
      <c r="FA113" s="195"/>
      <c r="FB113" s="195"/>
      <c r="FC113" s="195"/>
      <c r="FD113" s="195"/>
      <c r="FE113" s="195"/>
      <c r="FF113" s="195"/>
      <c r="FG113" s="195"/>
      <c r="FH113" s="12">
        <v>82</v>
      </c>
      <c r="FI113" s="195"/>
      <c r="FJ113" s="195"/>
      <c r="FK113" s="195"/>
      <c r="FL113" s="195"/>
      <c r="FM113" s="195"/>
      <c r="FN113" s="195"/>
      <c r="FO113" s="195"/>
      <c r="FP113" s="195"/>
      <c r="FQ113" s="195"/>
      <c r="FR113" s="195"/>
      <c r="FS113" s="195"/>
      <c r="FT113" s="195"/>
      <c r="FU113" s="195"/>
      <c r="FV113" s="195"/>
      <c r="FW113" s="195"/>
      <c r="FX113" s="195"/>
      <c r="FY113" s="195"/>
    </row>
    <row r="114" spans="2:181" x14ac:dyDescent="0.25">
      <c r="B114" s="12">
        <v>83</v>
      </c>
      <c r="C114" s="195"/>
      <c r="D114" s="195"/>
      <c r="E114" s="195"/>
      <c r="F114" s="195"/>
      <c r="G114" s="195"/>
      <c r="H114" s="195"/>
      <c r="I114" s="195"/>
      <c r="J114" s="195"/>
      <c r="K114" s="195"/>
      <c r="L114" s="195"/>
      <c r="M114" s="195"/>
      <c r="N114" s="195"/>
      <c r="O114" s="195"/>
      <c r="P114" s="195"/>
      <c r="Q114" s="195"/>
      <c r="R114" s="195"/>
      <c r="S114" s="195"/>
      <c r="T114" s="12">
        <v>83</v>
      </c>
      <c r="U114" s="195"/>
      <c r="V114" s="195"/>
      <c r="W114" s="195"/>
      <c r="X114" s="195"/>
      <c r="Y114" s="195"/>
      <c r="Z114" s="195"/>
      <c r="AA114" s="195"/>
      <c r="AB114" s="195"/>
      <c r="AC114" s="195"/>
      <c r="AD114" s="195"/>
      <c r="AE114" s="195"/>
      <c r="AF114" s="195"/>
      <c r="AG114" s="195"/>
      <c r="AH114" s="195"/>
      <c r="AI114" s="195"/>
      <c r="AJ114" s="195"/>
      <c r="AK114" s="195"/>
      <c r="AL114" s="12">
        <v>83</v>
      </c>
      <c r="AM114" s="195"/>
      <c r="AN114" s="195"/>
      <c r="AO114" s="195"/>
      <c r="AP114" s="195"/>
      <c r="AQ114" s="195"/>
      <c r="AR114" s="195"/>
      <c r="AS114" s="195"/>
      <c r="AT114" s="195"/>
      <c r="AU114" s="195"/>
      <c r="AV114" s="195"/>
      <c r="AW114" s="195"/>
      <c r="AX114" s="195"/>
      <c r="AY114" s="195"/>
      <c r="AZ114" s="195"/>
      <c r="BA114" s="195"/>
      <c r="BB114" s="195"/>
      <c r="BC114" s="195"/>
      <c r="BD114" s="12">
        <v>83</v>
      </c>
      <c r="BE114" s="195"/>
      <c r="BF114" s="195"/>
      <c r="BG114" s="195"/>
      <c r="BH114" s="195"/>
      <c r="BI114" s="195"/>
      <c r="BJ114" s="195"/>
      <c r="BK114" s="195"/>
      <c r="BL114" s="195"/>
      <c r="BM114" s="195"/>
      <c r="BN114" s="195"/>
      <c r="BO114" s="195"/>
      <c r="BP114" s="195"/>
      <c r="BQ114" s="195"/>
      <c r="BR114" s="195"/>
      <c r="BS114" s="195"/>
      <c r="BT114" s="195"/>
      <c r="BU114" s="195"/>
      <c r="BV114" s="12">
        <v>83</v>
      </c>
      <c r="BW114" s="195"/>
      <c r="BX114" s="195"/>
      <c r="BY114" s="195"/>
      <c r="BZ114" s="195"/>
      <c r="CA114" s="195"/>
      <c r="CB114" s="195"/>
      <c r="CC114" s="195"/>
      <c r="CD114" s="195"/>
      <c r="CE114" s="195"/>
      <c r="CF114" s="195"/>
      <c r="CG114" s="195"/>
      <c r="CH114" s="195"/>
      <c r="CI114" s="195"/>
      <c r="CJ114" s="195"/>
      <c r="CK114" s="195"/>
      <c r="CL114" s="195"/>
      <c r="CM114" s="195"/>
      <c r="CN114" s="12">
        <v>83</v>
      </c>
      <c r="CO114" s="195"/>
      <c r="CP114" s="195"/>
      <c r="CQ114" s="195"/>
      <c r="CR114" s="195"/>
      <c r="CS114" s="195"/>
      <c r="CT114" s="195"/>
      <c r="CU114" s="195"/>
      <c r="CV114" s="195"/>
      <c r="CW114" s="195"/>
      <c r="CX114" s="195"/>
      <c r="CY114" s="195"/>
      <c r="CZ114" s="195"/>
      <c r="DA114" s="195"/>
      <c r="DB114" s="195"/>
      <c r="DC114" s="195"/>
      <c r="DD114" s="195"/>
      <c r="DE114" s="195"/>
      <c r="DF114" s="12">
        <v>83</v>
      </c>
      <c r="DG114" s="195"/>
      <c r="DH114" s="195"/>
      <c r="DI114" s="195"/>
      <c r="DJ114" s="195"/>
      <c r="DK114" s="195"/>
      <c r="DL114" s="195"/>
      <c r="DM114" s="195"/>
      <c r="DN114" s="195"/>
      <c r="DO114" s="195"/>
      <c r="DP114" s="195"/>
      <c r="DQ114" s="195"/>
      <c r="DR114" s="195"/>
      <c r="DS114" s="195"/>
      <c r="DT114" s="195"/>
      <c r="DU114" s="195"/>
      <c r="DV114" s="195"/>
      <c r="DW114" s="195"/>
      <c r="DX114" s="12">
        <v>83</v>
      </c>
      <c r="DY114" s="195"/>
      <c r="DZ114" s="195"/>
      <c r="EA114" s="195"/>
      <c r="EB114" s="195"/>
      <c r="EC114" s="195"/>
      <c r="ED114" s="195"/>
      <c r="EE114" s="195"/>
      <c r="EF114" s="195"/>
      <c r="EG114" s="195"/>
      <c r="EH114" s="195"/>
      <c r="EI114" s="195"/>
      <c r="EJ114" s="195"/>
      <c r="EK114" s="195"/>
      <c r="EL114" s="195"/>
      <c r="EM114" s="195"/>
      <c r="EN114" s="195"/>
      <c r="EO114" s="195"/>
      <c r="EP114" s="12">
        <v>83</v>
      </c>
      <c r="EQ114" s="195"/>
      <c r="ER114" s="195"/>
      <c r="ES114" s="195"/>
      <c r="ET114" s="195"/>
      <c r="EU114" s="195"/>
      <c r="EV114" s="195"/>
      <c r="EW114" s="195"/>
      <c r="EX114" s="195"/>
      <c r="EY114" s="195"/>
      <c r="EZ114" s="195"/>
      <c r="FA114" s="195"/>
      <c r="FB114" s="195"/>
      <c r="FC114" s="195"/>
      <c r="FD114" s="195"/>
      <c r="FE114" s="195"/>
      <c r="FF114" s="195"/>
      <c r="FG114" s="195"/>
      <c r="FH114" s="12">
        <v>83</v>
      </c>
      <c r="FI114" s="195"/>
      <c r="FJ114" s="195"/>
      <c r="FK114" s="195"/>
      <c r="FL114" s="195"/>
      <c r="FM114" s="195"/>
      <c r="FN114" s="195"/>
      <c r="FO114" s="195"/>
      <c r="FP114" s="195"/>
      <c r="FQ114" s="195"/>
      <c r="FR114" s="195"/>
      <c r="FS114" s="195"/>
      <c r="FT114" s="195"/>
      <c r="FU114" s="195"/>
      <c r="FV114" s="195"/>
      <c r="FW114" s="195"/>
      <c r="FX114" s="195"/>
      <c r="FY114" s="195"/>
    </row>
    <row r="115" spans="2:181" x14ac:dyDescent="0.25">
      <c r="B115" s="12">
        <v>84</v>
      </c>
      <c r="C115" s="195"/>
      <c r="D115" s="195"/>
      <c r="E115" s="195"/>
      <c r="F115" s="195"/>
      <c r="G115" s="195"/>
      <c r="H115" s="195"/>
      <c r="I115" s="195"/>
      <c r="J115" s="195"/>
      <c r="K115" s="195"/>
      <c r="L115" s="195"/>
      <c r="M115" s="195"/>
      <c r="N115" s="195"/>
      <c r="O115" s="195"/>
      <c r="P115" s="195"/>
      <c r="Q115" s="195"/>
      <c r="R115" s="195"/>
      <c r="S115" s="195"/>
      <c r="T115" s="12">
        <v>84</v>
      </c>
      <c r="U115" s="195"/>
      <c r="V115" s="195"/>
      <c r="W115" s="195"/>
      <c r="X115" s="195"/>
      <c r="Y115" s="195"/>
      <c r="Z115" s="195"/>
      <c r="AA115" s="195"/>
      <c r="AB115" s="195"/>
      <c r="AC115" s="195"/>
      <c r="AD115" s="195"/>
      <c r="AE115" s="195"/>
      <c r="AF115" s="195"/>
      <c r="AG115" s="195"/>
      <c r="AH115" s="195"/>
      <c r="AI115" s="195"/>
      <c r="AJ115" s="195"/>
      <c r="AK115" s="195"/>
      <c r="AL115" s="12">
        <v>84</v>
      </c>
      <c r="AM115" s="195"/>
      <c r="AN115" s="195"/>
      <c r="AO115" s="195"/>
      <c r="AP115" s="195"/>
      <c r="AQ115" s="195"/>
      <c r="AR115" s="195"/>
      <c r="AS115" s="195"/>
      <c r="AT115" s="195"/>
      <c r="AU115" s="195"/>
      <c r="AV115" s="195"/>
      <c r="AW115" s="195"/>
      <c r="AX115" s="195"/>
      <c r="AY115" s="195"/>
      <c r="AZ115" s="195"/>
      <c r="BA115" s="195"/>
      <c r="BB115" s="195"/>
      <c r="BC115" s="195"/>
      <c r="BD115" s="12">
        <v>84</v>
      </c>
      <c r="BE115" s="195"/>
      <c r="BF115" s="195"/>
      <c r="BG115" s="195"/>
      <c r="BH115" s="195"/>
      <c r="BI115" s="195"/>
      <c r="BJ115" s="195"/>
      <c r="BK115" s="195"/>
      <c r="BL115" s="195"/>
      <c r="BM115" s="195"/>
      <c r="BN115" s="195"/>
      <c r="BO115" s="195"/>
      <c r="BP115" s="195"/>
      <c r="BQ115" s="195"/>
      <c r="BR115" s="195"/>
      <c r="BS115" s="195"/>
      <c r="BT115" s="195"/>
      <c r="BU115" s="195"/>
      <c r="BV115" s="12">
        <v>84</v>
      </c>
      <c r="BW115" s="195"/>
      <c r="BX115" s="195"/>
      <c r="BY115" s="195"/>
      <c r="BZ115" s="195"/>
      <c r="CA115" s="195"/>
      <c r="CB115" s="195"/>
      <c r="CC115" s="195"/>
      <c r="CD115" s="195"/>
      <c r="CE115" s="195"/>
      <c r="CF115" s="195"/>
      <c r="CG115" s="195"/>
      <c r="CH115" s="195"/>
      <c r="CI115" s="195"/>
      <c r="CJ115" s="195"/>
      <c r="CK115" s="195"/>
      <c r="CL115" s="195"/>
      <c r="CM115" s="195"/>
      <c r="CN115" s="12">
        <v>84</v>
      </c>
      <c r="CO115" s="195"/>
      <c r="CP115" s="195"/>
      <c r="CQ115" s="195"/>
      <c r="CR115" s="195"/>
      <c r="CS115" s="195"/>
      <c r="CT115" s="195"/>
      <c r="CU115" s="195"/>
      <c r="CV115" s="195"/>
      <c r="CW115" s="195"/>
      <c r="CX115" s="195"/>
      <c r="CY115" s="195"/>
      <c r="CZ115" s="195"/>
      <c r="DA115" s="195"/>
      <c r="DB115" s="195"/>
      <c r="DC115" s="195"/>
      <c r="DD115" s="195"/>
      <c r="DE115" s="195"/>
      <c r="DF115" s="12">
        <v>84</v>
      </c>
      <c r="DG115" s="195"/>
      <c r="DH115" s="195"/>
      <c r="DI115" s="195"/>
      <c r="DJ115" s="195"/>
      <c r="DK115" s="195"/>
      <c r="DL115" s="195"/>
      <c r="DM115" s="195"/>
      <c r="DN115" s="195"/>
      <c r="DO115" s="195"/>
      <c r="DP115" s="195"/>
      <c r="DQ115" s="195"/>
      <c r="DR115" s="195"/>
      <c r="DS115" s="195"/>
      <c r="DT115" s="195"/>
      <c r="DU115" s="195"/>
      <c r="DV115" s="195"/>
      <c r="DW115" s="195"/>
      <c r="DX115" s="12">
        <v>84</v>
      </c>
      <c r="DY115" s="195"/>
      <c r="DZ115" s="195"/>
      <c r="EA115" s="195"/>
      <c r="EB115" s="195"/>
      <c r="EC115" s="195"/>
      <c r="ED115" s="195"/>
      <c r="EE115" s="195"/>
      <c r="EF115" s="195"/>
      <c r="EG115" s="195"/>
      <c r="EH115" s="195"/>
      <c r="EI115" s="195"/>
      <c r="EJ115" s="195"/>
      <c r="EK115" s="195"/>
      <c r="EL115" s="195"/>
      <c r="EM115" s="195"/>
      <c r="EN115" s="195"/>
      <c r="EO115" s="195"/>
      <c r="EP115" s="12">
        <v>84</v>
      </c>
      <c r="EQ115" s="195"/>
      <c r="ER115" s="195"/>
      <c r="ES115" s="195"/>
      <c r="ET115" s="195"/>
      <c r="EU115" s="195"/>
      <c r="EV115" s="195"/>
      <c r="EW115" s="195"/>
      <c r="EX115" s="195"/>
      <c r="EY115" s="195"/>
      <c r="EZ115" s="195"/>
      <c r="FA115" s="195"/>
      <c r="FB115" s="195"/>
      <c r="FC115" s="195"/>
      <c r="FD115" s="195"/>
      <c r="FE115" s="195"/>
      <c r="FF115" s="195"/>
      <c r="FG115" s="195"/>
      <c r="FH115" s="12">
        <v>84</v>
      </c>
      <c r="FI115" s="195"/>
      <c r="FJ115" s="195"/>
      <c r="FK115" s="195"/>
      <c r="FL115" s="195"/>
      <c r="FM115" s="195"/>
      <c r="FN115" s="195"/>
      <c r="FO115" s="195"/>
      <c r="FP115" s="195"/>
      <c r="FQ115" s="195"/>
      <c r="FR115" s="195"/>
      <c r="FS115" s="195"/>
      <c r="FT115" s="195"/>
      <c r="FU115" s="195"/>
      <c r="FV115" s="195"/>
      <c r="FW115" s="195"/>
      <c r="FX115" s="195"/>
      <c r="FY115" s="195"/>
    </row>
    <row r="116" spans="2:181" x14ac:dyDescent="0.25">
      <c r="B116" s="12">
        <v>85</v>
      </c>
      <c r="C116" s="195"/>
      <c r="D116" s="195"/>
      <c r="E116" s="195"/>
      <c r="F116" s="195"/>
      <c r="G116" s="195"/>
      <c r="H116" s="195"/>
      <c r="I116" s="195"/>
      <c r="J116" s="195"/>
      <c r="K116" s="195"/>
      <c r="L116" s="195"/>
      <c r="M116" s="195"/>
      <c r="N116" s="195"/>
      <c r="O116" s="195"/>
      <c r="P116" s="195"/>
      <c r="Q116" s="195"/>
      <c r="R116" s="195"/>
      <c r="S116" s="195"/>
      <c r="T116" s="12">
        <v>85</v>
      </c>
      <c r="U116" s="195"/>
      <c r="V116" s="195"/>
      <c r="W116" s="195"/>
      <c r="X116" s="195"/>
      <c r="Y116" s="195"/>
      <c r="Z116" s="195"/>
      <c r="AA116" s="195"/>
      <c r="AB116" s="195"/>
      <c r="AC116" s="195"/>
      <c r="AD116" s="195"/>
      <c r="AE116" s="195"/>
      <c r="AF116" s="195"/>
      <c r="AG116" s="195"/>
      <c r="AH116" s="195"/>
      <c r="AI116" s="195"/>
      <c r="AJ116" s="195"/>
      <c r="AK116" s="195"/>
      <c r="AL116" s="12">
        <v>85</v>
      </c>
      <c r="AM116" s="195"/>
      <c r="AN116" s="195"/>
      <c r="AO116" s="195"/>
      <c r="AP116" s="195"/>
      <c r="AQ116" s="195"/>
      <c r="AR116" s="195"/>
      <c r="AS116" s="195"/>
      <c r="AT116" s="195"/>
      <c r="AU116" s="195"/>
      <c r="AV116" s="195"/>
      <c r="AW116" s="195"/>
      <c r="AX116" s="195"/>
      <c r="AY116" s="195"/>
      <c r="AZ116" s="195"/>
      <c r="BA116" s="195"/>
      <c r="BB116" s="195"/>
      <c r="BC116" s="195"/>
      <c r="BD116" s="12">
        <v>85</v>
      </c>
      <c r="BE116" s="195"/>
      <c r="BF116" s="195"/>
      <c r="BG116" s="195"/>
      <c r="BH116" s="195"/>
      <c r="BI116" s="195"/>
      <c r="BJ116" s="195"/>
      <c r="BK116" s="195"/>
      <c r="BL116" s="195"/>
      <c r="BM116" s="195"/>
      <c r="BN116" s="195"/>
      <c r="BO116" s="195"/>
      <c r="BP116" s="195"/>
      <c r="BQ116" s="195"/>
      <c r="BR116" s="195"/>
      <c r="BS116" s="195"/>
      <c r="BT116" s="195"/>
      <c r="BU116" s="195"/>
      <c r="BV116" s="12">
        <v>85</v>
      </c>
      <c r="BW116" s="195"/>
      <c r="BX116" s="195"/>
      <c r="BY116" s="195"/>
      <c r="BZ116" s="195"/>
      <c r="CA116" s="195"/>
      <c r="CB116" s="195"/>
      <c r="CC116" s="195"/>
      <c r="CD116" s="195"/>
      <c r="CE116" s="195"/>
      <c r="CF116" s="195"/>
      <c r="CG116" s="195"/>
      <c r="CH116" s="195"/>
      <c r="CI116" s="195"/>
      <c r="CJ116" s="195"/>
      <c r="CK116" s="195"/>
      <c r="CL116" s="195"/>
      <c r="CM116" s="195"/>
      <c r="CN116" s="12">
        <v>85</v>
      </c>
      <c r="CO116" s="195"/>
      <c r="CP116" s="195"/>
      <c r="CQ116" s="195"/>
      <c r="CR116" s="195"/>
      <c r="CS116" s="195"/>
      <c r="CT116" s="195"/>
      <c r="CU116" s="195"/>
      <c r="CV116" s="195"/>
      <c r="CW116" s="195"/>
      <c r="CX116" s="195"/>
      <c r="CY116" s="195"/>
      <c r="CZ116" s="195"/>
      <c r="DA116" s="195"/>
      <c r="DB116" s="195"/>
      <c r="DC116" s="195"/>
      <c r="DD116" s="195"/>
      <c r="DE116" s="195"/>
      <c r="DF116" s="12">
        <v>85</v>
      </c>
      <c r="DG116" s="195"/>
      <c r="DH116" s="195"/>
      <c r="DI116" s="195"/>
      <c r="DJ116" s="195"/>
      <c r="DK116" s="195"/>
      <c r="DL116" s="195"/>
      <c r="DM116" s="195"/>
      <c r="DN116" s="195"/>
      <c r="DO116" s="195"/>
      <c r="DP116" s="195"/>
      <c r="DQ116" s="195"/>
      <c r="DR116" s="195"/>
      <c r="DS116" s="195"/>
      <c r="DT116" s="195"/>
      <c r="DU116" s="195"/>
      <c r="DV116" s="195"/>
      <c r="DW116" s="195"/>
      <c r="DX116" s="12">
        <v>85</v>
      </c>
      <c r="DY116" s="195"/>
      <c r="DZ116" s="195"/>
      <c r="EA116" s="195"/>
      <c r="EB116" s="195"/>
      <c r="EC116" s="195"/>
      <c r="ED116" s="195"/>
      <c r="EE116" s="195"/>
      <c r="EF116" s="195"/>
      <c r="EG116" s="195"/>
      <c r="EH116" s="195"/>
      <c r="EI116" s="195"/>
      <c r="EJ116" s="195"/>
      <c r="EK116" s="195"/>
      <c r="EL116" s="195"/>
      <c r="EM116" s="195"/>
      <c r="EN116" s="195"/>
      <c r="EO116" s="195"/>
      <c r="EP116" s="12">
        <v>85</v>
      </c>
      <c r="EQ116" s="195"/>
      <c r="ER116" s="195"/>
      <c r="ES116" s="195"/>
      <c r="ET116" s="195"/>
      <c r="EU116" s="195"/>
      <c r="EV116" s="195"/>
      <c r="EW116" s="195"/>
      <c r="EX116" s="195"/>
      <c r="EY116" s="195"/>
      <c r="EZ116" s="195"/>
      <c r="FA116" s="195"/>
      <c r="FB116" s="195"/>
      <c r="FC116" s="195"/>
      <c r="FD116" s="195"/>
      <c r="FE116" s="195"/>
      <c r="FF116" s="195"/>
      <c r="FG116" s="195"/>
      <c r="FH116" s="12">
        <v>85</v>
      </c>
      <c r="FI116" s="195"/>
      <c r="FJ116" s="195"/>
      <c r="FK116" s="195"/>
      <c r="FL116" s="195"/>
      <c r="FM116" s="195"/>
      <c r="FN116" s="195"/>
      <c r="FO116" s="195"/>
      <c r="FP116" s="195"/>
      <c r="FQ116" s="195"/>
      <c r="FR116" s="195"/>
      <c r="FS116" s="195"/>
      <c r="FT116" s="195"/>
      <c r="FU116" s="195"/>
      <c r="FV116" s="195"/>
      <c r="FW116" s="195"/>
      <c r="FX116" s="195"/>
      <c r="FY116" s="195"/>
    </row>
    <row r="117" spans="2:181" x14ac:dyDescent="0.25">
      <c r="B117" s="12">
        <v>86</v>
      </c>
      <c r="C117" s="195"/>
      <c r="D117" s="195"/>
      <c r="E117" s="195"/>
      <c r="F117" s="195"/>
      <c r="G117" s="195"/>
      <c r="H117" s="195"/>
      <c r="I117" s="195"/>
      <c r="J117" s="195"/>
      <c r="K117" s="195"/>
      <c r="L117" s="195"/>
      <c r="M117" s="195"/>
      <c r="N117" s="195"/>
      <c r="O117" s="195"/>
      <c r="P117" s="195"/>
      <c r="Q117" s="195"/>
      <c r="R117" s="195"/>
      <c r="S117" s="195"/>
      <c r="T117" s="12">
        <v>86</v>
      </c>
      <c r="U117" s="195"/>
      <c r="V117" s="195"/>
      <c r="W117" s="195"/>
      <c r="X117" s="195"/>
      <c r="Y117" s="195"/>
      <c r="Z117" s="195"/>
      <c r="AA117" s="195"/>
      <c r="AB117" s="195"/>
      <c r="AC117" s="195"/>
      <c r="AD117" s="195"/>
      <c r="AE117" s="195"/>
      <c r="AF117" s="195"/>
      <c r="AG117" s="195"/>
      <c r="AH117" s="195"/>
      <c r="AI117" s="195"/>
      <c r="AJ117" s="195"/>
      <c r="AK117" s="195"/>
      <c r="AL117" s="12">
        <v>86</v>
      </c>
      <c r="AM117" s="195"/>
      <c r="AN117" s="195"/>
      <c r="AO117" s="195"/>
      <c r="AP117" s="195"/>
      <c r="AQ117" s="195"/>
      <c r="AR117" s="195"/>
      <c r="AS117" s="195"/>
      <c r="AT117" s="195"/>
      <c r="AU117" s="195"/>
      <c r="AV117" s="195"/>
      <c r="AW117" s="195"/>
      <c r="AX117" s="195"/>
      <c r="AY117" s="195"/>
      <c r="AZ117" s="195"/>
      <c r="BA117" s="195"/>
      <c r="BB117" s="195"/>
      <c r="BC117" s="195"/>
      <c r="BD117" s="12">
        <v>86</v>
      </c>
      <c r="BE117" s="195"/>
      <c r="BF117" s="195"/>
      <c r="BG117" s="195"/>
      <c r="BH117" s="195"/>
      <c r="BI117" s="195"/>
      <c r="BJ117" s="195"/>
      <c r="BK117" s="195"/>
      <c r="BL117" s="195"/>
      <c r="BM117" s="195"/>
      <c r="BN117" s="195"/>
      <c r="BO117" s="195"/>
      <c r="BP117" s="195"/>
      <c r="BQ117" s="195"/>
      <c r="BR117" s="195"/>
      <c r="BS117" s="195"/>
      <c r="BT117" s="195"/>
      <c r="BU117" s="195"/>
      <c r="BV117" s="12">
        <v>86</v>
      </c>
      <c r="BW117" s="195"/>
      <c r="BX117" s="195"/>
      <c r="BY117" s="195"/>
      <c r="BZ117" s="195"/>
      <c r="CA117" s="195"/>
      <c r="CB117" s="195"/>
      <c r="CC117" s="195"/>
      <c r="CD117" s="195"/>
      <c r="CE117" s="195"/>
      <c r="CF117" s="195"/>
      <c r="CG117" s="195"/>
      <c r="CH117" s="195"/>
      <c r="CI117" s="195"/>
      <c r="CJ117" s="195"/>
      <c r="CK117" s="195"/>
      <c r="CL117" s="195"/>
      <c r="CM117" s="195"/>
      <c r="CN117" s="12">
        <v>86</v>
      </c>
      <c r="CO117" s="195"/>
      <c r="CP117" s="195"/>
      <c r="CQ117" s="195"/>
      <c r="CR117" s="195"/>
      <c r="CS117" s="195"/>
      <c r="CT117" s="195"/>
      <c r="CU117" s="195"/>
      <c r="CV117" s="195"/>
      <c r="CW117" s="195"/>
      <c r="CX117" s="195"/>
      <c r="CY117" s="195"/>
      <c r="CZ117" s="195"/>
      <c r="DA117" s="195"/>
      <c r="DB117" s="195"/>
      <c r="DC117" s="195"/>
      <c r="DD117" s="195"/>
      <c r="DE117" s="195"/>
      <c r="DF117" s="12">
        <v>86</v>
      </c>
      <c r="DG117" s="195"/>
      <c r="DH117" s="195"/>
      <c r="DI117" s="195"/>
      <c r="DJ117" s="195"/>
      <c r="DK117" s="195"/>
      <c r="DL117" s="195"/>
      <c r="DM117" s="195"/>
      <c r="DN117" s="195"/>
      <c r="DO117" s="195"/>
      <c r="DP117" s="195"/>
      <c r="DQ117" s="195"/>
      <c r="DR117" s="195"/>
      <c r="DS117" s="195"/>
      <c r="DT117" s="195"/>
      <c r="DU117" s="195"/>
      <c r="DV117" s="195"/>
      <c r="DW117" s="195"/>
      <c r="DX117" s="12">
        <v>86</v>
      </c>
      <c r="DY117" s="195"/>
      <c r="DZ117" s="195"/>
      <c r="EA117" s="195"/>
      <c r="EB117" s="195"/>
      <c r="EC117" s="195"/>
      <c r="ED117" s="195"/>
      <c r="EE117" s="195"/>
      <c r="EF117" s="195"/>
      <c r="EG117" s="195"/>
      <c r="EH117" s="195"/>
      <c r="EI117" s="195"/>
      <c r="EJ117" s="195"/>
      <c r="EK117" s="195"/>
      <c r="EL117" s="195"/>
      <c r="EM117" s="195"/>
      <c r="EN117" s="195"/>
      <c r="EO117" s="195"/>
      <c r="EP117" s="12">
        <v>86</v>
      </c>
      <c r="EQ117" s="195"/>
      <c r="ER117" s="195"/>
      <c r="ES117" s="195"/>
      <c r="ET117" s="195"/>
      <c r="EU117" s="195"/>
      <c r="EV117" s="195"/>
      <c r="EW117" s="195"/>
      <c r="EX117" s="195"/>
      <c r="EY117" s="195"/>
      <c r="EZ117" s="195"/>
      <c r="FA117" s="195"/>
      <c r="FB117" s="195"/>
      <c r="FC117" s="195"/>
      <c r="FD117" s="195"/>
      <c r="FE117" s="195"/>
      <c r="FF117" s="195"/>
      <c r="FG117" s="195"/>
      <c r="FH117" s="12">
        <v>86</v>
      </c>
      <c r="FI117" s="195"/>
      <c r="FJ117" s="195"/>
      <c r="FK117" s="195"/>
      <c r="FL117" s="195"/>
      <c r="FM117" s="195"/>
      <c r="FN117" s="195"/>
      <c r="FO117" s="195"/>
      <c r="FP117" s="195"/>
      <c r="FQ117" s="195"/>
      <c r="FR117" s="195"/>
      <c r="FS117" s="195"/>
      <c r="FT117" s="195"/>
      <c r="FU117" s="195"/>
      <c r="FV117" s="195"/>
      <c r="FW117" s="195"/>
      <c r="FX117" s="195"/>
      <c r="FY117" s="195"/>
    </row>
    <row r="118" spans="2:181" x14ac:dyDescent="0.25">
      <c r="B118" s="12">
        <v>87</v>
      </c>
      <c r="C118" s="195"/>
      <c r="D118" s="195"/>
      <c r="E118" s="195"/>
      <c r="F118" s="195"/>
      <c r="G118" s="195"/>
      <c r="H118" s="195"/>
      <c r="I118" s="195"/>
      <c r="J118" s="195"/>
      <c r="K118" s="195"/>
      <c r="L118" s="195"/>
      <c r="M118" s="195"/>
      <c r="N118" s="195"/>
      <c r="O118" s="195"/>
      <c r="P118" s="195"/>
      <c r="Q118" s="195"/>
      <c r="R118" s="195"/>
      <c r="S118" s="195"/>
      <c r="T118" s="12">
        <v>87</v>
      </c>
      <c r="U118" s="195"/>
      <c r="V118" s="195"/>
      <c r="W118" s="195"/>
      <c r="X118" s="195"/>
      <c r="Y118" s="195"/>
      <c r="Z118" s="195"/>
      <c r="AA118" s="195"/>
      <c r="AB118" s="195"/>
      <c r="AC118" s="195"/>
      <c r="AD118" s="195"/>
      <c r="AE118" s="195"/>
      <c r="AF118" s="195"/>
      <c r="AG118" s="195"/>
      <c r="AH118" s="195"/>
      <c r="AI118" s="195"/>
      <c r="AJ118" s="195"/>
      <c r="AK118" s="195"/>
      <c r="AL118" s="12">
        <v>87</v>
      </c>
      <c r="AM118" s="195"/>
      <c r="AN118" s="195"/>
      <c r="AO118" s="195"/>
      <c r="AP118" s="195"/>
      <c r="AQ118" s="195"/>
      <c r="AR118" s="195"/>
      <c r="AS118" s="195"/>
      <c r="AT118" s="195"/>
      <c r="AU118" s="195"/>
      <c r="AV118" s="195"/>
      <c r="AW118" s="195"/>
      <c r="AX118" s="195"/>
      <c r="AY118" s="195"/>
      <c r="AZ118" s="195"/>
      <c r="BA118" s="195"/>
      <c r="BB118" s="195"/>
      <c r="BC118" s="195"/>
      <c r="BD118" s="12">
        <v>87</v>
      </c>
      <c r="BE118" s="195"/>
      <c r="BF118" s="195"/>
      <c r="BG118" s="195"/>
      <c r="BH118" s="195"/>
      <c r="BI118" s="195"/>
      <c r="BJ118" s="195"/>
      <c r="BK118" s="195"/>
      <c r="BL118" s="195"/>
      <c r="BM118" s="195"/>
      <c r="BN118" s="195"/>
      <c r="BO118" s="195"/>
      <c r="BP118" s="195"/>
      <c r="BQ118" s="195"/>
      <c r="BR118" s="195"/>
      <c r="BS118" s="195"/>
      <c r="BT118" s="195"/>
      <c r="BU118" s="195"/>
      <c r="BV118" s="12">
        <v>87</v>
      </c>
      <c r="BW118" s="195"/>
      <c r="BX118" s="195"/>
      <c r="BY118" s="195"/>
      <c r="BZ118" s="195"/>
      <c r="CA118" s="195"/>
      <c r="CB118" s="195"/>
      <c r="CC118" s="195"/>
      <c r="CD118" s="195"/>
      <c r="CE118" s="195"/>
      <c r="CF118" s="195"/>
      <c r="CG118" s="195"/>
      <c r="CH118" s="195"/>
      <c r="CI118" s="195"/>
      <c r="CJ118" s="195"/>
      <c r="CK118" s="195"/>
      <c r="CL118" s="195"/>
      <c r="CM118" s="195"/>
      <c r="CN118" s="12">
        <v>87</v>
      </c>
      <c r="CO118" s="195"/>
      <c r="CP118" s="195"/>
      <c r="CQ118" s="195"/>
      <c r="CR118" s="195"/>
      <c r="CS118" s="195"/>
      <c r="CT118" s="195"/>
      <c r="CU118" s="195"/>
      <c r="CV118" s="195"/>
      <c r="CW118" s="195"/>
      <c r="CX118" s="195"/>
      <c r="CY118" s="195"/>
      <c r="CZ118" s="195"/>
      <c r="DA118" s="195"/>
      <c r="DB118" s="195"/>
      <c r="DC118" s="195"/>
      <c r="DD118" s="195"/>
      <c r="DE118" s="195"/>
      <c r="DF118" s="12">
        <v>87</v>
      </c>
      <c r="DG118" s="195"/>
      <c r="DH118" s="195"/>
      <c r="DI118" s="195"/>
      <c r="DJ118" s="195"/>
      <c r="DK118" s="195"/>
      <c r="DL118" s="195"/>
      <c r="DM118" s="195"/>
      <c r="DN118" s="195"/>
      <c r="DO118" s="195"/>
      <c r="DP118" s="195"/>
      <c r="DQ118" s="195"/>
      <c r="DR118" s="195"/>
      <c r="DS118" s="195"/>
      <c r="DT118" s="195"/>
      <c r="DU118" s="195"/>
      <c r="DV118" s="195"/>
      <c r="DW118" s="195"/>
      <c r="DX118" s="12">
        <v>87</v>
      </c>
      <c r="DY118" s="195"/>
      <c r="DZ118" s="195"/>
      <c r="EA118" s="195"/>
      <c r="EB118" s="195"/>
      <c r="EC118" s="195"/>
      <c r="ED118" s="195"/>
      <c r="EE118" s="195"/>
      <c r="EF118" s="195"/>
      <c r="EG118" s="195"/>
      <c r="EH118" s="195"/>
      <c r="EI118" s="195"/>
      <c r="EJ118" s="195"/>
      <c r="EK118" s="195"/>
      <c r="EL118" s="195"/>
      <c r="EM118" s="195"/>
      <c r="EN118" s="195"/>
      <c r="EO118" s="195"/>
      <c r="EP118" s="12">
        <v>87</v>
      </c>
      <c r="EQ118" s="195"/>
      <c r="ER118" s="195"/>
      <c r="ES118" s="195"/>
      <c r="ET118" s="195"/>
      <c r="EU118" s="195"/>
      <c r="EV118" s="195"/>
      <c r="EW118" s="195"/>
      <c r="EX118" s="195"/>
      <c r="EY118" s="195"/>
      <c r="EZ118" s="195"/>
      <c r="FA118" s="195"/>
      <c r="FB118" s="195"/>
      <c r="FC118" s="195"/>
      <c r="FD118" s="195"/>
      <c r="FE118" s="195"/>
      <c r="FF118" s="195"/>
      <c r="FG118" s="195"/>
      <c r="FH118" s="12">
        <v>87</v>
      </c>
      <c r="FI118" s="195"/>
      <c r="FJ118" s="195"/>
      <c r="FK118" s="195"/>
      <c r="FL118" s="195"/>
      <c r="FM118" s="195"/>
      <c r="FN118" s="195"/>
      <c r="FO118" s="195"/>
      <c r="FP118" s="195"/>
      <c r="FQ118" s="195"/>
      <c r="FR118" s="195"/>
      <c r="FS118" s="195"/>
      <c r="FT118" s="195"/>
      <c r="FU118" s="195"/>
      <c r="FV118" s="195"/>
      <c r="FW118" s="195"/>
      <c r="FX118" s="195"/>
      <c r="FY118" s="195"/>
    </row>
    <row r="119" spans="2:181" x14ac:dyDescent="0.25">
      <c r="B119" s="12">
        <v>88</v>
      </c>
      <c r="C119" s="195"/>
      <c r="D119" s="195"/>
      <c r="E119" s="195"/>
      <c r="F119" s="195"/>
      <c r="G119" s="195"/>
      <c r="H119" s="195"/>
      <c r="I119" s="195"/>
      <c r="J119" s="195"/>
      <c r="K119" s="195"/>
      <c r="L119" s="195"/>
      <c r="M119" s="195"/>
      <c r="N119" s="195"/>
      <c r="O119" s="195"/>
      <c r="P119" s="195"/>
      <c r="Q119" s="195"/>
      <c r="R119" s="195"/>
      <c r="S119" s="195"/>
      <c r="T119" s="12">
        <v>88</v>
      </c>
      <c r="U119" s="195"/>
      <c r="V119" s="195"/>
      <c r="W119" s="195"/>
      <c r="X119" s="195"/>
      <c r="Y119" s="195"/>
      <c r="Z119" s="195"/>
      <c r="AA119" s="195"/>
      <c r="AB119" s="195"/>
      <c r="AC119" s="195"/>
      <c r="AD119" s="195"/>
      <c r="AE119" s="195"/>
      <c r="AF119" s="195"/>
      <c r="AG119" s="195"/>
      <c r="AH119" s="195"/>
      <c r="AI119" s="195"/>
      <c r="AJ119" s="195"/>
      <c r="AK119" s="195"/>
      <c r="AL119" s="12">
        <v>88</v>
      </c>
      <c r="AM119" s="195"/>
      <c r="AN119" s="195"/>
      <c r="AO119" s="195"/>
      <c r="AP119" s="195"/>
      <c r="AQ119" s="195"/>
      <c r="AR119" s="195"/>
      <c r="AS119" s="195"/>
      <c r="AT119" s="195"/>
      <c r="AU119" s="195"/>
      <c r="AV119" s="195"/>
      <c r="AW119" s="195"/>
      <c r="AX119" s="195"/>
      <c r="AY119" s="195"/>
      <c r="AZ119" s="195"/>
      <c r="BA119" s="195"/>
      <c r="BB119" s="195"/>
      <c r="BC119" s="195"/>
      <c r="BD119" s="12">
        <v>88</v>
      </c>
      <c r="BE119" s="195"/>
      <c r="BF119" s="195"/>
      <c r="BG119" s="195"/>
      <c r="BH119" s="195"/>
      <c r="BI119" s="195"/>
      <c r="BJ119" s="195"/>
      <c r="BK119" s="195"/>
      <c r="BL119" s="195"/>
      <c r="BM119" s="195"/>
      <c r="BN119" s="195"/>
      <c r="BO119" s="195"/>
      <c r="BP119" s="195"/>
      <c r="BQ119" s="195"/>
      <c r="BR119" s="195"/>
      <c r="BS119" s="195"/>
      <c r="BT119" s="195"/>
      <c r="BU119" s="195"/>
      <c r="BV119" s="12">
        <v>88</v>
      </c>
      <c r="BW119" s="195"/>
      <c r="BX119" s="195"/>
      <c r="BY119" s="195"/>
      <c r="BZ119" s="195"/>
      <c r="CA119" s="195"/>
      <c r="CB119" s="195"/>
      <c r="CC119" s="195"/>
      <c r="CD119" s="195"/>
      <c r="CE119" s="195"/>
      <c r="CF119" s="195"/>
      <c r="CG119" s="195"/>
      <c r="CH119" s="195"/>
      <c r="CI119" s="195"/>
      <c r="CJ119" s="195"/>
      <c r="CK119" s="195"/>
      <c r="CL119" s="195"/>
      <c r="CM119" s="195"/>
      <c r="CN119" s="12">
        <v>88</v>
      </c>
      <c r="CO119" s="195"/>
      <c r="CP119" s="195"/>
      <c r="CQ119" s="195"/>
      <c r="CR119" s="195"/>
      <c r="CS119" s="195"/>
      <c r="CT119" s="195"/>
      <c r="CU119" s="195"/>
      <c r="CV119" s="195"/>
      <c r="CW119" s="195"/>
      <c r="CX119" s="195"/>
      <c r="CY119" s="195"/>
      <c r="CZ119" s="195"/>
      <c r="DA119" s="195"/>
      <c r="DB119" s="195"/>
      <c r="DC119" s="195"/>
      <c r="DD119" s="195"/>
      <c r="DE119" s="195"/>
      <c r="DF119" s="12">
        <v>88</v>
      </c>
      <c r="DG119" s="195"/>
      <c r="DH119" s="195"/>
      <c r="DI119" s="195"/>
      <c r="DJ119" s="195"/>
      <c r="DK119" s="195"/>
      <c r="DL119" s="195"/>
      <c r="DM119" s="195"/>
      <c r="DN119" s="195"/>
      <c r="DO119" s="195"/>
      <c r="DP119" s="195"/>
      <c r="DQ119" s="195"/>
      <c r="DR119" s="195"/>
      <c r="DS119" s="195"/>
      <c r="DT119" s="195"/>
      <c r="DU119" s="195"/>
      <c r="DV119" s="195"/>
      <c r="DW119" s="195"/>
      <c r="DX119" s="12">
        <v>88</v>
      </c>
      <c r="DY119" s="195"/>
      <c r="DZ119" s="195"/>
      <c r="EA119" s="195"/>
      <c r="EB119" s="195"/>
      <c r="EC119" s="195"/>
      <c r="ED119" s="195"/>
      <c r="EE119" s="195"/>
      <c r="EF119" s="195"/>
      <c r="EG119" s="195"/>
      <c r="EH119" s="195"/>
      <c r="EI119" s="195"/>
      <c r="EJ119" s="195"/>
      <c r="EK119" s="195"/>
      <c r="EL119" s="195"/>
      <c r="EM119" s="195"/>
      <c r="EN119" s="195"/>
      <c r="EO119" s="195"/>
      <c r="EP119" s="12">
        <v>88</v>
      </c>
      <c r="EQ119" s="195"/>
      <c r="ER119" s="195"/>
      <c r="ES119" s="195"/>
      <c r="ET119" s="195"/>
      <c r="EU119" s="195"/>
      <c r="EV119" s="195"/>
      <c r="EW119" s="195"/>
      <c r="EX119" s="195"/>
      <c r="EY119" s="195"/>
      <c r="EZ119" s="195"/>
      <c r="FA119" s="195"/>
      <c r="FB119" s="195"/>
      <c r="FC119" s="195"/>
      <c r="FD119" s="195"/>
      <c r="FE119" s="195"/>
      <c r="FF119" s="195"/>
      <c r="FG119" s="195"/>
      <c r="FH119" s="12">
        <v>88</v>
      </c>
      <c r="FI119" s="195"/>
      <c r="FJ119" s="195"/>
      <c r="FK119" s="195"/>
      <c r="FL119" s="195"/>
      <c r="FM119" s="195"/>
      <c r="FN119" s="195"/>
      <c r="FO119" s="195"/>
      <c r="FP119" s="195"/>
      <c r="FQ119" s="195"/>
      <c r="FR119" s="195"/>
      <c r="FS119" s="195"/>
      <c r="FT119" s="195"/>
      <c r="FU119" s="195"/>
      <c r="FV119" s="195"/>
      <c r="FW119" s="195"/>
      <c r="FX119" s="195"/>
      <c r="FY119" s="195"/>
    </row>
    <row r="120" spans="2:181" x14ac:dyDescent="0.25">
      <c r="B120" s="12">
        <v>89</v>
      </c>
      <c r="C120" s="195"/>
      <c r="D120" s="195"/>
      <c r="E120" s="195"/>
      <c r="F120" s="195"/>
      <c r="G120" s="195"/>
      <c r="H120" s="195"/>
      <c r="I120" s="195"/>
      <c r="J120" s="195"/>
      <c r="K120" s="195"/>
      <c r="L120" s="195"/>
      <c r="M120" s="195"/>
      <c r="N120" s="195"/>
      <c r="O120" s="195"/>
      <c r="P120" s="195"/>
      <c r="Q120" s="195"/>
      <c r="R120" s="195"/>
      <c r="S120" s="195"/>
      <c r="T120" s="12">
        <v>89</v>
      </c>
      <c r="U120" s="195"/>
      <c r="V120" s="195"/>
      <c r="W120" s="195"/>
      <c r="X120" s="195"/>
      <c r="Y120" s="195"/>
      <c r="Z120" s="195"/>
      <c r="AA120" s="195"/>
      <c r="AB120" s="195"/>
      <c r="AC120" s="195"/>
      <c r="AD120" s="195"/>
      <c r="AE120" s="195"/>
      <c r="AF120" s="195"/>
      <c r="AG120" s="195"/>
      <c r="AH120" s="195"/>
      <c r="AI120" s="195"/>
      <c r="AJ120" s="195"/>
      <c r="AK120" s="195"/>
      <c r="AL120" s="12">
        <v>89</v>
      </c>
      <c r="AM120" s="195"/>
      <c r="AN120" s="195"/>
      <c r="AO120" s="195"/>
      <c r="AP120" s="195"/>
      <c r="AQ120" s="195"/>
      <c r="AR120" s="195"/>
      <c r="AS120" s="195"/>
      <c r="AT120" s="195"/>
      <c r="AU120" s="195"/>
      <c r="AV120" s="195"/>
      <c r="AW120" s="195"/>
      <c r="AX120" s="195"/>
      <c r="AY120" s="195"/>
      <c r="AZ120" s="195"/>
      <c r="BA120" s="195"/>
      <c r="BB120" s="195"/>
      <c r="BC120" s="195"/>
      <c r="BD120" s="12">
        <v>89</v>
      </c>
      <c r="BE120" s="195"/>
      <c r="BF120" s="195"/>
      <c r="BG120" s="195"/>
      <c r="BH120" s="195"/>
      <c r="BI120" s="195"/>
      <c r="BJ120" s="195"/>
      <c r="BK120" s="195"/>
      <c r="BL120" s="195"/>
      <c r="BM120" s="195"/>
      <c r="BN120" s="195"/>
      <c r="BO120" s="195"/>
      <c r="BP120" s="195"/>
      <c r="BQ120" s="195"/>
      <c r="BR120" s="195"/>
      <c r="BS120" s="195"/>
      <c r="BT120" s="195"/>
      <c r="BU120" s="195"/>
      <c r="BV120" s="12">
        <v>89</v>
      </c>
      <c r="BW120" s="195"/>
      <c r="BX120" s="195"/>
      <c r="BY120" s="195"/>
      <c r="BZ120" s="195"/>
      <c r="CA120" s="195"/>
      <c r="CB120" s="195"/>
      <c r="CC120" s="195"/>
      <c r="CD120" s="195"/>
      <c r="CE120" s="195"/>
      <c r="CF120" s="195"/>
      <c r="CG120" s="195"/>
      <c r="CH120" s="195"/>
      <c r="CI120" s="195"/>
      <c r="CJ120" s="195"/>
      <c r="CK120" s="195"/>
      <c r="CL120" s="195"/>
      <c r="CM120" s="195"/>
      <c r="CN120" s="12">
        <v>89</v>
      </c>
      <c r="CO120" s="195"/>
      <c r="CP120" s="195"/>
      <c r="CQ120" s="195"/>
      <c r="CR120" s="195"/>
      <c r="CS120" s="195"/>
      <c r="CT120" s="195"/>
      <c r="CU120" s="195"/>
      <c r="CV120" s="195"/>
      <c r="CW120" s="195"/>
      <c r="CX120" s="195"/>
      <c r="CY120" s="195"/>
      <c r="CZ120" s="195"/>
      <c r="DA120" s="195"/>
      <c r="DB120" s="195"/>
      <c r="DC120" s="195"/>
      <c r="DD120" s="195"/>
      <c r="DE120" s="195"/>
      <c r="DF120" s="12">
        <v>89</v>
      </c>
      <c r="DG120" s="195"/>
      <c r="DH120" s="195"/>
      <c r="DI120" s="195"/>
      <c r="DJ120" s="195"/>
      <c r="DK120" s="195"/>
      <c r="DL120" s="195"/>
      <c r="DM120" s="195"/>
      <c r="DN120" s="195"/>
      <c r="DO120" s="195"/>
      <c r="DP120" s="195"/>
      <c r="DQ120" s="195"/>
      <c r="DR120" s="195"/>
      <c r="DS120" s="195"/>
      <c r="DT120" s="195"/>
      <c r="DU120" s="195"/>
      <c r="DV120" s="195"/>
      <c r="DW120" s="195"/>
      <c r="DX120" s="12">
        <v>89</v>
      </c>
      <c r="DY120" s="195"/>
      <c r="DZ120" s="195"/>
      <c r="EA120" s="195"/>
      <c r="EB120" s="195"/>
      <c r="EC120" s="195"/>
      <c r="ED120" s="195"/>
      <c r="EE120" s="195"/>
      <c r="EF120" s="195"/>
      <c r="EG120" s="195"/>
      <c r="EH120" s="195"/>
      <c r="EI120" s="195"/>
      <c r="EJ120" s="195"/>
      <c r="EK120" s="195"/>
      <c r="EL120" s="195"/>
      <c r="EM120" s="195"/>
      <c r="EN120" s="195"/>
      <c r="EO120" s="195"/>
      <c r="EP120" s="12">
        <v>89</v>
      </c>
      <c r="EQ120" s="195"/>
      <c r="ER120" s="195"/>
      <c r="ES120" s="195"/>
      <c r="ET120" s="195"/>
      <c r="EU120" s="195"/>
      <c r="EV120" s="195"/>
      <c r="EW120" s="195"/>
      <c r="EX120" s="195"/>
      <c r="EY120" s="195"/>
      <c r="EZ120" s="195"/>
      <c r="FA120" s="195"/>
      <c r="FB120" s="195"/>
      <c r="FC120" s="195"/>
      <c r="FD120" s="195"/>
      <c r="FE120" s="195"/>
      <c r="FF120" s="195"/>
      <c r="FG120" s="195"/>
      <c r="FH120" s="12">
        <v>89</v>
      </c>
      <c r="FI120" s="195"/>
      <c r="FJ120" s="195"/>
      <c r="FK120" s="195"/>
      <c r="FL120" s="195"/>
      <c r="FM120" s="195"/>
      <c r="FN120" s="195"/>
      <c r="FO120" s="195"/>
      <c r="FP120" s="195"/>
      <c r="FQ120" s="195"/>
      <c r="FR120" s="195"/>
      <c r="FS120" s="195"/>
      <c r="FT120" s="195"/>
      <c r="FU120" s="195"/>
      <c r="FV120" s="195"/>
      <c r="FW120" s="195"/>
      <c r="FX120" s="195"/>
      <c r="FY120" s="195"/>
    </row>
    <row r="121" spans="2:181" x14ac:dyDescent="0.25">
      <c r="B121" s="12">
        <v>90</v>
      </c>
      <c r="C121" s="195"/>
      <c r="D121" s="195"/>
      <c r="E121" s="195"/>
      <c r="F121" s="195"/>
      <c r="G121" s="195"/>
      <c r="H121" s="195"/>
      <c r="I121" s="195"/>
      <c r="J121" s="195"/>
      <c r="K121" s="195"/>
      <c r="L121" s="195"/>
      <c r="M121" s="195"/>
      <c r="N121" s="195"/>
      <c r="O121" s="195"/>
      <c r="P121" s="195"/>
      <c r="Q121" s="195"/>
      <c r="R121" s="195"/>
      <c r="S121" s="195"/>
      <c r="T121" s="12">
        <v>90</v>
      </c>
      <c r="U121" s="195"/>
      <c r="V121" s="195"/>
      <c r="W121" s="195"/>
      <c r="X121" s="195"/>
      <c r="Y121" s="195"/>
      <c r="Z121" s="195"/>
      <c r="AA121" s="195"/>
      <c r="AB121" s="195"/>
      <c r="AC121" s="195"/>
      <c r="AD121" s="195"/>
      <c r="AE121" s="195"/>
      <c r="AF121" s="195"/>
      <c r="AG121" s="195"/>
      <c r="AH121" s="195"/>
      <c r="AI121" s="195"/>
      <c r="AJ121" s="195"/>
      <c r="AK121" s="195"/>
      <c r="AL121" s="12">
        <v>90</v>
      </c>
      <c r="AM121" s="195"/>
      <c r="AN121" s="195"/>
      <c r="AO121" s="195"/>
      <c r="AP121" s="195"/>
      <c r="AQ121" s="195"/>
      <c r="AR121" s="195"/>
      <c r="AS121" s="195"/>
      <c r="AT121" s="195"/>
      <c r="AU121" s="195"/>
      <c r="AV121" s="195"/>
      <c r="AW121" s="195"/>
      <c r="AX121" s="195"/>
      <c r="AY121" s="195"/>
      <c r="AZ121" s="195"/>
      <c r="BA121" s="195"/>
      <c r="BB121" s="195"/>
      <c r="BC121" s="195"/>
      <c r="BD121" s="12">
        <v>90</v>
      </c>
      <c r="BE121" s="195"/>
      <c r="BF121" s="195"/>
      <c r="BG121" s="195"/>
      <c r="BH121" s="195"/>
      <c r="BI121" s="195"/>
      <c r="BJ121" s="195"/>
      <c r="BK121" s="195"/>
      <c r="BL121" s="195"/>
      <c r="BM121" s="195"/>
      <c r="BN121" s="195"/>
      <c r="BO121" s="195"/>
      <c r="BP121" s="195"/>
      <c r="BQ121" s="195"/>
      <c r="BR121" s="195"/>
      <c r="BS121" s="195"/>
      <c r="BT121" s="195"/>
      <c r="BU121" s="195"/>
      <c r="BV121" s="12">
        <v>90</v>
      </c>
      <c r="BW121" s="195"/>
      <c r="BX121" s="195"/>
      <c r="BY121" s="195"/>
      <c r="BZ121" s="195"/>
      <c r="CA121" s="195"/>
      <c r="CB121" s="195"/>
      <c r="CC121" s="195"/>
      <c r="CD121" s="195"/>
      <c r="CE121" s="195"/>
      <c r="CF121" s="195"/>
      <c r="CG121" s="195"/>
      <c r="CH121" s="195"/>
      <c r="CI121" s="195"/>
      <c r="CJ121" s="195"/>
      <c r="CK121" s="195"/>
      <c r="CL121" s="195"/>
      <c r="CM121" s="195"/>
      <c r="CN121" s="12">
        <v>90</v>
      </c>
      <c r="CO121" s="195"/>
      <c r="CP121" s="195"/>
      <c r="CQ121" s="195"/>
      <c r="CR121" s="195"/>
      <c r="CS121" s="195"/>
      <c r="CT121" s="195"/>
      <c r="CU121" s="195"/>
      <c r="CV121" s="195"/>
      <c r="CW121" s="195"/>
      <c r="CX121" s="195"/>
      <c r="CY121" s="195"/>
      <c r="CZ121" s="195"/>
      <c r="DA121" s="195"/>
      <c r="DB121" s="195"/>
      <c r="DC121" s="195"/>
      <c r="DD121" s="195"/>
      <c r="DE121" s="195"/>
      <c r="DF121" s="12">
        <v>90</v>
      </c>
      <c r="DG121" s="195"/>
      <c r="DH121" s="195"/>
      <c r="DI121" s="195"/>
      <c r="DJ121" s="195"/>
      <c r="DK121" s="195"/>
      <c r="DL121" s="195"/>
      <c r="DM121" s="195"/>
      <c r="DN121" s="195"/>
      <c r="DO121" s="195"/>
      <c r="DP121" s="195"/>
      <c r="DQ121" s="195"/>
      <c r="DR121" s="195"/>
      <c r="DS121" s="195"/>
      <c r="DT121" s="195"/>
      <c r="DU121" s="195"/>
      <c r="DV121" s="195"/>
      <c r="DW121" s="195"/>
      <c r="DX121" s="12">
        <v>90</v>
      </c>
      <c r="DY121" s="195"/>
      <c r="DZ121" s="195"/>
      <c r="EA121" s="195"/>
      <c r="EB121" s="195"/>
      <c r="EC121" s="195"/>
      <c r="ED121" s="195"/>
      <c r="EE121" s="195"/>
      <c r="EF121" s="195"/>
      <c r="EG121" s="195"/>
      <c r="EH121" s="195"/>
      <c r="EI121" s="195"/>
      <c r="EJ121" s="195"/>
      <c r="EK121" s="195"/>
      <c r="EL121" s="195"/>
      <c r="EM121" s="195"/>
      <c r="EN121" s="195"/>
      <c r="EO121" s="195"/>
      <c r="EP121" s="12">
        <v>90</v>
      </c>
      <c r="EQ121" s="195"/>
      <c r="ER121" s="195"/>
      <c r="ES121" s="195"/>
      <c r="ET121" s="195"/>
      <c r="EU121" s="195"/>
      <c r="EV121" s="195"/>
      <c r="EW121" s="195"/>
      <c r="EX121" s="195"/>
      <c r="EY121" s="195"/>
      <c r="EZ121" s="195"/>
      <c r="FA121" s="195"/>
      <c r="FB121" s="195"/>
      <c r="FC121" s="195"/>
      <c r="FD121" s="195"/>
      <c r="FE121" s="195"/>
      <c r="FF121" s="195"/>
      <c r="FG121" s="195"/>
      <c r="FH121" s="12">
        <v>90</v>
      </c>
      <c r="FI121" s="195"/>
      <c r="FJ121" s="195"/>
      <c r="FK121" s="195"/>
      <c r="FL121" s="195"/>
      <c r="FM121" s="195"/>
      <c r="FN121" s="195"/>
      <c r="FO121" s="195"/>
      <c r="FP121" s="195"/>
      <c r="FQ121" s="195"/>
      <c r="FR121" s="195"/>
      <c r="FS121" s="195"/>
      <c r="FT121" s="195"/>
      <c r="FU121" s="195"/>
      <c r="FV121" s="195"/>
      <c r="FW121" s="195"/>
      <c r="FX121" s="195"/>
      <c r="FY121" s="195"/>
    </row>
    <row r="122" spans="2:181" x14ac:dyDescent="0.25">
      <c r="B122" s="176"/>
      <c r="C122" s="198"/>
      <c r="D122" s="198"/>
      <c r="E122" s="198"/>
      <c r="F122" s="198"/>
      <c r="G122" s="198"/>
      <c r="H122" s="198"/>
      <c r="I122" s="198"/>
      <c r="J122" s="198"/>
      <c r="K122" s="198"/>
      <c r="L122" s="198"/>
      <c r="M122" s="198"/>
      <c r="N122" s="198"/>
      <c r="O122" s="198"/>
      <c r="P122" s="198"/>
      <c r="Q122" s="198"/>
      <c r="R122" s="198"/>
      <c r="S122" s="198"/>
      <c r="T122" s="176"/>
      <c r="U122" s="198"/>
      <c r="V122" s="198"/>
      <c r="W122" s="198"/>
      <c r="X122" s="198"/>
      <c r="Y122" s="198"/>
      <c r="Z122" s="198"/>
      <c r="AA122" s="198"/>
      <c r="AB122" s="198"/>
      <c r="AC122" s="198"/>
      <c r="AD122" s="198"/>
      <c r="AE122" s="198"/>
      <c r="AF122" s="198"/>
      <c r="AG122" s="198"/>
      <c r="AH122" s="198"/>
      <c r="AI122" s="198"/>
      <c r="AJ122" s="198"/>
      <c r="AK122" s="198"/>
      <c r="AL122" s="176"/>
      <c r="AM122" s="198"/>
      <c r="AN122" s="198"/>
      <c r="AO122" s="198"/>
      <c r="AP122" s="198"/>
      <c r="AQ122" s="198"/>
      <c r="AR122" s="198"/>
      <c r="AS122" s="198"/>
      <c r="AT122" s="198"/>
      <c r="AU122" s="198"/>
      <c r="AV122" s="198"/>
      <c r="AW122" s="198"/>
      <c r="AX122" s="198"/>
      <c r="AY122" s="198"/>
      <c r="AZ122" s="198"/>
      <c r="BA122" s="198"/>
      <c r="BB122" s="198"/>
      <c r="BC122" s="198"/>
      <c r="BD122" s="176"/>
      <c r="BE122" s="198"/>
      <c r="BF122" s="198"/>
      <c r="BG122" s="198"/>
      <c r="BH122" s="198"/>
      <c r="BI122" s="198"/>
      <c r="BJ122" s="198"/>
      <c r="BK122" s="198"/>
      <c r="BL122" s="198"/>
      <c r="BM122" s="198"/>
      <c r="BN122" s="198"/>
      <c r="BO122" s="198"/>
      <c r="BP122" s="198"/>
      <c r="BQ122" s="198"/>
      <c r="BR122" s="198"/>
      <c r="BS122" s="198"/>
      <c r="BT122" s="198"/>
      <c r="BU122" s="198"/>
      <c r="BV122" s="176"/>
      <c r="BW122" s="198"/>
      <c r="BX122" s="198"/>
      <c r="BY122" s="198"/>
      <c r="BZ122" s="198"/>
      <c r="CA122" s="198"/>
      <c r="CB122" s="198"/>
      <c r="CC122" s="198"/>
      <c r="CD122" s="198"/>
      <c r="CE122" s="198"/>
      <c r="CF122" s="198"/>
      <c r="CG122" s="198"/>
      <c r="CH122" s="198"/>
      <c r="CI122" s="198"/>
      <c r="CJ122" s="198"/>
      <c r="CK122" s="198"/>
      <c r="CL122" s="198"/>
      <c r="CM122" s="198"/>
      <c r="CN122" s="176"/>
      <c r="CO122" s="198"/>
      <c r="CP122" s="198"/>
      <c r="CQ122" s="198"/>
      <c r="CR122" s="198"/>
      <c r="CS122" s="198"/>
      <c r="CT122" s="198"/>
      <c r="CU122" s="198"/>
      <c r="CV122" s="198"/>
      <c r="CW122" s="198"/>
      <c r="CX122" s="198"/>
      <c r="CY122" s="198"/>
      <c r="CZ122" s="198"/>
      <c r="DA122" s="198"/>
      <c r="DB122" s="198"/>
      <c r="DC122" s="198"/>
      <c r="DD122" s="198"/>
      <c r="DE122" s="198"/>
      <c r="DF122" s="176"/>
      <c r="DG122" s="198"/>
      <c r="DH122" s="198"/>
      <c r="DI122" s="198"/>
      <c r="DJ122" s="198"/>
      <c r="DK122" s="198"/>
      <c r="DL122" s="198"/>
      <c r="DM122" s="198"/>
      <c r="DN122" s="198"/>
      <c r="DO122" s="198"/>
      <c r="DP122" s="198"/>
      <c r="DQ122" s="198"/>
      <c r="DR122" s="198"/>
      <c r="DS122" s="198"/>
      <c r="DT122" s="198"/>
      <c r="DU122" s="198"/>
      <c r="DV122" s="198"/>
      <c r="DW122" s="198"/>
      <c r="DX122" s="176"/>
      <c r="DY122" s="198"/>
      <c r="DZ122" s="198"/>
      <c r="EA122" s="198"/>
      <c r="EB122" s="198"/>
      <c r="EC122" s="198"/>
      <c r="ED122" s="198"/>
      <c r="EE122" s="198"/>
      <c r="EF122" s="198"/>
      <c r="EG122" s="198"/>
      <c r="EH122" s="198"/>
      <c r="EI122" s="198"/>
      <c r="EJ122" s="198"/>
      <c r="EK122" s="198"/>
      <c r="EL122" s="198"/>
      <c r="EM122" s="198"/>
      <c r="EN122" s="198"/>
      <c r="EO122" s="198"/>
      <c r="EP122" s="176"/>
      <c r="EQ122" s="198"/>
      <c r="ER122" s="198"/>
      <c r="ES122" s="198"/>
      <c r="ET122" s="198"/>
      <c r="EU122" s="198"/>
      <c r="EV122" s="198"/>
      <c r="EW122" s="198"/>
      <c r="EX122" s="198"/>
      <c r="EY122" s="198"/>
      <c r="EZ122" s="198"/>
      <c r="FA122" s="198"/>
      <c r="FB122" s="198"/>
      <c r="FC122" s="198"/>
      <c r="FD122" s="198"/>
      <c r="FE122" s="198"/>
      <c r="FF122" s="198"/>
      <c r="FG122" s="198"/>
      <c r="FH122" s="176"/>
      <c r="FI122" s="198"/>
      <c r="FJ122" s="198"/>
      <c r="FK122" s="198"/>
      <c r="FL122" s="198"/>
      <c r="FM122" s="198"/>
      <c r="FN122" s="198"/>
      <c r="FO122" s="198"/>
      <c r="FP122" s="198"/>
      <c r="FQ122" s="198"/>
      <c r="FR122" s="198"/>
      <c r="FS122" s="198"/>
      <c r="FT122" s="198"/>
      <c r="FU122" s="198"/>
      <c r="FV122" s="198"/>
      <c r="FW122" s="198"/>
      <c r="FX122" s="198"/>
      <c r="FY122" s="198"/>
    </row>
    <row r="123" spans="2:181" x14ac:dyDescent="0.25">
      <c r="B123" s="977" t="s">
        <v>543</v>
      </c>
      <c r="C123" s="977"/>
      <c r="D123" s="977"/>
      <c r="E123" s="977"/>
      <c r="F123" s="977"/>
      <c r="G123" s="199">
        <f>COUNTA(C92:S121)</f>
        <v>0</v>
      </c>
      <c r="H123" s="198" t="s">
        <v>544</v>
      </c>
      <c r="I123" s="198"/>
      <c r="J123" s="198"/>
      <c r="K123" s="198"/>
      <c r="L123" s="198"/>
      <c r="M123" s="200" t="s">
        <v>545</v>
      </c>
      <c r="N123" s="201">
        <f>MAX(C92:S121,U92:AK121)</f>
        <v>0</v>
      </c>
      <c r="O123" s="198"/>
      <c r="P123" s="198"/>
      <c r="Q123" s="198"/>
      <c r="R123" s="198"/>
      <c r="S123" s="198"/>
      <c r="T123" s="977" t="s">
        <v>543</v>
      </c>
      <c r="U123" s="977"/>
      <c r="V123" s="977"/>
      <c r="W123" s="977"/>
      <c r="X123" s="977"/>
      <c r="Y123" s="199">
        <f>COUNTA(U92:AK121)</f>
        <v>0</v>
      </c>
      <c r="Z123" s="198" t="s">
        <v>544</v>
      </c>
      <c r="AA123" s="198"/>
      <c r="AB123" s="198"/>
      <c r="AC123" s="198"/>
      <c r="AD123" s="198"/>
      <c r="AE123" s="198"/>
      <c r="AF123" s="198"/>
      <c r="AG123" s="198"/>
      <c r="AH123" s="198"/>
      <c r="AI123" s="198"/>
      <c r="AJ123" s="198"/>
      <c r="AK123" s="198"/>
      <c r="AL123" s="977" t="s">
        <v>543</v>
      </c>
      <c r="AM123" s="977"/>
      <c r="AN123" s="977"/>
      <c r="AO123" s="977"/>
      <c r="AP123" s="977"/>
      <c r="AQ123" s="199">
        <f>COUNTA(AM92:BC121)</f>
        <v>0</v>
      </c>
      <c r="AR123" s="198" t="s">
        <v>544</v>
      </c>
      <c r="AS123" s="198"/>
      <c r="AT123" s="198"/>
      <c r="AU123" s="198"/>
      <c r="AV123" s="198"/>
      <c r="AW123" s="198"/>
      <c r="AX123" s="198"/>
      <c r="AY123" s="198"/>
      <c r="AZ123" s="198"/>
      <c r="BA123" s="198"/>
      <c r="BB123" s="198"/>
      <c r="BC123" s="198"/>
      <c r="BD123" s="977" t="s">
        <v>543</v>
      </c>
      <c r="BE123" s="977"/>
      <c r="BF123" s="977"/>
      <c r="BG123" s="977"/>
      <c r="BH123" s="977"/>
      <c r="BI123" s="199">
        <f>COUNTA(BE92:BU121)</f>
        <v>0</v>
      </c>
      <c r="BJ123" s="198" t="s">
        <v>544</v>
      </c>
      <c r="BK123" s="198"/>
      <c r="BL123" s="198"/>
      <c r="BM123" s="198"/>
      <c r="BN123" s="198"/>
      <c r="BO123" s="198"/>
      <c r="BP123" s="198"/>
      <c r="BQ123" s="198"/>
      <c r="BR123" s="198"/>
      <c r="BS123" s="198"/>
      <c r="BT123" s="198"/>
      <c r="BU123" s="198"/>
      <c r="BV123" s="977" t="s">
        <v>543</v>
      </c>
      <c r="BW123" s="977"/>
      <c r="BX123" s="977"/>
      <c r="BY123" s="977"/>
      <c r="BZ123" s="977"/>
      <c r="CA123" s="199">
        <f>COUNTA(BW92:CM121)</f>
        <v>0</v>
      </c>
      <c r="CB123" s="198" t="s">
        <v>544</v>
      </c>
      <c r="CC123" s="198"/>
      <c r="CD123" s="198"/>
      <c r="CE123" s="198"/>
      <c r="CF123" s="198"/>
      <c r="CG123" s="198"/>
      <c r="CH123" s="198"/>
      <c r="CI123" s="198"/>
      <c r="CJ123" s="198"/>
      <c r="CK123" s="198"/>
      <c r="CL123" s="198"/>
      <c r="CM123" s="198"/>
      <c r="CN123" s="977" t="s">
        <v>543</v>
      </c>
      <c r="CO123" s="977"/>
      <c r="CP123" s="977"/>
      <c r="CQ123" s="977"/>
      <c r="CR123" s="977"/>
      <c r="CS123" s="199">
        <f>COUNTA(CO92:DE121)</f>
        <v>0</v>
      </c>
      <c r="CT123" s="198" t="s">
        <v>544</v>
      </c>
      <c r="CU123" s="198"/>
      <c r="CV123" s="198"/>
      <c r="CW123" s="198"/>
      <c r="CX123" s="198"/>
      <c r="CY123" s="198"/>
      <c r="CZ123" s="198"/>
      <c r="DA123" s="198"/>
      <c r="DB123" s="198"/>
      <c r="DC123" s="198"/>
      <c r="DD123" s="198"/>
      <c r="DE123" s="198"/>
      <c r="DF123" s="977" t="s">
        <v>543</v>
      </c>
      <c r="DG123" s="977"/>
      <c r="DH123" s="977"/>
      <c r="DI123" s="977"/>
      <c r="DJ123" s="977"/>
      <c r="DK123" s="199">
        <f>COUNTA(DG92:DW121)</f>
        <v>0</v>
      </c>
      <c r="DL123" s="198" t="s">
        <v>544</v>
      </c>
      <c r="DM123" s="198"/>
      <c r="DN123" s="198"/>
      <c r="DO123" s="198"/>
      <c r="DP123" s="198"/>
      <c r="DQ123" s="198"/>
      <c r="DR123" s="198"/>
      <c r="DS123" s="198"/>
      <c r="DT123" s="198"/>
      <c r="DU123" s="198"/>
      <c r="DV123" s="198"/>
      <c r="DW123" s="198"/>
      <c r="DX123" s="977" t="s">
        <v>543</v>
      </c>
      <c r="DY123" s="977"/>
      <c r="DZ123" s="977"/>
      <c r="EA123" s="977"/>
      <c r="EB123" s="977"/>
      <c r="EC123" s="199">
        <f>COUNTA(DY92:EO121)</f>
        <v>0</v>
      </c>
      <c r="ED123" s="198" t="s">
        <v>544</v>
      </c>
      <c r="EE123" s="198"/>
      <c r="EF123" s="198"/>
      <c r="EG123" s="198"/>
      <c r="EH123" s="198"/>
      <c r="EI123" s="198"/>
      <c r="EJ123" s="198"/>
      <c r="EK123" s="198"/>
      <c r="EL123" s="198"/>
      <c r="EM123" s="198"/>
      <c r="EN123" s="198"/>
      <c r="EO123" s="198"/>
      <c r="EP123" s="977" t="s">
        <v>543</v>
      </c>
      <c r="EQ123" s="977"/>
      <c r="ER123" s="977"/>
      <c r="ES123" s="977"/>
      <c r="ET123" s="977"/>
      <c r="EU123" s="199">
        <f>COUNTA(EQ92:FG121)</f>
        <v>0</v>
      </c>
      <c r="EV123" s="198" t="s">
        <v>544</v>
      </c>
      <c r="EW123" s="198"/>
      <c r="EX123" s="198"/>
      <c r="EY123" s="198"/>
      <c r="EZ123" s="198"/>
      <c r="FA123" s="198"/>
      <c r="FB123" s="198"/>
      <c r="FC123" s="198"/>
      <c r="FD123" s="198"/>
      <c r="FE123" s="198"/>
      <c r="FF123" s="198"/>
      <c r="FG123" s="198"/>
      <c r="FH123" s="977" t="s">
        <v>543</v>
      </c>
      <c r="FI123" s="977"/>
      <c r="FJ123" s="977"/>
      <c r="FK123" s="977"/>
      <c r="FL123" s="977"/>
      <c r="FM123" s="199">
        <f>COUNTA(FI92:FY121)</f>
        <v>0</v>
      </c>
      <c r="FN123" s="198" t="s">
        <v>544</v>
      </c>
      <c r="FO123" s="198"/>
      <c r="FP123" s="198"/>
      <c r="FQ123" s="198"/>
      <c r="FR123" s="198"/>
      <c r="FS123" s="198"/>
      <c r="FT123" s="198"/>
      <c r="FU123" s="198"/>
      <c r="FV123" s="198"/>
      <c r="FW123" s="198"/>
      <c r="FX123" s="198"/>
      <c r="FY123" s="198"/>
    </row>
    <row r="124" spans="2:181" x14ac:dyDescent="0.25">
      <c r="M124" s="203" t="s">
        <v>548</v>
      </c>
      <c r="N124" s="204">
        <f>MIN(C92:S121,U92:AK121)</f>
        <v>0</v>
      </c>
    </row>
    <row r="125" spans="2:181" x14ac:dyDescent="0.25">
      <c r="B125" s="205" t="s">
        <v>549</v>
      </c>
      <c r="C125" s="205"/>
      <c r="D125" s="205"/>
      <c r="E125" s="205"/>
      <c r="F125" s="205"/>
      <c r="G125" s="205"/>
      <c r="H125" s="990"/>
      <c r="I125" s="990"/>
      <c r="J125" s="990"/>
      <c r="K125" s="990"/>
      <c r="L125" s="990"/>
      <c r="M125" s="198"/>
      <c r="N125" s="198"/>
      <c r="O125" s="198"/>
      <c r="P125" s="198"/>
      <c r="Q125" s="198"/>
      <c r="R125" s="198"/>
      <c r="S125" s="198"/>
      <c r="T125" s="205"/>
      <c r="U125" s="205"/>
      <c r="V125" s="205"/>
      <c r="W125" s="205"/>
      <c r="X125" s="205"/>
      <c r="Y125" s="205"/>
      <c r="Z125" s="205"/>
      <c r="AA125" s="198"/>
      <c r="AB125" s="198"/>
      <c r="AC125" s="205"/>
      <c r="AD125" s="198"/>
      <c r="AE125" s="198"/>
      <c r="AF125" s="198"/>
      <c r="AG125" s="198"/>
      <c r="AH125" s="198"/>
      <c r="AI125" s="198"/>
      <c r="AJ125" s="198"/>
      <c r="AK125" s="198"/>
      <c r="AL125" s="205"/>
      <c r="AM125" s="205"/>
      <c r="AN125" s="205"/>
      <c r="AO125" s="205"/>
      <c r="AP125" s="205"/>
      <c r="AQ125" s="205"/>
      <c r="AR125" s="205"/>
      <c r="AS125" s="198"/>
      <c r="AT125" s="198"/>
      <c r="AU125" s="205"/>
      <c r="AV125" s="198"/>
      <c r="AW125" s="198"/>
      <c r="AX125" s="198"/>
      <c r="AY125" s="198"/>
      <c r="AZ125" s="198"/>
      <c r="BA125" s="198"/>
      <c r="BB125" s="198"/>
      <c r="BC125" s="198"/>
      <c r="BD125" s="205"/>
      <c r="BE125" s="205"/>
      <c r="BF125" s="205"/>
      <c r="BG125" s="205"/>
      <c r="BH125" s="205"/>
      <c r="BI125" s="205"/>
      <c r="BJ125" s="205"/>
      <c r="BK125" s="198"/>
      <c r="BL125" s="198"/>
      <c r="BM125" s="205"/>
      <c r="BN125" s="198"/>
      <c r="BO125" s="198"/>
      <c r="BP125" s="198"/>
      <c r="BQ125" s="198"/>
      <c r="BR125" s="198"/>
      <c r="BS125" s="198"/>
      <c r="BT125" s="198"/>
      <c r="BU125" s="198"/>
      <c r="BV125" s="205"/>
      <c r="BW125" s="205"/>
      <c r="BX125" s="205"/>
      <c r="BY125" s="205"/>
      <c r="BZ125" s="205"/>
      <c r="CA125" s="205"/>
      <c r="CB125" s="205"/>
      <c r="CC125" s="198"/>
      <c r="CD125" s="198"/>
      <c r="CE125" s="205"/>
      <c r="CF125" s="198"/>
      <c r="CG125" s="198"/>
      <c r="CH125" s="198"/>
      <c r="CI125" s="198"/>
      <c r="CJ125" s="198"/>
      <c r="CK125" s="198"/>
      <c r="CL125" s="198"/>
      <c r="CM125" s="198"/>
      <c r="CN125" s="205"/>
      <c r="CO125" s="205"/>
      <c r="CP125" s="205"/>
      <c r="CQ125" s="205"/>
      <c r="CR125" s="205"/>
      <c r="CS125" s="205"/>
      <c r="CT125" s="205"/>
      <c r="CU125" s="198"/>
      <c r="CV125" s="198"/>
      <c r="CW125" s="205"/>
      <c r="CX125" s="198"/>
      <c r="CY125" s="198"/>
      <c r="CZ125" s="198"/>
      <c r="DA125" s="198"/>
      <c r="DB125" s="198"/>
      <c r="DC125" s="198"/>
      <c r="DD125" s="198"/>
      <c r="DE125" s="198"/>
      <c r="DF125" s="205"/>
      <c r="DG125" s="205"/>
      <c r="DH125" s="205"/>
      <c r="DI125" s="205"/>
      <c r="DJ125" s="205"/>
      <c r="DK125" s="205"/>
      <c r="DL125" s="205"/>
      <c r="DM125" s="198"/>
      <c r="DN125" s="198"/>
      <c r="DO125" s="205"/>
      <c r="DP125" s="198"/>
      <c r="DQ125" s="198"/>
      <c r="DR125" s="198"/>
      <c r="DS125" s="198"/>
      <c r="DT125" s="198"/>
      <c r="DU125" s="198"/>
      <c r="DV125" s="198"/>
      <c r="DW125" s="198"/>
      <c r="DX125" s="205"/>
      <c r="DY125" s="205"/>
      <c r="DZ125" s="205"/>
      <c r="EA125" s="205"/>
      <c r="EB125" s="205"/>
      <c r="EC125" s="205"/>
      <c r="ED125" s="205"/>
      <c r="EE125" s="198"/>
      <c r="EF125" s="198"/>
      <c r="EG125" s="205"/>
      <c r="EH125" s="198"/>
      <c r="EI125" s="198"/>
      <c r="EJ125" s="198"/>
      <c r="EK125" s="198"/>
      <c r="EL125" s="198"/>
      <c r="EM125" s="198"/>
      <c r="EN125" s="198"/>
      <c r="EO125" s="198"/>
      <c r="EP125" s="205"/>
      <c r="EQ125" s="205"/>
      <c r="ER125" s="205"/>
      <c r="ES125" s="205"/>
      <c r="ET125" s="205"/>
      <c r="EU125" s="205"/>
      <c r="EV125" s="205"/>
      <c r="EW125" s="198"/>
      <c r="EX125" s="198"/>
      <c r="EY125" s="205"/>
      <c r="EZ125" s="198"/>
      <c r="FA125" s="198"/>
      <c r="FB125" s="198"/>
      <c r="FC125" s="198"/>
      <c r="FD125" s="198"/>
      <c r="FE125" s="198"/>
      <c r="FF125" s="198"/>
      <c r="FG125" s="198"/>
      <c r="FH125" s="205"/>
      <c r="FI125" s="205"/>
      <c r="FJ125" s="205"/>
      <c r="FK125" s="205"/>
      <c r="FL125" s="205"/>
      <c r="FM125" s="205"/>
      <c r="FN125" s="205"/>
      <c r="FO125" s="198"/>
      <c r="FP125" s="198"/>
      <c r="FQ125" s="205"/>
      <c r="FR125" s="198"/>
      <c r="FS125" s="198"/>
      <c r="FT125" s="198"/>
      <c r="FU125" s="198"/>
      <c r="FV125" s="198"/>
      <c r="FW125" s="198"/>
      <c r="FX125" s="198"/>
      <c r="FY125" s="198"/>
    </row>
    <row r="126" spans="2:181" x14ac:dyDescent="0.25">
      <c r="B126" s="208"/>
      <c r="C126" s="205"/>
      <c r="D126" s="205"/>
      <c r="E126" s="205"/>
      <c r="F126" s="205"/>
      <c r="G126" s="205"/>
      <c r="H126" s="205"/>
      <c r="I126" s="198"/>
      <c r="J126" s="209"/>
      <c r="K126" s="208"/>
      <c r="L126" s="198"/>
      <c r="M126" s="198"/>
      <c r="N126" s="198"/>
      <c r="O126" s="198"/>
      <c r="P126" s="198"/>
      <c r="Q126" s="198"/>
      <c r="R126" s="198"/>
      <c r="S126" s="209"/>
      <c r="T126" s="208"/>
      <c r="U126" s="205"/>
      <c r="V126" s="205"/>
      <c r="W126" s="205"/>
      <c r="X126" s="205"/>
      <c r="Y126" s="205"/>
      <c r="Z126" s="205"/>
      <c r="AA126" s="198"/>
      <c r="AB126" s="209"/>
      <c r="AC126" s="208"/>
      <c r="AD126" s="198"/>
      <c r="AE126" s="198"/>
      <c r="AF126" s="198"/>
      <c r="AG126" s="198"/>
      <c r="AH126" s="198"/>
      <c r="AI126" s="198"/>
      <c r="AJ126" s="198"/>
      <c r="AK126" s="209"/>
      <c r="AL126" s="208"/>
      <c r="AM126" s="205"/>
      <c r="AN126" s="205"/>
      <c r="AO126" s="205"/>
      <c r="AP126" s="205"/>
      <c r="AQ126" s="205"/>
      <c r="AR126" s="205"/>
      <c r="AS126" s="198"/>
      <c r="AT126" s="209"/>
      <c r="AU126" s="208"/>
      <c r="AV126" s="198"/>
      <c r="AW126" s="198"/>
      <c r="AX126" s="198"/>
      <c r="AY126" s="198"/>
      <c r="AZ126" s="198"/>
      <c r="BA126" s="198"/>
      <c r="BB126" s="198"/>
      <c r="BC126" s="209"/>
      <c r="BD126" s="208"/>
      <c r="BE126" s="205"/>
      <c r="BF126" s="205"/>
      <c r="BG126" s="205"/>
      <c r="BH126" s="205"/>
      <c r="BI126" s="205"/>
      <c r="BJ126" s="205"/>
      <c r="BK126" s="198"/>
      <c r="BL126" s="209"/>
      <c r="BM126" s="208"/>
      <c r="BN126" s="198"/>
      <c r="BO126" s="198"/>
      <c r="BP126" s="198"/>
      <c r="BQ126" s="198"/>
      <c r="BR126" s="198"/>
      <c r="BS126" s="198"/>
      <c r="BT126" s="198"/>
      <c r="BU126" s="209"/>
      <c r="BV126" s="208"/>
      <c r="BW126" s="205"/>
      <c r="BX126" s="205"/>
      <c r="BY126" s="205"/>
      <c r="BZ126" s="205"/>
      <c r="CA126" s="205"/>
      <c r="CB126" s="205"/>
      <c r="CC126" s="198"/>
      <c r="CD126" s="209"/>
      <c r="CE126" s="208"/>
      <c r="CF126" s="198"/>
      <c r="CG126" s="198"/>
      <c r="CH126" s="198"/>
      <c r="CI126" s="198"/>
      <c r="CJ126" s="198"/>
      <c r="CK126" s="198"/>
      <c r="CL126" s="198"/>
      <c r="CM126" s="209"/>
      <c r="CN126" s="208"/>
      <c r="CO126" s="205"/>
      <c r="CP126" s="205"/>
      <c r="CQ126" s="205"/>
      <c r="CR126" s="205"/>
      <c r="CS126" s="205"/>
      <c r="CT126" s="205"/>
      <c r="CU126" s="198"/>
      <c r="CV126" s="209"/>
      <c r="CW126" s="208"/>
      <c r="CX126" s="198"/>
      <c r="CY126" s="198"/>
      <c r="CZ126" s="198"/>
      <c r="DA126" s="198"/>
      <c r="DB126" s="198"/>
      <c r="DC126" s="198"/>
      <c r="DD126" s="198"/>
      <c r="DE126" s="209"/>
      <c r="DF126" s="208"/>
      <c r="DG126" s="205"/>
      <c r="DH126" s="205"/>
      <c r="DI126" s="205"/>
      <c r="DJ126" s="205"/>
      <c r="DK126" s="205"/>
      <c r="DL126" s="205"/>
      <c r="DM126" s="198"/>
      <c r="DN126" s="209"/>
      <c r="DO126" s="208"/>
      <c r="DP126" s="198"/>
      <c r="DQ126" s="198"/>
      <c r="DR126" s="198"/>
      <c r="DS126" s="198"/>
      <c r="DT126" s="198"/>
      <c r="DU126" s="198"/>
      <c r="DV126" s="198"/>
      <c r="DW126" s="209"/>
      <c r="DX126" s="208"/>
      <c r="DY126" s="205"/>
      <c r="DZ126" s="205"/>
      <c r="EA126" s="205"/>
      <c r="EB126" s="205"/>
      <c r="EC126" s="205"/>
      <c r="ED126" s="205"/>
      <c r="EE126" s="198"/>
      <c r="EF126" s="209"/>
      <c r="EG126" s="208"/>
      <c r="EH126" s="198"/>
      <c r="EI126" s="198"/>
      <c r="EJ126" s="198"/>
      <c r="EK126" s="198"/>
      <c r="EL126" s="198"/>
      <c r="EM126" s="198"/>
      <c r="EN126" s="198"/>
      <c r="EO126" s="209"/>
      <c r="EP126" s="208"/>
      <c r="EQ126" s="205"/>
      <c r="ER126" s="205"/>
      <c r="ES126" s="205"/>
      <c r="ET126" s="205"/>
      <c r="EU126" s="205"/>
      <c r="EV126" s="205"/>
      <c r="EW126" s="198"/>
      <c r="EX126" s="209"/>
      <c r="EY126" s="208"/>
      <c r="EZ126" s="198"/>
      <c r="FA126" s="198"/>
      <c r="FB126" s="198"/>
      <c r="FC126" s="198"/>
      <c r="FD126" s="198"/>
      <c r="FE126" s="198"/>
      <c r="FF126" s="198"/>
      <c r="FG126" s="209"/>
      <c r="FH126" s="208"/>
      <c r="FI126" s="205"/>
      <c r="FJ126" s="205"/>
      <c r="FK126" s="205"/>
      <c r="FL126" s="205"/>
      <c r="FM126" s="205"/>
      <c r="FN126" s="205"/>
      <c r="FO126" s="198"/>
      <c r="FP126" s="209"/>
      <c r="FQ126" s="208"/>
      <c r="FR126" s="198"/>
      <c r="FS126" s="198"/>
      <c r="FT126" s="198"/>
      <c r="FU126" s="198"/>
      <c r="FV126" s="198"/>
      <c r="FW126" s="198"/>
      <c r="FX126" s="198"/>
      <c r="FY126" s="209"/>
    </row>
    <row r="127" spans="2:181" x14ac:dyDescent="0.25">
      <c r="B127" s="210"/>
      <c r="C127" s="206"/>
      <c r="D127" s="206"/>
      <c r="E127" s="206"/>
      <c r="F127" s="206"/>
      <c r="G127" s="206"/>
      <c r="H127" s="206"/>
      <c r="I127" s="206"/>
      <c r="J127" s="211"/>
      <c r="K127" s="210"/>
      <c r="L127" s="206"/>
      <c r="M127" s="206"/>
      <c r="N127" s="206"/>
      <c r="O127" s="206"/>
      <c r="P127" s="206"/>
      <c r="Q127" s="206"/>
      <c r="R127" s="206"/>
      <c r="S127" s="211"/>
      <c r="T127" s="210"/>
      <c r="U127" s="206"/>
      <c r="V127" s="206"/>
      <c r="W127" s="206"/>
      <c r="X127" s="206"/>
      <c r="Y127" s="206"/>
      <c r="Z127" s="206"/>
      <c r="AA127" s="206"/>
      <c r="AB127" s="211"/>
      <c r="AC127" s="210"/>
      <c r="AD127" s="206"/>
      <c r="AE127" s="206"/>
      <c r="AF127" s="206"/>
      <c r="AG127" s="206"/>
      <c r="AH127" s="206"/>
      <c r="AI127" s="206"/>
      <c r="AJ127" s="206"/>
      <c r="AK127" s="211"/>
      <c r="AL127" s="210"/>
      <c r="AM127" s="206"/>
      <c r="AN127" s="206"/>
      <c r="AO127" s="206"/>
      <c r="AP127" s="206"/>
      <c r="AQ127" s="206"/>
      <c r="AR127" s="206"/>
      <c r="AS127" s="206"/>
      <c r="AT127" s="211"/>
      <c r="AU127" s="210"/>
      <c r="AV127" s="206"/>
      <c r="AW127" s="206"/>
      <c r="AX127" s="206"/>
      <c r="AY127" s="206"/>
      <c r="AZ127" s="206"/>
      <c r="BA127" s="206"/>
      <c r="BB127" s="206"/>
      <c r="BC127" s="211"/>
      <c r="BD127" s="210"/>
      <c r="BE127" s="206"/>
      <c r="BF127" s="206"/>
      <c r="BG127" s="206"/>
      <c r="BH127" s="206"/>
      <c r="BI127" s="206"/>
      <c r="BJ127" s="206"/>
      <c r="BK127" s="206"/>
      <c r="BL127" s="211"/>
      <c r="BM127" s="210"/>
      <c r="BN127" s="206"/>
      <c r="BO127" s="206"/>
      <c r="BP127" s="206"/>
      <c r="BQ127" s="206"/>
      <c r="BR127" s="206"/>
      <c r="BS127" s="206"/>
      <c r="BT127" s="206"/>
      <c r="BU127" s="211"/>
      <c r="BV127" s="210"/>
      <c r="BW127" s="206"/>
      <c r="BX127" s="206"/>
      <c r="BY127" s="206"/>
      <c r="BZ127" s="206"/>
      <c r="CA127" s="206"/>
      <c r="CB127" s="206"/>
      <c r="CC127" s="206"/>
      <c r="CD127" s="211"/>
      <c r="CE127" s="210"/>
      <c r="CF127" s="206"/>
      <c r="CG127" s="206"/>
      <c r="CH127" s="206"/>
      <c r="CI127" s="206"/>
      <c r="CJ127" s="206"/>
      <c r="CK127" s="206"/>
      <c r="CL127" s="206"/>
      <c r="CM127" s="211"/>
      <c r="CN127" s="210"/>
      <c r="CO127" s="206"/>
      <c r="CP127" s="206"/>
      <c r="CQ127" s="206"/>
      <c r="CR127" s="206"/>
      <c r="CS127" s="206"/>
      <c r="CT127" s="206"/>
      <c r="CU127" s="206"/>
      <c r="CV127" s="211"/>
      <c r="CW127" s="210"/>
      <c r="CX127" s="206"/>
      <c r="CY127" s="206"/>
      <c r="CZ127" s="206"/>
      <c r="DA127" s="206"/>
      <c r="DB127" s="206"/>
      <c r="DC127" s="206"/>
      <c r="DD127" s="206"/>
      <c r="DE127" s="211"/>
      <c r="DF127" s="210"/>
      <c r="DG127" s="206"/>
      <c r="DH127" s="206"/>
      <c r="DI127" s="206"/>
      <c r="DJ127" s="206"/>
      <c r="DK127" s="206"/>
      <c r="DL127" s="206"/>
      <c r="DM127" s="206"/>
      <c r="DN127" s="211"/>
      <c r="DO127" s="210"/>
      <c r="DP127" s="206"/>
      <c r="DQ127" s="206"/>
      <c r="DR127" s="206"/>
      <c r="DS127" s="206"/>
      <c r="DT127" s="206"/>
      <c r="DU127" s="206"/>
      <c r="DV127" s="206"/>
      <c r="DW127" s="211"/>
      <c r="DX127" s="210"/>
      <c r="DY127" s="206"/>
      <c r="DZ127" s="206"/>
      <c r="EA127" s="206"/>
      <c r="EB127" s="206"/>
      <c r="EC127" s="206"/>
      <c r="ED127" s="206"/>
      <c r="EE127" s="206"/>
      <c r="EF127" s="211"/>
      <c r="EG127" s="210"/>
      <c r="EH127" s="206"/>
      <c r="EI127" s="206"/>
      <c r="EJ127" s="206"/>
      <c r="EK127" s="206"/>
      <c r="EL127" s="206"/>
      <c r="EM127" s="206"/>
      <c r="EN127" s="206"/>
      <c r="EO127" s="211"/>
      <c r="EP127" s="210"/>
      <c r="EQ127" s="206"/>
      <c r="ER127" s="206"/>
      <c r="ES127" s="206"/>
      <c r="ET127" s="206"/>
      <c r="EU127" s="206"/>
      <c r="EV127" s="206"/>
      <c r="EW127" s="206"/>
      <c r="EX127" s="211"/>
      <c r="EY127" s="210"/>
      <c r="EZ127" s="206"/>
      <c r="FA127" s="206"/>
      <c r="FB127" s="206"/>
      <c r="FC127" s="206"/>
      <c r="FD127" s="206"/>
      <c r="FE127" s="206"/>
      <c r="FF127" s="206"/>
      <c r="FG127" s="211"/>
      <c r="FH127" s="210"/>
      <c r="FI127" s="206"/>
      <c r="FJ127" s="206"/>
      <c r="FK127" s="206"/>
      <c r="FL127" s="206"/>
      <c r="FM127" s="206"/>
      <c r="FN127" s="206"/>
      <c r="FO127" s="206"/>
      <c r="FP127" s="211"/>
      <c r="FQ127" s="210"/>
      <c r="FR127" s="206"/>
      <c r="FS127" s="206"/>
      <c r="FT127" s="206"/>
      <c r="FU127" s="206"/>
      <c r="FV127" s="206"/>
      <c r="FW127" s="206"/>
      <c r="FX127" s="206"/>
      <c r="FY127" s="211"/>
    </row>
    <row r="129" spans="2:181" ht="30" customHeight="1" x14ac:dyDescent="0.25">
      <c r="B129" s="193" t="s">
        <v>372</v>
      </c>
      <c r="C129" s="194" t="s">
        <v>373</v>
      </c>
      <c r="D129" s="194" t="s">
        <v>374</v>
      </c>
      <c r="E129" s="195" t="s">
        <v>375</v>
      </c>
      <c r="F129" s="195" t="s">
        <v>376</v>
      </c>
      <c r="G129" s="195" t="s">
        <v>377</v>
      </c>
      <c r="H129" s="195" t="s">
        <v>378</v>
      </c>
      <c r="I129" s="195" t="s">
        <v>379</v>
      </c>
      <c r="J129" s="195" t="s">
        <v>380</v>
      </c>
      <c r="K129" s="195" t="s">
        <v>381</v>
      </c>
      <c r="L129" s="196" t="s">
        <v>382</v>
      </c>
      <c r="M129" s="196" t="s">
        <v>383</v>
      </c>
      <c r="N129" s="196" t="s">
        <v>384</v>
      </c>
      <c r="O129" s="196" t="s">
        <v>385</v>
      </c>
      <c r="P129" s="196" t="s">
        <v>386</v>
      </c>
      <c r="Q129" s="196" t="s">
        <v>387</v>
      </c>
      <c r="R129" s="196" t="s">
        <v>388</v>
      </c>
      <c r="S129" s="196" t="s">
        <v>389</v>
      </c>
      <c r="T129" s="193" t="s">
        <v>372</v>
      </c>
      <c r="U129" s="194" t="s">
        <v>390</v>
      </c>
      <c r="V129" s="194" t="s">
        <v>391</v>
      </c>
      <c r="W129" s="195" t="s">
        <v>392</v>
      </c>
      <c r="X129" s="195" t="s">
        <v>393</v>
      </c>
      <c r="Y129" s="195" t="s">
        <v>394</v>
      </c>
      <c r="Z129" s="195" t="s">
        <v>395</v>
      </c>
      <c r="AA129" s="195" t="s">
        <v>396</v>
      </c>
      <c r="AB129" s="195" t="s">
        <v>397</v>
      </c>
      <c r="AC129" s="195" t="s">
        <v>398</v>
      </c>
      <c r="AD129" s="196" t="s">
        <v>399</v>
      </c>
      <c r="AE129" s="196" t="s">
        <v>400</v>
      </c>
      <c r="AF129" s="196" t="s">
        <v>401</v>
      </c>
      <c r="AG129" s="196" t="s">
        <v>402</v>
      </c>
      <c r="AH129" s="196" t="s">
        <v>403</v>
      </c>
      <c r="AI129" s="196" t="s">
        <v>404</v>
      </c>
      <c r="AJ129" s="196" t="s">
        <v>405</v>
      </c>
      <c r="AK129" s="196" t="s">
        <v>406</v>
      </c>
      <c r="AL129" s="193" t="s">
        <v>372</v>
      </c>
      <c r="AM129" s="194" t="s">
        <v>407</v>
      </c>
      <c r="AN129" s="194" t="s">
        <v>408</v>
      </c>
      <c r="AO129" s="195" t="s">
        <v>409</v>
      </c>
      <c r="AP129" s="195" t="s">
        <v>410</v>
      </c>
      <c r="AQ129" s="195" t="s">
        <v>411</v>
      </c>
      <c r="AR129" s="195" t="s">
        <v>412</v>
      </c>
      <c r="AS129" s="195" t="s">
        <v>413</v>
      </c>
      <c r="AT129" s="195" t="s">
        <v>414</v>
      </c>
      <c r="AU129" s="195" t="s">
        <v>415</v>
      </c>
      <c r="AV129" s="196" t="s">
        <v>416</v>
      </c>
      <c r="AW129" s="196" t="s">
        <v>417</v>
      </c>
      <c r="AX129" s="196" t="s">
        <v>418</v>
      </c>
      <c r="AY129" s="196" t="s">
        <v>419</v>
      </c>
      <c r="AZ129" s="196" t="s">
        <v>420</v>
      </c>
      <c r="BA129" s="196" t="s">
        <v>421</v>
      </c>
      <c r="BB129" s="196" t="s">
        <v>422</v>
      </c>
      <c r="BC129" s="196" t="s">
        <v>423</v>
      </c>
      <c r="BD129" s="193" t="s">
        <v>372</v>
      </c>
      <c r="BE129" s="194" t="s">
        <v>424</v>
      </c>
      <c r="BF129" s="194" t="s">
        <v>425</v>
      </c>
      <c r="BG129" s="195" t="s">
        <v>426</v>
      </c>
      <c r="BH129" s="195" t="s">
        <v>427</v>
      </c>
      <c r="BI129" s="195" t="s">
        <v>428</v>
      </c>
      <c r="BJ129" s="195" t="s">
        <v>429</v>
      </c>
      <c r="BK129" s="195" t="s">
        <v>430</v>
      </c>
      <c r="BL129" s="195" t="s">
        <v>431</v>
      </c>
      <c r="BM129" s="195" t="s">
        <v>432</v>
      </c>
      <c r="BN129" s="196" t="s">
        <v>433</v>
      </c>
      <c r="BO129" s="196" t="s">
        <v>434</v>
      </c>
      <c r="BP129" s="196" t="s">
        <v>435</v>
      </c>
      <c r="BQ129" s="196" t="s">
        <v>436</v>
      </c>
      <c r="BR129" s="196" t="s">
        <v>437</v>
      </c>
      <c r="BS129" s="196" t="s">
        <v>438</v>
      </c>
      <c r="BT129" s="196" t="s">
        <v>439</v>
      </c>
      <c r="BU129" s="196" t="s">
        <v>440</v>
      </c>
      <c r="BV129" s="193" t="s">
        <v>372</v>
      </c>
      <c r="BW129" s="194" t="s">
        <v>441</v>
      </c>
      <c r="BX129" s="194" t="s">
        <v>442</v>
      </c>
      <c r="BY129" s="195" t="s">
        <v>443</v>
      </c>
      <c r="BZ129" s="195" t="s">
        <v>444</v>
      </c>
      <c r="CA129" s="195" t="s">
        <v>445</v>
      </c>
      <c r="CB129" s="195" t="s">
        <v>446</v>
      </c>
      <c r="CC129" s="195" t="s">
        <v>447</v>
      </c>
      <c r="CD129" s="195" t="s">
        <v>448</v>
      </c>
      <c r="CE129" s="195" t="s">
        <v>449</v>
      </c>
      <c r="CF129" s="196" t="s">
        <v>450</v>
      </c>
      <c r="CG129" s="196" t="s">
        <v>451</v>
      </c>
      <c r="CH129" s="196" t="s">
        <v>452</v>
      </c>
      <c r="CI129" s="196" t="s">
        <v>453</v>
      </c>
      <c r="CJ129" s="196" t="s">
        <v>454</v>
      </c>
      <c r="CK129" s="196" t="s">
        <v>455</v>
      </c>
      <c r="CL129" s="196" t="s">
        <v>456</v>
      </c>
      <c r="CM129" s="196" t="s">
        <v>457</v>
      </c>
      <c r="CN129" s="193" t="s">
        <v>372</v>
      </c>
      <c r="CO129" s="194" t="s">
        <v>458</v>
      </c>
      <c r="CP129" s="194" t="s">
        <v>459</v>
      </c>
      <c r="CQ129" s="195" t="s">
        <v>460</v>
      </c>
      <c r="CR129" s="195" t="s">
        <v>461</v>
      </c>
      <c r="CS129" s="195" t="s">
        <v>462</v>
      </c>
      <c r="CT129" s="195" t="s">
        <v>463</v>
      </c>
      <c r="CU129" s="195" t="s">
        <v>464</v>
      </c>
      <c r="CV129" s="195" t="s">
        <v>465</v>
      </c>
      <c r="CW129" s="195" t="s">
        <v>466</v>
      </c>
      <c r="CX129" s="196" t="s">
        <v>467</v>
      </c>
      <c r="CY129" s="196" t="s">
        <v>468</v>
      </c>
      <c r="CZ129" s="196" t="s">
        <v>469</v>
      </c>
      <c r="DA129" s="196" t="s">
        <v>470</v>
      </c>
      <c r="DB129" s="196" t="s">
        <v>471</v>
      </c>
      <c r="DC129" s="196" t="s">
        <v>472</v>
      </c>
      <c r="DD129" s="196" t="s">
        <v>473</v>
      </c>
      <c r="DE129" s="196" t="s">
        <v>474</v>
      </c>
      <c r="DF129" s="193" t="s">
        <v>372</v>
      </c>
      <c r="DG129" s="194" t="s">
        <v>526</v>
      </c>
      <c r="DH129" s="194" t="s">
        <v>527</v>
      </c>
      <c r="DI129" s="195" t="s">
        <v>528</v>
      </c>
      <c r="DJ129" s="195" t="s">
        <v>529</v>
      </c>
      <c r="DK129" s="195" t="s">
        <v>530</v>
      </c>
      <c r="DL129" s="195" t="s">
        <v>531</v>
      </c>
      <c r="DM129" s="195" t="s">
        <v>532</v>
      </c>
      <c r="DN129" s="195" t="s">
        <v>533</v>
      </c>
      <c r="DO129" s="195" t="s">
        <v>534</v>
      </c>
      <c r="DP129" s="196" t="s">
        <v>535</v>
      </c>
      <c r="DQ129" s="196" t="s">
        <v>536</v>
      </c>
      <c r="DR129" s="196" t="s">
        <v>537</v>
      </c>
      <c r="DS129" s="196" t="s">
        <v>538</v>
      </c>
      <c r="DT129" s="196" t="s">
        <v>539</v>
      </c>
      <c r="DU129" s="196" t="s">
        <v>540</v>
      </c>
      <c r="DV129" s="196" t="s">
        <v>541</v>
      </c>
      <c r="DW129" s="196" t="s">
        <v>542</v>
      </c>
      <c r="DX129" s="193" t="s">
        <v>372</v>
      </c>
      <c r="DY129" s="194" t="s">
        <v>492</v>
      </c>
      <c r="DZ129" s="194" t="s">
        <v>493</v>
      </c>
      <c r="EA129" s="195" t="s">
        <v>494</v>
      </c>
      <c r="EB129" s="195" t="s">
        <v>495</v>
      </c>
      <c r="EC129" s="195" t="s">
        <v>496</v>
      </c>
      <c r="ED129" s="195" t="s">
        <v>497</v>
      </c>
      <c r="EE129" s="195" t="s">
        <v>498</v>
      </c>
      <c r="EF129" s="195" t="s">
        <v>499</v>
      </c>
      <c r="EG129" s="195" t="s">
        <v>500</v>
      </c>
      <c r="EH129" s="196" t="s">
        <v>501</v>
      </c>
      <c r="EI129" s="196" t="s">
        <v>502</v>
      </c>
      <c r="EJ129" s="196" t="s">
        <v>503</v>
      </c>
      <c r="EK129" s="196" t="s">
        <v>504</v>
      </c>
      <c r="EL129" s="196" t="s">
        <v>505</v>
      </c>
      <c r="EM129" s="196" t="s">
        <v>506</v>
      </c>
      <c r="EN129" s="196" t="s">
        <v>507</v>
      </c>
      <c r="EO129" s="196" t="s">
        <v>508</v>
      </c>
      <c r="EP129" s="193" t="s">
        <v>372</v>
      </c>
      <c r="EQ129" s="194" t="s">
        <v>509</v>
      </c>
      <c r="ER129" s="194" t="s">
        <v>510</v>
      </c>
      <c r="ES129" s="195" t="s">
        <v>511</v>
      </c>
      <c r="ET129" s="195" t="s">
        <v>512</v>
      </c>
      <c r="EU129" s="195" t="s">
        <v>513</v>
      </c>
      <c r="EV129" s="195" t="s">
        <v>514</v>
      </c>
      <c r="EW129" s="195" t="s">
        <v>515</v>
      </c>
      <c r="EX129" s="195" t="s">
        <v>516</v>
      </c>
      <c r="EY129" s="195" t="s">
        <v>517</v>
      </c>
      <c r="EZ129" s="196" t="s">
        <v>518</v>
      </c>
      <c r="FA129" s="196" t="s">
        <v>519</v>
      </c>
      <c r="FB129" s="196" t="s">
        <v>520</v>
      </c>
      <c r="FC129" s="196" t="s">
        <v>521</v>
      </c>
      <c r="FD129" s="196" t="s">
        <v>522</v>
      </c>
      <c r="FE129" s="196" t="s">
        <v>523</v>
      </c>
      <c r="FF129" s="196" t="s">
        <v>524</v>
      </c>
      <c r="FG129" s="196" t="s">
        <v>525</v>
      </c>
      <c r="FH129" s="193" t="s">
        <v>372</v>
      </c>
      <c r="FI129" s="194" t="s">
        <v>526</v>
      </c>
      <c r="FJ129" s="194" t="s">
        <v>527</v>
      </c>
      <c r="FK129" s="195" t="s">
        <v>528</v>
      </c>
      <c r="FL129" s="195" t="s">
        <v>529</v>
      </c>
      <c r="FM129" s="195" t="s">
        <v>530</v>
      </c>
      <c r="FN129" s="195" t="s">
        <v>531</v>
      </c>
      <c r="FO129" s="195" t="s">
        <v>532</v>
      </c>
      <c r="FP129" s="195" t="s">
        <v>533</v>
      </c>
      <c r="FQ129" s="195" t="s">
        <v>534</v>
      </c>
      <c r="FR129" s="196" t="s">
        <v>535</v>
      </c>
      <c r="FS129" s="196" t="s">
        <v>536</v>
      </c>
      <c r="FT129" s="196" t="s">
        <v>537</v>
      </c>
      <c r="FU129" s="196" t="s">
        <v>538</v>
      </c>
      <c r="FV129" s="196" t="s">
        <v>539</v>
      </c>
      <c r="FW129" s="196" t="s">
        <v>540</v>
      </c>
      <c r="FX129" s="196" t="s">
        <v>541</v>
      </c>
      <c r="FY129" s="196" t="s">
        <v>542</v>
      </c>
    </row>
    <row r="130" spans="2:181" x14ac:dyDescent="0.25">
      <c r="B130" s="12">
        <v>91</v>
      </c>
      <c r="C130" s="195"/>
      <c r="D130" s="195"/>
      <c r="E130" s="195"/>
      <c r="F130" s="195"/>
      <c r="G130" s="195"/>
      <c r="H130" s="195"/>
      <c r="I130" s="195"/>
      <c r="J130" s="195"/>
      <c r="K130" s="195"/>
      <c r="L130" s="195"/>
      <c r="M130" s="195"/>
      <c r="N130" s="195"/>
      <c r="O130" s="195"/>
      <c r="P130" s="195"/>
      <c r="Q130" s="195"/>
      <c r="R130" s="195"/>
      <c r="S130" s="195"/>
      <c r="T130" s="12">
        <v>91</v>
      </c>
      <c r="U130" s="195"/>
      <c r="V130" s="195"/>
      <c r="W130" s="195"/>
      <c r="X130" s="195"/>
      <c r="Y130" s="195"/>
      <c r="Z130" s="195"/>
      <c r="AA130" s="195"/>
      <c r="AB130" s="195"/>
      <c r="AC130" s="195"/>
      <c r="AD130" s="195"/>
      <c r="AE130" s="195"/>
      <c r="AF130" s="195"/>
      <c r="AG130" s="195"/>
      <c r="AH130" s="195"/>
      <c r="AI130" s="195"/>
      <c r="AJ130" s="195"/>
      <c r="AK130" s="195"/>
      <c r="AL130" s="12">
        <v>91</v>
      </c>
      <c r="AM130" s="195"/>
      <c r="AN130" s="195"/>
      <c r="AO130" s="195"/>
      <c r="AP130" s="195"/>
      <c r="AQ130" s="195"/>
      <c r="AR130" s="195"/>
      <c r="AS130" s="195"/>
      <c r="AT130" s="195"/>
      <c r="AU130" s="195"/>
      <c r="AV130" s="195"/>
      <c r="AW130" s="195"/>
      <c r="AX130" s="195"/>
      <c r="AY130" s="195"/>
      <c r="AZ130" s="195"/>
      <c r="BA130" s="195"/>
      <c r="BB130" s="195"/>
      <c r="BC130" s="195"/>
      <c r="BD130" s="12">
        <v>91</v>
      </c>
      <c r="BE130" s="195"/>
      <c r="BF130" s="195"/>
      <c r="BG130" s="195"/>
      <c r="BH130" s="195"/>
      <c r="BI130" s="195"/>
      <c r="BJ130" s="195"/>
      <c r="BK130" s="195"/>
      <c r="BL130" s="195"/>
      <c r="BM130" s="195"/>
      <c r="BN130" s="195"/>
      <c r="BO130" s="195"/>
      <c r="BP130" s="195"/>
      <c r="BQ130" s="195"/>
      <c r="BR130" s="195"/>
      <c r="BS130" s="195"/>
      <c r="BT130" s="195"/>
      <c r="BU130" s="195"/>
      <c r="BV130" s="12">
        <v>91</v>
      </c>
      <c r="BW130" s="195"/>
      <c r="BX130" s="195"/>
      <c r="BY130" s="195"/>
      <c r="BZ130" s="195"/>
      <c r="CA130" s="195"/>
      <c r="CB130" s="195"/>
      <c r="CC130" s="195"/>
      <c r="CD130" s="195"/>
      <c r="CE130" s="195"/>
      <c r="CF130" s="195"/>
      <c r="CG130" s="195"/>
      <c r="CH130" s="195"/>
      <c r="CI130" s="195"/>
      <c r="CJ130" s="195"/>
      <c r="CK130" s="195"/>
      <c r="CL130" s="195"/>
      <c r="CM130" s="195"/>
      <c r="CN130" s="12">
        <v>91</v>
      </c>
      <c r="CO130" s="195"/>
      <c r="CP130" s="195"/>
      <c r="CQ130" s="195"/>
      <c r="CR130" s="195"/>
      <c r="CS130" s="195"/>
      <c r="CT130" s="195"/>
      <c r="CU130" s="195"/>
      <c r="CV130" s="195"/>
      <c r="CW130" s="195"/>
      <c r="CX130" s="195"/>
      <c r="CY130" s="195"/>
      <c r="CZ130" s="195"/>
      <c r="DA130" s="195"/>
      <c r="DB130" s="195"/>
      <c r="DC130" s="195"/>
      <c r="DD130" s="195"/>
      <c r="DE130" s="195"/>
      <c r="DF130" s="12">
        <v>91</v>
      </c>
      <c r="DG130" s="195"/>
      <c r="DH130" s="195"/>
      <c r="DI130" s="195"/>
      <c r="DJ130" s="195"/>
      <c r="DK130" s="195"/>
      <c r="DL130" s="195"/>
      <c r="DM130" s="195"/>
      <c r="DN130" s="195"/>
      <c r="DO130" s="195"/>
      <c r="DP130" s="195"/>
      <c r="DQ130" s="195"/>
      <c r="DR130" s="195"/>
      <c r="DS130" s="195"/>
      <c r="DT130" s="195"/>
      <c r="DU130" s="195"/>
      <c r="DV130" s="195"/>
      <c r="DW130" s="195"/>
      <c r="DX130" s="12">
        <v>91</v>
      </c>
      <c r="DY130" s="195"/>
      <c r="DZ130" s="195"/>
      <c r="EA130" s="195"/>
      <c r="EB130" s="195"/>
      <c r="EC130" s="195"/>
      <c r="ED130" s="195"/>
      <c r="EE130" s="195"/>
      <c r="EF130" s="195"/>
      <c r="EG130" s="195"/>
      <c r="EH130" s="195"/>
      <c r="EI130" s="195"/>
      <c r="EJ130" s="195"/>
      <c r="EK130" s="195"/>
      <c r="EL130" s="195"/>
      <c r="EM130" s="195"/>
      <c r="EN130" s="195"/>
      <c r="EO130" s="195"/>
      <c r="EP130" s="12">
        <v>91</v>
      </c>
      <c r="EQ130" s="195"/>
      <c r="ER130" s="195"/>
      <c r="ES130" s="195"/>
      <c r="ET130" s="195"/>
      <c r="EU130" s="195"/>
      <c r="EV130" s="195"/>
      <c r="EW130" s="195"/>
      <c r="EX130" s="195"/>
      <c r="EY130" s="195"/>
      <c r="EZ130" s="195"/>
      <c r="FA130" s="195"/>
      <c r="FB130" s="195"/>
      <c r="FC130" s="195"/>
      <c r="FD130" s="195"/>
      <c r="FE130" s="195"/>
      <c r="FF130" s="195"/>
      <c r="FG130" s="195"/>
      <c r="FH130" s="12">
        <v>91</v>
      </c>
      <c r="FI130" s="195"/>
      <c r="FJ130" s="195"/>
      <c r="FK130" s="195"/>
      <c r="FL130" s="195"/>
      <c r="FM130" s="195"/>
      <c r="FN130" s="195"/>
      <c r="FO130" s="195"/>
      <c r="FP130" s="195"/>
      <c r="FQ130" s="195"/>
      <c r="FR130" s="195"/>
      <c r="FS130" s="195"/>
      <c r="FT130" s="195"/>
      <c r="FU130" s="195"/>
      <c r="FV130" s="195"/>
      <c r="FW130" s="195"/>
      <c r="FX130" s="195"/>
      <c r="FY130" s="195"/>
    </row>
    <row r="131" spans="2:181" x14ac:dyDescent="0.25">
      <c r="B131" s="197">
        <v>92</v>
      </c>
      <c r="C131" s="195"/>
      <c r="D131" s="195"/>
      <c r="E131" s="195"/>
      <c r="F131" s="195"/>
      <c r="G131" s="195"/>
      <c r="H131" s="195"/>
      <c r="I131" s="195"/>
      <c r="J131" s="195"/>
      <c r="K131" s="195"/>
      <c r="L131" s="195"/>
      <c r="M131" s="195"/>
      <c r="N131" s="195"/>
      <c r="O131" s="195"/>
      <c r="P131" s="195"/>
      <c r="Q131" s="195"/>
      <c r="R131" s="195"/>
      <c r="S131" s="195"/>
      <c r="T131" s="197">
        <v>92</v>
      </c>
      <c r="U131" s="195"/>
      <c r="V131" s="195"/>
      <c r="W131" s="195"/>
      <c r="X131" s="195"/>
      <c r="Y131" s="195"/>
      <c r="Z131" s="195"/>
      <c r="AA131" s="195"/>
      <c r="AB131" s="195"/>
      <c r="AC131" s="195"/>
      <c r="AD131" s="195"/>
      <c r="AE131" s="195"/>
      <c r="AF131" s="195"/>
      <c r="AG131" s="195"/>
      <c r="AH131" s="195"/>
      <c r="AI131" s="195"/>
      <c r="AJ131" s="195"/>
      <c r="AK131" s="195"/>
      <c r="AL131" s="197">
        <v>92</v>
      </c>
      <c r="AM131" s="195"/>
      <c r="AN131" s="195"/>
      <c r="AO131" s="195"/>
      <c r="AP131" s="195"/>
      <c r="AQ131" s="195"/>
      <c r="AR131" s="195"/>
      <c r="AS131" s="195"/>
      <c r="AT131" s="195"/>
      <c r="AU131" s="195"/>
      <c r="AV131" s="195"/>
      <c r="AW131" s="195"/>
      <c r="AX131" s="195"/>
      <c r="AY131" s="195"/>
      <c r="AZ131" s="195"/>
      <c r="BA131" s="195"/>
      <c r="BB131" s="195"/>
      <c r="BC131" s="195"/>
      <c r="BD131" s="197">
        <v>92</v>
      </c>
      <c r="BE131" s="195"/>
      <c r="BF131" s="195"/>
      <c r="BG131" s="195"/>
      <c r="BH131" s="195"/>
      <c r="BI131" s="195"/>
      <c r="BJ131" s="195"/>
      <c r="BK131" s="195"/>
      <c r="BL131" s="195"/>
      <c r="BM131" s="195"/>
      <c r="BN131" s="195"/>
      <c r="BO131" s="195"/>
      <c r="BP131" s="195"/>
      <c r="BQ131" s="195"/>
      <c r="BR131" s="195"/>
      <c r="BS131" s="195"/>
      <c r="BT131" s="195"/>
      <c r="BU131" s="195"/>
      <c r="BV131" s="197">
        <v>92</v>
      </c>
      <c r="BW131" s="195"/>
      <c r="BX131" s="195"/>
      <c r="BY131" s="195"/>
      <c r="BZ131" s="195"/>
      <c r="CA131" s="195"/>
      <c r="CB131" s="195"/>
      <c r="CC131" s="195"/>
      <c r="CD131" s="195"/>
      <c r="CE131" s="195"/>
      <c r="CF131" s="195"/>
      <c r="CG131" s="195"/>
      <c r="CH131" s="195"/>
      <c r="CI131" s="195"/>
      <c r="CJ131" s="195"/>
      <c r="CK131" s="195"/>
      <c r="CL131" s="195"/>
      <c r="CM131" s="195"/>
      <c r="CN131" s="197">
        <v>92</v>
      </c>
      <c r="CO131" s="195"/>
      <c r="CP131" s="195"/>
      <c r="CQ131" s="195"/>
      <c r="CR131" s="195"/>
      <c r="CS131" s="195"/>
      <c r="CT131" s="195"/>
      <c r="CU131" s="195"/>
      <c r="CV131" s="195"/>
      <c r="CW131" s="195"/>
      <c r="CX131" s="195"/>
      <c r="CY131" s="195"/>
      <c r="CZ131" s="195"/>
      <c r="DA131" s="195"/>
      <c r="DB131" s="195"/>
      <c r="DC131" s="195"/>
      <c r="DD131" s="195"/>
      <c r="DE131" s="195"/>
      <c r="DF131" s="197">
        <v>92</v>
      </c>
      <c r="DG131" s="195"/>
      <c r="DH131" s="195"/>
      <c r="DI131" s="195"/>
      <c r="DJ131" s="195"/>
      <c r="DK131" s="195"/>
      <c r="DL131" s="195"/>
      <c r="DM131" s="195"/>
      <c r="DN131" s="195"/>
      <c r="DO131" s="195"/>
      <c r="DP131" s="195"/>
      <c r="DQ131" s="195"/>
      <c r="DR131" s="195"/>
      <c r="DS131" s="195"/>
      <c r="DT131" s="195"/>
      <c r="DU131" s="195"/>
      <c r="DV131" s="195"/>
      <c r="DW131" s="195"/>
      <c r="DX131" s="197">
        <v>92</v>
      </c>
      <c r="DY131" s="195"/>
      <c r="DZ131" s="195"/>
      <c r="EA131" s="195"/>
      <c r="EB131" s="195"/>
      <c r="EC131" s="195"/>
      <c r="ED131" s="195"/>
      <c r="EE131" s="195"/>
      <c r="EF131" s="195"/>
      <c r="EG131" s="195"/>
      <c r="EH131" s="195"/>
      <c r="EI131" s="195"/>
      <c r="EJ131" s="195"/>
      <c r="EK131" s="195"/>
      <c r="EL131" s="195"/>
      <c r="EM131" s="195"/>
      <c r="EN131" s="195"/>
      <c r="EO131" s="195"/>
      <c r="EP131" s="197">
        <v>92</v>
      </c>
      <c r="EQ131" s="195"/>
      <c r="ER131" s="195"/>
      <c r="ES131" s="195"/>
      <c r="ET131" s="195"/>
      <c r="EU131" s="195"/>
      <c r="EV131" s="195"/>
      <c r="EW131" s="195"/>
      <c r="EX131" s="195"/>
      <c r="EY131" s="195"/>
      <c r="EZ131" s="195"/>
      <c r="FA131" s="195"/>
      <c r="FB131" s="195"/>
      <c r="FC131" s="195"/>
      <c r="FD131" s="195"/>
      <c r="FE131" s="195"/>
      <c r="FF131" s="195"/>
      <c r="FG131" s="195"/>
      <c r="FH131" s="197">
        <v>92</v>
      </c>
      <c r="FI131" s="195"/>
      <c r="FJ131" s="195"/>
      <c r="FK131" s="195"/>
      <c r="FL131" s="195"/>
      <c r="FM131" s="195"/>
      <c r="FN131" s="195"/>
      <c r="FO131" s="195"/>
      <c r="FP131" s="195"/>
      <c r="FQ131" s="195"/>
      <c r="FR131" s="195"/>
      <c r="FS131" s="195"/>
      <c r="FT131" s="195"/>
      <c r="FU131" s="195"/>
      <c r="FV131" s="195"/>
      <c r="FW131" s="195"/>
      <c r="FX131" s="195"/>
      <c r="FY131" s="195"/>
    </row>
    <row r="132" spans="2:181" x14ac:dyDescent="0.25">
      <c r="B132" s="12">
        <v>93</v>
      </c>
      <c r="C132" s="195"/>
      <c r="D132" s="195"/>
      <c r="E132" s="195"/>
      <c r="F132" s="195"/>
      <c r="G132" s="195"/>
      <c r="H132" s="195"/>
      <c r="I132" s="195"/>
      <c r="J132" s="195"/>
      <c r="K132" s="195"/>
      <c r="L132" s="195"/>
      <c r="M132" s="195"/>
      <c r="N132" s="195"/>
      <c r="O132" s="195"/>
      <c r="P132" s="195"/>
      <c r="Q132" s="195"/>
      <c r="R132" s="195"/>
      <c r="S132" s="195"/>
      <c r="T132" s="12">
        <v>93</v>
      </c>
      <c r="U132" s="195"/>
      <c r="V132" s="195"/>
      <c r="W132" s="195"/>
      <c r="X132" s="195"/>
      <c r="Y132" s="195"/>
      <c r="Z132" s="195"/>
      <c r="AA132" s="195"/>
      <c r="AB132" s="195"/>
      <c r="AC132" s="195"/>
      <c r="AD132" s="195"/>
      <c r="AE132" s="195"/>
      <c r="AF132" s="195"/>
      <c r="AG132" s="195"/>
      <c r="AH132" s="195"/>
      <c r="AI132" s="195"/>
      <c r="AJ132" s="195"/>
      <c r="AK132" s="195"/>
      <c r="AL132" s="12">
        <v>93</v>
      </c>
      <c r="AM132" s="195"/>
      <c r="AN132" s="195"/>
      <c r="AO132" s="195"/>
      <c r="AP132" s="195"/>
      <c r="AQ132" s="195"/>
      <c r="AR132" s="195"/>
      <c r="AS132" s="195"/>
      <c r="AT132" s="195"/>
      <c r="AU132" s="195"/>
      <c r="AV132" s="195"/>
      <c r="AW132" s="195"/>
      <c r="AX132" s="195"/>
      <c r="AY132" s="195"/>
      <c r="AZ132" s="195"/>
      <c r="BA132" s="195"/>
      <c r="BB132" s="195"/>
      <c r="BC132" s="195"/>
      <c r="BD132" s="12">
        <v>93</v>
      </c>
      <c r="BE132" s="195"/>
      <c r="BF132" s="195"/>
      <c r="BG132" s="195"/>
      <c r="BH132" s="195"/>
      <c r="BI132" s="195"/>
      <c r="BJ132" s="195"/>
      <c r="BK132" s="195"/>
      <c r="BL132" s="195"/>
      <c r="BM132" s="195"/>
      <c r="BN132" s="195"/>
      <c r="BO132" s="195"/>
      <c r="BP132" s="195"/>
      <c r="BQ132" s="195"/>
      <c r="BR132" s="195"/>
      <c r="BS132" s="195"/>
      <c r="BT132" s="195"/>
      <c r="BU132" s="195"/>
      <c r="BV132" s="12">
        <v>93</v>
      </c>
      <c r="BW132" s="195"/>
      <c r="BX132" s="195"/>
      <c r="BY132" s="195"/>
      <c r="BZ132" s="195"/>
      <c r="CA132" s="195"/>
      <c r="CB132" s="195"/>
      <c r="CC132" s="195"/>
      <c r="CD132" s="195"/>
      <c r="CE132" s="195"/>
      <c r="CF132" s="195"/>
      <c r="CG132" s="195"/>
      <c r="CH132" s="195"/>
      <c r="CI132" s="195"/>
      <c r="CJ132" s="195"/>
      <c r="CK132" s="195"/>
      <c r="CL132" s="195"/>
      <c r="CM132" s="195"/>
      <c r="CN132" s="12">
        <v>93</v>
      </c>
      <c r="CO132" s="195"/>
      <c r="CP132" s="195"/>
      <c r="CQ132" s="195"/>
      <c r="CR132" s="195"/>
      <c r="CS132" s="195"/>
      <c r="CT132" s="195"/>
      <c r="CU132" s="195"/>
      <c r="CV132" s="195"/>
      <c r="CW132" s="195"/>
      <c r="CX132" s="195"/>
      <c r="CY132" s="195"/>
      <c r="CZ132" s="195"/>
      <c r="DA132" s="195"/>
      <c r="DB132" s="195"/>
      <c r="DC132" s="195"/>
      <c r="DD132" s="195"/>
      <c r="DE132" s="195"/>
      <c r="DF132" s="12">
        <v>93</v>
      </c>
      <c r="DG132" s="195"/>
      <c r="DH132" s="195"/>
      <c r="DI132" s="195"/>
      <c r="DJ132" s="195"/>
      <c r="DK132" s="195"/>
      <c r="DL132" s="195"/>
      <c r="DM132" s="195"/>
      <c r="DN132" s="195"/>
      <c r="DO132" s="195"/>
      <c r="DP132" s="195"/>
      <c r="DQ132" s="195"/>
      <c r="DR132" s="195"/>
      <c r="DS132" s="195"/>
      <c r="DT132" s="195"/>
      <c r="DU132" s="195"/>
      <c r="DV132" s="195"/>
      <c r="DW132" s="195"/>
      <c r="DX132" s="12">
        <v>93</v>
      </c>
      <c r="DY132" s="195"/>
      <c r="DZ132" s="195"/>
      <c r="EA132" s="195"/>
      <c r="EB132" s="195"/>
      <c r="EC132" s="195"/>
      <c r="ED132" s="195"/>
      <c r="EE132" s="195"/>
      <c r="EF132" s="195"/>
      <c r="EG132" s="195"/>
      <c r="EH132" s="195"/>
      <c r="EI132" s="195"/>
      <c r="EJ132" s="195"/>
      <c r="EK132" s="195"/>
      <c r="EL132" s="195"/>
      <c r="EM132" s="195"/>
      <c r="EN132" s="195"/>
      <c r="EO132" s="195"/>
      <c r="EP132" s="12">
        <v>93</v>
      </c>
      <c r="EQ132" s="195"/>
      <c r="ER132" s="195"/>
      <c r="ES132" s="195"/>
      <c r="ET132" s="195"/>
      <c r="EU132" s="195"/>
      <c r="EV132" s="195"/>
      <c r="EW132" s="195"/>
      <c r="EX132" s="195"/>
      <c r="EY132" s="195"/>
      <c r="EZ132" s="195"/>
      <c r="FA132" s="195"/>
      <c r="FB132" s="195"/>
      <c r="FC132" s="195"/>
      <c r="FD132" s="195"/>
      <c r="FE132" s="195"/>
      <c r="FF132" s="195"/>
      <c r="FG132" s="195"/>
      <c r="FH132" s="12">
        <v>93</v>
      </c>
      <c r="FI132" s="195"/>
      <c r="FJ132" s="195"/>
      <c r="FK132" s="195"/>
      <c r="FL132" s="195"/>
      <c r="FM132" s="195"/>
      <c r="FN132" s="195"/>
      <c r="FO132" s="195"/>
      <c r="FP132" s="195"/>
      <c r="FQ132" s="195"/>
      <c r="FR132" s="195"/>
      <c r="FS132" s="195"/>
      <c r="FT132" s="195"/>
      <c r="FU132" s="195"/>
      <c r="FV132" s="195"/>
      <c r="FW132" s="195"/>
      <c r="FX132" s="195"/>
      <c r="FY132" s="195"/>
    </row>
    <row r="133" spans="2:181" x14ac:dyDescent="0.25">
      <c r="B133" s="197">
        <v>94</v>
      </c>
      <c r="C133" s="195"/>
      <c r="D133" s="195"/>
      <c r="E133" s="195"/>
      <c r="F133" s="195"/>
      <c r="G133" s="195"/>
      <c r="H133" s="195"/>
      <c r="I133" s="195"/>
      <c r="J133" s="195"/>
      <c r="K133" s="195"/>
      <c r="L133" s="195"/>
      <c r="M133" s="195"/>
      <c r="N133" s="195"/>
      <c r="O133" s="195"/>
      <c r="P133" s="195"/>
      <c r="Q133" s="195"/>
      <c r="R133" s="195"/>
      <c r="S133" s="195"/>
      <c r="T133" s="197">
        <v>94</v>
      </c>
      <c r="U133" s="195"/>
      <c r="V133" s="195"/>
      <c r="W133" s="195"/>
      <c r="X133" s="195"/>
      <c r="Y133" s="195"/>
      <c r="Z133" s="195"/>
      <c r="AA133" s="195"/>
      <c r="AB133" s="195"/>
      <c r="AC133" s="195"/>
      <c r="AD133" s="195"/>
      <c r="AE133" s="195"/>
      <c r="AF133" s="195"/>
      <c r="AG133" s="195"/>
      <c r="AH133" s="195"/>
      <c r="AI133" s="195"/>
      <c r="AJ133" s="195"/>
      <c r="AK133" s="195"/>
      <c r="AL133" s="197">
        <v>94</v>
      </c>
      <c r="AM133" s="195"/>
      <c r="AN133" s="195"/>
      <c r="AO133" s="195"/>
      <c r="AP133" s="195"/>
      <c r="AQ133" s="195"/>
      <c r="AR133" s="195"/>
      <c r="AS133" s="195"/>
      <c r="AT133" s="195"/>
      <c r="AU133" s="195"/>
      <c r="AV133" s="195"/>
      <c r="AW133" s="195"/>
      <c r="AX133" s="195"/>
      <c r="AY133" s="195"/>
      <c r="AZ133" s="195"/>
      <c r="BA133" s="195"/>
      <c r="BB133" s="195"/>
      <c r="BC133" s="195"/>
      <c r="BD133" s="197">
        <v>94</v>
      </c>
      <c r="BE133" s="195"/>
      <c r="BF133" s="195"/>
      <c r="BG133" s="195"/>
      <c r="BH133" s="195"/>
      <c r="BI133" s="195"/>
      <c r="BJ133" s="195"/>
      <c r="BK133" s="195"/>
      <c r="BL133" s="195"/>
      <c r="BM133" s="195"/>
      <c r="BN133" s="195"/>
      <c r="BO133" s="195"/>
      <c r="BP133" s="195"/>
      <c r="BQ133" s="195"/>
      <c r="BR133" s="195"/>
      <c r="BS133" s="195"/>
      <c r="BT133" s="195"/>
      <c r="BU133" s="195"/>
      <c r="BV133" s="197">
        <v>94</v>
      </c>
      <c r="BW133" s="195"/>
      <c r="BX133" s="195"/>
      <c r="BY133" s="195"/>
      <c r="BZ133" s="195"/>
      <c r="CA133" s="195"/>
      <c r="CB133" s="195"/>
      <c r="CC133" s="195"/>
      <c r="CD133" s="195"/>
      <c r="CE133" s="195"/>
      <c r="CF133" s="195"/>
      <c r="CG133" s="195"/>
      <c r="CH133" s="195"/>
      <c r="CI133" s="195"/>
      <c r="CJ133" s="195"/>
      <c r="CK133" s="195"/>
      <c r="CL133" s="195"/>
      <c r="CM133" s="195"/>
      <c r="CN133" s="197">
        <v>94</v>
      </c>
      <c r="CO133" s="195"/>
      <c r="CP133" s="195"/>
      <c r="CQ133" s="195"/>
      <c r="CR133" s="195"/>
      <c r="CS133" s="195"/>
      <c r="CT133" s="195"/>
      <c r="CU133" s="195"/>
      <c r="CV133" s="195"/>
      <c r="CW133" s="195"/>
      <c r="CX133" s="195"/>
      <c r="CY133" s="195"/>
      <c r="CZ133" s="195"/>
      <c r="DA133" s="195"/>
      <c r="DB133" s="195"/>
      <c r="DC133" s="195"/>
      <c r="DD133" s="195"/>
      <c r="DE133" s="195"/>
      <c r="DF133" s="197">
        <v>94</v>
      </c>
      <c r="DG133" s="195"/>
      <c r="DH133" s="195"/>
      <c r="DI133" s="195"/>
      <c r="DJ133" s="195"/>
      <c r="DK133" s="195"/>
      <c r="DL133" s="195"/>
      <c r="DM133" s="195"/>
      <c r="DN133" s="195"/>
      <c r="DO133" s="195"/>
      <c r="DP133" s="195"/>
      <c r="DQ133" s="195"/>
      <c r="DR133" s="195"/>
      <c r="DS133" s="195"/>
      <c r="DT133" s="195"/>
      <c r="DU133" s="195"/>
      <c r="DV133" s="195"/>
      <c r="DW133" s="195"/>
      <c r="DX133" s="197">
        <v>94</v>
      </c>
      <c r="DY133" s="195"/>
      <c r="DZ133" s="195"/>
      <c r="EA133" s="195"/>
      <c r="EB133" s="195"/>
      <c r="EC133" s="195"/>
      <c r="ED133" s="195"/>
      <c r="EE133" s="195"/>
      <c r="EF133" s="195"/>
      <c r="EG133" s="195"/>
      <c r="EH133" s="195"/>
      <c r="EI133" s="195"/>
      <c r="EJ133" s="195"/>
      <c r="EK133" s="195"/>
      <c r="EL133" s="195"/>
      <c r="EM133" s="195"/>
      <c r="EN133" s="195"/>
      <c r="EO133" s="195"/>
      <c r="EP133" s="197">
        <v>94</v>
      </c>
      <c r="EQ133" s="195"/>
      <c r="ER133" s="195"/>
      <c r="ES133" s="195"/>
      <c r="ET133" s="195"/>
      <c r="EU133" s="195"/>
      <c r="EV133" s="195"/>
      <c r="EW133" s="195"/>
      <c r="EX133" s="195"/>
      <c r="EY133" s="195"/>
      <c r="EZ133" s="195"/>
      <c r="FA133" s="195"/>
      <c r="FB133" s="195"/>
      <c r="FC133" s="195"/>
      <c r="FD133" s="195"/>
      <c r="FE133" s="195"/>
      <c r="FF133" s="195"/>
      <c r="FG133" s="195"/>
      <c r="FH133" s="197">
        <v>94</v>
      </c>
      <c r="FI133" s="195"/>
      <c r="FJ133" s="195"/>
      <c r="FK133" s="195"/>
      <c r="FL133" s="195"/>
      <c r="FM133" s="195"/>
      <c r="FN133" s="195"/>
      <c r="FO133" s="195"/>
      <c r="FP133" s="195"/>
      <c r="FQ133" s="195"/>
      <c r="FR133" s="195"/>
      <c r="FS133" s="195"/>
      <c r="FT133" s="195"/>
      <c r="FU133" s="195"/>
      <c r="FV133" s="195"/>
      <c r="FW133" s="195"/>
      <c r="FX133" s="195"/>
      <c r="FY133" s="195"/>
    </row>
    <row r="134" spans="2:181" x14ac:dyDescent="0.25">
      <c r="B134" s="12">
        <v>95</v>
      </c>
      <c r="C134" s="195"/>
      <c r="D134" s="195"/>
      <c r="E134" s="195"/>
      <c r="F134" s="195"/>
      <c r="G134" s="195"/>
      <c r="H134" s="195"/>
      <c r="I134" s="195"/>
      <c r="J134" s="195"/>
      <c r="K134" s="195"/>
      <c r="L134" s="195"/>
      <c r="M134" s="195"/>
      <c r="N134" s="195"/>
      <c r="O134" s="195"/>
      <c r="P134" s="195"/>
      <c r="Q134" s="195"/>
      <c r="R134" s="195"/>
      <c r="S134" s="195"/>
      <c r="T134" s="12">
        <v>95</v>
      </c>
      <c r="U134" s="195"/>
      <c r="V134" s="195"/>
      <c r="W134" s="195"/>
      <c r="X134" s="195"/>
      <c r="Y134" s="195"/>
      <c r="Z134" s="195"/>
      <c r="AA134" s="195"/>
      <c r="AB134" s="195"/>
      <c r="AC134" s="195"/>
      <c r="AD134" s="195"/>
      <c r="AE134" s="195"/>
      <c r="AF134" s="195"/>
      <c r="AG134" s="195"/>
      <c r="AH134" s="195"/>
      <c r="AI134" s="195"/>
      <c r="AJ134" s="195"/>
      <c r="AK134" s="195"/>
      <c r="AL134" s="12">
        <v>95</v>
      </c>
      <c r="AM134" s="195"/>
      <c r="AN134" s="195"/>
      <c r="AO134" s="195"/>
      <c r="AP134" s="195"/>
      <c r="AQ134" s="195"/>
      <c r="AR134" s="195"/>
      <c r="AS134" s="195"/>
      <c r="AT134" s="195"/>
      <c r="AU134" s="195"/>
      <c r="AV134" s="195"/>
      <c r="AW134" s="195"/>
      <c r="AX134" s="195"/>
      <c r="AY134" s="195"/>
      <c r="AZ134" s="195"/>
      <c r="BA134" s="195"/>
      <c r="BB134" s="195"/>
      <c r="BC134" s="195"/>
      <c r="BD134" s="12">
        <v>95</v>
      </c>
      <c r="BE134" s="195"/>
      <c r="BF134" s="195"/>
      <c r="BG134" s="195"/>
      <c r="BH134" s="195"/>
      <c r="BI134" s="195"/>
      <c r="BJ134" s="195"/>
      <c r="BK134" s="195"/>
      <c r="BL134" s="195"/>
      <c r="BM134" s="195"/>
      <c r="BN134" s="195"/>
      <c r="BO134" s="195"/>
      <c r="BP134" s="195"/>
      <c r="BQ134" s="195"/>
      <c r="BR134" s="195"/>
      <c r="BS134" s="195"/>
      <c r="BT134" s="195"/>
      <c r="BU134" s="195"/>
      <c r="BV134" s="12">
        <v>95</v>
      </c>
      <c r="BW134" s="195"/>
      <c r="BX134" s="195"/>
      <c r="BY134" s="195"/>
      <c r="BZ134" s="195"/>
      <c r="CA134" s="195"/>
      <c r="CB134" s="195"/>
      <c r="CC134" s="195"/>
      <c r="CD134" s="195"/>
      <c r="CE134" s="195"/>
      <c r="CF134" s="195"/>
      <c r="CG134" s="195"/>
      <c r="CH134" s="195"/>
      <c r="CI134" s="195"/>
      <c r="CJ134" s="195"/>
      <c r="CK134" s="195"/>
      <c r="CL134" s="195"/>
      <c r="CM134" s="195"/>
      <c r="CN134" s="12">
        <v>95</v>
      </c>
      <c r="CO134" s="195"/>
      <c r="CP134" s="195"/>
      <c r="CQ134" s="195"/>
      <c r="CR134" s="195"/>
      <c r="CS134" s="195"/>
      <c r="CT134" s="195"/>
      <c r="CU134" s="195"/>
      <c r="CV134" s="195"/>
      <c r="CW134" s="195"/>
      <c r="CX134" s="195"/>
      <c r="CY134" s="195"/>
      <c r="CZ134" s="195"/>
      <c r="DA134" s="195"/>
      <c r="DB134" s="195"/>
      <c r="DC134" s="195"/>
      <c r="DD134" s="195"/>
      <c r="DE134" s="195"/>
      <c r="DF134" s="12">
        <v>95</v>
      </c>
      <c r="DG134" s="195"/>
      <c r="DH134" s="195"/>
      <c r="DI134" s="195"/>
      <c r="DJ134" s="195"/>
      <c r="DK134" s="195"/>
      <c r="DL134" s="195"/>
      <c r="DM134" s="195"/>
      <c r="DN134" s="195"/>
      <c r="DO134" s="195"/>
      <c r="DP134" s="195"/>
      <c r="DQ134" s="195"/>
      <c r="DR134" s="195"/>
      <c r="DS134" s="195"/>
      <c r="DT134" s="195"/>
      <c r="DU134" s="195"/>
      <c r="DV134" s="195"/>
      <c r="DW134" s="195"/>
      <c r="DX134" s="12">
        <v>95</v>
      </c>
      <c r="DY134" s="195"/>
      <c r="DZ134" s="195"/>
      <c r="EA134" s="195"/>
      <c r="EB134" s="195"/>
      <c r="EC134" s="195"/>
      <c r="ED134" s="195"/>
      <c r="EE134" s="195"/>
      <c r="EF134" s="195"/>
      <c r="EG134" s="195"/>
      <c r="EH134" s="195"/>
      <c r="EI134" s="195"/>
      <c r="EJ134" s="195"/>
      <c r="EK134" s="195"/>
      <c r="EL134" s="195"/>
      <c r="EM134" s="195"/>
      <c r="EN134" s="195"/>
      <c r="EO134" s="195"/>
      <c r="EP134" s="12">
        <v>95</v>
      </c>
      <c r="EQ134" s="195"/>
      <c r="ER134" s="195"/>
      <c r="ES134" s="195"/>
      <c r="ET134" s="195"/>
      <c r="EU134" s="195"/>
      <c r="EV134" s="195"/>
      <c r="EW134" s="195"/>
      <c r="EX134" s="195"/>
      <c r="EY134" s="195"/>
      <c r="EZ134" s="195"/>
      <c r="FA134" s="195"/>
      <c r="FB134" s="195"/>
      <c r="FC134" s="195"/>
      <c r="FD134" s="195"/>
      <c r="FE134" s="195"/>
      <c r="FF134" s="195"/>
      <c r="FG134" s="195"/>
      <c r="FH134" s="12">
        <v>95</v>
      </c>
      <c r="FI134" s="195"/>
      <c r="FJ134" s="195"/>
      <c r="FK134" s="195"/>
      <c r="FL134" s="195"/>
      <c r="FM134" s="195"/>
      <c r="FN134" s="195"/>
      <c r="FO134" s="195"/>
      <c r="FP134" s="195"/>
      <c r="FQ134" s="195"/>
      <c r="FR134" s="195"/>
      <c r="FS134" s="195"/>
      <c r="FT134" s="195"/>
      <c r="FU134" s="195"/>
      <c r="FV134" s="195"/>
      <c r="FW134" s="195"/>
      <c r="FX134" s="195"/>
      <c r="FY134" s="195"/>
    </row>
    <row r="135" spans="2:181" x14ac:dyDescent="0.25">
      <c r="B135" s="197">
        <v>96</v>
      </c>
      <c r="C135" s="195"/>
      <c r="D135" s="195"/>
      <c r="E135" s="195"/>
      <c r="F135" s="195"/>
      <c r="G135" s="195"/>
      <c r="H135" s="195"/>
      <c r="I135" s="195"/>
      <c r="J135" s="195"/>
      <c r="K135" s="195"/>
      <c r="L135" s="195"/>
      <c r="M135" s="195"/>
      <c r="N135" s="195"/>
      <c r="O135" s="195"/>
      <c r="P135" s="195"/>
      <c r="Q135" s="195"/>
      <c r="R135" s="195"/>
      <c r="S135" s="195"/>
      <c r="T135" s="197">
        <v>96</v>
      </c>
      <c r="U135" s="195"/>
      <c r="V135" s="195"/>
      <c r="W135" s="195"/>
      <c r="X135" s="195"/>
      <c r="Y135" s="195"/>
      <c r="Z135" s="195"/>
      <c r="AA135" s="195"/>
      <c r="AB135" s="195"/>
      <c r="AC135" s="195"/>
      <c r="AD135" s="195"/>
      <c r="AE135" s="195"/>
      <c r="AF135" s="195"/>
      <c r="AG135" s="195"/>
      <c r="AH135" s="195"/>
      <c r="AI135" s="195"/>
      <c r="AJ135" s="195"/>
      <c r="AK135" s="195"/>
      <c r="AL135" s="197">
        <v>96</v>
      </c>
      <c r="AM135" s="195"/>
      <c r="AN135" s="195"/>
      <c r="AO135" s="195"/>
      <c r="AP135" s="195"/>
      <c r="AQ135" s="195"/>
      <c r="AR135" s="195"/>
      <c r="AS135" s="195"/>
      <c r="AT135" s="195"/>
      <c r="AU135" s="195"/>
      <c r="AV135" s="195"/>
      <c r="AW135" s="195"/>
      <c r="AX135" s="195"/>
      <c r="AY135" s="195"/>
      <c r="AZ135" s="195"/>
      <c r="BA135" s="195"/>
      <c r="BB135" s="195"/>
      <c r="BC135" s="195"/>
      <c r="BD135" s="197">
        <v>96</v>
      </c>
      <c r="BE135" s="195"/>
      <c r="BF135" s="195"/>
      <c r="BG135" s="195"/>
      <c r="BH135" s="195"/>
      <c r="BI135" s="195"/>
      <c r="BJ135" s="195"/>
      <c r="BK135" s="195"/>
      <c r="BL135" s="195"/>
      <c r="BM135" s="195"/>
      <c r="BN135" s="195"/>
      <c r="BO135" s="195"/>
      <c r="BP135" s="195"/>
      <c r="BQ135" s="195"/>
      <c r="BR135" s="195"/>
      <c r="BS135" s="195"/>
      <c r="BT135" s="195"/>
      <c r="BU135" s="195"/>
      <c r="BV135" s="197">
        <v>96</v>
      </c>
      <c r="BW135" s="195"/>
      <c r="BX135" s="195"/>
      <c r="BY135" s="195"/>
      <c r="BZ135" s="195"/>
      <c r="CA135" s="195"/>
      <c r="CB135" s="195"/>
      <c r="CC135" s="195"/>
      <c r="CD135" s="195"/>
      <c r="CE135" s="195"/>
      <c r="CF135" s="195"/>
      <c r="CG135" s="195"/>
      <c r="CH135" s="195"/>
      <c r="CI135" s="195"/>
      <c r="CJ135" s="195"/>
      <c r="CK135" s="195"/>
      <c r="CL135" s="195"/>
      <c r="CM135" s="195"/>
      <c r="CN135" s="197">
        <v>96</v>
      </c>
      <c r="CO135" s="195"/>
      <c r="CP135" s="195"/>
      <c r="CQ135" s="195"/>
      <c r="CR135" s="195"/>
      <c r="CS135" s="195"/>
      <c r="CT135" s="195"/>
      <c r="CU135" s="195"/>
      <c r="CV135" s="195"/>
      <c r="CW135" s="195"/>
      <c r="CX135" s="195"/>
      <c r="CY135" s="195"/>
      <c r="CZ135" s="195"/>
      <c r="DA135" s="195"/>
      <c r="DB135" s="195"/>
      <c r="DC135" s="195"/>
      <c r="DD135" s="195"/>
      <c r="DE135" s="195"/>
      <c r="DF135" s="197">
        <v>96</v>
      </c>
      <c r="DG135" s="195"/>
      <c r="DH135" s="195"/>
      <c r="DI135" s="195"/>
      <c r="DJ135" s="195"/>
      <c r="DK135" s="195"/>
      <c r="DL135" s="195"/>
      <c r="DM135" s="195"/>
      <c r="DN135" s="195"/>
      <c r="DO135" s="195"/>
      <c r="DP135" s="195"/>
      <c r="DQ135" s="195"/>
      <c r="DR135" s="195"/>
      <c r="DS135" s="195"/>
      <c r="DT135" s="195"/>
      <c r="DU135" s="195"/>
      <c r="DV135" s="195"/>
      <c r="DW135" s="195"/>
      <c r="DX135" s="197">
        <v>96</v>
      </c>
      <c r="DY135" s="195"/>
      <c r="DZ135" s="195"/>
      <c r="EA135" s="195"/>
      <c r="EB135" s="195"/>
      <c r="EC135" s="195"/>
      <c r="ED135" s="195"/>
      <c r="EE135" s="195"/>
      <c r="EF135" s="195"/>
      <c r="EG135" s="195"/>
      <c r="EH135" s="195"/>
      <c r="EI135" s="195"/>
      <c r="EJ135" s="195"/>
      <c r="EK135" s="195"/>
      <c r="EL135" s="195"/>
      <c r="EM135" s="195"/>
      <c r="EN135" s="195"/>
      <c r="EO135" s="195"/>
      <c r="EP135" s="197">
        <v>96</v>
      </c>
      <c r="EQ135" s="195"/>
      <c r="ER135" s="195"/>
      <c r="ES135" s="195"/>
      <c r="ET135" s="195"/>
      <c r="EU135" s="195"/>
      <c r="EV135" s="195"/>
      <c r="EW135" s="195"/>
      <c r="EX135" s="195"/>
      <c r="EY135" s="195"/>
      <c r="EZ135" s="195"/>
      <c r="FA135" s="195"/>
      <c r="FB135" s="195"/>
      <c r="FC135" s="195"/>
      <c r="FD135" s="195"/>
      <c r="FE135" s="195"/>
      <c r="FF135" s="195"/>
      <c r="FG135" s="195"/>
      <c r="FH135" s="197">
        <v>96</v>
      </c>
      <c r="FI135" s="195"/>
      <c r="FJ135" s="195"/>
      <c r="FK135" s="195"/>
      <c r="FL135" s="195"/>
      <c r="FM135" s="195"/>
      <c r="FN135" s="195"/>
      <c r="FO135" s="195"/>
      <c r="FP135" s="195"/>
      <c r="FQ135" s="195"/>
      <c r="FR135" s="195"/>
      <c r="FS135" s="195"/>
      <c r="FT135" s="195"/>
      <c r="FU135" s="195"/>
      <c r="FV135" s="195"/>
      <c r="FW135" s="195"/>
      <c r="FX135" s="195"/>
      <c r="FY135" s="195"/>
    </row>
    <row r="136" spans="2:181" x14ac:dyDescent="0.25">
      <c r="B136" s="12">
        <v>97</v>
      </c>
      <c r="C136" s="195"/>
      <c r="D136" s="195"/>
      <c r="E136" s="195"/>
      <c r="F136" s="195"/>
      <c r="G136" s="195"/>
      <c r="H136" s="195"/>
      <c r="I136" s="195"/>
      <c r="J136" s="195"/>
      <c r="K136" s="195"/>
      <c r="L136" s="195"/>
      <c r="M136" s="195"/>
      <c r="N136" s="195"/>
      <c r="O136" s="195"/>
      <c r="P136" s="195"/>
      <c r="Q136" s="195"/>
      <c r="R136" s="195"/>
      <c r="S136" s="195"/>
      <c r="T136" s="12">
        <v>97</v>
      </c>
      <c r="U136" s="195"/>
      <c r="V136" s="195"/>
      <c r="W136" s="195"/>
      <c r="X136" s="195"/>
      <c r="Y136" s="195"/>
      <c r="Z136" s="195"/>
      <c r="AA136" s="195"/>
      <c r="AB136" s="195"/>
      <c r="AC136" s="195"/>
      <c r="AD136" s="195"/>
      <c r="AE136" s="195"/>
      <c r="AF136" s="195"/>
      <c r="AG136" s="195"/>
      <c r="AH136" s="195"/>
      <c r="AI136" s="195"/>
      <c r="AJ136" s="195"/>
      <c r="AK136" s="195"/>
      <c r="AL136" s="12">
        <v>97</v>
      </c>
      <c r="AM136" s="195"/>
      <c r="AN136" s="195"/>
      <c r="AO136" s="195"/>
      <c r="AP136" s="195"/>
      <c r="AQ136" s="195"/>
      <c r="AR136" s="195"/>
      <c r="AS136" s="195"/>
      <c r="AT136" s="195"/>
      <c r="AU136" s="195"/>
      <c r="AV136" s="195"/>
      <c r="AW136" s="195"/>
      <c r="AX136" s="195"/>
      <c r="AY136" s="195"/>
      <c r="AZ136" s="195"/>
      <c r="BA136" s="195"/>
      <c r="BB136" s="195"/>
      <c r="BC136" s="195"/>
      <c r="BD136" s="12">
        <v>97</v>
      </c>
      <c r="BE136" s="195"/>
      <c r="BF136" s="195"/>
      <c r="BG136" s="195"/>
      <c r="BH136" s="195"/>
      <c r="BI136" s="195"/>
      <c r="BJ136" s="195"/>
      <c r="BK136" s="195"/>
      <c r="BL136" s="195"/>
      <c r="BM136" s="195"/>
      <c r="BN136" s="195"/>
      <c r="BO136" s="195"/>
      <c r="BP136" s="195"/>
      <c r="BQ136" s="195"/>
      <c r="BR136" s="195"/>
      <c r="BS136" s="195"/>
      <c r="BT136" s="195"/>
      <c r="BU136" s="195"/>
      <c r="BV136" s="12">
        <v>97</v>
      </c>
      <c r="BW136" s="195"/>
      <c r="BX136" s="195"/>
      <c r="BY136" s="195"/>
      <c r="BZ136" s="195"/>
      <c r="CA136" s="195"/>
      <c r="CB136" s="195"/>
      <c r="CC136" s="195"/>
      <c r="CD136" s="195"/>
      <c r="CE136" s="195"/>
      <c r="CF136" s="195"/>
      <c r="CG136" s="195"/>
      <c r="CH136" s="195"/>
      <c r="CI136" s="195"/>
      <c r="CJ136" s="195"/>
      <c r="CK136" s="195"/>
      <c r="CL136" s="195"/>
      <c r="CM136" s="195"/>
      <c r="CN136" s="12">
        <v>97</v>
      </c>
      <c r="CO136" s="195"/>
      <c r="CP136" s="195"/>
      <c r="CQ136" s="195"/>
      <c r="CR136" s="195"/>
      <c r="CS136" s="195"/>
      <c r="CT136" s="195"/>
      <c r="CU136" s="195"/>
      <c r="CV136" s="195"/>
      <c r="CW136" s="195"/>
      <c r="CX136" s="195"/>
      <c r="CY136" s="195"/>
      <c r="CZ136" s="195"/>
      <c r="DA136" s="195"/>
      <c r="DB136" s="195"/>
      <c r="DC136" s="195"/>
      <c r="DD136" s="195"/>
      <c r="DE136" s="195"/>
      <c r="DF136" s="12">
        <v>97</v>
      </c>
      <c r="DG136" s="195"/>
      <c r="DH136" s="195"/>
      <c r="DI136" s="195"/>
      <c r="DJ136" s="195"/>
      <c r="DK136" s="195"/>
      <c r="DL136" s="195"/>
      <c r="DM136" s="195"/>
      <c r="DN136" s="195"/>
      <c r="DO136" s="195"/>
      <c r="DP136" s="195"/>
      <c r="DQ136" s="195"/>
      <c r="DR136" s="195"/>
      <c r="DS136" s="195"/>
      <c r="DT136" s="195"/>
      <c r="DU136" s="195"/>
      <c r="DV136" s="195"/>
      <c r="DW136" s="195"/>
      <c r="DX136" s="12">
        <v>97</v>
      </c>
      <c r="DY136" s="195"/>
      <c r="DZ136" s="195"/>
      <c r="EA136" s="195"/>
      <c r="EB136" s="195"/>
      <c r="EC136" s="195"/>
      <c r="ED136" s="195"/>
      <c r="EE136" s="195"/>
      <c r="EF136" s="195"/>
      <c r="EG136" s="195"/>
      <c r="EH136" s="195"/>
      <c r="EI136" s="195"/>
      <c r="EJ136" s="195"/>
      <c r="EK136" s="195"/>
      <c r="EL136" s="195"/>
      <c r="EM136" s="195"/>
      <c r="EN136" s="195"/>
      <c r="EO136" s="195"/>
      <c r="EP136" s="12">
        <v>97</v>
      </c>
      <c r="EQ136" s="195"/>
      <c r="ER136" s="195"/>
      <c r="ES136" s="195"/>
      <c r="ET136" s="195"/>
      <c r="EU136" s="195"/>
      <c r="EV136" s="195"/>
      <c r="EW136" s="195"/>
      <c r="EX136" s="195"/>
      <c r="EY136" s="195"/>
      <c r="EZ136" s="195"/>
      <c r="FA136" s="195"/>
      <c r="FB136" s="195"/>
      <c r="FC136" s="195"/>
      <c r="FD136" s="195"/>
      <c r="FE136" s="195"/>
      <c r="FF136" s="195"/>
      <c r="FG136" s="195"/>
      <c r="FH136" s="12">
        <v>97</v>
      </c>
      <c r="FI136" s="195"/>
      <c r="FJ136" s="195"/>
      <c r="FK136" s="195"/>
      <c r="FL136" s="195"/>
      <c r="FM136" s="195"/>
      <c r="FN136" s="195"/>
      <c r="FO136" s="195"/>
      <c r="FP136" s="195"/>
      <c r="FQ136" s="195"/>
      <c r="FR136" s="195"/>
      <c r="FS136" s="195"/>
      <c r="FT136" s="195"/>
      <c r="FU136" s="195"/>
      <c r="FV136" s="195"/>
      <c r="FW136" s="195"/>
      <c r="FX136" s="195"/>
      <c r="FY136" s="195"/>
    </row>
    <row r="137" spans="2:181" x14ac:dyDescent="0.25">
      <c r="B137" s="197">
        <v>98</v>
      </c>
      <c r="C137" s="195"/>
      <c r="D137" s="195"/>
      <c r="E137" s="195"/>
      <c r="F137" s="195"/>
      <c r="G137" s="195"/>
      <c r="H137" s="195"/>
      <c r="I137" s="195"/>
      <c r="J137" s="195"/>
      <c r="K137" s="195"/>
      <c r="L137" s="195"/>
      <c r="M137" s="195"/>
      <c r="N137" s="195"/>
      <c r="O137" s="195"/>
      <c r="P137" s="195"/>
      <c r="Q137" s="195"/>
      <c r="R137" s="195"/>
      <c r="S137" s="195"/>
      <c r="T137" s="197">
        <v>98</v>
      </c>
      <c r="U137" s="195"/>
      <c r="V137" s="195"/>
      <c r="W137" s="195"/>
      <c r="X137" s="195"/>
      <c r="Y137" s="195"/>
      <c r="Z137" s="195"/>
      <c r="AA137" s="195"/>
      <c r="AB137" s="195"/>
      <c r="AC137" s="195"/>
      <c r="AD137" s="195"/>
      <c r="AE137" s="195"/>
      <c r="AF137" s="195"/>
      <c r="AG137" s="195"/>
      <c r="AH137" s="195"/>
      <c r="AI137" s="195"/>
      <c r="AJ137" s="195"/>
      <c r="AK137" s="195"/>
      <c r="AL137" s="197">
        <v>98</v>
      </c>
      <c r="AM137" s="195"/>
      <c r="AN137" s="195"/>
      <c r="AO137" s="195"/>
      <c r="AP137" s="195"/>
      <c r="AQ137" s="195"/>
      <c r="AR137" s="195"/>
      <c r="AS137" s="195"/>
      <c r="AT137" s="195"/>
      <c r="AU137" s="195"/>
      <c r="AV137" s="195"/>
      <c r="AW137" s="195"/>
      <c r="AX137" s="195"/>
      <c r="AY137" s="195"/>
      <c r="AZ137" s="195"/>
      <c r="BA137" s="195"/>
      <c r="BB137" s="195"/>
      <c r="BC137" s="195"/>
      <c r="BD137" s="197">
        <v>98</v>
      </c>
      <c r="BE137" s="195"/>
      <c r="BF137" s="195"/>
      <c r="BG137" s="195"/>
      <c r="BH137" s="195"/>
      <c r="BI137" s="195"/>
      <c r="BJ137" s="195"/>
      <c r="BK137" s="195"/>
      <c r="BL137" s="195"/>
      <c r="BM137" s="195"/>
      <c r="BN137" s="195"/>
      <c r="BO137" s="195"/>
      <c r="BP137" s="195"/>
      <c r="BQ137" s="195"/>
      <c r="BR137" s="195"/>
      <c r="BS137" s="195"/>
      <c r="BT137" s="195"/>
      <c r="BU137" s="195"/>
      <c r="BV137" s="197">
        <v>98</v>
      </c>
      <c r="BW137" s="195"/>
      <c r="BX137" s="195"/>
      <c r="BY137" s="195"/>
      <c r="BZ137" s="195"/>
      <c r="CA137" s="195"/>
      <c r="CB137" s="195"/>
      <c r="CC137" s="195"/>
      <c r="CD137" s="195"/>
      <c r="CE137" s="195"/>
      <c r="CF137" s="195"/>
      <c r="CG137" s="195"/>
      <c r="CH137" s="195"/>
      <c r="CI137" s="195"/>
      <c r="CJ137" s="195"/>
      <c r="CK137" s="195"/>
      <c r="CL137" s="195"/>
      <c r="CM137" s="195"/>
      <c r="CN137" s="197">
        <v>98</v>
      </c>
      <c r="CO137" s="195"/>
      <c r="CP137" s="195"/>
      <c r="CQ137" s="195"/>
      <c r="CR137" s="195"/>
      <c r="CS137" s="195"/>
      <c r="CT137" s="195"/>
      <c r="CU137" s="195"/>
      <c r="CV137" s="195"/>
      <c r="CW137" s="195"/>
      <c r="CX137" s="195"/>
      <c r="CY137" s="195"/>
      <c r="CZ137" s="195"/>
      <c r="DA137" s="195"/>
      <c r="DB137" s="195"/>
      <c r="DC137" s="195"/>
      <c r="DD137" s="195"/>
      <c r="DE137" s="195"/>
      <c r="DF137" s="197">
        <v>98</v>
      </c>
      <c r="DG137" s="195"/>
      <c r="DH137" s="195"/>
      <c r="DI137" s="195"/>
      <c r="DJ137" s="195"/>
      <c r="DK137" s="195"/>
      <c r="DL137" s="195"/>
      <c r="DM137" s="195"/>
      <c r="DN137" s="195"/>
      <c r="DO137" s="195"/>
      <c r="DP137" s="195"/>
      <c r="DQ137" s="195"/>
      <c r="DR137" s="195"/>
      <c r="DS137" s="195"/>
      <c r="DT137" s="195"/>
      <c r="DU137" s="195"/>
      <c r="DV137" s="195"/>
      <c r="DW137" s="195"/>
      <c r="DX137" s="197">
        <v>98</v>
      </c>
      <c r="DY137" s="195"/>
      <c r="DZ137" s="195"/>
      <c r="EA137" s="195"/>
      <c r="EB137" s="195"/>
      <c r="EC137" s="195"/>
      <c r="ED137" s="195"/>
      <c r="EE137" s="195"/>
      <c r="EF137" s="195"/>
      <c r="EG137" s="195"/>
      <c r="EH137" s="195"/>
      <c r="EI137" s="195"/>
      <c r="EJ137" s="195"/>
      <c r="EK137" s="195"/>
      <c r="EL137" s="195"/>
      <c r="EM137" s="195"/>
      <c r="EN137" s="195"/>
      <c r="EO137" s="195"/>
      <c r="EP137" s="197">
        <v>98</v>
      </c>
      <c r="EQ137" s="195"/>
      <c r="ER137" s="195"/>
      <c r="ES137" s="195"/>
      <c r="ET137" s="195"/>
      <c r="EU137" s="195"/>
      <c r="EV137" s="195"/>
      <c r="EW137" s="195"/>
      <c r="EX137" s="195"/>
      <c r="EY137" s="195"/>
      <c r="EZ137" s="195"/>
      <c r="FA137" s="195"/>
      <c r="FB137" s="195"/>
      <c r="FC137" s="195"/>
      <c r="FD137" s="195"/>
      <c r="FE137" s="195"/>
      <c r="FF137" s="195"/>
      <c r="FG137" s="195"/>
      <c r="FH137" s="197">
        <v>98</v>
      </c>
      <c r="FI137" s="195"/>
      <c r="FJ137" s="195"/>
      <c r="FK137" s="195"/>
      <c r="FL137" s="195"/>
      <c r="FM137" s="195"/>
      <c r="FN137" s="195"/>
      <c r="FO137" s="195"/>
      <c r="FP137" s="195"/>
      <c r="FQ137" s="195"/>
      <c r="FR137" s="195"/>
      <c r="FS137" s="195"/>
      <c r="FT137" s="195"/>
      <c r="FU137" s="195"/>
      <c r="FV137" s="195"/>
      <c r="FW137" s="195"/>
      <c r="FX137" s="195"/>
      <c r="FY137" s="195"/>
    </row>
    <row r="138" spans="2:181" x14ac:dyDescent="0.25">
      <c r="B138" s="12">
        <v>99</v>
      </c>
      <c r="C138" s="195"/>
      <c r="D138" s="195"/>
      <c r="E138" s="195"/>
      <c r="F138" s="195"/>
      <c r="G138" s="195"/>
      <c r="H138" s="195"/>
      <c r="I138" s="195"/>
      <c r="J138" s="195"/>
      <c r="K138" s="195"/>
      <c r="L138" s="195"/>
      <c r="M138" s="195"/>
      <c r="N138" s="195"/>
      <c r="O138" s="195"/>
      <c r="P138" s="195"/>
      <c r="Q138" s="195"/>
      <c r="R138" s="195"/>
      <c r="S138" s="195"/>
      <c r="T138" s="12">
        <v>99</v>
      </c>
      <c r="U138" s="195"/>
      <c r="V138" s="195"/>
      <c r="W138" s="195"/>
      <c r="X138" s="195"/>
      <c r="Y138" s="195"/>
      <c r="Z138" s="195"/>
      <c r="AA138" s="195"/>
      <c r="AB138" s="195"/>
      <c r="AC138" s="195"/>
      <c r="AD138" s="195"/>
      <c r="AE138" s="195"/>
      <c r="AF138" s="195"/>
      <c r="AG138" s="195"/>
      <c r="AH138" s="195"/>
      <c r="AI138" s="195"/>
      <c r="AJ138" s="195"/>
      <c r="AK138" s="195"/>
      <c r="AL138" s="12">
        <v>99</v>
      </c>
      <c r="AM138" s="195"/>
      <c r="AN138" s="195"/>
      <c r="AO138" s="195"/>
      <c r="AP138" s="195"/>
      <c r="AQ138" s="195"/>
      <c r="AR138" s="195"/>
      <c r="AS138" s="195"/>
      <c r="AT138" s="195"/>
      <c r="AU138" s="195"/>
      <c r="AV138" s="195"/>
      <c r="AW138" s="195"/>
      <c r="AX138" s="195"/>
      <c r="AY138" s="195"/>
      <c r="AZ138" s="195"/>
      <c r="BA138" s="195"/>
      <c r="BB138" s="195"/>
      <c r="BC138" s="195"/>
      <c r="BD138" s="12">
        <v>99</v>
      </c>
      <c r="BE138" s="195"/>
      <c r="BF138" s="195"/>
      <c r="BG138" s="195"/>
      <c r="BH138" s="195"/>
      <c r="BI138" s="195"/>
      <c r="BJ138" s="195"/>
      <c r="BK138" s="195"/>
      <c r="BL138" s="195"/>
      <c r="BM138" s="195"/>
      <c r="BN138" s="195"/>
      <c r="BO138" s="195"/>
      <c r="BP138" s="195"/>
      <c r="BQ138" s="195"/>
      <c r="BR138" s="195"/>
      <c r="BS138" s="195"/>
      <c r="BT138" s="195"/>
      <c r="BU138" s="195"/>
      <c r="BV138" s="12">
        <v>99</v>
      </c>
      <c r="BW138" s="195"/>
      <c r="BX138" s="195"/>
      <c r="BY138" s="195"/>
      <c r="BZ138" s="195"/>
      <c r="CA138" s="195"/>
      <c r="CB138" s="195"/>
      <c r="CC138" s="195"/>
      <c r="CD138" s="195"/>
      <c r="CE138" s="195"/>
      <c r="CF138" s="195"/>
      <c r="CG138" s="195"/>
      <c r="CH138" s="195"/>
      <c r="CI138" s="195"/>
      <c r="CJ138" s="195"/>
      <c r="CK138" s="195"/>
      <c r="CL138" s="195"/>
      <c r="CM138" s="195"/>
      <c r="CN138" s="12">
        <v>99</v>
      </c>
      <c r="CO138" s="195"/>
      <c r="CP138" s="195"/>
      <c r="CQ138" s="195"/>
      <c r="CR138" s="195"/>
      <c r="CS138" s="195"/>
      <c r="CT138" s="195"/>
      <c r="CU138" s="195"/>
      <c r="CV138" s="195"/>
      <c r="CW138" s="195"/>
      <c r="CX138" s="195"/>
      <c r="CY138" s="195"/>
      <c r="CZ138" s="195"/>
      <c r="DA138" s="195"/>
      <c r="DB138" s="195"/>
      <c r="DC138" s="195"/>
      <c r="DD138" s="195"/>
      <c r="DE138" s="195"/>
      <c r="DF138" s="12">
        <v>99</v>
      </c>
      <c r="DG138" s="195"/>
      <c r="DH138" s="195"/>
      <c r="DI138" s="195"/>
      <c r="DJ138" s="195"/>
      <c r="DK138" s="195"/>
      <c r="DL138" s="195"/>
      <c r="DM138" s="195"/>
      <c r="DN138" s="195"/>
      <c r="DO138" s="195"/>
      <c r="DP138" s="195"/>
      <c r="DQ138" s="195"/>
      <c r="DR138" s="195"/>
      <c r="DS138" s="195"/>
      <c r="DT138" s="195"/>
      <c r="DU138" s="195"/>
      <c r="DV138" s="195"/>
      <c r="DW138" s="195"/>
      <c r="DX138" s="12">
        <v>99</v>
      </c>
      <c r="DY138" s="195"/>
      <c r="DZ138" s="195"/>
      <c r="EA138" s="195"/>
      <c r="EB138" s="195"/>
      <c r="EC138" s="195"/>
      <c r="ED138" s="195"/>
      <c r="EE138" s="195"/>
      <c r="EF138" s="195"/>
      <c r="EG138" s="195"/>
      <c r="EH138" s="195"/>
      <c r="EI138" s="195"/>
      <c r="EJ138" s="195"/>
      <c r="EK138" s="195"/>
      <c r="EL138" s="195"/>
      <c r="EM138" s="195"/>
      <c r="EN138" s="195"/>
      <c r="EO138" s="195"/>
      <c r="EP138" s="12">
        <v>99</v>
      </c>
      <c r="EQ138" s="195"/>
      <c r="ER138" s="195"/>
      <c r="ES138" s="195"/>
      <c r="ET138" s="195"/>
      <c r="EU138" s="195"/>
      <c r="EV138" s="195"/>
      <c r="EW138" s="195"/>
      <c r="EX138" s="195"/>
      <c r="EY138" s="195"/>
      <c r="EZ138" s="195"/>
      <c r="FA138" s="195"/>
      <c r="FB138" s="195"/>
      <c r="FC138" s="195"/>
      <c r="FD138" s="195"/>
      <c r="FE138" s="195"/>
      <c r="FF138" s="195"/>
      <c r="FG138" s="195"/>
      <c r="FH138" s="12">
        <v>99</v>
      </c>
      <c r="FI138" s="195"/>
      <c r="FJ138" s="195"/>
      <c r="FK138" s="195"/>
      <c r="FL138" s="195"/>
      <c r="FM138" s="195"/>
      <c r="FN138" s="195"/>
      <c r="FO138" s="195"/>
      <c r="FP138" s="195"/>
      <c r="FQ138" s="195"/>
      <c r="FR138" s="195"/>
      <c r="FS138" s="195"/>
      <c r="FT138" s="195"/>
      <c r="FU138" s="195"/>
      <c r="FV138" s="195"/>
      <c r="FW138" s="195"/>
      <c r="FX138" s="195"/>
      <c r="FY138" s="195"/>
    </row>
    <row r="139" spans="2:181" x14ac:dyDescent="0.25">
      <c r="B139" s="197">
        <v>100</v>
      </c>
      <c r="C139" s="195"/>
      <c r="D139" s="195"/>
      <c r="E139" s="195"/>
      <c r="F139" s="195"/>
      <c r="G139" s="195"/>
      <c r="H139" s="195"/>
      <c r="I139" s="195"/>
      <c r="J139" s="195"/>
      <c r="K139" s="195"/>
      <c r="L139" s="195"/>
      <c r="M139" s="195"/>
      <c r="N139" s="195"/>
      <c r="O139" s="195"/>
      <c r="P139" s="195"/>
      <c r="Q139" s="195"/>
      <c r="R139" s="195"/>
      <c r="S139" s="195"/>
      <c r="T139" s="197">
        <v>100</v>
      </c>
      <c r="U139" s="195"/>
      <c r="V139" s="195"/>
      <c r="W139" s="195"/>
      <c r="X139" s="195"/>
      <c r="Y139" s="195"/>
      <c r="Z139" s="195"/>
      <c r="AA139" s="195"/>
      <c r="AB139" s="195"/>
      <c r="AC139" s="195"/>
      <c r="AD139" s="195"/>
      <c r="AE139" s="195"/>
      <c r="AF139" s="195"/>
      <c r="AG139" s="195"/>
      <c r="AH139" s="195"/>
      <c r="AI139" s="195"/>
      <c r="AJ139" s="195"/>
      <c r="AK139" s="195"/>
      <c r="AL139" s="197">
        <v>100</v>
      </c>
      <c r="AM139" s="195"/>
      <c r="AN139" s="195"/>
      <c r="AO139" s="195"/>
      <c r="AP139" s="195"/>
      <c r="AQ139" s="195"/>
      <c r="AR139" s="195"/>
      <c r="AS139" s="195"/>
      <c r="AT139" s="195"/>
      <c r="AU139" s="195"/>
      <c r="AV139" s="195"/>
      <c r="AW139" s="195"/>
      <c r="AX139" s="195"/>
      <c r="AY139" s="195"/>
      <c r="AZ139" s="195"/>
      <c r="BA139" s="195"/>
      <c r="BB139" s="195"/>
      <c r="BC139" s="195"/>
      <c r="BD139" s="197">
        <v>100</v>
      </c>
      <c r="BE139" s="195"/>
      <c r="BF139" s="195"/>
      <c r="BG139" s="195"/>
      <c r="BH139" s="195"/>
      <c r="BI139" s="195"/>
      <c r="BJ139" s="195"/>
      <c r="BK139" s="195"/>
      <c r="BL139" s="195"/>
      <c r="BM139" s="195"/>
      <c r="BN139" s="195"/>
      <c r="BO139" s="195"/>
      <c r="BP139" s="195"/>
      <c r="BQ139" s="195"/>
      <c r="BR139" s="195"/>
      <c r="BS139" s="195"/>
      <c r="BT139" s="195"/>
      <c r="BU139" s="195"/>
      <c r="BV139" s="197">
        <v>100</v>
      </c>
      <c r="BW139" s="195"/>
      <c r="BX139" s="195"/>
      <c r="BY139" s="195"/>
      <c r="BZ139" s="195"/>
      <c r="CA139" s="195"/>
      <c r="CB139" s="195"/>
      <c r="CC139" s="195"/>
      <c r="CD139" s="195"/>
      <c r="CE139" s="195"/>
      <c r="CF139" s="195"/>
      <c r="CG139" s="195"/>
      <c r="CH139" s="195"/>
      <c r="CI139" s="195"/>
      <c r="CJ139" s="195"/>
      <c r="CK139" s="195"/>
      <c r="CL139" s="195"/>
      <c r="CM139" s="195"/>
      <c r="CN139" s="197">
        <v>100</v>
      </c>
      <c r="CO139" s="195"/>
      <c r="CP139" s="195"/>
      <c r="CQ139" s="195"/>
      <c r="CR139" s="195"/>
      <c r="CS139" s="195"/>
      <c r="CT139" s="195"/>
      <c r="CU139" s="195"/>
      <c r="CV139" s="195"/>
      <c r="CW139" s="195"/>
      <c r="CX139" s="195"/>
      <c r="CY139" s="195"/>
      <c r="CZ139" s="195"/>
      <c r="DA139" s="195"/>
      <c r="DB139" s="195"/>
      <c r="DC139" s="195"/>
      <c r="DD139" s="195"/>
      <c r="DE139" s="195"/>
      <c r="DF139" s="197">
        <v>100</v>
      </c>
      <c r="DG139" s="195"/>
      <c r="DH139" s="195"/>
      <c r="DI139" s="195"/>
      <c r="DJ139" s="195"/>
      <c r="DK139" s="195"/>
      <c r="DL139" s="195"/>
      <c r="DM139" s="195"/>
      <c r="DN139" s="195"/>
      <c r="DO139" s="195"/>
      <c r="DP139" s="195"/>
      <c r="DQ139" s="195"/>
      <c r="DR139" s="195"/>
      <c r="DS139" s="195"/>
      <c r="DT139" s="195"/>
      <c r="DU139" s="195"/>
      <c r="DV139" s="195"/>
      <c r="DW139" s="195"/>
      <c r="DX139" s="197">
        <v>100</v>
      </c>
      <c r="DY139" s="195"/>
      <c r="DZ139" s="195"/>
      <c r="EA139" s="195"/>
      <c r="EB139" s="195"/>
      <c r="EC139" s="195"/>
      <c r="ED139" s="195"/>
      <c r="EE139" s="195"/>
      <c r="EF139" s="195"/>
      <c r="EG139" s="195"/>
      <c r="EH139" s="195"/>
      <c r="EI139" s="195"/>
      <c r="EJ139" s="195"/>
      <c r="EK139" s="195"/>
      <c r="EL139" s="195"/>
      <c r="EM139" s="195"/>
      <c r="EN139" s="195"/>
      <c r="EO139" s="195"/>
      <c r="EP139" s="197">
        <v>100</v>
      </c>
      <c r="EQ139" s="195"/>
      <c r="ER139" s="195"/>
      <c r="ES139" s="195"/>
      <c r="ET139" s="195"/>
      <c r="EU139" s="195"/>
      <c r="EV139" s="195"/>
      <c r="EW139" s="195"/>
      <c r="EX139" s="195"/>
      <c r="EY139" s="195"/>
      <c r="EZ139" s="195"/>
      <c r="FA139" s="195"/>
      <c r="FB139" s="195"/>
      <c r="FC139" s="195"/>
      <c r="FD139" s="195"/>
      <c r="FE139" s="195"/>
      <c r="FF139" s="195"/>
      <c r="FG139" s="195"/>
      <c r="FH139" s="197">
        <v>100</v>
      </c>
      <c r="FI139" s="195"/>
      <c r="FJ139" s="195"/>
      <c r="FK139" s="195"/>
      <c r="FL139" s="195"/>
      <c r="FM139" s="195"/>
      <c r="FN139" s="195"/>
      <c r="FO139" s="195"/>
      <c r="FP139" s="195"/>
      <c r="FQ139" s="195"/>
      <c r="FR139" s="195"/>
      <c r="FS139" s="195"/>
      <c r="FT139" s="195"/>
      <c r="FU139" s="195"/>
      <c r="FV139" s="195"/>
      <c r="FW139" s="195"/>
      <c r="FX139" s="195"/>
      <c r="FY139" s="195"/>
    </row>
    <row r="140" spans="2:181" x14ac:dyDescent="0.25">
      <c r="B140" s="12">
        <v>101</v>
      </c>
      <c r="C140" s="195"/>
      <c r="D140" s="195"/>
      <c r="E140" s="195"/>
      <c r="F140" s="195"/>
      <c r="G140" s="195"/>
      <c r="H140" s="195"/>
      <c r="I140" s="195"/>
      <c r="J140" s="195"/>
      <c r="K140" s="195"/>
      <c r="L140" s="195"/>
      <c r="M140" s="195"/>
      <c r="N140" s="195"/>
      <c r="O140" s="195"/>
      <c r="P140" s="195"/>
      <c r="Q140" s="195"/>
      <c r="R140" s="195"/>
      <c r="S140" s="195"/>
      <c r="T140" s="12">
        <v>101</v>
      </c>
      <c r="U140" s="195"/>
      <c r="V140" s="195"/>
      <c r="W140" s="195"/>
      <c r="X140" s="195"/>
      <c r="Y140" s="195"/>
      <c r="Z140" s="195"/>
      <c r="AA140" s="195"/>
      <c r="AB140" s="195"/>
      <c r="AC140" s="195"/>
      <c r="AD140" s="195"/>
      <c r="AE140" s="195"/>
      <c r="AF140" s="195"/>
      <c r="AG140" s="195"/>
      <c r="AH140" s="195"/>
      <c r="AI140" s="195"/>
      <c r="AJ140" s="195"/>
      <c r="AK140" s="195"/>
      <c r="AL140" s="12">
        <v>101</v>
      </c>
      <c r="AM140" s="195"/>
      <c r="AN140" s="195"/>
      <c r="AO140" s="195"/>
      <c r="AP140" s="195"/>
      <c r="AQ140" s="195"/>
      <c r="AR140" s="195"/>
      <c r="AS140" s="195"/>
      <c r="AT140" s="195"/>
      <c r="AU140" s="195"/>
      <c r="AV140" s="195"/>
      <c r="AW140" s="195"/>
      <c r="AX140" s="195"/>
      <c r="AY140" s="195"/>
      <c r="AZ140" s="195"/>
      <c r="BA140" s="195"/>
      <c r="BB140" s="195"/>
      <c r="BC140" s="195"/>
      <c r="BD140" s="12">
        <v>101</v>
      </c>
      <c r="BE140" s="195"/>
      <c r="BF140" s="195"/>
      <c r="BG140" s="195"/>
      <c r="BH140" s="195"/>
      <c r="BI140" s="195"/>
      <c r="BJ140" s="195"/>
      <c r="BK140" s="195"/>
      <c r="BL140" s="195"/>
      <c r="BM140" s="195"/>
      <c r="BN140" s="195"/>
      <c r="BO140" s="195"/>
      <c r="BP140" s="195"/>
      <c r="BQ140" s="195"/>
      <c r="BR140" s="195"/>
      <c r="BS140" s="195"/>
      <c r="BT140" s="195"/>
      <c r="BU140" s="195"/>
      <c r="BV140" s="12">
        <v>101</v>
      </c>
      <c r="BW140" s="195"/>
      <c r="BX140" s="195"/>
      <c r="BY140" s="195"/>
      <c r="BZ140" s="195"/>
      <c r="CA140" s="195"/>
      <c r="CB140" s="195"/>
      <c r="CC140" s="195"/>
      <c r="CD140" s="195"/>
      <c r="CE140" s="195"/>
      <c r="CF140" s="195"/>
      <c r="CG140" s="195"/>
      <c r="CH140" s="195"/>
      <c r="CI140" s="195"/>
      <c r="CJ140" s="195"/>
      <c r="CK140" s="195"/>
      <c r="CL140" s="195"/>
      <c r="CM140" s="195"/>
      <c r="CN140" s="12">
        <v>101</v>
      </c>
      <c r="CO140" s="195"/>
      <c r="CP140" s="195"/>
      <c r="CQ140" s="195"/>
      <c r="CR140" s="195"/>
      <c r="CS140" s="195"/>
      <c r="CT140" s="195"/>
      <c r="CU140" s="195"/>
      <c r="CV140" s="195"/>
      <c r="CW140" s="195"/>
      <c r="CX140" s="195"/>
      <c r="CY140" s="195"/>
      <c r="CZ140" s="195"/>
      <c r="DA140" s="195"/>
      <c r="DB140" s="195"/>
      <c r="DC140" s="195"/>
      <c r="DD140" s="195"/>
      <c r="DE140" s="195"/>
      <c r="DF140" s="12">
        <v>101</v>
      </c>
      <c r="DG140" s="195"/>
      <c r="DH140" s="195"/>
      <c r="DI140" s="195"/>
      <c r="DJ140" s="195"/>
      <c r="DK140" s="195"/>
      <c r="DL140" s="195"/>
      <c r="DM140" s="195"/>
      <c r="DN140" s="195"/>
      <c r="DO140" s="195"/>
      <c r="DP140" s="195"/>
      <c r="DQ140" s="195"/>
      <c r="DR140" s="195"/>
      <c r="DS140" s="195"/>
      <c r="DT140" s="195"/>
      <c r="DU140" s="195"/>
      <c r="DV140" s="195"/>
      <c r="DW140" s="195"/>
      <c r="DX140" s="12">
        <v>101</v>
      </c>
      <c r="DY140" s="195"/>
      <c r="DZ140" s="195"/>
      <c r="EA140" s="195"/>
      <c r="EB140" s="195"/>
      <c r="EC140" s="195"/>
      <c r="ED140" s="195"/>
      <c r="EE140" s="195"/>
      <c r="EF140" s="195"/>
      <c r="EG140" s="195"/>
      <c r="EH140" s="195"/>
      <c r="EI140" s="195"/>
      <c r="EJ140" s="195"/>
      <c r="EK140" s="195"/>
      <c r="EL140" s="195"/>
      <c r="EM140" s="195"/>
      <c r="EN140" s="195"/>
      <c r="EO140" s="195"/>
      <c r="EP140" s="12">
        <v>101</v>
      </c>
      <c r="EQ140" s="195"/>
      <c r="ER140" s="195"/>
      <c r="ES140" s="195"/>
      <c r="ET140" s="195"/>
      <c r="EU140" s="195"/>
      <c r="EV140" s="195"/>
      <c r="EW140" s="195"/>
      <c r="EX140" s="195"/>
      <c r="EY140" s="195"/>
      <c r="EZ140" s="195"/>
      <c r="FA140" s="195"/>
      <c r="FB140" s="195"/>
      <c r="FC140" s="195"/>
      <c r="FD140" s="195"/>
      <c r="FE140" s="195"/>
      <c r="FF140" s="195"/>
      <c r="FG140" s="195"/>
      <c r="FH140" s="12">
        <v>101</v>
      </c>
      <c r="FI140" s="195"/>
      <c r="FJ140" s="195"/>
      <c r="FK140" s="195"/>
      <c r="FL140" s="195"/>
      <c r="FM140" s="195"/>
      <c r="FN140" s="195"/>
      <c r="FO140" s="195"/>
      <c r="FP140" s="195"/>
      <c r="FQ140" s="195"/>
      <c r="FR140" s="195"/>
      <c r="FS140" s="195"/>
      <c r="FT140" s="195"/>
      <c r="FU140" s="195"/>
      <c r="FV140" s="195"/>
      <c r="FW140" s="195"/>
      <c r="FX140" s="195"/>
      <c r="FY140" s="195"/>
    </row>
    <row r="141" spans="2:181" x14ac:dyDescent="0.25">
      <c r="B141" s="197">
        <v>102</v>
      </c>
      <c r="C141" s="195"/>
      <c r="D141" s="195"/>
      <c r="E141" s="195"/>
      <c r="F141" s="195"/>
      <c r="G141" s="195"/>
      <c r="H141" s="195"/>
      <c r="I141" s="195"/>
      <c r="J141" s="195"/>
      <c r="K141" s="195"/>
      <c r="L141" s="195"/>
      <c r="M141" s="195"/>
      <c r="N141" s="195"/>
      <c r="O141" s="195"/>
      <c r="P141" s="195"/>
      <c r="Q141" s="195"/>
      <c r="R141" s="195"/>
      <c r="S141" s="195"/>
      <c r="T141" s="197">
        <v>102</v>
      </c>
      <c r="U141" s="195"/>
      <c r="V141" s="195"/>
      <c r="W141" s="195"/>
      <c r="X141" s="195"/>
      <c r="Y141" s="195"/>
      <c r="Z141" s="195"/>
      <c r="AA141" s="195"/>
      <c r="AB141" s="195"/>
      <c r="AC141" s="195"/>
      <c r="AD141" s="195"/>
      <c r="AE141" s="195"/>
      <c r="AF141" s="195"/>
      <c r="AG141" s="195"/>
      <c r="AH141" s="195"/>
      <c r="AI141" s="195"/>
      <c r="AJ141" s="195"/>
      <c r="AK141" s="195"/>
      <c r="AL141" s="197">
        <v>102</v>
      </c>
      <c r="AM141" s="195"/>
      <c r="AN141" s="195"/>
      <c r="AO141" s="195"/>
      <c r="AP141" s="195"/>
      <c r="AQ141" s="195"/>
      <c r="AR141" s="195"/>
      <c r="AS141" s="195"/>
      <c r="AT141" s="195"/>
      <c r="AU141" s="195"/>
      <c r="AV141" s="195"/>
      <c r="AW141" s="195"/>
      <c r="AX141" s="195"/>
      <c r="AY141" s="195"/>
      <c r="AZ141" s="195"/>
      <c r="BA141" s="195"/>
      <c r="BB141" s="195"/>
      <c r="BC141" s="195"/>
      <c r="BD141" s="197">
        <v>102</v>
      </c>
      <c r="BE141" s="195"/>
      <c r="BF141" s="195"/>
      <c r="BG141" s="195"/>
      <c r="BH141" s="195"/>
      <c r="BI141" s="195"/>
      <c r="BJ141" s="195"/>
      <c r="BK141" s="195"/>
      <c r="BL141" s="195"/>
      <c r="BM141" s="195"/>
      <c r="BN141" s="195"/>
      <c r="BO141" s="195"/>
      <c r="BP141" s="195"/>
      <c r="BQ141" s="195"/>
      <c r="BR141" s="195"/>
      <c r="BS141" s="195"/>
      <c r="BT141" s="195"/>
      <c r="BU141" s="195"/>
      <c r="BV141" s="197">
        <v>102</v>
      </c>
      <c r="BW141" s="195"/>
      <c r="BX141" s="195"/>
      <c r="BY141" s="195"/>
      <c r="BZ141" s="195"/>
      <c r="CA141" s="195"/>
      <c r="CB141" s="195"/>
      <c r="CC141" s="195"/>
      <c r="CD141" s="195"/>
      <c r="CE141" s="195"/>
      <c r="CF141" s="195"/>
      <c r="CG141" s="195"/>
      <c r="CH141" s="195"/>
      <c r="CI141" s="195"/>
      <c r="CJ141" s="195"/>
      <c r="CK141" s="195"/>
      <c r="CL141" s="195"/>
      <c r="CM141" s="195"/>
      <c r="CN141" s="197">
        <v>102</v>
      </c>
      <c r="CO141" s="195"/>
      <c r="CP141" s="195"/>
      <c r="CQ141" s="195"/>
      <c r="CR141" s="195"/>
      <c r="CS141" s="195"/>
      <c r="CT141" s="195"/>
      <c r="CU141" s="195"/>
      <c r="CV141" s="195"/>
      <c r="CW141" s="195"/>
      <c r="CX141" s="195"/>
      <c r="CY141" s="195"/>
      <c r="CZ141" s="195"/>
      <c r="DA141" s="195"/>
      <c r="DB141" s="195"/>
      <c r="DC141" s="195"/>
      <c r="DD141" s="195"/>
      <c r="DE141" s="195"/>
      <c r="DF141" s="197">
        <v>102</v>
      </c>
      <c r="DG141" s="195"/>
      <c r="DH141" s="195"/>
      <c r="DI141" s="195"/>
      <c r="DJ141" s="195"/>
      <c r="DK141" s="195"/>
      <c r="DL141" s="195"/>
      <c r="DM141" s="195"/>
      <c r="DN141" s="195"/>
      <c r="DO141" s="195"/>
      <c r="DP141" s="195"/>
      <c r="DQ141" s="195"/>
      <c r="DR141" s="195"/>
      <c r="DS141" s="195"/>
      <c r="DT141" s="195"/>
      <c r="DU141" s="195"/>
      <c r="DV141" s="195"/>
      <c r="DW141" s="195"/>
      <c r="DX141" s="197">
        <v>102</v>
      </c>
      <c r="DY141" s="195"/>
      <c r="DZ141" s="195"/>
      <c r="EA141" s="195"/>
      <c r="EB141" s="195"/>
      <c r="EC141" s="195"/>
      <c r="ED141" s="195"/>
      <c r="EE141" s="195"/>
      <c r="EF141" s="195"/>
      <c r="EG141" s="195"/>
      <c r="EH141" s="195"/>
      <c r="EI141" s="195"/>
      <c r="EJ141" s="195"/>
      <c r="EK141" s="195"/>
      <c r="EL141" s="195"/>
      <c r="EM141" s="195"/>
      <c r="EN141" s="195"/>
      <c r="EO141" s="195"/>
      <c r="EP141" s="197">
        <v>102</v>
      </c>
      <c r="EQ141" s="195"/>
      <c r="ER141" s="195"/>
      <c r="ES141" s="195"/>
      <c r="ET141" s="195"/>
      <c r="EU141" s="195"/>
      <c r="EV141" s="195"/>
      <c r="EW141" s="195"/>
      <c r="EX141" s="195"/>
      <c r="EY141" s="195"/>
      <c r="EZ141" s="195"/>
      <c r="FA141" s="195"/>
      <c r="FB141" s="195"/>
      <c r="FC141" s="195"/>
      <c r="FD141" s="195"/>
      <c r="FE141" s="195"/>
      <c r="FF141" s="195"/>
      <c r="FG141" s="195"/>
      <c r="FH141" s="197">
        <v>102</v>
      </c>
      <c r="FI141" s="195"/>
      <c r="FJ141" s="195"/>
      <c r="FK141" s="195"/>
      <c r="FL141" s="195"/>
      <c r="FM141" s="195"/>
      <c r="FN141" s="195"/>
      <c r="FO141" s="195"/>
      <c r="FP141" s="195"/>
      <c r="FQ141" s="195"/>
      <c r="FR141" s="195"/>
      <c r="FS141" s="195"/>
      <c r="FT141" s="195"/>
      <c r="FU141" s="195"/>
      <c r="FV141" s="195"/>
      <c r="FW141" s="195"/>
      <c r="FX141" s="195"/>
      <c r="FY141" s="195"/>
    </row>
    <row r="142" spans="2:181" x14ac:dyDescent="0.25">
      <c r="B142" s="12">
        <v>103</v>
      </c>
      <c r="C142" s="195"/>
      <c r="D142" s="195"/>
      <c r="E142" s="195"/>
      <c r="F142" s="195"/>
      <c r="G142" s="195"/>
      <c r="H142" s="195"/>
      <c r="I142" s="195"/>
      <c r="J142" s="195"/>
      <c r="K142" s="195"/>
      <c r="L142" s="195"/>
      <c r="M142" s="195"/>
      <c r="N142" s="195"/>
      <c r="O142" s="195"/>
      <c r="P142" s="195"/>
      <c r="Q142" s="195"/>
      <c r="R142" s="195"/>
      <c r="S142" s="195"/>
      <c r="T142" s="12">
        <v>103</v>
      </c>
      <c r="U142" s="195"/>
      <c r="V142" s="195"/>
      <c r="W142" s="195"/>
      <c r="X142" s="195"/>
      <c r="Y142" s="195"/>
      <c r="Z142" s="195"/>
      <c r="AA142" s="195"/>
      <c r="AB142" s="195"/>
      <c r="AC142" s="195"/>
      <c r="AD142" s="195"/>
      <c r="AE142" s="195"/>
      <c r="AF142" s="195"/>
      <c r="AG142" s="195"/>
      <c r="AH142" s="195"/>
      <c r="AI142" s="195"/>
      <c r="AJ142" s="195"/>
      <c r="AK142" s="195"/>
      <c r="AL142" s="12">
        <v>103</v>
      </c>
      <c r="AM142" s="195"/>
      <c r="AN142" s="195"/>
      <c r="AO142" s="195"/>
      <c r="AP142" s="195"/>
      <c r="AQ142" s="195"/>
      <c r="AR142" s="195"/>
      <c r="AS142" s="195"/>
      <c r="AT142" s="195"/>
      <c r="AU142" s="195"/>
      <c r="AV142" s="195"/>
      <c r="AW142" s="195"/>
      <c r="AX142" s="195"/>
      <c r="AY142" s="195"/>
      <c r="AZ142" s="195"/>
      <c r="BA142" s="195"/>
      <c r="BB142" s="195"/>
      <c r="BC142" s="195"/>
      <c r="BD142" s="12">
        <v>103</v>
      </c>
      <c r="BE142" s="195"/>
      <c r="BF142" s="195"/>
      <c r="BG142" s="195"/>
      <c r="BH142" s="195"/>
      <c r="BI142" s="195"/>
      <c r="BJ142" s="195"/>
      <c r="BK142" s="195"/>
      <c r="BL142" s="195"/>
      <c r="BM142" s="195"/>
      <c r="BN142" s="195"/>
      <c r="BO142" s="195"/>
      <c r="BP142" s="195"/>
      <c r="BQ142" s="195"/>
      <c r="BR142" s="195"/>
      <c r="BS142" s="195"/>
      <c r="BT142" s="195"/>
      <c r="BU142" s="195"/>
      <c r="BV142" s="12">
        <v>103</v>
      </c>
      <c r="BW142" s="195"/>
      <c r="BX142" s="195"/>
      <c r="BY142" s="195"/>
      <c r="BZ142" s="195"/>
      <c r="CA142" s="195"/>
      <c r="CB142" s="195"/>
      <c r="CC142" s="195"/>
      <c r="CD142" s="195"/>
      <c r="CE142" s="195"/>
      <c r="CF142" s="195"/>
      <c r="CG142" s="195"/>
      <c r="CH142" s="195"/>
      <c r="CI142" s="195"/>
      <c r="CJ142" s="195"/>
      <c r="CK142" s="195"/>
      <c r="CL142" s="195"/>
      <c r="CM142" s="195"/>
      <c r="CN142" s="12">
        <v>103</v>
      </c>
      <c r="CO142" s="195"/>
      <c r="CP142" s="195"/>
      <c r="CQ142" s="195"/>
      <c r="CR142" s="195"/>
      <c r="CS142" s="195"/>
      <c r="CT142" s="195"/>
      <c r="CU142" s="195"/>
      <c r="CV142" s="195"/>
      <c r="CW142" s="195"/>
      <c r="CX142" s="195"/>
      <c r="CY142" s="195"/>
      <c r="CZ142" s="195"/>
      <c r="DA142" s="195"/>
      <c r="DB142" s="195"/>
      <c r="DC142" s="195"/>
      <c r="DD142" s="195"/>
      <c r="DE142" s="195"/>
      <c r="DF142" s="12">
        <v>103</v>
      </c>
      <c r="DG142" s="195"/>
      <c r="DH142" s="195"/>
      <c r="DI142" s="195"/>
      <c r="DJ142" s="195"/>
      <c r="DK142" s="195"/>
      <c r="DL142" s="195"/>
      <c r="DM142" s="195"/>
      <c r="DN142" s="195"/>
      <c r="DO142" s="195"/>
      <c r="DP142" s="195"/>
      <c r="DQ142" s="195"/>
      <c r="DR142" s="195"/>
      <c r="DS142" s="195"/>
      <c r="DT142" s="195"/>
      <c r="DU142" s="195"/>
      <c r="DV142" s="195"/>
      <c r="DW142" s="195"/>
      <c r="DX142" s="12">
        <v>103</v>
      </c>
      <c r="DY142" s="195"/>
      <c r="DZ142" s="195"/>
      <c r="EA142" s="195"/>
      <c r="EB142" s="195"/>
      <c r="EC142" s="195"/>
      <c r="ED142" s="195"/>
      <c r="EE142" s="195"/>
      <c r="EF142" s="195"/>
      <c r="EG142" s="195"/>
      <c r="EH142" s="195"/>
      <c r="EI142" s="195"/>
      <c r="EJ142" s="195"/>
      <c r="EK142" s="195"/>
      <c r="EL142" s="195"/>
      <c r="EM142" s="195"/>
      <c r="EN142" s="195"/>
      <c r="EO142" s="195"/>
      <c r="EP142" s="12">
        <v>103</v>
      </c>
      <c r="EQ142" s="195"/>
      <c r="ER142" s="195"/>
      <c r="ES142" s="195"/>
      <c r="ET142" s="195"/>
      <c r="EU142" s="195"/>
      <c r="EV142" s="195"/>
      <c r="EW142" s="195"/>
      <c r="EX142" s="195"/>
      <c r="EY142" s="195"/>
      <c r="EZ142" s="195"/>
      <c r="FA142" s="195"/>
      <c r="FB142" s="195"/>
      <c r="FC142" s="195"/>
      <c r="FD142" s="195"/>
      <c r="FE142" s="195"/>
      <c r="FF142" s="195"/>
      <c r="FG142" s="195"/>
      <c r="FH142" s="12">
        <v>103</v>
      </c>
      <c r="FI142" s="195"/>
      <c r="FJ142" s="195"/>
      <c r="FK142" s="195"/>
      <c r="FL142" s="195"/>
      <c r="FM142" s="195"/>
      <c r="FN142" s="195"/>
      <c r="FO142" s="195"/>
      <c r="FP142" s="195"/>
      <c r="FQ142" s="195"/>
      <c r="FR142" s="195"/>
      <c r="FS142" s="195"/>
      <c r="FT142" s="195"/>
      <c r="FU142" s="195"/>
      <c r="FV142" s="195"/>
      <c r="FW142" s="195"/>
      <c r="FX142" s="195"/>
      <c r="FY142" s="195"/>
    </row>
    <row r="143" spans="2:181" x14ac:dyDescent="0.25">
      <c r="B143" s="197">
        <v>104</v>
      </c>
      <c r="C143" s="195"/>
      <c r="D143" s="195"/>
      <c r="E143" s="195"/>
      <c r="F143" s="195"/>
      <c r="G143" s="195"/>
      <c r="H143" s="195"/>
      <c r="I143" s="195"/>
      <c r="J143" s="195"/>
      <c r="K143" s="195"/>
      <c r="L143" s="195"/>
      <c r="M143" s="195"/>
      <c r="N143" s="195"/>
      <c r="O143" s="195"/>
      <c r="P143" s="195"/>
      <c r="Q143" s="195"/>
      <c r="R143" s="195"/>
      <c r="S143" s="195"/>
      <c r="T143" s="197">
        <v>104</v>
      </c>
      <c r="U143" s="195"/>
      <c r="V143" s="195"/>
      <c r="W143" s="195"/>
      <c r="X143" s="195"/>
      <c r="Y143" s="195"/>
      <c r="Z143" s="195"/>
      <c r="AA143" s="195"/>
      <c r="AB143" s="195"/>
      <c r="AC143" s="195"/>
      <c r="AD143" s="195"/>
      <c r="AE143" s="195"/>
      <c r="AF143" s="195"/>
      <c r="AG143" s="195"/>
      <c r="AH143" s="195"/>
      <c r="AI143" s="195"/>
      <c r="AJ143" s="195"/>
      <c r="AK143" s="195"/>
      <c r="AL143" s="197">
        <v>104</v>
      </c>
      <c r="AM143" s="195"/>
      <c r="AN143" s="195"/>
      <c r="AO143" s="195"/>
      <c r="AP143" s="195"/>
      <c r="AQ143" s="195"/>
      <c r="AR143" s="195"/>
      <c r="AS143" s="195"/>
      <c r="AT143" s="195"/>
      <c r="AU143" s="195"/>
      <c r="AV143" s="195"/>
      <c r="AW143" s="195"/>
      <c r="AX143" s="195"/>
      <c r="AY143" s="195"/>
      <c r="AZ143" s="195"/>
      <c r="BA143" s="195"/>
      <c r="BB143" s="195"/>
      <c r="BC143" s="195"/>
      <c r="BD143" s="197">
        <v>104</v>
      </c>
      <c r="BE143" s="195"/>
      <c r="BF143" s="195"/>
      <c r="BG143" s="195"/>
      <c r="BH143" s="195"/>
      <c r="BI143" s="195"/>
      <c r="BJ143" s="195"/>
      <c r="BK143" s="195"/>
      <c r="BL143" s="195"/>
      <c r="BM143" s="195"/>
      <c r="BN143" s="195"/>
      <c r="BO143" s="195"/>
      <c r="BP143" s="195"/>
      <c r="BQ143" s="195"/>
      <c r="BR143" s="195"/>
      <c r="BS143" s="195"/>
      <c r="BT143" s="195"/>
      <c r="BU143" s="195"/>
      <c r="BV143" s="197">
        <v>104</v>
      </c>
      <c r="BW143" s="195"/>
      <c r="BX143" s="195"/>
      <c r="BY143" s="195"/>
      <c r="BZ143" s="195"/>
      <c r="CA143" s="195"/>
      <c r="CB143" s="195"/>
      <c r="CC143" s="195"/>
      <c r="CD143" s="195"/>
      <c r="CE143" s="195"/>
      <c r="CF143" s="195"/>
      <c r="CG143" s="195"/>
      <c r="CH143" s="195"/>
      <c r="CI143" s="195"/>
      <c r="CJ143" s="195"/>
      <c r="CK143" s="195"/>
      <c r="CL143" s="195"/>
      <c r="CM143" s="195"/>
      <c r="CN143" s="197">
        <v>104</v>
      </c>
      <c r="CO143" s="195"/>
      <c r="CP143" s="195"/>
      <c r="CQ143" s="195"/>
      <c r="CR143" s="195"/>
      <c r="CS143" s="195"/>
      <c r="CT143" s="195"/>
      <c r="CU143" s="195"/>
      <c r="CV143" s="195"/>
      <c r="CW143" s="195"/>
      <c r="CX143" s="195"/>
      <c r="CY143" s="195"/>
      <c r="CZ143" s="195"/>
      <c r="DA143" s="195"/>
      <c r="DB143" s="195"/>
      <c r="DC143" s="195"/>
      <c r="DD143" s="195"/>
      <c r="DE143" s="195"/>
      <c r="DF143" s="197">
        <v>104</v>
      </c>
      <c r="DG143" s="195"/>
      <c r="DH143" s="195"/>
      <c r="DI143" s="195"/>
      <c r="DJ143" s="195"/>
      <c r="DK143" s="195"/>
      <c r="DL143" s="195"/>
      <c r="DM143" s="195"/>
      <c r="DN143" s="195"/>
      <c r="DO143" s="195"/>
      <c r="DP143" s="195"/>
      <c r="DQ143" s="195"/>
      <c r="DR143" s="195"/>
      <c r="DS143" s="195"/>
      <c r="DT143" s="195"/>
      <c r="DU143" s="195"/>
      <c r="DV143" s="195"/>
      <c r="DW143" s="195"/>
      <c r="DX143" s="197">
        <v>104</v>
      </c>
      <c r="DY143" s="195"/>
      <c r="DZ143" s="195"/>
      <c r="EA143" s="195"/>
      <c r="EB143" s="195"/>
      <c r="EC143" s="195"/>
      <c r="ED143" s="195"/>
      <c r="EE143" s="195"/>
      <c r="EF143" s="195"/>
      <c r="EG143" s="195"/>
      <c r="EH143" s="195"/>
      <c r="EI143" s="195"/>
      <c r="EJ143" s="195"/>
      <c r="EK143" s="195"/>
      <c r="EL143" s="195"/>
      <c r="EM143" s="195"/>
      <c r="EN143" s="195"/>
      <c r="EO143" s="195"/>
      <c r="EP143" s="197">
        <v>104</v>
      </c>
      <c r="EQ143" s="195"/>
      <c r="ER143" s="195"/>
      <c r="ES143" s="195"/>
      <c r="ET143" s="195"/>
      <c r="EU143" s="195"/>
      <c r="EV143" s="195"/>
      <c r="EW143" s="195"/>
      <c r="EX143" s="195"/>
      <c r="EY143" s="195"/>
      <c r="EZ143" s="195"/>
      <c r="FA143" s="195"/>
      <c r="FB143" s="195"/>
      <c r="FC143" s="195"/>
      <c r="FD143" s="195"/>
      <c r="FE143" s="195"/>
      <c r="FF143" s="195"/>
      <c r="FG143" s="195"/>
      <c r="FH143" s="197">
        <v>104</v>
      </c>
      <c r="FI143" s="195"/>
      <c r="FJ143" s="195"/>
      <c r="FK143" s="195"/>
      <c r="FL143" s="195"/>
      <c r="FM143" s="195"/>
      <c r="FN143" s="195"/>
      <c r="FO143" s="195"/>
      <c r="FP143" s="195"/>
      <c r="FQ143" s="195"/>
      <c r="FR143" s="195"/>
      <c r="FS143" s="195"/>
      <c r="FT143" s="195"/>
      <c r="FU143" s="195"/>
      <c r="FV143" s="195"/>
      <c r="FW143" s="195"/>
      <c r="FX143" s="195"/>
      <c r="FY143" s="195"/>
    </row>
    <row r="144" spans="2:181" x14ac:dyDescent="0.25">
      <c r="B144" s="12">
        <v>105</v>
      </c>
      <c r="C144" s="195"/>
      <c r="D144" s="195"/>
      <c r="E144" s="195"/>
      <c r="F144" s="195"/>
      <c r="G144" s="195"/>
      <c r="H144" s="195"/>
      <c r="I144" s="195"/>
      <c r="J144" s="195"/>
      <c r="K144" s="195"/>
      <c r="L144" s="195"/>
      <c r="M144" s="195"/>
      <c r="N144" s="195"/>
      <c r="O144" s="195"/>
      <c r="P144" s="195"/>
      <c r="Q144" s="195"/>
      <c r="R144" s="195"/>
      <c r="S144" s="195"/>
      <c r="T144" s="12">
        <v>105</v>
      </c>
      <c r="U144" s="195"/>
      <c r="V144" s="195"/>
      <c r="W144" s="195"/>
      <c r="X144" s="195"/>
      <c r="Y144" s="195"/>
      <c r="Z144" s="195"/>
      <c r="AA144" s="195"/>
      <c r="AB144" s="195"/>
      <c r="AC144" s="195"/>
      <c r="AD144" s="195"/>
      <c r="AE144" s="195"/>
      <c r="AF144" s="195"/>
      <c r="AG144" s="195"/>
      <c r="AH144" s="195"/>
      <c r="AI144" s="195"/>
      <c r="AJ144" s="195"/>
      <c r="AK144" s="195"/>
      <c r="AL144" s="12">
        <v>105</v>
      </c>
      <c r="AM144" s="195"/>
      <c r="AN144" s="195"/>
      <c r="AO144" s="195"/>
      <c r="AP144" s="195"/>
      <c r="AQ144" s="195"/>
      <c r="AR144" s="195"/>
      <c r="AS144" s="195"/>
      <c r="AT144" s="195"/>
      <c r="AU144" s="195"/>
      <c r="AV144" s="195"/>
      <c r="AW144" s="195"/>
      <c r="AX144" s="195"/>
      <c r="AY144" s="195"/>
      <c r="AZ144" s="195"/>
      <c r="BA144" s="195"/>
      <c r="BB144" s="195"/>
      <c r="BC144" s="195"/>
      <c r="BD144" s="12">
        <v>105</v>
      </c>
      <c r="BE144" s="195"/>
      <c r="BF144" s="195"/>
      <c r="BG144" s="195"/>
      <c r="BH144" s="195"/>
      <c r="BI144" s="195"/>
      <c r="BJ144" s="195"/>
      <c r="BK144" s="195"/>
      <c r="BL144" s="195"/>
      <c r="BM144" s="195"/>
      <c r="BN144" s="195"/>
      <c r="BO144" s="195"/>
      <c r="BP144" s="195"/>
      <c r="BQ144" s="195"/>
      <c r="BR144" s="195"/>
      <c r="BS144" s="195"/>
      <c r="BT144" s="195"/>
      <c r="BU144" s="195"/>
      <c r="BV144" s="12">
        <v>105</v>
      </c>
      <c r="BW144" s="195"/>
      <c r="BX144" s="195"/>
      <c r="BY144" s="195"/>
      <c r="BZ144" s="195"/>
      <c r="CA144" s="195"/>
      <c r="CB144" s="195"/>
      <c r="CC144" s="195"/>
      <c r="CD144" s="195"/>
      <c r="CE144" s="195"/>
      <c r="CF144" s="195"/>
      <c r="CG144" s="195"/>
      <c r="CH144" s="195"/>
      <c r="CI144" s="195"/>
      <c r="CJ144" s="195"/>
      <c r="CK144" s="195"/>
      <c r="CL144" s="195"/>
      <c r="CM144" s="195"/>
      <c r="CN144" s="12">
        <v>105</v>
      </c>
      <c r="CO144" s="195"/>
      <c r="CP144" s="195"/>
      <c r="CQ144" s="195"/>
      <c r="CR144" s="195"/>
      <c r="CS144" s="195"/>
      <c r="CT144" s="195"/>
      <c r="CU144" s="195"/>
      <c r="CV144" s="195"/>
      <c r="CW144" s="195"/>
      <c r="CX144" s="195"/>
      <c r="CY144" s="195"/>
      <c r="CZ144" s="195"/>
      <c r="DA144" s="195"/>
      <c r="DB144" s="195"/>
      <c r="DC144" s="195"/>
      <c r="DD144" s="195"/>
      <c r="DE144" s="195"/>
      <c r="DF144" s="12">
        <v>105</v>
      </c>
      <c r="DG144" s="195"/>
      <c r="DH144" s="195"/>
      <c r="DI144" s="195"/>
      <c r="DJ144" s="195"/>
      <c r="DK144" s="195"/>
      <c r="DL144" s="195"/>
      <c r="DM144" s="195"/>
      <c r="DN144" s="195"/>
      <c r="DO144" s="195"/>
      <c r="DP144" s="195"/>
      <c r="DQ144" s="195"/>
      <c r="DR144" s="195"/>
      <c r="DS144" s="195"/>
      <c r="DT144" s="195"/>
      <c r="DU144" s="195"/>
      <c r="DV144" s="195"/>
      <c r="DW144" s="195"/>
      <c r="DX144" s="12">
        <v>105</v>
      </c>
      <c r="DY144" s="195"/>
      <c r="DZ144" s="195"/>
      <c r="EA144" s="195"/>
      <c r="EB144" s="195"/>
      <c r="EC144" s="195"/>
      <c r="ED144" s="195"/>
      <c r="EE144" s="195"/>
      <c r="EF144" s="195"/>
      <c r="EG144" s="195"/>
      <c r="EH144" s="195"/>
      <c r="EI144" s="195"/>
      <c r="EJ144" s="195"/>
      <c r="EK144" s="195"/>
      <c r="EL144" s="195"/>
      <c r="EM144" s="195"/>
      <c r="EN144" s="195"/>
      <c r="EO144" s="195"/>
      <c r="EP144" s="12">
        <v>105</v>
      </c>
      <c r="EQ144" s="195"/>
      <c r="ER144" s="195"/>
      <c r="ES144" s="195"/>
      <c r="ET144" s="195"/>
      <c r="EU144" s="195"/>
      <c r="EV144" s="195"/>
      <c r="EW144" s="195"/>
      <c r="EX144" s="195"/>
      <c r="EY144" s="195"/>
      <c r="EZ144" s="195"/>
      <c r="FA144" s="195"/>
      <c r="FB144" s="195"/>
      <c r="FC144" s="195"/>
      <c r="FD144" s="195"/>
      <c r="FE144" s="195"/>
      <c r="FF144" s="195"/>
      <c r="FG144" s="195"/>
      <c r="FH144" s="12">
        <v>105</v>
      </c>
      <c r="FI144" s="195"/>
      <c r="FJ144" s="195"/>
      <c r="FK144" s="195"/>
      <c r="FL144" s="195"/>
      <c r="FM144" s="195"/>
      <c r="FN144" s="195"/>
      <c r="FO144" s="195"/>
      <c r="FP144" s="195"/>
      <c r="FQ144" s="195"/>
      <c r="FR144" s="195"/>
      <c r="FS144" s="195"/>
      <c r="FT144" s="195"/>
      <c r="FU144" s="195"/>
      <c r="FV144" s="195"/>
      <c r="FW144" s="195"/>
      <c r="FX144" s="195"/>
      <c r="FY144" s="195"/>
    </row>
    <row r="145" spans="2:181" x14ac:dyDescent="0.25">
      <c r="B145" s="197">
        <v>106</v>
      </c>
      <c r="C145" s="195"/>
      <c r="D145" s="195"/>
      <c r="E145" s="195"/>
      <c r="F145" s="195"/>
      <c r="G145" s="195"/>
      <c r="H145" s="195"/>
      <c r="I145" s="195"/>
      <c r="J145" s="195"/>
      <c r="K145" s="195"/>
      <c r="L145" s="195"/>
      <c r="M145" s="195"/>
      <c r="N145" s="195"/>
      <c r="O145" s="195"/>
      <c r="P145" s="195"/>
      <c r="Q145" s="195"/>
      <c r="R145" s="195"/>
      <c r="S145" s="195"/>
      <c r="T145" s="197">
        <v>106</v>
      </c>
      <c r="U145" s="195"/>
      <c r="V145" s="195"/>
      <c r="W145" s="195"/>
      <c r="X145" s="195"/>
      <c r="Y145" s="195"/>
      <c r="Z145" s="195"/>
      <c r="AA145" s="195"/>
      <c r="AB145" s="195"/>
      <c r="AC145" s="195"/>
      <c r="AD145" s="195"/>
      <c r="AE145" s="195"/>
      <c r="AF145" s="195"/>
      <c r="AG145" s="195"/>
      <c r="AH145" s="195"/>
      <c r="AI145" s="195"/>
      <c r="AJ145" s="195"/>
      <c r="AK145" s="195"/>
      <c r="AL145" s="197">
        <v>106</v>
      </c>
      <c r="AM145" s="195"/>
      <c r="AN145" s="195"/>
      <c r="AO145" s="195"/>
      <c r="AP145" s="195"/>
      <c r="AQ145" s="195"/>
      <c r="AR145" s="195"/>
      <c r="AS145" s="195"/>
      <c r="AT145" s="195"/>
      <c r="AU145" s="195"/>
      <c r="AV145" s="195"/>
      <c r="AW145" s="195"/>
      <c r="AX145" s="195"/>
      <c r="AY145" s="195"/>
      <c r="AZ145" s="195"/>
      <c r="BA145" s="195"/>
      <c r="BB145" s="195"/>
      <c r="BC145" s="195"/>
      <c r="BD145" s="197">
        <v>106</v>
      </c>
      <c r="BE145" s="195"/>
      <c r="BF145" s="195"/>
      <c r="BG145" s="195"/>
      <c r="BH145" s="195"/>
      <c r="BI145" s="195"/>
      <c r="BJ145" s="195"/>
      <c r="BK145" s="195"/>
      <c r="BL145" s="195"/>
      <c r="BM145" s="195"/>
      <c r="BN145" s="195"/>
      <c r="BO145" s="195"/>
      <c r="BP145" s="195"/>
      <c r="BQ145" s="195"/>
      <c r="BR145" s="195"/>
      <c r="BS145" s="195"/>
      <c r="BT145" s="195"/>
      <c r="BU145" s="195"/>
      <c r="BV145" s="197">
        <v>106</v>
      </c>
      <c r="BW145" s="195"/>
      <c r="BX145" s="195"/>
      <c r="BY145" s="195"/>
      <c r="BZ145" s="195"/>
      <c r="CA145" s="195"/>
      <c r="CB145" s="195"/>
      <c r="CC145" s="195"/>
      <c r="CD145" s="195"/>
      <c r="CE145" s="195"/>
      <c r="CF145" s="195"/>
      <c r="CG145" s="195"/>
      <c r="CH145" s="195"/>
      <c r="CI145" s="195"/>
      <c r="CJ145" s="195"/>
      <c r="CK145" s="195"/>
      <c r="CL145" s="195"/>
      <c r="CM145" s="195"/>
      <c r="CN145" s="197">
        <v>106</v>
      </c>
      <c r="CO145" s="195"/>
      <c r="CP145" s="195"/>
      <c r="CQ145" s="195"/>
      <c r="CR145" s="195"/>
      <c r="CS145" s="195"/>
      <c r="CT145" s="195"/>
      <c r="CU145" s="195"/>
      <c r="CV145" s="195"/>
      <c r="CW145" s="195"/>
      <c r="CX145" s="195"/>
      <c r="CY145" s="195"/>
      <c r="CZ145" s="195"/>
      <c r="DA145" s="195"/>
      <c r="DB145" s="195"/>
      <c r="DC145" s="195"/>
      <c r="DD145" s="195"/>
      <c r="DE145" s="195"/>
      <c r="DF145" s="197">
        <v>106</v>
      </c>
      <c r="DG145" s="195"/>
      <c r="DH145" s="195"/>
      <c r="DI145" s="195"/>
      <c r="DJ145" s="195"/>
      <c r="DK145" s="195"/>
      <c r="DL145" s="195"/>
      <c r="DM145" s="195"/>
      <c r="DN145" s="195"/>
      <c r="DO145" s="195"/>
      <c r="DP145" s="195"/>
      <c r="DQ145" s="195"/>
      <c r="DR145" s="195"/>
      <c r="DS145" s="195"/>
      <c r="DT145" s="195"/>
      <c r="DU145" s="195"/>
      <c r="DV145" s="195"/>
      <c r="DW145" s="195"/>
      <c r="DX145" s="197">
        <v>106</v>
      </c>
      <c r="DY145" s="195"/>
      <c r="DZ145" s="195"/>
      <c r="EA145" s="195"/>
      <c r="EB145" s="195"/>
      <c r="EC145" s="195"/>
      <c r="ED145" s="195"/>
      <c r="EE145" s="195"/>
      <c r="EF145" s="195"/>
      <c r="EG145" s="195"/>
      <c r="EH145" s="195"/>
      <c r="EI145" s="195"/>
      <c r="EJ145" s="195"/>
      <c r="EK145" s="195"/>
      <c r="EL145" s="195"/>
      <c r="EM145" s="195"/>
      <c r="EN145" s="195"/>
      <c r="EO145" s="195"/>
      <c r="EP145" s="197">
        <v>106</v>
      </c>
      <c r="EQ145" s="195"/>
      <c r="ER145" s="195"/>
      <c r="ES145" s="195"/>
      <c r="ET145" s="195"/>
      <c r="EU145" s="195"/>
      <c r="EV145" s="195"/>
      <c r="EW145" s="195"/>
      <c r="EX145" s="195"/>
      <c r="EY145" s="195"/>
      <c r="EZ145" s="195"/>
      <c r="FA145" s="195"/>
      <c r="FB145" s="195"/>
      <c r="FC145" s="195"/>
      <c r="FD145" s="195"/>
      <c r="FE145" s="195"/>
      <c r="FF145" s="195"/>
      <c r="FG145" s="195"/>
      <c r="FH145" s="197">
        <v>106</v>
      </c>
      <c r="FI145" s="195"/>
      <c r="FJ145" s="195"/>
      <c r="FK145" s="195"/>
      <c r="FL145" s="195"/>
      <c r="FM145" s="195"/>
      <c r="FN145" s="195"/>
      <c r="FO145" s="195"/>
      <c r="FP145" s="195"/>
      <c r="FQ145" s="195"/>
      <c r="FR145" s="195"/>
      <c r="FS145" s="195"/>
      <c r="FT145" s="195"/>
      <c r="FU145" s="195"/>
      <c r="FV145" s="195"/>
      <c r="FW145" s="195"/>
      <c r="FX145" s="195"/>
      <c r="FY145" s="195"/>
    </row>
    <row r="146" spans="2:181" x14ac:dyDescent="0.25">
      <c r="B146" s="12">
        <v>107</v>
      </c>
      <c r="C146" s="195"/>
      <c r="D146" s="195"/>
      <c r="E146" s="195"/>
      <c r="F146" s="195"/>
      <c r="G146" s="195"/>
      <c r="H146" s="195"/>
      <c r="I146" s="195"/>
      <c r="J146" s="195"/>
      <c r="K146" s="195"/>
      <c r="L146" s="195"/>
      <c r="M146" s="195"/>
      <c r="N146" s="195"/>
      <c r="O146" s="195"/>
      <c r="P146" s="195"/>
      <c r="Q146" s="195"/>
      <c r="R146" s="195"/>
      <c r="S146" s="195"/>
      <c r="T146" s="12">
        <v>107</v>
      </c>
      <c r="U146" s="195"/>
      <c r="V146" s="195"/>
      <c r="W146" s="195"/>
      <c r="X146" s="195"/>
      <c r="Y146" s="195"/>
      <c r="Z146" s="195"/>
      <c r="AA146" s="195"/>
      <c r="AB146" s="195"/>
      <c r="AC146" s="195"/>
      <c r="AD146" s="195"/>
      <c r="AE146" s="195"/>
      <c r="AF146" s="195"/>
      <c r="AG146" s="195"/>
      <c r="AH146" s="195"/>
      <c r="AI146" s="195"/>
      <c r="AJ146" s="195"/>
      <c r="AK146" s="195"/>
      <c r="AL146" s="12">
        <v>107</v>
      </c>
      <c r="AM146" s="195"/>
      <c r="AN146" s="195"/>
      <c r="AO146" s="195"/>
      <c r="AP146" s="195"/>
      <c r="AQ146" s="195"/>
      <c r="AR146" s="195"/>
      <c r="AS146" s="195"/>
      <c r="AT146" s="195"/>
      <c r="AU146" s="195"/>
      <c r="AV146" s="195"/>
      <c r="AW146" s="195"/>
      <c r="AX146" s="195"/>
      <c r="AY146" s="195"/>
      <c r="AZ146" s="195"/>
      <c r="BA146" s="195"/>
      <c r="BB146" s="195"/>
      <c r="BC146" s="195"/>
      <c r="BD146" s="12">
        <v>107</v>
      </c>
      <c r="BE146" s="195"/>
      <c r="BF146" s="195"/>
      <c r="BG146" s="195"/>
      <c r="BH146" s="195"/>
      <c r="BI146" s="195"/>
      <c r="BJ146" s="195"/>
      <c r="BK146" s="195"/>
      <c r="BL146" s="195"/>
      <c r="BM146" s="195"/>
      <c r="BN146" s="195"/>
      <c r="BO146" s="195"/>
      <c r="BP146" s="195"/>
      <c r="BQ146" s="195"/>
      <c r="BR146" s="195"/>
      <c r="BS146" s="195"/>
      <c r="BT146" s="195"/>
      <c r="BU146" s="195"/>
      <c r="BV146" s="12">
        <v>107</v>
      </c>
      <c r="BW146" s="195"/>
      <c r="BX146" s="195"/>
      <c r="BY146" s="195"/>
      <c r="BZ146" s="195"/>
      <c r="CA146" s="195"/>
      <c r="CB146" s="195"/>
      <c r="CC146" s="195"/>
      <c r="CD146" s="195"/>
      <c r="CE146" s="195"/>
      <c r="CF146" s="195"/>
      <c r="CG146" s="195"/>
      <c r="CH146" s="195"/>
      <c r="CI146" s="195"/>
      <c r="CJ146" s="195"/>
      <c r="CK146" s="195"/>
      <c r="CL146" s="195"/>
      <c r="CM146" s="195"/>
      <c r="CN146" s="12">
        <v>107</v>
      </c>
      <c r="CO146" s="195"/>
      <c r="CP146" s="195"/>
      <c r="CQ146" s="195"/>
      <c r="CR146" s="195"/>
      <c r="CS146" s="195"/>
      <c r="CT146" s="195"/>
      <c r="CU146" s="195"/>
      <c r="CV146" s="195"/>
      <c r="CW146" s="195"/>
      <c r="CX146" s="195"/>
      <c r="CY146" s="195"/>
      <c r="CZ146" s="195"/>
      <c r="DA146" s="195"/>
      <c r="DB146" s="195"/>
      <c r="DC146" s="195"/>
      <c r="DD146" s="195"/>
      <c r="DE146" s="195"/>
      <c r="DF146" s="12">
        <v>107</v>
      </c>
      <c r="DG146" s="195"/>
      <c r="DH146" s="195"/>
      <c r="DI146" s="195"/>
      <c r="DJ146" s="195"/>
      <c r="DK146" s="195"/>
      <c r="DL146" s="195"/>
      <c r="DM146" s="195"/>
      <c r="DN146" s="195"/>
      <c r="DO146" s="195"/>
      <c r="DP146" s="195"/>
      <c r="DQ146" s="195"/>
      <c r="DR146" s="195"/>
      <c r="DS146" s="195"/>
      <c r="DT146" s="195"/>
      <c r="DU146" s="195"/>
      <c r="DV146" s="195"/>
      <c r="DW146" s="195"/>
      <c r="DX146" s="12">
        <v>107</v>
      </c>
      <c r="DY146" s="195"/>
      <c r="DZ146" s="195"/>
      <c r="EA146" s="195"/>
      <c r="EB146" s="195"/>
      <c r="EC146" s="195"/>
      <c r="ED146" s="195"/>
      <c r="EE146" s="195"/>
      <c r="EF146" s="195"/>
      <c r="EG146" s="195"/>
      <c r="EH146" s="195"/>
      <c r="EI146" s="195"/>
      <c r="EJ146" s="195"/>
      <c r="EK146" s="195"/>
      <c r="EL146" s="195"/>
      <c r="EM146" s="195"/>
      <c r="EN146" s="195"/>
      <c r="EO146" s="195"/>
      <c r="EP146" s="12">
        <v>107</v>
      </c>
      <c r="EQ146" s="195"/>
      <c r="ER146" s="195"/>
      <c r="ES146" s="195"/>
      <c r="ET146" s="195"/>
      <c r="EU146" s="195"/>
      <c r="EV146" s="195"/>
      <c r="EW146" s="195"/>
      <c r="EX146" s="195"/>
      <c r="EY146" s="195"/>
      <c r="EZ146" s="195"/>
      <c r="FA146" s="195"/>
      <c r="FB146" s="195"/>
      <c r="FC146" s="195"/>
      <c r="FD146" s="195"/>
      <c r="FE146" s="195"/>
      <c r="FF146" s="195"/>
      <c r="FG146" s="195"/>
      <c r="FH146" s="12">
        <v>107</v>
      </c>
      <c r="FI146" s="195"/>
      <c r="FJ146" s="195"/>
      <c r="FK146" s="195"/>
      <c r="FL146" s="195"/>
      <c r="FM146" s="195"/>
      <c r="FN146" s="195"/>
      <c r="FO146" s="195"/>
      <c r="FP146" s="195"/>
      <c r="FQ146" s="195"/>
      <c r="FR146" s="195"/>
      <c r="FS146" s="195"/>
      <c r="FT146" s="195"/>
      <c r="FU146" s="195"/>
      <c r="FV146" s="195"/>
      <c r="FW146" s="195"/>
      <c r="FX146" s="195"/>
      <c r="FY146" s="195"/>
    </row>
    <row r="147" spans="2:181" x14ac:dyDescent="0.25">
      <c r="B147" s="197">
        <v>108</v>
      </c>
      <c r="C147" s="195"/>
      <c r="D147" s="195"/>
      <c r="E147" s="195"/>
      <c r="F147" s="195"/>
      <c r="G147" s="195"/>
      <c r="H147" s="195"/>
      <c r="I147" s="195"/>
      <c r="J147" s="195"/>
      <c r="K147" s="195"/>
      <c r="L147" s="195"/>
      <c r="M147" s="195"/>
      <c r="N147" s="195"/>
      <c r="O147" s="195"/>
      <c r="P147" s="195"/>
      <c r="Q147" s="195"/>
      <c r="R147" s="195"/>
      <c r="S147" s="195"/>
      <c r="T147" s="197">
        <v>108</v>
      </c>
      <c r="U147" s="195"/>
      <c r="V147" s="195"/>
      <c r="W147" s="195"/>
      <c r="X147" s="195"/>
      <c r="Y147" s="195"/>
      <c r="Z147" s="195"/>
      <c r="AA147" s="195"/>
      <c r="AB147" s="195"/>
      <c r="AC147" s="195"/>
      <c r="AD147" s="195"/>
      <c r="AE147" s="195"/>
      <c r="AF147" s="195"/>
      <c r="AG147" s="195"/>
      <c r="AH147" s="195"/>
      <c r="AI147" s="195"/>
      <c r="AJ147" s="195"/>
      <c r="AK147" s="195"/>
      <c r="AL147" s="197">
        <v>108</v>
      </c>
      <c r="AM147" s="195"/>
      <c r="AN147" s="195"/>
      <c r="AO147" s="195"/>
      <c r="AP147" s="195"/>
      <c r="AQ147" s="195"/>
      <c r="AR147" s="195"/>
      <c r="AS147" s="195"/>
      <c r="AT147" s="195"/>
      <c r="AU147" s="195"/>
      <c r="AV147" s="195"/>
      <c r="AW147" s="195"/>
      <c r="AX147" s="195"/>
      <c r="AY147" s="195"/>
      <c r="AZ147" s="195"/>
      <c r="BA147" s="195"/>
      <c r="BB147" s="195"/>
      <c r="BC147" s="195"/>
      <c r="BD147" s="197">
        <v>108</v>
      </c>
      <c r="BE147" s="195"/>
      <c r="BF147" s="195"/>
      <c r="BG147" s="195"/>
      <c r="BH147" s="195"/>
      <c r="BI147" s="195"/>
      <c r="BJ147" s="195"/>
      <c r="BK147" s="195"/>
      <c r="BL147" s="195"/>
      <c r="BM147" s="195"/>
      <c r="BN147" s="195"/>
      <c r="BO147" s="195"/>
      <c r="BP147" s="195"/>
      <c r="BQ147" s="195"/>
      <c r="BR147" s="195"/>
      <c r="BS147" s="195"/>
      <c r="BT147" s="195"/>
      <c r="BU147" s="195"/>
      <c r="BV147" s="197">
        <v>108</v>
      </c>
      <c r="BW147" s="195"/>
      <c r="BX147" s="195"/>
      <c r="BY147" s="195"/>
      <c r="BZ147" s="195"/>
      <c r="CA147" s="195"/>
      <c r="CB147" s="195"/>
      <c r="CC147" s="195"/>
      <c r="CD147" s="195"/>
      <c r="CE147" s="195"/>
      <c r="CF147" s="195"/>
      <c r="CG147" s="195"/>
      <c r="CH147" s="195"/>
      <c r="CI147" s="195"/>
      <c r="CJ147" s="195"/>
      <c r="CK147" s="195"/>
      <c r="CL147" s="195"/>
      <c r="CM147" s="195"/>
      <c r="CN147" s="197">
        <v>108</v>
      </c>
      <c r="CO147" s="195"/>
      <c r="CP147" s="195"/>
      <c r="CQ147" s="195"/>
      <c r="CR147" s="195"/>
      <c r="CS147" s="195"/>
      <c r="CT147" s="195"/>
      <c r="CU147" s="195"/>
      <c r="CV147" s="195"/>
      <c r="CW147" s="195"/>
      <c r="CX147" s="195"/>
      <c r="CY147" s="195"/>
      <c r="CZ147" s="195"/>
      <c r="DA147" s="195"/>
      <c r="DB147" s="195"/>
      <c r="DC147" s="195"/>
      <c r="DD147" s="195"/>
      <c r="DE147" s="195"/>
      <c r="DF147" s="197">
        <v>108</v>
      </c>
      <c r="DG147" s="195"/>
      <c r="DH147" s="195"/>
      <c r="DI147" s="195"/>
      <c r="DJ147" s="195"/>
      <c r="DK147" s="195"/>
      <c r="DL147" s="195"/>
      <c r="DM147" s="195"/>
      <c r="DN147" s="195"/>
      <c r="DO147" s="195"/>
      <c r="DP147" s="195"/>
      <c r="DQ147" s="195"/>
      <c r="DR147" s="195"/>
      <c r="DS147" s="195"/>
      <c r="DT147" s="195"/>
      <c r="DU147" s="195"/>
      <c r="DV147" s="195"/>
      <c r="DW147" s="195"/>
      <c r="DX147" s="197">
        <v>108</v>
      </c>
      <c r="DY147" s="195"/>
      <c r="DZ147" s="195"/>
      <c r="EA147" s="195"/>
      <c r="EB147" s="195"/>
      <c r="EC147" s="195"/>
      <c r="ED147" s="195"/>
      <c r="EE147" s="195"/>
      <c r="EF147" s="195"/>
      <c r="EG147" s="195"/>
      <c r="EH147" s="195"/>
      <c r="EI147" s="195"/>
      <c r="EJ147" s="195"/>
      <c r="EK147" s="195"/>
      <c r="EL147" s="195"/>
      <c r="EM147" s="195"/>
      <c r="EN147" s="195"/>
      <c r="EO147" s="195"/>
      <c r="EP147" s="197">
        <v>108</v>
      </c>
      <c r="EQ147" s="195"/>
      <c r="ER147" s="195"/>
      <c r="ES147" s="195"/>
      <c r="ET147" s="195"/>
      <c r="EU147" s="195"/>
      <c r="EV147" s="195"/>
      <c r="EW147" s="195"/>
      <c r="EX147" s="195"/>
      <c r="EY147" s="195"/>
      <c r="EZ147" s="195"/>
      <c r="FA147" s="195"/>
      <c r="FB147" s="195"/>
      <c r="FC147" s="195"/>
      <c r="FD147" s="195"/>
      <c r="FE147" s="195"/>
      <c r="FF147" s="195"/>
      <c r="FG147" s="195"/>
      <c r="FH147" s="197">
        <v>108</v>
      </c>
      <c r="FI147" s="195"/>
      <c r="FJ147" s="195"/>
      <c r="FK147" s="195"/>
      <c r="FL147" s="195"/>
      <c r="FM147" s="195"/>
      <c r="FN147" s="195"/>
      <c r="FO147" s="195"/>
      <c r="FP147" s="195"/>
      <c r="FQ147" s="195"/>
      <c r="FR147" s="195"/>
      <c r="FS147" s="195"/>
      <c r="FT147" s="195"/>
      <c r="FU147" s="195"/>
      <c r="FV147" s="195"/>
      <c r="FW147" s="195"/>
      <c r="FX147" s="195"/>
      <c r="FY147" s="195"/>
    </row>
    <row r="148" spans="2:181" x14ac:dyDescent="0.25">
      <c r="B148" s="12">
        <v>109</v>
      </c>
      <c r="C148" s="195"/>
      <c r="D148" s="195"/>
      <c r="E148" s="195"/>
      <c r="F148" s="195"/>
      <c r="G148" s="195"/>
      <c r="H148" s="195"/>
      <c r="I148" s="195"/>
      <c r="J148" s="195"/>
      <c r="K148" s="195"/>
      <c r="L148" s="195"/>
      <c r="M148" s="195"/>
      <c r="N148" s="195"/>
      <c r="O148" s="195"/>
      <c r="P148" s="195"/>
      <c r="Q148" s="195"/>
      <c r="R148" s="195"/>
      <c r="S148" s="195"/>
      <c r="T148" s="12">
        <v>109</v>
      </c>
      <c r="U148" s="195"/>
      <c r="V148" s="195"/>
      <c r="W148" s="195"/>
      <c r="X148" s="195"/>
      <c r="Y148" s="195"/>
      <c r="Z148" s="195"/>
      <c r="AA148" s="195"/>
      <c r="AB148" s="195"/>
      <c r="AC148" s="195"/>
      <c r="AD148" s="195"/>
      <c r="AE148" s="195"/>
      <c r="AF148" s="195"/>
      <c r="AG148" s="195"/>
      <c r="AH148" s="195"/>
      <c r="AI148" s="195"/>
      <c r="AJ148" s="195"/>
      <c r="AK148" s="195"/>
      <c r="AL148" s="12">
        <v>109</v>
      </c>
      <c r="AM148" s="195"/>
      <c r="AN148" s="195"/>
      <c r="AO148" s="195"/>
      <c r="AP148" s="195"/>
      <c r="AQ148" s="195"/>
      <c r="AR148" s="195"/>
      <c r="AS148" s="195"/>
      <c r="AT148" s="195"/>
      <c r="AU148" s="195"/>
      <c r="AV148" s="195"/>
      <c r="AW148" s="195"/>
      <c r="AX148" s="195"/>
      <c r="AY148" s="195"/>
      <c r="AZ148" s="195"/>
      <c r="BA148" s="195"/>
      <c r="BB148" s="195"/>
      <c r="BC148" s="195"/>
      <c r="BD148" s="12">
        <v>109</v>
      </c>
      <c r="BE148" s="195"/>
      <c r="BF148" s="195"/>
      <c r="BG148" s="195"/>
      <c r="BH148" s="195"/>
      <c r="BI148" s="195"/>
      <c r="BJ148" s="195"/>
      <c r="BK148" s="195"/>
      <c r="BL148" s="195"/>
      <c r="BM148" s="195"/>
      <c r="BN148" s="195"/>
      <c r="BO148" s="195"/>
      <c r="BP148" s="195"/>
      <c r="BQ148" s="195"/>
      <c r="BR148" s="195"/>
      <c r="BS148" s="195"/>
      <c r="BT148" s="195"/>
      <c r="BU148" s="195"/>
      <c r="BV148" s="12">
        <v>109</v>
      </c>
      <c r="BW148" s="195"/>
      <c r="BX148" s="195"/>
      <c r="BY148" s="195"/>
      <c r="BZ148" s="195"/>
      <c r="CA148" s="195"/>
      <c r="CB148" s="195"/>
      <c r="CC148" s="195"/>
      <c r="CD148" s="195"/>
      <c r="CE148" s="195"/>
      <c r="CF148" s="195"/>
      <c r="CG148" s="195"/>
      <c r="CH148" s="195"/>
      <c r="CI148" s="195"/>
      <c r="CJ148" s="195"/>
      <c r="CK148" s="195"/>
      <c r="CL148" s="195"/>
      <c r="CM148" s="195"/>
      <c r="CN148" s="12">
        <v>109</v>
      </c>
      <c r="CO148" s="195"/>
      <c r="CP148" s="195"/>
      <c r="CQ148" s="195"/>
      <c r="CR148" s="195"/>
      <c r="CS148" s="195"/>
      <c r="CT148" s="195"/>
      <c r="CU148" s="195"/>
      <c r="CV148" s="195"/>
      <c r="CW148" s="195"/>
      <c r="CX148" s="195"/>
      <c r="CY148" s="195"/>
      <c r="CZ148" s="195"/>
      <c r="DA148" s="195"/>
      <c r="DB148" s="195"/>
      <c r="DC148" s="195"/>
      <c r="DD148" s="195"/>
      <c r="DE148" s="195"/>
      <c r="DF148" s="12">
        <v>109</v>
      </c>
      <c r="DG148" s="195"/>
      <c r="DH148" s="195"/>
      <c r="DI148" s="195"/>
      <c r="DJ148" s="195"/>
      <c r="DK148" s="195"/>
      <c r="DL148" s="195"/>
      <c r="DM148" s="195"/>
      <c r="DN148" s="195"/>
      <c r="DO148" s="195"/>
      <c r="DP148" s="195"/>
      <c r="DQ148" s="195"/>
      <c r="DR148" s="195"/>
      <c r="DS148" s="195"/>
      <c r="DT148" s="195"/>
      <c r="DU148" s="195"/>
      <c r="DV148" s="195"/>
      <c r="DW148" s="195"/>
      <c r="DX148" s="12">
        <v>109</v>
      </c>
      <c r="DY148" s="195"/>
      <c r="DZ148" s="195"/>
      <c r="EA148" s="195"/>
      <c r="EB148" s="195"/>
      <c r="EC148" s="195"/>
      <c r="ED148" s="195"/>
      <c r="EE148" s="195"/>
      <c r="EF148" s="195"/>
      <c r="EG148" s="195"/>
      <c r="EH148" s="195"/>
      <c r="EI148" s="195"/>
      <c r="EJ148" s="195"/>
      <c r="EK148" s="195"/>
      <c r="EL148" s="195"/>
      <c r="EM148" s="195"/>
      <c r="EN148" s="195"/>
      <c r="EO148" s="195"/>
      <c r="EP148" s="12">
        <v>109</v>
      </c>
      <c r="EQ148" s="195"/>
      <c r="ER148" s="195"/>
      <c r="ES148" s="195"/>
      <c r="ET148" s="195"/>
      <c r="EU148" s="195"/>
      <c r="EV148" s="195"/>
      <c r="EW148" s="195"/>
      <c r="EX148" s="195"/>
      <c r="EY148" s="195"/>
      <c r="EZ148" s="195"/>
      <c r="FA148" s="195"/>
      <c r="FB148" s="195"/>
      <c r="FC148" s="195"/>
      <c r="FD148" s="195"/>
      <c r="FE148" s="195"/>
      <c r="FF148" s="195"/>
      <c r="FG148" s="195"/>
      <c r="FH148" s="12">
        <v>109</v>
      </c>
      <c r="FI148" s="195"/>
      <c r="FJ148" s="195"/>
      <c r="FK148" s="195"/>
      <c r="FL148" s="195"/>
      <c r="FM148" s="195"/>
      <c r="FN148" s="195"/>
      <c r="FO148" s="195"/>
      <c r="FP148" s="195"/>
      <c r="FQ148" s="195"/>
      <c r="FR148" s="195"/>
      <c r="FS148" s="195"/>
      <c r="FT148" s="195"/>
      <c r="FU148" s="195"/>
      <c r="FV148" s="195"/>
      <c r="FW148" s="195"/>
      <c r="FX148" s="195"/>
      <c r="FY148" s="195"/>
    </row>
    <row r="149" spans="2:181" x14ac:dyDescent="0.25">
      <c r="B149" s="197">
        <v>110</v>
      </c>
      <c r="C149" s="195"/>
      <c r="D149" s="195"/>
      <c r="E149" s="195"/>
      <c r="F149" s="195"/>
      <c r="G149" s="195"/>
      <c r="H149" s="195"/>
      <c r="I149" s="195"/>
      <c r="J149" s="195"/>
      <c r="K149" s="195"/>
      <c r="L149" s="195"/>
      <c r="M149" s="195"/>
      <c r="N149" s="195"/>
      <c r="O149" s="195"/>
      <c r="P149" s="195"/>
      <c r="Q149" s="195"/>
      <c r="R149" s="195"/>
      <c r="S149" s="195"/>
      <c r="T149" s="197">
        <v>110</v>
      </c>
      <c r="U149" s="195"/>
      <c r="V149" s="195"/>
      <c r="W149" s="195"/>
      <c r="X149" s="195"/>
      <c r="Y149" s="195"/>
      <c r="Z149" s="195"/>
      <c r="AA149" s="195"/>
      <c r="AB149" s="195"/>
      <c r="AC149" s="195"/>
      <c r="AD149" s="195"/>
      <c r="AE149" s="195"/>
      <c r="AF149" s="195"/>
      <c r="AG149" s="195"/>
      <c r="AH149" s="195"/>
      <c r="AI149" s="195"/>
      <c r="AJ149" s="195"/>
      <c r="AK149" s="195"/>
      <c r="AL149" s="197">
        <v>110</v>
      </c>
      <c r="AM149" s="195"/>
      <c r="AN149" s="195"/>
      <c r="AO149" s="195"/>
      <c r="AP149" s="195"/>
      <c r="AQ149" s="195"/>
      <c r="AR149" s="195"/>
      <c r="AS149" s="195"/>
      <c r="AT149" s="195"/>
      <c r="AU149" s="195"/>
      <c r="AV149" s="195"/>
      <c r="AW149" s="195"/>
      <c r="AX149" s="195"/>
      <c r="AY149" s="195"/>
      <c r="AZ149" s="195"/>
      <c r="BA149" s="195"/>
      <c r="BB149" s="195"/>
      <c r="BC149" s="195"/>
      <c r="BD149" s="197">
        <v>110</v>
      </c>
      <c r="BE149" s="195"/>
      <c r="BF149" s="195"/>
      <c r="BG149" s="195"/>
      <c r="BH149" s="195"/>
      <c r="BI149" s="195"/>
      <c r="BJ149" s="195"/>
      <c r="BK149" s="195"/>
      <c r="BL149" s="195"/>
      <c r="BM149" s="195"/>
      <c r="BN149" s="195"/>
      <c r="BO149" s="195"/>
      <c r="BP149" s="195"/>
      <c r="BQ149" s="195"/>
      <c r="BR149" s="195"/>
      <c r="BS149" s="195"/>
      <c r="BT149" s="195"/>
      <c r="BU149" s="195"/>
      <c r="BV149" s="197">
        <v>110</v>
      </c>
      <c r="BW149" s="195"/>
      <c r="BX149" s="195"/>
      <c r="BY149" s="195"/>
      <c r="BZ149" s="195"/>
      <c r="CA149" s="195"/>
      <c r="CB149" s="195"/>
      <c r="CC149" s="195"/>
      <c r="CD149" s="195"/>
      <c r="CE149" s="195"/>
      <c r="CF149" s="195"/>
      <c r="CG149" s="195"/>
      <c r="CH149" s="195"/>
      <c r="CI149" s="195"/>
      <c r="CJ149" s="195"/>
      <c r="CK149" s="195"/>
      <c r="CL149" s="195"/>
      <c r="CM149" s="195"/>
      <c r="CN149" s="197">
        <v>110</v>
      </c>
      <c r="CO149" s="195"/>
      <c r="CP149" s="195"/>
      <c r="CQ149" s="195"/>
      <c r="CR149" s="195"/>
      <c r="CS149" s="195"/>
      <c r="CT149" s="195"/>
      <c r="CU149" s="195"/>
      <c r="CV149" s="195"/>
      <c r="CW149" s="195"/>
      <c r="CX149" s="195"/>
      <c r="CY149" s="195"/>
      <c r="CZ149" s="195"/>
      <c r="DA149" s="195"/>
      <c r="DB149" s="195"/>
      <c r="DC149" s="195"/>
      <c r="DD149" s="195"/>
      <c r="DE149" s="195"/>
      <c r="DF149" s="197">
        <v>110</v>
      </c>
      <c r="DG149" s="195"/>
      <c r="DH149" s="195"/>
      <c r="DI149" s="195"/>
      <c r="DJ149" s="195"/>
      <c r="DK149" s="195"/>
      <c r="DL149" s="195"/>
      <c r="DM149" s="195"/>
      <c r="DN149" s="195"/>
      <c r="DO149" s="195"/>
      <c r="DP149" s="195"/>
      <c r="DQ149" s="195"/>
      <c r="DR149" s="195"/>
      <c r="DS149" s="195"/>
      <c r="DT149" s="195"/>
      <c r="DU149" s="195"/>
      <c r="DV149" s="195"/>
      <c r="DW149" s="195"/>
      <c r="DX149" s="197">
        <v>110</v>
      </c>
      <c r="DY149" s="195"/>
      <c r="DZ149" s="195"/>
      <c r="EA149" s="195"/>
      <c r="EB149" s="195"/>
      <c r="EC149" s="195"/>
      <c r="ED149" s="195"/>
      <c r="EE149" s="195"/>
      <c r="EF149" s="195"/>
      <c r="EG149" s="195"/>
      <c r="EH149" s="195"/>
      <c r="EI149" s="195"/>
      <c r="EJ149" s="195"/>
      <c r="EK149" s="195"/>
      <c r="EL149" s="195"/>
      <c r="EM149" s="195"/>
      <c r="EN149" s="195"/>
      <c r="EO149" s="195"/>
      <c r="EP149" s="197">
        <v>110</v>
      </c>
      <c r="EQ149" s="195"/>
      <c r="ER149" s="195"/>
      <c r="ES149" s="195"/>
      <c r="ET149" s="195"/>
      <c r="EU149" s="195"/>
      <c r="EV149" s="195"/>
      <c r="EW149" s="195"/>
      <c r="EX149" s="195"/>
      <c r="EY149" s="195"/>
      <c r="EZ149" s="195"/>
      <c r="FA149" s="195"/>
      <c r="FB149" s="195"/>
      <c r="FC149" s="195"/>
      <c r="FD149" s="195"/>
      <c r="FE149" s="195"/>
      <c r="FF149" s="195"/>
      <c r="FG149" s="195"/>
      <c r="FH149" s="197">
        <v>110</v>
      </c>
      <c r="FI149" s="195"/>
      <c r="FJ149" s="195"/>
      <c r="FK149" s="195"/>
      <c r="FL149" s="195"/>
      <c r="FM149" s="195"/>
      <c r="FN149" s="195"/>
      <c r="FO149" s="195"/>
      <c r="FP149" s="195"/>
      <c r="FQ149" s="195"/>
      <c r="FR149" s="195"/>
      <c r="FS149" s="195"/>
      <c r="FT149" s="195"/>
      <c r="FU149" s="195"/>
      <c r="FV149" s="195"/>
      <c r="FW149" s="195"/>
      <c r="FX149" s="195"/>
      <c r="FY149" s="195"/>
    </row>
    <row r="150" spans="2:181" x14ac:dyDescent="0.25">
      <c r="B150" s="12">
        <v>111</v>
      </c>
      <c r="C150" s="195"/>
      <c r="D150" s="195"/>
      <c r="E150" s="195"/>
      <c r="F150" s="195"/>
      <c r="G150" s="195"/>
      <c r="H150" s="195"/>
      <c r="I150" s="195"/>
      <c r="J150" s="195"/>
      <c r="K150" s="195"/>
      <c r="L150" s="195"/>
      <c r="M150" s="195"/>
      <c r="N150" s="195"/>
      <c r="O150" s="195"/>
      <c r="P150" s="195"/>
      <c r="Q150" s="195"/>
      <c r="R150" s="195"/>
      <c r="S150" s="195"/>
      <c r="T150" s="12">
        <v>111</v>
      </c>
      <c r="U150" s="195"/>
      <c r="V150" s="195"/>
      <c r="W150" s="195"/>
      <c r="X150" s="195"/>
      <c r="Y150" s="195"/>
      <c r="Z150" s="195"/>
      <c r="AA150" s="195"/>
      <c r="AB150" s="195"/>
      <c r="AC150" s="195"/>
      <c r="AD150" s="195"/>
      <c r="AE150" s="195"/>
      <c r="AF150" s="195"/>
      <c r="AG150" s="195"/>
      <c r="AH150" s="195"/>
      <c r="AI150" s="195"/>
      <c r="AJ150" s="195"/>
      <c r="AK150" s="195"/>
      <c r="AL150" s="12">
        <v>111</v>
      </c>
      <c r="AM150" s="195"/>
      <c r="AN150" s="195"/>
      <c r="AO150" s="195"/>
      <c r="AP150" s="195"/>
      <c r="AQ150" s="195"/>
      <c r="AR150" s="195"/>
      <c r="AS150" s="195"/>
      <c r="AT150" s="195"/>
      <c r="AU150" s="195"/>
      <c r="AV150" s="195"/>
      <c r="AW150" s="195"/>
      <c r="AX150" s="195"/>
      <c r="AY150" s="195"/>
      <c r="AZ150" s="195"/>
      <c r="BA150" s="195"/>
      <c r="BB150" s="195"/>
      <c r="BC150" s="195"/>
      <c r="BD150" s="12">
        <v>111</v>
      </c>
      <c r="BE150" s="195"/>
      <c r="BF150" s="195"/>
      <c r="BG150" s="195"/>
      <c r="BH150" s="195"/>
      <c r="BI150" s="195"/>
      <c r="BJ150" s="195"/>
      <c r="BK150" s="195"/>
      <c r="BL150" s="195"/>
      <c r="BM150" s="195"/>
      <c r="BN150" s="195"/>
      <c r="BO150" s="195"/>
      <c r="BP150" s="195"/>
      <c r="BQ150" s="195"/>
      <c r="BR150" s="195"/>
      <c r="BS150" s="195"/>
      <c r="BT150" s="195"/>
      <c r="BU150" s="195"/>
      <c r="BV150" s="12">
        <v>111</v>
      </c>
      <c r="BW150" s="195"/>
      <c r="BX150" s="195"/>
      <c r="BY150" s="195"/>
      <c r="BZ150" s="195"/>
      <c r="CA150" s="195"/>
      <c r="CB150" s="195"/>
      <c r="CC150" s="195"/>
      <c r="CD150" s="195"/>
      <c r="CE150" s="195"/>
      <c r="CF150" s="195"/>
      <c r="CG150" s="195"/>
      <c r="CH150" s="195"/>
      <c r="CI150" s="195"/>
      <c r="CJ150" s="195"/>
      <c r="CK150" s="195"/>
      <c r="CL150" s="195"/>
      <c r="CM150" s="195"/>
      <c r="CN150" s="12">
        <v>111</v>
      </c>
      <c r="CO150" s="195"/>
      <c r="CP150" s="195"/>
      <c r="CQ150" s="195"/>
      <c r="CR150" s="195"/>
      <c r="CS150" s="195"/>
      <c r="CT150" s="195"/>
      <c r="CU150" s="195"/>
      <c r="CV150" s="195"/>
      <c r="CW150" s="195"/>
      <c r="CX150" s="195"/>
      <c r="CY150" s="195"/>
      <c r="CZ150" s="195"/>
      <c r="DA150" s="195"/>
      <c r="DB150" s="195"/>
      <c r="DC150" s="195"/>
      <c r="DD150" s="195"/>
      <c r="DE150" s="195"/>
      <c r="DF150" s="12">
        <v>111</v>
      </c>
      <c r="DG150" s="195"/>
      <c r="DH150" s="195"/>
      <c r="DI150" s="195"/>
      <c r="DJ150" s="195"/>
      <c r="DK150" s="195"/>
      <c r="DL150" s="195"/>
      <c r="DM150" s="195"/>
      <c r="DN150" s="195"/>
      <c r="DO150" s="195"/>
      <c r="DP150" s="195"/>
      <c r="DQ150" s="195"/>
      <c r="DR150" s="195"/>
      <c r="DS150" s="195"/>
      <c r="DT150" s="195"/>
      <c r="DU150" s="195"/>
      <c r="DV150" s="195"/>
      <c r="DW150" s="195"/>
      <c r="DX150" s="12">
        <v>111</v>
      </c>
      <c r="DY150" s="195"/>
      <c r="DZ150" s="195"/>
      <c r="EA150" s="195"/>
      <c r="EB150" s="195"/>
      <c r="EC150" s="195"/>
      <c r="ED150" s="195"/>
      <c r="EE150" s="195"/>
      <c r="EF150" s="195"/>
      <c r="EG150" s="195"/>
      <c r="EH150" s="195"/>
      <c r="EI150" s="195"/>
      <c r="EJ150" s="195"/>
      <c r="EK150" s="195"/>
      <c r="EL150" s="195"/>
      <c r="EM150" s="195"/>
      <c r="EN150" s="195"/>
      <c r="EO150" s="195"/>
      <c r="EP150" s="12">
        <v>111</v>
      </c>
      <c r="EQ150" s="195"/>
      <c r="ER150" s="195"/>
      <c r="ES150" s="195"/>
      <c r="ET150" s="195"/>
      <c r="EU150" s="195"/>
      <c r="EV150" s="195"/>
      <c r="EW150" s="195"/>
      <c r="EX150" s="195"/>
      <c r="EY150" s="195"/>
      <c r="EZ150" s="195"/>
      <c r="FA150" s="195"/>
      <c r="FB150" s="195"/>
      <c r="FC150" s="195"/>
      <c r="FD150" s="195"/>
      <c r="FE150" s="195"/>
      <c r="FF150" s="195"/>
      <c r="FG150" s="195"/>
      <c r="FH150" s="12">
        <v>111</v>
      </c>
      <c r="FI150" s="195"/>
      <c r="FJ150" s="195"/>
      <c r="FK150" s="195"/>
      <c r="FL150" s="195"/>
      <c r="FM150" s="195"/>
      <c r="FN150" s="195"/>
      <c r="FO150" s="195"/>
      <c r="FP150" s="195"/>
      <c r="FQ150" s="195"/>
      <c r="FR150" s="195"/>
      <c r="FS150" s="195"/>
      <c r="FT150" s="195"/>
      <c r="FU150" s="195"/>
      <c r="FV150" s="195"/>
      <c r="FW150" s="195"/>
      <c r="FX150" s="195"/>
      <c r="FY150" s="195"/>
    </row>
    <row r="151" spans="2:181" x14ac:dyDescent="0.25">
      <c r="B151" s="197">
        <v>112</v>
      </c>
      <c r="C151" s="195"/>
      <c r="D151" s="195"/>
      <c r="E151" s="195"/>
      <c r="F151" s="195"/>
      <c r="G151" s="195"/>
      <c r="H151" s="195"/>
      <c r="I151" s="195"/>
      <c r="J151" s="195"/>
      <c r="K151" s="195"/>
      <c r="L151" s="195"/>
      <c r="M151" s="195"/>
      <c r="N151" s="195"/>
      <c r="O151" s="195"/>
      <c r="P151" s="195"/>
      <c r="Q151" s="195"/>
      <c r="R151" s="195"/>
      <c r="S151" s="195"/>
      <c r="T151" s="197">
        <v>112</v>
      </c>
      <c r="U151" s="195"/>
      <c r="V151" s="195"/>
      <c r="W151" s="195"/>
      <c r="X151" s="195"/>
      <c r="Y151" s="195"/>
      <c r="Z151" s="195"/>
      <c r="AA151" s="195"/>
      <c r="AB151" s="195"/>
      <c r="AC151" s="195"/>
      <c r="AD151" s="195"/>
      <c r="AE151" s="195"/>
      <c r="AF151" s="195"/>
      <c r="AG151" s="195"/>
      <c r="AH151" s="195"/>
      <c r="AI151" s="195"/>
      <c r="AJ151" s="195"/>
      <c r="AK151" s="195"/>
      <c r="AL151" s="197">
        <v>112</v>
      </c>
      <c r="AM151" s="195"/>
      <c r="AN151" s="195"/>
      <c r="AO151" s="195"/>
      <c r="AP151" s="195"/>
      <c r="AQ151" s="195"/>
      <c r="AR151" s="195"/>
      <c r="AS151" s="195"/>
      <c r="AT151" s="195"/>
      <c r="AU151" s="195"/>
      <c r="AV151" s="195"/>
      <c r="AW151" s="195"/>
      <c r="AX151" s="195"/>
      <c r="AY151" s="195"/>
      <c r="AZ151" s="195"/>
      <c r="BA151" s="195"/>
      <c r="BB151" s="195"/>
      <c r="BC151" s="195"/>
      <c r="BD151" s="197">
        <v>112</v>
      </c>
      <c r="BE151" s="195"/>
      <c r="BF151" s="195"/>
      <c r="BG151" s="195"/>
      <c r="BH151" s="195"/>
      <c r="BI151" s="195"/>
      <c r="BJ151" s="195"/>
      <c r="BK151" s="195"/>
      <c r="BL151" s="195"/>
      <c r="BM151" s="195"/>
      <c r="BN151" s="195"/>
      <c r="BO151" s="195"/>
      <c r="BP151" s="195"/>
      <c r="BQ151" s="195"/>
      <c r="BR151" s="195"/>
      <c r="BS151" s="195"/>
      <c r="BT151" s="195"/>
      <c r="BU151" s="195"/>
      <c r="BV151" s="197">
        <v>112</v>
      </c>
      <c r="BW151" s="195"/>
      <c r="BX151" s="195"/>
      <c r="BY151" s="195"/>
      <c r="BZ151" s="195"/>
      <c r="CA151" s="195"/>
      <c r="CB151" s="195"/>
      <c r="CC151" s="195"/>
      <c r="CD151" s="195"/>
      <c r="CE151" s="195"/>
      <c r="CF151" s="195"/>
      <c r="CG151" s="195"/>
      <c r="CH151" s="195"/>
      <c r="CI151" s="195"/>
      <c r="CJ151" s="195"/>
      <c r="CK151" s="195"/>
      <c r="CL151" s="195"/>
      <c r="CM151" s="195"/>
      <c r="CN151" s="197">
        <v>112</v>
      </c>
      <c r="CO151" s="195"/>
      <c r="CP151" s="195"/>
      <c r="CQ151" s="195"/>
      <c r="CR151" s="195"/>
      <c r="CS151" s="195"/>
      <c r="CT151" s="195"/>
      <c r="CU151" s="195"/>
      <c r="CV151" s="195"/>
      <c r="CW151" s="195"/>
      <c r="CX151" s="195"/>
      <c r="CY151" s="195"/>
      <c r="CZ151" s="195"/>
      <c r="DA151" s="195"/>
      <c r="DB151" s="195"/>
      <c r="DC151" s="195"/>
      <c r="DD151" s="195"/>
      <c r="DE151" s="195"/>
      <c r="DF151" s="197">
        <v>112</v>
      </c>
      <c r="DG151" s="195"/>
      <c r="DH151" s="195"/>
      <c r="DI151" s="195"/>
      <c r="DJ151" s="195"/>
      <c r="DK151" s="195"/>
      <c r="DL151" s="195"/>
      <c r="DM151" s="195"/>
      <c r="DN151" s="195"/>
      <c r="DO151" s="195"/>
      <c r="DP151" s="195"/>
      <c r="DQ151" s="195"/>
      <c r="DR151" s="195"/>
      <c r="DS151" s="195"/>
      <c r="DT151" s="195"/>
      <c r="DU151" s="195"/>
      <c r="DV151" s="195"/>
      <c r="DW151" s="195"/>
      <c r="DX151" s="197">
        <v>112</v>
      </c>
      <c r="DY151" s="195"/>
      <c r="DZ151" s="195"/>
      <c r="EA151" s="195"/>
      <c r="EB151" s="195"/>
      <c r="EC151" s="195"/>
      <c r="ED151" s="195"/>
      <c r="EE151" s="195"/>
      <c r="EF151" s="195"/>
      <c r="EG151" s="195"/>
      <c r="EH151" s="195"/>
      <c r="EI151" s="195"/>
      <c r="EJ151" s="195"/>
      <c r="EK151" s="195"/>
      <c r="EL151" s="195"/>
      <c r="EM151" s="195"/>
      <c r="EN151" s="195"/>
      <c r="EO151" s="195"/>
      <c r="EP151" s="197">
        <v>112</v>
      </c>
      <c r="EQ151" s="195"/>
      <c r="ER151" s="195"/>
      <c r="ES151" s="195"/>
      <c r="ET151" s="195"/>
      <c r="EU151" s="195"/>
      <c r="EV151" s="195"/>
      <c r="EW151" s="195"/>
      <c r="EX151" s="195"/>
      <c r="EY151" s="195"/>
      <c r="EZ151" s="195"/>
      <c r="FA151" s="195"/>
      <c r="FB151" s="195"/>
      <c r="FC151" s="195"/>
      <c r="FD151" s="195"/>
      <c r="FE151" s="195"/>
      <c r="FF151" s="195"/>
      <c r="FG151" s="195"/>
      <c r="FH151" s="197">
        <v>112</v>
      </c>
      <c r="FI151" s="195"/>
      <c r="FJ151" s="195"/>
      <c r="FK151" s="195"/>
      <c r="FL151" s="195"/>
      <c r="FM151" s="195"/>
      <c r="FN151" s="195"/>
      <c r="FO151" s="195"/>
      <c r="FP151" s="195"/>
      <c r="FQ151" s="195"/>
      <c r="FR151" s="195"/>
      <c r="FS151" s="195"/>
      <c r="FT151" s="195"/>
      <c r="FU151" s="195"/>
      <c r="FV151" s="195"/>
      <c r="FW151" s="195"/>
      <c r="FX151" s="195"/>
      <c r="FY151" s="195"/>
    </row>
    <row r="152" spans="2:181" x14ac:dyDescent="0.25">
      <c r="B152" s="12">
        <v>113</v>
      </c>
      <c r="C152" s="195"/>
      <c r="D152" s="195"/>
      <c r="E152" s="195"/>
      <c r="F152" s="195"/>
      <c r="G152" s="195"/>
      <c r="H152" s="195"/>
      <c r="I152" s="195"/>
      <c r="J152" s="195"/>
      <c r="K152" s="195"/>
      <c r="L152" s="195"/>
      <c r="M152" s="195"/>
      <c r="N152" s="195"/>
      <c r="O152" s="195"/>
      <c r="P152" s="195"/>
      <c r="Q152" s="195"/>
      <c r="R152" s="195"/>
      <c r="S152" s="195"/>
      <c r="T152" s="12">
        <v>113</v>
      </c>
      <c r="U152" s="195"/>
      <c r="V152" s="195"/>
      <c r="W152" s="195"/>
      <c r="X152" s="195"/>
      <c r="Y152" s="195"/>
      <c r="Z152" s="195"/>
      <c r="AA152" s="195"/>
      <c r="AB152" s="195"/>
      <c r="AC152" s="195"/>
      <c r="AD152" s="195"/>
      <c r="AE152" s="195"/>
      <c r="AF152" s="195"/>
      <c r="AG152" s="195"/>
      <c r="AH152" s="195"/>
      <c r="AI152" s="195"/>
      <c r="AJ152" s="195"/>
      <c r="AK152" s="195"/>
      <c r="AL152" s="12">
        <v>113</v>
      </c>
      <c r="AM152" s="195"/>
      <c r="AN152" s="195"/>
      <c r="AO152" s="195"/>
      <c r="AP152" s="195"/>
      <c r="AQ152" s="195"/>
      <c r="AR152" s="195"/>
      <c r="AS152" s="195"/>
      <c r="AT152" s="195"/>
      <c r="AU152" s="195"/>
      <c r="AV152" s="195"/>
      <c r="AW152" s="195"/>
      <c r="AX152" s="195"/>
      <c r="AY152" s="195"/>
      <c r="AZ152" s="195"/>
      <c r="BA152" s="195"/>
      <c r="BB152" s="195"/>
      <c r="BC152" s="195"/>
      <c r="BD152" s="12">
        <v>113</v>
      </c>
      <c r="BE152" s="195"/>
      <c r="BF152" s="195"/>
      <c r="BG152" s="195"/>
      <c r="BH152" s="195"/>
      <c r="BI152" s="195"/>
      <c r="BJ152" s="195"/>
      <c r="BK152" s="195"/>
      <c r="BL152" s="195"/>
      <c r="BM152" s="195"/>
      <c r="BN152" s="195"/>
      <c r="BO152" s="195"/>
      <c r="BP152" s="195"/>
      <c r="BQ152" s="195"/>
      <c r="BR152" s="195"/>
      <c r="BS152" s="195"/>
      <c r="BT152" s="195"/>
      <c r="BU152" s="195"/>
      <c r="BV152" s="12">
        <v>113</v>
      </c>
      <c r="BW152" s="195"/>
      <c r="BX152" s="195"/>
      <c r="BY152" s="195"/>
      <c r="BZ152" s="195"/>
      <c r="CA152" s="195"/>
      <c r="CB152" s="195"/>
      <c r="CC152" s="195"/>
      <c r="CD152" s="195"/>
      <c r="CE152" s="195"/>
      <c r="CF152" s="195"/>
      <c r="CG152" s="195"/>
      <c r="CH152" s="195"/>
      <c r="CI152" s="195"/>
      <c r="CJ152" s="195"/>
      <c r="CK152" s="195"/>
      <c r="CL152" s="195"/>
      <c r="CM152" s="195"/>
      <c r="CN152" s="12">
        <v>113</v>
      </c>
      <c r="CO152" s="195"/>
      <c r="CP152" s="195"/>
      <c r="CQ152" s="195"/>
      <c r="CR152" s="195"/>
      <c r="CS152" s="195"/>
      <c r="CT152" s="195"/>
      <c r="CU152" s="195"/>
      <c r="CV152" s="195"/>
      <c r="CW152" s="195"/>
      <c r="CX152" s="195"/>
      <c r="CY152" s="195"/>
      <c r="CZ152" s="195"/>
      <c r="DA152" s="195"/>
      <c r="DB152" s="195"/>
      <c r="DC152" s="195"/>
      <c r="DD152" s="195"/>
      <c r="DE152" s="195"/>
      <c r="DF152" s="12">
        <v>113</v>
      </c>
      <c r="DG152" s="195"/>
      <c r="DH152" s="195"/>
      <c r="DI152" s="195"/>
      <c r="DJ152" s="195"/>
      <c r="DK152" s="195"/>
      <c r="DL152" s="195"/>
      <c r="DM152" s="195"/>
      <c r="DN152" s="195"/>
      <c r="DO152" s="195"/>
      <c r="DP152" s="195"/>
      <c r="DQ152" s="195"/>
      <c r="DR152" s="195"/>
      <c r="DS152" s="195"/>
      <c r="DT152" s="195"/>
      <c r="DU152" s="195"/>
      <c r="DV152" s="195"/>
      <c r="DW152" s="195"/>
      <c r="DX152" s="12">
        <v>113</v>
      </c>
      <c r="DY152" s="195"/>
      <c r="DZ152" s="195"/>
      <c r="EA152" s="195"/>
      <c r="EB152" s="195"/>
      <c r="EC152" s="195"/>
      <c r="ED152" s="195"/>
      <c r="EE152" s="195"/>
      <c r="EF152" s="195"/>
      <c r="EG152" s="195"/>
      <c r="EH152" s="195"/>
      <c r="EI152" s="195"/>
      <c r="EJ152" s="195"/>
      <c r="EK152" s="195"/>
      <c r="EL152" s="195"/>
      <c r="EM152" s="195"/>
      <c r="EN152" s="195"/>
      <c r="EO152" s="195"/>
      <c r="EP152" s="12">
        <v>113</v>
      </c>
      <c r="EQ152" s="195"/>
      <c r="ER152" s="195"/>
      <c r="ES152" s="195"/>
      <c r="ET152" s="195"/>
      <c r="EU152" s="195"/>
      <c r="EV152" s="195"/>
      <c r="EW152" s="195"/>
      <c r="EX152" s="195"/>
      <c r="EY152" s="195"/>
      <c r="EZ152" s="195"/>
      <c r="FA152" s="195"/>
      <c r="FB152" s="195"/>
      <c r="FC152" s="195"/>
      <c r="FD152" s="195"/>
      <c r="FE152" s="195"/>
      <c r="FF152" s="195"/>
      <c r="FG152" s="195"/>
      <c r="FH152" s="12">
        <v>113</v>
      </c>
      <c r="FI152" s="195"/>
      <c r="FJ152" s="195"/>
      <c r="FK152" s="195"/>
      <c r="FL152" s="195"/>
      <c r="FM152" s="195"/>
      <c r="FN152" s="195"/>
      <c r="FO152" s="195"/>
      <c r="FP152" s="195"/>
      <c r="FQ152" s="195"/>
      <c r="FR152" s="195"/>
      <c r="FS152" s="195"/>
      <c r="FT152" s="195"/>
      <c r="FU152" s="195"/>
      <c r="FV152" s="195"/>
      <c r="FW152" s="195"/>
      <c r="FX152" s="195"/>
      <c r="FY152" s="195"/>
    </row>
    <row r="153" spans="2:181" x14ac:dyDescent="0.25">
      <c r="B153" s="197">
        <v>114</v>
      </c>
      <c r="C153" s="195"/>
      <c r="D153" s="195"/>
      <c r="E153" s="195"/>
      <c r="F153" s="195"/>
      <c r="G153" s="195"/>
      <c r="H153" s="195"/>
      <c r="I153" s="195"/>
      <c r="J153" s="195"/>
      <c r="K153" s="195"/>
      <c r="L153" s="195"/>
      <c r="M153" s="195"/>
      <c r="N153" s="195"/>
      <c r="O153" s="195"/>
      <c r="P153" s="195"/>
      <c r="Q153" s="195"/>
      <c r="R153" s="195"/>
      <c r="S153" s="195"/>
      <c r="T153" s="197">
        <v>114</v>
      </c>
      <c r="U153" s="195"/>
      <c r="V153" s="195"/>
      <c r="W153" s="195"/>
      <c r="X153" s="195"/>
      <c r="Y153" s="195"/>
      <c r="Z153" s="195"/>
      <c r="AA153" s="195"/>
      <c r="AB153" s="195"/>
      <c r="AC153" s="195"/>
      <c r="AD153" s="195"/>
      <c r="AE153" s="195"/>
      <c r="AF153" s="195"/>
      <c r="AG153" s="195"/>
      <c r="AH153" s="195"/>
      <c r="AI153" s="195"/>
      <c r="AJ153" s="195"/>
      <c r="AK153" s="195"/>
      <c r="AL153" s="197">
        <v>114</v>
      </c>
      <c r="AM153" s="195"/>
      <c r="AN153" s="195"/>
      <c r="AO153" s="195"/>
      <c r="AP153" s="195"/>
      <c r="AQ153" s="195"/>
      <c r="AR153" s="195"/>
      <c r="AS153" s="195"/>
      <c r="AT153" s="195"/>
      <c r="AU153" s="195"/>
      <c r="AV153" s="195"/>
      <c r="AW153" s="195"/>
      <c r="AX153" s="195"/>
      <c r="AY153" s="195"/>
      <c r="AZ153" s="195"/>
      <c r="BA153" s="195"/>
      <c r="BB153" s="195"/>
      <c r="BC153" s="195"/>
      <c r="BD153" s="197">
        <v>114</v>
      </c>
      <c r="BE153" s="195"/>
      <c r="BF153" s="195"/>
      <c r="BG153" s="195"/>
      <c r="BH153" s="195"/>
      <c r="BI153" s="195"/>
      <c r="BJ153" s="195"/>
      <c r="BK153" s="195"/>
      <c r="BL153" s="195"/>
      <c r="BM153" s="195"/>
      <c r="BN153" s="195"/>
      <c r="BO153" s="195"/>
      <c r="BP153" s="195"/>
      <c r="BQ153" s="195"/>
      <c r="BR153" s="195"/>
      <c r="BS153" s="195"/>
      <c r="BT153" s="195"/>
      <c r="BU153" s="195"/>
      <c r="BV153" s="197">
        <v>114</v>
      </c>
      <c r="BW153" s="195"/>
      <c r="BX153" s="195"/>
      <c r="BY153" s="195"/>
      <c r="BZ153" s="195"/>
      <c r="CA153" s="195"/>
      <c r="CB153" s="195"/>
      <c r="CC153" s="195"/>
      <c r="CD153" s="195"/>
      <c r="CE153" s="195"/>
      <c r="CF153" s="195"/>
      <c r="CG153" s="195"/>
      <c r="CH153" s="195"/>
      <c r="CI153" s="195"/>
      <c r="CJ153" s="195"/>
      <c r="CK153" s="195"/>
      <c r="CL153" s="195"/>
      <c r="CM153" s="195"/>
      <c r="CN153" s="197">
        <v>114</v>
      </c>
      <c r="CO153" s="195"/>
      <c r="CP153" s="195"/>
      <c r="CQ153" s="195"/>
      <c r="CR153" s="195"/>
      <c r="CS153" s="195"/>
      <c r="CT153" s="195"/>
      <c r="CU153" s="195"/>
      <c r="CV153" s="195"/>
      <c r="CW153" s="195"/>
      <c r="CX153" s="195"/>
      <c r="CY153" s="195"/>
      <c r="CZ153" s="195"/>
      <c r="DA153" s="195"/>
      <c r="DB153" s="195"/>
      <c r="DC153" s="195"/>
      <c r="DD153" s="195"/>
      <c r="DE153" s="195"/>
      <c r="DF153" s="197">
        <v>114</v>
      </c>
      <c r="DG153" s="195"/>
      <c r="DH153" s="195"/>
      <c r="DI153" s="195"/>
      <c r="DJ153" s="195"/>
      <c r="DK153" s="195"/>
      <c r="DL153" s="195"/>
      <c r="DM153" s="195"/>
      <c r="DN153" s="195"/>
      <c r="DO153" s="195"/>
      <c r="DP153" s="195"/>
      <c r="DQ153" s="195"/>
      <c r="DR153" s="195"/>
      <c r="DS153" s="195"/>
      <c r="DT153" s="195"/>
      <c r="DU153" s="195"/>
      <c r="DV153" s="195"/>
      <c r="DW153" s="195"/>
      <c r="DX153" s="197">
        <v>114</v>
      </c>
      <c r="DY153" s="195"/>
      <c r="DZ153" s="195"/>
      <c r="EA153" s="195"/>
      <c r="EB153" s="195"/>
      <c r="EC153" s="195"/>
      <c r="ED153" s="195"/>
      <c r="EE153" s="195"/>
      <c r="EF153" s="195"/>
      <c r="EG153" s="195"/>
      <c r="EH153" s="195"/>
      <c r="EI153" s="195"/>
      <c r="EJ153" s="195"/>
      <c r="EK153" s="195"/>
      <c r="EL153" s="195"/>
      <c r="EM153" s="195"/>
      <c r="EN153" s="195"/>
      <c r="EO153" s="195"/>
      <c r="EP153" s="197">
        <v>114</v>
      </c>
      <c r="EQ153" s="195"/>
      <c r="ER153" s="195"/>
      <c r="ES153" s="195"/>
      <c r="ET153" s="195"/>
      <c r="EU153" s="195"/>
      <c r="EV153" s="195"/>
      <c r="EW153" s="195"/>
      <c r="EX153" s="195"/>
      <c r="EY153" s="195"/>
      <c r="EZ153" s="195"/>
      <c r="FA153" s="195"/>
      <c r="FB153" s="195"/>
      <c r="FC153" s="195"/>
      <c r="FD153" s="195"/>
      <c r="FE153" s="195"/>
      <c r="FF153" s="195"/>
      <c r="FG153" s="195"/>
      <c r="FH153" s="197">
        <v>114</v>
      </c>
      <c r="FI153" s="195"/>
      <c r="FJ153" s="195"/>
      <c r="FK153" s="195"/>
      <c r="FL153" s="195"/>
      <c r="FM153" s="195"/>
      <c r="FN153" s="195"/>
      <c r="FO153" s="195"/>
      <c r="FP153" s="195"/>
      <c r="FQ153" s="195"/>
      <c r="FR153" s="195"/>
      <c r="FS153" s="195"/>
      <c r="FT153" s="195"/>
      <c r="FU153" s="195"/>
      <c r="FV153" s="195"/>
      <c r="FW153" s="195"/>
      <c r="FX153" s="195"/>
      <c r="FY153" s="195"/>
    </row>
    <row r="154" spans="2:181" x14ac:dyDescent="0.25">
      <c r="B154" s="12">
        <v>115</v>
      </c>
      <c r="C154" s="195"/>
      <c r="D154" s="195"/>
      <c r="E154" s="195"/>
      <c r="F154" s="195"/>
      <c r="G154" s="195"/>
      <c r="H154" s="195"/>
      <c r="I154" s="195"/>
      <c r="J154" s="195"/>
      <c r="K154" s="195"/>
      <c r="L154" s="195"/>
      <c r="M154" s="195"/>
      <c r="N154" s="195"/>
      <c r="O154" s="195"/>
      <c r="P154" s="195"/>
      <c r="Q154" s="195"/>
      <c r="R154" s="195"/>
      <c r="S154" s="195"/>
      <c r="T154" s="12">
        <v>115</v>
      </c>
      <c r="U154" s="195"/>
      <c r="V154" s="195"/>
      <c r="W154" s="195"/>
      <c r="X154" s="195"/>
      <c r="Y154" s="195"/>
      <c r="Z154" s="195"/>
      <c r="AA154" s="195"/>
      <c r="AB154" s="195"/>
      <c r="AC154" s="195"/>
      <c r="AD154" s="195"/>
      <c r="AE154" s="195"/>
      <c r="AF154" s="195"/>
      <c r="AG154" s="195"/>
      <c r="AH154" s="195"/>
      <c r="AI154" s="195"/>
      <c r="AJ154" s="195"/>
      <c r="AK154" s="195"/>
      <c r="AL154" s="12">
        <v>115</v>
      </c>
      <c r="AM154" s="195"/>
      <c r="AN154" s="195"/>
      <c r="AO154" s="195"/>
      <c r="AP154" s="195"/>
      <c r="AQ154" s="195"/>
      <c r="AR154" s="195"/>
      <c r="AS154" s="195"/>
      <c r="AT154" s="195"/>
      <c r="AU154" s="195"/>
      <c r="AV154" s="195"/>
      <c r="AW154" s="195"/>
      <c r="AX154" s="195"/>
      <c r="AY154" s="195"/>
      <c r="AZ154" s="195"/>
      <c r="BA154" s="195"/>
      <c r="BB154" s="195"/>
      <c r="BC154" s="195"/>
      <c r="BD154" s="12">
        <v>115</v>
      </c>
      <c r="BE154" s="195"/>
      <c r="BF154" s="195"/>
      <c r="BG154" s="195"/>
      <c r="BH154" s="195"/>
      <c r="BI154" s="195"/>
      <c r="BJ154" s="195"/>
      <c r="BK154" s="195"/>
      <c r="BL154" s="195"/>
      <c r="BM154" s="195"/>
      <c r="BN154" s="195"/>
      <c r="BO154" s="195"/>
      <c r="BP154" s="195"/>
      <c r="BQ154" s="195"/>
      <c r="BR154" s="195"/>
      <c r="BS154" s="195"/>
      <c r="BT154" s="195"/>
      <c r="BU154" s="195"/>
      <c r="BV154" s="12">
        <v>115</v>
      </c>
      <c r="BW154" s="195"/>
      <c r="BX154" s="195"/>
      <c r="BY154" s="195"/>
      <c r="BZ154" s="195"/>
      <c r="CA154" s="195"/>
      <c r="CB154" s="195"/>
      <c r="CC154" s="195"/>
      <c r="CD154" s="195"/>
      <c r="CE154" s="195"/>
      <c r="CF154" s="195"/>
      <c r="CG154" s="195"/>
      <c r="CH154" s="195"/>
      <c r="CI154" s="195"/>
      <c r="CJ154" s="195"/>
      <c r="CK154" s="195"/>
      <c r="CL154" s="195"/>
      <c r="CM154" s="195"/>
      <c r="CN154" s="12">
        <v>115</v>
      </c>
      <c r="CO154" s="195"/>
      <c r="CP154" s="195"/>
      <c r="CQ154" s="195"/>
      <c r="CR154" s="195"/>
      <c r="CS154" s="195"/>
      <c r="CT154" s="195"/>
      <c r="CU154" s="195"/>
      <c r="CV154" s="195"/>
      <c r="CW154" s="195"/>
      <c r="CX154" s="195"/>
      <c r="CY154" s="195"/>
      <c r="CZ154" s="195"/>
      <c r="DA154" s="195"/>
      <c r="DB154" s="195"/>
      <c r="DC154" s="195"/>
      <c r="DD154" s="195"/>
      <c r="DE154" s="195"/>
      <c r="DF154" s="12">
        <v>115</v>
      </c>
      <c r="DG154" s="195"/>
      <c r="DH154" s="195"/>
      <c r="DI154" s="195"/>
      <c r="DJ154" s="195"/>
      <c r="DK154" s="195"/>
      <c r="DL154" s="195"/>
      <c r="DM154" s="195"/>
      <c r="DN154" s="195"/>
      <c r="DO154" s="195"/>
      <c r="DP154" s="195"/>
      <c r="DQ154" s="195"/>
      <c r="DR154" s="195"/>
      <c r="DS154" s="195"/>
      <c r="DT154" s="195"/>
      <c r="DU154" s="195"/>
      <c r="DV154" s="195"/>
      <c r="DW154" s="195"/>
      <c r="DX154" s="12">
        <v>115</v>
      </c>
      <c r="DY154" s="195"/>
      <c r="DZ154" s="195"/>
      <c r="EA154" s="195"/>
      <c r="EB154" s="195"/>
      <c r="EC154" s="195"/>
      <c r="ED154" s="195"/>
      <c r="EE154" s="195"/>
      <c r="EF154" s="195"/>
      <c r="EG154" s="195"/>
      <c r="EH154" s="195"/>
      <c r="EI154" s="195"/>
      <c r="EJ154" s="195"/>
      <c r="EK154" s="195"/>
      <c r="EL154" s="195"/>
      <c r="EM154" s="195"/>
      <c r="EN154" s="195"/>
      <c r="EO154" s="195"/>
      <c r="EP154" s="12">
        <v>115</v>
      </c>
      <c r="EQ154" s="195"/>
      <c r="ER154" s="195"/>
      <c r="ES154" s="195"/>
      <c r="ET154" s="195"/>
      <c r="EU154" s="195"/>
      <c r="EV154" s="195"/>
      <c r="EW154" s="195"/>
      <c r="EX154" s="195"/>
      <c r="EY154" s="195"/>
      <c r="EZ154" s="195"/>
      <c r="FA154" s="195"/>
      <c r="FB154" s="195"/>
      <c r="FC154" s="195"/>
      <c r="FD154" s="195"/>
      <c r="FE154" s="195"/>
      <c r="FF154" s="195"/>
      <c r="FG154" s="195"/>
      <c r="FH154" s="12">
        <v>115</v>
      </c>
      <c r="FI154" s="195"/>
      <c r="FJ154" s="195"/>
      <c r="FK154" s="195"/>
      <c r="FL154" s="195"/>
      <c r="FM154" s="195"/>
      <c r="FN154" s="195"/>
      <c r="FO154" s="195"/>
      <c r="FP154" s="195"/>
      <c r="FQ154" s="195"/>
      <c r="FR154" s="195"/>
      <c r="FS154" s="195"/>
      <c r="FT154" s="195"/>
      <c r="FU154" s="195"/>
      <c r="FV154" s="195"/>
      <c r="FW154" s="195"/>
      <c r="FX154" s="195"/>
      <c r="FY154" s="195"/>
    </row>
    <row r="155" spans="2:181" x14ac:dyDescent="0.25">
      <c r="B155" s="197">
        <v>116</v>
      </c>
      <c r="C155" s="195"/>
      <c r="D155" s="195"/>
      <c r="E155" s="195"/>
      <c r="F155" s="195"/>
      <c r="G155" s="195"/>
      <c r="H155" s="195"/>
      <c r="I155" s="195"/>
      <c r="J155" s="195"/>
      <c r="K155" s="195"/>
      <c r="L155" s="195"/>
      <c r="M155" s="195"/>
      <c r="N155" s="195"/>
      <c r="O155" s="195"/>
      <c r="P155" s="195"/>
      <c r="Q155" s="195"/>
      <c r="R155" s="195"/>
      <c r="S155" s="195"/>
      <c r="T155" s="197">
        <v>116</v>
      </c>
      <c r="U155" s="195"/>
      <c r="V155" s="195"/>
      <c r="W155" s="195"/>
      <c r="X155" s="195"/>
      <c r="Y155" s="195"/>
      <c r="Z155" s="195"/>
      <c r="AA155" s="195"/>
      <c r="AB155" s="195"/>
      <c r="AC155" s="195"/>
      <c r="AD155" s="195"/>
      <c r="AE155" s="195"/>
      <c r="AF155" s="195"/>
      <c r="AG155" s="195"/>
      <c r="AH155" s="195"/>
      <c r="AI155" s="195"/>
      <c r="AJ155" s="195"/>
      <c r="AK155" s="195"/>
      <c r="AL155" s="197">
        <v>116</v>
      </c>
      <c r="AM155" s="195"/>
      <c r="AN155" s="195"/>
      <c r="AO155" s="195"/>
      <c r="AP155" s="195"/>
      <c r="AQ155" s="195"/>
      <c r="AR155" s="195"/>
      <c r="AS155" s="195"/>
      <c r="AT155" s="195"/>
      <c r="AU155" s="195"/>
      <c r="AV155" s="195"/>
      <c r="AW155" s="195"/>
      <c r="AX155" s="195"/>
      <c r="AY155" s="195"/>
      <c r="AZ155" s="195"/>
      <c r="BA155" s="195"/>
      <c r="BB155" s="195"/>
      <c r="BC155" s="195"/>
      <c r="BD155" s="197">
        <v>116</v>
      </c>
      <c r="BE155" s="195"/>
      <c r="BF155" s="195"/>
      <c r="BG155" s="195"/>
      <c r="BH155" s="195"/>
      <c r="BI155" s="195"/>
      <c r="BJ155" s="195"/>
      <c r="BK155" s="195"/>
      <c r="BL155" s="195"/>
      <c r="BM155" s="195"/>
      <c r="BN155" s="195"/>
      <c r="BO155" s="195"/>
      <c r="BP155" s="195"/>
      <c r="BQ155" s="195"/>
      <c r="BR155" s="195"/>
      <c r="BS155" s="195"/>
      <c r="BT155" s="195"/>
      <c r="BU155" s="195"/>
      <c r="BV155" s="197">
        <v>116</v>
      </c>
      <c r="BW155" s="195"/>
      <c r="BX155" s="195"/>
      <c r="BY155" s="195"/>
      <c r="BZ155" s="195"/>
      <c r="CA155" s="195"/>
      <c r="CB155" s="195"/>
      <c r="CC155" s="195"/>
      <c r="CD155" s="195"/>
      <c r="CE155" s="195"/>
      <c r="CF155" s="195"/>
      <c r="CG155" s="195"/>
      <c r="CH155" s="195"/>
      <c r="CI155" s="195"/>
      <c r="CJ155" s="195"/>
      <c r="CK155" s="195"/>
      <c r="CL155" s="195"/>
      <c r="CM155" s="195"/>
      <c r="CN155" s="197">
        <v>116</v>
      </c>
      <c r="CO155" s="195"/>
      <c r="CP155" s="195"/>
      <c r="CQ155" s="195"/>
      <c r="CR155" s="195"/>
      <c r="CS155" s="195"/>
      <c r="CT155" s="195"/>
      <c r="CU155" s="195"/>
      <c r="CV155" s="195"/>
      <c r="CW155" s="195"/>
      <c r="CX155" s="195"/>
      <c r="CY155" s="195"/>
      <c r="CZ155" s="195"/>
      <c r="DA155" s="195"/>
      <c r="DB155" s="195"/>
      <c r="DC155" s="195"/>
      <c r="DD155" s="195"/>
      <c r="DE155" s="195"/>
      <c r="DF155" s="197">
        <v>116</v>
      </c>
      <c r="DG155" s="195"/>
      <c r="DH155" s="195"/>
      <c r="DI155" s="195"/>
      <c r="DJ155" s="195"/>
      <c r="DK155" s="195"/>
      <c r="DL155" s="195"/>
      <c r="DM155" s="195"/>
      <c r="DN155" s="195"/>
      <c r="DO155" s="195"/>
      <c r="DP155" s="195"/>
      <c r="DQ155" s="195"/>
      <c r="DR155" s="195"/>
      <c r="DS155" s="195"/>
      <c r="DT155" s="195"/>
      <c r="DU155" s="195"/>
      <c r="DV155" s="195"/>
      <c r="DW155" s="195"/>
      <c r="DX155" s="197">
        <v>116</v>
      </c>
      <c r="DY155" s="195"/>
      <c r="DZ155" s="195"/>
      <c r="EA155" s="195"/>
      <c r="EB155" s="195"/>
      <c r="EC155" s="195"/>
      <c r="ED155" s="195"/>
      <c r="EE155" s="195"/>
      <c r="EF155" s="195"/>
      <c r="EG155" s="195"/>
      <c r="EH155" s="195"/>
      <c r="EI155" s="195"/>
      <c r="EJ155" s="195"/>
      <c r="EK155" s="195"/>
      <c r="EL155" s="195"/>
      <c r="EM155" s="195"/>
      <c r="EN155" s="195"/>
      <c r="EO155" s="195"/>
      <c r="EP155" s="197">
        <v>116</v>
      </c>
      <c r="EQ155" s="195"/>
      <c r="ER155" s="195"/>
      <c r="ES155" s="195"/>
      <c r="ET155" s="195"/>
      <c r="EU155" s="195"/>
      <c r="EV155" s="195"/>
      <c r="EW155" s="195"/>
      <c r="EX155" s="195"/>
      <c r="EY155" s="195"/>
      <c r="EZ155" s="195"/>
      <c r="FA155" s="195"/>
      <c r="FB155" s="195"/>
      <c r="FC155" s="195"/>
      <c r="FD155" s="195"/>
      <c r="FE155" s="195"/>
      <c r="FF155" s="195"/>
      <c r="FG155" s="195"/>
      <c r="FH155" s="197">
        <v>116</v>
      </c>
      <c r="FI155" s="195"/>
      <c r="FJ155" s="195"/>
      <c r="FK155" s="195"/>
      <c r="FL155" s="195"/>
      <c r="FM155" s="195"/>
      <c r="FN155" s="195"/>
      <c r="FO155" s="195"/>
      <c r="FP155" s="195"/>
      <c r="FQ155" s="195"/>
      <c r="FR155" s="195"/>
      <c r="FS155" s="195"/>
      <c r="FT155" s="195"/>
      <c r="FU155" s="195"/>
      <c r="FV155" s="195"/>
      <c r="FW155" s="195"/>
      <c r="FX155" s="195"/>
      <c r="FY155" s="195"/>
    </row>
    <row r="156" spans="2:181" x14ac:dyDescent="0.25">
      <c r="B156" s="12">
        <v>117</v>
      </c>
      <c r="C156" s="195"/>
      <c r="D156" s="195"/>
      <c r="E156" s="195"/>
      <c r="F156" s="195"/>
      <c r="G156" s="195"/>
      <c r="H156" s="195"/>
      <c r="I156" s="195"/>
      <c r="J156" s="195"/>
      <c r="K156" s="195"/>
      <c r="L156" s="195"/>
      <c r="M156" s="195"/>
      <c r="N156" s="195"/>
      <c r="O156" s="195"/>
      <c r="P156" s="195"/>
      <c r="Q156" s="195"/>
      <c r="R156" s="195"/>
      <c r="S156" s="195"/>
      <c r="T156" s="12">
        <v>117</v>
      </c>
      <c r="U156" s="195"/>
      <c r="V156" s="195"/>
      <c r="W156" s="195"/>
      <c r="X156" s="195"/>
      <c r="Y156" s="195"/>
      <c r="Z156" s="195"/>
      <c r="AA156" s="195"/>
      <c r="AB156" s="195"/>
      <c r="AC156" s="195"/>
      <c r="AD156" s="195"/>
      <c r="AE156" s="195"/>
      <c r="AF156" s="195"/>
      <c r="AG156" s="195"/>
      <c r="AH156" s="195"/>
      <c r="AI156" s="195"/>
      <c r="AJ156" s="195"/>
      <c r="AK156" s="195"/>
      <c r="AL156" s="12">
        <v>117</v>
      </c>
      <c r="AM156" s="195"/>
      <c r="AN156" s="195"/>
      <c r="AO156" s="195"/>
      <c r="AP156" s="195"/>
      <c r="AQ156" s="195"/>
      <c r="AR156" s="195"/>
      <c r="AS156" s="195"/>
      <c r="AT156" s="195"/>
      <c r="AU156" s="195"/>
      <c r="AV156" s="195"/>
      <c r="AW156" s="195"/>
      <c r="AX156" s="195"/>
      <c r="AY156" s="195"/>
      <c r="AZ156" s="195"/>
      <c r="BA156" s="195"/>
      <c r="BB156" s="195"/>
      <c r="BC156" s="195"/>
      <c r="BD156" s="12">
        <v>117</v>
      </c>
      <c r="BE156" s="195"/>
      <c r="BF156" s="195"/>
      <c r="BG156" s="195"/>
      <c r="BH156" s="195"/>
      <c r="BI156" s="195"/>
      <c r="BJ156" s="195"/>
      <c r="BK156" s="195"/>
      <c r="BL156" s="195"/>
      <c r="BM156" s="195"/>
      <c r="BN156" s="195"/>
      <c r="BO156" s="195"/>
      <c r="BP156" s="195"/>
      <c r="BQ156" s="195"/>
      <c r="BR156" s="195"/>
      <c r="BS156" s="195"/>
      <c r="BT156" s="195"/>
      <c r="BU156" s="195"/>
      <c r="BV156" s="12">
        <v>117</v>
      </c>
      <c r="BW156" s="195"/>
      <c r="BX156" s="195"/>
      <c r="BY156" s="195"/>
      <c r="BZ156" s="195"/>
      <c r="CA156" s="195"/>
      <c r="CB156" s="195"/>
      <c r="CC156" s="195"/>
      <c r="CD156" s="195"/>
      <c r="CE156" s="195"/>
      <c r="CF156" s="195"/>
      <c r="CG156" s="195"/>
      <c r="CH156" s="195"/>
      <c r="CI156" s="195"/>
      <c r="CJ156" s="195"/>
      <c r="CK156" s="195"/>
      <c r="CL156" s="195"/>
      <c r="CM156" s="195"/>
      <c r="CN156" s="12">
        <v>117</v>
      </c>
      <c r="CO156" s="195"/>
      <c r="CP156" s="195"/>
      <c r="CQ156" s="195"/>
      <c r="CR156" s="195"/>
      <c r="CS156" s="195"/>
      <c r="CT156" s="195"/>
      <c r="CU156" s="195"/>
      <c r="CV156" s="195"/>
      <c r="CW156" s="195"/>
      <c r="CX156" s="195"/>
      <c r="CY156" s="195"/>
      <c r="CZ156" s="195"/>
      <c r="DA156" s="195"/>
      <c r="DB156" s="195"/>
      <c r="DC156" s="195"/>
      <c r="DD156" s="195"/>
      <c r="DE156" s="195"/>
      <c r="DF156" s="12">
        <v>117</v>
      </c>
      <c r="DG156" s="195"/>
      <c r="DH156" s="195"/>
      <c r="DI156" s="195"/>
      <c r="DJ156" s="195"/>
      <c r="DK156" s="195"/>
      <c r="DL156" s="195"/>
      <c r="DM156" s="195"/>
      <c r="DN156" s="195"/>
      <c r="DO156" s="195"/>
      <c r="DP156" s="195"/>
      <c r="DQ156" s="195"/>
      <c r="DR156" s="195"/>
      <c r="DS156" s="195"/>
      <c r="DT156" s="195"/>
      <c r="DU156" s="195"/>
      <c r="DV156" s="195"/>
      <c r="DW156" s="195"/>
      <c r="DX156" s="12">
        <v>117</v>
      </c>
      <c r="DY156" s="195"/>
      <c r="DZ156" s="195"/>
      <c r="EA156" s="195"/>
      <c r="EB156" s="195"/>
      <c r="EC156" s="195"/>
      <c r="ED156" s="195"/>
      <c r="EE156" s="195"/>
      <c r="EF156" s="195"/>
      <c r="EG156" s="195"/>
      <c r="EH156" s="195"/>
      <c r="EI156" s="195"/>
      <c r="EJ156" s="195"/>
      <c r="EK156" s="195"/>
      <c r="EL156" s="195"/>
      <c r="EM156" s="195"/>
      <c r="EN156" s="195"/>
      <c r="EO156" s="195"/>
      <c r="EP156" s="12">
        <v>117</v>
      </c>
      <c r="EQ156" s="195"/>
      <c r="ER156" s="195"/>
      <c r="ES156" s="195"/>
      <c r="ET156" s="195"/>
      <c r="EU156" s="195"/>
      <c r="EV156" s="195"/>
      <c r="EW156" s="195"/>
      <c r="EX156" s="195"/>
      <c r="EY156" s="195"/>
      <c r="EZ156" s="195"/>
      <c r="FA156" s="195"/>
      <c r="FB156" s="195"/>
      <c r="FC156" s="195"/>
      <c r="FD156" s="195"/>
      <c r="FE156" s="195"/>
      <c r="FF156" s="195"/>
      <c r="FG156" s="195"/>
      <c r="FH156" s="12">
        <v>117</v>
      </c>
      <c r="FI156" s="195"/>
      <c r="FJ156" s="195"/>
      <c r="FK156" s="195"/>
      <c r="FL156" s="195"/>
      <c r="FM156" s="195"/>
      <c r="FN156" s="195"/>
      <c r="FO156" s="195"/>
      <c r="FP156" s="195"/>
      <c r="FQ156" s="195"/>
      <c r="FR156" s="195"/>
      <c r="FS156" s="195"/>
      <c r="FT156" s="195"/>
      <c r="FU156" s="195"/>
      <c r="FV156" s="195"/>
      <c r="FW156" s="195"/>
      <c r="FX156" s="195"/>
      <c r="FY156" s="195"/>
    </row>
    <row r="157" spans="2:181" x14ac:dyDescent="0.25">
      <c r="B157" s="197">
        <v>118</v>
      </c>
      <c r="C157" s="195"/>
      <c r="D157" s="195"/>
      <c r="E157" s="195"/>
      <c r="F157" s="195"/>
      <c r="G157" s="195"/>
      <c r="H157" s="195"/>
      <c r="I157" s="195"/>
      <c r="J157" s="195"/>
      <c r="K157" s="195"/>
      <c r="L157" s="195"/>
      <c r="M157" s="195"/>
      <c r="N157" s="195"/>
      <c r="O157" s="195"/>
      <c r="P157" s="195"/>
      <c r="Q157" s="195"/>
      <c r="R157" s="195"/>
      <c r="S157" s="195"/>
      <c r="T157" s="197">
        <v>118</v>
      </c>
      <c r="U157" s="195"/>
      <c r="V157" s="195"/>
      <c r="W157" s="195"/>
      <c r="X157" s="195"/>
      <c r="Y157" s="195"/>
      <c r="Z157" s="195"/>
      <c r="AA157" s="195"/>
      <c r="AB157" s="195"/>
      <c r="AC157" s="195"/>
      <c r="AD157" s="195"/>
      <c r="AE157" s="195"/>
      <c r="AF157" s="195"/>
      <c r="AG157" s="195"/>
      <c r="AH157" s="195"/>
      <c r="AI157" s="195"/>
      <c r="AJ157" s="195"/>
      <c r="AK157" s="195"/>
      <c r="AL157" s="197">
        <v>118</v>
      </c>
      <c r="AM157" s="195"/>
      <c r="AN157" s="195"/>
      <c r="AO157" s="195"/>
      <c r="AP157" s="195"/>
      <c r="AQ157" s="195"/>
      <c r="AR157" s="195"/>
      <c r="AS157" s="195"/>
      <c r="AT157" s="195"/>
      <c r="AU157" s="195"/>
      <c r="AV157" s="195"/>
      <c r="AW157" s="195"/>
      <c r="AX157" s="195"/>
      <c r="AY157" s="195"/>
      <c r="AZ157" s="195"/>
      <c r="BA157" s="195"/>
      <c r="BB157" s="195"/>
      <c r="BC157" s="195"/>
      <c r="BD157" s="197">
        <v>118</v>
      </c>
      <c r="BE157" s="195"/>
      <c r="BF157" s="195"/>
      <c r="BG157" s="195"/>
      <c r="BH157" s="195"/>
      <c r="BI157" s="195"/>
      <c r="BJ157" s="195"/>
      <c r="BK157" s="195"/>
      <c r="BL157" s="195"/>
      <c r="BM157" s="195"/>
      <c r="BN157" s="195"/>
      <c r="BO157" s="195"/>
      <c r="BP157" s="195"/>
      <c r="BQ157" s="195"/>
      <c r="BR157" s="195"/>
      <c r="BS157" s="195"/>
      <c r="BT157" s="195"/>
      <c r="BU157" s="195"/>
      <c r="BV157" s="197">
        <v>118</v>
      </c>
      <c r="BW157" s="195"/>
      <c r="BX157" s="195"/>
      <c r="BY157" s="195"/>
      <c r="BZ157" s="195"/>
      <c r="CA157" s="195"/>
      <c r="CB157" s="195"/>
      <c r="CC157" s="195"/>
      <c r="CD157" s="195"/>
      <c r="CE157" s="195"/>
      <c r="CF157" s="195"/>
      <c r="CG157" s="195"/>
      <c r="CH157" s="195"/>
      <c r="CI157" s="195"/>
      <c r="CJ157" s="195"/>
      <c r="CK157" s="195"/>
      <c r="CL157" s="195"/>
      <c r="CM157" s="195"/>
      <c r="CN157" s="197">
        <v>118</v>
      </c>
      <c r="CO157" s="195"/>
      <c r="CP157" s="195"/>
      <c r="CQ157" s="195"/>
      <c r="CR157" s="195"/>
      <c r="CS157" s="195"/>
      <c r="CT157" s="195"/>
      <c r="CU157" s="195"/>
      <c r="CV157" s="195"/>
      <c r="CW157" s="195"/>
      <c r="CX157" s="195"/>
      <c r="CY157" s="195"/>
      <c r="CZ157" s="195"/>
      <c r="DA157" s="195"/>
      <c r="DB157" s="195"/>
      <c r="DC157" s="195"/>
      <c r="DD157" s="195"/>
      <c r="DE157" s="195"/>
      <c r="DF157" s="197">
        <v>118</v>
      </c>
      <c r="DG157" s="195"/>
      <c r="DH157" s="195"/>
      <c r="DI157" s="195"/>
      <c r="DJ157" s="195"/>
      <c r="DK157" s="195"/>
      <c r="DL157" s="195"/>
      <c r="DM157" s="195"/>
      <c r="DN157" s="195"/>
      <c r="DO157" s="195"/>
      <c r="DP157" s="195"/>
      <c r="DQ157" s="195"/>
      <c r="DR157" s="195"/>
      <c r="DS157" s="195"/>
      <c r="DT157" s="195"/>
      <c r="DU157" s="195"/>
      <c r="DV157" s="195"/>
      <c r="DW157" s="195"/>
      <c r="DX157" s="197">
        <v>118</v>
      </c>
      <c r="DY157" s="195"/>
      <c r="DZ157" s="195"/>
      <c r="EA157" s="195"/>
      <c r="EB157" s="195"/>
      <c r="EC157" s="195"/>
      <c r="ED157" s="195"/>
      <c r="EE157" s="195"/>
      <c r="EF157" s="195"/>
      <c r="EG157" s="195"/>
      <c r="EH157" s="195"/>
      <c r="EI157" s="195"/>
      <c r="EJ157" s="195"/>
      <c r="EK157" s="195"/>
      <c r="EL157" s="195"/>
      <c r="EM157" s="195"/>
      <c r="EN157" s="195"/>
      <c r="EO157" s="195"/>
      <c r="EP157" s="197">
        <v>118</v>
      </c>
      <c r="EQ157" s="195"/>
      <c r="ER157" s="195"/>
      <c r="ES157" s="195"/>
      <c r="ET157" s="195"/>
      <c r="EU157" s="195"/>
      <c r="EV157" s="195"/>
      <c r="EW157" s="195"/>
      <c r="EX157" s="195"/>
      <c r="EY157" s="195"/>
      <c r="EZ157" s="195"/>
      <c r="FA157" s="195"/>
      <c r="FB157" s="195"/>
      <c r="FC157" s="195"/>
      <c r="FD157" s="195"/>
      <c r="FE157" s="195"/>
      <c r="FF157" s="195"/>
      <c r="FG157" s="195"/>
      <c r="FH157" s="197">
        <v>118</v>
      </c>
      <c r="FI157" s="195"/>
      <c r="FJ157" s="195"/>
      <c r="FK157" s="195"/>
      <c r="FL157" s="195"/>
      <c r="FM157" s="195"/>
      <c r="FN157" s="195"/>
      <c r="FO157" s="195"/>
      <c r="FP157" s="195"/>
      <c r="FQ157" s="195"/>
      <c r="FR157" s="195"/>
      <c r="FS157" s="195"/>
      <c r="FT157" s="195"/>
      <c r="FU157" s="195"/>
      <c r="FV157" s="195"/>
      <c r="FW157" s="195"/>
      <c r="FX157" s="195"/>
      <c r="FY157" s="195"/>
    </row>
    <row r="158" spans="2:181" x14ac:dyDescent="0.25">
      <c r="B158" s="12">
        <v>119</v>
      </c>
      <c r="C158" s="195"/>
      <c r="D158" s="195"/>
      <c r="E158" s="195"/>
      <c r="F158" s="195"/>
      <c r="G158" s="195"/>
      <c r="H158" s="195"/>
      <c r="I158" s="195"/>
      <c r="J158" s="195"/>
      <c r="K158" s="195"/>
      <c r="L158" s="195"/>
      <c r="M158" s="195"/>
      <c r="N158" s="195"/>
      <c r="O158" s="195"/>
      <c r="P158" s="195"/>
      <c r="Q158" s="195"/>
      <c r="R158" s="195"/>
      <c r="S158" s="195"/>
      <c r="T158" s="12">
        <v>119</v>
      </c>
      <c r="U158" s="195"/>
      <c r="V158" s="195"/>
      <c r="W158" s="195"/>
      <c r="X158" s="195"/>
      <c r="Y158" s="195"/>
      <c r="Z158" s="195"/>
      <c r="AA158" s="195"/>
      <c r="AB158" s="195"/>
      <c r="AC158" s="195"/>
      <c r="AD158" s="195"/>
      <c r="AE158" s="195"/>
      <c r="AF158" s="195"/>
      <c r="AG158" s="195"/>
      <c r="AH158" s="195"/>
      <c r="AI158" s="195"/>
      <c r="AJ158" s="195"/>
      <c r="AK158" s="195"/>
      <c r="AL158" s="12">
        <v>119</v>
      </c>
      <c r="AM158" s="195"/>
      <c r="AN158" s="195"/>
      <c r="AO158" s="195"/>
      <c r="AP158" s="195"/>
      <c r="AQ158" s="195"/>
      <c r="AR158" s="195"/>
      <c r="AS158" s="195"/>
      <c r="AT158" s="195"/>
      <c r="AU158" s="195"/>
      <c r="AV158" s="195"/>
      <c r="AW158" s="195"/>
      <c r="AX158" s="195"/>
      <c r="AY158" s="195"/>
      <c r="AZ158" s="195"/>
      <c r="BA158" s="195"/>
      <c r="BB158" s="195"/>
      <c r="BC158" s="195"/>
      <c r="BD158" s="12">
        <v>119</v>
      </c>
      <c r="BE158" s="195"/>
      <c r="BF158" s="195"/>
      <c r="BG158" s="195"/>
      <c r="BH158" s="195"/>
      <c r="BI158" s="195"/>
      <c r="BJ158" s="195"/>
      <c r="BK158" s="195"/>
      <c r="BL158" s="195"/>
      <c r="BM158" s="195"/>
      <c r="BN158" s="195"/>
      <c r="BO158" s="195"/>
      <c r="BP158" s="195"/>
      <c r="BQ158" s="195"/>
      <c r="BR158" s="195"/>
      <c r="BS158" s="195"/>
      <c r="BT158" s="195"/>
      <c r="BU158" s="195"/>
      <c r="BV158" s="12">
        <v>119</v>
      </c>
      <c r="BW158" s="195"/>
      <c r="BX158" s="195"/>
      <c r="BY158" s="195"/>
      <c r="BZ158" s="195"/>
      <c r="CA158" s="195"/>
      <c r="CB158" s="195"/>
      <c r="CC158" s="195"/>
      <c r="CD158" s="195"/>
      <c r="CE158" s="195"/>
      <c r="CF158" s="195"/>
      <c r="CG158" s="195"/>
      <c r="CH158" s="195"/>
      <c r="CI158" s="195"/>
      <c r="CJ158" s="195"/>
      <c r="CK158" s="195"/>
      <c r="CL158" s="195"/>
      <c r="CM158" s="195"/>
      <c r="CN158" s="12">
        <v>119</v>
      </c>
      <c r="CO158" s="195"/>
      <c r="CP158" s="195"/>
      <c r="CQ158" s="195"/>
      <c r="CR158" s="195"/>
      <c r="CS158" s="195"/>
      <c r="CT158" s="195"/>
      <c r="CU158" s="195"/>
      <c r="CV158" s="195"/>
      <c r="CW158" s="195"/>
      <c r="CX158" s="195"/>
      <c r="CY158" s="195"/>
      <c r="CZ158" s="195"/>
      <c r="DA158" s="195"/>
      <c r="DB158" s="195"/>
      <c r="DC158" s="195"/>
      <c r="DD158" s="195"/>
      <c r="DE158" s="195"/>
      <c r="DF158" s="12">
        <v>119</v>
      </c>
      <c r="DG158" s="195"/>
      <c r="DH158" s="195"/>
      <c r="DI158" s="195"/>
      <c r="DJ158" s="195"/>
      <c r="DK158" s="195"/>
      <c r="DL158" s="195"/>
      <c r="DM158" s="195"/>
      <c r="DN158" s="195"/>
      <c r="DO158" s="195"/>
      <c r="DP158" s="195"/>
      <c r="DQ158" s="195"/>
      <c r="DR158" s="195"/>
      <c r="DS158" s="195"/>
      <c r="DT158" s="195"/>
      <c r="DU158" s="195"/>
      <c r="DV158" s="195"/>
      <c r="DW158" s="195"/>
      <c r="DX158" s="12">
        <v>119</v>
      </c>
      <c r="DY158" s="195"/>
      <c r="DZ158" s="195"/>
      <c r="EA158" s="195"/>
      <c r="EB158" s="195"/>
      <c r="EC158" s="195"/>
      <c r="ED158" s="195"/>
      <c r="EE158" s="195"/>
      <c r="EF158" s="195"/>
      <c r="EG158" s="195"/>
      <c r="EH158" s="195"/>
      <c r="EI158" s="195"/>
      <c r="EJ158" s="195"/>
      <c r="EK158" s="195"/>
      <c r="EL158" s="195"/>
      <c r="EM158" s="195"/>
      <c r="EN158" s="195"/>
      <c r="EO158" s="195"/>
      <c r="EP158" s="12">
        <v>119</v>
      </c>
      <c r="EQ158" s="195"/>
      <c r="ER158" s="195"/>
      <c r="ES158" s="195"/>
      <c r="ET158" s="195"/>
      <c r="EU158" s="195"/>
      <c r="EV158" s="195"/>
      <c r="EW158" s="195"/>
      <c r="EX158" s="195"/>
      <c r="EY158" s="195"/>
      <c r="EZ158" s="195"/>
      <c r="FA158" s="195"/>
      <c r="FB158" s="195"/>
      <c r="FC158" s="195"/>
      <c r="FD158" s="195"/>
      <c r="FE158" s="195"/>
      <c r="FF158" s="195"/>
      <c r="FG158" s="195"/>
      <c r="FH158" s="12">
        <v>119</v>
      </c>
      <c r="FI158" s="195"/>
      <c r="FJ158" s="195"/>
      <c r="FK158" s="195"/>
      <c r="FL158" s="195"/>
      <c r="FM158" s="195"/>
      <c r="FN158" s="195"/>
      <c r="FO158" s="195"/>
      <c r="FP158" s="195"/>
      <c r="FQ158" s="195"/>
      <c r="FR158" s="195"/>
      <c r="FS158" s="195"/>
      <c r="FT158" s="195"/>
      <c r="FU158" s="195"/>
      <c r="FV158" s="195"/>
      <c r="FW158" s="195"/>
      <c r="FX158" s="195"/>
      <c r="FY158" s="195"/>
    </row>
    <row r="159" spans="2:181" x14ac:dyDescent="0.25">
      <c r="B159" s="197">
        <v>120</v>
      </c>
      <c r="C159" s="195"/>
      <c r="D159" s="195"/>
      <c r="E159" s="195"/>
      <c r="F159" s="195"/>
      <c r="G159" s="195"/>
      <c r="H159" s="195"/>
      <c r="I159" s="195"/>
      <c r="J159" s="195"/>
      <c r="K159" s="195"/>
      <c r="L159" s="195"/>
      <c r="M159" s="195"/>
      <c r="N159" s="195"/>
      <c r="O159" s="195"/>
      <c r="P159" s="195"/>
      <c r="Q159" s="195"/>
      <c r="R159" s="195"/>
      <c r="S159" s="195"/>
      <c r="T159" s="197">
        <v>120</v>
      </c>
      <c r="U159" s="195"/>
      <c r="V159" s="195"/>
      <c r="W159" s="195"/>
      <c r="X159" s="195"/>
      <c r="Y159" s="195"/>
      <c r="Z159" s="195"/>
      <c r="AA159" s="195"/>
      <c r="AB159" s="195"/>
      <c r="AC159" s="195"/>
      <c r="AD159" s="195"/>
      <c r="AE159" s="195"/>
      <c r="AF159" s="195"/>
      <c r="AG159" s="195"/>
      <c r="AH159" s="195"/>
      <c r="AI159" s="195"/>
      <c r="AJ159" s="195"/>
      <c r="AK159" s="195"/>
      <c r="AL159" s="197">
        <v>120</v>
      </c>
      <c r="AM159" s="195"/>
      <c r="AN159" s="195"/>
      <c r="AO159" s="195"/>
      <c r="AP159" s="195"/>
      <c r="AQ159" s="195"/>
      <c r="AR159" s="195"/>
      <c r="AS159" s="195"/>
      <c r="AT159" s="195"/>
      <c r="AU159" s="195"/>
      <c r="AV159" s="195"/>
      <c r="AW159" s="195"/>
      <c r="AX159" s="195"/>
      <c r="AY159" s="195"/>
      <c r="AZ159" s="195"/>
      <c r="BA159" s="195"/>
      <c r="BB159" s="195"/>
      <c r="BC159" s="195"/>
      <c r="BD159" s="197">
        <v>120</v>
      </c>
      <c r="BE159" s="195"/>
      <c r="BF159" s="195"/>
      <c r="BG159" s="195"/>
      <c r="BH159" s="195"/>
      <c r="BI159" s="195"/>
      <c r="BJ159" s="195"/>
      <c r="BK159" s="195"/>
      <c r="BL159" s="195"/>
      <c r="BM159" s="195"/>
      <c r="BN159" s="195"/>
      <c r="BO159" s="195"/>
      <c r="BP159" s="195"/>
      <c r="BQ159" s="195"/>
      <c r="BR159" s="195"/>
      <c r="BS159" s="195"/>
      <c r="BT159" s="195"/>
      <c r="BU159" s="195"/>
      <c r="BV159" s="197">
        <v>120</v>
      </c>
      <c r="BW159" s="195"/>
      <c r="BX159" s="195"/>
      <c r="BY159" s="195"/>
      <c r="BZ159" s="195"/>
      <c r="CA159" s="195"/>
      <c r="CB159" s="195"/>
      <c r="CC159" s="195"/>
      <c r="CD159" s="195"/>
      <c r="CE159" s="195"/>
      <c r="CF159" s="195"/>
      <c r="CG159" s="195"/>
      <c r="CH159" s="195"/>
      <c r="CI159" s="195"/>
      <c r="CJ159" s="195"/>
      <c r="CK159" s="195"/>
      <c r="CL159" s="195"/>
      <c r="CM159" s="195"/>
      <c r="CN159" s="197">
        <v>120</v>
      </c>
      <c r="CO159" s="195"/>
      <c r="CP159" s="195"/>
      <c r="CQ159" s="195"/>
      <c r="CR159" s="195"/>
      <c r="CS159" s="195"/>
      <c r="CT159" s="195"/>
      <c r="CU159" s="195"/>
      <c r="CV159" s="195"/>
      <c r="CW159" s="195"/>
      <c r="CX159" s="195"/>
      <c r="CY159" s="195"/>
      <c r="CZ159" s="195"/>
      <c r="DA159" s="195"/>
      <c r="DB159" s="195"/>
      <c r="DC159" s="195"/>
      <c r="DD159" s="195"/>
      <c r="DE159" s="195"/>
      <c r="DF159" s="197">
        <v>120</v>
      </c>
      <c r="DG159" s="195"/>
      <c r="DH159" s="195"/>
      <c r="DI159" s="195"/>
      <c r="DJ159" s="195"/>
      <c r="DK159" s="195"/>
      <c r="DL159" s="195"/>
      <c r="DM159" s="195"/>
      <c r="DN159" s="195"/>
      <c r="DO159" s="195"/>
      <c r="DP159" s="195"/>
      <c r="DQ159" s="195"/>
      <c r="DR159" s="195"/>
      <c r="DS159" s="195"/>
      <c r="DT159" s="195"/>
      <c r="DU159" s="195"/>
      <c r="DV159" s="195"/>
      <c r="DW159" s="195"/>
      <c r="DX159" s="197">
        <v>120</v>
      </c>
      <c r="DY159" s="195"/>
      <c r="DZ159" s="195"/>
      <c r="EA159" s="195"/>
      <c r="EB159" s="195"/>
      <c r="EC159" s="195"/>
      <c r="ED159" s="195"/>
      <c r="EE159" s="195"/>
      <c r="EF159" s="195"/>
      <c r="EG159" s="195"/>
      <c r="EH159" s="195"/>
      <c r="EI159" s="195"/>
      <c r="EJ159" s="195"/>
      <c r="EK159" s="195"/>
      <c r="EL159" s="195"/>
      <c r="EM159" s="195"/>
      <c r="EN159" s="195"/>
      <c r="EO159" s="195"/>
      <c r="EP159" s="197">
        <v>120</v>
      </c>
      <c r="EQ159" s="195"/>
      <c r="ER159" s="195"/>
      <c r="ES159" s="195"/>
      <c r="ET159" s="195"/>
      <c r="EU159" s="195"/>
      <c r="EV159" s="195"/>
      <c r="EW159" s="195"/>
      <c r="EX159" s="195"/>
      <c r="EY159" s="195"/>
      <c r="EZ159" s="195"/>
      <c r="FA159" s="195"/>
      <c r="FB159" s="195"/>
      <c r="FC159" s="195"/>
      <c r="FD159" s="195"/>
      <c r="FE159" s="195"/>
      <c r="FF159" s="195"/>
      <c r="FG159" s="195"/>
      <c r="FH159" s="197">
        <v>120</v>
      </c>
      <c r="FI159" s="195"/>
      <c r="FJ159" s="195"/>
      <c r="FK159" s="195"/>
      <c r="FL159" s="195"/>
      <c r="FM159" s="195"/>
      <c r="FN159" s="195"/>
      <c r="FO159" s="195"/>
      <c r="FP159" s="195"/>
      <c r="FQ159" s="195"/>
      <c r="FR159" s="195"/>
      <c r="FS159" s="195"/>
      <c r="FT159" s="195"/>
      <c r="FU159" s="195"/>
      <c r="FV159" s="195"/>
      <c r="FW159" s="195"/>
      <c r="FX159" s="195"/>
      <c r="FY159" s="195"/>
    </row>
    <row r="160" spans="2:181" x14ac:dyDescent="0.25">
      <c r="B160" s="176"/>
      <c r="C160" s="198"/>
      <c r="D160" s="198"/>
      <c r="E160" s="198"/>
      <c r="F160" s="198"/>
      <c r="G160" s="198"/>
      <c r="H160" s="198"/>
      <c r="I160" s="198"/>
      <c r="J160" s="198"/>
      <c r="K160" s="198"/>
      <c r="L160" s="198"/>
      <c r="M160" s="198"/>
      <c r="N160" s="198"/>
      <c r="O160" s="198"/>
      <c r="P160" s="198"/>
      <c r="Q160" s="198"/>
      <c r="R160" s="198"/>
      <c r="S160" s="198"/>
      <c r="T160" s="176"/>
      <c r="U160" s="198"/>
      <c r="V160" s="198"/>
      <c r="W160" s="198"/>
      <c r="X160" s="198"/>
      <c r="Y160" s="198"/>
      <c r="Z160" s="198"/>
      <c r="AA160" s="198"/>
      <c r="AB160" s="198"/>
      <c r="AC160" s="198"/>
      <c r="AD160" s="198"/>
      <c r="AE160" s="198"/>
      <c r="AF160" s="198"/>
      <c r="AG160" s="198"/>
      <c r="AH160" s="198"/>
      <c r="AI160" s="198"/>
      <c r="AJ160" s="198"/>
      <c r="AK160" s="198"/>
      <c r="AL160" s="176"/>
      <c r="AM160" s="198"/>
      <c r="AN160" s="198"/>
      <c r="AO160" s="198"/>
      <c r="AP160" s="198"/>
      <c r="AQ160" s="198"/>
      <c r="AR160" s="198"/>
      <c r="AS160" s="198"/>
      <c r="AT160" s="198"/>
      <c r="AU160" s="198"/>
      <c r="AV160" s="198"/>
      <c r="AW160" s="198"/>
      <c r="AX160" s="198"/>
      <c r="AY160" s="198"/>
      <c r="AZ160" s="198"/>
      <c r="BA160" s="198"/>
      <c r="BB160" s="198"/>
      <c r="BC160" s="198"/>
      <c r="BD160" s="176"/>
      <c r="BE160" s="198"/>
      <c r="BF160" s="198"/>
      <c r="BG160" s="198"/>
      <c r="BH160" s="198"/>
      <c r="BI160" s="198"/>
      <c r="BJ160" s="198"/>
      <c r="BK160" s="198"/>
      <c r="BL160" s="198"/>
      <c r="BM160" s="198"/>
      <c r="BN160" s="198"/>
      <c r="BO160" s="198"/>
      <c r="BP160" s="198"/>
      <c r="BQ160" s="198"/>
      <c r="BR160" s="198"/>
      <c r="BS160" s="198"/>
      <c r="BT160" s="198"/>
      <c r="BU160" s="198"/>
      <c r="BV160" s="176"/>
      <c r="BW160" s="198"/>
      <c r="BX160" s="198"/>
      <c r="BY160" s="198"/>
      <c r="BZ160" s="198"/>
      <c r="CA160" s="198"/>
      <c r="CB160" s="198"/>
      <c r="CC160" s="198"/>
      <c r="CD160" s="198"/>
      <c r="CE160" s="198"/>
      <c r="CF160" s="198"/>
      <c r="CG160" s="198"/>
      <c r="CH160" s="198"/>
      <c r="CI160" s="198"/>
      <c r="CJ160" s="198"/>
      <c r="CK160" s="198"/>
      <c r="CL160" s="198"/>
      <c r="CM160" s="198"/>
      <c r="CN160" s="176"/>
      <c r="CO160" s="198"/>
      <c r="CP160" s="198"/>
      <c r="CQ160" s="198"/>
      <c r="CR160" s="198"/>
      <c r="CS160" s="198"/>
      <c r="CT160" s="198"/>
      <c r="CU160" s="198"/>
      <c r="CV160" s="198"/>
      <c r="CW160" s="198"/>
      <c r="CX160" s="198"/>
      <c r="CY160" s="198"/>
      <c r="CZ160" s="198"/>
      <c r="DA160" s="198"/>
      <c r="DB160" s="198"/>
      <c r="DC160" s="198"/>
      <c r="DD160" s="198"/>
      <c r="DE160" s="198"/>
      <c r="DF160" s="176"/>
      <c r="DG160" s="198"/>
      <c r="DH160" s="198"/>
      <c r="DI160" s="198"/>
      <c r="DJ160" s="198"/>
      <c r="DK160" s="198"/>
      <c r="DL160" s="198"/>
      <c r="DM160" s="198"/>
      <c r="DN160" s="198"/>
      <c r="DO160" s="198"/>
      <c r="DP160" s="198"/>
      <c r="DQ160" s="198"/>
      <c r="DR160" s="198"/>
      <c r="DS160" s="198"/>
      <c r="DT160" s="198"/>
      <c r="DU160" s="198"/>
      <c r="DV160" s="198"/>
      <c r="DW160" s="198"/>
      <c r="DX160" s="176"/>
      <c r="DY160" s="198"/>
      <c r="DZ160" s="198"/>
      <c r="EA160" s="198"/>
      <c r="EB160" s="198"/>
      <c r="EC160" s="198"/>
      <c r="ED160" s="198"/>
      <c r="EE160" s="198"/>
      <c r="EF160" s="198"/>
      <c r="EG160" s="198"/>
      <c r="EH160" s="198"/>
      <c r="EI160" s="198"/>
      <c r="EJ160" s="198"/>
      <c r="EK160" s="198"/>
      <c r="EL160" s="198"/>
      <c r="EM160" s="198"/>
      <c r="EN160" s="198"/>
      <c r="EO160" s="198"/>
      <c r="EP160" s="176"/>
      <c r="EQ160" s="198"/>
      <c r="ER160" s="198"/>
      <c r="ES160" s="198"/>
      <c r="ET160" s="198"/>
      <c r="EU160" s="198"/>
      <c r="EV160" s="198"/>
      <c r="EW160" s="198"/>
      <c r="EX160" s="198"/>
      <c r="EY160" s="198"/>
      <c r="EZ160" s="198"/>
      <c r="FA160" s="198"/>
      <c r="FB160" s="198"/>
      <c r="FC160" s="198"/>
      <c r="FD160" s="198"/>
      <c r="FE160" s="198"/>
      <c r="FF160" s="198"/>
      <c r="FG160" s="198"/>
      <c r="FH160" s="176"/>
      <c r="FI160" s="198"/>
      <c r="FJ160" s="198"/>
      <c r="FK160" s="198"/>
      <c r="FL160" s="198"/>
      <c r="FM160" s="198"/>
      <c r="FN160" s="198"/>
      <c r="FO160" s="198"/>
      <c r="FP160" s="198"/>
      <c r="FQ160" s="198"/>
      <c r="FR160" s="198"/>
      <c r="FS160" s="198"/>
      <c r="FT160" s="198"/>
      <c r="FU160" s="198"/>
      <c r="FV160" s="198"/>
      <c r="FW160" s="198"/>
      <c r="FX160" s="198"/>
      <c r="FY160" s="198"/>
    </row>
    <row r="161" spans="2:181" x14ac:dyDescent="0.25">
      <c r="B161" s="977" t="s">
        <v>543</v>
      </c>
      <c r="C161" s="977"/>
      <c r="D161" s="977"/>
      <c r="E161" s="977"/>
      <c r="F161" s="977"/>
      <c r="G161" s="199">
        <f>COUNTA(C130:S159)</f>
        <v>0</v>
      </c>
      <c r="H161" s="198" t="s">
        <v>544</v>
      </c>
      <c r="I161" s="198"/>
      <c r="J161" s="198"/>
      <c r="K161" s="198"/>
      <c r="L161" s="198"/>
      <c r="M161" s="200" t="s">
        <v>545</v>
      </c>
      <c r="N161" s="201">
        <f>MAX(C130:S159,U130:AK159)</f>
        <v>0</v>
      </c>
      <c r="O161" s="198"/>
      <c r="P161" s="198"/>
      <c r="Q161" s="198"/>
      <c r="R161" s="198"/>
      <c r="S161" s="198"/>
      <c r="T161" s="977" t="s">
        <v>543</v>
      </c>
      <c r="U161" s="977"/>
      <c r="V161" s="977"/>
      <c r="W161" s="977"/>
      <c r="X161" s="977"/>
      <c r="Y161" s="199">
        <f>COUNTA(U130:AK159)</f>
        <v>0</v>
      </c>
      <c r="Z161" s="198" t="s">
        <v>544</v>
      </c>
      <c r="AA161" s="198"/>
      <c r="AB161" s="198"/>
      <c r="AC161" s="198"/>
      <c r="AD161" s="198"/>
      <c r="AE161" s="198"/>
      <c r="AF161" s="198"/>
      <c r="AG161" s="198"/>
      <c r="AH161" s="198"/>
      <c r="AI161" s="198"/>
      <c r="AJ161" s="198"/>
      <c r="AK161" s="198"/>
      <c r="AL161" s="977" t="s">
        <v>543</v>
      </c>
      <c r="AM161" s="977"/>
      <c r="AN161" s="977"/>
      <c r="AO161" s="977"/>
      <c r="AP161" s="977"/>
      <c r="AQ161" s="199">
        <f>COUNTA(AM130:BC159)</f>
        <v>0</v>
      </c>
      <c r="AR161" s="198" t="s">
        <v>544</v>
      </c>
      <c r="AS161" s="198"/>
      <c r="AT161" s="198"/>
      <c r="AU161" s="198"/>
      <c r="AV161" s="198"/>
      <c r="AW161" s="198"/>
      <c r="AX161" s="198"/>
      <c r="AY161" s="198"/>
      <c r="AZ161" s="198"/>
      <c r="BA161" s="198"/>
      <c r="BB161" s="198"/>
      <c r="BC161" s="198"/>
      <c r="BD161" s="977" t="s">
        <v>543</v>
      </c>
      <c r="BE161" s="977"/>
      <c r="BF161" s="977"/>
      <c r="BG161" s="977"/>
      <c r="BH161" s="977"/>
      <c r="BI161" s="199">
        <f>COUNTA(BE130:BU159)</f>
        <v>0</v>
      </c>
      <c r="BJ161" s="198" t="s">
        <v>544</v>
      </c>
      <c r="BK161" s="198"/>
      <c r="BL161" s="198"/>
      <c r="BM161" s="198"/>
      <c r="BN161" s="198"/>
      <c r="BO161" s="198"/>
      <c r="BP161" s="198"/>
      <c r="BQ161" s="198"/>
      <c r="BR161" s="198"/>
      <c r="BS161" s="198"/>
      <c r="BT161" s="198"/>
      <c r="BU161" s="198"/>
      <c r="BV161" s="977" t="s">
        <v>543</v>
      </c>
      <c r="BW161" s="977"/>
      <c r="BX161" s="977"/>
      <c r="BY161" s="977"/>
      <c r="BZ161" s="977"/>
      <c r="CA161" s="199">
        <f>COUNTA(BW130:CM159)</f>
        <v>0</v>
      </c>
      <c r="CB161" s="198" t="s">
        <v>544</v>
      </c>
      <c r="CC161" s="198"/>
      <c r="CD161" s="198"/>
      <c r="CE161" s="198"/>
      <c r="CF161" s="198"/>
      <c r="CG161" s="198"/>
      <c r="CH161" s="198"/>
      <c r="CI161" s="198"/>
      <c r="CJ161" s="198"/>
      <c r="CK161" s="198"/>
      <c r="CL161" s="198"/>
      <c r="CM161" s="198"/>
      <c r="CN161" s="977" t="s">
        <v>543</v>
      </c>
      <c r="CO161" s="977"/>
      <c r="CP161" s="977"/>
      <c r="CQ161" s="977"/>
      <c r="CR161" s="977"/>
      <c r="CS161" s="199">
        <f>COUNTA(CO130:DE159)</f>
        <v>0</v>
      </c>
      <c r="CT161" s="198" t="s">
        <v>544</v>
      </c>
      <c r="CU161" s="198"/>
      <c r="CV161" s="198"/>
      <c r="CW161" s="198"/>
      <c r="CX161" s="198"/>
      <c r="CY161" s="198"/>
      <c r="CZ161" s="198"/>
      <c r="DA161" s="198"/>
      <c r="DB161" s="198"/>
      <c r="DC161" s="198"/>
      <c r="DD161" s="198"/>
      <c r="DE161" s="198"/>
      <c r="DF161" s="977" t="s">
        <v>543</v>
      </c>
      <c r="DG161" s="977"/>
      <c r="DH161" s="977"/>
      <c r="DI161" s="977"/>
      <c r="DJ161" s="977"/>
      <c r="DK161" s="199">
        <f>COUNTA(DG130:DW159)</f>
        <v>0</v>
      </c>
      <c r="DL161" s="198" t="s">
        <v>544</v>
      </c>
      <c r="DM161" s="198"/>
      <c r="DN161" s="198"/>
      <c r="DO161" s="198"/>
      <c r="DP161" s="198"/>
      <c r="DQ161" s="198"/>
      <c r="DR161" s="198"/>
      <c r="DS161" s="198"/>
      <c r="DT161" s="198"/>
      <c r="DU161" s="198"/>
      <c r="DV161" s="198"/>
      <c r="DW161" s="198"/>
      <c r="DX161" s="977" t="s">
        <v>543</v>
      </c>
      <c r="DY161" s="977"/>
      <c r="DZ161" s="977"/>
      <c r="EA161" s="977"/>
      <c r="EB161" s="977"/>
      <c r="EC161" s="199">
        <f>COUNTA(DY130:EO159)</f>
        <v>0</v>
      </c>
      <c r="ED161" s="198" t="s">
        <v>544</v>
      </c>
      <c r="EE161" s="198"/>
      <c r="EF161" s="198"/>
      <c r="EG161" s="198"/>
      <c r="EH161" s="198"/>
      <c r="EI161" s="198"/>
      <c r="EJ161" s="198"/>
      <c r="EK161" s="198"/>
      <c r="EL161" s="198"/>
      <c r="EM161" s="198"/>
      <c r="EN161" s="198"/>
      <c r="EO161" s="198"/>
      <c r="EP161" s="977" t="s">
        <v>543</v>
      </c>
      <c r="EQ161" s="977"/>
      <c r="ER161" s="977"/>
      <c r="ES161" s="977"/>
      <c r="ET161" s="977"/>
      <c r="EU161" s="199">
        <f>COUNTA(EQ130:FG159)</f>
        <v>0</v>
      </c>
      <c r="EV161" s="198" t="s">
        <v>544</v>
      </c>
      <c r="EW161" s="198"/>
      <c r="EX161" s="198"/>
      <c r="EY161" s="198"/>
      <c r="EZ161" s="198"/>
      <c r="FA161" s="198"/>
      <c r="FB161" s="198"/>
      <c r="FC161" s="198"/>
      <c r="FD161" s="198"/>
      <c r="FE161" s="198"/>
      <c r="FF161" s="198"/>
      <c r="FG161" s="198"/>
      <c r="FH161" s="977" t="s">
        <v>543</v>
      </c>
      <c r="FI161" s="977"/>
      <c r="FJ161" s="977"/>
      <c r="FK161" s="977"/>
      <c r="FL161" s="977"/>
      <c r="FM161" s="199">
        <f>COUNTA(FI130:FY159)</f>
        <v>0</v>
      </c>
      <c r="FN161" s="198" t="s">
        <v>544</v>
      </c>
      <c r="FO161" s="198"/>
      <c r="FP161" s="198"/>
      <c r="FQ161" s="198"/>
      <c r="FR161" s="198"/>
      <c r="FS161" s="198"/>
      <c r="FT161" s="198"/>
      <c r="FU161" s="198"/>
      <c r="FV161" s="198"/>
      <c r="FW161" s="198"/>
      <c r="FX161" s="198"/>
      <c r="FY161" s="198"/>
    </row>
    <row r="162" spans="2:181" x14ac:dyDescent="0.25">
      <c r="M162" s="203" t="s">
        <v>548</v>
      </c>
      <c r="N162" s="204">
        <f>MIN(C130:S159,U130:AK159)</f>
        <v>0</v>
      </c>
    </row>
    <row r="163" spans="2:181" x14ac:dyDescent="0.25">
      <c r="B163" s="205" t="s">
        <v>549</v>
      </c>
      <c r="C163" s="205"/>
      <c r="D163" s="205"/>
      <c r="E163" s="205"/>
      <c r="F163" s="205"/>
      <c r="G163" s="205"/>
      <c r="H163" s="990" t="e">
        <f>#REF!</f>
        <v>#REF!</v>
      </c>
      <c r="I163" s="990"/>
      <c r="J163" s="990"/>
      <c r="K163" s="990"/>
      <c r="L163" s="990"/>
      <c r="M163" s="198"/>
      <c r="N163" s="198"/>
      <c r="O163" s="198"/>
      <c r="P163" s="198"/>
      <c r="Q163" s="198"/>
      <c r="R163" s="198"/>
      <c r="S163" s="198"/>
      <c r="T163" s="205"/>
      <c r="U163" s="205"/>
      <c r="V163" s="205"/>
      <c r="W163" s="205"/>
      <c r="X163" s="205"/>
      <c r="Y163" s="205"/>
      <c r="Z163" s="205"/>
      <c r="AA163" s="198"/>
      <c r="AB163" s="198"/>
      <c r="AC163" s="205"/>
      <c r="AD163" s="198"/>
      <c r="AE163" s="198"/>
      <c r="AF163" s="198"/>
      <c r="AG163" s="198"/>
      <c r="AH163" s="198"/>
      <c r="AI163" s="198"/>
      <c r="AJ163" s="198"/>
      <c r="AK163" s="198"/>
      <c r="AL163" s="205"/>
      <c r="AM163" s="205"/>
      <c r="AN163" s="205"/>
      <c r="AO163" s="205"/>
      <c r="AP163" s="205"/>
      <c r="AQ163" s="205"/>
      <c r="AR163" s="205"/>
      <c r="AS163" s="198"/>
      <c r="AT163" s="198"/>
      <c r="AU163" s="205"/>
      <c r="AV163" s="198"/>
      <c r="AW163" s="198"/>
      <c r="AX163" s="198"/>
      <c r="AY163" s="198"/>
      <c r="AZ163" s="198"/>
      <c r="BA163" s="198"/>
      <c r="BB163" s="198"/>
      <c r="BC163" s="198"/>
      <c r="BD163" s="205"/>
      <c r="BE163" s="205"/>
      <c r="BF163" s="205"/>
      <c r="BG163" s="205"/>
      <c r="BH163" s="205"/>
      <c r="BI163" s="205"/>
      <c r="BJ163" s="205"/>
      <c r="BK163" s="198"/>
      <c r="BL163" s="198"/>
      <c r="BM163" s="205"/>
      <c r="BN163" s="198"/>
      <c r="BO163" s="198"/>
      <c r="BP163" s="198"/>
      <c r="BQ163" s="198"/>
      <c r="BR163" s="198"/>
      <c r="BS163" s="198"/>
      <c r="BT163" s="198"/>
      <c r="BU163" s="198"/>
      <c r="BV163" s="205"/>
      <c r="BW163" s="205"/>
      <c r="BX163" s="205"/>
      <c r="BY163" s="205"/>
      <c r="BZ163" s="205"/>
      <c r="CA163" s="205"/>
      <c r="CB163" s="205"/>
      <c r="CC163" s="198"/>
      <c r="CD163" s="198"/>
      <c r="CE163" s="205"/>
      <c r="CF163" s="198"/>
      <c r="CG163" s="198"/>
      <c r="CH163" s="198"/>
      <c r="CI163" s="198"/>
      <c r="CJ163" s="198"/>
      <c r="CK163" s="198"/>
      <c r="CL163" s="198"/>
      <c r="CM163" s="198"/>
      <c r="CN163" s="205"/>
      <c r="CO163" s="205"/>
      <c r="CP163" s="205"/>
      <c r="CQ163" s="205"/>
      <c r="CR163" s="205"/>
      <c r="CS163" s="205"/>
      <c r="CT163" s="205"/>
      <c r="CU163" s="198"/>
      <c r="CV163" s="198"/>
      <c r="CW163" s="205"/>
      <c r="CX163" s="198"/>
      <c r="CY163" s="198"/>
      <c r="CZ163" s="198"/>
      <c r="DA163" s="198"/>
      <c r="DB163" s="198"/>
      <c r="DC163" s="198"/>
      <c r="DD163" s="198"/>
      <c r="DE163" s="198"/>
      <c r="DF163" s="205"/>
      <c r="DG163" s="205"/>
      <c r="DH163" s="205"/>
      <c r="DI163" s="205"/>
      <c r="DJ163" s="205"/>
      <c r="DK163" s="205"/>
      <c r="DL163" s="205"/>
      <c r="DM163" s="198"/>
      <c r="DN163" s="198"/>
      <c r="DO163" s="205"/>
      <c r="DP163" s="198"/>
      <c r="DQ163" s="198"/>
      <c r="DR163" s="198"/>
      <c r="DS163" s="198"/>
      <c r="DT163" s="198"/>
      <c r="DU163" s="198"/>
      <c r="DV163" s="198"/>
      <c r="DW163" s="198"/>
      <c r="DX163" s="205"/>
      <c r="DY163" s="205"/>
      <c r="DZ163" s="205"/>
      <c r="EA163" s="205"/>
      <c r="EB163" s="205"/>
      <c r="EC163" s="205"/>
      <c r="ED163" s="205"/>
      <c r="EE163" s="198"/>
      <c r="EF163" s="198"/>
      <c r="EG163" s="205"/>
      <c r="EH163" s="198"/>
      <c r="EI163" s="198"/>
      <c r="EJ163" s="198"/>
      <c r="EK163" s="198"/>
      <c r="EL163" s="198"/>
      <c r="EM163" s="198"/>
      <c r="EN163" s="198"/>
      <c r="EO163" s="198"/>
      <c r="EP163" s="205"/>
      <c r="EQ163" s="205"/>
      <c r="ER163" s="205"/>
      <c r="ES163" s="205"/>
      <c r="ET163" s="205"/>
      <c r="EU163" s="205"/>
      <c r="EV163" s="205"/>
      <c r="EW163" s="198"/>
      <c r="EX163" s="198"/>
      <c r="EY163" s="205"/>
      <c r="EZ163" s="198"/>
      <c r="FA163" s="198"/>
      <c r="FB163" s="198"/>
      <c r="FC163" s="198"/>
      <c r="FD163" s="198"/>
      <c r="FE163" s="198"/>
      <c r="FF163" s="198"/>
      <c r="FG163" s="198"/>
      <c r="FH163" s="205"/>
      <c r="FI163" s="205"/>
      <c r="FJ163" s="205"/>
      <c r="FK163" s="205"/>
      <c r="FL163" s="205"/>
      <c r="FM163" s="205"/>
      <c r="FN163" s="205"/>
      <c r="FO163" s="198"/>
      <c r="FP163" s="198"/>
      <c r="FQ163" s="205"/>
      <c r="FR163" s="198"/>
      <c r="FS163" s="198"/>
      <c r="FT163" s="198"/>
      <c r="FU163" s="198"/>
      <c r="FV163" s="198"/>
      <c r="FW163" s="198"/>
      <c r="FX163" s="198"/>
      <c r="FY163" s="198"/>
    </row>
    <row r="164" spans="2:181" x14ac:dyDescent="0.25">
      <c r="B164" s="208"/>
      <c r="C164" s="205"/>
      <c r="D164" s="205"/>
      <c r="E164" s="205"/>
      <c r="F164" s="205"/>
      <c r="G164" s="205"/>
      <c r="H164" s="205"/>
      <c r="I164" s="198"/>
      <c r="J164" s="209"/>
      <c r="K164" s="208"/>
      <c r="L164" s="198"/>
      <c r="M164" s="198"/>
      <c r="N164" s="198"/>
      <c r="O164" s="198"/>
      <c r="P164" s="198"/>
      <c r="Q164" s="198"/>
      <c r="R164" s="198"/>
      <c r="S164" s="209"/>
      <c r="T164" s="208"/>
      <c r="U164" s="205"/>
      <c r="V164" s="205"/>
      <c r="W164" s="205"/>
      <c r="X164" s="205"/>
      <c r="Y164" s="205"/>
      <c r="Z164" s="205"/>
      <c r="AA164" s="198"/>
      <c r="AB164" s="209"/>
      <c r="AC164" s="208"/>
      <c r="AD164" s="198"/>
      <c r="AE164" s="198"/>
      <c r="AF164" s="198"/>
      <c r="AG164" s="198"/>
      <c r="AH164" s="198"/>
      <c r="AI164" s="198"/>
      <c r="AJ164" s="198"/>
      <c r="AK164" s="209"/>
      <c r="AL164" s="208"/>
      <c r="AM164" s="205"/>
      <c r="AN164" s="205"/>
      <c r="AO164" s="205"/>
      <c r="AP164" s="205"/>
      <c r="AQ164" s="205"/>
      <c r="AR164" s="205"/>
      <c r="AS164" s="198"/>
      <c r="AT164" s="209"/>
      <c r="AU164" s="208"/>
      <c r="AV164" s="198"/>
      <c r="AW164" s="198"/>
      <c r="AX164" s="198"/>
      <c r="AY164" s="198"/>
      <c r="AZ164" s="198"/>
      <c r="BA164" s="198"/>
      <c r="BB164" s="198"/>
      <c r="BC164" s="209"/>
      <c r="BD164" s="208"/>
      <c r="BE164" s="205"/>
      <c r="BF164" s="205"/>
      <c r="BG164" s="205"/>
      <c r="BH164" s="205"/>
      <c r="BI164" s="205"/>
      <c r="BJ164" s="205"/>
      <c r="BK164" s="198"/>
      <c r="BL164" s="209"/>
      <c r="BM164" s="208"/>
      <c r="BN164" s="198"/>
      <c r="BO164" s="198"/>
      <c r="BP164" s="198"/>
      <c r="BQ164" s="198"/>
      <c r="BR164" s="198"/>
      <c r="BS164" s="198"/>
      <c r="BT164" s="198"/>
      <c r="BU164" s="209"/>
      <c r="BV164" s="208"/>
      <c r="BW164" s="205"/>
      <c r="BX164" s="205"/>
      <c r="BY164" s="205"/>
      <c r="BZ164" s="205"/>
      <c r="CA164" s="205"/>
      <c r="CB164" s="205"/>
      <c r="CC164" s="198"/>
      <c r="CD164" s="209"/>
      <c r="CE164" s="208"/>
      <c r="CF164" s="198"/>
      <c r="CG164" s="198"/>
      <c r="CH164" s="198"/>
      <c r="CI164" s="198"/>
      <c r="CJ164" s="198"/>
      <c r="CK164" s="198"/>
      <c r="CL164" s="198"/>
      <c r="CM164" s="209"/>
      <c r="CN164" s="208"/>
      <c r="CO164" s="205"/>
      <c r="CP164" s="205"/>
      <c r="CQ164" s="205"/>
      <c r="CR164" s="205"/>
      <c r="CS164" s="205"/>
      <c r="CT164" s="205"/>
      <c r="CU164" s="198"/>
      <c r="CV164" s="209"/>
      <c r="CW164" s="208"/>
      <c r="CX164" s="198"/>
      <c r="CY164" s="198"/>
      <c r="CZ164" s="198"/>
      <c r="DA164" s="198"/>
      <c r="DB164" s="198"/>
      <c r="DC164" s="198"/>
      <c r="DD164" s="198"/>
      <c r="DE164" s="209"/>
      <c r="DF164" s="208"/>
      <c r="DG164" s="205"/>
      <c r="DH164" s="205"/>
      <c r="DI164" s="205"/>
      <c r="DJ164" s="205"/>
      <c r="DK164" s="205"/>
      <c r="DL164" s="205"/>
      <c r="DM164" s="198"/>
      <c r="DN164" s="209"/>
      <c r="DO164" s="208"/>
      <c r="DP164" s="198"/>
      <c r="DQ164" s="198"/>
      <c r="DR164" s="198"/>
      <c r="DS164" s="198"/>
      <c r="DT164" s="198"/>
      <c r="DU164" s="198"/>
      <c r="DV164" s="198"/>
      <c r="DW164" s="209"/>
      <c r="DX164" s="208"/>
      <c r="DY164" s="205"/>
      <c r="DZ164" s="205"/>
      <c r="EA164" s="205"/>
      <c r="EB164" s="205"/>
      <c r="EC164" s="205"/>
      <c r="ED164" s="205"/>
      <c r="EE164" s="198"/>
      <c r="EF164" s="209"/>
      <c r="EG164" s="208"/>
      <c r="EH164" s="198"/>
      <c r="EI164" s="198"/>
      <c r="EJ164" s="198"/>
      <c r="EK164" s="198"/>
      <c r="EL164" s="198"/>
      <c r="EM164" s="198"/>
      <c r="EN164" s="198"/>
      <c r="EO164" s="209"/>
      <c r="EP164" s="208"/>
      <c r="EQ164" s="205"/>
      <c r="ER164" s="205"/>
      <c r="ES164" s="205"/>
      <c r="ET164" s="205"/>
      <c r="EU164" s="205"/>
      <c r="EV164" s="205"/>
      <c r="EW164" s="198"/>
      <c r="EX164" s="209"/>
      <c r="EY164" s="208"/>
      <c r="EZ164" s="198"/>
      <c r="FA164" s="198"/>
      <c r="FB164" s="198"/>
      <c r="FC164" s="198"/>
      <c r="FD164" s="198"/>
      <c r="FE164" s="198"/>
      <c r="FF164" s="198"/>
      <c r="FG164" s="209"/>
      <c r="FH164" s="208"/>
      <c r="FI164" s="205"/>
      <c r="FJ164" s="205"/>
      <c r="FK164" s="205"/>
      <c r="FL164" s="205"/>
      <c r="FM164" s="205"/>
      <c r="FN164" s="205"/>
      <c r="FO164" s="198"/>
      <c r="FP164" s="209"/>
      <c r="FQ164" s="208"/>
      <c r="FR164" s="198"/>
      <c r="FS164" s="198"/>
      <c r="FT164" s="198"/>
      <c r="FU164" s="198"/>
      <c r="FV164" s="198"/>
      <c r="FW164" s="198"/>
      <c r="FX164" s="198"/>
      <c r="FY164" s="209"/>
    </row>
    <row r="165" spans="2:181" x14ac:dyDescent="0.25">
      <c r="B165" s="210"/>
      <c r="C165" s="206"/>
      <c r="D165" s="206"/>
      <c r="E165" s="206"/>
      <c r="F165" s="206"/>
      <c r="G165" s="206"/>
      <c r="H165" s="206"/>
      <c r="I165" s="206"/>
      <c r="J165" s="211"/>
      <c r="K165" s="210"/>
      <c r="L165" s="206"/>
      <c r="M165" s="206"/>
      <c r="N165" s="206"/>
      <c r="O165" s="206"/>
      <c r="P165" s="206"/>
      <c r="Q165" s="206"/>
      <c r="R165" s="206"/>
      <c r="S165" s="211"/>
      <c r="T165" s="210"/>
      <c r="U165" s="206"/>
      <c r="V165" s="206"/>
      <c r="W165" s="206"/>
      <c r="X165" s="206"/>
      <c r="Y165" s="206"/>
      <c r="Z165" s="206"/>
      <c r="AA165" s="206"/>
      <c r="AB165" s="211"/>
      <c r="AC165" s="210"/>
      <c r="AD165" s="206"/>
      <c r="AE165" s="206"/>
      <c r="AF165" s="206"/>
      <c r="AG165" s="206"/>
      <c r="AH165" s="206"/>
      <c r="AI165" s="206"/>
      <c r="AJ165" s="206"/>
      <c r="AK165" s="211"/>
      <c r="AL165" s="210"/>
      <c r="AM165" s="206"/>
      <c r="AN165" s="206"/>
      <c r="AO165" s="206"/>
      <c r="AP165" s="206"/>
      <c r="AQ165" s="206"/>
      <c r="AR165" s="206"/>
      <c r="AS165" s="206"/>
      <c r="AT165" s="211"/>
      <c r="AU165" s="210"/>
      <c r="AV165" s="206"/>
      <c r="AW165" s="206"/>
      <c r="AX165" s="206"/>
      <c r="AY165" s="206"/>
      <c r="AZ165" s="206"/>
      <c r="BA165" s="206"/>
      <c r="BB165" s="206"/>
      <c r="BC165" s="211"/>
      <c r="BD165" s="210"/>
      <c r="BE165" s="206"/>
      <c r="BF165" s="206"/>
      <c r="BG165" s="206"/>
      <c r="BH165" s="206"/>
      <c r="BI165" s="206"/>
      <c r="BJ165" s="206"/>
      <c r="BK165" s="206"/>
      <c r="BL165" s="211"/>
      <c r="BM165" s="210"/>
      <c r="BN165" s="206"/>
      <c r="BO165" s="206"/>
      <c r="BP165" s="206"/>
      <c r="BQ165" s="206"/>
      <c r="BR165" s="206"/>
      <c r="BS165" s="206"/>
      <c r="BT165" s="206"/>
      <c r="BU165" s="211"/>
      <c r="BV165" s="210"/>
      <c r="BW165" s="206"/>
      <c r="BX165" s="206"/>
      <c r="BY165" s="206"/>
      <c r="BZ165" s="206"/>
      <c r="CA165" s="206"/>
      <c r="CB165" s="206"/>
      <c r="CC165" s="206"/>
      <c r="CD165" s="211"/>
      <c r="CE165" s="210"/>
      <c r="CF165" s="206"/>
      <c r="CG165" s="206"/>
      <c r="CH165" s="206"/>
      <c r="CI165" s="206"/>
      <c r="CJ165" s="206"/>
      <c r="CK165" s="206"/>
      <c r="CL165" s="206"/>
      <c r="CM165" s="211"/>
      <c r="CN165" s="210"/>
      <c r="CO165" s="206"/>
      <c r="CP165" s="206"/>
      <c r="CQ165" s="206"/>
      <c r="CR165" s="206"/>
      <c r="CS165" s="206"/>
      <c r="CT165" s="206"/>
      <c r="CU165" s="206"/>
      <c r="CV165" s="211"/>
      <c r="CW165" s="210"/>
      <c r="CX165" s="206"/>
      <c r="CY165" s="206"/>
      <c r="CZ165" s="206"/>
      <c r="DA165" s="206"/>
      <c r="DB165" s="206"/>
      <c r="DC165" s="206"/>
      <c r="DD165" s="206"/>
      <c r="DE165" s="211"/>
      <c r="DF165" s="210"/>
      <c r="DG165" s="206"/>
      <c r="DH165" s="206"/>
      <c r="DI165" s="206"/>
      <c r="DJ165" s="206"/>
      <c r="DK165" s="206"/>
      <c r="DL165" s="206"/>
      <c r="DM165" s="206"/>
      <c r="DN165" s="211"/>
      <c r="DO165" s="210"/>
      <c r="DP165" s="206"/>
      <c r="DQ165" s="206"/>
      <c r="DR165" s="206"/>
      <c r="DS165" s="206"/>
      <c r="DT165" s="206"/>
      <c r="DU165" s="206"/>
      <c r="DV165" s="206"/>
      <c r="DW165" s="211"/>
      <c r="DX165" s="210"/>
      <c r="DY165" s="206"/>
      <c r="DZ165" s="206"/>
      <c r="EA165" s="206"/>
      <c r="EB165" s="206"/>
      <c r="EC165" s="206"/>
      <c r="ED165" s="206"/>
      <c r="EE165" s="206"/>
      <c r="EF165" s="211"/>
      <c r="EG165" s="210"/>
      <c r="EH165" s="206"/>
      <c r="EI165" s="206"/>
      <c r="EJ165" s="206"/>
      <c r="EK165" s="206"/>
      <c r="EL165" s="206"/>
      <c r="EM165" s="206"/>
      <c r="EN165" s="206"/>
      <c r="EO165" s="211"/>
      <c r="EP165" s="210"/>
      <c r="EQ165" s="206"/>
      <c r="ER165" s="206"/>
      <c r="ES165" s="206"/>
      <c r="ET165" s="206"/>
      <c r="EU165" s="206"/>
      <c r="EV165" s="206"/>
      <c r="EW165" s="206"/>
      <c r="EX165" s="211"/>
      <c r="EY165" s="210"/>
      <c r="EZ165" s="206"/>
      <c r="FA165" s="206"/>
      <c r="FB165" s="206"/>
      <c r="FC165" s="206"/>
      <c r="FD165" s="206"/>
      <c r="FE165" s="206"/>
      <c r="FF165" s="206"/>
      <c r="FG165" s="211"/>
      <c r="FH165" s="210"/>
      <c r="FI165" s="206"/>
      <c r="FJ165" s="206"/>
      <c r="FK165" s="206"/>
      <c r="FL165" s="206"/>
      <c r="FM165" s="206"/>
      <c r="FN165" s="206"/>
      <c r="FO165" s="206"/>
      <c r="FP165" s="211"/>
      <c r="FQ165" s="210"/>
      <c r="FR165" s="206"/>
      <c r="FS165" s="206"/>
      <c r="FT165" s="206"/>
      <c r="FU165" s="206"/>
      <c r="FV165" s="206"/>
      <c r="FW165" s="206"/>
      <c r="FX165" s="206"/>
      <c r="FY165" s="211"/>
    </row>
    <row r="167" spans="2:181" ht="30" customHeight="1" x14ac:dyDescent="0.25">
      <c r="B167" s="193" t="s">
        <v>372</v>
      </c>
      <c r="C167" s="194" t="s">
        <v>373</v>
      </c>
      <c r="D167" s="194" t="s">
        <v>374</v>
      </c>
      <c r="E167" s="195" t="s">
        <v>375</v>
      </c>
      <c r="F167" s="195" t="s">
        <v>376</v>
      </c>
      <c r="G167" s="195" t="s">
        <v>377</v>
      </c>
      <c r="H167" s="195" t="s">
        <v>378</v>
      </c>
      <c r="I167" s="195" t="s">
        <v>379</v>
      </c>
      <c r="J167" s="195" t="s">
        <v>380</v>
      </c>
      <c r="K167" s="195" t="s">
        <v>381</v>
      </c>
      <c r="L167" s="196" t="s">
        <v>382</v>
      </c>
      <c r="M167" s="196" t="s">
        <v>383</v>
      </c>
      <c r="N167" s="196" t="s">
        <v>384</v>
      </c>
      <c r="O167" s="196" t="s">
        <v>385</v>
      </c>
      <c r="P167" s="196" t="s">
        <v>386</v>
      </c>
      <c r="Q167" s="196" t="s">
        <v>387</v>
      </c>
      <c r="R167" s="196" t="s">
        <v>388</v>
      </c>
      <c r="S167" s="196" t="s">
        <v>389</v>
      </c>
      <c r="T167" s="193" t="s">
        <v>372</v>
      </c>
      <c r="U167" s="194" t="s">
        <v>390</v>
      </c>
      <c r="V167" s="194" t="s">
        <v>391</v>
      </c>
      <c r="W167" s="195" t="s">
        <v>392</v>
      </c>
      <c r="X167" s="195" t="s">
        <v>393</v>
      </c>
      <c r="Y167" s="195" t="s">
        <v>394</v>
      </c>
      <c r="Z167" s="195" t="s">
        <v>395</v>
      </c>
      <c r="AA167" s="195" t="s">
        <v>396</v>
      </c>
      <c r="AB167" s="195" t="s">
        <v>397</v>
      </c>
      <c r="AC167" s="195" t="s">
        <v>398</v>
      </c>
      <c r="AD167" s="196" t="s">
        <v>399</v>
      </c>
      <c r="AE167" s="196" t="s">
        <v>400</v>
      </c>
      <c r="AF167" s="196" t="s">
        <v>401</v>
      </c>
      <c r="AG167" s="196" t="s">
        <v>402</v>
      </c>
      <c r="AH167" s="196" t="s">
        <v>403</v>
      </c>
      <c r="AI167" s="196" t="s">
        <v>404</v>
      </c>
      <c r="AJ167" s="196" t="s">
        <v>405</v>
      </c>
      <c r="AK167" s="196" t="s">
        <v>406</v>
      </c>
      <c r="AL167" s="193" t="s">
        <v>372</v>
      </c>
      <c r="AM167" s="194" t="s">
        <v>407</v>
      </c>
      <c r="AN167" s="194" t="s">
        <v>408</v>
      </c>
      <c r="AO167" s="195" t="s">
        <v>409</v>
      </c>
      <c r="AP167" s="195" t="s">
        <v>410</v>
      </c>
      <c r="AQ167" s="195" t="s">
        <v>411</v>
      </c>
      <c r="AR167" s="195" t="s">
        <v>412</v>
      </c>
      <c r="AS167" s="195" t="s">
        <v>413</v>
      </c>
      <c r="AT167" s="195" t="s">
        <v>414</v>
      </c>
      <c r="AU167" s="195" t="s">
        <v>415</v>
      </c>
      <c r="AV167" s="196" t="s">
        <v>416</v>
      </c>
      <c r="AW167" s="196" t="s">
        <v>417</v>
      </c>
      <c r="AX167" s="196" t="s">
        <v>418</v>
      </c>
      <c r="AY167" s="196" t="s">
        <v>419</v>
      </c>
      <c r="AZ167" s="196" t="s">
        <v>420</v>
      </c>
      <c r="BA167" s="196" t="s">
        <v>421</v>
      </c>
      <c r="BB167" s="196" t="s">
        <v>422</v>
      </c>
      <c r="BC167" s="196" t="s">
        <v>423</v>
      </c>
      <c r="BD167" s="193" t="s">
        <v>372</v>
      </c>
      <c r="BE167" s="194" t="s">
        <v>424</v>
      </c>
      <c r="BF167" s="194" t="s">
        <v>425</v>
      </c>
      <c r="BG167" s="195" t="s">
        <v>426</v>
      </c>
      <c r="BH167" s="195" t="s">
        <v>427</v>
      </c>
      <c r="BI167" s="195" t="s">
        <v>428</v>
      </c>
      <c r="BJ167" s="195" t="s">
        <v>429</v>
      </c>
      <c r="BK167" s="195" t="s">
        <v>430</v>
      </c>
      <c r="BL167" s="195" t="s">
        <v>431</v>
      </c>
      <c r="BM167" s="195" t="s">
        <v>432</v>
      </c>
      <c r="BN167" s="196" t="s">
        <v>433</v>
      </c>
      <c r="BO167" s="196" t="s">
        <v>434</v>
      </c>
      <c r="BP167" s="196" t="s">
        <v>435</v>
      </c>
      <c r="BQ167" s="196" t="s">
        <v>436</v>
      </c>
      <c r="BR167" s="196" t="s">
        <v>437</v>
      </c>
      <c r="BS167" s="196" t="s">
        <v>438</v>
      </c>
      <c r="BT167" s="196" t="s">
        <v>439</v>
      </c>
      <c r="BU167" s="196" t="s">
        <v>440</v>
      </c>
      <c r="BV167" s="193" t="s">
        <v>372</v>
      </c>
      <c r="BW167" s="194" t="s">
        <v>441</v>
      </c>
      <c r="BX167" s="194" t="s">
        <v>442</v>
      </c>
      <c r="BY167" s="195" t="s">
        <v>443</v>
      </c>
      <c r="BZ167" s="195" t="s">
        <v>444</v>
      </c>
      <c r="CA167" s="195" t="s">
        <v>445</v>
      </c>
      <c r="CB167" s="195" t="s">
        <v>446</v>
      </c>
      <c r="CC167" s="195" t="s">
        <v>447</v>
      </c>
      <c r="CD167" s="195" t="s">
        <v>448</v>
      </c>
      <c r="CE167" s="195" t="s">
        <v>449</v>
      </c>
      <c r="CF167" s="196" t="s">
        <v>450</v>
      </c>
      <c r="CG167" s="196" t="s">
        <v>451</v>
      </c>
      <c r="CH167" s="196" t="s">
        <v>452</v>
      </c>
      <c r="CI167" s="196" t="s">
        <v>453</v>
      </c>
      <c r="CJ167" s="196" t="s">
        <v>454</v>
      </c>
      <c r="CK167" s="196" t="s">
        <v>455</v>
      </c>
      <c r="CL167" s="196" t="s">
        <v>456</v>
      </c>
      <c r="CM167" s="196" t="s">
        <v>457</v>
      </c>
      <c r="CN167" s="193" t="s">
        <v>372</v>
      </c>
      <c r="CO167" s="194" t="s">
        <v>458</v>
      </c>
      <c r="CP167" s="194" t="s">
        <v>459</v>
      </c>
      <c r="CQ167" s="195" t="s">
        <v>460</v>
      </c>
      <c r="CR167" s="195" t="s">
        <v>461</v>
      </c>
      <c r="CS167" s="195" t="s">
        <v>462</v>
      </c>
      <c r="CT167" s="195" t="s">
        <v>463</v>
      </c>
      <c r="CU167" s="195" t="s">
        <v>464</v>
      </c>
      <c r="CV167" s="195" t="s">
        <v>465</v>
      </c>
      <c r="CW167" s="195" t="s">
        <v>466</v>
      </c>
      <c r="CX167" s="196" t="s">
        <v>467</v>
      </c>
      <c r="CY167" s="196" t="s">
        <v>468</v>
      </c>
      <c r="CZ167" s="196" t="s">
        <v>469</v>
      </c>
      <c r="DA167" s="196" t="s">
        <v>470</v>
      </c>
      <c r="DB167" s="196" t="s">
        <v>471</v>
      </c>
      <c r="DC167" s="196" t="s">
        <v>472</v>
      </c>
      <c r="DD167" s="196" t="s">
        <v>473</v>
      </c>
      <c r="DE167" s="196" t="s">
        <v>474</v>
      </c>
      <c r="DF167" s="193" t="s">
        <v>372</v>
      </c>
      <c r="DG167" s="194" t="s">
        <v>526</v>
      </c>
      <c r="DH167" s="194" t="s">
        <v>527</v>
      </c>
      <c r="DI167" s="195" t="s">
        <v>528</v>
      </c>
      <c r="DJ167" s="195" t="s">
        <v>529</v>
      </c>
      <c r="DK167" s="195" t="s">
        <v>530</v>
      </c>
      <c r="DL167" s="195" t="s">
        <v>531</v>
      </c>
      <c r="DM167" s="195" t="s">
        <v>532</v>
      </c>
      <c r="DN167" s="195" t="s">
        <v>533</v>
      </c>
      <c r="DO167" s="195" t="s">
        <v>534</v>
      </c>
      <c r="DP167" s="196" t="s">
        <v>535</v>
      </c>
      <c r="DQ167" s="196" t="s">
        <v>536</v>
      </c>
      <c r="DR167" s="196" t="s">
        <v>537</v>
      </c>
      <c r="DS167" s="196" t="s">
        <v>538</v>
      </c>
      <c r="DT167" s="196" t="s">
        <v>539</v>
      </c>
      <c r="DU167" s="196" t="s">
        <v>540</v>
      </c>
      <c r="DV167" s="196" t="s">
        <v>541</v>
      </c>
      <c r="DW167" s="196" t="s">
        <v>542</v>
      </c>
      <c r="DX167" s="193" t="s">
        <v>372</v>
      </c>
      <c r="DY167" s="194" t="s">
        <v>492</v>
      </c>
      <c r="DZ167" s="194" t="s">
        <v>493</v>
      </c>
      <c r="EA167" s="195" t="s">
        <v>494</v>
      </c>
      <c r="EB167" s="195" t="s">
        <v>495</v>
      </c>
      <c r="EC167" s="195" t="s">
        <v>496</v>
      </c>
      <c r="ED167" s="195" t="s">
        <v>497</v>
      </c>
      <c r="EE167" s="195" t="s">
        <v>498</v>
      </c>
      <c r="EF167" s="195" t="s">
        <v>499</v>
      </c>
      <c r="EG167" s="195" t="s">
        <v>500</v>
      </c>
      <c r="EH167" s="196" t="s">
        <v>501</v>
      </c>
      <c r="EI167" s="196" t="s">
        <v>502</v>
      </c>
      <c r="EJ167" s="196" t="s">
        <v>503</v>
      </c>
      <c r="EK167" s="196" t="s">
        <v>504</v>
      </c>
      <c r="EL167" s="196" t="s">
        <v>505</v>
      </c>
      <c r="EM167" s="196" t="s">
        <v>506</v>
      </c>
      <c r="EN167" s="196" t="s">
        <v>507</v>
      </c>
      <c r="EO167" s="196" t="s">
        <v>508</v>
      </c>
      <c r="EP167" s="193" t="s">
        <v>372</v>
      </c>
      <c r="EQ167" s="194" t="s">
        <v>509</v>
      </c>
      <c r="ER167" s="194" t="s">
        <v>510</v>
      </c>
      <c r="ES167" s="195" t="s">
        <v>511</v>
      </c>
      <c r="ET167" s="195" t="s">
        <v>512</v>
      </c>
      <c r="EU167" s="195" t="s">
        <v>513</v>
      </c>
      <c r="EV167" s="195" t="s">
        <v>514</v>
      </c>
      <c r="EW167" s="195" t="s">
        <v>515</v>
      </c>
      <c r="EX167" s="195" t="s">
        <v>516</v>
      </c>
      <c r="EY167" s="195" t="s">
        <v>517</v>
      </c>
      <c r="EZ167" s="196" t="s">
        <v>518</v>
      </c>
      <c r="FA167" s="196" t="s">
        <v>519</v>
      </c>
      <c r="FB167" s="196" t="s">
        <v>520</v>
      </c>
      <c r="FC167" s="196" t="s">
        <v>521</v>
      </c>
      <c r="FD167" s="196" t="s">
        <v>522</v>
      </c>
      <c r="FE167" s="196" t="s">
        <v>523</v>
      </c>
      <c r="FF167" s="196" t="s">
        <v>524</v>
      </c>
      <c r="FG167" s="196" t="s">
        <v>525</v>
      </c>
      <c r="FH167" s="193" t="s">
        <v>372</v>
      </c>
      <c r="FI167" s="194" t="s">
        <v>526</v>
      </c>
      <c r="FJ167" s="194" t="s">
        <v>527</v>
      </c>
      <c r="FK167" s="195" t="s">
        <v>528</v>
      </c>
      <c r="FL167" s="195" t="s">
        <v>529</v>
      </c>
      <c r="FM167" s="195" t="s">
        <v>530</v>
      </c>
      <c r="FN167" s="195" t="s">
        <v>531</v>
      </c>
      <c r="FO167" s="195" t="s">
        <v>532</v>
      </c>
      <c r="FP167" s="195" t="s">
        <v>533</v>
      </c>
      <c r="FQ167" s="195" t="s">
        <v>534</v>
      </c>
      <c r="FR167" s="196" t="s">
        <v>535</v>
      </c>
      <c r="FS167" s="196" t="s">
        <v>536</v>
      </c>
      <c r="FT167" s="196" t="s">
        <v>537</v>
      </c>
      <c r="FU167" s="196" t="s">
        <v>538</v>
      </c>
      <c r="FV167" s="196" t="s">
        <v>539</v>
      </c>
      <c r="FW167" s="196" t="s">
        <v>540</v>
      </c>
      <c r="FX167" s="196" t="s">
        <v>541</v>
      </c>
      <c r="FY167" s="196" t="s">
        <v>542</v>
      </c>
    </row>
    <row r="168" spans="2:181" x14ac:dyDescent="0.25">
      <c r="B168" s="12">
        <v>121</v>
      </c>
      <c r="C168" s="195"/>
      <c r="D168" s="195"/>
      <c r="E168" s="195"/>
      <c r="F168" s="195"/>
      <c r="G168" s="195"/>
      <c r="H168" s="195"/>
      <c r="I168" s="195"/>
      <c r="J168" s="195"/>
      <c r="K168" s="195"/>
      <c r="L168" s="195"/>
      <c r="M168" s="195"/>
      <c r="N168" s="195"/>
      <c r="O168" s="195"/>
      <c r="P168" s="195"/>
      <c r="Q168" s="195"/>
      <c r="R168" s="195"/>
      <c r="S168" s="195"/>
      <c r="T168" s="12">
        <v>121</v>
      </c>
      <c r="U168" s="195"/>
      <c r="V168" s="195"/>
      <c r="W168" s="195"/>
      <c r="X168" s="195"/>
      <c r="Y168" s="195"/>
      <c r="Z168" s="195"/>
      <c r="AA168" s="195"/>
      <c r="AB168" s="195"/>
      <c r="AC168" s="195"/>
      <c r="AD168" s="195"/>
      <c r="AE168" s="195"/>
      <c r="AF168" s="195"/>
      <c r="AG168" s="195"/>
      <c r="AH168" s="195"/>
      <c r="AI168" s="195"/>
      <c r="AJ168" s="195"/>
      <c r="AK168" s="195"/>
      <c r="AL168" s="12">
        <v>121</v>
      </c>
      <c r="AM168" s="195"/>
      <c r="AN168" s="195"/>
      <c r="AO168" s="195"/>
      <c r="AP168" s="195"/>
      <c r="AQ168" s="195"/>
      <c r="AR168" s="195"/>
      <c r="AS168" s="195"/>
      <c r="AT168" s="195"/>
      <c r="AU168" s="195"/>
      <c r="AV168" s="195"/>
      <c r="AW168" s="195"/>
      <c r="AX168" s="195"/>
      <c r="AY168" s="195"/>
      <c r="AZ168" s="195"/>
      <c r="BA168" s="195"/>
      <c r="BB168" s="195"/>
      <c r="BC168" s="195"/>
      <c r="BD168" s="12">
        <v>121</v>
      </c>
      <c r="BE168" s="195"/>
      <c r="BF168" s="195"/>
      <c r="BG168" s="195"/>
      <c r="BH168" s="195"/>
      <c r="BI168" s="195"/>
      <c r="BJ168" s="195"/>
      <c r="BK168" s="195"/>
      <c r="BL168" s="195"/>
      <c r="BM168" s="195"/>
      <c r="BN168" s="195"/>
      <c r="BO168" s="195"/>
      <c r="BP168" s="195"/>
      <c r="BQ168" s="195"/>
      <c r="BR168" s="195"/>
      <c r="BS168" s="195"/>
      <c r="BT168" s="195"/>
      <c r="BU168" s="195"/>
      <c r="BV168" s="12">
        <v>121</v>
      </c>
      <c r="BW168" s="195"/>
      <c r="BX168" s="195"/>
      <c r="BY168" s="195"/>
      <c r="BZ168" s="195"/>
      <c r="CA168" s="195"/>
      <c r="CB168" s="195"/>
      <c r="CC168" s="195"/>
      <c r="CD168" s="195"/>
      <c r="CE168" s="195"/>
      <c r="CF168" s="195"/>
      <c r="CG168" s="195"/>
      <c r="CH168" s="195"/>
      <c r="CI168" s="195"/>
      <c r="CJ168" s="195"/>
      <c r="CK168" s="195"/>
      <c r="CL168" s="195"/>
      <c r="CM168" s="195"/>
      <c r="CN168" s="12">
        <v>121</v>
      </c>
      <c r="CO168" s="195"/>
      <c r="CP168" s="195"/>
      <c r="CQ168" s="195"/>
      <c r="CR168" s="195"/>
      <c r="CS168" s="195"/>
      <c r="CT168" s="195"/>
      <c r="CU168" s="195"/>
      <c r="CV168" s="195"/>
      <c r="CW168" s="195"/>
      <c r="CX168" s="195"/>
      <c r="CY168" s="195"/>
      <c r="CZ168" s="195"/>
      <c r="DA168" s="195"/>
      <c r="DB168" s="195"/>
      <c r="DC168" s="195"/>
      <c r="DD168" s="195"/>
      <c r="DE168" s="195"/>
      <c r="DF168" s="12">
        <v>121</v>
      </c>
      <c r="DG168" s="195"/>
      <c r="DH168" s="195"/>
      <c r="DI168" s="195"/>
      <c r="DJ168" s="195"/>
      <c r="DK168" s="195"/>
      <c r="DL168" s="195"/>
      <c r="DM168" s="195"/>
      <c r="DN168" s="195"/>
      <c r="DO168" s="195"/>
      <c r="DP168" s="195"/>
      <c r="DQ168" s="195"/>
      <c r="DR168" s="195"/>
      <c r="DS168" s="195"/>
      <c r="DT168" s="195"/>
      <c r="DU168" s="195"/>
      <c r="DV168" s="195"/>
      <c r="DW168" s="195"/>
      <c r="DX168" s="12">
        <v>121</v>
      </c>
      <c r="DY168" s="195"/>
      <c r="DZ168" s="195"/>
      <c r="EA168" s="195"/>
      <c r="EB168" s="195"/>
      <c r="EC168" s="195"/>
      <c r="ED168" s="195"/>
      <c r="EE168" s="195"/>
      <c r="EF168" s="195"/>
      <c r="EG168" s="195"/>
      <c r="EH168" s="195"/>
      <c r="EI168" s="195"/>
      <c r="EJ168" s="195"/>
      <c r="EK168" s="195"/>
      <c r="EL168" s="195"/>
      <c r="EM168" s="195"/>
      <c r="EN168" s="195"/>
      <c r="EO168" s="195"/>
      <c r="EP168" s="12">
        <v>121</v>
      </c>
      <c r="EQ168" s="195"/>
      <c r="ER168" s="195"/>
      <c r="ES168" s="195"/>
      <c r="ET168" s="195"/>
      <c r="EU168" s="195"/>
      <c r="EV168" s="195"/>
      <c r="EW168" s="195"/>
      <c r="EX168" s="195"/>
      <c r="EY168" s="195"/>
      <c r="EZ168" s="195"/>
      <c r="FA168" s="195"/>
      <c r="FB168" s="195"/>
      <c r="FC168" s="195"/>
      <c r="FD168" s="195"/>
      <c r="FE168" s="195"/>
      <c r="FF168" s="195"/>
      <c r="FG168" s="195"/>
      <c r="FH168" s="12">
        <v>121</v>
      </c>
      <c r="FI168" s="195"/>
      <c r="FJ168" s="195"/>
      <c r="FK168" s="195"/>
      <c r="FL168" s="195"/>
      <c r="FM168" s="195"/>
      <c r="FN168" s="195"/>
      <c r="FO168" s="195"/>
      <c r="FP168" s="195"/>
      <c r="FQ168" s="195"/>
      <c r="FR168" s="195"/>
      <c r="FS168" s="195"/>
      <c r="FT168" s="195"/>
      <c r="FU168" s="195"/>
      <c r="FV168" s="195"/>
      <c r="FW168" s="195"/>
      <c r="FX168" s="195"/>
      <c r="FY168" s="195"/>
    </row>
    <row r="169" spans="2:181" x14ac:dyDescent="0.25">
      <c r="B169" s="197">
        <v>122</v>
      </c>
      <c r="C169" s="195"/>
      <c r="D169" s="195"/>
      <c r="E169" s="195"/>
      <c r="F169" s="195"/>
      <c r="G169" s="195"/>
      <c r="H169" s="195"/>
      <c r="I169" s="195"/>
      <c r="J169" s="195"/>
      <c r="K169" s="195"/>
      <c r="L169" s="195"/>
      <c r="M169" s="195"/>
      <c r="N169" s="195"/>
      <c r="O169" s="195"/>
      <c r="P169" s="195"/>
      <c r="Q169" s="195"/>
      <c r="R169" s="195"/>
      <c r="S169" s="195"/>
      <c r="T169" s="197">
        <v>122</v>
      </c>
      <c r="U169" s="195"/>
      <c r="V169" s="195"/>
      <c r="W169" s="195"/>
      <c r="X169" s="195"/>
      <c r="Y169" s="195"/>
      <c r="Z169" s="195"/>
      <c r="AA169" s="195"/>
      <c r="AB169" s="195"/>
      <c r="AC169" s="195"/>
      <c r="AD169" s="195"/>
      <c r="AE169" s="195"/>
      <c r="AF169" s="195"/>
      <c r="AG169" s="195"/>
      <c r="AH169" s="195"/>
      <c r="AI169" s="195"/>
      <c r="AJ169" s="195"/>
      <c r="AK169" s="195"/>
      <c r="AL169" s="197">
        <v>122</v>
      </c>
      <c r="AM169" s="195"/>
      <c r="AN169" s="195"/>
      <c r="AO169" s="195"/>
      <c r="AP169" s="195"/>
      <c r="AQ169" s="195"/>
      <c r="AR169" s="195"/>
      <c r="AS169" s="195"/>
      <c r="AT169" s="195"/>
      <c r="AU169" s="195"/>
      <c r="AV169" s="195"/>
      <c r="AW169" s="195"/>
      <c r="AX169" s="195"/>
      <c r="AY169" s="195"/>
      <c r="AZ169" s="195"/>
      <c r="BA169" s="195"/>
      <c r="BB169" s="195"/>
      <c r="BC169" s="195"/>
      <c r="BD169" s="197">
        <v>122</v>
      </c>
      <c r="BE169" s="195"/>
      <c r="BF169" s="195"/>
      <c r="BG169" s="195"/>
      <c r="BH169" s="195"/>
      <c r="BI169" s="195"/>
      <c r="BJ169" s="195"/>
      <c r="BK169" s="195"/>
      <c r="BL169" s="195"/>
      <c r="BM169" s="195"/>
      <c r="BN169" s="195"/>
      <c r="BO169" s="195"/>
      <c r="BP169" s="195"/>
      <c r="BQ169" s="195"/>
      <c r="BR169" s="195"/>
      <c r="BS169" s="195"/>
      <c r="BT169" s="195"/>
      <c r="BU169" s="195"/>
      <c r="BV169" s="197">
        <v>122</v>
      </c>
      <c r="BW169" s="195"/>
      <c r="BX169" s="195"/>
      <c r="BY169" s="195"/>
      <c r="BZ169" s="195"/>
      <c r="CA169" s="195"/>
      <c r="CB169" s="195"/>
      <c r="CC169" s="195"/>
      <c r="CD169" s="195"/>
      <c r="CE169" s="195"/>
      <c r="CF169" s="195"/>
      <c r="CG169" s="195"/>
      <c r="CH169" s="195"/>
      <c r="CI169" s="195"/>
      <c r="CJ169" s="195"/>
      <c r="CK169" s="195"/>
      <c r="CL169" s="195"/>
      <c r="CM169" s="195"/>
      <c r="CN169" s="197">
        <v>122</v>
      </c>
      <c r="CO169" s="195"/>
      <c r="CP169" s="195"/>
      <c r="CQ169" s="195"/>
      <c r="CR169" s="195"/>
      <c r="CS169" s="195"/>
      <c r="CT169" s="195"/>
      <c r="CU169" s="195"/>
      <c r="CV169" s="195"/>
      <c r="CW169" s="195"/>
      <c r="CX169" s="195"/>
      <c r="CY169" s="195"/>
      <c r="CZ169" s="195"/>
      <c r="DA169" s="195"/>
      <c r="DB169" s="195"/>
      <c r="DC169" s="195"/>
      <c r="DD169" s="195"/>
      <c r="DE169" s="195"/>
      <c r="DF169" s="197">
        <v>122</v>
      </c>
      <c r="DG169" s="195"/>
      <c r="DH169" s="195"/>
      <c r="DI169" s="195"/>
      <c r="DJ169" s="195"/>
      <c r="DK169" s="195"/>
      <c r="DL169" s="195"/>
      <c r="DM169" s="195"/>
      <c r="DN169" s="195"/>
      <c r="DO169" s="195"/>
      <c r="DP169" s="195"/>
      <c r="DQ169" s="195"/>
      <c r="DR169" s="195"/>
      <c r="DS169" s="195"/>
      <c r="DT169" s="195"/>
      <c r="DU169" s="195"/>
      <c r="DV169" s="195"/>
      <c r="DW169" s="195"/>
      <c r="DX169" s="197">
        <v>122</v>
      </c>
      <c r="DY169" s="195"/>
      <c r="DZ169" s="195"/>
      <c r="EA169" s="195"/>
      <c r="EB169" s="195"/>
      <c r="EC169" s="195"/>
      <c r="ED169" s="195"/>
      <c r="EE169" s="195"/>
      <c r="EF169" s="195"/>
      <c r="EG169" s="195"/>
      <c r="EH169" s="195"/>
      <c r="EI169" s="195"/>
      <c r="EJ169" s="195"/>
      <c r="EK169" s="195"/>
      <c r="EL169" s="195"/>
      <c r="EM169" s="195"/>
      <c r="EN169" s="195"/>
      <c r="EO169" s="195"/>
      <c r="EP169" s="197">
        <v>122</v>
      </c>
      <c r="EQ169" s="195"/>
      <c r="ER169" s="195"/>
      <c r="ES169" s="195"/>
      <c r="ET169" s="195"/>
      <c r="EU169" s="195"/>
      <c r="EV169" s="195"/>
      <c r="EW169" s="195"/>
      <c r="EX169" s="195"/>
      <c r="EY169" s="195"/>
      <c r="EZ169" s="195"/>
      <c r="FA169" s="195"/>
      <c r="FB169" s="195"/>
      <c r="FC169" s="195"/>
      <c r="FD169" s="195"/>
      <c r="FE169" s="195"/>
      <c r="FF169" s="195"/>
      <c r="FG169" s="195"/>
      <c r="FH169" s="197">
        <v>122</v>
      </c>
      <c r="FI169" s="195"/>
      <c r="FJ169" s="195"/>
      <c r="FK169" s="195"/>
      <c r="FL169" s="195"/>
      <c r="FM169" s="195"/>
      <c r="FN169" s="195"/>
      <c r="FO169" s="195"/>
      <c r="FP169" s="195"/>
      <c r="FQ169" s="195"/>
      <c r="FR169" s="195"/>
      <c r="FS169" s="195"/>
      <c r="FT169" s="195"/>
      <c r="FU169" s="195"/>
      <c r="FV169" s="195"/>
      <c r="FW169" s="195"/>
      <c r="FX169" s="195"/>
      <c r="FY169" s="195"/>
    </row>
    <row r="170" spans="2:181" x14ac:dyDescent="0.25">
      <c r="B170" s="12">
        <v>123</v>
      </c>
      <c r="C170" s="195"/>
      <c r="D170" s="195"/>
      <c r="E170" s="195"/>
      <c r="F170" s="195"/>
      <c r="G170" s="195"/>
      <c r="H170" s="195"/>
      <c r="I170" s="195"/>
      <c r="J170" s="195"/>
      <c r="K170" s="195"/>
      <c r="L170" s="195"/>
      <c r="M170" s="195"/>
      <c r="N170" s="195"/>
      <c r="O170" s="195"/>
      <c r="P170" s="195"/>
      <c r="Q170" s="195"/>
      <c r="R170" s="195"/>
      <c r="S170" s="195"/>
      <c r="T170" s="12">
        <v>123</v>
      </c>
      <c r="U170" s="195"/>
      <c r="V170" s="195"/>
      <c r="W170" s="195"/>
      <c r="X170" s="195"/>
      <c r="Y170" s="195"/>
      <c r="Z170" s="195"/>
      <c r="AA170" s="195"/>
      <c r="AB170" s="195"/>
      <c r="AC170" s="195"/>
      <c r="AD170" s="195"/>
      <c r="AE170" s="195"/>
      <c r="AF170" s="195"/>
      <c r="AG170" s="195"/>
      <c r="AH170" s="195"/>
      <c r="AI170" s="195"/>
      <c r="AJ170" s="195"/>
      <c r="AK170" s="195"/>
      <c r="AL170" s="12">
        <v>123</v>
      </c>
      <c r="AM170" s="195"/>
      <c r="AN170" s="195"/>
      <c r="AO170" s="195"/>
      <c r="AP170" s="195"/>
      <c r="AQ170" s="195"/>
      <c r="AR170" s="195"/>
      <c r="AS170" s="195"/>
      <c r="AT170" s="195"/>
      <c r="AU170" s="195"/>
      <c r="AV170" s="195"/>
      <c r="AW170" s="195"/>
      <c r="AX170" s="195"/>
      <c r="AY170" s="195"/>
      <c r="AZ170" s="195"/>
      <c r="BA170" s="195"/>
      <c r="BB170" s="195"/>
      <c r="BC170" s="195"/>
      <c r="BD170" s="12">
        <v>123</v>
      </c>
      <c r="BE170" s="195"/>
      <c r="BF170" s="195"/>
      <c r="BG170" s="195"/>
      <c r="BH170" s="195"/>
      <c r="BI170" s="195"/>
      <c r="BJ170" s="195"/>
      <c r="BK170" s="195"/>
      <c r="BL170" s="195"/>
      <c r="BM170" s="195"/>
      <c r="BN170" s="195"/>
      <c r="BO170" s="195"/>
      <c r="BP170" s="195"/>
      <c r="BQ170" s="195"/>
      <c r="BR170" s="195"/>
      <c r="BS170" s="195"/>
      <c r="BT170" s="195"/>
      <c r="BU170" s="195"/>
      <c r="BV170" s="12">
        <v>123</v>
      </c>
      <c r="BW170" s="195"/>
      <c r="BX170" s="195"/>
      <c r="BY170" s="195"/>
      <c r="BZ170" s="195"/>
      <c r="CA170" s="195"/>
      <c r="CB170" s="195"/>
      <c r="CC170" s="195"/>
      <c r="CD170" s="195"/>
      <c r="CE170" s="195"/>
      <c r="CF170" s="195"/>
      <c r="CG170" s="195"/>
      <c r="CH170" s="195"/>
      <c r="CI170" s="195"/>
      <c r="CJ170" s="195"/>
      <c r="CK170" s="195"/>
      <c r="CL170" s="195"/>
      <c r="CM170" s="195"/>
      <c r="CN170" s="12">
        <v>123</v>
      </c>
      <c r="CO170" s="195"/>
      <c r="CP170" s="195"/>
      <c r="CQ170" s="195"/>
      <c r="CR170" s="195"/>
      <c r="CS170" s="195"/>
      <c r="CT170" s="195"/>
      <c r="CU170" s="195"/>
      <c r="CV170" s="195"/>
      <c r="CW170" s="195"/>
      <c r="CX170" s="195"/>
      <c r="CY170" s="195"/>
      <c r="CZ170" s="195"/>
      <c r="DA170" s="195"/>
      <c r="DB170" s="195"/>
      <c r="DC170" s="195"/>
      <c r="DD170" s="195"/>
      <c r="DE170" s="195"/>
      <c r="DF170" s="12">
        <v>123</v>
      </c>
      <c r="DG170" s="195"/>
      <c r="DH170" s="195"/>
      <c r="DI170" s="195"/>
      <c r="DJ170" s="195"/>
      <c r="DK170" s="195"/>
      <c r="DL170" s="195"/>
      <c r="DM170" s="195"/>
      <c r="DN170" s="195"/>
      <c r="DO170" s="195"/>
      <c r="DP170" s="195"/>
      <c r="DQ170" s="195"/>
      <c r="DR170" s="195"/>
      <c r="DS170" s="195"/>
      <c r="DT170" s="195"/>
      <c r="DU170" s="195"/>
      <c r="DV170" s="195"/>
      <c r="DW170" s="195"/>
      <c r="DX170" s="12">
        <v>123</v>
      </c>
      <c r="DY170" s="195"/>
      <c r="DZ170" s="195"/>
      <c r="EA170" s="195"/>
      <c r="EB170" s="195"/>
      <c r="EC170" s="195"/>
      <c r="ED170" s="195"/>
      <c r="EE170" s="195"/>
      <c r="EF170" s="195"/>
      <c r="EG170" s="195"/>
      <c r="EH170" s="195"/>
      <c r="EI170" s="195"/>
      <c r="EJ170" s="195"/>
      <c r="EK170" s="195"/>
      <c r="EL170" s="195"/>
      <c r="EM170" s="195"/>
      <c r="EN170" s="195"/>
      <c r="EO170" s="195"/>
      <c r="EP170" s="12">
        <v>123</v>
      </c>
      <c r="EQ170" s="195"/>
      <c r="ER170" s="195"/>
      <c r="ES170" s="195"/>
      <c r="ET170" s="195"/>
      <c r="EU170" s="195"/>
      <c r="EV170" s="195"/>
      <c r="EW170" s="195"/>
      <c r="EX170" s="195"/>
      <c r="EY170" s="195"/>
      <c r="EZ170" s="195"/>
      <c r="FA170" s="195"/>
      <c r="FB170" s="195"/>
      <c r="FC170" s="195"/>
      <c r="FD170" s="195"/>
      <c r="FE170" s="195"/>
      <c r="FF170" s="195"/>
      <c r="FG170" s="195"/>
      <c r="FH170" s="12">
        <v>123</v>
      </c>
      <c r="FI170" s="195"/>
      <c r="FJ170" s="195"/>
      <c r="FK170" s="195"/>
      <c r="FL170" s="195"/>
      <c r="FM170" s="195"/>
      <c r="FN170" s="195"/>
      <c r="FO170" s="195"/>
      <c r="FP170" s="195"/>
      <c r="FQ170" s="195"/>
      <c r="FR170" s="195"/>
      <c r="FS170" s="195"/>
      <c r="FT170" s="195"/>
      <c r="FU170" s="195"/>
      <c r="FV170" s="195"/>
      <c r="FW170" s="195"/>
      <c r="FX170" s="195"/>
      <c r="FY170" s="195"/>
    </row>
    <row r="171" spans="2:181" x14ac:dyDescent="0.25">
      <c r="B171" s="12">
        <v>124</v>
      </c>
      <c r="C171" s="195"/>
      <c r="D171" s="195"/>
      <c r="E171" s="195"/>
      <c r="F171" s="195"/>
      <c r="G171" s="195"/>
      <c r="H171" s="195"/>
      <c r="I171" s="195"/>
      <c r="J171" s="195"/>
      <c r="K171" s="195"/>
      <c r="L171" s="195"/>
      <c r="M171" s="195"/>
      <c r="N171" s="195"/>
      <c r="O171" s="195"/>
      <c r="P171" s="195"/>
      <c r="Q171" s="195"/>
      <c r="R171" s="195"/>
      <c r="S171" s="195"/>
      <c r="T171" s="12">
        <v>124</v>
      </c>
      <c r="U171" s="195"/>
      <c r="V171" s="195"/>
      <c r="W171" s="195"/>
      <c r="X171" s="195"/>
      <c r="Y171" s="195"/>
      <c r="Z171" s="195"/>
      <c r="AA171" s="195"/>
      <c r="AB171" s="195"/>
      <c r="AC171" s="195"/>
      <c r="AD171" s="195"/>
      <c r="AE171" s="195"/>
      <c r="AF171" s="195"/>
      <c r="AG171" s="195"/>
      <c r="AH171" s="195"/>
      <c r="AI171" s="195"/>
      <c r="AJ171" s="195"/>
      <c r="AK171" s="195"/>
      <c r="AL171" s="12">
        <v>124</v>
      </c>
      <c r="AM171" s="195"/>
      <c r="AN171" s="195"/>
      <c r="AO171" s="195"/>
      <c r="AP171" s="195"/>
      <c r="AQ171" s="195"/>
      <c r="AR171" s="195"/>
      <c r="AS171" s="195"/>
      <c r="AT171" s="195"/>
      <c r="AU171" s="195"/>
      <c r="AV171" s="195"/>
      <c r="AW171" s="195"/>
      <c r="AX171" s="195"/>
      <c r="AY171" s="195"/>
      <c r="AZ171" s="195"/>
      <c r="BA171" s="195"/>
      <c r="BB171" s="195"/>
      <c r="BC171" s="195"/>
      <c r="BD171" s="12">
        <v>124</v>
      </c>
      <c r="BE171" s="195"/>
      <c r="BF171" s="195"/>
      <c r="BG171" s="195"/>
      <c r="BH171" s="195"/>
      <c r="BI171" s="195"/>
      <c r="BJ171" s="195"/>
      <c r="BK171" s="195"/>
      <c r="BL171" s="195"/>
      <c r="BM171" s="195"/>
      <c r="BN171" s="195"/>
      <c r="BO171" s="195"/>
      <c r="BP171" s="195"/>
      <c r="BQ171" s="195"/>
      <c r="BR171" s="195"/>
      <c r="BS171" s="195"/>
      <c r="BT171" s="195"/>
      <c r="BU171" s="195"/>
      <c r="BV171" s="12">
        <v>124</v>
      </c>
      <c r="BW171" s="195"/>
      <c r="BX171" s="195"/>
      <c r="BY171" s="195"/>
      <c r="BZ171" s="195"/>
      <c r="CA171" s="195"/>
      <c r="CB171" s="195"/>
      <c r="CC171" s="195"/>
      <c r="CD171" s="195"/>
      <c r="CE171" s="195"/>
      <c r="CF171" s="195"/>
      <c r="CG171" s="195"/>
      <c r="CH171" s="195"/>
      <c r="CI171" s="195"/>
      <c r="CJ171" s="195"/>
      <c r="CK171" s="195"/>
      <c r="CL171" s="195"/>
      <c r="CM171" s="195"/>
      <c r="CN171" s="12">
        <v>124</v>
      </c>
      <c r="CO171" s="195"/>
      <c r="CP171" s="195"/>
      <c r="CQ171" s="195"/>
      <c r="CR171" s="195"/>
      <c r="CS171" s="195"/>
      <c r="CT171" s="195"/>
      <c r="CU171" s="195"/>
      <c r="CV171" s="195"/>
      <c r="CW171" s="195"/>
      <c r="CX171" s="195"/>
      <c r="CY171" s="195"/>
      <c r="CZ171" s="195"/>
      <c r="DA171" s="195"/>
      <c r="DB171" s="195"/>
      <c r="DC171" s="195"/>
      <c r="DD171" s="195"/>
      <c r="DE171" s="195"/>
      <c r="DF171" s="12">
        <v>124</v>
      </c>
      <c r="DG171" s="195"/>
      <c r="DH171" s="195"/>
      <c r="DI171" s="195"/>
      <c r="DJ171" s="195"/>
      <c r="DK171" s="195"/>
      <c r="DL171" s="195"/>
      <c r="DM171" s="195"/>
      <c r="DN171" s="195"/>
      <c r="DO171" s="195"/>
      <c r="DP171" s="195"/>
      <c r="DQ171" s="195"/>
      <c r="DR171" s="195"/>
      <c r="DS171" s="195"/>
      <c r="DT171" s="195"/>
      <c r="DU171" s="195"/>
      <c r="DV171" s="195"/>
      <c r="DW171" s="195"/>
      <c r="DX171" s="12">
        <v>124</v>
      </c>
      <c r="DY171" s="195"/>
      <c r="DZ171" s="195"/>
      <c r="EA171" s="195"/>
      <c r="EB171" s="195"/>
      <c r="EC171" s="195"/>
      <c r="ED171" s="195"/>
      <c r="EE171" s="195"/>
      <c r="EF171" s="195"/>
      <c r="EG171" s="195"/>
      <c r="EH171" s="195"/>
      <c r="EI171" s="195"/>
      <c r="EJ171" s="195"/>
      <c r="EK171" s="195"/>
      <c r="EL171" s="195"/>
      <c r="EM171" s="195"/>
      <c r="EN171" s="195"/>
      <c r="EO171" s="195"/>
      <c r="EP171" s="12">
        <v>124</v>
      </c>
      <c r="EQ171" s="195"/>
      <c r="ER171" s="195"/>
      <c r="ES171" s="195"/>
      <c r="ET171" s="195"/>
      <c r="EU171" s="195"/>
      <c r="EV171" s="195"/>
      <c r="EW171" s="195"/>
      <c r="EX171" s="195"/>
      <c r="EY171" s="195"/>
      <c r="EZ171" s="195"/>
      <c r="FA171" s="195"/>
      <c r="FB171" s="195"/>
      <c r="FC171" s="195"/>
      <c r="FD171" s="195"/>
      <c r="FE171" s="195"/>
      <c r="FF171" s="195"/>
      <c r="FG171" s="195"/>
      <c r="FH171" s="12">
        <v>124</v>
      </c>
      <c r="FI171" s="195"/>
      <c r="FJ171" s="195"/>
      <c r="FK171" s="195"/>
      <c r="FL171" s="195"/>
      <c r="FM171" s="195"/>
      <c r="FN171" s="195"/>
      <c r="FO171" s="195"/>
      <c r="FP171" s="195"/>
      <c r="FQ171" s="195"/>
      <c r="FR171" s="195"/>
      <c r="FS171" s="195"/>
      <c r="FT171" s="195"/>
      <c r="FU171" s="195"/>
      <c r="FV171" s="195"/>
      <c r="FW171" s="195"/>
      <c r="FX171" s="195"/>
      <c r="FY171" s="195"/>
    </row>
    <row r="172" spans="2:181" x14ac:dyDescent="0.25">
      <c r="B172" s="197">
        <v>125</v>
      </c>
      <c r="C172" s="195"/>
      <c r="D172" s="195"/>
      <c r="E172" s="195"/>
      <c r="F172" s="195"/>
      <c r="G172" s="195"/>
      <c r="H172" s="195"/>
      <c r="I172" s="195"/>
      <c r="J172" s="195"/>
      <c r="K172" s="195"/>
      <c r="L172" s="195"/>
      <c r="M172" s="195"/>
      <c r="N172" s="195"/>
      <c r="O172" s="195"/>
      <c r="P172" s="195"/>
      <c r="Q172" s="195"/>
      <c r="R172" s="195"/>
      <c r="S172" s="195"/>
      <c r="T172" s="197">
        <v>125</v>
      </c>
      <c r="U172" s="195"/>
      <c r="V172" s="195"/>
      <c r="W172" s="195"/>
      <c r="X172" s="195"/>
      <c r="Y172" s="195"/>
      <c r="Z172" s="195"/>
      <c r="AA172" s="195"/>
      <c r="AB172" s="195"/>
      <c r="AC172" s="195"/>
      <c r="AD172" s="195"/>
      <c r="AE172" s="195"/>
      <c r="AF172" s="195"/>
      <c r="AG172" s="195"/>
      <c r="AH172" s="195"/>
      <c r="AI172" s="195"/>
      <c r="AJ172" s="195"/>
      <c r="AK172" s="195"/>
      <c r="AL172" s="197">
        <v>125</v>
      </c>
      <c r="AM172" s="195"/>
      <c r="AN172" s="195"/>
      <c r="AO172" s="195"/>
      <c r="AP172" s="195"/>
      <c r="AQ172" s="195"/>
      <c r="AR172" s="195"/>
      <c r="AS172" s="195"/>
      <c r="AT172" s="195"/>
      <c r="AU172" s="195"/>
      <c r="AV172" s="195"/>
      <c r="AW172" s="195"/>
      <c r="AX172" s="195"/>
      <c r="AY172" s="195"/>
      <c r="AZ172" s="195"/>
      <c r="BA172" s="195"/>
      <c r="BB172" s="195"/>
      <c r="BC172" s="195"/>
      <c r="BD172" s="197">
        <v>125</v>
      </c>
      <c r="BE172" s="195"/>
      <c r="BF172" s="195"/>
      <c r="BG172" s="195"/>
      <c r="BH172" s="195"/>
      <c r="BI172" s="195"/>
      <c r="BJ172" s="195"/>
      <c r="BK172" s="195"/>
      <c r="BL172" s="195"/>
      <c r="BM172" s="195"/>
      <c r="BN172" s="195"/>
      <c r="BO172" s="195"/>
      <c r="BP172" s="195"/>
      <c r="BQ172" s="195"/>
      <c r="BR172" s="195"/>
      <c r="BS172" s="195"/>
      <c r="BT172" s="195"/>
      <c r="BU172" s="195"/>
      <c r="BV172" s="197">
        <v>125</v>
      </c>
      <c r="BW172" s="195"/>
      <c r="BX172" s="195"/>
      <c r="BY172" s="195"/>
      <c r="BZ172" s="195"/>
      <c r="CA172" s="195"/>
      <c r="CB172" s="195"/>
      <c r="CC172" s="195"/>
      <c r="CD172" s="195"/>
      <c r="CE172" s="195"/>
      <c r="CF172" s="195"/>
      <c r="CG172" s="195"/>
      <c r="CH172" s="195"/>
      <c r="CI172" s="195"/>
      <c r="CJ172" s="195"/>
      <c r="CK172" s="195"/>
      <c r="CL172" s="195"/>
      <c r="CM172" s="195"/>
      <c r="CN172" s="197">
        <v>125</v>
      </c>
      <c r="CO172" s="195"/>
      <c r="CP172" s="195"/>
      <c r="CQ172" s="195"/>
      <c r="CR172" s="195"/>
      <c r="CS172" s="195"/>
      <c r="CT172" s="195"/>
      <c r="CU172" s="195"/>
      <c r="CV172" s="195"/>
      <c r="CW172" s="195"/>
      <c r="CX172" s="195"/>
      <c r="CY172" s="195"/>
      <c r="CZ172" s="195"/>
      <c r="DA172" s="195"/>
      <c r="DB172" s="195"/>
      <c r="DC172" s="195"/>
      <c r="DD172" s="195"/>
      <c r="DE172" s="195"/>
      <c r="DF172" s="197">
        <v>125</v>
      </c>
      <c r="DG172" s="195"/>
      <c r="DH172" s="195"/>
      <c r="DI172" s="195"/>
      <c r="DJ172" s="195"/>
      <c r="DK172" s="195"/>
      <c r="DL172" s="195"/>
      <c r="DM172" s="195"/>
      <c r="DN172" s="195"/>
      <c r="DO172" s="195"/>
      <c r="DP172" s="195"/>
      <c r="DQ172" s="195"/>
      <c r="DR172" s="195"/>
      <c r="DS172" s="195"/>
      <c r="DT172" s="195"/>
      <c r="DU172" s="195"/>
      <c r="DV172" s="195"/>
      <c r="DW172" s="195"/>
      <c r="DX172" s="197">
        <v>125</v>
      </c>
      <c r="DY172" s="195"/>
      <c r="DZ172" s="195"/>
      <c r="EA172" s="195"/>
      <c r="EB172" s="195"/>
      <c r="EC172" s="195"/>
      <c r="ED172" s="195"/>
      <c r="EE172" s="195"/>
      <c r="EF172" s="195"/>
      <c r="EG172" s="195"/>
      <c r="EH172" s="195"/>
      <c r="EI172" s="195"/>
      <c r="EJ172" s="195"/>
      <c r="EK172" s="195"/>
      <c r="EL172" s="195"/>
      <c r="EM172" s="195"/>
      <c r="EN172" s="195"/>
      <c r="EO172" s="195"/>
      <c r="EP172" s="197">
        <v>125</v>
      </c>
      <c r="EQ172" s="195"/>
      <c r="ER172" s="195"/>
      <c r="ES172" s="195"/>
      <c r="ET172" s="195"/>
      <c r="EU172" s="195"/>
      <c r="EV172" s="195"/>
      <c r="EW172" s="195"/>
      <c r="EX172" s="195"/>
      <c r="EY172" s="195"/>
      <c r="EZ172" s="195"/>
      <c r="FA172" s="195"/>
      <c r="FB172" s="195"/>
      <c r="FC172" s="195"/>
      <c r="FD172" s="195"/>
      <c r="FE172" s="195"/>
      <c r="FF172" s="195"/>
      <c r="FG172" s="195"/>
      <c r="FH172" s="197">
        <v>125</v>
      </c>
      <c r="FI172" s="195"/>
      <c r="FJ172" s="195"/>
      <c r="FK172" s="195"/>
      <c r="FL172" s="195"/>
      <c r="FM172" s="195"/>
      <c r="FN172" s="195"/>
      <c r="FO172" s="195"/>
      <c r="FP172" s="195"/>
      <c r="FQ172" s="195"/>
      <c r="FR172" s="195"/>
      <c r="FS172" s="195"/>
      <c r="FT172" s="195"/>
      <c r="FU172" s="195"/>
      <c r="FV172" s="195"/>
      <c r="FW172" s="195"/>
      <c r="FX172" s="195"/>
      <c r="FY172" s="195"/>
    </row>
    <row r="173" spans="2:181" x14ac:dyDescent="0.25">
      <c r="B173" s="12">
        <v>126</v>
      </c>
      <c r="C173" s="195"/>
      <c r="D173" s="195"/>
      <c r="E173" s="195"/>
      <c r="F173" s="195"/>
      <c r="G173" s="195"/>
      <c r="H173" s="195"/>
      <c r="I173" s="195"/>
      <c r="J173" s="195"/>
      <c r="K173" s="195"/>
      <c r="L173" s="195"/>
      <c r="M173" s="195"/>
      <c r="N173" s="195"/>
      <c r="O173" s="195"/>
      <c r="P173" s="195"/>
      <c r="Q173" s="195"/>
      <c r="R173" s="195"/>
      <c r="S173" s="195"/>
      <c r="T173" s="12">
        <v>126</v>
      </c>
      <c r="U173" s="195"/>
      <c r="V173" s="195"/>
      <c r="W173" s="195"/>
      <c r="X173" s="195"/>
      <c r="Y173" s="195"/>
      <c r="Z173" s="195"/>
      <c r="AA173" s="195"/>
      <c r="AB173" s="195"/>
      <c r="AC173" s="195"/>
      <c r="AD173" s="195"/>
      <c r="AE173" s="195"/>
      <c r="AF173" s="195"/>
      <c r="AG173" s="195"/>
      <c r="AH173" s="195"/>
      <c r="AI173" s="195"/>
      <c r="AJ173" s="195"/>
      <c r="AK173" s="195"/>
      <c r="AL173" s="12">
        <v>126</v>
      </c>
      <c r="AM173" s="195"/>
      <c r="AN173" s="195"/>
      <c r="AO173" s="195"/>
      <c r="AP173" s="195"/>
      <c r="AQ173" s="195"/>
      <c r="AR173" s="195"/>
      <c r="AS173" s="195"/>
      <c r="AT173" s="195"/>
      <c r="AU173" s="195"/>
      <c r="AV173" s="195"/>
      <c r="AW173" s="195"/>
      <c r="AX173" s="195"/>
      <c r="AY173" s="195"/>
      <c r="AZ173" s="195"/>
      <c r="BA173" s="195"/>
      <c r="BB173" s="195"/>
      <c r="BC173" s="195"/>
      <c r="BD173" s="12">
        <v>126</v>
      </c>
      <c r="BE173" s="195"/>
      <c r="BF173" s="195"/>
      <c r="BG173" s="195"/>
      <c r="BH173" s="195"/>
      <c r="BI173" s="195"/>
      <c r="BJ173" s="195"/>
      <c r="BK173" s="195"/>
      <c r="BL173" s="195"/>
      <c r="BM173" s="195"/>
      <c r="BN173" s="195"/>
      <c r="BO173" s="195"/>
      <c r="BP173" s="195"/>
      <c r="BQ173" s="195"/>
      <c r="BR173" s="195"/>
      <c r="BS173" s="195"/>
      <c r="BT173" s="195"/>
      <c r="BU173" s="195"/>
      <c r="BV173" s="12">
        <v>126</v>
      </c>
      <c r="BW173" s="195"/>
      <c r="BX173" s="195"/>
      <c r="BY173" s="195"/>
      <c r="BZ173" s="195"/>
      <c r="CA173" s="195"/>
      <c r="CB173" s="195"/>
      <c r="CC173" s="195"/>
      <c r="CD173" s="195"/>
      <c r="CE173" s="195"/>
      <c r="CF173" s="195"/>
      <c r="CG173" s="195"/>
      <c r="CH173" s="195"/>
      <c r="CI173" s="195"/>
      <c r="CJ173" s="195"/>
      <c r="CK173" s="195"/>
      <c r="CL173" s="195"/>
      <c r="CM173" s="195"/>
      <c r="CN173" s="12">
        <v>126</v>
      </c>
      <c r="CO173" s="195"/>
      <c r="CP173" s="195"/>
      <c r="CQ173" s="195"/>
      <c r="CR173" s="195"/>
      <c r="CS173" s="195"/>
      <c r="CT173" s="195"/>
      <c r="CU173" s="195"/>
      <c r="CV173" s="195"/>
      <c r="CW173" s="195"/>
      <c r="CX173" s="195"/>
      <c r="CY173" s="195"/>
      <c r="CZ173" s="195"/>
      <c r="DA173" s="195"/>
      <c r="DB173" s="195"/>
      <c r="DC173" s="195"/>
      <c r="DD173" s="195"/>
      <c r="DE173" s="195"/>
      <c r="DF173" s="12">
        <v>126</v>
      </c>
      <c r="DG173" s="195"/>
      <c r="DH173" s="195"/>
      <c r="DI173" s="195"/>
      <c r="DJ173" s="195"/>
      <c r="DK173" s="195"/>
      <c r="DL173" s="195"/>
      <c r="DM173" s="195"/>
      <c r="DN173" s="195"/>
      <c r="DO173" s="195"/>
      <c r="DP173" s="195"/>
      <c r="DQ173" s="195"/>
      <c r="DR173" s="195"/>
      <c r="DS173" s="195"/>
      <c r="DT173" s="195"/>
      <c r="DU173" s="195"/>
      <c r="DV173" s="195"/>
      <c r="DW173" s="195"/>
      <c r="DX173" s="12">
        <v>126</v>
      </c>
      <c r="DY173" s="195"/>
      <c r="DZ173" s="195"/>
      <c r="EA173" s="195"/>
      <c r="EB173" s="195"/>
      <c r="EC173" s="195"/>
      <c r="ED173" s="195"/>
      <c r="EE173" s="195"/>
      <c r="EF173" s="195"/>
      <c r="EG173" s="195"/>
      <c r="EH173" s="195"/>
      <c r="EI173" s="195"/>
      <c r="EJ173" s="195"/>
      <c r="EK173" s="195"/>
      <c r="EL173" s="195"/>
      <c r="EM173" s="195"/>
      <c r="EN173" s="195"/>
      <c r="EO173" s="195"/>
      <c r="EP173" s="12">
        <v>126</v>
      </c>
      <c r="EQ173" s="195"/>
      <c r="ER173" s="195"/>
      <c r="ES173" s="195"/>
      <c r="ET173" s="195"/>
      <c r="EU173" s="195"/>
      <c r="EV173" s="195"/>
      <c r="EW173" s="195"/>
      <c r="EX173" s="195"/>
      <c r="EY173" s="195"/>
      <c r="EZ173" s="195"/>
      <c r="FA173" s="195"/>
      <c r="FB173" s="195"/>
      <c r="FC173" s="195"/>
      <c r="FD173" s="195"/>
      <c r="FE173" s="195"/>
      <c r="FF173" s="195"/>
      <c r="FG173" s="195"/>
      <c r="FH173" s="12">
        <v>126</v>
      </c>
      <c r="FI173" s="195"/>
      <c r="FJ173" s="195"/>
      <c r="FK173" s="195"/>
      <c r="FL173" s="195"/>
      <c r="FM173" s="195"/>
      <c r="FN173" s="195"/>
      <c r="FO173" s="195"/>
      <c r="FP173" s="195"/>
      <c r="FQ173" s="195"/>
      <c r="FR173" s="195"/>
      <c r="FS173" s="195"/>
      <c r="FT173" s="195"/>
      <c r="FU173" s="195"/>
      <c r="FV173" s="195"/>
      <c r="FW173" s="195"/>
      <c r="FX173" s="195"/>
      <c r="FY173" s="195"/>
    </row>
    <row r="174" spans="2:181" x14ac:dyDescent="0.25">
      <c r="B174" s="12">
        <v>127</v>
      </c>
      <c r="C174" s="195"/>
      <c r="D174" s="195"/>
      <c r="E174" s="195"/>
      <c r="F174" s="195"/>
      <c r="G174" s="195"/>
      <c r="H174" s="195"/>
      <c r="I174" s="195"/>
      <c r="J174" s="195"/>
      <c r="K174" s="195"/>
      <c r="L174" s="195"/>
      <c r="M174" s="195"/>
      <c r="N174" s="195"/>
      <c r="O174" s="195"/>
      <c r="P174" s="195"/>
      <c r="Q174" s="195"/>
      <c r="R174" s="195"/>
      <c r="S174" s="195"/>
      <c r="T174" s="12">
        <v>127</v>
      </c>
      <c r="U174" s="195"/>
      <c r="V174" s="195"/>
      <c r="W174" s="195"/>
      <c r="X174" s="195"/>
      <c r="Y174" s="195"/>
      <c r="Z174" s="195"/>
      <c r="AA174" s="195"/>
      <c r="AB174" s="195"/>
      <c r="AC174" s="195"/>
      <c r="AD174" s="195"/>
      <c r="AE174" s="195"/>
      <c r="AF174" s="195"/>
      <c r="AG174" s="195"/>
      <c r="AH174" s="195"/>
      <c r="AI174" s="195"/>
      <c r="AJ174" s="195"/>
      <c r="AK174" s="195"/>
      <c r="AL174" s="12">
        <v>127</v>
      </c>
      <c r="AM174" s="195"/>
      <c r="AN174" s="195"/>
      <c r="AO174" s="195"/>
      <c r="AP174" s="195"/>
      <c r="AQ174" s="195"/>
      <c r="AR174" s="195"/>
      <c r="AS174" s="195"/>
      <c r="AT174" s="195"/>
      <c r="AU174" s="195"/>
      <c r="AV174" s="195"/>
      <c r="AW174" s="195"/>
      <c r="AX174" s="195"/>
      <c r="AY174" s="195"/>
      <c r="AZ174" s="195"/>
      <c r="BA174" s="195"/>
      <c r="BB174" s="195"/>
      <c r="BC174" s="195"/>
      <c r="BD174" s="12">
        <v>127</v>
      </c>
      <c r="BE174" s="195"/>
      <c r="BF174" s="195"/>
      <c r="BG174" s="195"/>
      <c r="BH174" s="195"/>
      <c r="BI174" s="195"/>
      <c r="BJ174" s="195"/>
      <c r="BK174" s="195"/>
      <c r="BL174" s="195"/>
      <c r="BM174" s="195"/>
      <c r="BN174" s="195"/>
      <c r="BO174" s="195"/>
      <c r="BP174" s="195"/>
      <c r="BQ174" s="195"/>
      <c r="BR174" s="195"/>
      <c r="BS174" s="195"/>
      <c r="BT174" s="195"/>
      <c r="BU174" s="195"/>
      <c r="BV174" s="12">
        <v>127</v>
      </c>
      <c r="BW174" s="195"/>
      <c r="BX174" s="195"/>
      <c r="BY174" s="195"/>
      <c r="BZ174" s="195"/>
      <c r="CA174" s="195"/>
      <c r="CB174" s="195"/>
      <c r="CC174" s="195"/>
      <c r="CD174" s="195"/>
      <c r="CE174" s="195"/>
      <c r="CF174" s="195"/>
      <c r="CG174" s="195"/>
      <c r="CH174" s="195"/>
      <c r="CI174" s="195"/>
      <c r="CJ174" s="195"/>
      <c r="CK174" s="195"/>
      <c r="CL174" s="195"/>
      <c r="CM174" s="195"/>
      <c r="CN174" s="12">
        <v>127</v>
      </c>
      <c r="CO174" s="195"/>
      <c r="CP174" s="195"/>
      <c r="CQ174" s="195"/>
      <c r="CR174" s="195"/>
      <c r="CS174" s="195"/>
      <c r="CT174" s="195"/>
      <c r="CU174" s="195"/>
      <c r="CV174" s="195"/>
      <c r="CW174" s="195"/>
      <c r="CX174" s="195"/>
      <c r="CY174" s="195"/>
      <c r="CZ174" s="195"/>
      <c r="DA174" s="195"/>
      <c r="DB174" s="195"/>
      <c r="DC174" s="195"/>
      <c r="DD174" s="195"/>
      <c r="DE174" s="195"/>
      <c r="DF174" s="12">
        <v>127</v>
      </c>
      <c r="DG174" s="195"/>
      <c r="DH174" s="195"/>
      <c r="DI174" s="195"/>
      <c r="DJ174" s="195"/>
      <c r="DK174" s="195"/>
      <c r="DL174" s="195"/>
      <c r="DM174" s="195"/>
      <c r="DN174" s="195"/>
      <c r="DO174" s="195"/>
      <c r="DP174" s="195"/>
      <c r="DQ174" s="195"/>
      <c r="DR174" s="195"/>
      <c r="DS174" s="195"/>
      <c r="DT174" s="195"/>
      <c r="DU174" s="195"/>
      <c r="DV174" s="195"/>
      <c r="DW174" s="195"/>
      <c r="DX174" s="12">
        <v>127</v>
      </c>
      <c r="DY174" s="195"/>
      <c r="DZ174" s="195"/>
      <c r="EA174" s="195"/>
      <c r="EB174" s="195"/>
      <c r="EC174" s="195"/>
      <c r="ED174" s="195"/>
      <c r="EE174" s="195"/>
      <c r="EF174" s="195"/>
      <c r="EG174" s="195"/>
      <c r="EH174" s="195"/>
      <c r="EI174" s="195"/>
      <c r="EJ174" s="195"/>
      <c r="EK174" s="195"/>
      <c r="EL174" s="195"/>
      <c r="EM174" s="195"/>
      <c r="EN174" s="195"/>
      <c r="EO174" s="195"/>
      <c r="EP174" s="12">
        <v>127</v>
      </c>
      <c r="EQ174" s="195"/>
      <c r="ER174" s="195"/>
      <c r="ES174" s="195"/>
      <c r="ET174" s="195"/>
      <c r="EU174" s="195"/>
      <c r="EV174" s="195"/>
      <c r="EW174" s="195"/>
      <c r="EX174" s="195"/>
      <c r="EY174" s="195"/>
      <c r="EZ174" s="195"/>
      <c r="FA174" s="195"/>
      <c r="FB174" s="195"/>
      <c r="FC174" s="195"/>
      <c r="FD174" s="195"/>
      <c r="FE174" s="195"/>
      <c r="FF174" s="195"/>
      <c r="FG174" s="195"/>
      <c r="FH174" s="12">
        <v>127</v>
      </c>
      <c r="FI174" s="195"/>
      <c r="FJ174" s="195"/>
      <c r="FK174" s="195"/>
      <c r="FL174" s="195"/>
      <c r="FM174" s="195"/>
      <c r="FN174" s="195"/>
      <c r="FO174" s="195"/>
      <c r="FP174" s="195"/>
      <c r="FQ174" s="195"/>
      <c r="FR174" s="195"/>
      <c r="FS174" s="195"/>
      <c r="FT174" s="195"/>
      <c r="FU174" s="195"/>
      <c r="FV174" s="195"/>
      <c r="FW174" s="195"/>
      <c r="FX174" s="195"/>
      <c r="FY174" s="195"/>
    </row>
    <row r="175" spans="2:181" x14ac:dyDescent="0.25">
      <c r="B175" s="197">
        <v>128</v>
      </c>
      <c r="C175" s="195"/>
      <c r="D175" s="195"/>
      <c r="E175" s="195"/>
      <c r="F175" s="195"/>
      <c r="G175" s="195"/>
      <c r="H175" s="195"/>
      <c r="I175" s="195"/>
      <c r="J175" s="195"/>
      <c r="K175" s="195"/>
      <c r="L175" s="195"/>
      <c r="M175" s="195"/>
      <c r="N175" s="195"/>
      <c r="O175" s="195"/>
      <c r="P175" s="195"/>
      <c r="Q175" s="195"/>
      <c r="R175" s="195"/>
      <c r="S175" s="195"/>
      <c r="T175" s="197">
        <v>128</v>
      </c>
      <c r="U175" s="195"/>
      <c r="V175" s="195"/>
      <c r="W175" s="195"/>
      <c r="X175" s="195"/>
      <c r="Y175" s="195"/>
      <c r="Z175" s="195"/>
      <c r="AA175" s="195"/>
      <c r="AB175" s="195"/>
      <c r="AC175" s="195"/>
      <c r="AD175" s="195"/>
      <c r="AE175" s="195"/>
      <c r="AF175" s="195"/>
      <c r="AG175" s="195"/>
      <c r="AH175" s="195"/>
      <c r="AI175" s="195"/>
      <c r="AJ175" s="195"/>
      <c r="AK175" s="195"/>
      <c r="AL175" s="197">
        <v>128</v>
      </c>
      <c r="AM175" s="195"/>
      <c r="AN175" s="195"/>
      <c r="AO175" s="195"/>
      <c r="AP175" s="195"/>
      <c r="AQ175" s="195"/>
      <c r="AR175" s="195"/>
      <c r="AS175" s="195"/>
      <c r="AT175" s="195"/>
      <c r="AU175" s="195"/>
      <c r="AV175" s="195"/>
      <c r="AW175" s="195"/>
      <c r="AX175" s="195"/>
      <c r="AY175" s="195"/>
      <c r="AZ175" s="195"/>
      <c r="BA175" s="195"/>
      <c r="BB175" s="195"/>
      <c r="BC175" s="195"/>
      <c r="BD175" s="197">
        <v>128</v>
      </c>
      <c r="BE175" s="195"/>
      <c r="BF175" s="195"/>
      <c r="BG175" s="195"/>
      <c r="BH175" s="195"/>
      <c r="BI175" s="195"/>
      <c r="BJ175" s="195"/>
      <c r="BK175" s="195"/>
      <c r="BL175" s="195"/>
      <c r="BM175" s="195"/>
      <c r="BN175" s="195"/>
      <c r="BO175" s="195"/>
      <c r="BP175" s="195"/>
      <c r="BQ175" s="195"/>
      <c r="BR175" s="195"/>
      <c r="BS175" s="195"/>
      <c r="BT175" s="195"/>
      <c r="BU175" s="195"/>
      <c r="BV175" s="197">
        <v>128</v>
      </c>
      <c r="BW175" s="195"/>
      <c r="BX175" s="195"/>
      <c r="BY175" s="195"/>
      <c r="BZ175" s="195"/>
      <c r="CA175" s="195"/>
      <c r="CB175" s="195"/>
      <c r="CC175" s="195"/>
      <c r="CD175" s="195"/>
      <c r="CE175" s="195"/>
      <c r="CF175" s="195"/>
      <c r="CG175" s="195"/>
      <c r="CH175" s="195"/>
      <c r="CI175" s="195"/>
      <c r="CJ175" s="195"/>
      <c r="CK175" s="195"/>
      <c r="CL175" s="195"/>
      <c r="CM175" s="195"/>
      <c r="CN175" s="197">
        <v>128</v>
      </c>
      <c r="CO175" s="195"/>
      <c r="CP175" s="195"/>
      <c r="CQ175" s="195"/>
      <c r="CR175" s="195"/>
      <c r="CS175" s="195"/>
      <c r="CT175" s="195"/>
      <c r="CU175" s="195"/>
      <c r="CV175" s="195"/>
      <c r="CW175" s="195"/>
      <c r="CX175" s="195"/>
      <c r="CY175" s="195"/>
      <c r="CZ175" s="195"/>
      <c r="DA175" s="195"/>
      <c r="DB175" s="195"/>
      <c r="DC175" s="195"/>
      <c r="DD175" s="195"/>
      <c r="DE175" s="195"/>
      <c r="DF175" s="197">
        <v>128</v>
      </c>
      <c r="DG175" s="195"/>
      <c r="DH175" s="195"/>
      <c r="DI175" s="195"/>
      <c r="DJ175" s="195"/>
      <c r="DK175" s="195"/>
      <c r="DL175" s="195"/>
      <c r="DM175" s="195"/>
      <c r="DN175" s="195"/>
      <c r="DO175" s="195"/>
      <c r="DP175" s="195"/>
      <c r="DQ175" s="195"/>
      <c r="DR175" s="195"/>
      <c r="DS175" s="195"/>
      <c r="DT175" s="195"/>
      <c r="DU175" s="195"/>
      <c r="DV175" s="195"/>
      <c r="DW175" s="195"/>
      <c r="DX175" s="197">
        <v>128</v>
      </c>
      <c r="DY175" s="195"/>
      <c r="DZ175" s="195"/>
      <c r="EA175" s="195"/>
      <c r="EB175" s="195"/>
      <c r="EC175" s="195"/>
      <c r="ED175" s="195"/>
      <c r="EE175" s="195"/>
      <c r="EF175" s="195"/>
      <c r="EG175" s="195"/>
      <c r="EH175" s="195"/>
      <c r="EI175" s="195"/>
      <c r="EJ175" s="195"/>
      <c r="EK175" s="195"/>
      <c r="EL175" s="195"/>
      <c r="EM175" s="195"/>
      <c r="EN175" s="195"/>
      <c r="EO175" s="195"/>
      <c r="EP175" s="197">
        <v>128</v>
      </c>
      <c r="EQ175" s="195"/>
      <c r="ER175" s="195"/>
      <c r="ES175" s="195"/>
      <c r="ET175" s="195"/>
      <c r="EU175" s="195"/>
      <c r="EV175" s="195"/>
      <c r="EW175" s="195"/>
      <c r="EX175" s="195"/>
      <c r="EY175" s="195"/>
      <c r="EZ175" s="195"/>
      <c r="FA175" s="195"/>
      <c r="FB175" s="195"/>
      <c r="FC175" s="195"/>
      <c r="FD175" s="195"/>
      <c r="FE175" s="195"/>
      <c r="FF175" s="195"/>
      <c r="FG175" s="195"/>
      <c r="FH175" s="197">
        <v>128</v>
      </c>
      <c r="FI175" s="195"/>
      <c r="FJ175" s="195"/>
      <c r="FK175" s="195"/>
      <c r="FL175" s="195"/>
      <c r="FM175" s="195"/>
      <c r="FN175" s="195"/>
      <c r="FO175" s="195"/>
      <c r="FP175" s="195"/>
      <c r="FQ175" s="195"/>
      <c r="FR175" s="195"/>
      <c r="FS175" s="195"/>
      <c r="FT175" s="195"/>
      <c r="FU175" s="195"/>
      <c r="FV175" s="195"/>
      <c r="FW175" s="195"/>
      <c r="FX175" s="195"/>
      <c r="FY175" s="195"/>
    </row>
    <row r="176" spans="2:181" x14ac:dyDescent="0.25">
      <c r="B176" s="12">
        <v>129</v>
      </c>
      <c r="C176" s="195"/>
      <c r="D176" s="195"/>
      <c r="E176" s="195"/>
      <c r="F176" s="195"/>
      <c r="G176" s="195"/>
      <c r="H176" s="195"/>
      <c r="I176" s="195"/>
      <c r="J176" s="195"/>
      <c r="K176" s="195"/>
      <c r="L176" s="195"/>
      <c r="M176" s="195"/>
      <c r="N176" s="195"/>
      <c r="O176" s="195"/>
      <c r="P176" s="195"/>
      <c r="Q176" s="195"/>
      <c r="R176" s="195"/>
      <c r="S176" s="195"/>
      <c r="T176" s="12">
        <v>129</v>
      </c>
      <c r="U176" s="195"/>
      <c r="V176" s="195"/>
      <c r="W176" s="195"/>
      <c r="X176" s="195"/>
      <c r="Y176" s="195"/>
      <c r="Z176" s="195"/>
      <c r="AA176" s="195"/>
      <c r="AB176" s="195"/>
      <c r="AC176" s="195"/>
      <c r="AD176" s="195"/>
      <c r="AE176" s="195"/>
      <c r="AF176" s="195"/>
      <c r="AG176" s="195"/>
      <c r="AH176" s="195"/>
      <c r="AI176" s="195"/>
      <c r="AJ176" s="195"/>
      <c r="AK176" s="195"/>
      <c r="AL176" s="12">
        <v>129</v>
      </c>
      <c r="AM176" s="195"/>
      <c r="AN176" s="195"/>
      <c r="AO176" s="195"/>
      <c r="AP176" s="195"/>
      <c r="AQ176" s="195"/>
      <c r="AR176" s="195"/>
      <c r="AS176" s="195"/>
      <c r="AT176" s="195"/>
      <c r="AU176" s="195"/>
      <c r="AV176" s="195"/>
      <c r="AW176" s="195"/>
      <c r="AX176" s="195"/>
      <c r="AY176" s="195"/>
      <c r="AZ176" s="195"/>
      <c r="BA176" s="195"/>
      <c r="BB176" s="195"/>
      <c r="BC176" s="195"/>
      <c r="BD176" s="12">
        <v>129</v>
      </c>
      <c r="BE176" s="195"/>
      <c r="BF176" s="195"/>
      <c r="BG176" s="195"/>
      <c r="BH176" s="195"/>
      <c r="BI176" s="195"/>
      <c r="BJ176" s="195"/>
      <c r="BK176" s="195"/>
      <c r="BL176" s="195"/>
      <c r="BM176" s="195"/>
      <c r="BN176" s="195"/>
      <c r="BO176" s="195"/>
      <c r="BP176" s="195"/>
      <c r="BQ176" s="195"/>
      <c r="BR176" s="195"/>
      <c r="BS176" s="195"/>
      <c r="BT176" s="195"/>
      <c r="BU176" s="195"/>
      <c r="BV176" s="12">
        <v>129</v>
      </c>
      <c r="BW176" s="195"/>
      <c r="BX176" s="195"/>
      <c r="BY176" s="195"/>
      <c r="BZ176" s="195"/>
      <c r="CA176" s="195"/>
      <c r="CB176" s="195"/>
      <c r="CC176" s="195"/>
      <c r="CD176" s="195"/>
      <c r="CE176" s="195"/>
      <c r="CF176" s="195"/>
      <c r="CG176" s="195"/>
      <c r="CH176" s="195"/>
      <c r="CI176" s="195"/>
      <c r="CJ176" s="195"/>
      <c r="CK176" s="195"/>
      <c r="CL176" s="195"/>
      <c r="CM176" s="195"/>
      <c r="CN176" s="12">
        <v>129</v>
      </c>
      <c r="CO176" s="195"/>
      <c r="CP176" s="195"/>
      <c r="CQ176" s="195"/>
      <c r="CR176" s="195"/>
      <c r="CS176" s="195"/>
      <c r="CT176" s="195"/>
      <c r="CU176" s="195"/>
      <c r="CV176" s="195"/>
      <c r="CW176" s="195"/>
      <c r="CX176" s="195"/>
      <c r="CY176" s="195"/>
      <c r="CZ176" s="195"/>
      <c r="DA176" s="195"/>
      <c r="DB176" s="195"/>
      <c r="DC176" s="195"/>
      <c r="DD176" s="195"/>
      <c r="DE176" s="195"/>
      <c r="DF176" s="12">
        <v>129</v>
      </c>
      <c r="DG176" s="195"/>
      <c r="DH176" s="195"/>
      <c r="DI176" s="195"/>
      <c r="DJ176" s="195"/>
      <c r="DK176" s="195"/>
      <c r="DL176" s="195"/>
      <c r="DM176" s="195"/>
      <c r="DN176" s="195"/>
      <c r="DO176" s="195"/>
      <c r="DP176" s="195"/>
      <c r="DQ176" s="195"/>
      <c r="DR176" s="195"/>
      <c r="DS176" s="195"/>
      <c r="DT176" s="195"/>
      <c r="DU176" s="195"/>
      <c r="DV176" s="195"/>
      <c r="DW176" s="195"/>
      <c r="DX176" s="12">
        <v>129</v>
      </c>
      <c r="DY176" s="195"/>
      <c r="DZ176" s="195"/>
      <c r="EA176" s="195"/>
      <c r="EB176" s="195"/>
      <c r="EC176" s="195"/>
      <c r="ED176" s="195"/>
      <c r="EE176" s="195"/>
      <c r="EF176" s="195"/>
      <c r="EG176" s="195"/>
      <c r="EH176" s="195"/>
      <c r="EI176" s="195"/>
      <c r="EJ176" s="195"/>
      <c r="EK176" s="195"/>
      <c r="EL176" s="195"/>
      <c r="EM176" s="195"/>
      <c r="EN176" s="195"/>
      <c r="EO176" s="195"/>
      <c r="EP176" s="12">
        <v>129</v>
      </c>
      <c r="EQ176" s="195"/>
      <c r="ER176" s="195"/>
      <c r="ES176" s="195"/>
      <c r="ET176" s="195"/>
      <c r="EU176" s="195"/>
      <c r="EV176" s="195"/>
      <c r="EW176" s="195"/>
      <c r="EX176" s="195"/>
      <c r="EY176" s="195"/>
      <c r="EZ176" s="195"/>
      <c r="FA176" s="195"/>
      <c r="FB176" s="195"/>
      <c r="FC176" s="195"/>
      <c r="FD176" s="195"/>
      <c r="FE176" s="195"/>
      <c r="FF176" s="195"/>
      <c r="FG176" s="195"/>
      <c r="FH176" s="12">
        <v>129</v>
      </c>
      <c r="FI176" s="195"/>
      <c r="FJ176" s="195"/>
      <c r="FK176" s="195"/>
      <c r="FL176" s="195"/>
      <c r="FM176" s="195"/>
      <c r="FN176" s="195"/>
      <c r="FO176" s="195"/>
      <c r="FP176" s="195"/>
      <c r="FQ176" s="195"/>
      <c r="FR176" s="195"/>
      <c r="FS176" s="195"/>
      <c r="FT176" s="195"/>
      <c r="FU176" s="195"/>
      <c r="FV176" s="195"/>
      <c r="FW176" s="195"/>
      <c r="FX176" s="195"/>
      <c r="FY176" s="195"/>
    </row>
    <row r="177" spans="2:181" x14ac:dyDescent="0.25">
      <c r="B177" s="12">
        <v>130</v>
      </c>
      <c r="C177" s="195"/>
      <c r="D177" s="195"/>
      <c r="E177" s="195"/>
      <c r="F177" s="195"/>
      <c r="G177" s="195"/>
      <c r="H177" s="195"/>
      <c r="I177" s="195"/>
      <c r="J177" s="195"/>
      <c r="K177" s="195"/>
      <c r="L177" s="195"/>
      <c r="M177" s="195"/>
      <c r="N177" s="195"/>
      <c r="O177" s="195"/>
      <c r="P177" s="195"/>
      <c r="Q177" s="195"/>
      <c r="R177" s="195"/>
      <c r="S177" s="195"/>
      <c r="T177" s="12">
        <v>130</v>
      </c>
      <c r="U177" s="195"/>
      <c r="V177" s="195"/>
      <c r="W177" s="195"/>
      <c r="X177" s="195"/>
      <c r="Y177" s="195"/>
      <c r="Z177" s="195"/>
      <c r="AA177" s="195"/>
      <c r="AB177" s="195"/>
      <c r="AC177" s="195"/>
      <c r="AD177" s="195"/>
      <c r="AE177" s="195"/>
      <c r="AF177" s="195"/>
      <c r="AG177" s="195"/>
      <c r="AH177" s="195"/>
      <c r="AI177" s="195"/>
      <c r="AJ177" s="195"/>
      <c r="AK177" s="195"/>
      <c r="AL177" s="12">
        <v>130</v>
      </c>
      <c r="AM177" s="195"/>
      <c r="AN177" s="195"/>
      <c r="AO177" s="195"/>
      <c r="AP177" s="195"/>
      <c r="AQ177" s="195"/>
      <c r="AR177" s="195"/>
      <c r="AS177" s="195"/>
      <c r="AT177" s="195"/>
      <c r="AU177" s="195"/>
      <c r="AV177" s="195"/>
      <c r="AW177" s="195"/>
      <c r="AX177" s="195"/>
      <c r="AY177" s="195"/>
      <c r="AZ177" s="195"/>
      <c r="BA177" s="195"/>
      <c r="BB177" s="195"/>
      <c r="BC177" s="195"/>
      <c r="BD177" s="12">
        <v>130</v>
      </c>
      <c r="BE177" s="195"/>
      <c r="BF177" s="195"/>
      <c r="BG177" s="195"/>
      <c r="BH177" s="195"/>
      <c r="BI177" s="195"/>
      <c r="BJ177" s="195"/>
      <c r="BK177" s="195"/>
      <c r="BL177" s="195"/>
      <c r="BM177" s="195"/>
      <c r="BN177" s="195"/>
      <c r="BO177" s="195"/>
      <c r="BP177" s="195"/>
      <c r="BQ177" s="195"/>
      <c r="BR177" s="195"/>
      <c r="BS177" s="195"/>
      <c r="BT177" s="195"/>
      <c r="BU177" s="195"/>
      <c r="BV177" s="12">
        <v>130</v>
      </c>
      <c r="BW177" s="195"/>
      <c r="BX177" s="195"/>
      <c r="BY177" s="195"/>
      <c r="BZ177" s="195"/>
      <c r="CA177" s="195"/>
      <c r="CB177" s="195"/>
      <c r="CC177" s="195"/>
      <c r="CD177" s="195"/>
      <c r="CE177" s="195"/>
      <c r="CF177" s="195"/>
      <c r="CG177" s="195"/>
      <c r="CH177" s="195"/>
      <c r="CI177" s="195"/>
      <c r="CJ177" s="195"/>
      <c r="CK177" s="195"/>
      <c r="CL177" s="195"/>
      <c r="CM177" s="195"/>
      <c r="CN177" s="12">
        <v>130</v>
      </c>
      <c r="CO177" s="195"/>
      <c r="CP177" s="195"/>
      <c r="CQ177" s="195"/>
      <c r="CR177" s="195"/>
      <c r="CS177" s="195"/>
      <c r="CT177" s="195"/>
      <c r="CU177" s="195"/>
      <c r="CV177" s="195"/>
      <c r="CW177" s="195"/>
      <c r="CX177" s="195"/>
      <c r="CY177" s="195"/>
      <c r="CZ177" s="195"/>
      <c r="DA177" s="195"/>
      <c r="DB177" s="195"/>
      <c r="DC177" s="195"/>
      <c r="DD177" s="195"/>
      <c r="DE177" s="195"/>
      <c r="DF177" s="12">
        <v>130</v>
      </c>
      <c r="DG177" s="195"/>
      <c r="DH177" s="195"/>
      <c r="DI177" s="195"/>
      <c r="DJ177" s="195"/>
      <c r="DK177" s="195"/>
      <c r="DL177" s="195"/>
      <c r="DM177" s="195"/>
      <c r="DN177" s="195"/>
      <c r="DO177" s="195"/>
      <c r="DP177" s="195"/>
      <c r="DQ177" s="195"/>
      <c r="DR177" s="195"/>
      <c r="DS177" s="195"/>
      <c r="DT177" s="195"/>
      <c r="DU177" s="195"/>
      <c r="DV177" s="195"/>
      <c r="DW177" s="195"/>
      <c r="DX177" s="12">
        <v>130</v>
      </c>
      <c r="DY177" s="195"/>
      <c r="DZ177" s="195"/>
      <c r="EA177" s="195"/>
      <c r="EB177" s="195"/>
      <c r="EC177" s="195"/>
      <c r="ED177" s="195"/>
      <c r="EE177" s="195"/>
      <c r="EF177" s="195"/>
      <c r="EG177" s="195"/>
      <c r="EH177" s="195"/>
      <c r="EI177" s="195"/>
      <c r="EJ177" s="195"/>
      <c r="EK177" s="195"/>
      <c r="EL177" s="195"/>
      <c r="EM177" s="195"/>
      <c r="EN177" s="195"/>
      <c r="EO177" s="195"/>
      <c r="EP177" s="12">
        <v>130</v>
      </c>
      <c r="EQ177" s="195"/>
      <c r="ER177" s="195"/>
      <c r="ES177" s="195"/>
      <c r="ET177" s="195"/>
      <c r="EU177" s="195"/>
      <c r="EV177" s="195"/>
      <c r="EW177" s="195"/>
      <c r="EX177" s="195"/>
      <c r="EY177" s="195"/>
      <c r="EZ177" s="195"/>
      <c r="FA177" s="195"/>
      <c r="FB177" s="195"/>
      <c r="FC177" s="195"/>
      <c r="FD177" s="195"/>
      <c r="FE177" s="195"/>
      <c r="FF177" s="195"/>
      <c r="FG177" s="195"/>
      <c r="FH177" s="12">
        <v>130</v>
      </c>
      <c r="FI177" s="195"/>
      <c r="FJ177" s="195"/>
      <c r="FK177" s="195"/>
      <c r="FL177" s="195"/>
      <c r="FM177" s="195"/>
      <c r="FN177" s="195"/>
      <c r="FO177" s="195"/>
      <c r="FP177" s="195"/>
      <c r="FQ177" s="195"/>
      <c r="FR177" s="195"/>
      <c r="FS177" s="195"/>
      <c r="FT177" s="195"/>
      <c r="FU177" s="195"/>
      <c r="FV177" s="195"/>
      <c r="FW177" s="195"/>
      <c r="FX177" s="195"/>
      <c r="FY177" s="195"/>
    </row>
    <row r="178" spans="2:181" x14ac:dyDescent="0.25">
      <c r="B178" s="197">
        <v>131</v>
      </c>
      <c r="C178" s="195"/>
      <c r="D178" s="195"/>
      <c r="E178" s="195"/>
      <c r="F178" s="195"/>
      <c r="G178" s="195"/>
      <c r="H178" s="195"/>
      <c r="I178" s="195"/>
      <c r="J178" s="195"/>
      <c r="K178" s="195"/>
      <c r="L178" s="195"/>
      <c r="M178" s="195"/>
      <c r="N178" s="195"/>
      <c r="O178" s="195"/>
      <c r="P178" s="195"/>
      <c r="Q178" s="195"/>
      <c r="R178" s="195"/>
      <c r="S178" s="195"/>
      <c r="T178" s="197">
        <v>131</v>
      </c>
      <c r="U178" s="195"/>
      <c r="V178" s="195"/>
      <c r="W178" s="195"/>
      <c r="X178" s="195"/>
      <c r="Y178" s="195"/>
      <c r="Z178" s="195"/>
      <c r="AA178" s="195"/>
      <c r="AB178" s="195"/>
      <c r="AC178" s="195"/>
      <c r="AD178" s="195"/>
      <c r="AE178" s="195"/>
      <c r="AF178" s="195"/>
      <c r="AG178" s="195"/>
      <c r="AH178" s="195"/>
      <c r="AI178" s="195"/>
      <c r="AJ178" s="195"/>
      <c r="AK178" s="195"/>
      <c r="AL178" s="197">
        <v>131</v>
      </c>
      <c r="AM178" s="195"/>
      <c r="AN178" s="195"/>
      <c r="AO178" s="195"/>
      <c r="AP178" s="195"/>
      <c r="AQ178" s="195"/>
      <c r="AR178" s="195"/>
      <c r="AS178" s="195"/>
      <c r="AT178" s="195"/>
      <c r="AU178" s="195"/>
      <c r="AV178" s="195"/>
      <c r="AW178" s="195"/>
      <c r="AX178" s="195"/>
      <c r="AY178" s="195"/>
      <c r="AZ178" s="195"/>
      <c r="BA178" s="195"/>
      <c r="BB178" s="195"/>
      <c r="BC178" s="195"/>
      <c r="BD178" s="197">
        <v>131</v>
      </c>
      <c r="BE178" s="195"/>
      <c r="BF178" s="195"/>
      <c r="BG178" s="195"/>
      <c r="BH178" s="195"/>
      <c r="BI178" s="195"/>
      <c r="BJ178" s="195"/>
      <c r="BK178" s="195"/>
      <c r="BL178" s="195"/>
      <c r="BM178" s="195"/>
      <c r="BN178" s="195"/>
      <c r="BO178" s="195"/>
      <c r="BP178" s="195"/>
      <c r="BQ178" s="195"/>
      <c r="BR178" s="195"/>
      <c r="BS178" s="195"/>
      <c r="BT178" s="195"/>
      <c r="BU178" s="195"/>
      <c r="BV178" s="197">
        <v>131</v>
      </c>
      <c r="BW178" s="195"/>
      <c r="BX178" s="195"/>
      <c r="BY178" s="195"/>
      <c r="BZ178" s="195"/>
      <c r="CA178" s="195"/>
      <c r="CB178" s="195"/>
      <c r="CC178" s="195"/>
      <c r="CD178" s="195"/>
      <c r="CE178" s="195"/>
      <c r="CF178" s="195"/>
      <c r="CG178" s="195"/>
      <c r="CH178" s="195"/>
      <c r="CI178" s="195"/>
      <c r="CJ178" s="195"/>
      <c r="CK178" s="195"/>
      <c r="CL178" s="195"/>
      <c r="CM178" s="195"/>
      <c r="CN178" s="197">
        <v>131</v>
      </c>
      <c r="CO178" s="195"/>
      <c r="CP178" s="195"/>
      <c r="CQ178" s="195"/>
      <c r="CR178" s="195"/>
      <c r="CS178" s="195"/>
      <c r="CT178" s="195"/>
      <c r="CU178" s="195"/>
      <c r="CV178" s="195"/>
      <c r="CW178" s="195"/>
      <c r="CX178" s="195"/>
      <c r="CY178" s="195"/>
      <c r="CZ178" s="195"/>
      <c r="DA178" s="195"/>
      <c r="DB178" s="195"/>
      <c r="DC178" s="195"/>
      <c r="DD178" s="195"/>
      <c r="DE178" s="195"/>
      <c r="DF178" s="197">
        <v>131</v>
      </c>
      <c r="DG178" s="195"/>
      <c r="DH178" s="195"/>
      <c r="DI178" s="195"/>
      <c r="DJ178" s="195"/>
      <c r="DK178" s="195"/>
      <c r="DL178" s="195"/>
      <c r="DM178" s="195"/>
      <c r="DN178" s="195"/>
      <c r="DO178" s="195"/>
      <c r="DP178" s="195"/>
      <c r="DQ178" s="195"/>
      <c r="DR178" s="195"/>
      <c r="DS178" s="195"/>
      <c r="DT178" s="195"/>
      <c r="DU178" s="195"/>
      <c r="DV178" s="195"/>
      <c r="DW178" s="195"/>
      <c r="DX178" s="197">
        <v>131</v>
      </c>
      <c r="DY178" s="195"/>
      <c r="DZ178" s="195"/>
      <c r="EA178" s="195"/>
      <c r="EB178" s="195"/>
      <c r="EC178" s="195"/>
      <c r="ED178" s="195"/>
      <c r="EE178" s="195"/>
      <c r="EF178" s="195"/>
      <c r="EG178" s="195"/>
      <c r="EH178" s="195"/>
      <c r="EI178" s="195"/>
      <c r="EJ178" s="195"/>
      <c r="EK178" s="195"/>
      <c r="EL178" s="195"/>
      <c r="EM178" s="195"/>
      <c r="EN178" s="195"/>
      <c r="EO178" s="195"/>
      <c r="EP178" s="197">
        <v>131</v>
      </c>
      <c r="EQ178" s="195"/>
      <c r="ER178" s="195"/>
      <c r="ES178" s="195"/>
      <c r="ET178" s="195"/>
      <c r="EU178" s="195"/>
      <c r="EV178" s="195"/>
      <c r="EW178" s="195"/>
      <c r="EX178" s="195"/>
      <c r="EY178" s="195"/>
      <c r="EZ178" s="195"/>
      <c r="FA178" s="195"/>
      <c r="FB178" s="195"/>
      <c r="FC178" s="195"/>
      <c r="FD178" s="195"/>
      <c r="FE178" s="195"/>
      <c r="FF178" s="195"/>
      <c r="FG178" s="195"/>
      <c r="FH178" s="197">
        <v>131</v>
      </c>
      <c r="FI178" s="195"/>
      <c r="FJ178" s="195"/>
      <c r="FK178" s="195"/>
      <c r="FL178" s="195"/>
      <c r="FM178" s="195"/>
      <c r="FN178" s="195"/>
      <c r="FO178" s="195"/>
      <c r="FP178" s="195"/>
      <c r="FQ178" s="195"/>
      <c r="FR178" s="195"/>
      <c r="FS178" s="195"/>
      <c r="FT178" s="195"/>
      <c r="FU178" s="195"/>
      <c r="FV178" s="195"/>
      <c r="FW178" s="195"/>
      <c r="FX178" s="195"/>
      <c r="FY178" s="195"/>
    </row>
    <row r="179" spans="2:181" x14ac:dyDescent="0.25">
      <c r="B179" s="12">
        <v>132</v>
      </c>
      <c r="C179" s="195"/>
      <c r="D179" s="195"/>
      <c r="E179" s="195"/>
      <c r="F179" s="195"/>
      <c r="G179" s="195"/>
      <c r="H179" s="195"/>
      <c r="I179" s="195"/>
      <c r="J179" s="195"/>
      <c r="K179" s="195"/>
      <c r="L179" s="195"/>
      <c r="M179" s="195"/>
      <c r="N179" s="195"/>
      <c r="O179" s="195"/>
      <c r="P179" s="195"/>
      <c r="Q179" s="195"/>
      <c r="R179" s="195"/>
      <c r="S179" s="195"/>
      <c r="T179" s="12">
        <v>132</v>
      </c>
      <c r="U179" s="195"/>
      <c r="V179" s="195"/>
      <c r="W179" s="195"/>
      <c r="X179" s="195"/>
      <c r="Y179" s="195"/>
      <c r="Z179" s="195"/>
      <c r="AA179" s="195"/>
      <c r="AB179" s="195"/>
      <c r="AC179" s="195"/>
      <c r="AD179" s="195"/>
      <c r="AE179" s="195"/>
      <c r="AF179" s="195"/>
      <c r="AG179" s="195"/>
      <c r="AH179" s="195"/>
      <c r="AI179" s="195"/>
      <c r="AJ179" s="195"/>
      <c r="AK179" s="195"/>
      <c r="AL179" s="12">
        <v>132</v>
      </c>
      <c r="AM179" s="195"/>
      <c r="AN179" s="195"/>
      <c r="AO179" s="195"/>
      <c r="AP179" s="195"/>
      <c r="AQ179" s="195"/>
      <c r="AR179" s="195"/>
      <c r="AS179" s="195"/>
      <c r="AT179" s="195"/>
      <c r="AU179" s="195"/>
      <c r="AV179" s="195"/>
      <c r="AW179" s="195"/>
      <c r="AX179" s="195"/>
      <c r="AY179" s="195"/>
      <c r="AZ179" s="195"/>
      <c r="BA179" s="195"/>
      <c r="BB179" s="195"/>
      <c r="BC179" s="195"/>
      <c r="BD179" s="12">
        <v>132</v>
      </c>
      <c r="BE179" s="195"/>
      <c r="BF179" s="195"/>
      <c r="BG179" s="195"/>
      <c r="BH179" s="195"/>
      <c r="BI179" s="195"/>
      <c r="BJ179" s="195"/>
      <c r="BK179" s="195"/>
      <c r="BL179" s="195"/>
      <c r="BM179" s="195"/>
      <c r="BN179" s="195"/>
      <c r="BO179" s="195"/>
      <c r="BP179" s="195"/>
      <c r="BQ179" s="195"/>
      <c r="BR179" s="195"/>
      <c r="BS179" s="195"/>
      <c r="BT179" s="195"/>
      <c r="BU179" s="195"/>
      <c r="BV179" s="12">
        <v>132</v>
      </c>
      <c r="BW179" s="195"/>
      <c r="BX179" s="195"/>
      <c r="BY179" s="195"/>
      <c r="BZ179" s="195"/>
      <c r="CA179" s="195"/>
      <c r="CB179" s="195"/>
      <c r="CC179" s="195"/>
      <c r="CD179" s="195"/>
      <c r="CE179" s="195"/>
      <c r="CF179" s="195"/>
      <c r="CG179" s="195"/>
      <c r="CH179" s="195"/>
      <c r="CI179" s="195"/>
      <c r="CJ179" s="195"/>
      <c r="CK179" s="195"/>
      <c r="CL179" s="195"/>
      <c r="CM179" s="195"/>
      <c r="CN179" s="12">
        <v>132</v>
      </c>
      <c r="CO179" s="195"/>
      <c r="CP179" s="195"/>
      <c r="CQ179" s="195"/>
      <c r="CR179" s="195"/>
      <c r="CS179" s="195"/>
      <c r="CT179" s="195"/>
      <c r="CU179" s="195"/>
      <c r="CV179" s="195"/>
      <c r="CW179" s="195"/>
      <c r="CX179" s="195"/>
      <c r="CY179" s="195"/>
      <c r="CZ179" s="195"/>
      <c r="DA179" s="195"/>
      <c r="DB179" s="195"/>
      <c r="DC179" s="195"/>
      <c r="DD179" s="195"/>
      <c r="DE179" s="195"/>
      <c r="DF179" s="12">
        <v>132</v>
      </c>
      <c r="DG179" s="195"/>
      <c r="DH179" s="195"/>
      <c r="DI179" s="195"/>
      <c r="DJ179" s="195"/>
      <c r="DK179" s="195"/>
      <c r="DL179" s="195"/>
      <c r="DM179" s="195"/>
      <c r="DN179" s="195"/>
      <c r="DO179" s="195"/>
      <c r="DP179" s="195"/>
      <c r="DQ179" s="195"/>
      <c r="DR179" s="195"/>
      <c r="DS179" s="195"/>
      <c r="DT179" s="195"/>
      <c r="DU179" s="195"/>
      <c r="DV179" s="195"/>
      <c r="DW179" s="195"/>
      <c r="DX179" s="12">
        <v>132</v>
      </c>
      <c r="DY179" s="195"/>
      <c r="DZ179" s="195"/>
      <c r="EA179" s="195"/>
      <c r="EB179" s="195"/>
      <c r="EC179" s="195"/>
      <c r="ED179" s="195"/>
      <c r="EE179" s="195"/>
      <c r="EF179" s="195"/>
      <c r="EG179" s="195"/>
      <c r="EH179" s="195"/>
      <c r="EI179" s="195"/>
      <c r="EJ179" s="195"/>
      <c r="EK179" s="195"/>
      <c r="EL179" s="195"/>
      <c r="EM179" s="195"/>
      <c r="EN179" s="195"/>
      <c r="EO179" s="195"/>
      <c r="EP179" s="12">
        <v>132</v>
      </c>
      <c r="EQ179" s="195"/>
      <c r="ER179" s="195"/>
      <c r="ES179" s="195"/>
      <c r="ET179" s="195"/>
      <c r="EU179" s="195"/>
      <c r="EV179" s="195"/>
      <c r="EW179" s="195"/>
      <c r="EX179" s="195"/>
      <c r="EY179" s="195"/>
      <c r="EZ179" s="195"/>
      <c r="FA179" s="195"/>
      <c r="FB179" s="195"/>
      <c r="FC179" s="195"/>
      <c r="FD179" s="195"/>
      <c r="FE179" s="195"/>
      <c r="FF179" s="195"/>
      <c r="FG179" s="195"/>
      <c r="FH179" s="12">
        <v>132</v>
      </c>
      <c r="FI179" s="195"/>
      <c r="FJ179" s="195"/>
      <c r="FK179" s="195"/>
      <c r="FL179" s="195"/>
      <c r="FM179" s="195"/>
      <c r="FN179" s="195"/>
      <c r="FO179" s="195"/>
      <c r="FP179" s="195"/>
      <c r="FQ179" s="195"/>
      <c r="FR179" s="195"/>
      <c r="FS179" s="195"/>
      <c r="FT179" s="195"/>
      <c r="FU179" s="195"/>
      <c r="FV179" s="195"/>
      <c r="FW179" s="195"/>
      <c r="FX179" s="195"/>
      <c r="FY179" s="195"/>
    </row>
    <row r="180" spans="2:181" x14ac:dyDescent="0.25">
      <c r="B180" s="12">
        <v>133</v>
      </c>
      <c r="C180" s="195"/>
      <c r="D180" s="195"/>
      <c r="E180" s="195"/>
      <c r="F180" s="195"/>
      <c r="G180" s="195"/>
      <c r="H180" s="195"/>
      <c r="I180" s="195"/>
      <c r="J180" s="195"/>
      <c r="K180" s="195"/>
      <c r="L180" s="195"/>
      <c r="M180" s="195"/>
      <c r="N180" s="195"/>
      <c r="O180" s="195"/>
      <c r="P180" s="195"/>
      <c r="Q180" s="195"/>
      <c r="R180" s="195"/>
      <c r="S180" s="195"/>
      <c r="T180" s="12">
        <v>133</v>
      </c>
      <c r="U180" s="195"/>
      <c r="V180" s="195"/>
      <c r="W180" s="195"/>
      <c r="X180" s="195"/>
      <c r="Y180" s="195"/>
      <c r="Z180" s="195"/>
      <c r="AA180" s="195"/>
      <c r="AB180" s="195"/>
      <c r="AC180" s="195"/>
      <c r="AD180" s="195"/>
      <c r="AE180" s="195"/>
      <c r="AF180" s="195"/>
      <c r="AG180" s="195"/>
      <c r="AH180" s="195"/>
      <c r="AI180" s="195"/>
      <c r="AJ180" s="195"/>
      <c r="AK180" s="195"/>
      <c r="AL180" s="12">
        <v>133</v>
      </c>
      <c r="AM180" s="195"/>
      <c r="AN180" s="195"/>
      <c r="AO180" s="195"/>
      <c r="AP180" s="195"/>
      <c r="AQ180" s="195"/>
      <c r="AR180" s="195"/>
      <c r="AS180" s="195"/>
      <c r="AT180" s="195"/>
      <c r="AU180" s="195"/>
      <c r="AV180" s="195"/>
      <c r="AW180" s="195"/>
      <c r="AX180" s="195"/>
      <c r="AY180" s="195"/>
      <c r="AZ180" s="195"/>
      <c r="BA180" s="195"/>
      <c r="BB180" s="195"/>
      <c r="BC180" s="195"/>
      <c r="BD180" s="12">
        <v>133</v>
      </c>
      <c r="BE180" s="195"/>
      <c r="BF180" s="195"/>
      <c r="BG180" s="195"/>
      <c r="BH180" s="195"/>
      <c r="BI180" s="195"/>
      <c r="BJ180" s="195"/>
      <c r="BK180" s="195"/>
      <c r="BL180" s="195"/>
      <c r="BM180" s="195"/>
      <c r="BN180" s="195"/>
      <c r="BO180" s="195"/>
      <c r="BP180" s="195"/>
      <c r="BQ180" s="195"/>
      <c r="BR180" s="195"/>
      <c r="BS180" s="195"/>
      <c r="BT180" s="195"/>
      <c r="BU180" s="195"/>
      <c r="BV180" s="12">
        <v>133</v>
      </c>
      <c r="BW180" s="195"/>
      <c r="BX180" s="195"/>
      <c r="BY180" s="195"/>
      <c r="BZ180" s="195"/>
      <c r="CA180" s="195"/>
      <c r="CB180" s="195"/>
      <c r="CC180" s="195"/>
      <c r="CD180" s="195"/>
      <c r="CE180" s="195"/>
      <c r="CF180" s="195"/>
      <c r="CG180" s="195"/>
      <c r="CH180" s="195"/>
      <c r="CI180" s="195"/>
      <c r="CJ180" s="195"/>
      <c r="CK180" s="195"/>
      <c r="CL180" s="195"/>
      <c r="CM180" s="195"/>
      <c r="CN180" s="12">
        <v>133</v>
      </c>
      <c r="CO180" s="195"/>
      <c r="CP180" s="195"/>
      <c r="CQ180" s="195"/>
      <c r="CR180" s="195"/>
      <c r="CS180" s="195"/>
      <c r="CT180" s="195"/>
      <c r="CU180" s="195"/>
      <c r="CV180" s="195"/>
      <c r="CW180" s="195"/>
      <c r="CX180" s="195"/>
      <c r="CY180" s="195"/>
      <c r="CZ180" s="195"/>
      <c r="DA180" s="195"/>
      <c r="DB180" s="195"/>
      <c r="DC180" s="195"/>
      <c r="DD180" s="195"/>
      <c r="DE180" s="195"/>
      <c r="DF180" s="12">
        <v>133</v>
      </c>
      <c r="DG180" s="195"/>
      <c r="DH180" s="195"/>
      <c r="DI180" s="195"/>
      <c r="DJ180" s="195"/>
      <c r="DK180" s="195"/>
      <c r="DL180" s="195"/>
      <c r="DM180" s="195"/>
      <c r="DN180" s="195"/>
      <c r="DO180" s="195"/>
      <c r="DP180" s="195"/>
      <c r="DQ180" s="195"/>
      <c r="DR180" s="195"/>
      <c r="DS180" s="195"/>
      <c r="DT180" s="195"/>
      <c r="DU180" s="195"/>
      <c r="DV180" s="195"/>
      <c r="DW180" s="195"/>
      <c r="DX180" s="12">
        <v>133</v>
      </c>
      <c r="DY180" s="195"/>
      <c r="DZ180" s="195"/>
      <c r="EA180" s="195"/>
      <c r="EB180" s="195"/>
      <c r="EC180" s="195"/>
      <c r="ED180" s="195"/>
      <c r="EE180" s="195"/>
      <c r="EF180" s="195"/>
      <c r="EG180" s="195"/>
      <c r="EH180" s="195"/>
      <c r="EI180" s="195"/>
      <c r="EJ180" s="195"/>
      <c r="EK180" s="195"/>
      <c r="EL180" s="195"/>
      <c r="EM180" s="195"/>
      <c r="EN180" s="195"/>
      <c r="EO180" s="195"/>
      <c r="EP180" s="12">
        <v>133</v>
      </c>
      <c r="EQ180" s="195"/>
      <c r="ER180" s="195"/>
      <c r="ES180" s="195"/>
      <c r="ET180" s="195"/>
      <c r="EU180" s="195"/>
      <c r="EV180" s="195"/>
      <c r="EW180" s="195"/>
      <c r="EX180" s="195"/>
      <c r="EY180" s="195"/>
      <c r="EZ180" s="195"/>
      <c r="FA180" s="195"/>
      <c r="FB180" s="195"/>
      <c r="FC180" s="195"/>
      <c r="FD180" s="195"/>
      <c r="FE180" s="195"/>
      <c r="FF180" s="195"/>
      <c r="FG180" s="195"/>
      <c r="FH180" s="12">
        <v>133</v>
      </c>
      <c r="FI180" s="195"/>
      <c r="FJ180" s="195"/>
      <c r="FK180" s="195"/>
      <c r="FL180" s="195"/>
      <c r="FM180" s="195"/>
      <c r="FN180" s="195"/>
      <c r="FO180" s="195"/>
      <c r="FP180" s="195"/>
      <c r="FQ180" s="195"/>
      <c r="FR180" s="195"/>
      <c r="FS180" s="195"/>
      <c r="FT180" s="195"/>
      <c r="FU180" s="195"/>
      <c r="FV180" s="195"/>
      <c r="FW180" s="195"/>
      <c r="FX180" s="195"/>
      <c r="FY180" s="195"/>
    </row>
    <row r="181" spans="2:181" x14ac:dyDescent="0.25">
      <c r="B181" s="197">
        <v>134</v>
      </c>
      <c r="C181" s="195"/>
      <c r="D181" s="195"/>
      <c r="E181" s="195"/>
      <c r="F181" s="195"/>
      <c r="G181" s="195"/>
      <c r="H181" s="195"/>
      <c r="I181" s="195"/>
      <c r="J181" s="195"/>
      <c r="K181" s="195"/>
      <c r="L181" s="195"/>
      <c r="M181" s="195"/>
      <c r="N181" s="195"/>
      <c r="O181" s="195"/>
      <c r="P181" s="195"/>
      <c r="Q181" s="195"/>
      <c r="R181" s="195"/>
      <c r="S181" s="195"/>
      <c r="T181" s="197">
        <v>134</v>
      </c>
      <c r="U181" s="195"/>
      <c r="V181" s="195"/>
      <c r="W181" s="195"/>
      <c r="X181" s="195"/>
      <c r="Y181" s="195"/>
      <c r="Z181" s="195"/>
      <c r="AA181" s="195"/>
      <c r="AB181" s="195"/>
      <c r="AC181" s="195"/>
      <c r="AD181" s="195"/>
      <c r="AE181" s="195"/>
      <c r="AF181" s="195"/>
      <c r="AG181" s="195"/>
      <c r="AH181" s="195"/>
      <c r="AI181" s="195"/>
      <c r="AJ181" s="195"/>
      <c r="AK181" s="195"/>
      <c r="AL181" s="197">
        <v>134</v>
      </c>
      <c r="AM181" s="195"/>
      <c r="AN181" s="195"/>
      <c r="AO181" s="195"/>
      <c r="AP181" s="195"/>
      <c r="AQ181" s="195"/>
      <c r="AR181" s="195"/>
      <c r="AS181" s="195"/>
      <c r="AT181" s="195"/>
      <c r="AU181" s="195"/>
      <c r="AV181" s="195"/>
      <c r="AW181" s="195"/>
      <c r="AX181" s="195"/>
      <c r="AY181" s="195"/>
      <c r="AZ181" s="195"/>
      <c r="BA181" s="195"/>
      <c r="BB181" s="195"/>
      <c r="BC181" s="195"/>
      <c r="BD181" s="197">
        <v>134</v>
      </c>
      <c r="BE181" s="195"/>
      <c r="BF181" s="195"/>
      <c r="BG181" s="195"/>
      <c r="BH181" s="195"/>
      <c r="BI181" s="195"/>
      <c r="BJ181" s="195"/>
      <c r="BK181" s="195"/>
      <c r="BL181" s="195"/>
      <c r="BM181" s="195"/>
      <c r="BN181" s="195"/>
      <c r="BO181" s="195"/>
      <c r="BP181" s="195"/>
      <c r="BQ181" s="195"/>
      <c r="BR181" s="195"/>
      <c r="BS181" s="195"/>
      <c r="BT181" s="195"/>
      <c r="BU181" s="195"/>
      <c r="BV181" s="197">
        <v>134</v>
      </c>
      <c r="BW181" s="195"/>
      <c r="BX181" s="195"/>
      <c r="BY181" s="195"/>
      <c r="BZ181" s="195"/>
      <c r="CA181" s="195"/>
      <c r="CB181" s="195"/>
      <c r="CC181" s="195"/>
      <c r="CD181" s="195"/>
      <c r="CE181" s="195"/>
      <c r="CF181" s="195"/>
      <c r="CG181" s="195"/>
      <c r="CH181" s="195"/>
      <c r="CI181" s="195"/>
      <c r="CJ181" s="195"/>
      <c r="CK181" s="195"/>
      <c r="CL181" s="195"/>
      <c r="CM181" s="195"/>
      <c r="CN181" s="197">
        <v>134</v>
      </c>
      <c r="CO181" s="195"/>
      <c r="CP181" s="195"/>
      <c r="CQ181" s="195"/>
      <c r="CR181" s="195"/>
      <c r="CS181" s="195"/>
      <c r="CT181" s="195"/>
      <c r="CU181" s="195"/>
      <c r="CV181" s="195"/>
      <c r="CW181" s="195"/>
      <c r="CX181" s="195"/>
      <c r="CY181" s="195"/>
      <c r="CZ181" s="195"/>
      <c r="DA181" s="195"/>
      <c r="DB181" s="195"/>
      <c r="DC181" s="195"/>
      <c r="DD181" s="195"/>
      <c r="DE181" s="195"/>
      <c r="DF181" s="197">
        <v>134</v>
      </c>
      <c r="DG181" s="195"/>
      <c r="DH181" s="195"/>
      <c r="DI181" s="195"/>
      <c r="DJ181" s="195"/>
      <c r="DK181" s="195"/>
      <c r="DL181" s="195"/>
      <c r="DM181" s="195"/>
      <c r="DN181" s="195"/>
      <c r="DO181" s="195"/>
      <c r="DP181" s="195"/>
      <c r="DQ181" s="195"/>
      <c r="DR181" s="195"/>
      <c r="DS181" s="195"/>
      <c r="DT181" s="195"/>
      <c r="DU181" s="195"/>
      <c r="DV181" s="195"/>
      <c r="DW181" s="195"/>
      <c r="DX181" s="197">
        <v>134</v>
      </c>
      <c r="DY181" s="195"/>
      <c r="DZ181" s="195"/>
      <c r="EA181" s="195"/>
      <c r="EB181" s="195"/>
      <c r="EC181" s="195"/>
      <c r="ED181" s="195"/>
      <c r="EE181" s="195"/>
      <c r="EF181" s="195"/>
      <c r="EG181" s="195"/>
      <c r="EH181" s="195"/>
      <c r="EI181" s="195"/>
      <c r="EJ181" s="195"/>
      <c r="EK181" s="195"/>
      <c r="EL181" s="195"/>
      <c r="EM181" s="195"/>
      <c r="EN181" s="195"/>
      <c r="EO181" s="195"/>
      <c r="EP181" s="197">
        <v>134</v>
      </c>
      <c r="EQ181" s="195"/>
      <c r="ER181" s="195"/>
      <c r="ES181" s="195"/>
      <c r="ET181" s="195"/>
      <c r="EU181" s="195"/>
      <c r="EV181" s="195"/>
      <c r="EW181" s="195"/>
      <c r="EX181" s="195"/>
      <c r="EY181" s="195"/>
      <c r="EZ181" s="195"/>
      <c r="FA181" s="195"/>
      <c r="FB181" s="195"/>
      <c r="FC181" s="195"/>
      <c r="FD181" s="195"/>
      <c r="FE181" s="195"/>
      <c r="FF181" s="195"/>
      <c r="FG181" s="195"/>
      <c r="FH181" s="197">
        <v>134</v>
      </c>
      <c r="FI181" s="195"/>
      <c r="FJ181" s="195"/>
      <c r="FK181" s="195"/>
      <c r="FL181" s="195"/>
      <c r="FM181" s="195"/>
      <c r="FN181" s="195"/>
      <c r="FO181" s="195"/>
      <c r="FP181" s="195"/>
      <c r="FQ181" s="195"/>
      <c r="FR181" s="195"/>
      <c r="FS181" s="195"/>
      <c r="FT181" s="195"/>
      <c r="FU181" s="195"/>
      <c r="FV181" s="195"/>
      <c r="FW181" s="195"/>
      <c r="FX181" s="195"/>
      <c r="FY181" s="195"/>
    </row>
    <row r="182" spans="2:181" x14ac:dyDescent="0.25">
      <c r="B182" s="12">
        <v>135</v>
      </c>
      <c r="C182" s="195"/>
      <c r="D182" s="195"/>
      <c r="E182" s="195"/>
      <c r="F182" s="195"/>
      <c r="G182" s="195"/>
      <c r="H182" s="195"/>
      <c r="I182" s="195"/>
      <c r="J182" s="195"/>
      <c r="K182" s="195"/>
      <c r="L182" s="195"/>
      <c r="M182" s="195"/>
      <c r="N182" s="195"/>
      <c r="O182" s="195"/>
      <c r="P182" s="195"/>
      <c r="Q182" s="195"/>
      <c r="R182" s="195"/>
      <c r="S182" s="195"/>
      <c r="T182" s="12">
        <v>135</v>
      </c>
      <c r="U182" s="195"/>
      <c r="V182" s="195"/>
      <c r="W182" s="195"/>
      <c r="X182" s="195"/>
      <c r="Y182" s="195"/>
      <c r="Z182" s="195"/>
      <c r="AA182" s="195"/>
      <c r="AB182" s="195"/>
      <c r="AC182" s="195"/>
      <c r="AD182" s="195"/>
      <c r="AE182" s="195"/>
      <c r="AF182" s="195"/>
      <c r="AG182" s="195"/>
      <c r="AH182" s="195"/>
      <c r="AI182" s="195"/>
      <c r="AJ182" s="195"/>
      <c r="AK182" s="195"/>
      <c r="AL182" s="12">
        <v>135</v>
      </c>
      <c r="AM182" s="195"/>
      <c r="AN182" s="195"/>
      <c r="AO182" s="195"/>
      <c r="AP182" s="195"/>
      <c r="AQ182" s="195"/>
      <c r="AR182" s="195"/>
      <c r="AS182" s="195"/>
      <c r="AT182" s="195"/>
      <c r="AU182" s="195"/>
      <c r="AV182" s="195"/>
      <c r="AW182" s="195"/>
      <c r="AX182" s="195"/>
      <c r="AY182" s="195"/>
      <c r="AZ182" s="195"/>
      <c r="BA182" s="195"/>
      <c r="BB182" s="195"/>
      <c r="BC182" s="195"/>
      <c r="BD182" s="12">
        <v>135</v>
      </c>
      <c r="BE182" s="195"/>
      <c r="BF182" s="195"/>
      <c r="BG182" s="195"/>
      <c r="BH182" s="195"/>
      <c r="BI182" s="195"/>
      <c r="BJ182" s="195"/>
      <c r="BK182" s="195"/>
      <c r="BL182" s="195"/>
      <c r="BM182" s="195"/>
      <c r="BN182" s="195"/>
      <c r="BO182" s="195"/>
      <c r="BP182" s="195"/>
      <c r="BQ182" s="195"/>
      <c r="BR182" s="195"/>
      <c r="BS182" s="195"/>
      <c r="BT182" s="195"/>
      <c r="BU182" s="195"/>
      <c r="BV182" s="12">
        <v>135</v>
      </c>
      <c r="BW182" s="195"/>
      <c r="BX182" s="195"/>
      <c r="BY182" s="195"/>
      <c r="BZ182" s="195"/>
      <c r="CA182" s="195"/>
      <c r="CB182" s="195"/>
      <c r="CC182" s="195"/>
      <c r="CD182" s="195"/>
      <c r="CE182" s="195"/>
      <c r="CF182" s="195"/>
      <c r="CG182" s="195"/>
      <c r="CH182" s="195"/>
      <c r="CI182" s="195"/>
      <c r="CJ182" s="195"/>
      <c r="CK182" s="195"/>
      <c r="CL182" s="195"/>
      <c r="CM182" s="195"/>
      <c r="CN182" s="12">
        <v>135</v>
      </c>
      <c r="CO182" s="195"/>
      <c r="CP182" s="195"/>
      <c r="CQ182" s="195"/>
      <c r="CR182" s="195"/>
      <c r="CS182" s="195"/>
      <c r="CT182" s="195"/>
      <c r="CU182" s="195"/>
      <c r="CV182" s="195"/>
      <c r="CW182" s="195"/>
      <c r="CX182" s="195"/>
      <c r="CY182" s="195"/>
      <c r="CZ182" s="195"/>
      <c r="DA182" s="195"/>
      <c r="DB182" s="195"/>
      <c r="DC182" s="195"/>
      <c r="DD182" s="195"/>
      <c r="DE182" s="195"/>
      <c r="DF182" s="12">
        <v>135</v>
      </c>
      <c r="DG182" s="195"/>
      <c r="DH182" s="195"/>
      <c r="DI182" s="195"/>
      <c r="DJ182" s="195"/>
      <c r="DK182" s="195"/>
      <c r="DL182" s="195"/>
      <c r="DM182" s="195"/>
      <c r="DN182" s="195"/>
      <c r="DO182" s="195"/>
      <c r="DP182" s="195"/>
      <c r="DQ182" s="195"/>
      <c r="DR182" s="195"/>
      <c r="DS182" s="195"/>
      <c r="DT182" s="195"/>
      <c r="DU182" s="195"/>
      <c r="DV182" s="195"/>
      <c r="DW182" s="195"/>
      <c r="DX182" s="12">
        <v>135</v>
      </c>
      <c r="DY182" s="195"/>
      <c r="DZ182" s="195"/>
      <c r="EA182" s="195"/>
      <c r="EB182" s="195"/>
      <c r="EC182" s="195"/>
      <c r="ED182" s="195"/>
      <c r="EE182" s="195"/>
      <c r="EF182" s="195"/>
      <c r="EG182" s="195"/>
      <c r="EH182" s="195"/>
      <c r="EI182" s="195"/>
      <c r="EJ182" s="195"/>
      <c r="EK182" s="195"/>
      <c r="EL182" s="195"/>
      <c r="EM182" s="195"/>
      <c r="EN182" s="195"/>
      <c r="EO182" s="195"/>
      <c r="EP182" s="12">
        <v>135</v>
      </c>
      <c r="EQ182" s="195"/>
      <c r="ER182" s="195"/>
      <c r="ES182" s="195"/>
      <c r="ET182" s="195"/>
      <c r="EU182" s="195"/>
      <c r="EV182" s="195"/>
      <c r="EW182" s="195"/>
      <c r="EX182" s="195"/>
      <c r="EY182" s="195"/>
      <c r="EZ182" s="195"/>
      <c r="FA182" s="195"/>
      <c r="FB182" s="195"/>
      <c r="FC182" s="195"/>
      <c r="FD182" s="195"/>
      <c r="FE182" s="195"/>
      <c r="FF182" s="195"/>
      <c r="FG182" s="195"/>
      <c r="FH182" s="12">
        <v>135</v>
      </c>
      <c r="FI182" s="195"/>
      <c r="FJ182" s="195"/>
      <c r="FK182" s="195"/>
      <c r="FL182" s="195"/>
      <c r="FM182" s="195"/>
      <c r="FN182" s="195"/>
      <c r="FO182" s="195"/>
      <c r="FP182" s="195"/>
      <c r="FQ182" s="195"/>
      <c r="FR182" s="195"/>
      <c r="FS182" s="195"/>
      <c r="FT182" s="195"/>
      <c r="FU182" s="195"/>
      <c r="FV182" s="195"/>
      <c r="FW182" s="195"/>
      <c r="FX182" s="195"/>
      <c r="FY182" s="195"/>
    </row>
    <row r="183" spans="2:181" x14ac:dyDescent="0.25">
      <c r="B183" s="12">
        <v>136</v>
      </c>
      <c r="C183" s="195"/>
      <c r="D183" s="195"/>
      <c r="E183" s="195"/>
      <c r="F183" s="195"/>
      <c r="G183" s="195"/>
      <c r="H183" s="195"/>
      <c r="I183" s="195"/>
      <c r="J183" s="195"/>
      <c r="K183" s="195"/>
      <c r="L183" s="195"/>
      <c r="M183" s="195"/>
      <c r="N183" s="195"/>
      <c r="O183" s="195"/>
      <c r="P183" s="195"/>
      <c r="Q183" s="195"/>
      <c r="R183" s="195"/>
      <c r="S183" s="195"/>
      <c r="T183" s="12">
        <v>136</v>
      </c>
      <c r="U183" s="195"/>
      <c r="V183" s="195"/>
      <c r="W183" s="195"/>
      <c r="X183" s="195"/>
      <c r="Y183" s="195"/>
      <c r="Z183" s="195"/>
      <c r="AA183" s="195"/>
      <c r="AB183" s="195"/>
      <c r="AC183" s="195"/>
      <c r="AD183" s="195"/>
      <c r="AE183" s="195"/>
      <c r="AF183" s="195"/>
      <c r="AG183" s="195"/>
      <c r="AH183" s="195"/>
      <c r="AI183" s="195"/>
      <c r="AJ183" s="195"/>
      <c r="AK183" s="195"/>
      <c r="AL183" s="12">
        <v>136</v>
      </c>
      <c r="AM183" s="195"/>
      <c r="AN183" s="195"/>
      <c r="AO183" s="195"/>
      <c r="AP183" s="195"/>
      <c r="AQ183" s="195"/>
      <c r="AR183" s="195"/>
      <c r="AS183" s="195"/>
      <c r="AT183" s="195"/>
      <c r="AU183" s="195"/>
      <c r="AV183" s="195"/>
      <c r="AW183" s="195"/>
      <c r="AX183" s="195"/>
      <c r="AY183" s="195"/>
      <c r="AZ183" s="195"/>
      <c r="BA183" s="195"/>
      <c r="BB183" s="195"/>
      <c r="BC183" s="195"/>
      <c r="BD183" s="12">
        <v>136</v>
      </c>
      <c r="BE183" s="195"/>
      <c r="BF183" s="195"/>
      <c r="BG183" s="195"/>
      <c r="BH183" s="195"/>
      <c r="BI183" s="195"/>
      <c r="BJ183" s="195"/>
      <c r="BK183" s="195"/>
      <c r="BL183" s="195"/>
      <c r="BM183" s="195"/>
      <c r="BN183" s="195"/>
      <c r="BO183" s="195"/>
      <c r="BP183" s="195"/>
      <c r="BQ183" s="195"/>
      <c r="BR183" s="195"/>
      <c r="BS183" s="195"/>
      <c r="BT183" s="195"/>
      <c r="BU183" s="195"/>
      <c r="BV183" s="12">
        <v>136</v>
      </c>
      <c r="BW183" s="195"/>
      <c r="BX183" s="195"/>
      <c r="BY183" s="195"/>
      <c r="BZ183" s="195"/>
      <c r="CA183" s="195"/>
      <c r="CB183" s="195"/>
      <c r="CC183" s="195"/>
      <c r="CD183" s="195"/>
      <c r="CE183" s="195"/>
      <c r="CF183" s="195"/>
      <c r="CG183" s="195"/>
      <c r="CH183" s="195"/>
      <c r="CI183" s="195"/>
      <c r="CJ183" s="195"/>
      <c r="CK183" s="195"/>
      <c r="CL183" s="195"/>
      <c r="CM183" s="195"/>
      <c r="CN183" s="12">
        <v>136</v>
      </c>
      <c r="CO183" s="195"/>
      <c r="CP183" s="195"/>
      <c r="CQ183" s="195"/>
      <c r="CR183" s="195"/>
      <c r="CS183" s="195"/>
      <c r="CT183" s="195"/>
      <c r="CU183" s="195"/>
      <c r="CV183" s="195"/>
      <c r="CW183" s="195"/>
      <c r="CX183" s="195"/>
      <c r="CY183" s="195"/>
      <c r="CZ183" s="195"/>
      <c r="DA183" s="195"/>
      <c r="DB183" s="195"/>
      <c r="DC183" s="195"/>
      <c r="DD183" s="195"/>
      <c r="DE183" s="195"/>
      <c r="DF183" s="12">
        <v>136</v>
      </c>
      <c r="DG183" s="195"/>
      <c r="DH183" s="195"/>
      <c r="DI183" s="195"/>
      <c r="DJ183" s="195"/>
      <c r="DK183" s="195"/>
      <c r="DL183" s="195"/>
      <c r="DM183" s="195"/>
      <c r="DN183" s="195"/>
      <c r="DO183" s="195"/>
      <c r="DP183" s="195"/>
      <c r="DQ183" s="195"/>
      <c r="DR183" s="195"/>
      <c r="DS183" s="195"/>
      <c r="DT183" s="195"/>
      <c r="DU183" s="195"/>
      <c r="DV183" s="195"/>
      <c r="DW183" s="195"/>
      <c r="DX183" s="12">
        <v>136</v>
      </c>
      <c r="DY183" s="195"/>
      <c r="DZ183" s="195"/>
      <c r="EA183" s="195"/>
      <c r="EB183" s="195"/>
      <c r="EC183" s="195"/>
      <c r="ED183" s="195"/>
      <c r="EE183" s="195"/>
      <c r="EF183" s="195"/>
      <c r="EG183" s="195"/>
      <c r="EH183" s="195"/>
      <c r="EI183" s="195"/>
      <c r="EJ183" s="195"/>
      <c r="EK183" s="195"/>
      <c r="EL183" s="195"/>
      <c r="EM183" s="195"/>
      <c r="EN183" s="195"/>
      <c r="EO183" s="195"/>
      <c r="EP183" s="12">
        <v>136</v>
      </c>
      <c r="EQ183" s="195"/>
      <c r="ER183" s="195"/>
      <c r="ES183" s="195"/>
      <c r="ET183" s="195"/>
      <c r="EU183" s="195"/>
      <c r="EV183" s="195"/>
      <c r="EW183" s="195"/>
      <c r="EX183" s="195"/>
      <c r="EY183" s="195"/>
      <c r="EZ183" s="195"/>
      <c r="FA183" s="195"/>
      <c r="FB183" s="195"/>
      <c r="FC183" s="195"/>
      <c r="FD183" s="195"/>
      <c r="FE183" s="195"/>
      <c r="FF183" s="195"/>
      <c r="FG183" s="195"/>
      <c r="FH183" s="12">
        <v>136</v>
      </c>
      <c r="FI183" s="195"/>
      <c r="FJ183" s="195"/>
      <c r="FK183" s="195"/>
      <c r="FL183" s="195"/>
      <c r="FM183" s="195"/>
      <c r="FN183" s="195"/>
      <c r="FO183" s="195"/>
      <c r="FP183" s="195"/>
      <c r="FQ183" s="195"/>
      <c r="FR183" s="195"/>
      <c r="FS183" s="195"/>
      <c r="FT183" s="195"/>
      <c r="FU183" s="195"/>
      <c r="FV183" s="195"/>
      <c r="FW183" s="195"/>
      <c r="FX183" s="195"/>
      <c r="FY183" s="195"/>
    </row>
    <row r="184" spans="2:181" x14ac:dyDescent="0.25">
      <c r="B184" s="197">
        <v>137</v>
      </c>
      <c r="C184" s="195"/>
      <c r="D184" s="195"/>
      <c r="E184" s="195"/>
      <c r="F184" s="195"/>
      <c r="G184" s="195"/>
      <c r="H184" s="195"/>
      <c r="I184" s="195"/>
      <c r="J184" s="195"/>
      <c r="K184" s="195"/>
      <c r="L184" s="195"/>
      <c r="M184" s="195"/>
      <c r="N184" s="195"/>
      <c r="O184" s="195"/>
      <c r="P184" s="195"/>
      <c r="Q184" s="195"/>
      <c r="R184" s="195"/>
      <c r="S184" s="195"/>
      <c r="T184" s="197">
        <v>137</v>
      </c>
      <c r="U184" s="195"/>
      <c r="V184" s="195"/>
      <c r="W184" s="195"/>
      <c r="X184" s="195"/>
      <c r="Y184" s="195"/>
      <c r="Z184" s="195"/>
      <c r="AA184" s="195"/>
      <c r="AB184" s="195"/>
      <c r="AC184" s="195"/>
      <c r="AD184" s="195"/>
      <c r="AE184" s="195"/>
      <c r="AF184" s="195"/>
      <c r="AG184" s="195"/>
      <c r="AH184" s="195"/>
      <c r="AI184" s="195"/>
      <c r="AJ184" s="195"/>
      <c r="AK184" s="195"/>
      <c r="AL184" s="197">
        <v>137</v>
      </c>
      <c r="AM184" s="195"/>
      <c r="AN184" s="195"/>
      <c r="AO184" s="195"/>
      <c r="AP184" s="195"/>
      <c r="AQ184" s="195"/>
      <c r="AR184" s="195"/>
      <c r="AS184" s="195"/>
      <c r="AT184" s="195"/>
      <c r="AU184" s="195"/>
      <c r="AV184" s="195"/>
      <c r="AW184" s="195"/>
      <c r="AX184" s="195"/>
      <c r="AY184" s="195"/>
      <c r="AZ184" s="195"/>
      <c r="BA184" s="195"/>
      <c r="BB184" s="195"/>
      <c r="BC184" s="195"/>
      <c r="BD184" s="197">
        <v>137</v>
      </c>
      <c r="BE184" s="195"/>
      <c r="BF184" s="195"/>
      <c r="BG184" s="195"/>
      <c r="BH184" s="195"/>
      <c r="BI184" s="195"/>
      <c r="BJ184" s="195"/>
      <c r="BK184" s="195"/>
      <c r="BL184" s="195"/>
      <c r="BM184" s="195"/>
      <c r="BN184" s="195"/>
      <c r="BO184" s="195"/>
      <c r="BP184" s="195"/>
      <c r="BQ184" s="195"/>
      <c r="BR184" s="195"/>
      <c r="BS184" s="195"/>
      <c r="BT184" s="195"/>
      <c r="BU184" s="195"/>
      <c r="BV184" s="197">
        <v>137</v>
      </c>
      <c r="BW184" s="195"/>
      <c r="BX184" s="195"/>
      <c r="BY184" s="195"/>
      <c r="BZ184" s="195"/>
      <c r="CA184" s="195"/>
      <c r="CB184" s="195"/>
      <c r="CC184" s="195"/>
      <c r="CD184" s="195"/>
      <c r="CE184" s="195"/>
      <c r="CF184" s="195"/>
      <c r="CG184" s="195"/>
      <c r="CH184" s="195"/>
      <c r="CI184" s="195"/>
      <c r="CJ184" s="195"/>
      <c r="CK184" s="195"/>
      <c r="CL184" s="195"/>
      <c r="CM184" s="195"/>
      <c r="CN184" s="197">
        <v>137</v>
      </c>
      <c r="CO184" s="195"/>
      <c r="CP184" s="195"/>
      <c r="CQ184" s="195"/>
      <c r="CR184" s="195"/>
      <c r="CS184" s="195"/>
      <c r="CT184" s="195"/>
      <c r="CU184" s="195"/>
      <c r="CV184" s="195"/>
      <c r="CW184" s="195"/>
      <c r="CX184" s="195"/>
      <c r="CY184" s="195"/>
      <c r="CZ184" s="195"/>
      <c r="DA184" s="195"/>
      <c r="DB184" s="195"/>
      <c r="DC184" s="195"/>
      <c r="DD184" s="195"/>
      <c r="DE184" s="195"/>
      <c r="DF184" s="197">
        <v>137</v>
      </c>
      <c r="DG184" s="195"/>
      <c r="DH184" s="195"/>
      <c r="DI184" s="195"/>
      <c r="DJ184" s="195"/>
      <c r="DK184" s="195"/>
      <c r="DL184" s="195"/>
      <c r="DM184" s="195"/>
      <c r="DN184" s="195"/>
      <c r="DO184" s="195"/>
      <c r="DP184" s="195"/>
      <c r="DQ184" s="195"/>
      <c r="DR184" s="195"/>
      <c r="DS184" s="195"/>
      <c r="DT184" s="195"/>
      <c r="DU184" s="195"/>
      <c r="DV184" s="195"/>
      <c r="DW184" s="195"/>
      <c r="DX184" s="197">
        <v>137</v>
      </c>
      <c r="DY184" s="195"/>
      <c r="DZ184" s="195"/>
      <c r="EA184" s="195"/>
      <c r="EB184" s="195"/>
      <c r="EC184" s="195"/>
      <c r="ED184" s="195"/>
      <c r="EE184" s="195"/>
      <c r="EF184" s="195"/>
      <c r="EG184" s="195"/>
      <c r="EH184" s="195"/>
      <c r="EI184" s="195"/>
      <c r="EJ184" s="195"/>
      <c r="EK184" s="195"/>
      <c r="EL184" s="195"/>
      <c r="EM184" s="195"/>
      <c r="EN184" s="195"/>
      <c r="EO184" s="195"/>
      <c r="EP184" s="197">
        <v>137</v>
      </c>
      <c r="EQ184" s="195"/>
      <c r="ER184" s="195"/>
      <c r="ES184" s="195"/>
      <c r="ET184" s="195"/>
      <c r="EU184" s="195"/>
      <c r="EV184" s="195"/>
      <c r="EW184" s="195"/>
      <c r="EX184" s="195"/>
      <c r="EY184" s="195"/>
      <c r="EZ184" s="195"/>
      <c r="FA184" s="195"/>
      <c r="FB184" s="195"/>
      <c r="FC184" s="195"/>
      <c r="FD184" s="195"/>
      <c r="FE184" s="195"/>
      <c r="FF184" s="195"/>
      <c r="FG184" s="195"/>
      <c r="FH184" s="197">
        <v>137</v>
      </c>
      <c r="FI184" s="195"/>
      <c r="FJ184" s="195"/>
      <c r="FK184" s="195"/>
      <c r="FL184" s="195"/>
      <c r="FM184" s="195"/>
      <c r="FN184" s="195"/>
      <c r="FO184" s="195"/>
      <c r="FP184" s="195"/>
      <c r="FQ184" s="195"/>
      <c r="FR184" s="195"/>
      <c r="FS184" s="195"/>
      <c r="FT184" s="195"/>
      <c r="FU184" s="195"/>
      <c r="FV184" s="195"/>
      <c r="FW184" s="195"/>
      <c r="FX184" s="195"/>
      <c r="FY184" s="195"/>
    </row>
    <row r="185" spans="2:181" x14ac:dyDescent="0.25">
      <c r="B185" s="12">
        <v>138</v>
      </c>
      <c r="C185" s="195"/>
      <c r="D185" s="195"/>
      <c r="E185" s="195"/>
      <c r="F185" s="195"/>
      <c r="G185" s="195"/>
      <c r="H185" s="195"/>
      <c r="I185" s="195"/>
      <c r="J185" s="195"/>
      <c r="K185" s="195"/>
      <c r="L185" s="195"/>
      <c r="M185" s="195"/>
      <c r="N185" s="195"/>
      <c r="O185" s="195"/>
      <c r="P185" s="195"/>
      <c r="Q185" s="195"/>
      <c r="R185" s="195"/>
      <c r="S185" s="195"/>
      <c r="T185" s="12">
        <v>138</v>
      </c>
      <c r="U185" s="195"/>
      <c r="V185" s="195"/>
      <c r="W185" s="195"/>
      <c r="X185" s="195"/>
      <c r="Y185" s="195"/>
      <c r="Z185" s="195"/>
      <c r="AA185" s="195"/>
      <c r="AB185" s="195"/>
      <c r="AC185" s="195"/>
      <c r="AD185" s="195"/>
      <c r="AE185" s="195"/>
      <c r="AF185" s="195"/>
      <c r="AG185" s="195"/>
      <c r="AH185" s="195"/>
      <c r="AI185" s="195"/>
      <c r="AJ185" s="195"/>
      <c r="AK185" s="195"/>
      <c r="AL185" s="12">
        <v>138</v>
      </c>
      <c r="AM185" s="195"/>
      <c r="AN185" s="195"/>
      <c r="AO185" s="195"/>
      <c r="AP185" s="195"/>
      <c r="AQ185" s="195"/>
      <c r="AR185" s="195"/>
      <c r="AS185" s="195"/>
      <c r="AT185" s="195"/>
      <c r="AU185" s="195"/>
      <c r="AV185" s="195"/>
      <c r="AW185" s="195"/>
      <c r="AX185" s="195"/>
      <c r="AY185" s="195"/>
      <c r="AZ185" s="195"/>
      <c r="BA185" s="195"/>
      <c r="BB185" s="195"/>
      <c r="BC185" s="195"/>
      <c r="BD185" s="12">
        <v>138</v>
      </c>
      <c r="BE185" s="195"/>
      <c r="BF185" s="195"/>
      <c r="BG185" s="195"/>
      <c r="BH185" s="195"/>
      <c r="BI185" s="195"/>
      <c r="BJ185" s="195"/>
      <c r="BK185" s="195"/>
      <c r="BL185" s="195"/>
      <c r="BM185" s="195"/>
      <c r="BN185" s="195"/>
      <c r="BO185" s="195"/>
      <c r="BP185" s="195"/>
      <c r="BQ185" s="195"/>
      <c r="BR185" s="195"/>
      <c r="BS185" s="195"/>
      <c r="BT185" s="195"/>
      <c r="BU185" s="195"/>
      <c r="BV185" s="12">
        <v>138</v>
      </c>
      <c r="BW185" s="195"/>
      <c r="BX185" s="195"/>
      <c r="BY185" s="195"/>
      <c r="BZ185" s="195"/>
      <c r="CA185" s="195"/>
      <c r="CB185" s="195"/>
      <c r="CC185" s="195"/>
      <c r="CD185" s="195"/>
      <c r="CE185" s="195"/>
      <c r="CF185" s="195"/>
      <c r="CG185" s="195"/>
      <c r="CH185" s="195"/>
      <c r="CI185" s="195"/>
      <c r="CJ185" s="195"/>
      <c r="CK185" s="195"/>
      <c r="CL185" s="195"/>
      <c r="CM185" s="195"/>
      <c r="CN185" s="12">
        <v>138</v>
      </c>
      <c r="CO185" s="195"/>
      <c r="CP185" s="195"/>
      <c r="CQ185" s="195"/>
      <c r="CR185" s="195"/>
      <c r="CS185" s="195"/>
      <c r="CT185" s="195"/>
      <c r="CU185" s="195"/>
      <c r="CV185" s="195"/>
      <c r="CW185" s="195"/>
      <c r="CX185" s="195"/>
      <c r="CY185" s="195"/>
      <c r="CZ185" s="195"/>
      <c r="DA185" s="195"/>
      <c r="DB185" s="195"/>
      <c r="DC185" s="195"/>
      <c r="DD185" s="195"/>
      <c r="DE185" s="195"/>
      <c r="DF185" s="12">
        <v>138</v>
      </c>
      <c r="DG185" s="195"/>
      <c r="DH185" s="195"/>
      <c r="DI185" s="195"/>
      <c r="DJ185" s="195"/>
      <c r="DK185" s="195"/>
      <c r="DL185" s="195"/>
      <c r="DM185" s="195"/>
      <c r="DN185" s="195"/>
      <c r="DO185" s="195"/>
      <c r="DP185" s="195"/>
      <c r="DQ185" s="195"/>
      <c r="DR185" s="195"/>
      <c r="DS185" s="195"/>
      <c r="DT185" s="195"/>
      <c r="DU185" s="195"/>
      <c r="DV185" s="195"/>
      <c r="DW185" s="195"/>
      <c r="DX185" s="12">
        <v>138</v>
      </c>
      <c r="DY185" s="195"/>
      <c r="DZ185" s="195"/>
      <c r="EA185" s="195"/>
      <c r="EB185" s="195"/>
      <c r="EC185" s="195"/>
      <c r="ED185" s="195"/>
      <c r="EE185" s="195"/>
      <c r="EF185" s="195"/>
      <c r="EG185" s="195"/>
      <c r="EH185" s="195"/>
      <c r="EI185" s="195"/>
      <c r="EJ185" s="195"/>
      <c r="EK185" s="195"/>
      <c r="EL185" s="195"/>
      <c r="EM185" s="195"/>
      <c r="EN185" s="195"/>
      <c r="EO185" s="195"/>
      <c r="EP185" s="12">
        <v>138</v>
      </c>
      <c r="EQ185" s="195"/>
      <c r="ER185" s="195"/>
      <c r="ES185" s="195"/>
      <c r="ET185" s="195"/>
      <c r="EU185" s="195"/>
      <c r="EV185" s="195"/>
      <c r="EW185" s="195"/>
      <c r="EX185" s="195"/>
      <c r="EY185" s="195"/>
      <c r="EZ185" s="195"/>
      <c r="FA185" s="195"/>
      <c r="FB185" s="195"/>
      <c r="FC185" s="195"/>
      <c r="FD185" s="195"/>
      <c r="FE185" s="195"/>
      <c r="FF185" s="195"/>
      <c r="FG185" s="195"/>
      <c r="FH185" s="12">
        <v>138</v>
      </c>
      <c r="FI185" s="195"/>
      <c r="FJ185" s="195"/>
      <c r="FK185" s="195"/>
      <c r="FL185" s="195"/>
      <c r="FM185" s="195"/>
      <c r="FN185" s="195"/>
      <c r="FO185" s="195"/>
      <c r="FP185" s="195"/>
      <c r="FQ185" s="195"/>
      <c r="FR185" s="195"/>
      <c r="FS185" s="195"/>
      <c r="FT185" s="195"/>
      <c r="FU185" s="195"/>
      <c r="FV185" s="195"/>
      <c r="FW185" s="195"/>
      <c r="FX185" s="195"/>
      <c r="FY185" s="195"/>
    </row>
    <row r="186" spans="2:181" x14ac:dyDescent="0.25">
      <c r="B186" s="12">
        <v>139</v>
      </c>
      <c r="C186" s="195"/>
      <c r="D186" s="195"/>
      <c r="E186" s="195"/>
      <c r="F186" s="195"/>
      <c r="G186" s="195"/>
      <c r="H186" s="195"/>
      <c r="I186" s="195"/>
      <c r="J186" s="195"/>
      <c r="K186" s="195"/>
      <c r="L186" s="195"/>
      <c r="M186" s="195"/>
      <c r="N186" s="195"/>
      <c r="O186" s="195"/>
      <c r="P186" s="195"/>
      <c r="Q186" s="195"/>
      <c r="R186" s="195"/>
      <c r="S186" s="195"/>
      <c r="T186" s="12">
        <v>139</v>
      </c>
      <c r="U186" s="195"/>
      <c r="V186" s="195"/>
      <c r="W186" s="195"/>
      <c r="X186" s="195"/>
      <c r="Y186" s="195"/>
      <c r="Z186" s="195"/>
      <c r="AA186" s="195"/>
      <c r="AB186" s="195"/>
      <c r="AC186" s="195"/>
      <c r="AD186" s="195"/>
      <c r="AE186" s="195"/>
      <c r="AF186" s="195"/>
      <c r="AG186" s="195"/>
      <c r="AH186" s="195"/>
      <c r="AI186" s="195"/>
      <c r="AJ186" s="195"/>
      <c r="AK186" s="195"/>
      <c r="AL186" s="12">
        <v>139</v>
      </c>
      <c r="AM186" s="195"/>
      <c r="AN186" s="195"/>
      <c r="AO186" s="195"/>
      <c r="AP186" s="195"/>
      <c r="AQ186" s="195"/>
      <c r="AR186" s="195"/>
      <c r="AS186" s="195"/>
      <c r="AT186" s="195"/>
      <c r="AU186" s="195"/>
      <c r="AV186" s="195"/>
      <c r="AW186" s="195"/>
      <c r="AX186" s="195"/>
      <c r="AY186" s="195"/>
      <c r="AZ186" s="195"/>
      <c r="BA186" s="195"/>
      <c r="BB186" s="195"/>
      <c r="BC186" s="195"/>
      <c r="BD186" s="12">
        <v>139</v>
      </c>
      <c r="BE186" s="195"/>
      <c r="BF186" s="195"/>
      <c r="BG186" s="195"/>
      <c r="BH186" s="195"/>
      <c r="BI186" s="195"/>
      <c r="BJ186" s="195"/>
      <c r="BK186" s="195"/>
      <c r="BL186" s="195"/>
      <c r="BM186" s="195"/>
      <c r="BN186" s="195"/>
      <c r="BO186" s="195"/>
      <c r="BP186" s="195"/>
      <c r="BQ186" s="195"/>
      <c r="BR186" s="195"/>
      <c r="BS186" s="195"/>
      <c r="BT186" s="195"/>
      <c r="BU186" s="195"/>
      <c r="BV186" s="12">
        <v>139</v>
      </c>
      <c r="BW186" s="195"/>
      <c r="BX186" s="195"/>
      <c r="BY186" s="195"/>
      <c r="BZ186" s="195"/>
      <c r="CA186" s="195"/>
      <c r="CB186" s="195"/>
      <c r="CC186" s="195"/>
      <c r="CD186" s="195"/>
      <c r="CE186" s="195"/>
      <c r="CF186" s="195"/>
      <c r="CG186" s="195"/>
      <c r="CH186" s="195"/>
      <c r="CI186" s="195"/>
      <c r="CJ186" s="195"/>
      <c r="CK186" s="195"/>
      <c r="CL186" s="195"/>
      <c r="CM186" s="195"/>
      <c r="CN186" s="12">
        <v>139</v>
      </c>
      <c r="CO186" s="195"/>
      <c r="CP186" s="195"/>
      <c r="CQ186" s="195"/>
      <c r="CR186" s="195"/>
      <c r="CS186" s="195"/>
      <c r="CT186" s="195"/>
      <c r="CU186" s="195"/>
      <c r="CV186" s="195"/>
      <c r="CW186" s="195"/>
      <c r="CX186" s="195"/>
      <c r="CY186" s="195"/>
      <c r="CZ186" s="195"/>
      <c r="DA186" s="195"/>
      <c r="DB186" s="195"/>
      <c r="DC186" s="195"/>
      <c r="DD186" s="195"/>
      <c r="DE186" s="195"/>
      <c r="DF186" s="12">
        <v>139</v>
      </c>
      <c r="DG186" s="195"/>
      <c r="DH186" s="195"/>
      <c r="DI186" s="195"/>
      <c r="DJ186" s="195"/>
      <c r="DK186" s="195"/>
      <c r="DL186" s="195"/>
      <c r="DM186" s="195"/>
      <c r="DN186" s="195"/>
      <c r="DO186" s="195"/>
      <c r="DP186" s="195"/>
      <c r="DQ186" s="195"/>
      <c r="DR186" s="195"/>
      <c r="DS186" s="195"/>
      <c r="DT186" s="195"/>
      <c r="DU186" s="195"/>
      <c r="DV186" s="195"/>
      <c r="DW186" s="195"/>
      <c r="DX186" s="12">
        <v>139</v>
      </c>
      <c r="DY186" s="195"/>
      <c r="DZ186" s="195"/>
      <c r="EA186" s="195"/>
      <c r="EB186" s="195"/>
      <c r="EC186" s="195"/>
      <c r="ED186" s="195"/>
      <c r="EE186" s="195"/>
      <c r="EF186" s="195"/>
      <c r="EG186" s="195"/>
      <c r="EH186" s="195"/>
      <c r="EI186" s="195"/>
      <c r="EJ186" s="195"/>
      <c r="EK186" s="195"/>
      <c r="EL186" s="195"/>
      <c r="EM186" s="195"/>
      <c r="EN186" s="195"/>
      <c r="EO186" s="195"/>
      <c r="EP186" s="12">
        <v>139</v>
      </c>
      <c r="EQ186" s="195"/>
      <c r="ER186" s="195"/>
      <c r="ES186" s="195"/>
      <c r="ET186" s="195"/>
      <c r="EU186" s="195"/>
      <c r="EV186" s="195"/>
      <c r="EW186" s="195"/>
      <c r="EX186" s="195"/>
      <c r="EY186" s="195"/>
      <c r="EZ186" s="195"/>
      <c r="FA186" s="195"/>
      <c r="FB186" s="195"/>
      <c r="FC186" s="195"/>
      <c r="FD186" s="195"/>
      <c r="FE186" s="195"/>
      <c r="FF186" s="195"/>
      <c r="FG186" s="195"/>
      <c r="FH186" s="12">
        <v>139</v>
      </c>
      <c r="FI186" s="195"/>
      <c r="FJ186" s="195"/>
      <c r="FK186" s="195"/>
      <c r="FL186" s="195"/>
      <c r="FM186" s="195"/>
      <c r="FN186" s="195"/>
      <c r="FO186" s="195"/>
      <c r="FP186" s="195"/>
      <c r="FQ186" s="195"/>
      <c r="FR186" s="195"/>
      <c r="FS186" s="195"/>
      <c r="FT186" s="195"/>
      <c r="FU186" s="195"/>
      <c r="FV186" s="195"/>
      <c r="FW186" s="195"/>
      <c r="FX186" s="195"/>
      <c r="FY186" s="195"/>
    </row>
    <row r="187" spans="2:181" x14ac:dyDescent="0.25">
      <c r="B187" s="197">
        <v>140</v>
      </c>
      <c r="C187" s="195"/>
      <c r="D187" s="195"/>
      <c r="E187" s="195"/>
      <c r="F187" s="195"/>
      <c r="G187" s="195"/>
      <c r="H187" s="195"/>
      <c r="I187" s="195"/>
      <c r="J187" s="195"/>
      <c r="K187" s="195"/>
      <c r="L187" s="195"/>
      <c r="M187" s="195"/>
      <c r="N187" s="195"/>
      <c r="O187" s="195"/>
      <c r="P187" s="195"/>
      <c r="Q187" s="195"/>
      <c r="R187" s="195"/>
      <c r="S187" s="195"/>
      <c r="T187" s="197">
        <v>140</v>
      </c>
      <c r="U187" s="195"/>
      <c r="V187" s="195"/>
      <c r="W187" s="195"/>
      <c r="X187" s="195"/>
      <c r="Y187" s="195"/>
      <c r="Z187" s="195"/>
      <c r="AA187" s="195"/>
      <c r="AB187" s="195"/>
      <c r="AC187" s="195"/>
      <c r="AD187" s="195"/>
      <c r="AE187" s="195"/>
      <c r="AF187" s="195"/>
      <c r="AG187" s="195"/>
      <c r="AH187" s="195"/>
      <c r="AI187" s="195"/>
      <c r="AJ187" s="195"/>
      <c r="AK187" s="195"/>
      <c r="AL187" s="197">
        <v>140</v>
      </c>
      <c r="AM187" s="195"/>
      <c r="AN187" s="195"/>
      <c r="AO187" s="195"/>
      <c r="AP187" s="195"/>
      <c r="AQ187" s="195"/>
      <c r="AR187" s="195"/>
      <c r="AS187" s="195"/>
      <c r="AT187" s="195"/>
      <c r="AU187" s="195"/>
      <c r="AV187" s="195"/>
      <c r="AW187" s="195"/>
      <c r="AX187" s="195"/>
      <c r="AY187" s="195"/>
      <c r="AZ187" s="195"/>
      <c r="BA187" s="195"/>
      <c r="BB187" s="195"/>
      <c r="BC187" s="195"/>
      <c r="BD187" s="197">
        <v>140</v>
      </c>
      <c r="BE187" s="195"/>
      <c r="BF187" s="195"/>
      <c r="BG187" s="195"/>
      <c r="BH187" s="195"/>
      <c r="BI187" s="195"/>
      <c r="BJ187" s="195"/>
      <c r="BK187" s="195"/>
      <c r="BL187" s="195"/>
      <c r="BM187" s="195"/>
      <c r="BN187" s="195"/>
      <c r="BO187" s="195"/>
      <c r="BP187" s="195"/>
      <c r="BQ187" s="195"/>
      <c r="BR187" s="195"/>
      <c r="BS187" s="195"/>
      <c r="BT187" s="195"/>
      <c r="BU187" s="195"/>
      <c r="BV187" s="197">
        <v>140</v>
      </c>
      <c r="BW187" s="195"/>
      <c r="BX187" s="195"/>
      <c r="BY187" s="195"/>
      <c r="BZ187" s="195"/>
      <c r="CA187" s="195"/>
      <c r="CB187" s="195"/>
      <c r="CC187" s="195"/>
      <c r="CD187" s="195"/>
      <c r="CE187" s="195"/>
      <c r="CF187" s="195"/>
      <c r="CG187" s="195"/>
      <c r="CH187" s="195"/>
      <c r="CI187" s="195"/>
      <c r="CJ187" s="195"/>
      <c r="CK187" s="195"/>
      <c r="CL187" s="195"/>
      <c r="CM187" s="195"/>
      <c r="CN187" s="197">
        <v>140</v>
      </c>
      <c r="CO187" s="195"/>
      <c r="CP187" s="195"/>
      <c r="CQ187" s="195"/>
      <c r="CR187" s="195"/>
      <c r="CS187" s="195"/>
      <c r="CT187" s="195"/>
      <c r="CU187" s="195"/>
      <c r="CV187" s="195"/>
      <c r="CW187" s="195"/>
      <c r="CX187" s="195"/>
      <c r="CY187" s="195"/>
      <c r="CZ187" s="195"/>
      <c r="DA187" s="195"/>
      <c r="DB187" s="195"/>
      <c r="DC187" s="195"/>
      <c r="DD187" s="195"/>
      <c r="DE187" s="195"/>
      <c r="DF187" s="197">
        <v>140</v>
      </c>
      <c r="DG187" s="195"/>
      <c r="DH187" s="195"/>
      <c r="DI187" s="195"/>
      <c r="DJ187" s="195"/>
      <c r="DK187" s="195"/>
      <c r="DL187" s="195"/>
      <c r="DM187" s="195"/>
      <c r="DN187" s="195"/>
      <c r="DO187" s="195"/>
      <c r="DP187" s="195"/>
      <c r="DQ187" s="195"/>
      <c r="DR187" s="195"/>
      <c r="DS187" s="195"/>
      <c r="DT187" s="195"/>
      <c r="DU187" s="195"/>
      <c r="DV187" s="195"/>
      <c r="DW187" s="195"/>
      <c r="DX187" s="197">
        <v>140</v>
      </c>
      <c r="DY187" s="195"/>
      <c r="DZ187" s="195"/>
      <c r="EA187" s="195"/>
      <c r="EB187" s="195"/>
      <c r="EC187" s="195"/>
      <c r="ED187" s="195"/>
      <c r="EE187" s="195"/>
      <c r="EF187" s="195"/>
      <c r="EG187" s="195"/>
      <c r="EH187" s="195"/>
      <c r="EI187" s="195"/>
      <c r="EJ187" s="195"/>
      <c r="EK187" s="195"/>
      <c r="EL187" s="195"/>
      <c r="EM187" s="195"/>
      <c r="EN187" s="195"/>
      <c r="EO187" s="195"/>
      <c r="EP187" s="197">
        <v>140</v>
      </c>
      <c r="EQ187" s="195"/>
      <c r="ER187" s="195"/>
      <c r="ES187" s="195"/>
      <c r="ET187" s="195"/>
      <c r="EU187" s="195"/>
      <c r="EV187" s="195"/>
      <c r="EW187" s="195"/>
      <c r="EX187" s="195"/>
      <c r="EY187" s="195"/>
      <c r="EZ187" s="195"/>
      <c r="FA187" s="195"/>
      <c r="FB187" s="195"/>
      <c r="FC187" s="195"/>
      <c r="FD187" s="195"/>
      <c r="FE187" s="195"/>
      <c r="FF187" s="195"/>
      <c r="FG187" s="195"/>
      <c r="FH187" s="197">
        <v>140</v>
      </c>
      <c r="FI187" s="195"/>
      <c r="FJ187" s="195"/>
      <c r="FK187" s="195"/>
      <c r="FL187" s="195"/>
      <c r="FM187" s="195"/>
      <c r="FN187" s="195"/>
      <c r="FO187" s="195"/>
      <c r="FP187" s="195"/>
      <c r="FQ187" s="195"/>
      <c r="FR187" s="195"/>
      <c r="FS187" s="195"/>
      <c r="FT187" s="195"/>
      <c r="FU187" s="195"/>
      <c r="FV187" s="195"/>
      <c r="FW187" s="195"/>
      <c r="FX187" s="195"/>
      <c r="FY187" s="195"/>
    </row>
    <row r="188" spans="2:181" x14ac:dyDescent="0.25">
      <c r="B188" s="12">
        <v>141</v>
      </c>
      <c r="C188" s="195"/>
      <c r="D188" s="195"/>
      <c r="E188" s="195"/>
      <c r="F188" s="195"/>
      <c r="G188" s="195"/>
      <c r="H188" s="195"/>
      <c r="I188" s="195"/>
      <c r="J188" s="195"/>
      <c r="K188" s="195"/>
      <c r="L188" s="195"/>
      <c r="M188" s="195"/>
      <c r="N188" s="195"/>
      <c r="O188" s="195"/>
      <c r="P188" s="195"/>
      <c r="Q188" s="195"/>
      <c r="R188" s="195"/>
      <c r="S188" s="195"/>
      <c r="T188" s="12">
        <v>141</v>
      </c>
      <c r="U188" s="195"/>
      <c r="V188" s="195"/>
      <c r="W188" s="195"/>
      <c r="X188" s="195"/>
      <c r="Y188" s="195"/>
      <c r="Z188" s="195"/>
      <c r="AA188" s="195"/>
      <c r="AB188" s="195"/>
      <c r="AC188" s="195"/>
      <c r="AD188" s="195"/>
      <c r="AE188" s="195"/>
      <c r="AF188" s="195"/>
      <c r="AG188" s="195"/>
      <c r="AH188" s="195"/>
      <c r="AI188" s="195"/>
      <c r="AJ188" s="195"/>
      <c r="AK188" s="195"/>
      <c r="AL188" s="12">
        <v>141</v>
      </c>
      <c r="AM188" s="195"/>
      <c r="AN188" s="195"/>
      <c r="AO188" s="195"/>
      <c r="AP188" s="195"/>
      <c r="AQ188" s="195"/>
      <c r="AR188" s="195"/>
      <c r="AS188" s="195"/>
      <c r="AT188" s="195"/>
      <c r="AU188" s="195"/>
      <c r="AV188" s="195"/>
      <c r="AW188" s="195"/>
      <c r="AX188" s="195"/>
      <c r="AY188" s="195"/>
      <c r="AZ188" s="195"/>
      <c r="BA188" s="195"/>
      <c r="BB188" s="195"/>
      <c r="BC188" s="195"/>
      <c r="BD188" s="12">
        <v>141</v>
      </c>
      <c r="BE188" s="195"/>
      <c r="BF188" s="195"/>
      <c r="BG188" s="195"/>
      <c r="BH188" s="195"/>
      <c r="BI188" s="195"/>
      <c r="BJ188" s="195"/>
      <c r="BK188" s="195"/>
      <c r="BL188" s="195"/>
      <c r="BM188" s="195"/>
      <c r="BN188" s="195"/>
      <c r="BO188" s="195"/>
      <c r="BP188" s="195"/>
      <c r="BQ188" s="195"/>
      <c r="BR188" s="195"/>
      <c r="BS188" s="195"/>
      <c r="BT188" s="195"/>
      <c r="BU188" s="195"/>
      <c r="BV188" s="12">
        <v>141</v>
      </c>
      <c r="BW188" s="195"/>
      <c r="BX188" s="195"/>
      <c r="BY188" s="195"/>
      <c r="BZ188" s="195"/>
      <c r="CA188" s="195"/>
      <c r="CB188" s="195"/>
      <c r="CC188" s="195"/>
      <c r="CD188" s="195"/>
      <c r="CE188" s="195"/>
      <c r="CF188" s="195"/>
      <c r="CG188" s="195"/>
      <c r="CH188" s="195"/>
      <c r="CI188" s="195"/>
      <c r="CJ188" s="195"/>
      <c r="CK188" s="195"/>
      <c r="CL188" s="195"/>
      <c r="CM188" s="195"/>
      <c r="CN188" s="12">
        <v>141</v>
      </c>
      <c r="CO188" s="195"/>
      <c r="CP188" s="195"/>
      <c r="CQ188" s="195"/>
      <c r="CR188" s="195"/>
      <c r="CS188" s="195"/>
      <c r="CT188" s="195"/>
      <c r="CU188" s="195"/>
      <c r="CV188" s="195"/>
      <c r="CW188" s="195"/>
      <c r="CX188" s="195"/>
      <c r="CY188" s="195"/>
      <c r="CZ188" s="195"/>
      <c r="DA188" s="195"/>
      <c r="DB188" s="195"/>
      <c r="DC188" s="195"/>
      <c r="DD188" s="195"/>
      <c r="DE188" s="195"/>
      <c r="DF188" s="12">
        <v>141</v>
      </c>
      <c r="DG188" s="195"/>
      <c r="DH188" s="195"/>
      <c r="DI188" s="195"/>
      <c r="DJ188" s="195"/>
      <c r="DK188" s="195"/>
      <c r="DL188" s="195"/>
      <c r="DM188" s="195"/>
      <c r="DN188" s="195"/>
      <c r="DO188" s="195"/>
      <c r="DP188" s="195"/>
      <c r="DQ188" s="195"/>
      <c r="DR188" s="195"/>
      <c r="DS188" s="195"/>
      <c r="DT188" s="195"/>
      <c r="DU188" s="195"/>
      <c r="DV188" s="195"/>
      <c r="DW188" s="195"/>
      <c r="DX188" s="12">
        <v>141</v>
      </c>
      <c r="DY188" s="195"/>
      <c r="DZ188" s="195"/>
      <c r="EA188" s="195"/>
      <c r="EB188" s="195"/>
      <c r="EC188" s="195"/>
      <c r="ED188" s="195"/>
      <c r="EE188" s="195"/>
      <c r="EF188" s="195"/>
      <c r="EG188" s="195"/>
      <c r="EH188" s="195"/>
      <c r="EI188" s="195"/>
      <c r="EJ188" s="195"/>
      <c r="EK188" s="195"/>
      <c r="EL188" s="195"/>
      <c r="EM188" s="195"/>
      <c r="EN188" s="195"/>
      <c r="EO188" s="195"/>
      <c r="EP188" s="12">
        <v>141</v>
      </c>
      <c r="EQ188" s="195"/>
      <c r="ER188" s="195"/>
      <c r="ES188" s="195"/>
      <c r="ET188" s="195"/>
      <c r="EU188" s="195"/>
      <c r="EV188" s="195"/>
      <c r="EW188" s="195"/>
      <c r="EX188" s="195"/>
      <c r="EY188" s="195"/>
      <c r="EZ188" s="195"/>
      <c r="FA188" s="195"/>
      <c r="FB188" s="195"/>
      <c r="FC188" s="195"/>
      <c r="FD188" s="195"/>
      <c r="FE188" s="195"/>
      <c r="FF188" s="195"/>
      <c r="FG188" s="195"/>
      <c r="FH188" s="12">
        <v>141</v>
      </c>
      <c r="FI188" s="195"/>
      <c r="FJ188" s="195"/>
      <c r="FK188" s="195"/>
      <c r="FL188" s="195"/>
      <c r="FM188" s="195"/>
      <c r="FN188" s="195"/>
      <c r="FO188" s="195"/>
      <c r="FP188" s="195"/>
      <c r="FQ188" s="195"/>
      <c r="FR188" s="195"/>
      <c r="FS188" s="195"/>
      <c r="FT188" s="195"/>
      <c r="FU188" s="195"/>
      <c r="FV188" s="195"/>
      <c r="FW188" s="195"/>
      <c r="FX188" s="195"/>
      <c r="FY188" s="195"/>
    </row>
    <row r="189" spans="2:181" x14ac:dyDescent="0.25">
      <c r="B189" s="12">
        <v>142</v>
      </c>
      <c r="C189" s="195"/>
      <c r="D189" s="195"/>
      <c r="E189" s="195"/>
      <c r="F189" s="195"/>
      <c r="G189" s="195"/>
      <c r="H189" s="195"/>
      <c r="I189" s="195"/>
      <c r="J189" s="195"/>
      <c r="K189" s="195"/>
      <c r="L189" s="195"/>
      <c r="M189" s="195"/>
      <c r="N189" s="195"/>
      <c r="O189" s="195"/>
      <c r="P189" s="195"/>
      <c r="Q189" s="195"/>
      <c r="R189" s="195"/>
      <c r="S189" s="195"/>
      <c r="T189" s="12">
        <v>142</v>
      </c>
      <c r="U189" s="195"/>
      <c r="V189" s="195"/>
      <c r="W189" s="195"/>
      <c r="X189" s="195"/>
      <c r="Y189" s="195"/>
      <c r="Z189" s="195"/>
      <c r="AA189" s="195"/>
      <c r="AB189" s="195"/>
      <c r="AC189" s="195"/>
      <c r="AD189" s="195"/>
      <c r="AE189" s="195"/>
      <c r="AF189" s="195"/>
      <c r="AG189" s="195"/>
      <c r="AH189" s="195"/>
      <c r="AI189" s="195"/>
      <c r="AJ189" s="195"/>
      <c r="AK189" s="195"/>
      <c r="AL189" s="12">
        <v>142</v>
      </c>
      <c r="AM189" s="195"/>
      <c r="AN189" s="195"/>
      <c r="AO189" s="195"/>
      <c r="AP189" s="195"/>
      <c r="AQ189" s="195"/>
      <c r="AR189" s="195"/>
      <c r="AS189" s="195"/>
      <c r="AT189" s="195"/>
      <c r="AU189" s="195"/>
      <c r="AV189" s="195"/>
      <c r="AW189" s="195"/>
      <c r="AX189" s="195"/>
      <c r="AY189" s="195"/>
      <c r="AZ189" s="195"/>
      <c r="BA189" s="195"/>
      <c r="BB189" s="195"/>
      <c r="BC189" s="195"/>
      <c r="BD189" s="12">
        <v>142</v>
      </c>
      <c r="BE189" s="195"/>
      <c r="BF189" s="195"/>
      <c r="BG189" s="195"/>
      <c r="BH189" s="195"/>
      <c r="BI189" s="195"/>
      <c r="BJ189" s="195"/>
      <c r="BK189" s="195"/>
      <c r="BL189" s="195"/>
      <c r="BM189" s="195"/>
      <c r="BN189" s="195"/>
      <c r="BO189" s="195"/>
      <c r="BP189" s="195"/>
      <c r="BQ189" s="195"/>
      <c r="BR189" s="195"/>
      <c r="BS189" s="195"/>
      <c r="BT189" s="195"/>
      <c r="BU189" s="195"/>
      <c r="BV189" s="12">
        <v>142</v>
      </c>
      <c r="BW189" s="195"/>
      <c r="BX189" s="195"/>
      <c r="BY189" s="195"/>
      <c r="BZ189" s="195"/>
      <c r="CA189" s="195"/>
      <c r="CB189" s="195"/>
      <c r="CC189" s="195"/>
      <c r="CD189" s="195"/>
      <c r="CE189" s="195"/>
      <c r="CF189" s="195"/>
      <c r="CG189" s="195"/>
      <c r="CH189" s="195"/>
      <c r="CI189" s="195"/>
      <c r="CJ189" s="195"/>
      <c r="CK189" s="195"/>
      <c r="CL189" s="195"/>
      <c r="CM189" s="195"/>
      <c r="CN189" s="12">
        <v>142</v>
      </c>
      <c r="CO189" s="195"/>
      <c r="CP189" s="195"/>
      <c r="CQ189" s="195"/>
      <c r="CR189" s="195"/>
      <c r="CS189" s="195"/>
      <c r="CT189" s="195"/>
      <c r="CU189" s="195"/>
      <c r="CV189" s="195"/>
      <c r="CW189" s="195"/>
      <c r="CX189" s="195"/>
      <c r="CY189" s="195"/>
      <c r="CZ189" s="195"/>
      <c r="DA189" s="195"/>
      <c r="DB189" s="195"/>
      <c r="DC189" s="195"/>
      <c r="DD189" s="195"/>
      <c r="DE189" s="195"/>
      <c r="DF189" s="12">
        <v>142</v>
      </c>
      <c r="DG189" s="195"/>
      <c r="DH189" s="195"/>
      <c r="DI189" s="195"/>
      <c r="DJ189" s="195"/>
      <c r="DK189" s="195"/>
      <c r="DL189" s="195"/>
      <c r="DM189" s="195"/>
      <c r="DN189" s="195"/>
      <c r="DO189" s="195"/>
      <c r="DP189" s="195"/>
      <c r="DQ189" s="195"/>
      <c r="DR189" s="195"/>
      <c r="DS189" s="195"/>
      <c r="DT189" s="195"/>
      <c r="DU189" s="195"/>
      <c r="DV189" s="195"/>
      <c r="DW189" s="195"/>
      <c r="DX189" s="12">
        <v>142</v>
      </c>
      <c r="DY189" s="195"/>
      <c r="DZ189" s="195"/>
      <c r="EA189" s="195"/>
      <c r="EB189" s="195"/>
      <c r="EC189" s="195"/>
      <c r="ED189" s="195"/>
      <c r="EE189" s="195"/>
      <c r="EF189" s="195"/>
      <c r="EG189" s="195"/>
      <c r="EH189" s="195"/>
      <c r="EI189" s="195"/>
      <c r="EJ189" s="195"/>
      <c r="EK189" s="195"/>
      <c r="EL189" s="195"/>
      <c r="EM189" s="195"/>
      <c r="EN189" s="195"/>
      <c r="EO189" s="195"/>
      <c r="EP189" s="12">
        <v>142</v>
      </c>
      <c r="EQ189" s="195"/>
      <c r="ER189" s="195"/>
      <c r="ES189" s="195"/>
      <c r="ET189" s="195"/>
      <c r="EU189" s="195"/>
      <c r="EV189" s="195"/>
      <c r="EW189" s="195"/>
      <c r="EX189" s="195"/>
      <c r="EY189" s="195"/>
      <c r="EZ189" s="195"/>
      <c r="FA189" s="195"/>
      <c r="FB189" s="195"/>
      <c r="FC189" s="195"/>
      <c r="FD189" s="195"/>
      <c r="FE189" s="195"/>
      <c r="FF189" s="195"/>
      <c r="FG189" s="195"/>
      <c r="FH189" s="12">
        <v>142</v>
      </c>
      <c r="FI189" s="195"/>
      <c r="FJ189" s="195"/>
      <c r="FK189" s="195"/>
      <c r="FL189" s="195"/>
      <c r="FM189" s="195"/>
      <c r="FN189" s="195"/>
      <c r="FO189" s="195"/>
      <c r="FP189" s="195"/>
      <c r="FQ189" s="195"/>
      <c r="FR189" s="195"/>
      <c r="FS189" s="195"/>
      <c r="FT189" s="195"/>
      <c r="FU189" s="195"/>
      <c r="FV189" s="195"/>
      <c r="FW189" s="195"/>
      <c r="FX189" s="195"/>
      <c r="FY189" s="195"/>
    </row>
    <row r="190" spans="2:181" x14ac:dyDescent="0.25">
      <c r="B190" s="197">
        <v>143</v>
      </c>
      <c r="C190" s="195"/>
      <c r="D190" s="195"/>
      <c r="E190" s="195"/>
      <c r="F190" s="195"/>
      <c r="G190" s="195"/>
      <c r="H190" s="195"/>
      <c r="I190" s="195"/>
      <c r="J190" s="195"/>
      <c r="K190" s="195"/>
      <c r="L190" s="195"/>
      <c r="M190" s="195"/>
      <c r="N190" s="195"/>
      <c r="O190" s="195"/>
      <c r="P190" s="195"/>
      <c r="Q190" s="195"/>
      <c r="R190" s="195"/>
      <c r="S190" s="195"/>
      <c r="T190" s="197">
        <v>143</v>
      </c>
      <c r="U190" s="195"/>
      <c r="V190" s="195"/>
      <c r="W190" s="195"/>
      <c r="X190" s="195"/>
      <c r="Y190" s="195"/>
      <c r="Z190" s="195"/>
      <c r="AA190" s="195"/>
      <c r="AB190" s="195"/>
      <c r="AC190" s="195"/>
      <c r="AD190" s="195"/>
      <c r="AE190" s="195"/>
      <c r="AF190" s="195"/>
      <c r="AG190" s="195"/>
      <c r="AH190" s="195"/>
      <c r="AI190" s="195"/>
      <c r="AJ190" s="195"/>
      <c r="AK190" s="195"/>
      <c r="AL190" s="197">
        <v>143</v>
      </c>
      <c r="AM190" s="195"/>
      <c r="AN190" s="195"/>
      <c r="AO190" s="195"/>
      <c r="AP190" s="195"/>
      <c r="AQ190" s="195"/>
      <c r="AR190" s="195"/>
      <c r="AS190" s="195"/>
      <c r="AT190" s="195"/>
      <c r="AU190" s="195"/>
      <c r="AV190" s="195"/>
      <c r="AW190" s="195"/>
      <c r="AX190" s="195"/>
      <c r="AY190" s="195"/>
      <c r="AZ190" s="195"/>
      <c r="BA190" s="195"/>
      <c r="BB190" s="195"/>
      <c r="BC190" s="195"/>
      <c r="BD190" s="197">
        <v>143</v>
      </c>
      <c r="BE190" s="195"/>
      <c r="BF190" s="195"/>
      <c r="BG190" s="195"/>
      <c r="BH190" s="195"/>
      <c r="BI190" s="195"/>
      <c r="BJ190" s="195"/>
      <c r="BK190" s="195"/>
      <c r="BL190" s="195"/>
      <c r="BM190" s="195"/>
      <c r="BN190" s="195"/>
      <c r="BO190" s="195"/>
      <c r="BP190" s="195"/>
      <c r="BQ190" s="195"/>
      <c r="BR190" s="195"/>
      <c r="BS190" s="195"/>
      <c r="BT190" s="195"/>
      <c r="BU190" s="195"/>
      <c r="BV190" s="197">
        <v>143</v>
      </c>
      <c r="BW190" s="195"/>
      <c r="BX190" s="195"/>
      <c r="BY190" s="195"/>
      <c r="BZ190" s="195"/>
      <c r="CA190" s="195"/>
      <c r="CB190" s="195"/>
      <c r="CC190" s="195"/>
      <c r="CD190" s="195"/>
      <c r="CE190" s="195"/>
      <c r="CF190" s="195"/>
      <c r="CG190" s="195"/>
      <c r="CH190" s="195"/>
      <c r="CI190" s="195"/>
      <c r="CJ190" s="195"/>
      <c r="CK190" s="195"/>
      <c r="CL190" s="195"/>
      <c r="CM190" s="195"/>
      <c r="CN190" s="197">
        <v>143</v>
      </c>
      <c r="CO190" s="195"/>
      <c r="CP190" s="195"/>
      <c r="CQ190" s="195"/>
      <c r="CR190" s="195"/>
      <c r="CS190" s="195"/>
      <c r="CT190" s="195"/>
      <c r="CU190" s="195"/>
      <c r="CV190" s="195"/>
      <c r="CW190" s="195"/>
      <c r="CX190" s="195"/>
      <c r="CY190" s="195"/>
      <c r="CZ190" s="195"/>
      <c r="DA190" s="195"/>
      <c r="DB190" s="195"/>
      <c r="DC190" s="195"/>
      <c r="DD190" s="195"/>
      <c r="DE190" s="195"/>
      <c r="DF190" s="197">
        <v>143</v>
      </c>
      <c r="DG190" s="195"/>
      <c r="DH190" s="195"/>
      <c r="DI190" s="195"/>
      <c r="DJ190" s="195"/>
      <c r="DK190" s="195"/>
      <c r="DL190" s="195"/>
      <c r="DM190" s="195"/>
      <c r="DN190" s="195"/>
      <c r="DO190" s="195"/>
      <c r="DP190" s="195"/>
      <c r="DQ190" s="195"/>
      <c r="DR190" s="195"/>
      <c r="DS190" s="195"/>
      <c r="DT190" s="195"/>
      <c r="DU190" s="195"/>
      <c r="DV190" s="195"/>
      <c r="DW190" s="195"/>
      <c r="DX190" s="197">
        <v>143</v>
      </c>
      <c r="DY190" s="195"/>
      <c r="DZ190" s="195"/>
      <c r="EA190" s="195"/>
      <c r="EB190" s="195"/>
      <c r="EC190" s="195"/>
      <c r="ED190" s="195"/>
      <c r="EE190" s="195"/>
      <c r="EF190" s="195"/>
      <c r="EG190" s="195"/>
      <c r="EH190" s="195"/>
      <c r="EI190" s="195"/>
      <c r="EJ190" s="195"/>
      <c r="EK190" s="195"/>
      <c r="EL190" s="195"/>
      <c r="EM190" s="195"/>
      <c r="EN190" s="195"/>
      <c r="EO190" s="195"/>
      <c r="EP190" s="197">
        <v>143</v>
      </c>
      <c r="EQ190" s="195"/>
      <c r="ER190" s="195"/>
      <c r="ES190" s="195"/>
      <c r="ET190" s="195"/>
      <c r="EU190" s="195"/>
      <c r="EV190" s="195"/>
      <c r="EW190" s="195"/>
      <c r="EX190" s="195"/>
      <c r="EY190" s="195"/>
      <c r="EZ190" s="195"/>
      <c r="FA190" s="195"/>
      <c r="FB190" s="195"/>
      <c r="FC190" s="195"/>
      <c r="FD190" s="195"/>
      <c r="FE190" s="195"/>
      <c r="FF190" s="195"/>
      <c r="FG190" s="195"/>
      <c r="FH190" s="197">
        <v>143</v>
      </c>
      <c r="FI190" s="195"/>
      <c r="FJ190" s="195"/>
      <c r="FK190" s="195"/>
      <c r="FL190" s="195"/>
      <c r="FM190" s="195"/>
      <c r="FN190" s="195"/>
      <c r="FO190" s="195"/>
      <c r="FP190" s="195"/>
      <c r="FQ190" s="195"/>
      <c r="FR190" s="195"/>
      <c r="FS190" s="195"/>
      <c r="FT190" s="195"/>
      <c r="FU190" s="195"/>
      <c r="FV190" s="195"/>
      <c r="FW190" s="195"/>
      <c r="FX190" s="195"/>
      <c r="FY190" s="195"/>
    </row>
    <row r="191" spans="2:181" x14ac:dyDescent="0.25">
      <c r="B191" s="12">
        <v>144</v>
      </c>
      <c r="C191" s="195"/>
      <c r="D191" s="195"/>
      <c r="E191" s="195"/>
      <c r="F191" s="195"/>
      <c r="G191" s="195"/>
      <c r="H191" s="195"/>
      <c r="I191" s="195"/>
      <c r="J191" s="195"/>
      <c r="K191" s="195"/>
      <c r="L191" s="195"/>
      <c r="M191" s="195"/>
      <c r="N191" s="195"/>
      <c r="O191" s="195"/>
      <c r="P191" s="195"/>
      <c r="Q191" s="195"/>
      <c r="R191" s="195"/>
      <c r="S191" s="195"/>
      <c r="T191" s="12">
        <v>144</v>
      </c>
      <c r="U191" s="195"/>
      <c r="V191" s="195"/>
      <c r="W191" s="195"/>
      <c r="X191" s="195"/>
      <c r="Y191" s="195"/>
      <c r="Z191" s="195"/>
      <c r="AA191" s="195"/>
      <c r="AB191" s="195"/>
      <c r="AC191" s="195"/>
      <c r="AD191" s="195"/>
      <c r="AE191" s="195"/>
      <c r="AF191" s="195"/>
      <c r="AG191" s="195"/>
      <c r="AH191" s="195"/>
      <c r="AI191" s="195"/>
      <c r="AJ191" s="195"/>
      <c r="AK191" s="195"/>
      <c r="AL191" s="12">
        <v>144</v>
      </c>
      <c r="AM191" s="195"/>
      <c r="AN191" s="195"/>
      <c r="AO191" s="195"/>
      <c r="AP191" s="195"/>
      <c r="AQ191" s="195"/>
      <c r="AR191" s="195"/>
      <c r="AS191" s="195"/>
      <c r="AT191" s="195"/>
      <c r="AU191" s="195"/>
      <c r="AV191" s="195"/>
      <c r="AW191" s="195"/>
      <c r="AX191" s="195"/>
      <c r="AY191" s="195"/>
      <c r="AZ191" s="195"/>
      <c r="BA191" s="195"/>
      <c r="BB191" s="195"/>
      <c r="BC191" s="195"/>
      <c r="BD191" s="12">
        <v>144</v>
      </c>
      <c r="BE191" s="195"/>
      <c r="BF191" s="195"/>
      <c r="BG191" s="195"/>
      <c r="BH191" s="195"/>
      <c r="BI191" s="195"/>
      <c r="BJ191" s="195"/>
      <c r="BK191" s="195"/>
      <c r="BL191" s="195"/>
      <c r="BM191" s="195"/>
      <c r="BN191" s="195"/>
      <c r="BO191" s="195"/>
      <c r="BP191" s="195"/>
      <c r="BQ191" s="195"/>
      <c r="BR191" s="195"/>
      <c r="BS191" s="195"/>
      <c r="BT191" s="195"/>
      <c r="BU191" s="195"/>
      <c r="BV191" s="12">
        <v>144</v>
      </c>
      <c r="BW191" s="195"/>
      <c r="BX191" s="195"/>
      <c r="BY191" s="195"/>
      <c r="BZ191" s="195"/>
      <c r="CA191" s="195"/>
      <c r="CB191" s="195"/>
      <c r="CC191" s="195"/>
      <c r="CD191" s="195"/>
      <c r="CE191" s="195"/>
      <c r="CF191" s="195"/>
      <c r="CG191" s="195"/>
      <c r="CH191" s="195"/>
      <c r="CI191" s="195"/>
      <c r="CJ191" s="195"/>
      <c r="CK191" s="195"/>
      <c r="CL191" s="195"/>
      <c r="CM191" s="195"/>
      <c r="CN191" s="12">
        <v>144</v>
      </c>
      <c r="CO191" s="195"/>
      <c r="CP191" s="195"/>
      <c r="CQ191" s="195"/>
      <c r="CR191" s="195"/>
      <c r="CS191" s="195"/>
      <c r="CT191" s="195"/>
      <c r="CU191" s="195"/>
      <c r="CV191" s="195"/>
      <c r="CW191" s="195"/>
      <c r="CX191" s="195"/>
      <c r="CY191" s="195"/>
      <c r="CZ191" s="195"/>
      <c r="DA191" s="195"/>
      <c r="DB191" s="195"/>
      <c r="DC191" s="195"/>
      <c r="DD191" s="195"/>
      <c r="DE191" s="195"/>
      <c r="DF191" s="12">
        <v>144</v>
      </c>
      <c r="DG191" s="195"/>
      <c r="DH191" s="195"/>
      <c r="DI191" s="195"/>
      <c r="DJ191" s="195"/>
      <c r="DK191" s="195"/>
      <c r="DL191" s="195"/>
      <c r="DM191" s="195"/>
      <c r="DN191" s="195"/>
      <c r="DO191" s="195"/>
      <c r="DP191" s="195"/>
      <c r="DQ191" s="195"/>
      <c r="DR191" s="195"/>
      <c r="DS191" s="195"/>
      <c r="DT191" s="195"/>
      <c r="DU191" s="195"/>
      <c r="DV191" s="195"/>
      <c r="DW191" s="195"/>
      <c r="DX191" s="12">
        <v>144</v>
      </c>
      <c r="DY191" s="195"/>
      <c r="DZ191" s="195"/>
      <c r="EA191" s="195"/>
      <c r="EB191" s="195"/>
      <c r="EC191" s="195"/>
      <c r="ED191" s="195"/>
      <c r="EE191" s="195"/>
      <c r="EF191" s="195"/>
      <c r="EG191" s="195"/>
      <c r="EH191" s="195"/>
      <c r="EI191" s="195"/>
      <c r="EJ191" s="195"/>
      <c r="EK191" s="195"/>
      <c r="EL191" s="195"/>
      <c r="EM191" s="195"/>
      <c r="EN191" s="195"/>
      <c r="EO191" s="195"/>
      <c r="EP191" s="12">
        <v>144</v>
      </c>
      <c r="EQ191" s="195"/>
      <c r="ER191" s="195"/>
      <c r="ES191" s="195"/>
      <c r="ET191" s="195"/>
      <c r="EU191" s="195"/>
      <c r="EV191" s="195"/>
      <c r="EW191" s="195"/>
      <c r="EX191" s="195"/>
      <c r="EY191" s="195"/>
      <c r="EZ191" s="195"/>
      <c r="FA191" s="195"/>
      <c r="FB191" s="195"/>
      <c r="FC191" s="195"/>
      <c r="FD191" s="195"/>
      <c r="FE191" s="195"/>
      <c r="FF191" s="195"/>
      <c r="FG191" s="195"/>
      <c r="FH191" s="12">
        <v>144</v>
      </c>
      <c r="FI191" s="195"/>
      <c r="FJ191" s="195"/>
      <c r="FK191" s="195"/>
      <c r="FL191" s="195"/>
      <c r="FM191" s="195"/>
      <c r="FN191" s="195"/>
      <c r="FO191" s="195"/>
      <c r="FP191" s="195"/>
      <c r="FQ191" s="195"/>
      <c r="FR191" s="195"/>
      <c r="FS191" s="195"/>
      <c r="FT191" s="195"/>
      <c r="FU191" s="195"/>
      <c r="FV191" s="195"/>
      <c r="FW191" s="195"/>
      <c r="FX191" s="195"/>
      <c r="FY191" s="195"/>
    </row>
    <row r="192" spans="2:181" x14ac:dyDescent="0.25">
      <c r="B192" s="12">
        <v>145</v>
      </c>
      <c r="C192" s="195"/>
      <c r="D192" s="195"/>
      <c r="E192" s="195"/>
      <c r="F192" s="195"/>
      <c r="G192" s="195"/>
      <c r="H192" s="195"/>
      <c r="I192" s="195"/>
      <c r="J192" s="195"/>
      <c r="K192" s="195"/>
      <c r="L192" s="195"/>
      <c r="M192" s="195"/>
      <c r="N192" s="195"/>
      <c r="O192" s="195"/>
      <c r="P192" s="195"/>
      <c r="Q192" s="195"/>
      <c r="R192" s="195"/>
      <c r="S192" s="195"/>
      <c r="T192" s="12">
        <v>145</v>
      </c>
      <c r="U192" s="195"/>
      <c r="V192" s="195"/>
      <c r="W192" s="195"/>
      <c r="X192" s="195"/>
      <c r="Y192" s="195"/>
      <c r="Z192" s="195"/>
      <c r="AA192" s="195"/>
      <c r="AB192" s="195"/>
      <c r="AC192" s="195"/>
      <c r="AD192" s="195"/>
      <c r="AE192" s="195"/>
      <c r="AF192" s="195"/>
      <c r="AG192" s="195"/>
      <c r="AH192" s="195"/>
      <c r="AI192" s="195"/>
      <c r="AJ192" s="195"/>
      <c r="AK192" s="195"/>
      <c r="AL192" s="12">
        <v>145</v>
      </c>
      <c r="AM192" s="195"/>
      <c r="AN192" s="195"/>
      <c r="AO192" s="195"/>
      <c r="AP192" s="195"/>
      <c r="AQ192" s="195"/>
      <c r="AR192" s="195"/>
      <c r="AS192" s="195"/>
      <c r="AT192" s="195"/>
      <c r="AU192" s="195"/>
      <c r="AV192" s="195"/>
      <c r="AW192" s="195"/>
      <c r="AX192" s="195"/>
      <c r="AY192" s="195"/>
      <c r="AZ192" s="195"/>
      <c r="BA192" s="195"/>
      <c r="BB192" s="195"/>
      <c r="BC192" s="195"/>
      <c r="BD192" s="12">
        <v>145</v>
      </c>
      <c r="BE192" s="195"/>
      <c r="BF192" s="195"/>
      <c r="BG192" s="195"/>
      <c r="BH192" s="195"/>
      <c r="BI192" s="195"/>
      <c r="BJ192" s="195"/>
      <c r="BK192" s="195"/>
      <c r="BL192" s="195"/>
      <c r="BM192" s="195"/>
      <c r="BN192" s="195"/>
      <c r="BO192" s="195"/>
      <c r="BP192" s="195"/>
      <c r="BQ192" s="195"/>
      <c r="BR192" s="195"/>
      <c r="BS192" s="195"/>
      <c r="BT192" s="195"/>
      <c r="BU192" s="195"/>
      <c r="BV192" s="12">
        <v>145</v>
      </c>
      <c r="BW192" s="195"/>
      <c r="BX192" s="195"/>
      <c r="BY192" s="195"/>
      <c r="BZ192" s="195"/>
      <c r="CA192" s="195"/>
      <c r="CB192" s="195"/>
      <c r="CC192" s="195"/>
      <c r="CD192" s="195"/>
      <c r="CE192" s="195"/>
      <c r="CF192" s="195"/>
      <c r="CG192" s="195"/>
      <c r="CH192" s="195"/>
      <c r="CI192" s="195"/>
      <c r="CJ192" s="195"/>
      <c r="CK192" s="195"/>
      <c r="CL192" s="195"/>
      <c r="CM192" s="195"/>
      <c r="CN192" s="12">
        <v>145</v>
      </c>
      <c r="CO192" s="195"/>
      <c r="CP192" s="195"/>
      <c r="CQ192" s="195"/>
      <c r="CR192" s="195"/>
      <c r="CS192" s="195"/>
      <c r="CT192" s="195"/>
      <c r="CU192" s="195"/>
      <c r="CV192" s="195"/>
      <c r="CW192" s="195"/>
      <c r="CX192" s="195"/>
      <c r="CY192" s="195"/>
      <c r="CZ192" s="195"/>
      <c r="DA192" s="195"/>
      <c r="DB192" s="195"/>
      <c r="DC192" s="195"/>
      <c r="DD192" s="195"/>
      <c r="DE192" s="195"/>
      <c r="DF192" s="12">
        <v>145</v>
      </c>
      <c r="DG192" s="195"/>
      <c r="DH192" s="195"/>
      <c r="DI192" s="195"/>
      <c r="DJ192" s="195"/>
      <c r="DK192" s="195"/>
      <c r="DL192" s="195"/>
      <c r="DM192" s="195"/>
      <c r="DN192" s="195"/>
      <c r="DO192" s="195"/>
      <c r="DP192" s="195"/>
      <c r="DQ192" s="195"/>
      <c r="DR192" s="195"/>
      <c r="DS192" s="195"/>
      <c r="DT192" s="195"/>
      <c r="DU192" s="195"/>
      <c r="DV192" s="195"/>
      <c r="DW192" s="195"/>
      <c r="DX192" s="12">
        <v>145</v>
      </c>
      <c r="DY192" s="195"/>
      <c r="DZ192" s="195"/>
      <c r="EA192" s="195"/>
      <c r="EB192" s="195"/>
      <c r="EC192" s="195"/>
      <c r="ED192" s="195"/>
      <c r="EE192" s="195"/>
      <c r="EF192" s="195"/>
      <c r="EG192" s="195"/>
      <c r="EH192" s="195"/>
      <c r="EI192" s="195"/>
      <c r="EJ192" s="195"/>
      <c r="EK192" s="195"/>
      <c r="EL192" s="195"/>
      <c r="EM192" s="195"/>
      <c r="EN192" s="195"/>
      <c r="EO192" s="195"/>
      <c r="EP192" s="12">
        <v>145</v>
      </c>
      <c r="EQ192" s="195"/>
      <c r="ER192" s="195"/>
      <c r="ES192" s="195"/>
      <c r="ET192" s="195"/>
      <c r="EU192" s="195"/>
      <c r="EV192" s="195"/>
      <c r="EW192" s="195"/>
      <c r="EX192" s="195"/>
      <c r="EY192" s="195"/>
      <c r="EZ192" s="195"/>
      <c r="FA192" s="195"/>
      <c r="FB192" s="195"/>
      <c r="FC192" s="195"/>
      <c r="FD192" s="195"/>
      <c r="FE192" s="195"/>
      <c r="FF192" s="195"/>
      <c r="FG192" s="195"/>
      <c r="FH192" s="12">
        <v>145</v>
      </c>
      <c r="FI192" s="195"/>
      <c r="FJ192" s="195"/>
      <c r="FK192" s="195"/>
      <c r="FL192" s="195"/>
      <c r="FM192" s="195"/>
      <c r="FN192" s="195"/>
      <c r="FO192" s="195"/>
      <c r="FP192" s="195"/>
      <c r="FQ192" s="195"/>
      <c r="FR192" s="195"/>
      <c r="FS192" s="195"/>
      <c r="FT192" s="195"/>
      <c r="FU192" s="195"/>
      <c r="FV192" s="195"/>
      <c r="FW192" s="195"/>
      <c r="FX192" s="195"/>
      <c r="FY192" s="195"/>
    </row>
    <row r="193" spans="2:181" x14ac:dyDescent="0.25">
      <c r="B193" s="197">
        <v>146</v>
      </c>
      <c r="C193" s="195"/>
      <c r="D193" s="195"/>
      <c r="E193" s="195"/>
      <c r="F193" s="195"/>
      <c r="G193" s="195"/>
      <c r="H193" s="195"/>
      <c r="I193" s="195"/>
      <c r="J193" s="195"/>
      <c r="K193" s="195"/>
      <c r="L193" s="195"/>
      <c r="M193" s="195"/>
      <c r="N193" s="195"/>
      <c r="O193" s="195"/>
      <c r="P193" s="195"/>
      <c r="Q193" s="195"/>
      <c r="R193" s="195"/>
      <c r="S193" s="195"/>
      <c r="T193" s="197">
        <v>146</v>
      </c>
      <c r="U193" s="195"/>
      <c r="V193" s="195"/>
      <c r="W193" s="195"/>
      <c r="X193" s="195"/>
      <c r="Y193" s="195"/>
      <c r="Z193" s="195"/>
      <c r="AA193" s="195"/>
      <c r="AB193" s="195"/>
      <c r="AC193" s="195"/>
      <c r="AD193" s="195"/>
      <c r="AE193" s="195"/>
      <c r="AF193" s="195"/>
      <c r="AG193" s="195"/>
      <c r="AH193" s="195"/>
      <c r="AI193" s="195"/>
      <c r="AJ193" s="195"/>
      <c r="AK193" s="195"/>
      <c r="AL193" s="197">
        <v>146</v>
      </c>
      <c r="AM193" s="195"/>
      <c r="AN193" s="195"/>
      <c r="AO193" s="195"/>
      <c r="AP193" s="195"/>
      <c r="AQ193" s="195"/>
      <c r="AR193" s="195"/>
      <c r="AS193" s="195"/>
      <c r="AT193" s="195"/>
      <c r="AU193" s="195"/>
      <c r="AV193" s="195"/>
      <c r="AW193" s="195"/>
      <c r="AX193" s="195"/>
      <c r="AY193" s="195"/>
      <c r="AZ193" s="195"/>
      <c r="BA193" s="195"/>
      <c r="BB193" s="195"/>
      <c r="BC193" s="195"/>
      <c r="BD193" s="197">
        <v>146</v>
      </c>
      <c r="BE193" s="195"/>
      <c r="BF193" s="195"/>
      <c r="BG193" s="195"/>
      <c r="BH193" s="195"/>
      <c r="BI193" s="195"/>
      <c r="BJ193" s="195"/>
      <c r="BK193" s="195"/>
      <c r="BL193" s="195"/>
      <c r="BM193" s="195"/>
      <c r="BN193" s="195"/>
      <c r="BO193" s="195"/>
      <c r="BP193" s="195"/>
      <c r="BQ193" s="195"/>
      <c r="BR193" s="195"/>
      <c r="BS193" s="195"/>
      <c r="BT193" s="195"/>
      <c r="BU193" s="195"/>
      <c r="BV193" s="197">
        <v>146</v>
      </c>
      <c r="BW193" s="195"/>
      <c r="BX193" s="195"/>
      <c r="BY193" s="195"/>
      <c r="BZ193" s="195"/>
      <c r="CA193" s="195"/>
      <c r="CB193" s="195"/>
      <c r="CC193" s="195"/>
      <c r="CD193" s="195"/>
      <c r="CE193" s="195"/>
      <c r="CF193" s="195"/>
      <c r="CG193" s="195"/>
      <c r="CH193" s="195"/>
      <c r="CI193" s="195"/>
      <c r="CJ193" s="195"/>
      <c r="CK193" s="195"/>
      <c r="CL193" s="195"/>
      <c r="CM193" s="195"/>
      <c r="CN193" s="197">
        <v>146</v>
      </c>
      <c r="CO193" s="195"/>
      <c r="CP193" s="195"/>
      <c r="CQ193" s="195"/>
      <c r="CR193" s="195"/>
      <c r="CS193" s="195"/>
      <c r="CT193" s="195"/>
      <c r="CU193" s="195"/>
      <c r="CV193" s="195"/>
      <c r="CW193" s="195"/>
      <c r="CX193" s="195"/>
      <c r="CY193" s="195"/>
      <c r="CZ193" s="195"/>
      <c r="DA193" s="195"/>
      <c r="DB193" s="195"/>
      <c r="DC193" s="195"/>
      <c r="DD193" s="195"/>
      <c r="DE193" s="195"/>
      <c r="DF193" s="197">
        <v>146</v>
      </c>
      <c r="DG193" s="195"/>
      <c r="DH193" s="195"/>
      <c r="DI193" s="195"/>
      <c r="DJ193" s="195"/>
      <c r="DK193" s="195"/>
      <c r="DL193" s="195"/>
      <c r="DM193" s="195"/>
      <c r="DN193" s="195"/>
      <c r="DO193" s="195"/>
      <c r="DP193" s="195"/>
      <c r="DQ193" s="195"/>
      <c r="DR193" s="195"/>
      <c r="DS193" s="195"/>
      <c r="DT193" s="195"/>
      <c r="DU193" s="195"/>
      <c r="DV193" s="195"/>
      <c r="DW193" s="195"/>
      <c r="DX193" s="197">
        <v>146</v>
      </c>
      <c r="DY193" s="195"/>
      <c r="DZ193" s="195"/>
      <c r="EA193" s="195"/>
      <c r="EB193" s="195"/>
      <c r="EC193" s="195"/>
      <c r="ED193" s="195"/>
      <c r="EE193" s="195"/>
      <c r="EF193" s="195"/>
      <c r="EG193" s="195"/>
      <c r="EH193" s="195"/>
      <c r="EI193" s="195"/>
      <c r="EJ193" s="195"/>
      <c r="EK193" s="195"/>
      <c r="EL193" s="195"/>
      <c r="EM193" s="195"/>
      <c r="EN193" s="195"/>
      <c r="EO193" s="195"/>
      <c r="EP193" s="197">
        <v>146</v>
      </c>
      <c r="EQ193" s="195"/>
      <c r="ER193" s="195"/>
      <c r="ES193" s="195"/>
      <c r="ET193" s="195"/>
      <c r="EU193" s="195"/>
      <c r="EV193" s="195"/>
      <c r="EW193" s="195"/>
      <c r="EX193" s="195"/>
      <c r="EY193" s="195"/>
      <c r="EZ193" s="195"/>
      <c r="FA193" s="195"/>
      <c r="FB193" s="195"/>
      <c r="FC193" s="195"/>
      <c r="FD193" s="195"/>
      <c r="FE193" s="195"/>
      <c r="FF193" s="195"/>
      <c r="FG193" s="195"/>
      <c r="FH193" s="197">
        <v>146</v>
      </c>
      <c r="FI193" s="195"/>
      <c r="FJ193" s="195"/>
      <c r="FK193" s="195"/>
      <c r="FL193" s="195"/>
      <c r="FM193" s="195"/>
      <c r="FN193" s="195"/>
      <c r="FO193" s="195"/>
      <c r="FP193" s="195"/>
      <c r="FQ193" s="195"/>
      <c r="FR193" s="195"/>
      <c r="FS193" s="195"/>
      <c r="FT193" s="195"/>
      <c r="FU193" s="195"/>
      <c r="FV193" s="195"/>
      <c r="FW193" s="195"/>
      <c r="FX193" s="195"/>
      <c r="FY193" s="195"/>
    </row>
    <row r="194" spans="2:181" x14ac:dyDescent="0.25">
      <c r="B194" s="12">
        <v>147</v>
      </c>
      <c r="C194" s="195"/>
      <c r="D194" s="195"/>
      <c r="E194" s="195"/>
      <c r="F194" s="195"/>
      <c r="G194" s="195"/>
      <c r="H194" s="195"/>
      <c r="I194" s="195"/>
      <c r="J194" s="195"/>
      <c r="K194" s="195"/>
      <c r="L194" s="195"/>
      <c r="M194" s="195"/>
      <c r="N194" s="195"/>
      <c r="O194" s="195"/>
      <c r="P194" s="195"/>
      <c r="Q194" s="195"/>
      <c r="R194" s="195"/>
      <c r="S194" s="195"/>
      <c r="T194" s="12">
        <v>147</v>
      </c>
      <c r="U194" s="195"/>
      <c r="V194" s="195"/>
      <c r="W194" s="195"/>
      <c r="X194" s="195"/>
      <c r="Y194" s="195"/>
      <c r="Z194" s="195"/>
      <c r="AA194" s="195"/>
      <c r="AB194" s="195"/>
      <c r="AC194" s="195"/>
      <c r="AD194" s="195"/>
      <c r="AE194" s="195"/>
      <c r="AF194" s="195"/>
      <c r="AG194" s="195"/>
      <c r="AH194" s="195"/>
      <c r="AI194" s="195"/>
      <c r="AJ194" s="195"/>
      <c r="AK194" s="195"/>
      <c r="AL194" s="12">
        <v>147</v>
      </c>
      <c r="AM194" s="195"/>
      <c r="AN194" s="195"/>
      <c r="AO194" s="195"/>
      <c r="AP194" s="195"/>
      <c r="AQ194" s="195"/>
      <c r="AR194" s="195"/>
      <c r="AS194" s="195"/>
      <c r="AT194" s="195"/>
      <c r="AU194" s="195"/>
      <c r="AV194" s="195"/>
      <c r="AW194" s="195"/>
      <c r="AX194" s="195"/>
      <c r="AY194" s="195"/>
      <c r="AZ194" s="195"/>
      <c r="BA194" s="195"/>
      <c r="BB194" s="195"/>
      <c r="BC194" s="195"/>
      <c r="BD194" s="12">
        <v>147</v>
      </c>
      <c r="BE194" s="195"/>
      <c r="BF194" s="195"/>
      <c r="BG194" s="195"/>
      <c r="BH194" s="195"/>
      <c r="BI194" s="195"/>
      <c r="BJ194" s="195"/>
      <c r="BK194" s="195"/>
      <c r="BL194" s="195"/>
      <c r="BM194" s="195"/>
      <c r="BN194" s="195"/>
      <c r="BO194" s="195"/>
      <c r="BP194" s="195"/>
      <c r="BQ194" s="195"/>
      <c r="BR194" s="195"/>
      <c r="BS194" s="195"/>
      <c r="BT194" s="195"/>
      <c r="BU194" s="195"/>
      <c r="BV194" s="12">
        <v>147</v>
      </c>
      <c r="BW194" s="195"/>
      <c r="BX194" s="195"/>
      <c r="BY194" s="195"/>
      <c r="BZ194" s="195"/>
      <c r="CA194" s="195"/>
      <c r="CB194" s="195"/>
      <c r="CC194" s="195"/>
      <c r="CD194" s="195"/>
      <c r="CE194" s="195"/>
      <c r="CF194" s="195"/>
      <c r="CG194" s="195"/>
      <c r="CH194" s="195"/>
      <c r="CI194" s="195"/>
      <c r="CJ194" s="195"/>
      <c r="CK194" s="195"/>
      <c r="CL194" s="195"/>
      <c r="CM194" s="195"/>
      <c r="CN194" s="12">
        <v>147</v>
      </c>
      <c r="CO194" s="195"/>
      <c r="CP194" s="195"/>
      <c r="CQ194" s="195"/>
      <c r="CR194" s="195"/>
      <c r="CS194" s="195"/>
      <c r="CT194" s="195"/>
      <c r="CU194" s="195"/>
      <c r="CV194" s="195"/>
      <c r="CW194" s="195"/>
      <c r="CX194" s="195"/>
      <c r="CY194" s="195"/>
      <c r="CZ194" s="195"/>
      <c r="DA194" s="195"/>
      <c r="DB194" s="195"/>
      <c r="DC194" s="195"/>
      <c r="DD194" s="195"/>
      <c r="DE194" s="195"/>
      <c r="DF194" s="12">
        <v>147</v>
      </c>
      <c r="DG194" s="195"/>
      <c r="DH194" s="195"/>
      <c r="DI194" s="195"/>
      <c r="DJ194" s="195"/>
      <c r="DK194" s="195"/>
      <c r="DL194" s="195"/>
      <c r="DM194" s="195"/>
      <c r="DN194" s="195"/>
      <c r="DO194" s="195"/>
      <c r="DP194" s="195"/>
      <c r="DQ194" s="195"/>
      <c r="DR194" s="195"/>
      <c r="DS194" s="195"/>
      <c r="DT194" s="195"/>
      <c r="DU194" s="195"/>
      <c r="DV194" s="195"/>
      <c r="DW194" s="195"/>
      <c r="DX194" s="12">
        <v>147</v>
      </c>
      <c r="DY194" s="195"/>
      <c r="DZ194" s="195"/>
      <c r="EA194" s="195"/>
      <c r="EB194" s="195"/>
      <c r="EC194" s="195"/>
      <c r="ED194" s="195"/>
      <c r="EE194" s="195"/>
      <c r="EF194" s="195"/>
      <c r="EG194" s="195"/>
      <c r="EH194" s="195"/>
      <c r="EI194" s="195"/>
      <c r="EJ194" s="195"/>
      <c r="EK194" s="195"/>
      <c r="EL194" s="195"/>
      <c r="EM194" s="195"/>
      <c r="EN194" s="195"/>
      <c r="EO194" s="195"/>
      <c r="EP194" s="12">
        <v>147</v>
      </c>
      <c r="EQ194" s="195"/>
      <c r="ER194" s="195"/>
      <c r="ES194" s="195"/>
      <c r="ET194" s="195"/>
      <c r="EU194" s="195"/>
      <c r="EV194" s="195"/>
      <c r="EW194" s="195"/>
      <c r="EX194" s="195"/>
      <c r="EY194" s="195"/>
      <c r="EZ194" s="195"/>
      <c r="FA194" s="195"/>
      <c r="FB194" s="195"/>
      <c r="FC194" s="195"/>
      <c r="FD194" s="195"/>
      <c r="FE194" s="195"/>
      <c r="FF194" s="195"/>
      <c r="FG194" s="195"/>
      <c r="FH194" s="12">
        <v>147</v>
      </c>
      <c r="FI194" s="195"/>
      <c r="FJ194" s="195"/>
      <c r="FK194" s="195"/>
      <c r="FL194" s="195"/>
      <c r="FM194" s="195"/>
      <c r="FN194" s="195"/>
      <c r="FO194" s="195"/>
      <c r="FP194" s="195"/>
      <c r="FQ194" s="195"/>
      <c r="FR194" s="195"/>
      <c r="FS194" s="195"/>
      <c r="FT194" s="195"/>
      <c r="FU194" s="195"/>
      <c r="FV194" s="195"/>
      <c r="FW194" s="195"/>
      <c r="FX194" s="195"/>
      <c r="FY194" s="195"/>
    </row>
    <row r="195" spans="2:181" x14ac:dyDescent="0.25">
      <c r="B195" s="12">
        <v>148</v>
      </c>
      <c r="C195" s="195"/>
      <c r="D195" s="195"/>
      <c r="E195" s="195"/>
      <c r="F195" s="195"/>
      <c r="G195" s="195"/>
      <c r="H195" s="195"/>
      <c r="I195" s="195"/>
      <c r="J195" s="195"/>
      <c r="K195" s="195"/>
      <c r="L195" s="195"/>
      <c r="M195" s="195"/>
      <c r="N195" s="195"/>
      <c r="O195" s="195"/>
      <c r="P195" s="195"/>
      <c r="Q195" s="195"/>
      <c r="R195" s="195"/>
      <c r="S195" s="195"/>
      <c r="T195" s="12">
        <v>148</v>
      </c>
      <c r="U195" s="195"/>
      <c r="V195" s="195"/>
      <c r="W195" s="195"/>
      <c r="X195" s="195"/>
      <c r="Y195" s="195"/>
      <c r="Z195" s="195"/>
      <c r="AA195" s="195"/>
      <c r="AB195" s="195"/>
      <c r="AC195" s="195"/>
      <c r="AD195" s="195"/>
      <c r="AE195" s="195"/>
      <c r="AF195" s="195"/>
      <c r="AG195" s="195"/>
      <c r="AH195" s="195"/>
      <c r="AI195" s="195"/>
      <c r="AJ195" s="195"/>
      <c r="AK195" s="195"/>
      <c r="AL195" s="12">
        <v>148</v>
      </c>
      <c r="AM195" s="195"/>
      <c r="AN195" s="195"/>
      <c r="AO195" s="195"/>
      <c r="AP195" s="195"/>
      <c r="AQ195" s="195"/>
      <c r="AR195" s="195"/>
      <c r="AS195" s="195"/>
      <c r="AT195" s="195"/>
      <c r="AU195" s="195"/>
      <c r="AV195" s="195"/>
      <c r="AW195" s="195"/>
      <c r="AX195" s="195"/>
      <c r="AY195" s="195"/>
      <c r="AZ195" s="195"/>
      <c r="BA195" s="195"/>
      <c r="BB195" s="195"/>
      <c r="BC195" s="195"/>
      <c r="BD195" s="12">
        <v>148</v>
      </c>
      <c r="BE195" s="195"/>
      <c r="BF195" s="195"/>
      <c r="BG195" s="195"/>
      <c r="BH195" s="195"/>
      <c r="BI195" s="195"/>
      <c r="BJ195" s="195"/>
      <c r="BK195" s="195"/>
      <c r="BL195" s="195"/>
      <c r="BM195" s="195"/>
      <c r="BN195" s="195"/>
      <c r="BO195" s="195"/>
      <c r="BP195" s="195"/>
      <c r="BQ195" s="195"/>
      <c r="BR195" s="195"/>
      <c r="BS195" s="195"/>
      <c r="BT195" s="195"/>
      <c r="BU195" s="195"/>
      <c r="BV195" s="12">
        <v>148</v>
      </c>
      <c r="BW195" s="195"/>
      <c r="BX195" s="195"/>
      <c r="BY195" s="195"/>
      <c r="BZ195" s="195"/>
      <c r="CA195" s="195"/>
      <c r="CB195" s="195"/>
      <c r="CC195" s="195"/>
      <c r="CD195" s="195"/>
      <c r="CE195" s="195"/>
      <c r="CF195" s="195"/>
      <c r="CG195" s="195"/>
      <c r="CH195" s="195"/>
      <c r="CI195" s="195"/>
      <c r="CJ195" s="195"/>
      <c r="CK195" s="195"/>
      <c r="CL195" s="195"/>
      <c r="CM195" s="195"/>
      <c r="CN195" s="12">
        <v>148</v>
      </c>
      <c r="CO195" s="195"/>
      <c r="CP195" s="195"/>
      <c r="CQ195" s="195"/>
      <c r="CR195" s="195"/>
      <c r="CS195" s="195"/>
      <c r="CT195" s="195"/>
      <c r="CU195" s="195"/>
      <c r="CV195" s="195"/>
      <c r="CW195" s="195"/>
      <c r="CX195" s="195"/>
      <c r="CY195" s="195"/>
      <c r="CZ195" s="195"/>
      <c r="DA195" s="195"/>
      <c r="DB195" s="195"/>
      <c r="DC195" s="195"/>
      <c r="DD195" s="195"/>
      <c r="DE195" s="195"/>
      <c r="DF195" s="12">
        <v>148</v>
      </c>
      <c r="DG195" s="195"/>
      <c r="DH195" s="195"/>
      <c r="DI195" s="195"/>
      <c r="DJ195" s="195"/>
      <c r="DK195" s="195"/>
      <c r="DL195" s="195"/>
      <c r="DM195" s="195"/>
      <c r="DN195" s="195"/>
      <c r="DO195" s="195"/>
      <c r="DP195" s="195"/>
      <c r="DQ195" s="195"/>
      <c r="DR195" s="195"/>
      <c r="DS195" s="195"/>
      <c r="DT195" s="195"/>
      <c r="DU195" s="195"/>
      <c r="DV195" s="195"/>
      <c r="DW195" s="195"/>
      <c r="DX195" s="12">
        <v>148</v>
      </c>
      <c r="DY195" s="195"/>
      <c r="DZ195" s="195"/>
      <c r="EA195" s="195"/>
      <c r="EB195" s="195"/>
      <c r="EC195" s="195"/>
      <c r="ED195" s="195"/>
      <c r="EE195" s="195"/>
      <c r="EF195" s="195"/>
      <c r="EG195" s="195"/>
      <c r="EH195" s="195"/>
      <c r="EI195" s="195"/>
      <c r="EJ195" s="195"/>
      <c r="EK195" s="195"/>
      <c r="EL195" s="195"/>
      <c r="EM195" s="195"/>
      <c r="EN195" s="195"/>
      <c r="EO195" s="195"/>
      <c r="EP195" s="12">
        <v>148</v>
      </c>
      <c r="EQ195" s="195"/>
      <c r="ER195" s="195"/>
      <c r="ES195" s="195"/>
      <c r="ET195" s="195"/>
      <c r="EU195" s="195"/>
      <c r="EV195" s="195"/>
      <c r="EW195" s="195"/>
      <c r="EX195" s="195"/>
      <c r="EY195" s="195"/>
      <c r="EZ195" s="195"/>
      <c r="FA195" s="195"/>
      <c r="FB195" s="195"/>
      <c r="FC195" s="195"/>
      <c r="FD195" s="195"/>
      <c r="FE195" s="195"/>
      <c r="FF195" s="195"/>
      <c r="FG195" s="195"/>
      <c r="FH195" s="12">
        <v>148</v>
      </c>
      <c r="FI195" s="195"/>
      <c r="FJ195" s="195"/>
      <c r="FK195" s="195"/>
      <c r="FL195" s="195"/>
      <c r="FM195" s="195"/>
      <c r="FN195" s="195"/>
      <c r="FO195" s="195"/>
      <c r="FP195" s="195"/>
      <c r="FQ195" s="195"/>
      <c r="FR195" s="195"/>
      <c r="FS195" s="195"/>
      <c r="FT195" s="195"/>
      <c r="FU195" s="195"/>
      <c r="FV195" s="195"/>
      <c r="FW195" s="195"/>
      <c r="FX195" s="195"/>
      <c r="FY195" s="195"/>
    </row>
    <row r="196" spans="2:181" x14ac:dyDescent="0.25">
      <c r="B196" s="197">
        <v>149</v>
      </c>
      <c r="C196" s="195"/>
      <c r="D196" s="195"/>
      <c r="E196" s="195"/>
      <c r="F196" s="195"/>
      <c r="G196" s="195"/>
      <c r="H196" s="195"/>
      <c r="I196" s="195"/>
      <c r="J196" s="195"/>
      <c r="K196" s="195"/>
      <c r="L196" s="195"/>
      <c r="M196" s="195"/>
      <c r="N196" s="195"/>
      <c r="O196" s="195"/>
      <c r="P196" s="195"/>
      <c r="Q196" s="195"/>
      <c r="R196" s="195"/>
      <c r="S196" s="195"/>
      <c r="T196" s="197">
        <v>149</v>
      </c>
      <c r="U196" s="195"/>
      <c r="V196" s="195"/>
      <c r="W196" s="195"/>
      <c r="X196" s="195"/>
      <c r="Y196" s="195"/>
      <c r="Z196" s="195"/>
      <c r="AA196" s="195"/>
      <c r="AB196" s="195"/>
      <c r="AC196" s="195"/>
      <c r="AD196" s="195"/>
      <c r="AE196" s="195"/>
      <c r="AF196" s="195"/>
      <c r="AG196" s="195"/>
      <c r="AH196" s="195"/>
      <c r="AI196" s="195"/>
      <c r="AJ196" s="195"/>
      <c r="AK196" s="195"/>
      <c r="AL196" s="197">
        <v>149</v>
      </c>
      <c r="AM196" s="195"/>
      <c r="AN196" s="195"/>
      <c r="AO196" s="195"/>
      <c r="AP196" s="195"/>
      <c r="AQ196" s="195"/>
      <c r="AR196" s="195"/>
      <c r="AS196" s="195"/>
      <c r="AT196" s="195"/>
      <c r="AU196" s="195"/>
      <c r="AV196" s="195"/>
      <c r="AW196" s="195"/>
      <c r="AX196" s="195"/>
      <c r="AY196" s="195"/>
      <c r="AZ196" s="195"/>
      <c r="BA196" s="195"/>
      <c r="BB196" s="195"/>
      <c r="BC196" s="195"/>
      <c r="BD196" s="197">
        <v>149</v>
      </c>
      <c r="BE196" s="195"/>
      <c r="BF196" s="195"/>
      <c r="BG196" s="195"/>
      <c r="BH196" s="195"/>
      <c r="BI196" s="195"/>
      <c r="BJ196" s="195"/>
      <c r="BK196" s="195"/>
      <c r="BL196" s="195"/>
      <c r="BM196" s="195"/>
      <c r="BN196" s="195"/>
      <c r="BO196" s="195"/>
      <c r="BP196" s="195"/>
      <c r="BQ196" s="195"/>
      <c r="BR196" s="195"/>
      <c r="BS196" s="195"/>
      <c r="BT196" s="195"/>
      <c r="BU196" s="195"/>
      <c r="BV196" s="197">
        <v>149</v>
      </c>
      <c r="BW196" s="195"/>
      <c r="BX196" s="195"/>
      <c r="BY196" s="195"/>
      <c r="BZ196" s="195"/>
      <c r="CA196" s="195"/>
      <c r="CB196" s="195"/>
      <c r="CC196" s="195"/>
      <c r="CD196" s="195"/>
      <c r="CE196" s="195"/>
      <c r="CF196" s="195"/>
      <c r="CG196" s="195"/>
      <c r="CH196" s="195"/>
      <c r="CI196" s="195"/>
      <c r="CJ196" s="195"/>
      <c r="CK196" s="195"/>
      <c r="CL196" s="195"/>
      <c r="CM196" s="195"/>
      <c r="CN196" s="197">
        <v>149</v>
      </c>
      <c r="CO196" s="195"/>
      <c r="CP196" s="195"/>
      <c r="CQ196" s="195"/>
      <c r="CR196" s="195"/>
      <c r="CS196" s="195"/>
      <c r="CT196" s="195"/>
      <c r="CU196" s="195"/>
      <c r="CV196" s="195"/>
      <c r="CW196" s="195"/>
      <c r="CX196" s="195"/>
      <c r="CY196" s="195"/>
      <c r="CZ196" s="195"/>
      <c r="DA196" s="195"/>
      <c r="DB196" s="195"/>
      <c r="DC196" s="195"/>
      <c r="DD196" s="195"/>
      <c r="DE196" s="195"/>
      <c r="DF196" s="197">
        <v>149</v>
      </c>
      <c r="DG196" s="195"/>
      <c r="DH196" s="195"/>
      <c r="DI196" s="195"/>
      <c r="DJ196" s="195"/>
      <c r="DK196" s="195"/>
      <c r="DL196" s="195"/>
      <c r="DM196" s="195"/>
      <c r="DN196" s="195"/>
      <c r="DO196" s="195"/>
      <c r="DP196" s="195"/>
      <c r="DQ196" s="195"/>
      <c r="DR196" s="195"/>
      <c r="DS196" s="195"/>
      <c r="DT196" s="195"/>
      <c r="DU196" s="195"/>
      <c r="DV196" s="195"/>
      <c r="DW196" s="195"/>
      <c r="DX196" s="197">
        <v>149</v>
      </c>
      <c r="DY196" s="195"/>
      <c r="DZ196" s="195"/>
      <c r="EA196" s="195"/>
      <c r="EB196" s="195"/>
      <c r="EC196" s="195"/>
      <c r="ED196" s="195"/>
      <c r="EE196" s="195"/>
      <c r="EF196" s="195"/>
      <c r="EG196" s="195"/>
      <c r="EH196" s="195"/>
      <c r="EI196" s="195"/>
      <c r="EJ196" s="195"/>
      <c r="EK196" s="195"/>
      <c r="EL196" s="195"/>
      <c r="EM196" s="195"/>
      <c r="EN196" s="195"/>
      <c r="EO196" s="195"/>
      <c r="EP196" s="197">
        <v>149</v>
      </c>
      <c r="EQ196" s="195"/>
      <c r="ER196" s="195"/>
      <c r="ES196" s="195"/>
      <c r="ET196" s="195"/>
      <c r="EU196" s="195"/>
      <c r="EV196" s="195"/>
      <c r="EW196" s="195"/>
      <c r="EX196" s="195"/>
      <c r="EY196" s="195"/>
      <c r="EZ196" s="195"/>
      <c r="FA196" s="195"/>
      <c r="FB196" s="195"/>
      <c r="FC196" s="195"/>
      <c r="FD196" s="195"/>
      <c r="FE196" s="195"/>
      <c r="FF196" s="195"/>
      <c r="FG196" s="195"/>
      <c r="FH196" s="197">
        <v>149</v>
      </c>
      <c r="FI196" s="195"/>
      <c r="FJ196" s="195"/>
      <c r="FK196" s="195"/>
      <c r="FL196" s="195"/>
      <c r="FM196" s="195"/>
      <c r="FN196" s="195"/>
      <c r="FO196" s="195"/>
      <c r="FP196" s="195"/>
      <c r="FQ196" s="195"/>
      <c r="FR196" s="195"/>
      <c r="FS196" s="195"/>
      <c r="FT196" s="195"/>
      <c r="FU196" s="195"/>
      <c r="FV196" s="195"/>
      <c r="FW196" s="195"/>
      <c r="FX196" s="195"/>
      <c r="FY196" s="195"/>
    </row>
    <row r="197" spans="2:181" x14ac:dyDescent="0.25">
      <c r="B197" s="12">
        <v>150</v>
      </c>
      <c r="C197" s="195"/>
      <c r="D197" s="195"/>
      <c r="E197" s="195"/>
      <c r="F197" s="195"/>
      <c r="G197" s="195"/>
      <c r="H197" s="195"/>
      <c r="I197" s="195"/>
      <c r="J197" s="195"/>
      <c r="K197" s="195"/>
      <c r="L197" s="195"/>
      <c r="M197" s="195"/>
      <c r="N197" s="195"/>
      <c r="O197" s="195"/>
      <c r="P197" s="195"/>
      <c r="Q197" s="195"/>
      <c r="R197" s="195"/>
      <c r="S197" s="195"/>
      <c r="T197" s="12">
        <v>150</v>
      </c>
      <c r="U197" s="195"/>
      <c r="V197" s="195"/>
      <c r="W197" s="195"/>
      <c r="X197" s="195"/>
      <c r="Y197" s="195"/>
      <c r="Z197" s="195"/>
      <c r="AA197" s="195"/>
      <c r="AB197" s="195"/>
      <c r="AC197" s="195"/>
      <c r="AD197" s="195"/>
      <c r="AE197" s="195"/>
      <c r="AF197" s="195"/>
      <c r="AG197" s="195"/>
      <c r="AH197" s="195"/>
      <c r="AI197" s="195"/>
      <c r="AJ197" s="195"/>
      <c r="AK197" s="195"/>
      <c r="AL197" s="12">
        <v>150</v>
      </c>
      <c r="AM197" s="195"/>
      <c r="AN197" s="195"/>
      <c r="AO197" s="195"/>
      <c r="AP197" s="195"/>
      <c r="AQ197" s="195"/>
      <c r="AR197" s="195"/>
      <c r="AS197" s="195"/>
      <c r="AT197" s="195"/>
      <c r="AU197" s="195"/>
      <c r="AV197" s="195"/>
      <c r="AW197" s="195"/>
      <c r="AX197" s="195"/>
      <c r="AY197" s="195"/>
      <c r="AZ197" s="195"/>
      <c r="BA197" s="195"/>
      <c r="BB197" s="195"/>
      <c r="BC197" s="195"/>
      <c r="BD197" s="12">
        <v>150</v>
      </c>
      <c r="BE197" s="195"/>
      <c r="BF197" s="195"/>
      <c r="BG197" s="195"/>
      <c r="BH197" s="195"/>
      <c r="BI197" s="195"/>
      <c r="BJ197" s="195"/>
      <c r="BK197" s="195"/>
      <c r="BL197" s="195"/>
      <c r="BM197" s="195"/>
      <c r="BN197" s="195"/>
      <c r="BO197" s="195"/>
      <c r="BP197" s="195"/>
      <c r="BQ197" s="195"/>
      <c r="BR197" s="195"/>
      <c r="BS197" s="195"/>
      <c r="BT197" s="195"/>
      <c r="BU197" s="195"/>
      <c r="BV197" s="12">
        <v>150</v>
      </c>
      <c r="BW197" s="195"/>
      <c r="BX197" s="195"/>
      <c r="BY197" s="195"/>
      <c r="BZ197" s="195"/>
      <c r="CA197" s="195"/>
      <c r="CB197" s="195"/>
      <c r="CC197" s="195"/>
      <c r="CD197" s="195"/>
      <c r="CE197" s="195"/>
      <c r="CF197" s="195"/>
      <c r="CG197" s="195"/>
      <c r="CH197" s="195"/>
      <c r="CI197" s="195"/>
      <c r="CJ197" s="195"/>
      <c r="CK197" s="195"/>
      <c r="CL197" s="195"/>
      <c r="CM197" s="195"/>
      <c r="CN197" s="12">
        <v>150</v>
      </c>
      <c r="CO197" s="195"/>
      <c r="CP197" s="195"/>
      <c r="CQ197" s="195"/>
      <c r="CR197" s="195"/>
      <c r="CS197" s="195"/>
      <c r="CT197" s="195"/>
      <c r="CU197" s="195"/>
      <c r="CV197" s="195"/>
      <c r="CW197" s="195"/>
      <c r="CX197" s="195"/>
      <c r="CY197" s="195"/>
      <c r="CZ197" s="195"/>
      <c r="DA197" s="195"/>
      <c r="DB197" s="195"/>
      <c r="DC197" s="195"/>
      <c r="DD197" s="195"/>
      <c r="DE197" s="195"/>
      <c r="DF197" s="12">
        <v>150</v>
      </c>
      <c r="DG197" s="195"/>
      <c r="DH197" s="195"/>
      <c r="DI197" s="195"/>
      <c r="DJ197" s="195"/>
      <c r="DK197" s="195"/>
      <c r="DL197" s="195"/>
      <c r="DM197" s="195"/>
      <c r="DN197" s="195"/>
      <c r="DO197" s="195"/>
      <c r="DP197" s="195"/>
      <c r="DQ197" s="195"/>
      <c r="DR197" s="195"/>
      <c r="DS197" s="195"/>
      <c r="DT197" s="195"/>
      <c r="DU197" s="195"/>
      <c r="DV197" s="195"/>
      <c r="DW197" s="195"/>
      <c r="DX197" s="12">
        <v>150</v>
      </c>
      <c r="DY197" s="195"/>
      <c r="DZ197" s="195"/>
      <c r="EA197" s="195"/>
      <c r="EB197" s="195"/>
      <c r="EC197" s="195"/>
      <c r="ED197" s="195"/>
      <c r="EE197" s="195"/>
      <c r="EF197" s="195"/>
      <c r="EG197" s="195"/>
      <c r="EH197" s="195"/>
      <c r="EI197" s="195"/>
      <c r="EJ197" s="195"/>
      <c r="EK197" s="195"/>
      <c r="EL197" s="195"/>
      <c r="EM197" s="195"/>
      <c r="EN197" s="195"/>
      <c r="EO197" s="195"/>
      <c r="EP197" s="12">
        <v>150</v>
      </c>
      <c r="EQ197" s="195"/>
      <c r="ER197" s="195"/>
      <c r="ES197" s="195"/>
      <c r="ET197" s="195"/>
      <c r="EU197" s="195"/>
      <c r="EV197" s="195"/>
      <c r="EW197" s="195"/>
      <c r="EX197" s="195"/>
      <c r="EY197" s="195"/>
      <c r="EZ197" s="195"/>
      <c r="FA197" s="195"/>
      <c r="FB197" s="195"/>
      <c r="FC197" s="195"/>
      <c r="FD197" s="195"/>
      <c r="FE197" s="195"/>
      <c r="FF197" s="195"/>
      <c r="FG197" s="195"/>
      <c r="FH197" s="12">
        <v>150</v>
      </c>
      <c r="FI197" s="195"/>
      <c r="FJ197" s="195"/>
      <c r="FK197" s="195"/>
      <c r="FL197" s="195"/>
      <c r="FM197" s="195"/>
      <c r="FN197" s="195"/>
      <c r="FO197" s="195"/>
      <c r="FP197" s="195"/>
      <c r="FQ197" s="195"/>
      <c r="FR197" s="195"/>
      <c r="FS197" s="195"/>
      <c r="FT197" s="195"/>
      <c r="FU197" s="195"/>
      <c r="FV197" s="195"/>
      <c r="FW197" s="195"/>
      <c r="FX197" s="195"/>
      <c r="FY197" s="195"/>
    </row>
    <row r="198" spans="2:181" x14ac:dyDescent="0.25">
      <c r="B198" s="176"/>
      <c r="C198" s="198"/>
      <c r="D198" s="198"/>
      <c r="E198" s="198"/>
      <c r="F198" s="198"/>
      <c r="G198" s="198"/>
      <c r="H198" s="198"/>
      <c r="I198" s="198"/>
      <c r="J198" s="198"/>
      <c r="K198" s="198"/>
      <c r="L198" s="198"/>
      <c r="M198" s="198"/>
      <c r="N198" s="198"/>
      <c r="O198" s="198"/>
      <c r="P198" s="198"/>
      <c r="Q198" s="198"/>
      <c r="R198" s="198"/>
      <c r="S198" s="198"/>
      <c r="T198" s="176"/>
      <c r="U198" s="198"/>
      <c r="V198" s="198"/>
      <c r="W198" s="198"/>
      <c r="X198" s="198"/>
      <c r="Y198" s="198"/>
      <c r="Z198" s="198"/>
      <c r="AA198" s="198"/>
      <c r="AB198" s="198"/>
      <c r="AC198" s="198"/>
      <c r="AD198" s="198"/>
      <c r="AE198" s="198"/>
      <c r="AF198" s="198"/>
      <c r="AG198" s="198"/>
      <c r="AH198" s="198"/>
      <c r="AI198" s="198"/>
      <c r="AJ198" s="198"/>
      <c r="AK198" s="198"/>
      <c r="AL198" s="176"/>
      <c r="AM198" s="198"/>
      <c r="AN198" s="198"/>
      <c r="AO198" s="198"/>
      <c r="AP198" s="198"/>
      <c r="AQ198" s="198"/>
      <c r="AR198" s="198"/>
      <c r="AS198" s="198"/>
      <c r="AT198" s="198"/>
      <c r="AU198" s="198"/>
      <c r="AV198" s="198"/>
      <c r="AW198" s="198"/>
      <c r="AX198" s="198"/>
      <c r="AY198" s="198"/>
      <c r="AZ198" s="198"/>
      <c r="BA198" s="198"/>
      <c r="BB198" s="198"/>
      <c r="BC198" s="198"/>
      <c r="BD198" s="176"/>
      <c r="BE198" s="198"/>
      <c r="BF198" s="198"/>
      <c r="BG198" s="198"/>
      <c r="BH198" s="198"/>
      <c r="BI198" s="198"/>
      <c r="BJ198" s="198"/>
      <c r="BK198" s="198"/>
      <c r="BL198" s="198"/>
      <c r="BM198" s="198"/>
      <c r="BN198" s="198"/>
      <c r="BO198" s="198"/>
      <c r="BP198" s="198"/>
      <c r="BQ198" s="198"/>
      <c r="BR198" s="198"/>
      <c r="BS198" s="198"/>
      <c r="BT198" s="198"/>
      <c r="BU198" s="198"/>
      <c r="BV198" s="176"/>
      <c r="BW198" s="198"/>
      <c r="BX198" s="198"/>
      <c r="BY198" s="198"/>
      <c r="BZ198" s="198"/>
      <c r="CA198" s="198"/>
      <c r="CB198" s="198"/>
      <c r="CC198" s="198"/>
      <c r="CD198" s="198"/>
      <c r="CE198" s="198"/>
      <c r="CF198" s="198"/>
      <c r="CG198" s="198"/>
      <c r="CH198" s="198"/>
      <c r="CI198" s="198"/>
      <c r="CJ198" s="198"/>
      <c r="CK198" s="198"/>
      <c r="CL198" s="198"/>
      <c r="CM198" s="198"/>
      <c r="CN198" s="176"/>
      <c r="CO198" s="198"/>
      <c r="CP198" s="198"/>
      <c r="CQ198" s="198"/>
      <c r="CR198" s="198"/>
      <c r="CS198" s="198"/>
      <c r="CT198" s="198"/>
      <c r="CU198" s="198"/>
      <c r="CV198" s="198"/>
      <c r="CW198" s="198"/>
      <c r="CX198" s="198"/>
      <c r="CY198" s="198"/>
      <c r="CZ198" s="198"/>
      <c r="DA198" s="198"/>
      <c r="DB198" s="198"/>
      <c r="DC198" s="198"/>
      <c r="DD198" s="198"/>
      <c r="DE198" s="198"/>
      <c r="DF198" s="176"/>
      <c r="DG198" s="198"/>
      <c r="DH198" s="198"/>
      <c r="DI198" s="198"/>
      <c r="DJ198" s="198"/>
      <c r="DK198" s="198"/>
      <c r="DL198" s="198"/>
      <c r="DM198" s="198"/>
      <c r="DN198" s="198"/>
      <c r="DO198" s="198"/>
      <c r="DP198" s="198"/>
      <c r="DQ198" s="198"/>
      <c r="DR198" s="198"/>
      <c r="DS198" s="198"/>
      <c r="DT198" s="198"/>
      <c r="DU198" s="198"/>
      <c r="DV198" s="198"/>
      <c r="DW198" s="198"/>
      <c r="DX198" s="176"/>
      <c r="DY198" s="198"/>
      <c r="DZ198" s="198"/>
      <c r="EA198" s="198"/>
      <c r="EB198" s="198"/>
      <c r="EC198" s="198"/>
      <c r="ED198" s="198"/>
      <c r="EE198" s="198"/>
      <c r="EF198" s="198"/>
      <c r="EG198" s="198"/>
      <c r="EH198" s="198"/>
      <c r="EI198" s="198"/>
      <c r="EJ198" s="198"/>
      <c r="EK198" s="198"/>
      <c r="EL198" s="198"/>
      <c r="EM198" s="198"/>
      <c r="EN198" s="198"/>
      <c r="EO198" s="198"/>
      <c r="EP198" s="176"/>
      <c r="EQ198" s="198"/>
      <c r="ER198" s="198"/>
      <c r="ES198" s="198"/>
      <c r="ET198" s="198"/>
      <c r="EU198" s="198"/>
      <c r="EV198" s="198"/>
      <c r="EW198" s="198"/>
      <c r="EX198" s="198"/>
      <c r="EY198" s="198"/>
      <c r="EZ198" s="198"/>
      <c r="FA198" s="198"/>
      <c r="FB198" s="198"/>
      <c r="FC198" s="198"/>
      <c r="FD198" s="198"/>
      <c r="FE198" s="198"/>
      <c r="FF198" s="198"/>
      <c r="FG198" s="198"/>
      <c r="FH198" s="176"/>
      <c r="FI198" s="198"/>
      <c r="FJ198" s="198"/>
      <c r="FK198" s="198"/>
      <c r="FL198" s="198"/>
      <c r="FM198" s="198"/>
      <c r="FN198" s="198"/>
      <c r="FO198" s="198"/>
      <c r="FP198" s="198"/>
      <c r="FQ198" s="198"/>
      <c r="FR198" s="198"/>
      <c r="FS198" s="198"/>
      <c r="FT198" s="198"/>
      <c r="FU198" s="198"/>
      <c r="FV198" s="198"/>
      <c r="FW198" s="198"/>
      <c r="FX198" s="198"/>
      <c r="FY198" s="198"/>
    </row>
    <row r="199" spans="2:181" x14ac:dyDescent="0.25">
      <c r="B199" s="977" t="s">
        <v>543</v>
      </c>
      <c r="C199" s="977"/>
      <c r="D199" s="977"/>
      <c r="E199" s="977"/>
      <c r="F199" s="977"/>
      <c r="G199" s="199">
        <f>COUNTA(C168:S197)</f>
        <v>0</v>
      </c>
      <c r="H199" s="198" t="s">
        <v>544</v>
      </c>
      <c r="I199" s="198"/>
      <c r="J199" s="198"/>
      <c r="K199" s="198"/>
      <c r="L199" s="198"/>
      <c r="M199" s="200" t="s">
        <v>545</v>
      </c>
      <c r="N199" s="201">
        <f>MAX(C168:S197,U168:AK197)</f>
        <v>0</v>
      </c>
      <c r="O199" s="198"/>
      <c r="P199" s="198"/>
      <c r="Q199" s="198"/>
      <c r="R199" s="198"/>
      <c r="S199" s="198"/>
      <c r="T199" s="977" t="s">
        <v>543</v>
      </c>
      <c r="U199" s="977"/>
      <c r="V199" s="977"/>
      <c r="W199" s="977"/>
      <c r="X199" s="977"/>
      <c r="Y199" s="199">
        <f>COUNTA(U168:AK197)</f>
        <v>0</v>
      </c>
      <c r="Z199" s="198" t="s">
        <v>544</v>
      </c>
      <c r="AA199" s="198"/>
      <c r="AB199" s="198"/>
      <c r="AC199" s="198"/>
      <c r="AD199" s="198"/>
      <c r="AE199" s="198"/>
      <c r="AF199" s="198"/>
      <c r="AG199" s="198"/>
      <c r="AH199" s="198"/>
      <c r="AI199" s="198"/>
      <c r="AJ199" s="198"/>
      <c r="AK199" s="198"/>
      <c r="AL199" s="977" t="s">
        <v>543</v>
      </c>
      <c r="AM199" s="977"/>
      <c r="AN199" s="977"/>
      <c r="AO199" s="977"/>
      <c r="AP199" s="977"/>
      <c r="AQ199" s="199">
        <f>COUNTA(AM168:BC197)</f>
        <v>0</v>
      </c>
      <c r="AR199" s="198" t="s">
        <v>544</v>
      </c>
      <c r="AS199" s="198"/>
      <c r="AT199" s="198"/>
      <c r="AU199" s="198"/>
      <c r="AV199" s="198"/>
      <c r="AW199" s="198"/>
      <c r="AX199" s="198"/>
      <c r="AY199" s="198"/>
      <c r="AZ199" s="198"/>
      <c r="BA199" s="198"/>
      <c r="BB199" s="198"/>
      <c r="BC199" s="198"/>
      <c r="BD199" s="977" t="s">
        <v>543</v>
      </c>
      <c r="BE199" s="977"/>
      <c r="BF199" s="977"/>
      <c r="BG199" s="977"/>
      <c r="BH199" s="977"/>
      <c r="BI199" s="199">
        <f>COUNTA(BE168:BU197)</f>
        <v>0</v>
      </c>
      <c r="BJ199" s="198" t="s">
        <v>544</v>
      </c>
      <c r="BK199" s="198"/>
      <c r="BL199" s="198"/>
      <c r="BM199" s="198"/>
      <c r="BN199" s="198"/>
      <c r="BO199" s="198"/>
      <c r="BP199" s="198"/>
      <c r="BQ199" s="198"/>
      <c r="BR199" s="198"/>
      <c r="BS199" s="198"/>
      <c r="BT199" s="198"/>
      <c r="BU199" s="198"/>
      <c r="BV199" s="977" t="s">
        <v>543</v>
      </c>
      <c r="BW199" s="977"/>
      <c r="BX199" s="977"/>
      <c r="BY199" s="977"/>
      <c r="BZ199" s="977"/>
      <c r="CA199" s="199">
        <f>COUNTA(BW168:CM197)</f>
        <v>0</v>
      </c>
      <c r="CB199" s="198" t="s">
        <v>544</v>
      </c>
      <c r="CC199" s="198"/>
      <c r="CD199" s="198"/>
      <c r="CE199" s="198"/>
      <c r="CF199" s="198"/>
      <c r="CG199" s="198"/>
      <c r="CH199" s="198"/>
      <c r="CI199" s="198"/>
      <c r="CJ199" s="198"/>
      <c r="CK199" s="198"/>
      <c r="CL199" s="198"/>
      <c r="CM199" s="198"/>
      <c r="CN199" s="977" t="s">
        <v>543</v>
      </c>
      <c r="CO199" s="977"/>
      <c r="CP199" s="977"/>
      <c r="CQ199" s="977"/>
      <c r="CR199" s="977"/>
      <c r="CS199" s="199">
        <f>COUNTA(CO168:DE197)</f>
        <v>0</v>
      </c>
      <c r="CT199" s="198" t="s">
        <v>544</v>
      </c>
      <c r="CU199" s="198"/>
      <c r="CV199" s="198"/>
      <c r="CW199" s="198"/>
      <c r="CX199" s="198"/>
      <c r="CY199" s="198"/>
      <c r="CZ199" s="198"/>
      <c r="DA199" s="198"/>
      <c r="DB199" s="198"/>
      <c r="DC199" s="198"/>
      <c r="DD199" s="198"/>
      <c r="DE199" s="198"/>
      <c r="DF199" s="977" t="s">
        <v>543</v>
      </c>
      <c r="DG199" s="977"/>
      <c r="DH199" s="977"/>
      <c r="DI199" s="977"/>
      <c r="DJ199" s="977"/>
      <c r="DK199" s="199">
        <f>COUNTA(DG168:DW197)</f>
        <v>0</v>
      </c>
      <c r="DL199" s="198" t="s">
        <v>544</v>
      </c>
      <c r="DM199" s="198"/>
      <c r="DN199" s="198"/>
      <c r="DO199" s="198"/>
      <c r="DP199" s="198"/>
      <c r="DQ199" s="198"/>
      <c r="DR199" s="198"/>
      <c r="DS199" s="198"/>
      <c r="DT199" s="198"/>
      <c r="DU199" s="198"/>
      <c r="DV199" s="198"/>
      <c r="DW199" s="198"/>
      <c r="DX199" s="977" t="s">
        <v>543</v>
      </c>
      <c r="DY199" s="977"/>
      <c r="DZ199" s="977"/>
      <c r="EA199" s="977"/>
      <c r="EB199" s="977"/>
      <c r="EC199" s="199">
        <f>COUNTA(DY168:EO197)</f>
        <v>0</v>
      </c>
      <c r="ED199" s="198" t="s">
        <v>544</v>
      </c>
      <c r="EE199" s="198"/>
      <c r="EF199" s="198"/>
      <c r="EG199" s="198"/>
      <c r="EH199" s="198"/>
      <c r="EI199" s="198"/>
      <c r="EJ199" s="198"/>
      <c r="EK199" s="198"/>
      <c r="EL199" s="198"/>
      <c r="EM199" s="198"/>
      <c r="EN199" s="198"/>
      <c r="EO199" s="198"/>
      <c r="EP199" s="977" t="s">
        <v>543</v>
      </c>
      <c r="EQ199" s="977"/>
      <c r="ER199" s="977"/>
      <c r="ES199" s="977"/>
      <c r="ET199" s="977"/>
      <c r="EU199" s="199">
        <f>COUNTA(EQ168:FG197)</f>
        <v>0</v>
      </c>
      <c r="EV199" s="198" t="s">
        <v>544</v>
      </c>
      <c r="EW199" s="198"/>
      <c r="EX199" s="198"/>
      <c r="EY199" s="198"/>
      <c r="EZ199" s="198"/>
      <c r="FA199" s="198"/>
      <c r="FB199" s="198"/>
      <c r="FC199" s="198"/>
      <c r="FD199" s="198"/>
      <c r="FE199" s="198"/>
      <c r="FF199" s="198"/>
      <c r="FG199" s="198"/>
      <c r="FH199" s="977" t="s">
        <v>543</v>
      </c>
      <c r="FI199" s="977"/>
      <c r="FJ199" s="977"/>
      <c r="FK199" s="977"/>
      <c r="FL199" s="977"/>
      <c r="FM199" s="199">
        <f>COUNTA(FI168:FY197)</f>
        <v>0</v>
      </c>
      <c r="FN199" s="198" t="s">
        <v>544</v>
      </c>
      <c r="FO199" s="198"/>
      <c r="FP199" s="198"/>
      <c r="FQ199" s="198"/>
      <c r="FR199" s="198"/>
      <c r="FS199" s="198"/>
      <c r="FT199" s="198"/>
      <c r="FU199" s="198"/>
      <c r="FV199" s="198"/>
      <c r="FW199" s="198"/>
      <c r="FX199" s="198"/>
      <c r="FY199" s="198"/>
    </row>
    <row r="200" spans="2:181" x14ac:dyDescent="0.25">
      <c r="M200" s="203" t="s">
        <v>548</v>
      </c>
      <c r="N200" s="204">
        <f>MIN(C168:S197,U168:AK197)</f>
        <v>0</v>
      </c>
    </row>
    <row r="201" spans="2:181" x14ac:dyDescent="0.25">
      <c r="B201" s="205" t="s">
        <v>549</v>
      </c>
      <c r="C201" s="205"/>
      <c r="D201" s="205"/>
      <c r="E201" s="205"/>
      <c r="F201" s="205"/>
      <c r="G201" s="205"/>
      <c r="H201" s="990" t="e">
        <f>#REF!</f>
        <v>#REF!</v>
      </c>
      <c r="I201" s="990"/>
      <c r="J201" s="990"/>
      <c r="K201" s="990"/>
      <c r="L201" s="990"/>
      <c r="M201" s="198"/>
      <c r="N201" s="198"/>
      <c r="O201" s="198"/>
      <c r="P201" s="198"/>
      <c r="Q201" s="198"/>
      <c r="R201" s="198"/>
      <c r="S201" s="198"/>
      <c r="T201" s="205"/>
      <c r="U201" s="205"/>
      <c r="V201" s="205"/>
      <c r="W201" s="205"/>
      <c r="X201" s="205"/>
      <c r="Y201" s="205"/>
      <c r="Z201" s="205"/>
      <c r="AA201" s="198"/>
      <c r="AB201" s="198"/>
      <c r="AC201" s="205"/>
      <c r="AD201" s="198"/>
      <c r="AE201" s="198"/>
      <c r="AF201" s="198"/>
      <c r="AG201" s="198"/>
      <c r="AH201" s="198"/>
      <c r="AI201" s="198"/>
      <c r="AJ201" s="198"/>
      <c r="AK201" s="198"/>
      <c r="AL201" s="205"/>
      <c r="AM201" s="205"/>
      <c r="AN201" s="205"/>
      <c r="AO201" s="205"/>
      <c r="AP201" s="205"/>
      <c r="AQ201" s="205"/>
      <c r="AR201" s="205"/>
      <c r="AS201" s="198"/>
      <c r="AT201" s="198"/>
      <c r="AU201" s="205"/>
      <c r="AV201" s="198"/>
      <c r="AW201" s="198"/>
      <c r="AX201" s="198"/>
      <c r="AY201" s="198"/>
      <c r="AZ201" s="198"/>
      <c r="BA201" s="198"/>
      <c r="BB201" s="198"/>
      <c r="BC201" s="198"/>
      <c r="BD201" s="205"/>
      <c r="BE201" s="205"/>
      <c r="BF201" s="205"/>
      <c r="BG201" s="205"/>
      <c r="BH201" s="205"/>
      <c r="BI201" s="205"/>
      <c r="BJ201" s="205"/>
      <c r="BK201" s="198"/>
      <c r="BL201" s="198"/>
      <c r="BM201" s="205"/>
      <c r="BN201" s="198"/>
      <c r="BO201" s="198"/>
      <c r="BP201" s="198"/>
      <c r="BQ201" s="198"/>
      <c r="BR201" s="198"/>
      <c r="BS201" s="198"/>
      <c r="BT201" s="198"/>
      <c r="BU201" s="198"/>
      <c r="BV201" s="205"/>
      <c r="BW201" s="205"/>
      <c r="BX201" s="205"/>
      <c r="BY201" s="205"/>
      <c r="BZ201" s="205"/>
      <c r="CA201" s="205"/>
      <c r="CB201" s="205"/>
      <c r="CC201" s="198"/>
      <c r="CD201" s="198"/>
      <c r="CE201" s="205"/>
      <c r="CF201" s="198"/>
      <c r="CG201" s="198"/>
      <c r="CH201" s="198"/>
      <c r="CI201" s="198"/>
      <c r="CJ201" s="198"/>
      <c r="CK201" s="198"/>
      <c r="CL201" s="198"/>
      <c r="CM201" s="198"/>
      <c r="CN201" s="205"/>
      <c r="CO201" s="205"/>
      <c r="CP201" s="205"/>
      <c r="CQ201" s="205"/>
      <c r="CR201" s="205"/>
      <c r="CS201" s="205"/>
      <c r="CT201" s="205"/>
      <c r="CU201" s="198"/>
      <c r="CV201" s="198"/>
      <c r="CW201" s="205"/>
      <c r="CX201" s="198"/>
      <c r="CY201" s="198"/>
      <c r="CZ201" s="198"/>
      <c r="DA201" s="198"/>
      <c r="DB201" s="198"/>
      <c r="DC201" s="198"/>
      <c r="DD201" s="198"/>
      <c r="DE201" s="198"/>
      <c r="DF201" s="205"/>
      <c r="DG201" s="205"/>
      <c r="DH201" s="205"/>
      <c r="DI201" s="205"/>
      <c r="DJ201" s="205"/>
      <c r="DK201" s="205"/>
      <c r="DL201" s="205"/>
      <c r="DM201" s="198"/>
      <c r="DN201" s="198"/>
      <c r="DO201" s="205"/>
      <c r="DP201" s="198"/>
      <c r="DQ201" s="198"/>
      <c r="DR201" s="198"/>
      <c r="DS201" s="198"/>
      <c r="DT201" s="198"/>
      <c r="DU201" s="198"/>
      <c r="DV201" s="198"/>
      <c r="DW201" s="198"/>
      <c r="DX201" s="205"/>
      <c r="DY201" s="205"/>
      <c r="DZ201" s="205"/>
      <c r="EA201" s="205"/>
      <c r="EB201" s="205"/>
      <c r="EC201" s="205"/>
      <c r="ED201" s="205"/>
      <c r="EE201" s="198"/>
      <c r="EF201" s="198"/>
      <c r="EG201" s="205"/>
      <c r="EH201" s="198"/>
      <c r="EI201" s="198"/>
      <c r="EJ201" s="198"/>
      <c r="EK201" s="198"/>
      <c r="EL201" s="198"/>
      <c r="EM201" s="198"/>
      <c r="EN201" s="198"/>
      <c r="EO201" s="198"/>
      <c r="EP201" s="205"/>
      <c r="EQ201" s="205"/>
      <c r="ER201" s="205"/>
      <c r="ES201" s="205"/>
      <c r="ET201" s="205"/>
      <c r="EU201" s="205"/>
      <c r="EV201" s="205"/>
      <c r="EW201" s="198"/>
      <c r="EX201" s="198"/>
      <c r="EY201" s="205"/>
      <c r="EZ201" s="198"/>
      <c r="FA201" s="198"/>
      <c r="FB201" s="198"/>
      <c r="FC201" s="198"/>
      <c r="FD201" s="198"/>
      <c r="FE201" s="198"/>
      <c r="FF201" s="198"/>
      <c r="FG201" s="198"/>
      <c r="FH201" s="205"/>
      <c r="FI201" s="205"/>
      <c r="FJ201" s="205"/>
      <c r="FK201" s="205"/>
      <c r="FL201" s="205"/>
      <c r="FM201" s="205"/>
      <c r="FN201" s="205"/>
      <c r="FO201" s="198"/>
      <c r="FP201" s="198"/>
      <c r="FQ201" s="205"/>
      <c r="FR201" s="198"/>
      <c r="FS201" s="198"/>
      <c r="FT201" s="198"/>
      <c r="FU201" s="198"/>
      <c r="FV201" s="198"/>
      <c r="FW201" s="198"/>
      <c r="FX201" s="198"/>
      <c r="FY201" s="198"/>
    </row>
    <row r="202" spans="2:181" x14ac:dyDescent="0.25">
      <c r="B202" s="208"/>
      <c r="C202" s="205"/>
      <c r="D202" s="205"/>
      <c r="E202" s="205"/>
      <c r="F202" s="205"/>
      <c r="G202" s="205"/>
      <c r="H202" s="205"/>
      <c r="I202" s="198"/>
      <c r="J202" s="209"/>
      <c r="K202" s="208"/>
      <c r="L202" s="198"/>
      <c r="M202" s="198"/>
      <c r="N202" s="198"/>
      <c r="O202" s="198"/>
      <c r="P202" s="198"/>
      <c r="Q202" s="198"/>
      <c r="R202" s="198"/>
      <c r="S202" s="209"/>
      <c r="T202" s="208"/>
      <c r="U202" s="205"/>
      <c r="V202" s="205"/>
      <c r="W202" s="205"/>
      <c r="X202" s="205"/>
      <c r="Y202" s="205"/>
      <c r="Z202" s="205"/>
      <c r="AA202" s="198"/>
      <c r="AB202" s="209"/>
      <c r="AC202" s="208"/>
      <c r="AD202" s="198"/>
      <c r="AE202" s="198"/>
      <c r="AF202" s="198"/>
      <c r="AG202" s="198"/>
      <c r="AH202" s="198"/>
      <c r="AI202" s="198"/>
      <c r="AJ202" s="198"/>
      <c r="AK202" s="209"/>
      <c r="AL202" s="208"/>
      <c r="AM202" s="205"/>
      <c r="AN202" s="205"/>
      <c r="AO202" s="205"/>
      <c r="AP202" s="205"/>
      <c r="AQ202" s="205"/>
      <c r="AR202" s="205"/>
      <c r="AS202" s="198"/>
      <c r="AT202" s="209"/>
      <c r="AU202" s="208"/>
      <c r="AV202" s="198"/>
      <c r="AW202" s="198"/>
      <c r="AX202" s="198"/>
      <c r="AY202" s="198"/>
      <c r="AZ202" s="198"/>
      <c r="BA202" s="198"/>
      <c r="BB202" s="198"/>
      <c r="BC202" s="209"/>
      <c r="BD202" s="208"/>
      <c r="BE202" s="205"/>
      <c r="BF202" s="205"/>
      <c r="BG202" s="205"/>
      <c r="BH202" s="205"/>
      <c r="BI202" s="205"/>
      <c r="BJ202" s="205"/>
      <c r="BK202" s="198"/>
      <c r="BL202" s="209"/>
      <c r="BM202" s="208"/>
      <c r="BN202" s="198"/>
      <c r="BO202" s="198"/>
      <c r="BP202" s="198"/>
      <c r="BQ202" s="198"/>
      <c r="BR202" s="198"/>
      <c r="BS202" s="198"/>
      <c r="BT202" s="198"/>
      <c r="BU202" s="209"/>
      <c r="BV202" s="208"/>
      <c r="BW202" s="205"/>
      <c r="BX202" s="205"/>
      <c r="BY202" s="205"/>
      <c r="BZ202" s="205"/>
      <c r="CA202" s="205"/>
      <c r="CB202" s="205"/>
      <c r="CC202" s="198"/>
      <c r="CD202" s="209"/>
      <c r="CE202" s="208"/>
      <c r="CF202" s="198"/>
      <c r="CG202" s="198"/>
      <c r="CH202" s="198"/>
      <c r="CI202" s="198"/>
      <c r="CJ202" s="198"/>
      <c r="CK202" s="198"/>
      <c r="CL202" s="198"/>
      <c r="CM202" s="209"/>
      <c r="CN202" s="208"/>
      <c r="CO202" s="205"/>
      <c r="CP202" s="205"/>
      <c r="CQ202" s="205"/>
      <c r="CR202" s="205"/>
      <c r="CS202" s="205"/>
      <c r="CT202" s="205"/>
      <c r="CU202" s="198"/>
      <c r="CV202" s="209"/>
      <c r="CW202" s="208"/>
      <c r="CX202" s="198"/>
      <c r="CY202" s="198"/>
      <c r="CZ202" s="198"/>
      <c r="DA202" s="198"/>
      <c r="DB202" s="198"/>
      <c r="DC202" s="198"/>
      <c r="DD202" s="198"/>
      <c r="DE202" s="209"/>
      <c r="DF202" s="208"/>
      <c r="DG202" s="205"/>
      <c r="DH202" s="205"/>
      <c r="DI202" s="205"/>
      <c r="DJ202" s="205"/>
      <c r="DK202" s="205"/>
      <c r="DL202" s="205"/>
      <c r="DM202" s="198"/>
      <c r="DN202" s="209"/>
      <c r="DO202" s="208"/>
      <c r="DP202" s="198"/>
      <c r="DQ202" s="198"/>
      <c r="DR202" s="198"/>
      <c r="DS202" s="198"/>
      <c r="DT202" s="198"/>
      <c r="DU202" s="198"/>
      <c r="DV202" s="198"/>
      <c r="DW202" s="209"/>
      <c r="DX202" s="208"/>
      <c r="DY202" s="205"/>
      <c r="DZ202" s="205"/>
      <c r="EA202" s="205"/>
      <c r="EB202" s="205"/>
      <c r="EC202" s="205"/>
      <c r="ED202" s="205"/>
      <c r="EE202" s="198"/>
      <c r="EF202" s="209"/>
      <c r="EG202" s="208"/>
      <c r="EH202" s="198"/>
      <c r="EI202" s="198"/>
      <c r="EJ202" s="198"/>
      <c r="EK202" s="198"/>
      <c r="EL202" s="198"/>
      <c r="EM202" s="198"/>
      <c r="EN202" s="198"/>
      <c r="EO202" s="209"/>
      <c r="EP202" s="208"/>
      <c r="EQ202" s="205"/>
      <c r="ER202" s="205"/>
      <c r="ES202" s="205"/>
      <c r="ET202" s="205"/>
      <c r="EU202" s="205"/>
      <c r="EV202" s="205"/>
      <c r="EW202" s="198"/>
      <c r="EX202" s="209"/>
      <c r="EY202" s="208"/>
      <c r="EZ202" s="198"/>
      <c r="FA202" s="198"/>
      <c r="FB202" s="198"/>
      <c r="FC202" s="198"/>
      <c r="FD202" s="198"/>
      <c r="FE202" s="198"/>
      <c r="FF202" s="198"/>
      <c r="FG202" s="209"/>
      <c r="FH202" s="208"/>
      <c r="FI202" s="205"/>
      <c r="FJ202" s="205"/>
      <c r="FK202" s="205"/>
      <c r="FL202" s="205"/>
      <c r="FM202" s="205"/>
      <c r="FN202" s="205"/>
      <c r="FO202" s="198"/>
      <c r="FP202" s="209"/>
      <c r="FQ202" s="208"/>
      <c r="FR202" s="198"/>
      <c r="FS202" s="198"/>
      <c r="FT202" s="198"/>
      <c r="FU202" s="198"/>
      <c r="FV202" s="198"/>
      <c r="FW202" s="198"/>
      <c r="FX202" s="198"/>
      <c r="FY202" s="209"/>
    </row>
    <row r="203" spans="2:181" x14ac:dyDescent="0.25">
      <c r="B203" s="210"/>
      <c r="C203" s="206"/>
      <c r="D203" s="206"/>
      <c r="E203" s="206"/>
      <c r="F203" s="206"/>
      <c r="G203" s="206"/>
      <c r="H203" s="206"/>
      <c r="I203" s="206"/>
      <c r="J203" s="211"/>
      <c r="K203" s="210"/>
      <c r="L203" s="206"/>
      <c r="M203" s="206"/>
      <c r="N203" s="206"/>
      <c r="O203" s="206"/>
      <c r="P203" s="206"/>
      <c r="Q203" s="206"/>
      <c r="R203" s="206"/>
      <c r="S203" s="211"/>
      <c r="T203" s="210"/>
      <c r="U203" s="206"/>
      <c r="V203" s="206"/>
      <c r="W203" s="206"/>
      <c r="X203" s="206"/>
      <c r="Y203" s="206"/>
      <c r="Z203" s="206"/>
      <c r="AA203" s="206"/>
      <c r="AB203" s="211"/>
      <c r="AC203" s="210"/>
      <c r="AD203" s="206"/>
      <c r="AE203" s="206"/>
      <c r="AF203" s="206"/>
      <c r="AG203" s="206"/>
      <c r="AH203" s="206"/>
      <c r="AI203" s="206"/>
      <c r="AJ203" s="206"/>
      <c r="AK203" s="211"/>
      <c r="AL203" s="210"/>
      <c r="AM203" s="206"/>
      <c r="AN203" s="206"/>
      <c r="AO203" s="206"/>
      <c r="AP203" s="206"/>
      <c r="AQ203" s="206"/>
      <c r="AR203" s="206"/>
      <c r="AS203" s="206"/>
      <c r="AT203" s="211"/>
      <c r="AU203" s="210"/>
      <c r="AV203" s="206"/>
      <c r="AW203" s="206"/>
      <c r="AX203" s="206"/>
      <c r="AY203" s="206"/>
      <c r="AZ203" s="206"/>
      <c r="BA203" s="206"/>
      <c r="BB203" s="206"/>
      <c r="BC203" s="211"/>
      <c r="BD203" s="210"/>
      <c r="BE203" s="206"/>
      <c r="BF203" s="206"/>
      <c r="BG203" s="206"/>
      <c r="BH203" s="206"/>
      <c r="BI203" s="206"/>
      <c r="BJ203" s="206"/>
      <c r="BK203" s="206"/>
      <c r="BL203" s="211"/>
      <c r="BM203" s="210"/>
      <c r="BN203" s="206"/>
      <c r="BO203" s="206"/>
      <c r="BP203" s="206"/>
      <c r="BQ203" s="206"/>
      <c r="BR203" s="206"/>
      <c r="BS203" s="206"/>
      <c r="BT203" s="206"/>
      <c r="BU203" s="211"/>
      <c r="BV203" s="210"/>
      <c r="BW203" s="206"/>
      <c r="BX203" s="206"/>
      <c r="BY203" s="206"/>
      <c r="BZ203" s="206"/>
      <c r="CA203" s="206"/>
      <c r="CB203" s="206"/>
      <c r="CC203" s="206"/>
      <c r="CD203" s="211"/>
      <c r="CE203" s="210"/>
      <c r="CF203" s="206"/>
      <c r="CG203" s="206"/>
      <c r="CH203" s="206"/>
      <c r="CI203" s="206"/>
      <c r="CJ203" s="206"/>
      <c r="CK203" s="206"/>
      <c r="CL203" s="206"/>
      <c r="CM203" s="211"/>
      <c r="CN203" s="210"/>
      <c r="CO203" s="206"/>
      <c r="CP203" s="206"/>
      <c r="CQ203" s="206"/>
      <c r="CR203" s="206"/>
      <c r="CS203" s="206"/>
      <c r="CT203" s="206"/>
      <c r="CU203" s="206"/>
      <c r="CV203" s="211"/>
      <c r="CW203" s="210"/>
      <c r="CX203" s="206"/>
      <c r="CY203" s="206"/>
      <c r="CZ203" s="206"/>
      <c r="DA203" s="206"/>
      <c r="DB203" s="206"/>
      <c r="DC203" s="206"/>
      <c r="DD203" s="206"/>
      <c r="DE203" s="211"/>
      <c r="DF203" s="210"/>
      <c r="DG203" s="206"/>
      <c r="DH203" s="206"/>
      <c r="DI203" s="206"/>
      <c r="DJ203" s="206"/>
      <c r="DK203" s="206"/>
      <c r="DL203" s="206"/>
      <c r="DM203" s="206"/>
      <c r="DN203" s="211"/>
      <c r="DO203" s="210"/>
      <c r="DP203" s="206"/>
      <c r="DQ203" s="206"/>
      <c r="DR203" s="206"/>
      <c r="DS203" s="206"/>
      <c r="DT203" s="206"/>
      <c r="DU203" s="206"/>
      <c r="DV203" s="206"/>
      <c r="DW203" s="211"/>
      <c r="DX203" s="210"/>
      <c r="DY203" s="206"/>
      <c r="DZ203" s="206"/>
      <c r="EA203" s="206"/>
      <c r="EB203" s="206"/>
      <c r="EC203" s="206"/>
      <c r="ED203" s="206"/>
      <c r="EE203" s="206"/>
      <c r="EF203" s="211"/>
      <c r="EG203" s="210"/>
      <c r="EH203" s="206"/>
      <c r="EI203" s="206"/>
      <c r="EJ203" s="206"/>
      <c r="EK203" s="206"/>
      <c r="EL203" s="206"/>
      <c r="EM203" s="206"/>
      <c r="EN203" s="206"/>
      <c r="EO203" s="211"/>
      <c r="EP203" s="210"/>
      <c r="EQ203" s="206"/>
      <c r="ER203" s="206"/>
      <c r="ES203" s="206"/>
      <c r="ET203" s="206"/>
      <c r="EU203" s="206"/>
      <c r="EV203" s="206"/>
      <c r="EW203" s="206"/>
      <c r="EX203" s="211"/>
      <c r="EY203" s="210"/>
      <c r="EZ203" s="206"/>
      <c r="FA203" s="206"/>
      <c r="FB203" s="206"/>
      <c r="FC203" s="206"/>
      <c r="FD203" s="206"/>
      <c r="FE203" s="206"/>
      <c r="FF203" s="206"/>
      <c r="FG203" s="211"/>
      <c r="FH203" s="210"/>
      <c r="FI203" s="206"/>
      <c r="FJ203" s="206"/>
      <c r="FK203" s="206"/>
      <c r="FL203" s="206"/>
      <c r="FM203" s="206"/>
      <c r="FN203" s="206"/>
      <c r="FO203" s="206"/>
      <c r="FP203" s="211"/>
      <c r="FQ203" s="210"/>
      <c r="FR203" s="206"/>
      <c r="FS203" s="206"/>
      <c r="FT203" s="206"/>
      <c r="FU203" s="206"/>
      <c r="FV203" s="206"/>
      <c r="FW203" s="206"/>
      <c r="FX203" s="206"/>
      <c r="FY203" s="211"/>
    </row>
    <row r="205" spans="2:181" s="212" customFormat="1" ht="30" customHeight="1" x14ac:dyDescent="0.25">
      <c r="B205" s="193" t="s">
        <v>372</v>
      </c>
      <c r="C205" s="194" t="s">
        <v>373</v>
      </c>
      <c r="D205" s="194" t="s">
        <v>374</v>
      </c>
      <c r="E205" s="195" t="s">
        <v>375</v>
      </c>
      <c r="F205" s="195" t="s">
        <v>376</v>
      </c>
      <c r="G205" s="195" t="s">
        <v>377</v>
      </c>
      <c r="H205" s="195" t="s">
        <v>378</v>
      </c>
      <c r="I205" s="195" t="s">
        <v>379</v>
      </c>
      <c r="J205" s="195" t="s">
        <v>380</v>
      </c>
      <c r="K205" s="195" t="s">
        <v>381</v>
      </c>
      <c r="L205" s="196" t="s">
        <v>382</v>
      </c>
      <c r="M205" s="196" t="s">
        <v>383</v>
      </c>
      <c r="N205" s="196" t="s">
        <v>384</v>
      </c>
      <c r="O205" s="196" t="s">
        <v>385</v>
      </c>
      <c r="P205" s="196" t="s">
        <v>386</v>
      </c>
      <c r="Q205" s="196" t="s">
        <v>387</v>
      </c>
      <c r="R205" s="196" t="s">
        <v>388</v>
      </c>
      <c r="S205" s="196" t="s">
        <v>389</v>
      </c>
      <c r="T205" s="193" t="s">
        <v>372</v>
      </c>
      <c r="U205" s="194" t="s">
        <v>390</v>
      </c>
      <c r="V205" s="194" t="s">
        <v>391</v>
      </c>
      <c r="W205" s="195" t="s">
        <v>392</v>
      </c>
      <c r="X205" s="195" t="s">
        <v>393</v>
      </c>
      <c r="Y205" s="195" t="s">
        <v>394</v>
      </c>
      <c r="Z205" s="195" t="s">
        <v>395</v>
      </c>
      <c r="AA205" s="195" t="s">
        <v>396</v>
      </c>
      <c r="AB205" s="195" t="s">
        <v>397</v>
      </c>
      <c r="AC205" s="195" t="s">
        <v>398</v>
      </c>
      <c r="AD205" s="196" t="s">
        <v>399</v>
      </c>
      <c r="AE205" s="196" t="s">
        <v>400</v>
      </c>
      <c r="AF205" s="196" t="s">
        <v>401</v>
      </c>
      <c r="AG205" s="196" t="s">
        <v>402</v>
      </c>
      <c r="AH205" s="196" t="s">
        <v>403</v>
      </c>
      <c r="AI205" s="196" t="s">
        <v>404</v>
      </c>
      <c r="AJ205" s="196" t="s">
        <v>405</v>
      </c>
      <c r="AK205" s="196" t="s">
        <v>406</v>
      </c>
      <c r="AL205" s="193" t="s">
        <v>372</v>
      </c>
      <c r="AM205" s="194" t="s">
        <v>407</v>
      </c>
      <c r="AN205" s="194" t="s">
        <v>408</v>
      </c>
      <c r="AO205" s="195" t="s">
        <v>409</v>
      </c>
      <c r="AP205" s="195" t="s">
        <v>410</v>
      </c>
      <c r="AQ205" s="195" t="s">
        <v>411</v>
      </c>
      <c r="AR205" s="195" t="s">
        <v>412</v>
      </c>
      <c r="AS205" s="195" t="s">
        <v>413</v>
      </c>
      <c r="AT205" s="195" t="s">
        <v>414</v>
      </c>
      <c r="AU205" s="195" t="s">
        <v>415</v>
      </c>
      <c r="AV205" s="196" t="s">
        <v>416</v>
      </c>
      <c r="AW205" s="196" t="s">
        <v>417</v>
      </c>
      <c r="AX205" s="196" t="s">
        <v>418</v>
      </c>
      <c r="AY205" s="196" t="s">
        <v>419</v>
      </c>
      <c r="AZ205" s="196" t="s">
        <v>420</v>
      </c>
      <c r="BA205" s="196" t="s">
        <v>421</v>
      </c>
      <c r="BB205" s="196" t="s">
        <v>422</v>
      </c>
      <c r="BC205" s="196" t="s">
        <v>423</v>
      </c>
      <c r="BD205" s="193" t="s">
        <v>372</v>
      </c>
      <c r="BE205" s="194" t="s">
        <v>424</v>
      </c>
      <c r="BF205" s="194" t="s">
        <v>425</v>
      </c>
      <c r="BG205" s="195" t="s">
        <v>426</v>
      </c>
      <c r="BH205" s="195" t="s">
        <v>427</v>
      </c>
      <c r="BI205" s="195" t="s">
        <v>428</v>
      </c>
      <c r="BJ205" s="195" t="s">
        <v>429</v>
      </c>
      <c r="BK205" s="195" t="s">
        <v>430</v>
      </c>
      <c r="BL205" s="195" t="s">
        <v>431</v>
      </c>
      <c r="BM205" s="195" t="s">
        <v>432</v>
      </c>
      <c r="BN205" s="196" t="s">
        <v>433</v>
      </c>
      <c r="BO205" s="196" t="s">
        <v>434</v>
      </c>
      <c r="BP205" s="196" t="s">
        <v>435</v>
      </c>
      <c r="BQ205" s="196" t="s">
        <v>436</v>
      </c>
      <c r="BR205" s="196" t="s">
        <v>437</v>
      </c>
      <c r="BS205" s="196" t="s">
        <v>438</v>
      </c>
      <c r="BT205" s="196" t="s">
        <v>439</v>
      </c>
      <c r="BU205" s="196" t="s">
        <v>440</v>
      </c>
      <c r="BV205" s="193" t="s">
        <v>372</v>
      </c>
      <c r="BW205" s="194" t="s">
        <v>441</v>
      </c>
      <c r="BX205" s="194" t="s">
        <v>442</v>
      </c>
      <c r="BY205" s="195" t="s">
        <v>443</v>
      </c>
      <c r="BZ205" s="195" t="s">
        <v>444</v>
      </c>
      <c r="CA205" s="195" t="s">
        <v>445</v>
      </c>
      <c r="CB205" s="195" t="s">
        <v>446</v>
      </c>
      <c r="CC205" s="195" t="s">
        <v>447</v>
      </c>
      <c r="CD205" s="195" t="s">
        <v>448</v>
      </c>
      <c r="CE205" s="195" t="s">
        <v>449</v>
      </c>
      <c r="CF205" s="196" t="s">
        <v>450</v>
      </c>
      <c r="CG205" s="196" t="s">
        <v>451</v>
      </c>
      <c r="CH205" s="196" t="s">
        <v>452</v>
      </c>
      <c r="CI205" s="196" t="s">
        <v>453</v>
      </c>
      <c r="CJ205" s="196" t="s">
        <v>454</v>
      </c>
      <c r="CK205" s="196" t="s">
        <v>455</v>
      </c>
      <c r="CL205" s="196" t="s">
        <v>456</v>
      </c>
      <c r="CM205" s="196" t="s">
        <v>457</v>
      </c>
      <c r="CN205" s="193" t="s">
        <v>372</v>
      </c>
      <c r="CO205" s="194" t="s">
        <v>458</v>
      </c>
      <c r="CP205" s="194" t="s">
        <v>459</v>
      </c>
      <c r="CQ205" s="195" t="s">
        <v>460</v>
      </c>
      <c r="CR205" s="195" t="s">
        <v>461</v>
      </c>
      <c r="CS205" s="195" t="s">
        <v>462</v>
      </c>
      <c r="CT205" s="195" t="s">
        <v>463</v>
      </c>
      <c r="CU205" s="195" t="s">
        <v>464</v>
      </c>
      <c r="CV205" s="195" t="s">
        <v>465</v>
      </c>
      <c r="CW205" s="195" t="s">
        <v>466</v>
      </c>
      <c r="CX205" s="196" t="s">
        <v>467</v>
      </c>
      <c r="CY205" s="196" t="s">
        <v>468</v>
      </c>
      <c r="CZ205" s="196" t="s">
        <v>469</v>
      </c>
      <c r="DA205" s="196" t="s">
        <v>470</v>
      </c>
      <c r="DB205" s="196" t="s">
        <v>471</v>
      </c>
      <c r="DC205" s="196" t="s">
        <v>472</v>
      </c>
      <c r="DD205" s="196" t="s">
        <v>473</v>
      </c>
      <c r="DE205" s="196" t="s">
        <v>474</v>
      </c>
      <c r="DF205" s="193" t="s">
        <v>372</v>
      </c>
      <c r="DG205" s="194" t="s">
        <v>526</v>
      </c>
      <c r="DH205" s="194" t="s">
        <v>527</v>
      </c>
      <c r="DI205" s="195" t="s">
        <v>528</v>
      </c>
      <c r="DJ205" s="195" t="s">
        <v>529</v>
      </c>
      <c r="DK205" s="195" t="s">
        <v>530</v>
      </c>
      <c r="DL205" s="195" t="s">
        <v>531</v>
      </c>
      <c r="DM205" s="195" t="s">
        <v>532</v>
      </c>
      <c r="DN205" s="195" t="s">
        <v>533</v>
      </c>
      <c r="DO205" s="195" t="s">
        <v>534</v>
      </c>
      <c r="DP205" s="196" t="s">
        <v>535</v>
      </c>
      <c r="DQ205" s="196" t="s">
        <v>536</v>
      </c>
      <c r="DR205" s="196" t="s">
        <v>537</v>
      </c>
      <c r="DS205" s="196" t="s">
        <v>538</v>
      </c>
      <c r="DT205" s="196" t="s">
        <v>539</v>
      </c>
      <c r="DU205" s="196" t="s">
        <v>540</v>
      </c>
      <c r="DV205" s="196" t="s">
        <v>541</v>
      </c>
      <c r="DW205" s="196" t="s">
        <v>542</v>
      </c>
      <c r="DX205" s="193" t="s">
        <v>372</v>
      </c>
      <c r="DY205" s="194" t="s">
        <v>492</v>
      </c>
      <c r="DZ205" s="194" t="s">
        <v>493</v>
      </c>
      <c r="EA205" s="195" t="s">
        <v>494</v>
      </c>
      <c r="EB205" s="195" t="s">
        <v>495</v>
      </c>
      <c r="EC205" s="195" t="s">
        <v>496</v>
      </c>
      <c r="ED205" s="195" t="s">
        <v>497</v>
      </c>
      <c r="EE205" s="195" t="s">
        <v>498</v>
      </c>
      <c r="EF205" s="195" t="s">
        <v>499</v>
      </c>
      <c r="EG205" s="195" t="s">
        <v>500</v>
      </c>
      <c r="EH205" s="196" t="s">
        <v>501</v>
      </c>
      <c r="EI205" s="196" t="s">
        <v>502</v>
      </c>
      <c r="EJ205" s="196" t="s">
        <v>503</v>
      </c>
      <c r="EK205" s="196" t="s">
        <v>504</v>
      </c>
      <c r="EL205" s="196" t="s">
        <v>505</v>
      </c>
      <c r="EM205" s="196" t="s">
        <v>506</v>
      </c>
      <c r="EN205" s="196" t="s">
        <v>507</v>
      </c>
      <c r="EO205" s="196" t="s">
        <v>508</v>
      </c>
      <c r="EP205" s="193" t="s">
        <v>372</v>
      </c>
      <c r="EQ205" s="194" t="s">
        <v>509</v>
      </c>
      <c r="ER205" s="194" t="s">
        <v>510</v>
      </c>
      <c r="ES205" s="195" t="s">
        <v>511</v>
      </c>
      <c r="ET205" s="195" t="s">
        <v>512</v>
      </c>
      <c r="EU205" s="195" t="s">
        <v>513</v>
      </c>
      <c r="EV205" s="195" t="s">
        <v>514</v>
      </c>
      <c r="EW205" s="195" t="s">
        <v>515</v>
      </c>
      <c r="EX205" s="195" t="s">
        <v>516</v>
      </c>
      <c r="EY205" s="195" t="s">
        <v>517</v>
      </c>
      <c r="EZ205" s="196" t="s">
        <v>518</v>
      </c>
      <c r="FA205" s="196" t="s">
        <v>519</v>
      </c>
      <c r="FB205" s="196" t="s">
        <v>520</v>
      </c>
      <c r="FC205" s="196" t="s">
        <v>521</v>
      </c>
      <c r="FD205" s="196" t="s">
        <v>522</v>
      </c>
      <c r="FE205" s="196" t="s">
        <v>523</v>
      </c>
      <c r="FF205" s="196" t="s">
        <v>524</v>
      </c>
      <c r="FG205" s="196" t="s">
        <v>525</v>
      </c>
      <c r="FH205" s="193" t="s">
        <v>372</v>
      </c>
      <c r="FI205" s="194" t="s">
        <v>526</v>
      </c>
      <c r="FJ205" s="194" t="s">
        <v>527</v>
      </c>
      <c r="FK205" s="195" t="s">
        <v>528</v>
      </c>
      <c r="FL205" s="195" t="s">
        <v>529</v>
      </c>
      <c r="FM205" s="195" t="s">
        <v>530</v>
      </c>
      <c r="FN205" s="195" t="s">
        <v>531</v>
      </c>
      <c r="FO205" s="195" t="s">
        <v>532</v>
      </c>
      <c r="FP205" s="195" t="s">
        <v>533</v>
      </c>
      <c r="FQ205" s="195" t="s">
        <v>534</v>
      </c>
      <c r="FR205" s="196" t="s">
        <v>535</v>
      </c>
      <c r="FS205" s="196" t="s">
        <v>536</v>
      </c>
      <c r="FT205" s="196" t="s">
        <v>537</v>
      </c>
      <c r="FU205" s="196" t="s">
        <v>538</v>
      </c>
      <c r="FV205" s="196" t="s">
        <v>539</v>
      </c>
      <c r="FW205" s="196" t="s">
        <v>540</v>
      </c>
      <c r="FX205" s="196" t="s">
        <v>541</v>
      </c>
      <c r="FY205" s="196" t="s">
        <v>542</v>
      </c>
    </row>
    <row r="206" spans="2:181" x14ac:dyDescent="0.25">
      <c r="B206" s="12">
        <v>151</v>
      </c>
      <c r="C206" s="195"/>
      <c r="D206" s="195"/>
      <c r="E206" s="195"/>
      <c r="F206" s="195"/>
      <c r="G206" s="195"/>
      <c r="H206" s="195"/>
      <c r="I206" s="195"/>
      <c r="J206" s="195"/>
      <c r="K206" s="195"/>
      <c r="L206" s="195"/>
      <c r="M206" s="195"/>
      <c r="N206" s="195"/>
      <c r="O206" s="195"/>
      <c r="P206" s="195"/>
      <c r="Q206" s="195"/>
      <c r="R206" s="195"/>
      <c r="S206" s="195"/>
      <c r="T206" s="12">
        <v>151</v>
      </c>
      <c r="U206" s="195"/>
      <c r="V206" s="195"/>
      <c r="W206" s="195"/>
      <c r="X206" s="195"/>
      <c r="Y206" s="195"/>
      <c r="Z206" s="195"/>
      <c r="AA206" s="195"/>
      <c r="AB206" s="195"/>
      <c r="AC206" s="195"/>
      <c r="AD206" s="195"/>
      <c r="AE206" s="195"/>
      <c r="AF206" s="195"/>
      <c r="AG206" s="195"/>
      <c r="AH206" s="195"/>
      <c r="AI206" s="195"/>
      <c r="AJ206" s="195"/>
      <c r="AK206" s="195"/>
      <c r="AL206" s="12">
        <v>151</v>
      </c>
      <c r="AM206" s="195"/>
      <c r="AN206" s="195"/>
      <c r="AO206" s="195"/>
      <c r="AP206" s="195"/>
      <c r="AQ206" s="195"/>
      <c r="AR206" s="195"/>
      <c r="AS206" s="195"/>
      <c r="AT206" s="195"/>
      <c r="AU206" s="195"/>
      <c r="AV206" s="195"/>
      <c r="AW206" s="195"/>
      <c r="AX206" s="195"/>
      <c r="AY206" s="195"/>
      <c r="AZ206" s="195"/>
      <c r="BA206" s="195"/>
      <c r="BB206" s="195"/>
      <c r="BC206" s="195"/>
      <c r="BD206" s="12">
        <v>151</v>
      </c>
      <c r="BE206" s="195"/>
      <c r="BF206" s="195"/>
      <c r="BG206" s="195"/>
      <c r="BH206" s="195"/>
      <c r="BI206" s="195"/>
      <c r="BJ206" s="195"/>
      <c r="BK206" s="195"/>
      <c r="BL206" s="195"/>
      <c r="BM206" s="195"/>
      <c r="BN206" s="195"/>
      <c r="BO206" s="195"/>
      <c r="BP206" s="195"/>
      <c r="BQ206" s="195"/>
      <c r="BR206" s="195"/>
      <c r="BS206" s="195"/>
      <c r="BT206" s="195"/>
      <c r="BU206" s="195"/>
      <c r="BV206" s="12">
        <v>151</v>
      </c>
      <c r="BW206" s="195"/>
      <c r="BX206" s="195"/>
      <c r="BY206" s="195"/>
      <c r="BZ206" s="195"/>
      <c r="CA206" s="195"/>
      <c r="CB206" s="195"/>
      <c r="CC206" s="195"/>
      <c r="CD206" s="195"/>
      <c r="CE206" s="195"/>
      <c r="CF206" s="195"/>
      <c r="CG206" s="195"/>
      <c r="CH206" s="195"/>
      <c r="CI206" s="195"/>
      <c r="CJ206" s="195"/>
      <c r="CK206" s="195"/>
      <c r="CL206" s="195"/>
      <c r="CM206" s="195"/>
      <c r="CN206" s="12">
        <v>151</v>
      </c>
      <c r="CO206" s="195"/>
      <c r="CP206" s="195"/>
      <c r="CQ206" s="195"/>
      <c r="CR206" s="195"/>
      <c r="CS206" s="195"/>
      <c r="CT206" s="195"/>
      <c r="CU206" s="195"/>
      <c r="CV206" s="195"/>
      <c r="CW206" s="195"/>
      <c r="CX206" s="195"/>
      <c r="CY206" s="195"/>
      <c r="CZ206" s="195"/>
      <c r="DA206" s="195"/>
      <c r="DB206" s="195"/>
      <c r="DC206" s="195"/>
      <c r="DD206" s="195"/>
      <c r="DE206" s="195"/>
      <c r="DF206" s="12">
        <v>151</v>
      </c>
      <c r="DG206" s="195"/>
      <c r="DH206" s="195"/>
      <c r="DI206" s="195"/>
      <c r="DJ206" s="195"/>
      <c r="DK206" s="195"/>
      <c r="DL206" s="195"/>
      <c r="DM206" s="195"/>
      <c r="DN206" s="195"/>
      <c r="DO206" s="195"/>
      <c r="DP206" s="195"/>
      <c r="DQ206" s="195"/>
      <c r="DR206" s="195"/>
      <c r="DS206" s="195"/>
      <c r="DT206" s="195"/>
      <c r="DU206" s="195"/>
      <c r="DV206" s="195"/>
      <c r="DW206" s="195"/>
      <c r="DX206" s="12">
        <v>151</v>
      </c>
      <c r="DY206" s="195"/>
      <c r="DZ206" s="195"/>
      <c r="EA206" s="195"/>
      <c r="EB206" s="195"/>
      <c r="EC206" s="195"/>
      <c r="ED206" s="195"/>
      <c r="EE206" s="195"/>
      <c r="EF206" s="195"/>
      <c r="EG206" s="195"/>
      <c r="EH206" s="195"/>
      <c r="EI206" s="195"/>
      <c r="EJ206" s="195"/>
      <c r="EK206" s="195"/>
      <c r="EL206" s="195"/>
      <c r="EM206" s="195"/>
      <c r="EN206" s="195"/>
      <c r="EO206" s="195"/>
      <c r="EP206" s="12">
        <v>151</v>
      </c>
      <c r="EQ206" s="195"/>
      <c r="ER206" s="195"/>
      <c r="ES206" s="195"/>
      <c r="ET206" s="195"/>
      <c r="EU206" s="195"/>
      <c r="EV206" s="195"/>
      <c r="EW206" s="195"/>
      <c r="EX206" s="195"/>
      <c r="EY206" s="195"/>
      <c r="EZ206" s="195"/>
      <c r="FA206" s="195"/>
      <c r="FB206" s="195"/>
      <c r="FC206" s="195"/>
      <c r="FD206" s="195"/>
      <c r="FE206" s="195"/>
      <c r="FF206" s="195"/>
      <c r="FG206" s="195"/>
      <c r="FH206" s="12">
        <v>151</v>
      </c>
      <c r="FI206" s="195"/>
      <c r="FJ206" s="195"/>
      <c r="FK206" s="195"/>
      <c r="FL206" s="195"/>
      <c r="FM206" s="195"/>
      <c r="FN206" s="195"/>
      <c r="FO206" s="195"/>
      <c r="FP206" s="195"/>
      <c r="FQ206" s="195"/>
      <c r="FR206" s="195"/>
      <c r="FS206" s="195"/>
      <c r="FT206" s="195"/>
      <c r="FU206" s="195"/>
      <c r="FV206" s="195"/>
      <c r="FW206" s="195"/>
      <c r="FX206" s="195"/>
      <c r="FY206" s="195"/>
    </row>
    <row r="207" spans="2:181" x14ac:dyDescent="0.25">
      <c r="B207" s="197">
        <v>152</v>
      </c>
      <c r="C207" s="195"/>
      <c r="D207" s="195"/>
      <c r="E207" s="195"/>
      <c r="F207" s="195"/>
      <c r="G207" s="195"/>
      <c r="H207" s="195"/>
      <c r="I207" s="195"/>
      <c r="J207" s="195"/>
      <c r="K207" s="195"/>
      <c r="L207" s="195"/>
      <c r="M207" s="195"/>
      <c r="N207" s="195"/>
      <c r="O207" s="195"/>
      <c r="P207" s="195"/>
      <c r="Q207" s="195"/>
      <c r="R207" s="195"/>
      <c r="S207" s="195"/>
      <c r="T207" s="197">
        <v>152</v>
      </c>
      <c r="U207" s="195"/>
      <c r="V207" s="195"/>
      <c r="W207" s="195"/>
      <c r="X207" s="195"/>
      <c r="Y207" s="195"/>
      <c r="Z207" s="195"/>
      <c r="AA207" s="195"/>
      <c r="AB207" s="195"/>
      <c r="AC207" s="195"/>
      <c r="AD207" s="195"/>
      <c r="AE207" s="195"/>
      <c r="AF207" s="195"/>
      <c r="AG207" s="195"/>
      <c r="AH207" s="195"/>
      <c r="AI207" s="195"/>
      <c r="AJ207" s="195"/>
      <c r="AK207" s="195"/>
      <c r="AL207" s="197">
        <v>152</v>
      </c>
      <c r="AM207" s="195"/>
      <c r="AN207" s="195"/>
      <c r="AO207" s="195"/>
      <c r="AP207" s="195"/>
      <c r="AQ207" s="195"/>
      <c r="AR207" s="195"/>
      <c r="AS207" s="195"/>
      <c r="AT207" s="195"/>
      <c r="AU207" s="195"/>
      <c r="AV207" s="195"/>
      <c r="AW207" s="195"/>
      <c r="AX207" s="195"/>
      <c r="AY207" s="195"/>
      <c r="AZ207" s="195"/>
      <c r="BA207" s="195"/>
      <c r="BB207" s="195"/>
      <c r="BC207" s="195"/>
      <c r="BD207" s="197">
        <v>152</v>
      </c>
      <c r="BE207" s="195"/>
      <c r="BF207" s="195"/>
      <c r="BG207" s="195"/>
      <c r="BH207" s="195"/>
      <c r="BI207" s="195"/>
      <c r="BJ207" s="195"/>
      <c r="BK207" s="195"/>
      <c r="BL207" s="195"/>
      <c r="BM207" s="195"/>
      <c r="BN207" s="195"/>
      <c r="BO207" s="195"/>
      <c r="BP207" s="195"/>
      <c r="BQ207" s="195"/>
      <c r="BR207" s="195"/>
      <c r="BS207" s="195"/>
      <c r="BT207" s="195"/>
      <c r="BU207" s="195"/>
      <c r="BV207" s="197">
        <v>152</v>
      </c>
      <c r="BW207" s="195"/>
      <c r="BX207" s="195"/>
      <c r="BY207" s="195"/>
      <c r="BZ207" s="195"/>
      <c r="CA207" s="195"/>
      <c r="CB207" s="195"/>
      <c r="CC207" s="195"/>
      <c r="CD207" s="195"/>
      <c r="CE207" s="195"/>
      <c r="CF207" s="195"/>
      <c r="CG207" s="195"/>
      <c r="CH207" s="195"/>
      <c r="CI207" s="195"/>
      <c r="CJ207" s="195"/>
      <c r="CK207" s="195"/>
      <c r="CL207" s="195"/>
      <c r="CM207" s="195"/>
      <c r="CN207" s="197">
        <v>152</v>
      </c>
      <c r="CO207" s="195"/>
      <c r="CP207" s="195"/>
      <c r="CQ207" s="195"/>
      <c r="CR207" s="195"/>
      <c r="CS207" s="195"/>
      <c r="CT207" s="195"/>
      <c r="CU207" s="195"/>
      <c r="CV207" s="195"/>
      <c r="CW207" s="195"/>
      <c r="CX207" s="195"/>
      <c r="CY207" s="195"/>
      <c r="CZ207" s="195"/>
      <c r="DA207" s="195"/>
      <c r="DB207" s="195"/>
      <c r="DC207" s="195"/>
      <c r="DD207" s="195"/>
      <c r="DE207" s="195"/>
      <c r="DF207" s="197">
        <v>152</v>
      </c>
      <c r="DG207" s="195"/>
      <c r="DH207" s="195"/>
      <c r="DI207" s="195"/>
      <c r="DJ207" s="195"/>
      <c r="DK207" s="195"/>
      <c r="DL207" s="195"/>
      <c r="DM207" s="195"/>
      <c r="DN207" s="195"/>
      <c r="DO207" s="195"/>
      <c r="DP207" s="195"/>
      <c r="DQ207" s="195"/>
      <c r="DR207" s="195"/>
      <c r="DS207" s="195"/>
      <c r="DT207" s="195"/>
      <c r="DU207" s="195"/>
      <c r="DV207" s="195"/>
      <c r="DW207" s="195"/>
      <c r="DX207" s="197">
        <v>152</v>
      </c>
      <c r="DY207" s="195"/>
      <c r="DZ207" s="195"/>
      <c r="EA207" s="195"/>
      <c r="EB207" s="195"/>
      <c r="EC207" s="195"/>
      <c r="ED207" s="195"/>
      <c r="EE207" s="195"/>
      <c r="EF207" s="195"/>
      <c r="EG207" s="195"/>
      <c r="EH207" s="195"/>
      <c r="EI207" s="195"/>
      <c r="EJ207" s="195"/>
      <c r="EK207" s="195"/>
      <c r="EL207" s="195"/>
      <c r="EM207" s="195"/>
      <c r="EN207" s="195"/>
      <c r="EO207" s="195"/>
      <c r="EP207" s="197">
        <v>152</v>
      </c>
      <c r="EQ207" s="195"/>
      <c r="ER207" s="195"/>
      <c r="ES207" s="195"/>
      <c r="ET207" s="195"/>
      <c r="EU207" s="195"/>
      <c r="EV207" s="195"/>
      <c r="EW207" s="195"/>
      <c r="EX207" s="195"/>
      <c r="EY207" s="195"/>
      <c r="EZ207" s="195"/>
      <c r="FA207" s="195"/>
      <c r="FB207" s="195"/>
      <c r="FC207" s="195"/>
      <c r="FD207" s="195"/>
      <c r="FE207" s="195"/>
      <c r="FF207" s="195"/>
      <c r="FG207" s="195"/>
      <c r="FH207" s="197">
        <v>152</v>
      </c>
      <c r="FI207" s="195"/>
      <c r="FJ207" s="195"/>
      <c r="FK207" s="195"/>
      <c r="FL207" s="195"/>
      <c r="FM207" s="195"/>
      <c r="FN207" s="195"/>
      <c r="FO207" s="195"/>
      <c r="FP207" s="195"/>
      <c r="FQ207" s="195"/>
      <c r="FR207" s="195"/>
      <c r="FS207" s="195"/>
      <c r="FT207" s="195"/>
      <c r="FU207" s="195"/>
      <c r="FV207" s="195"/>
      <c r="FW207" s="195"/>
      <c r="FX207" s="195"/>
      <c r="FY207" s="195"/>
    </row>
    <row r="208" spans="2:181" x14ac:dyDescent="0.25">
      <c r="B208" s="12">
        <v>153</v>
      </c>
      <c r="C208" s="195"/>
      <c r="D208" s="195"/>
      <c r="E208" s="195"/>
      <c r="F208" s="195"/>
      <c r="G208" s="195"/>
      <c r="H208" s="195"/>
      <c r="I208" s="195"/>
      <c r="J208" s="195"/>
      <c r="K208" s="195"/>
      <c r="L208" s="195"/>
      <c r="M208" s="195"/>
      <c r="N208" s="195"/>
      <c r="O208" s="195"/>
      <c r="P208" s="195"/>
      <c r="Q208" s="195"/>
      <c r="R208" s="195"/>
      <c r="S208" s="195"/>
      <c r="T208" s="12">
        <v>153</v>
      </c>
      <c r="U208" s="195"/>
      <c r="V208" s="195"/>
      <c r="W208" s="195"/>
      <c r="X208" s="195"/>
      <c r="Y208" s="195"/>
      <c r="Z208" s="195"/>
      <c r="AA208" s="195"/>
      <c r="AB208" s="195"/>
      <c r="AC208" s="195"/>
      <c r="AD208" s="195"/>
      <c r="AE208" s="195"/>
      <c r="AF208" s="195"/>
      <c r="AG208" s="195"/>
      <c r="AH208" s="195"/>
      <c r="AI208" s="195"/>
      <c r="AJ208" s="195"/>
      <c r="AK208" s="195"/>
      <c r="AL208" s="12">
        <v>153</v>
      </c>
      <c r="AM208" s="195"/>
      <c r="AN208" s="195"/>
      <c r="AO208" s="195"/>
      <c r="AP208" s="195"/>
      <c r="AQ208" s="195"/>
      <c r="AR208" s="195"/>
      <c r="AS208" s="195"/>
      <c r="AT208" s="195"/>
      <c r="AU208" s="195"/>
      <c r="AV208" s="195"/>
      <c r="AW208" s="195"/>
      <c r="AX208" s="195"/>
      <c r="AY208" s="195"/>
      <c r="AZ208" s="195"/>
      <c r="BA208" s="195"/>
      <c r="BB208" s="195"/>
      <c r="BC208" s="195"/>
      <c r="BD208" s="12">
        <v>153</v>
      </c>
      <c r="BE208" s="195"/>
      <c r="BF208" s="195"/>
      <c r="BG208" s="195"/>
      <c r="BH208" s="195"/>
      <c r="BI208" s="195"/>
      <c r="BJ208" s="195"/>
      <c r="BK208" s="195"/>
      <c r="BL208" s="195"/>
      <c r="BM208" s="195"/>
      <c r="BN208" s="195"/>
      <c r="BO208" s="195"/>
      <c r="BP208" s="195"/>
      <c r="BQ208" s="195"/>
      <c r="BR208" s="195"/>
      <c r="BS208" s="195"/>
      <c r="BT208" s="195"/>
      <c r="BU208" s="195"/>
      <c r="BV208" s="12">
        <v>153</v>
      </c>
      <c r="BW208" s="195"/>
      <c r="BX208" s="195"/>
      <c r="BY208" s="195"/>
      <c r="BZ208" s="195"/>
      <c r="CA208" s="195"/>
      <c r="CB208" s="195"/>
      <c r="CC208" s="195"/>
      <c r="CD208" s="195"/>
      <c r="CE208" s="195"/>
      <c r="CF208" s="195"/>
      <c r="CG208" s="195"/>
      <c r="CH208" s="195"/>
      <c r="CI208" s="195"/>
      <c r="CJ208" s="195"/>
      <c r="CK208" s="195"/>
      <c r="CL208" s="195"/>
      <c r="CM208" s="195"/>
      <c r="CN208" s="12">
        <v>153</v>
      </c>
      <c r="CO208" s="195"/>
      <c r="CP208" s="195"/>
      <c r="CQ208" s="195"/>
      <c r="CR208" s="195"/>
      <c r="CS208" s="195"/>
      <c r="CT208" s="195"/>
      <c r="CU208" s="195"/>
      <c r="CV208" s="195"/>
      <c r="CW208" s="195"/>
      <c r="CX208" s="195"/>
      <c r="CY208" s="195"/>
      <c r="CZ208" s="195"/>
      <c r="DA208" s="195"/>
      <c r="DB208" s="195"/>
      <c r="DC208" s="195"/>
      <c r="DD208" s="195"/>
      <c r="DE208" s="195"/>
      <c r="DF208" s="12">
        <v>153</v>
      </c>
      <c r="DG208" s="195"/>
      <c r="DH208" s="195"/>
      <c r="DI208" s="195"/>
      <c r="DJ208" s="195"/>
      <c r="DK208" s="195"/>
      <c r="DL208" s="195"/>
      <c r="DM208" s="195"/>
      <c r="DN208" s="195"/>
      <c r="DO208" s="195"/>
      <c r="DP208" s="195"/>
      <c r="DQ208" s="195"/>
      <c r="DR208" s="195"/>
      <c r="DS208" s="195"/>
      <c r="DT208" s="195"/>
      <c r="DU208" s="195"/>
      <c r="DV208" s="195"/>
      <c r="DW208" s="195"/>
      <c r="DX208" s="12">
        <v>153</v>
      </c>
      <c r="DY208" s="195"/>
      <c r="DZ208" s="195"/>
      <c r="EA208" s="195"/>
      <c r="EB208" s="195"/>
      <c r="EC208" s="195"/>
      <c r="ED208" s="195"/>
      <c r="EE208" s="195"/>
      <c r="EF208" s="195"/>
      <c r="EG208" s="195"/>
      <c r="EH208" s="195"/>
      <c r="EI208" s="195"/>
      <c r="EJ208" s="195"/>
      <c r="EK208" s="195"/>
      <c r="EL208" s="195"/>
      <c r="EM208" s="195"/>
      <c r="EN208" s="195"/>
      <c r="EO208" s="195"/>
      <c r="EP208" s="12">
        <v>153</v>
      </c>
      <c r="EQ208" s="195"/>
      <c r="ER208" s="195"/>
      <c r="ES208" s="195"/>
      <c r="ET208" s="195"/>
      <c r="EU208" s="195"/>
      <c r="EV208" s="195"/>
      <c r="EW208" s="195"/>
      <c r="EX208" s="195"/>
      <c r="EY208" s="195"/>
      <c r="EZ208" s="195"/>
      <c r="FA208" s="195"/>
      <c r="FB208" s="195"/>
      <c r="FC208" s="195"/>
      <c r="FD208" s="195"/>
      <c r="FE208" s="195"/>
      <c r="FF208" s="195"/>
      <c r="FG208" s="195"/>
      <c r="FH208" s="12">
        <v>153</v>
      </c>
      <c r="FI208" s="195"/>
      <c r="FJ208" s="195"/>
      <c r="FK208" s="195"/>
      <c r="FL208" s="195"/>
      <c r="FM208" s="195"/>
      <c r="FN208" s="195"/>
      <c r="FO208" s="195"/>
      <c r="FP208" s="195"/>
      <c r="FQ208" s="195"/>
      <c r="FR208" s="195"/>
      <c r="FS208" s="195"/>
      <c r="FT208" s="195"/>
      <c r="FU208" s="195"/>
      <c r="FV208" s="195"/>
      <c r="FW208" s="195"/>
      <c r="FX208" s="195"/>
      <c r="FY208" s="195"/>
    </row>
    <row r="209" spans="2:181" x14ac:dyDescent="0.25">
      <c r="B209" s="197">
        <v>154</v>
      </c>
      <c r="C209" s="195"/>
      <c r="D209" s="195"/>
      <c r="E209" s="195"/>
      <c r="F209" s="195"/>
      <c r="G209" s="195"/>
      <c r="H209" s="195"/>
      <c r="I209" s="195"/>
      <c r="J209" s="195"/>
      <c r="K209" s="195"/>
      <c r="L209" s="195"/>
      <c r="M209" s="195"/>
      <c r="N209" s="195"/>
      <c r="O209" s="195"/>
      <c r="P209" s="195"/>
      <c r="Q209" s="195"/>
      <c r="R209" s="195"/>
      <c r="S209" s="195"/>
      <c r="T209" s="197">
        <v>154</v>
      </c>
      <c r="U209" s="195"/>
      <c r="V209" s="195"/>
      <c r="W209" s="195"/>
      <c r="X209" s="195"/>
      <c r="Y209" s="195"/>
      <c r="Z209" s="195"/>
      <c r="AA209" s="195"/>
      <c r="AB209" s="195"/>
      <c r="AC209" s="195"/>
      <c r="AD209" s="195"/>
      <c r="AE209" s="195"/>
      <c r="AF209" s="195"/>
      <c r="AG209" s="195"/>
      <c r="AH209" s="195"/>
      <c r="AI209" s="195"/>
      <c r="AJ209" s="195"/>
      <c r="AK209" s="195"/>
      <c r="AL209" s="197">
        <v>154</v>
      </c>
      <c r="AM209" s="195"/>
      <c r="AN209" s="195"/>
      <c r="AO209" s="195"/>
      <c r="AP209" s="195"/>
      <c r="AQ209" s="195"/>
      <c r="AR209" s="195"/>
      <c r="AS209" s="195"/>
      <c r="AT209" s="195"/>
      <c r="AU209" s="195"/>
      <c r="AV209" s="195"/>
      <c r="AW209" s="195"/>
      <c r="AX209" s="195"/>
      <c r="AY209" s="195"/>
      <c r="AZ209" s="195"/>
      <c r="BA209" s="195"/>
      <c r="BB209" s="195"/>
      <c r="BC209" s="195"/>
      <c r="BD209" s="197">
        <v>154</v>
      </c>
      <c r="BE209" s="195"/>
      <c r="BF209" s="195"/>
      <c r="BG209" s="195"/>
      <c r="BH209" s="195"/>
      <c r="BI209" s="195"/>
      <c r="BJ209" s="195"/>
      <c r="BK209" s="195"/>
      <c r="BL209" s="195"/>
      <c r="BM209" s="195"/>
      <c r="BN209" s="195"/>
      <c r="BO209" s="195"/>
      <c r="BP209" s="195"/>
      <c r="BQ209" s="195"/>
      <c r="BR209" s="195"/>
      <c r="BS209" s="195"/>
      <c r="BT209" s="195"/>
      <c r="BU209" s="195"/>
      <c r="BV209" s="197">
        <v>154</v>
      </c>
      <c r="BW209" s="195"/>
      <c r="BX209" s="195"/>
      <c r="BY209" s="195"/>
      <c r="BZ209" s="195"/>
      <c r="CA209" s="195"/>
      <c r="CB209" s="195"/>
      <c r="CC209" s="195"/>
      <c r="CD209" s="195"/>
      <c r="CE209" s="195"/>
      <c r="CF209" s="195"/>
      <c r="CG209" s="195"/>
      <c r="CH209" s="195"/>
      <c r="CI209" s="195"/>
      <c r="CJ209" s="195"/>
      <c r="CK209" s="195"/>
      <c r="CL209" s="195"/>
      <c r="CM209" s="195"/>
      <c r="CN209" s="197">
        <v>154</v>
      </c>
      <c r="CO209" s="195"/>
      <c r="CP209" s="195"/>
      <c r="CQ209" s="195"/>
      <c r="CR209" s="195"/>
      <c r="CS209" s="195"/>
      <c r="CT209" s="195"/>
      <c r="CU209" s="195"/>
      <c r="CV209" s="195"/>
      <c r="CW209" s="195"/>
      <c r="CX209" s="195"/>
      <c r="CY209" s="195"/>
      <c r="CZ209" s="195"/>
      <c r="DA209" s="195"/>
      <c r="DB209" s="195"/>
      <c r="DC209" s="195"/>
      <c r="DD209" s="195"/>
      <c r="DE209" s="195"/>
      <c r="DF209" s="197">
        <v>154</v>
      </c>
      <c r="DG209" s="195"/>
      <c r="DH209" s="195"/>
      <c r="DI209" s="195"/>
      <c r="DJ209" s="195"/>
      <c r="DK209" s="195"/>
      <c r="DL209" s="195"/>
      <c r="DM209" s="195"/>
      <c r="DN209" s="195"/>
      <c r="DO209" s="195"/>
      <c r="DP209" s="195"/>
      <c r="DQ209" s="195"/>
      <c r="DR209" s="195"/>
      <c r="DS209" s="195"/>
      <c r="DT209" s="195"/>
      <c r="DU209" s="195"/>
      <c r="DV209" s="195"/>
      <c r="DW209" s="195"/>
      <c r="DX209" s="197">
        <v>154</v>
      </c>
      <c r="DY209" s="195"/>
      <c r="DZ209" s="195"/>
      <c r="EA209" s="195"/>
      <c r="EB209" s="195"/>
      <c r="EC209" s="195"/>
      <c r="ED209" s="195"/>
      <c r="EE209" s="195"/>
      <c r="EF209" s="195"/>
      <c r="EG209" s="195"/>
      <c r="EH209" s="195"/>
      <c r="EI209" s="195"/>
      <c r="EJ209" s="195"/>
      <c r="EK209" s="195"/>
      <c r="EL209" s="195"/>
      <c r="EM209" s="195"/>
      <c r="EN209" s="195"/>
      <c r="EO209" s="195"/>
      <c r="EP209" s="197">
        <v>154</v>
      </c>
      <c r="EQ209" s="195"/>
      <c r="ER209" s="195"/>
      <c r="ES209" s="195"/>
      <c r="ET209" s="195"/>
      <c r="EU209" s="195"/>
      <c r="EV209" s="195"/>
      <c r="EW209" s="195"/>
      <c r="EX209" s="195"/>
      <c r="EY209" s="195"/>
      <c r="EZ209" s="195"/>
      <c r="FA209" s="195"/>
      <c r="FB209" s="195"/>
      <c r="FC209" s="195"/>
      <c r="FD209" s="195"/>
      <c r="FE209" s="195"/>
      <c r="FF209" s="195"/>
      <c r="FG209" s="195"/>
      <c r="FH209" s="197">
        <v>154</v>
      </c>
      <c r="FI209" s="195"/>
      <c r="FJ209" s="195"/>
      <c r="FK209" s="195"/>
      <c r="FL209" s="195"/>
      <c r="FM209" s="195"/>
      <c r="FN209" s="195"/>
      <c r="FO209" s="195"/>
      <c r="FP209" s="195"/>
      <c r="FQ209" s="195"/>
      <c r="FR209" s="195"/>
      <c r="FS209" s="195"/>
      <c r="FT209" s="195"/>
      <c r="FU209" s="195"/>
      <c r="FV209" s="195"/>
      <c r="FW209" s="195"/>
      <c r="FX209" s="195"/>
      <c r="FY209" s="195"/>
    </row>
    <row r="210" spans="2:181" x14ac:dyDescent="0.25">
      <c r="B210" s="12">
        <v>155</v>
      </c>
      <c r="C210" s="195"/>
      <c r="D210" s="195"/>
      <c r="E210" s="195"/>
      <c r="F210" s="195"/>
      <c r="G210" s="195"/>
      <c r="H210" s="195"/>
      <c r="I210" s="195"/>
      <c r="J210" s="195"/>
      <c r="K210" s="195"/>
      <c r="L210" s="195"/>
      <c r="M210" s="195"/>
      <c r="N210" s="195"/>
      <c r="O210" s="195"/>
      <c r="P210" s="195"/>
      <c r="Q210" s="195"/>
      <c r="R210" s="195"/>
      <c r="S210" s="195"/>
      <c r="T210" s="12">
        <v>155</v>
      </c>
      <c r="U210" s="195"/>
      <c r="V210" s="195"/>
      <c r="W210" s="195"/>
      <c r="X210" s="195"/>
      <c r="Y210" s="195"/>
      <c r="Z210" s="195"/>
      <c r="AA210" s="195"/>
      <c r="AB210" s="195"/>
      <c r="AC210" s="195"/>
      <c r="AD210" s="195"/>
      <c r="AE210" s="195"/>
      <c r="AF210" s="195"/>
      <c r="AG210" s="195"/>
      <c r="AH210" s="195"/>
      <c r="AI210" s="195"/>
      <c r="AJ210" s="195"/>
      <c r="AK210" s="195"/>
      <c r="AL210" s="12">
        <v>155</v>
      </c>
      <c r="AM210" s="195"/>
      <c r="AN210" s="195"/>
      <c r="AO210" s="195"/>
      <c r="AP210" s="195"/>
      <c r="AQ210" s="195"/>
      <c r="AR210" s="195"/>
      <c r="AS210" s="195"/>
      <c r="AT210" s="195"/>
      <c r="AU210" s="195"/>
      <c r="AV210" s="195"/>
      <c r="AW210" s="195"/>
      <c r="AX210" s="195"/>
      <c r="AY210" s="195"/>
      <c r="AZ210" s="195"/>
      <c r="BA210" s="195"/>
      <c r="BB210" s="195"/>
      <c r="BC210" s="195"/>
      <c r="BD210" s="12">
        <v>155</v>
      </c>
      <c r="BE210" s="195"/>
      <c r="BF210" s="195"/>
      <c r="BG210" s="195"/>
      <c r="BH210" s="195"/>
      <c r="BI210" s="195"/>
      <c r="BJ210" s="195"/>
      <c r="BK210" s="195"/>
      <c r="BL210" s="195"/>
      <c r="BM210" s="195"/>
      <c r="BN210" s="195"/>
      <c r="BO210" s="195"/>
      <c r="BP210" s="195"/>
      <c r="BQ210" s="195"/>
      <c r="BR210" s="195"/>
      <c r="BS210" s="195"/>
      <c r="BT210" s="195"/>
      <c r="BU210" s="195"/>
      <c r="BV210" s="12">
        <v>155</v>
      </c>
      <c r="BW210" s="195"/>
      <c r="BX210" s="195"/>
      <c r="BY210" s="195"/>
      <c r="BZ210" s="195"/>
      <c r="CA210" s="195"/>
      <c r="CB210" s="195"/>
      <c r="CC210" s="195"/>
      <c r="CD210" s="195"/>
      <c r="CE210" s="195"/>
      <c r="CF210" s="195"/>
      <c r="CG210" s="195"/>
      <c r="CH210" s="195"/>
      <c r="CI210" s="195"/>
      <c r="CJ210" s="195"/>
      <c r="CK210" s="195"/>
      <c r="CL210" s="195"/>
      <c r="CM210" s="195"/>
      <c r="CN210" s="12">
        <v>155</v>
      </c>
      <c r="CO210" s="195"/>
      <c r="CP210" s="195"/>
      <c r="CQ210" s="195"/>
      <c r="CR210" s="195"/>
      <c r="CS210" s="195"/>
      <c r="CT210" s="195"/>
      <c r="CU210" s="195"/>
      <c r="CV210" s="195"/>
      <c r="CW210" s="195"/>
      <c r="CX210" s="195"/>
      <c r="CY210" s="195"/>
      <c r="CZ210" s="195"/>
      <c r="DA210" s="195"/>
      <c r="DB210" s="195"/>
      <c r="DC210" s="195"/>
      <c r="DD210" s="195"/>
      <c r="DE210" s="195"/>
      <c r="DF210" s="12">
        <v>155</v>
      </c>
      <c r="DG210" s="195"/>
      <c r="DH210" s="195"/>
      <c r="DI210" s="195"/>
      <c r="DJ210" s="195"/>
      <c r="DK210" s="195"/>
      <c r="DL210" s="195"/>
      <c r="DM210" s="195"/>
      <c r="DN210" s="195"/>
      <c r="DO210" s="195"/>
      <c r="DP210" s="195"/>
      <c r="DQ210" s="195"/>
      <c r="DR210" s="195"/>
      <c r="DS210" s="195"/>
      <c r="DT210" s="195"/>
      <c r="DU210" s="195"/>
      <c r="DV210" s="195"/>
      <c r="DW210" s="195"/>
      <c r="DX210" s="12">
        <v>155</v>
      </c>
      <c r="DY210" s="195"/>
      <c r="DZ210" s="195"/>
      <c r="EA210" s="195"/>
      <c r="EB210" s="195"/>
      <c r="EC210" s="195"/>
      <c r="ED210" s="195"/>
      <c r="EE210" s="195"/>
      <c r="EF210" s="195"/>
      <c r="EG210" s="195"/>
      <c r="EH210" s="195"/>
      <c r="EI210" s="195"/>
      <c r="EJ210" s="195"/>
      <c r="EK210" s="195"/>
      <c r="EL210" s="195"/>
      <c r="EM210" s="195"/>
      <c r="EN210" s="195"/>
      <c r="EO210" s="195"/>
      <c r="EP210" s="12">
        <v>155</v>
      </c>
      <c r="EQ210" s="195"/>
      <c r="ER210" s="195"/>
      <c r="ES210" s="195"/>
      <c r="ET210" s="195"/>
      <c r="EU210" s="195"/>
      <c r="EV210" s="195"/>
      <c r="EW210" s="195"/>
      <c r="EX210" s="195"/>
      <c r="EY210" s="195"/>
      <c r="EZ210" s="195"/>
      <c r="FA210" s="195"/>
      <c r="FB210" s="195"/>
      <c r="FC210" s="195"/>
      <c r="FD210" s="195"/>
      <c r="FE210" s="195"/>
      <c r="FF210" s="195"/>
      <c r="FG210" s="195"/>
      <c r="FH210" s="12">
        <v>155</v>
      </c>
      <c r="FI210" s="195"/>
      <c r="FJ210" s="195"/>
      <c r="FK210" s="195"/>
      <c r="FL210" s="195"/>
      <c r="FM210" s="195"/>
      <c r="FN210" s="195"/>
      <c r="FO210" s="195"/>
      <c r="FP210" s="195"/>
      <c r="FQ210" s="195"/>
      <c r="FR210" s="195"/>
      <c r="FS210" s="195"/>
      <c r="FT210" s="195"/>
      <c r="FU210" s="195"/>
      <c r="FV210" s="195"/>
      <c r="FW210" s="195"/>
      <c r="FX210" s="195"/>
      <c r="FY210" s="195"/>
    </row>
    <row r="211" spans="2:181" x14ac:dyDescent="0.25">
      <c r="B211" s="197">
        <v>156</v>
      </c>
      <c r="C211" s="195"/>
      <c r="D211" s="195"/>
      <c r="E211" s="195"/>
      <c r="F211" s="195"/>
      <c r="G211" s="195"/>
      <c r="H211" s="195"/>
      <c r="I211" s="195"/>
      <c r="J211" s="195"/>
      <c r="K211" s="195"/>
      <c r="L211" s="195"/>
      <c r="M211" s="195"/>
      <c r="N211" s="195"/>
      <c r="O211" s="195"/>
      <c r="P211" s="195"/>
      <c r="Q211" s="195"/>
      <c r="R211" s="195"/>
      <c r="S211" s="195"/>
      <c r="T211" s="197">
        <v>156</v>
      </c>
      <c r="U211" s="195"/>
      <c r="V211" s="195"/>
      <c r="W211" s="195"/>
      <c r="X211" s="195"/>
      <c r="Y211" s="195"/>
      <c r="Z211" s="195"/>
      <c r="AA211" s="195"/>
      <c r="AB211" s="195"/>
      <c r="AC211" s="195"/>
      <c r="AD211" s="195"/>
      <c r="AE211" s="195"/>
      <c r="AF211" s="195"/>
      <c r="AG211" s="195"/>
      <c r="AH211" s="195"/>
      <c r="AI211" s="195"/>
      <c r="AJ211" s="195"/>
      <c r="AK211" s="195"/>
      <c r="AL211" s="197">
        <v>156</v>
      </c>
      <c r="AM211" s="195"/>
      <c r="AN211" s="195"/>
      <c r="AO211" s="195"/>
      <c r="AP211" s="195"/>
      <c r="AQ211" s="195"/>
      <c r="AR211" s="195"/>
      <c r="AS211" s="195"/>
      <c r="AT211" s="195"/>
      <c r="AU211" s="195"/>
      <c r="AV211" s="195"/>
      <c r="AW211" s="195"/>
      <c r="AX211" s="195"/>
      <c r="AY211" s="195"/>
      <c r="AZ211" s="195"/>
      <c r="BA211" s="195"/>
      <c r="BB211" s="195"/>
      <c r="BC211" s="195"/>
      <c r="BD211" s="197">
        <v>156</v>
      </c>
      <c r="BE211" s="195"/>
      <c r="BF211" s="195"/>
      <c r="BG211" s="195"/>
      <c r="BH211" s="195"/>
      <c r="BI211" s="195"/>
      <c r="BJ211" s="195"/>
      <c r="BK211" s="195"/>
      <c r="BL211" s="195"/>
      <c r="BM211" s="195"/>
      <c r="BN211" s="195"/>
      <c r="BO211" s="195"/>
      <c r="BP211" s="195"/>
      <c r="BQ211" s="195"/>
      <c r="BR211" s="195"/>
      <c r="BS211" s="195"/>
      <c r="BT211" s="195"/>
      <c r="BU211" s="195"/>
      <c r="BV211" s="197">
        <v>156</v>
      </c>
      <c r="BW211" s="195"/>
      <c r="BX211" s="195"/>
      <c r="BY211" s="195"/>
      <c r="BZ211" s="195"/>
      <c r="CA211" s="195"/>
      <c r="CB211" s="195"/>
      <c r="CC211" s="195"/>
      <c r="CD211" s="195"/>
      <c r="CE211" s="195"/>
      <c r="CF211" s="195"/>
      <c r="CG211" s="195"/>
      <c r="CH211" s="195"/>
      <c r="CI211" s="195"/>
      <c r="CJ211" s="195"/>
      <c r="CK211" s="195"/>
      <c r="CL211" s="195"/>
      <c r="CM211" s="195"/>
      <c r="CN211" s="197">
        <v>156</v>
      </c>
      <c r="CO211" s="195"/>
      <c r="CP211" s="195"/>
      <c r="CQ211" s="195"/>
      <c r="CR211" s="195"/>
      <c r="CS211" s="195"/>
      <c r="CT211" s="195"/>
      <c r="CU211" s="195"/>
      <c r="CV211" s="195"/>
      <c r="CW211" s="195"/>
      <c r="CX211" s="195"/>
      <c r="CY211" s="195"/>
      <c r="CZ211" s="195"/>
      <c r="DA211" s="195"/>
      <c r="DB211" s="195"/>
      <c r="DC211" s="195"/>
      <c r="DD211" s="195"/>
      <c r="DE211" s="195"/>
      <c r="DF211" s="197">
        <v>156</v>
      </c>
      <c r="DG211" s="195"/>
      <c r="DH211" s="195"/>
      <c r="DI211" s="195"/>
      <c r="DJ211" s="195"/>
      <c r="DK211" s="195"/>
      <c r="DL211" s="195"/>
      <c r="DM211" s="195"/>
      <c r="DN211" s="195"/>
      <c r="DO211" s="195"/>
      <c r="DP211" s="195"/>
      <c r="DQ211" s="195"/>
      <c r="DR211" s="195"/>
      <c r="DS211" s="195"/>
      <c r="DT211" s="195"/>
      <c r="DU211" s="195"/>
      <c r="DV211" s="195"/>
      <c r="DW211" s="195"/>
      <c r="DX211" s="197">
        <v>156</v>
      </c>
      <c r="DY211" s="195"/>
      <c r="DZ211" s="195"/>
      <c r="EA211" s="195"/>
      <c r="EB211" s="195"/>
      <c r="EC211" s="195"/>
      <c r="ED211" s="195"/>
      <c r="EE211" s="195"/>
      <c r="EF211" s="195"/>
      <c r="EG211" s="195"/>
      <c r="EH211" s="195"/>
      <c r="EI211" s="195"/>
      <c r="EJ211" s="195"/>
      <c r="EK211" s="195"/>
      <c r="EL211" s="195"/>
      <c r="EM211" s="195"/>
      <c r="EN211" s="195"/>
      <c r="EO211" s="195"/>
      <c r="EP211" s="197">
        <v>156</v>
      </c>
      <c r="EQ211" s="195"/>
      <c r="ER211" s="195"/>
      <c r="ES211" s="195"/>
      <c r="ET211" s="195"/>
      <c r="EU211" s="195"/>
      <c r="EV211" s="195"/>
      <c r="EW211" s="195"/>
      <c r="EX211" s="195"/>
      <c r="EY211" s="195"/>
      <c r="EZ211" s="195"/>
      <c r="FA211" s="195"/>
      <c r="FB211" s="195"/>
      <c r="FC211" s="195"/>
      <c r="FD211" s="195"/>
      <c r="FE211" s="195"/>
      <c r="FF211" s="195"/>
      <c r="FG211" s="195"/>
      <c r="FH211" s="197">
        <v>156</v>
      </c>
      <c r="FI211" s="195"/>
      <c r="FJ211" s="195"/>
      <c r="FK211" s="195"/>
      <c r="FL211" s="195"/>
      <c r="FM211" s="195"/>
      <c r="FN211" s="195"/>
      <c r="FO211" s="195"/>
      <c r="FP211" s="195"/>
      <c r="FQ211" s="195"/>
      <c r="FR211" s="195"/>
      <c r="FS211" s="195"/>
      <c r="FT211" s="195"/>
      <c r="FU211" s="195"/>
      <c r="FV211" s="195"/>
      <c r="FW211" s="195"/>
      <c r="FX211" s="195"/>
      <c r="FY211" s="195"/>
    </row>
    <row r="212" spans="2:181" x14ac:dyDescent="0.25">
      <c r="B212" s="12">
        <v>157</v>
      </c>
      <c r="C212" s="195"/>
      <c r="D212" s="195"/>
      <c r="E212" s="195"/>
      <c r="F212" s="195"/>
      <c r="G212" s="195"/>
      <c r="H212" s="195"/>
      <c r="I212" s="195"/>
      <c r="J212" s="195"/>
      <c r="K212" s="195"/>
      <c r="L212" s="195"/>
      <c r="M212" s="195"/>
      <c r="N212" s="195"/>
      <c r="O212" s="195"/>
      <c r="P212" s="195"/>
      <c r="Q212" s="195"/>
      <c r="R212" s="195"/>
      <c r="S212" s="195"/>
      <c r="T212" s="12">
        <v>157</v>
      </c>
      <c r="U212" s="195"/>
      <c r="V212" s="195"/>
      <c r="W212" s="195"/>
      <c r="X212" s="195"/>
      <c r="Y212" s="195"/>
      <c r="Z212" s="195"/>
      <c r="AA212" s="195"/>
      <c r="AB212" s="195"/>
      <c r="AC212" s="195"/>
      <c r="AD212" s="195"/>
      <c r="AE212" s="195"/>
      <c r="AF212" s="195"/>
      <c r="AG212" s="195"/>
      <c r="AH212" s="195"/>
      <c r="AI212" s="195"/>
      <c r="AJ212" s="195"/>
      <c r="AK212" s="195"/>
      <c r="AL212" s="12">
        <v>157</v>
      </c>
      <c r="AM212" s="195"/>
      <c r="AN212" s="195"/>
      <c r="AO212" s="195"/>
      <c r="AP212" s="195"/>
      <c r="AQ212" s="195"/>
      <c r="AR212" s="195"/>
      <c r="AS212" s="195"/>
      <c r="AT212" s="195"/>
      <c r="AU212" s="195"/>
      <c r="AV212" s="195"/>
      <c r="AW212" s="195"/>
      <c r="AX212" s="195"/>
      <c r="AY212" s="195"/>
      <c r="AZ212" s="195"/>
      <c r="BA212" s="195"/>
      <c r="BB212" s="195"/>
      <c r="BC212" s="195"/>
      <c r="BD212" s="12">
        <v>157</v>
      </c>
      <c r="BE212" s="195"/>
      <c r="BF212" s="195"/>
      <c r="BG212" s="195"/>
      <c r="BH212" s="195"/>
      <c r="BI212" s="195"/>
      <c r="BJ212" s="195"/>
      <c r="BK212" s="195"/>
      <c r="BL212" s="195"/>
      <c r="BM212" s="195"/>
      <c r="BN212" s="195"/>
      <c r="BO212" s="195"/>
      <c r="BP212" s="195"/>
      <c r="BQ212" s="195"/>
      <c r="BR212" s="195"/>
      <c r="BS212" s="195"/>
      <c r="BT212" s="195"/>
      <c r="BU212" s="195"/>
      <c r="BV212" s="12">
        <v>157</v>
      </c>
      <c r="BW212" s="195"/>
      <c r="BX212" s="195"/>
      <c r="BY212" s="195"/>
      <c r="BZ212" s="195"/>
      <c r="CA212" s="195"/>
      <c r="CB212" s="195"/>
      <c r="CC212" s="195"/>
      <c r="CD212" s="195"/>
      <c r="CE212" s="195"/>
      <c r="CF212" s="195"/>
      <c r="CG212" s="195"/>
      <c r="CH212" s="195"/>
      <c r="CI212" s="195"/>
      <c r="CJ212" s="195"/>
      <c r="CK212" s="195"/>
      <c r="CL212" s="195"/>
      <c r="CM212" s="195"/>
      <c r="CN212" s="12">
        <v>157</v>
      </c>
      <c r="CO212" s="195"/>
      <c r="CP212" s="195"/>
      <c r="CQ212" s="195"/>
      <c r="CR212" s="195"/>
      <c r="CS212" s="195"/>
      <c r="CT212" s="195"/>
      <c r="CU212" s="195"/>
      <c r="CV212" s="195"/>
      <c r="CW212" s="195"/>
      <c r="CX212" s="195"/>
      <c r="CY212" s="195"/>
      <c r="CZ212" s="195"/>
      <c r="DA212" s="195"/>
      <c r="DB212" s="195"/>
      <c r="DC212" s="195"/>
      <c r="DD212" s="195"/>
      <c r="DE212" s="195"/>
      <c r="DF212" s="12">
        <v>157</v>
      </c>
      <c r="DG212" s="195"/>
      <c r="DH212" s="195"/>
      <c r="DI212" s="195"/>
      <c r="DJ212" s="195"/>
      <c r="DK212" s="195"/>
      <c r="DL212" s="195"/>
      <c r="DM212" s="195"/>
      <c r="DN212" s="195"/>
      <c r="DO212" s="195"/>
      <c r="DP212" s="195"/>
      <c r="DQ212" s="195"/>
      <c r="DR212" s="195"/>
      <c r="DS212" s="195"/>
      <c r="DT212" s="195"/>
      <c r="DU212" s="195"/>
      <c r="DV212" s="195"/>
      <c r="DW212" s="195"/>
      <c r="DX212" s="12">
        <v>157</v>
      </c>
      <c r="DY212" s="195"/>
      <c r="DZ212" s="195"/>
      <c r="EA212" s="195"/>
      <c r="EB212" s="195"/>
      <c r="EC212" s="195"/>
      <c r="ED212" s="195"/>
      <c r="EE212" s="195"/>
      <c r="EF212" s="195"/>
      <c r="EG212" s="195"/>
      <c r="EH212" s="195"/>
      <c r="EI212" s="195"/>
      <c r="EJ212" s="195"/>
      <c r="EK212" s="195"/>
      <c r="EL212" s="195"/>
      <c r="EM212" s="195"/>
      <c r="EN212" s="195"/>
      <c r="EO212" s="195"/>
      <c r="EP212" s="12">
        <v>157</v>
      </c>
      <c r="EQ212" s="195"/>
      <c r="ER212" s="195"/>
      <c r="ES212" s="195"/>
      <c r="ET212" s="195"/>
      <c r="EU212" s="195"/>
      <c r="EV212" s="195"/>
      <c r="EW212" s="195"/>
      <c r="EX212" s="195"/>
      <c r="EY212" s="195"/>
      <c r="EZ212" s="195"/>
      <c r="FA212" s="195"/>
      <c r="FB212" s="195"/>
      <c r="FC212" s="195"/>
      <c r="FD212" s="195"/>
      <c r="FE212" s="195"/>
      <c r="FF212" s="195"/>
      <c r="FG212" s="195"/>
      <c r="FH212" s="12">
        <v>157</v>
      </c>
      <c r="FI212" s="195"/>
      <c r="FJ212" s="195"/>
      <c r="FK212" s="195"/>
      <c r="FL212" s="195"/>
      <c r="FM212" s="195"/>
      <c r="FN212" s="195"/>
      <c r="FO212" s="195"/>
      <c r="FP212" s="195"/>
      <c r="FQ212" s="195"/>
      <c r="FR212" s="195"/>
      <c r="FS212" s="195"/>
      <c r="FT212" s="195"/>
      <c r="FU212" s="195"/>
      <c r="FV212" s="195"/>
      <c r="FW212" s="195"/>
      <c r="FX212" s="195"/>
      <c r="FY212" s="195"/>
    </row>
    <row r="213" spans="2:181" x14ac:dyDescent="0.25">
      <c r="B213" s="197">
        <v>158</v>
      </c>
      <c r="C213" s="195"/>
      <c r="D213" s="195"/>
      <c r="E213" s="195"/>
      <c r="F213" s="195"/>
      <c r="G213" s="195"/>
      <c r="H213" s="195"/>
      <c r="I213" s="195"/>
      <c r="J213" s="195"/>
      <c r="K213" s="195"/>
      <c r="L213" s="195"/>
      <c r="M213" s="195"/>
      <c r="N213" s="195"/>
      <c r="O213" s="195"/>
      <c r="P213" s="195"/>
      <c r="Q213" s="195"/>
      <c r="R213" s="195"/>
      <c r="S213" s="195"/>
      <c r="T213" s="197">
        <v>158</v>
      </c>
      <c r="U213" s="195"/>
      <c r="V213" s="195"/>
      <c r="W213" s="195"/>
      <c r="X213" s="195"/>
      <c r="Y213" s="195"/>
      <c r="Z213" s="195"/>
      <c r="AA213" s="195"/>
      <c r="AB213" s="195"/>
      <c r="AC213" s="195"/>
      <c r="AD213" s="195"/>
      <c r="AE213" s="195"/>
      <c r="AF213" s="195"/>
      <c r="AG213" s="195"/>
      <c r="AH213" s="195"/>
      <c r="AI213" s="195"/>
      <c r="AJ213" s="195"/>
      <c r="AK213" s="195"/>
      <c r="AL213" s="197">
        <v>158</v>
      </c>
      <c r="AM213" s="195"/>
      <c r="AN213" s="195"/>
      <c r="AO213" s="195"/>
      <c r="AP213" s="195"/>
      <c r="AQ213" s="195"/>
      <c r="AR213" s="195"/>
      <c r="AS213" s="195"/>
      <c r="AT213" s="195"/>
      <c r="AU213" s="195"/>
      <c r="AV213" s="195"/>
      <c r="AW213" s="195"/>
      <c r="AX213" s="195"/>
      <c r="AY213" s="195"/>
      <c r="AZ213" s="195"/>
      <c r="BA213" s="195"/>
      <c r="BB213" s="195"/>
      <c r="BC213" s="195"/>
      <c r="BD213" s="197">
        <v>158</v>
      </c>
      <c r="BE213" s="195"/>
      <c r="BF213" s="195"/>
      <c r="BG213" s="195"/>
      <c r="BH213" s="195"/>
      <c r="BI213" s="195"/>
      <c r="BJ213" s="195"/>
      <c r="BK213" s="195"/>
      <c r="BL213" s="195"/>
      <c r="BM213" s="195"/>
      <c r="BN213" s="195"/>
      <c r="BO213" s="195"/>
      <c r="BP213" s="195"/>
      <c r="BQ213" s="195"/>
      <c r="BR213" s="195"/>
      <c r="BS213" s="195"/>
      <c r="BT213" s="195"/>
      <c r="BU213" s="195"/>
      <c r="BV213" s="197">
        <v>158</v>
      </c>
      <c r="BW213" s="195"/>
      <c r="BX213" s="195"/>
      <c r="BY213" s="195"/>
      <c r="BZ213" s="195"/>
      <c r="CA213" s="195"/>
      <c r="CB213" s="195"/>
      <c r="CC213" s="195"/>
      <c r="CD213" s="195"/>
      <c r="CE213" s="195"/>
      <c r="CF213" s="195"/>
      <c r="CG213" s="195"/>
      <c r="CH213" s="195"/>
      <c r="CI213" s="195"/>
      <c r="CJ213" s="195"/>
      <c r="CK213" s="195"/>
      <c r="CL213" s="195"/>
      <c r="CM213" s="195"/>
      <c r="CN213" s="197">
        <v>158</v>
      </c>
      <c r="CO213" s="195"/>
      <c r="CP213" s="195"/>
      <c r="CQ213" s="195"/>
      <c r="CR213" s="195"/>
      <c r="CS213" s="195"/>
      <c r="CT213" s="195"/>
      <c r="CU213" s="195"/>
      <c r="CV213" s="195"/>
      <c r="CW213" s="195"/>
      <c r="CX213" s="195"/>
      <c r="CY213" s="195"/>
      <c r="CZ213" s="195"/>
      <c r="DA213" s="195"/>
      <c r="DB213" s="195"/>
      <c r="DC213" s="195"/>
      <c r="DD213" s="195"/>
      <c r="DE213" s="195"/>
      <c r="DF213" s="197">
        <v>158</v>
      </c>
      <c r="DG213" s="195"/>
      <c r="DH213" s="195"/>
      <c r="DI213" s="195"/>
      <c r="DJ213" s="195"/>
      <c r="DK213" s="195"/>
      <c r="DL213" s="195"/>
      <c r="DM213" s="195"/>
      <c r="DN213" s="195"/>
      <c r="DO213" s="195"/>
      <c r="DP213" s="195"/>
      <c r="DQ213" s="195"/>
      <c r="DR213" s="195"/>
      <c r="DS213" s="195"/>
      <c r="DT213" s="195"/>
      <c r="DU213" s="195"/>
      <c r="DV213" s="195"/>
      <c r="DW213" s="195"/>
      <c r="DX213" s="197">
        <v>158</v>
      </c>
      <c r="DY213" s="195"/>
      <c r="DZ213" s="195"/>
      <c r="EA213" s="195"/>
      <c r="EB213" s="195"/>
      <c r="EC213" s="195"/>
      <c r="ED213" s="195"/>
      <c r="EE213" s="195"/>
      <c r="EF213" s="195"/>
      <c r="EG213" s="195"/>
      <c r="EH213" s="195"/>
      <c r="EI213" s="195"/>
      <c r="EJ213" s="195"/>
      <c r="EK213" s="195"/>
      <c r="EL213" s="195"/>
      <c r="EM213" s="195"/>
      <c r="EN213" s="195"/>
      <c r="EO213" s="195"/>
      <c r="EP213" s="197">
        <v>158</v>
      </c>
      <c r="EQ213" s="195"/>
      <c r="ER213" s="195"/>
      <c r="ES213" s="195"/>
      <c r="ET213" s="195"/>
      <c r="EU213" s="195"/>
      <c r="EV213" s="195"/>
      <c r="EW213" s="195"/>
      <c r="EX213" s="195"/>
      <c r="EY213" s="195"/>
      <c r="EZ213" s="195"/>
      <c r="FA213" s="195"/>
      <c r="FB213" s="195"/>
      <c r="FC213" s="195"/>
      <c r="FD213" s="195"/>
      <c r="FE213" s="195"/>
      <c r="FF213" s="195"/>
      <c r="FG213" s="195"/>
      <c r="FH213" s="197">
        <v>158</v>
      </c>
      <c r="FI213" s="195"/>
      <c r="FJ213" s="195"/>
      <c r="FK213" s="195"/>
      <c r="FL213" s="195"/>
      <c r="FM213" s="195"/>
      <c r="FN213" s="195"/>
      <c r="FO213" s="195"/>
      <c r="FP213" s="195"/>
      <c r="FQ213" s="195"/>
      <c r="FR213" s="195"/>
      <c r="FS213" s="195"/>
      <c r="FT213" s="195"/>
      <c r="FU213" s="195"/>
      <c r="FV213" s="195"/>
      <c r="FW213" s="195"/>
      <c r="FX213" s="195"/>
      <c r="FY213" s="195"/>
    </row>
    <row r="214" spans="2:181" x14ac:dyDescent="0.25">
      <c r="B214" s="12">
        <v>159</v>
      </c>
      <c r="C214" s="195"/>
      <c r="D214" s="195"/>
      <c r="E214" s="195"/>
      <c r="F214" s="195"/>
      <c r="G214" s="195"/>
      <c r="H214" s="195"/>
      <c r="I214" s="195"/>
      <c r="J214" s="195"/>
      <c r="K214" s="195"/>
      <c r="L214" s="195"/>
      <c r="M214" s="195"/>
      <c r="N214" s="195"/>
      <c r="O214" s="195"/>
      <c r="P214" s="195"/>
      <c r="Q214" s="195"/>
      <c r="R214" s="195"/>
      <c r="S214" s="195"/>
      <c r="T214" s="12">
        <v>159</v>
      </c>
      <c r="U214" s="195"/>
      <c r="V214" s="195"/>
      <c r="W214" s="195"/>
      <c r="X214" s="195"/>
      <c r="Y214" s="195"/>
      <c r="Z214" s="195"/>
      <c r="AA214" s="195"/>
      <c r="AB214" s="195"/>
      <c r="AC214" s="195"/>
      <c r="AD214" s="195"/>
      <c r="AE214" s="195"/>
      <c r="AF214" s="195"/>
      <c r="AG214" s="195"/>
      <c r="AH214" s="195"/>
      <c r="AI214" s="195"/>
      <c r="AJ214" s="195"/>
      <c r="AK214" s="195"/>
      <c r="AL214" s="12">
        <v>159</v>
      </c>
      <c r="AM214" s="195"/>
      <c r="AN214" s="195"/>
      <c r="AO214" s="195"/>
      <c r="AP214" s="195"/>
      <c r="AQ214" s="195"/>
      <c r="AR214" s="195"/>
      <c r="AS214" s="195"/>
      <c r="AT214" s="195"/>
      <c r="AU214" s="195"/>
      <c r="AV214" s="195"/>
      <c r="AW214" s="195"/>
      <c r="AX214" s="195"/>
      <c r="AY214" s="195"/>
      <c r="AZ214" s="195"/>
      <c r="BA214" s="195"/>
      <c r="BB214" s="195"/>
      <c r="BC214" s="195"/>
      <c r="BD214" s="12">
        <v>159</v>
      </c>
      <c r="BE214" s="195"/>
      <c r="BF214" s="195"/>
      <c r="BG214" s="195"/>
      <c r="BH214" s="195"/>
      <c r="BI214" s="195"/>
      <c r="BJ214" s="195"/>
      <c r="BK214" s="195"/>
      <c r="BL214" s="195"/>
      <c r="BM214" s="195"/>
      <c r="BN214" s="195"/>
      <c r="BO214" s="195"/>
      <c r="BP214" s="195"/>
      <c r="BQ214" s="195"/>
      <c r="BR214" s="195"/>
      <c r="BS214" s="195"/>
      <c r="BT214" s="195"/>
      <c r="BU214" s="195"/>
      <c r="BV214" s="12">
        <v>159</v>
      </c>
      <c r="BW214" s="195"/>
      <c r="BX214" s="195"/>
      <c r="BY214" s="195"/>
      <c r="BZ214" s="195"/>
      <c r="CA214" s="195"/>
      <c r="CB214" s="195"/>
      <c r="CC214" s="195"/>
      <c r="CD214" s="195"/>
      <c r="CE214" s="195"/>
      <c r="CF214" s="195"/>
      <c r="CG214" s="195"/>
      <c r="CH214" s="195"/>
      <c r="CI214" s="195"/>
      <c r="CJ214" s="195"/>
      <c r="CK214" s="195"/>
      <c r="CL214" s="195"/>
      <c r="CM214" s="195"/>
      <c r="CN214" s="12">
        <v>159</v>
      </c>
      <c r="CO214" s="195"/>
      <c r="CP214" s="195"/>
      <c r="CQ214" s="195"/>
      <c r="CR214" s="195"/>
      <c r="CS214" s="195"/>
      <c r="CT214" s="195"/>
      <c r="CU214" s="195"/>
      <c r="CV214" s="195"/>
      <c r="CW214" s="195"/>
      <c r="CX214" s="195"/>
      <c r="CY214" s="195"/>
      <c r="CZ214" s="195"/>
      <c r="DA214" s="195"/>
      <c r="DB214" s="195"/>
      <c r="DC214" s="195"/>
      <c r="DD214" s="195"/>
      <c r="DE214" s="195"/>
      <c r="DF214" s="12">
        <v>159</v>
      </c>
      <c r="DG214" s="195"/>
      <c r="DH214" s="195"/>
      <c r="DI214" s="195"/>
      <c r="DJ214" s="195"/>
      <c r="DK214" s="195"/>
      <c r="DL214" s="195"/>
      <c r="DM214" s="195"/>
      <c r="DN214" s="195"/>
      <c r="DO214" s="195"/>
      <c r="DP214" s="195"/>
      <c r="DQ214" s="195"/>
      <c r="DR214" s="195"/>
      <c r="DS214" s="195"/>
      <c r="DT214" s="195"/>
      <c r="DU214" s="195"/>
      <c r="DV214" s="195"/>
      <c r="DW214" s="195"/>
      <c r="DX214" s="12">
        <v>159</v>
      </c>
      <c r="DY214" s="195"/>
      <c r="DZ214" s="195"/>
      <c r="EA214" s="195"/>
      <c r="EB214" s="195"/>
      <c r="EC214" s="195"/>
      <c r="ED214" s="195"/>
      <c r="EE214" s="195"/>
      <c r="EF214" s="195"/>
      <c r="EG214" s="195"/>
      <c r="EH214" s="195"/>
      <c r="EI214" s="195"/>
      <c r="EJ214" s="195"/>
      <c r="EK214" s="195"/>
      <c r="EL214" s="195"/>
      <c r="EM214" s="195"/>
      <c r="EN214" s="195"/>
      <c r="EO214" s="195"/>
      <c r="EP214" s="12">
        <v>159</v>
      </c>
      <c r="EQ214" s="195"/>
      <c r="ER214" s="195"/>
      <c r="ES214" s="195"/>
      <c r="ET214" s="195"/>
      <c r="EU214" s="195"/>
      <c r="EV214" s="195"/>
      <c r="EW214" s="195"/>
      <c r="EX214" s="195"/>
      <c r="EY214" s="195"/>
      <c r="EZ214" s="195"/>
      <c r="FA214" s="195"/>
      <c r="FB214" s="195"/>
      <c r="FC214" s="195"/>
      <c r="FD214" s="195"/>
      <c r="FE214" s="195"/>
      <c r="FF214" s="195"/>
      <c r="FG214" s="195"/>
      <c r="FH214" s="12">
        <v>159</v>
      </c>
      <c r="FI214" s="195"/>
      <c r="FJ214" s="195"/>
      <c r="FK214" s="195"/>
      <c r="FL214" s="195"/>
      <c r="FM214" s="195"/>
      <c r="FN214" s="195"/>
      <c r="FO214" s="195"/>
      <c r="FP214" s="195"/>
      <c r="FQ214" s="195"/>
      <c r="FR214" s="195"/>
      <c r="FS214" s="195"/>
      <c r="FT214" s="195"/>
      <c r="FU214" s="195"/>
      <c r="FV214" s="195"/>
      <c r="FW214" s="195"/>
      <c r="FX214" s="195"/>
      <c r="FY214" s="195"/>
    </row>
    <row r="215" spans="2:181" x14ac:dyDescent="0.25">
      <c r="B215" s="197">
        <v>160</v>
      </c>
      <c r="C215" s="195"/>
      <c r="D215" s="195"/>
      <c r="E215" s="195"/>
      <c r="F215" s="195"/>
      <c r="G215" s="195"/>
      <c r="H215" s="195"/>
      <c r="I215" s="195"/>
      <c r="J215" s="195"/>
      <c r="K215" s="195"/>
      <c r="L215" s="195"/>
      <c r="M215" s="195"/>
      <c r="N215" s="195"/>
      <c r="O215" s="195"/>
      <c r="P215" s="195"/>
      <c r="Q215" s="195"/>
      <c r="R215" s="195"/>
      <c r="S215" s="195"/>
      <c r="T215" s="197">
        <v>160</v>
      </c>
      <c r="U215" s="195"/>
      <c r="V215" s="195"/>
      <c r="W215" s="195"/>
      <c r="X215" s="195"/>
      <c r="Y215" s="195"/>
      <c r="Z215" s="195"/>
      <c r="AA215" s="195"/>
      <c r="AB215" s="195"/>
      <c r="AC215" s="195"/>
      <c r="AD215" s="195"/>
      <c r="AE215" s="195"/>
      <c r="AF215" s="195"/>
      <c r="AG215" s="195"/>
      <c r="AH215" s="195"/>
      <c r="AI215" s="195"/>
      <c r="AJ215" s="195"/>
      <c r="AK215" s="195"/>
      <c r="AL215" s="197">
        <v>160</v>
      </c>
      <c r="AM215" s="195"/>
      <c r="AN215" s="195"/>
      <c r="AO215" s="195"/>
      <c r="AP215" s="195"/>
      <c r="AQ215" s="195"/>
      <c r="AR215" s="195"/>
      <c r="AS215" s="195"/>
      <c r="AT215" s="195"/>
      <c r="AU215" s="195"/>
      <c r="AV215" s="195"/>
      <c r="AW215" s="195"/>
      <c r="AX215" s="195"/>
      <c r="AY215" s="195"/>
      <c r="AZ215" s="195"/>
      <c r="BA215" s="195"/>
      <c r="BB215" s="195"/>
      <c r="BC215" s="195"/>
      <c r="BD215" s="197">
        <v>160</v>
      </c>
      <c r="BE215" s="195"/>
      <c r="BF215" s="195"/>
      <c r="BG215" s="195"/>
      <c r="BH215" s="195"/>
      <c r="BI215" s="195"/>
      <c r="BJ215" s="195"/>
      <c r="BK215" s="195"/>
      <c r="BL215" s="195"/>
      <c r="BM215" s="195"/>
      <c r="BN215" s="195"/>
      <c r="BO215" s="195"/>
      <c r="BP215" s="195"/>
      <c r="BQ215" s="195"/>
      <c r="BR215" s="195"/>
      <c r="BS215" s="195"/>
      <c r="BT215" s="195"/>
      <c r="BU215" s="195"/>
      <c r="BV215" s="197">
        <v>160</v>
      </c>
      <c r="BW215" s="195"/>
      <c r="BX215" s="195"/>
      <c r="BY215" s="195"/>
      <c r="BZ215" s="195"/>
      <c r="CA215" s="195"/>
      <c r="CB215" s="195"/>
      <c r="CC215" s="195"/>
      <c r="CD215" s="195"/>
      <c r="CE215" s="195"/>
      <c r="CF215" s="195"/>
      <c r="CG215" s="195"/>
      <c r="CH215" s="195"/>
      <c r="CI215" s="195"/>
      <c r="CJ215" s="195"/>
      <c r="CK215" s="195"/>
      <c r="CL215" s="195"/>
      <c r="CM215" s="195"/>
      <c r="CN215" s="197">
        <v>160</v>
      </c>
      <c r="CO215" s="195"/>
      <c r="CP215" s="195"/>
      <c r="CQ215" s="195"/>
      <c r="CR215" s="195"/>
      <c r="CS215" s="195"/>
      <c r="CT215" s="195"/>
      <c r="CU215" s="195"/>
      <c r="CV215" s="195"/>
      <c r="CW215" s="195"/>
      <c r="CX215" s="195"/>
      <c r="CY215" s="195"/>
      <c r="CZ215" s="195"/>
      <c r="DA215" s="195"/>
      <c r="DB215" s="195"/>
      <c r="DC215" s="195"/>
      <c r="DD215" s="195"/>
      <c r="DE215" s="195"/>
      <c r="DF215" s="197">
        <v>160</v>
      </c>
      <c r="DG215" s="195"/>
      <c r="DH215" s="195"/>
      <c r="DI215" s="195"/>
      <c r="DJ215" s="195"/>
      <c r="DK215" s="195"/>
      <c r="DL215" s="195"/>
      <c r="DM215" s="195"/>
      <c r="DN215" s="195"/>
      <c r="DO215" s="195"/>
      <c r="DP215" s="195"/>
      <c r="DQ215" s="195"/>
      <c r="DR215" s="195"/>
      <c r="DS215" s="195"/>
      <c r="DT215" s="195"/>
      <c r="DU215" s="195"/>
      <c r="DV215" s="195"/>
      <c r="DW215" s="195"/>
      <c r="DX215" s="197">
        <v>160</v>
      </c>
      <c r="DY215" s="195"/>
      <c r="DZ215" s="195"/>
      <c r="EA215" s="195"/>
      <c r="EB215" s="195"/>
      <c r="EC215" s="195"/>
      <c r="ED215" s="195"/>
      <c r="EE215" s="195"/>
      <c r="EF215" s="195"/>
      <c r="EG215" s="195"/>
      <c r="EH215" s="195"/>
      <c r="EI215" s="195"/>
      <c r="EJ215" s="195"/>
      <c r="EK215" s="195"/>
      <c r="EL215" s="195"/>
      <c r="EM215" s="195"/>
      <c r="EN215" s="195"/>
      <c r="EO215" s="195"/>
      <c r="EP215" s="197">
        <v>160</v>
      </c>
      <c r="EQ215" s="195"/>
      <c r="ER215" s="195"/>
      <c r="ES215" s="195"/>
      <c r="ET215" s="195"/>
      <c r="EU215" s="195"/>
      <c r="EV215" s="195"/>
      <c r="EW215" s="195"/>
      <c r="EX215" s="195"/>
      <c r="EY215" s="195"/>
      <c r="EZ215" s="195"/>
      <c r="FA215" s="195"/>
      <c r="FB215" s="195"/>
      <c r="FC215" s="195"/>
      <c r="FD215" s="195"/>
      <c r="FE215" s="195"/>
      <c r="FF215" s="195"/>
      <c r="FG215" s="195"/>
      <c r="FH215" s="197">
        <v>160</v>
      </c>
      <c r="FI215" s="195"/>
      <c r="FJ215" s="195"/>
      <c r="FK215" s="195"/>
      <c r="FL215" s="195"/>
      <c r="FM215" s="195"/>
      <c r="FN215" s="195"/>
      <c r="FO215" s="195"/>
      <c r="FP215" s="195"/>
      <c r="FQ215" s="195"/>
      <c r="FR215" s="195"/>
      <c r="FS215" s="195"/>
      <c r="FT215" s="195"/>
      <c r="FU215" s="195"/>
      <c r="FV215" s="195"/>
      <c r="FW215" s="195"/>
      <c r="FX215" s="195"/>
      <c r="FY215" s="195"/>
    </row>
    <row r="216" spans="2:181" x14ac:dyDescent="0.25">
      <c r="B216" s="12">
        <v>161</v>
      </c>
      <c r="C216" s="195"/>
      <c r="D216" s="195"/>
      <c r="E216" s="195"/>
      <c r="F216" s="195"/>
      <c r="G216" s="195"/>
      <c r="H216" s="195"/>
      <c r="I216" s="195"/>
      <c r="J216" s="195"/>
      <c r="K216" s="195"/>
      <c r="L216" s="195"/>
      <c r="M216" s="195"/>
      <c r="N216" s="195"/>
      <c r="O216" s="195"/>
      <c r="P216" s="195"/>
      <c r="Q216" s="195"/>
      <c r="R216" s="195"/>
      <c r="S216" s="195"/>
      <c r="T216" s="12">
        <v>161</v>
      </c>
      <c r="U216" s="195"/>
      <c r="V216" s="195"/>
      <c r="W216" s="195"/>
      <c r="X216" s="195"/>
      <c r="Y216" s="195"/>
      <c r="Z216" s="195"/>
      <c r="AA216" s="195"/>
      <c r="AB216" s="195"/>
      <c r="AC216" s="195"/>
      <c r="AD216" s="195"/>
      <c r="AE216" s="195"/>
      <c r="AF216" s="195"/>
      <c r="AG216" s="195"/>
      <c r="AH216" s="195"/>
      <c r="AI216" s="195"/>
      <c r="AJ216" s="195"/>
      <c r="AK216" s="195"/>
      <c r="AL216" s="12">
        <v>161</v>
      </c>
      <c r="AM216" s="195"/>
      <c r="AN216" s="195"/>
      <c r="AO216" s="195"/>
      <c r="AP216" s="195"/>
      <c r="AQ216" s="195"/>
      <c r="AR216" s="195"/>
      <c r="AS216" s="195"/>
      <c r="AT216" s="195"/>
      <c r="AU216" s="195"/>
      <c r="AV216" s="195"/>
      <c r="AW216" s="195"/>
      <c r="AX216" s="195"/>
      <c r="AY216" s="195"/>
      <c r="AZ216" s="195"/>
      <c r="BA216" s="195"/>
      <c r="BB216" s="195"/>
      <c r="BC216" s="195"/>
      <c r="BD216" s="12">
        <v>161</v>
      </c>
      <c r="BE216" s="195"/>
      <c r="BF216" s="195"/>
      <c r="BG216" s="195"/>
      <c r="BH216" s="195"/>
      <c r="BI216" s="195"/>
      <c r="BJ216" s="195"/>
      <c r="BK216" s="195"/>
      <c r="BL216" s="195"/>
      <c r="BM216" s="195"/>
      <c r="BN216" s="195"/>
      <c r="BO216" s="195"/>
      <c r="BP216" s="195"/>
      <c r="BQ216" s="195"/>
      <c r="BR216" s="195"/>
      <c r="BS216" s="195"/>
      <c r="BT216" s="195"/>
      <c r="BU216" s="195"/>
      <c r="BV216" s="12">
        <v>161</v>
      </c>
      <c r="BW216" s="195"/>
      <c r="BX216" s="195"/>
      <c r="BY216" s="195"/>
      <c r="BZ216" s="195"/>
      <c r="CA216" s="195"/>
      <c r="CB216" s="195"/>
      <c r="CC216" s="195"/>
      <c r="CD216" s="195"/>
      <c r="CE216" s="195"/>
      <c r="CF216" s="195"/>
      <c r="CG216" s="195"/>
      <c r="CH216" s="195"/>
      <c r="CI216" s="195"/>
      <c r="CJ216" s="195"/>
      <c r="CK216" s="195"/>
      <c r="CL216" s="195"/>
      <c r="CM216" s="195"/>
      <c r="CN216" s="12">
        <v>161</v>
      </c>
      <c r="CO216" s="195"/>
      <c r="CP216" s="195"/>
      <c r="CQ216" s="195"/>
      <c r="CR216" s="195"/>
      <c r="CS216" s="195"/>
      <c r="CT216" s="195"/>
      <c r="CU216" s="195"/>
      <c r="CV216" s="195"/>
      <c r="CW216" s="195"/>
      <c r="CX216" s="195"/>
      <c r="CY216" s="195"/>
      <c r="CZ216" s="195"/>
      <c r="DA216" s="195"/>
      <c r="DB216" s="195"/>
      <c r="DC216" s="195"/>
      <c r="DD216" s="195"/>
      <c r="DE216" s="195"/>
      <c r="DF216" s="12">
        <v>161</v>
      </c>
      <c r="DG216" s="195"/>
      <c r="DH216" s="195"/>
      <c r="DI216" s="195"/>
      <c r="DJ216" s="195"/>
      <c r="DK216" s="195"/>
      <c r="DL216" s="195"/>
      <c r="DM216" s="195"/>
      <c r="DN216" s="195"/>
      <c r="DO216" s="195"/>
      <c r="DP216" s="195"/>
      <c r="DQ216" s="195"/>
      <c r="DR216" s="195"/>
      <c r="DS216" s="195"/>
      <c r="DT216" s="195"/>
      <c r="DU216" s="195"/>
      <c r="DV216" s="195"/>
      <c r="DW216" s="195"/>
      <c r="DX216" s="12">
        <v>161</v>
      </c>
      <c r="DY216" s="195"/>
      <c r="DZ216" s="195"/>
      <c r="EA216" s="195"/>
      <c r="EB216" s="195"/>
      <c r="EC216" s="195"/>
      <c r="ED216" s="195"/>
      <c r="EE216" s="195"/>
      <c r="EF216" s="195"/>
      <c r="EG216" s="195"/>
      <c r="EH216" s="195"/>
      <c r="EI216" s="195"/>
      <c r="EJ216" s="195"/>
      <c r="EK216" s="195"/>
      <c r="EL216" s="195"/>
      <c r="EM216" s="195"/>
      <c r="EN216" s="195"/>
      <c r="EO216" s="195"/>
      <c r="EP216" s="12">
        <v>161</v>
      </c>
      <c r="EQ216" s="195"/>
      <c r="ER216" s="195"/>
      <c r="ES216" s="195"/>
      <c r="ET216" s="195"/>
      <c r="EU216" s="195"/>
      <c r="EV216" s="195"/>
      <c r="EW216" s="195"/>
      <c r="EX216" s="195"/>
      <c r="EY216" s="195"/>
      <c r="EZ216" s="195"/>
      <c r="FA216" s="195"/>
      <c r="FB216" s="195"/>
      <c r="FC216" s="195"/>
      <c r="FD216" s="195"/>
      <c r="FE216" s="195"/>
      <c r="FF216" s="195"/>
      <c r="FG216" s="195"/>
      <c r="FH216" s="12">
        <v>161</v>
      </c>
      <c r="FI216" s="195"/>
      <c r="FJ216" s="195"/>
      <c r="FK216" s="195"/>
      <c r="FL216" s="195"/>
      <c r="FM216" s="195"/>
      <c r="FN216" s="195"/>
      <c r="FO216" s="195"/>
      <c r="FP216" s="195"/>
      <c r="FQ216" s="195"/>
      <c r="FR216" s="195"/>
      <c r="FS216" s="195"/>
      <c r="FT216" s="195"/>
      <c r="FU216" s="195"/>
      <c r="FV216" s="195"/>
      <c r="FW216" s="195"/>
      <c r="FX216" s="195"/>
      <c r="FY216" s="195"/>
    </row>
    <row r="217" spans="2:181" x14ac:dyDescent="0.25">
      <c r="B217" s="197">
        <v>162</v>
      </c>
      <c r="C217" s="195"/>
      <c r="D217" s="195"/>
      <c r="E217" s="195"/>
      <c r="F217" s="195"/>
      <c r="G217" s="195"/>
      <c r="H217" s="195"/>
      <c r="I217" s="195"/>
      <c r="J217" s="195"/>
      <c r="K217" s="195"/>
      <c r="L217" s="195"/>
      <c r="M217" s="195"/>
      <c r="N217" s="195"/>
      <c r="O217" s="195"/>
      <c r="P217" s="195"/>
      <c r="Q217" s="195"/>
      <c r="R217" s="195"/>
      <c r="S217" s="195"/>
      <c r="T217" s="197">
        <v>162</v>
      </c>
      <c r="U217" s="195"/>
      <c r="V217" s="195"/>
      <c r="W217" s="195"/>
      <c r="X217" s="195"/>
      <c r="Y217" s="195"/>
      <c r="Z217" s="195"/>
      <c r="AA217" s="195"/>
      <c r="AB217" s="195"/>
      <c r="AC217" s="195"/>
      <c r="AD217" s="195"/>
      <c r="AE217" s="195"/>
      <c r="AF217" s="195"/>
      <c r="AG217" s="195"/>
      <c r="AH217" s="195"/>
      <c r="AI217" s="195"/>
      <c r="AJ217" s="195"/>
      <c r="AK217" s="195"/>
      <c r="AL217" s="197">
        <v>162</v>
      </c>
      <c r="AM217" s="195"/>
      <c r="AN217" s="195"/>
      <c r="AO217" s="195"/>
      <c r="AP217" s="195"/>
      <c r="AQ217" s="195"/>
      <c r="AR217" s="195"/>
      <c r="AS217" s="195"/>
      <c r="AT217" s="195"/>
      <c r="AU217" s="195"/>
      <c r="AV217" s="195"/>
      <c r="AW217" s="195"/>
      <c r="AX217" s="195"/>
      <c r="AY217" s="195"/>
      <c r="AZ217" s="195"/>
      <c r="BA217" s="195"/>
      <c r="BB217" s="195"/>
      <c r="BC217" s="195"/>
      <c r="BD217" s="197">
        <v>162</v>
      </c>
      <c r="BE217" s="195"/>
      <c r="BF217" s="195"/>
      <c r="BG217" s="195"/>
      <c r="BH217" s="195"/>
      <c r="BI217" s="195"/>
      <c r="BJ217" s="195"/>
      <c r="BK217" s="195"/>
      <c r="BL217" s="195"/>
      <c r="BM217" s="195"/>
      <c r="BN217" s="195"/>
      <c r="BO217" s="195"/>
      <c r="BP217" s="195"/>
      <c r="BQ217" s="195"/>
      <c r="BR217" s="195"/>
      <c r="BS217" s="195"/>
      <c r="BT217" s="195"/>
      <c r="BU217" s="195"/>
      <c r="BV217" s="197">
        <v>162</v>
      </c>
      <c r="BW217" s="195"/>
      <c r="BX217" s="195"/>
      <c r="BY217" s="195"/>
      <c r="BZ217" s="195"/>
      <c r="CA217" s="195"/>
      <c r="CB217" s="195"/>
      <c r="CC217" s="195"/>
      <c r="CD217" s="195"/>
      <c r="CE217" s="195"/>
      <c r="CF217" s="195"/>
      <c r="CG217" s="195"/>
      <c r="CH217" s="195"/>
      <c r="CI217" s="195"/>
      <c r="CJ217" s="195"/>
      <c r="CK217" s="195"/>
      <c r="CL217" s="195"/>
      <c r="CM217" s="195"/>
      <c r="CN217" s="197">
        <v>162</v>
      </c>
      <c r="CO217" s="195"/>
      <c r="CP217" s="195"/>
      <c r="CQ217" s="195"/>
      <c r="CR217" s="195"/>
      <c r="CS217" s="195"/>
      <c r="CT217" s="195"/>
      <c r="CU217" s="195"/>
      <c r="CV217" s="195"/>
      <c r="CW217" s="195"/>
      <c r="CX217" s="195"/>
      <c r="CY217" s="195"/>
      <c r="CZ217" s="195"/>
      <c r="DA217" s="195"/>
      <c r="DB217" s="195"/>
      <c r="DC217" s="195"/>
      <c r="DD217" s="195"/>
      <c r="DE217" s="195"/>
      <c r="DF217" s="197">
        <v>162</v>
      </c>
      <c r="DG217" s="195"/>
      <c r="DH217" s="195"/>
      <c r="DI217" s="195"/>
      <c r="DJ217" s="195"/>
      <c r="DK217" s="195"/>
      <c r="DL217" s="195"/>
      <c r="DM217" s="195"/>
      <c r="DN217" s="195"/>
      <c r="DO217" s="195"/>
      <c r="DP217" s="195"/>
      <c r="DQ217" s="195"/>
      <c r="DR217" s="195"/>
      <c r="DS217" s="195"/>
      <c r="DT217" s="195"/>
      <c r="DU217" s="195"/>
      <c r="DV217" s="195"/>
      <c r="DW217" s="195"/>
      <c r="DX217" s="197">
        <v>162</v>
      </c>
      <c r="DY217" s="195"/>
      <c r="DZ217" s="195"/>
      <c r="EA217" s="195"/>
      <c r="EB217" s="195"/>
      <c r="EC217" s="195"/>
      <c r="ED217" s="195"/>
      <c r="EE217" s="195"/>
      <c r="EF217" s="195"/>
      <c r="EG217" s="195"/>
      <c r="EH217" s="195"/>
      <c r="EI217" s="195"/>
      <c r="EJ217" s="195"/>
      <c r="EK217" s="195"/>
      <c r="EL217" s="195"/>
      <c r="EM217" s="195"/>
      <c r="EN217" s="195"/>
      <c r="EO217" s="195"/>
      <c r="EP217" s="197">
        <v>162</v>
      </c>
      <c r="EQ217" s="195"/>
      <c r="ER217" s="195"/>
      <c r="ES217" s="195"/>
      <c r="ET217" s="195"/>
      <c r="EU217" s="195"/>
      <c r="EV217" s="195"/>
      <c r="EW217" s="195"/>
      <c r="EX217" s="195"/>
      <c r="EY217" s="195"/>
      <c r="EZ217" s="195"/>
      <c r="FA217" s="195"/>
      <c r="FB217" s="195"/>
      <c r="FC217" s="195"/>
      <c r="FD217" s="195"/>
      <c r="FE217" s="195"/>
      <c r="FF217" s="195"/>
      <c r="FG217" s="195"/>
      <c r="FH217" s="197">
        <v>162</v>
      </c>
      <c r="FI217" s="195"/>
      <c r="FJ217" s="195"/>
      <c r="FK217" s="195"/>
      <c r="FL217" s="195"/>
      <c r="FM217" s="195"/>
      <c r="FN217" s="195"/>
      <c r="FO217" s="195"/>
      <c r="FP217" s="195"/>
      <c r="FQ217" s="195"/>
      <c r="FR217" s="195"/>
      <c r="FS217" s="195"/>
      <c r="FT217" s="195"/>
      <c r="FU217" s="195"/>
      <c r="FV217" s="195"/>
      <c r="FW217" s="195"/>
      <c r="FX217" s="195"/>
      <c r="FY217" s="195"/>
    </row>
    <row r="218" spans="2:181" x14ac:dyDescent="0.25">
      <c r="B218" s="12">
        <v>163</v>
      </c>
      <c r="C218" s="195"/>
      <c r="D218" s="195"/>
      <c r="E218" s="195"/>
      <c r="F218" s="195"/>
      <c r="G218" s="195"/>
      <c r="H218" s="195"/>
      <c r="I218" s="195"/>
      <c r="J218" s="195"/>
      <c r="K218" s="195"/>
      <c r="L218" s="195"/>
      <c r="M218" s="195"/>
      <c r="N218" s="195"/>
      <c r="O218" s="195"/>
      <c r="P218" s="195"/>
      <c r="Q218" s="195"/>
      <c r="R218" s="195"/>
      <c r="S218" s="195"/>
      <c r="T218" s="12">
        <v>163</v>
      </c>
      <c r="U218" s="195"/>
      <c r="V218" s="195"/>
      <c r="W218" s="195"/>
      <c r="X218" s="195"/>
      <c r="Y218" s="195"/>
      <c r="Z218" s="195"/>
      <c r="AA218" s="195"/>
      <c r="AB218" s="195"/>
      <c r="AC218" s="195"/>
      <c r="AD218" s="195"/>
      <c r="AE218" s="195"/>
      <c r="AF218" s="195"/>
      <c r="AG218" s="195"/>
      <c r="AH218" s="195"/>
      <c r="AI218" s="195"/>
      <c r="AJ218" s="195"/>
      <c r="AK218" s="195"/>
      <c r="AL218" s="12">
        <v>163</v>
      </c>
      <c r="AM218" s="195"/>
      <c r="AN218" s="195"/>
      <c r="AO218" s="195"/>
      <c r="AP218" s="195"/>
      <c r="AQ218" s="195"/>
      <c r="AR218" s="195"/>
      <c r="AS218" s="195"/>
      <c r="AT218" s="195"/>
      <c r="AU218" s="195"/>
      <c r="AV218" s="195"/>
      <c r="AW218" s="195"/>
      <c r="AX218" s="195"/>
      <c r="AY218" s="195"/>
      <c r="AZ218" s="195"/>
      <c r="BA218" s="195"/>
      <c r="BB218" s="195"/>
      <c r="BC218" s="195"/>
      <c r="BD218" s="12">
        <v>163</v>
      </c>
      <c r="BE218" s="195"/>
      <c r="BF218" s="195"/>
      <c r="BG218" s="195"/>
      <c r="BH218" s="195"/>
      <c r="BI218" s="195"/>
      <c r="BJ218" s="195"/>
      <c r="BK218" s="195"/>
      <c r="BL218" s="195"/>
      <c r="BM218" s="195"/>
      <c r="BN218" s="195"/>
      <c r="BO218" s="195"/>
      <c r="BP218" s="195"/>
      <c r="BQ218" s="195"/>
      <c r="BR218" s="195"/>
      <c r="BS218" s="195"/>
      <c r="BT218" s="195"/>
      <c r="BU218" s="195"/>
      <c r="BV218" s="12">
        <v>163</v>
      </c>
      <c r="BW218" s="195"/>
      <c r="BX218" s="195"/>
      <c r="BY218" s="195"/>
      <c r="BZ218" s="195"/>
      <c r="CA218" s="195"/>
      <c r="CB218" s="195"/>
      <c r="CC218" s="195"/>
      <c r="CD218" s="195"/>
      <c r="CE218" s="195"/>
      <c r="CF218" s="195"/>
      <c r="CG218" s="195"/>
      <c r="CH218" s="195"/>
      <c r="CI218" s="195"/>
      <c r="CJ218" s="195"/>
      <c r="CK218" s="195"/>
      <c r="CL218" s="195"/>
      <c r="CM218" s="195"/>
      <c r="CN218" s="12">
        <v>163</v>
      </c>
      <c r="CO218" s="195"/>
      <c r="CP218" s="195"/>
      <c r="CQ218" s="195"/>
      <c r="CR218" s="195"/>
      <c r="CS218" s="195"/>
      <c r="CT218" s="195"/>
      <c r="CU218" s="195"/>
      <c r="CV218" s="195"/>
      <c r="CW218" s="195"/>
      <c r="CX218" s="195"/>
      <c r="CY218" s="195"/>
      <c r="CZ218" s="195"/>
      <c r="DA218" s="195"/>
      <c r="DB218" s="195"/>
      <c r="DC218" s="195"/>
      <c r="DD218" s="195"/>
      <c r="DE218" s="195"/>
      <c r="DF218" s="12">
        <v>163</v>
      </c>
      <c r="DG218" s="195"/>
      <c r="DH218" s="195"/>
      <c r="DI218" s="195"/>
      <c r="DJ218" s="195"/>
      <c r="DK218" s="195"/>
      <c r="DL218" s="195"/>
      <c r="DM218" s="195"/>
      <c r="DN218" s="195"/>
      <c r="DO218" s="195"/>
      <c r="DP218" s="195"/>
      <c r="DQ218" s="195"/>
      <c r="DR218" s="195"/>
      <c r="DS218" s="195"/>
      <c r="DT218" s="195"/>
      <c r="DU218" s="195"/>
      <c r="DV218" s="195"/>
      <c r="DW218" s="195"/>
      <c r="DX218" s="12">
        <v>163</v>
      </c>
      <c r="DY218" s="195"/>
      <c r="DZ218" s="195"/>
      <c r="EA218" s="195"/>
      <c r="EB218" s="195"/>
      <c r="EC218" s="195"/>
      <c r="ED218" s="195"/>
      <c r="EE218" s="195"/>
      <c r="EF218" s="195"/>
      <c r="EG218" s="195"/>
      <c r="EH218" s="195"/>
      <c r="EI218" s="195"/>
      <c r="EJ218" s="195"/>
      <c r="EK218" s="195"/>
      <c r="EL218" s="195"/>
      <c r="EM218" s="195"/>
      <c r="EN218" s="195"/>
      <c r="EO218" s="195"/>
      <c r="EP218" s="12">
        <v>163</v>
      </c>
      <c r="EQ218" s="195"/>
      <c r="ER218" s="195"/>
      <c r="ES218" s="195"/>
      <c r="ET218" s="195"/>
      <c r="EU218" s="195"/>
      <c r="EV218" s="195"/>
      <c r="EW218" s="195"/>
      <c r="EX218" s="195"/>
      <c r="EY218" s="195"/>
      <c r="EZ218" s="195"/>
      <c r="FA218" s="195"/>
      <c r="FB218" s="195"/>
      <c r="FC218" s="195"/>
      <c r="FD218" s="195"/>
      <c r="FE218" s="195"/>
      <c r="FF218" s="195"/>
      <c r="FG218" s="195"/>
      <c r="FH218" s="12">
        <v>163</v>
      </c>
      <c r="FI218" s="195"/>
      <c r="FJ218" s="195"/>
      <c r="FK218" s="195"/>
      <c r="FL218" s="195"/>
      <c r="FM218" s="195"/>
      <c r="FN218" s="195"/>
      <c r="FO218" s="195"/>
      <c r="FP218" s="195"/>
      <c r="FQ218" s="195"/>
      <c r="FR218" s="195"/>
      <c r="FS218" s="195"/>
      <c r="FT218" s="195"/>
      <c r="FU218" s="195"/>
      <c r="FV218" s="195"/>
      <c r="FW218" s="195"/>
      <c r="FX218" s="195"/>
      <c r="FY218" s="195"/>
    </row>
    <row r="219" spans="2:181" x14ac:dyDescent="0.25">
      <c r="B219" s="197">
        <v>164</v>
      </c>
      <c r="C219" s="195"/>
      <c r="D219" s="195"/>
      <c r="E219" s="195"/>
      <c r="F219" s="195"/>
      <c r="G219" s="195"/>
      <c r="H219" s="195"/>
      <c r="I219" s="195"/>
      <c r="J219" s="195"/>
      <c r="K219" s="195"/>
      <c r="L219" s="195"/>
      <c r="M219" s="195"/>
      <c r="N219" s="195"/>
      <c r="O219" s="195"/>
      <c r="P219" s="195"/>
      <c r="Q219" s="195"/>
      <c r="R219" s="195"/>
      <c r="S219" s="195"/>
      <c r="T219" s="197">
        <v>164</v>
      </c>
      <c r="U219" s="195"/>
      <c r="V219" s="195"/>
      <c r="W219" s="195"/>
      <c r="X219" s="195"/>
      <c r="Y219" s="195"/>
      <c r="Z219" s="195"/>
      <c r="AA219" s="195"/>
      <c r="AB219" s="195"/>
      <c r="AC219" s="195"/>
      <c r="AD219" s="195"/>
      <c r="AE219" s="195"/>
      <c r="AF219" s="195"/>
      <c r="AG219" s="195"/>
      <c r="AH219" s="195"/>
      <c r="AI219" s="195"/>
      <c r="AJ219" s="195"/>
      <c r="AK219" s="195"/>
      <c r="AL219" s="197">
        <v>164</v>
      </c>
      <c r="AM219" s="195"/>
      <c r="AN219" s="195"/>
      <c r="AO219" s="195"/>
      <c r="AP219" s="195"/>
      <c r="AQ219" s="195"/>
      <c r="AR219" s="195"/>
      <c r="AS219" s="195"/>
      <c r="AT219" s="195"/>
      <c r="AU219" s="195"/>
      <c r="AV219" s="195"/>
      <c r="AW219" s="195"/>
      <c r="AX219" s="195"/>
      <c r="AY219" s="195"/>
      <c r="AZ219" s="195"/>
      <c r="BA219" s="195"/>
      <c r="BB219" s="195"/>
      <c r="BC219" s="195"/>
      <c r="BD219" s="197">
        <v>164</v>
      </c>
      <c r="BE219" s="195"/>
      <c r="BF219" s="195"/>
      <c r="BG219" s="195"/>
      <c r="BH219" s="195"/>
      <c r="BI219" s="195"/>
      <c r="BJ219" s="195"/>
      <c r="BK219" s="195"/>
      <c r="BL219" s="195"/>
      <c r="BM219" s="195"/>
      <c r="BN219" s="195"/>
      <c r="BO219" s="195"/>
      <c r="BP219" s="195"/>
      <c r="BQ219" s="195"/>
      <c r="BR219" s="195"/>
      <c r="BS219" s="195"/>
      <c r="BT219" s="195"/>
      <c r="BU219" s="195"/>
      <c r="BV219" s="197">
        <v>164</v>
      </c>
      <c r="BW219" s="195"/>
      <c r="BX219" s="195"/>
      <c r="BY219" s="195"/>
      <c r="BZ219" s="195"/>
      <c r="CA219" s="195"/>
      <c r="CB219" s="195"/>
      <c r="CC219" s="195"/>
      <c r="CD219" s="195"/>
      <c r="CE219" s="195"/>
      <c r="CF219" s="195"/>
      <c r="CG219" s="195"/>
      <c r="CH219" s="195"/>
      <c r="CI219" s="195"/>
      <c r="CJ219" s="195"/>
      <c r="CK219" s="195"/>
      <c r="CL219" s="195"/>
      <c r="CM219" s="195"/>
      <c r="CN219" s="197">
        <v>164</v>
      </c>
      <c r="CO219" s="195"/>
      <c r="CP219" s="195"/>
      <c r="CQ219" s="195"/>
      <c r="CR219" s="195"/>
      <c r="CS219" s="195"/>
      <c r="CT219" s="195"/>
      <c r="CU219" s="195"/>
      <c r="CV219" s="195"/>
      <c r="CW219" s="195"/>
      <c r="CX219" s="195"/>
      <c r="CY219" s="195"/>
      <c r="CZ219" s="195"/>
      <c r="DA219" s="195"/>
      <c r="DB219" s="195"/>
      <c r="DC219" s="195"/>
      <c r="DD219" s="195"/>
      <c r="DE219" s="195"/>
      <c r="DF219" s="197">
        <v>164</v>
      </c>
      <c r="DG219" s="195"/>
      <c r="DH219" s="195"/>
      <c r="DI219" s="195"/>
      <c r="DJ219" s="195"/>
      <c r="DK219" s="195"/>
      <c r="DL219" s="195"/>
      <c r="DM219" s="195"/>
      <c r="DN219" s="195"/>
      <c r="DO219" s="195"/>
      <c r="DP219" s="195"/>
      <c r="DQ219" s="195"/>
      <c r="DR219" s="195"/>
      <c r="DS219" s="195"/>
      <c r="DT219" s="195"/>
      <c r="DU219" s="195"/>
      <c r="DV219" s="195"/>
      <c r="DW219" s="195"/>
      <c r="DX219" s="197">
        <v>164</v>
      </c>
      <c r="DY219" s="195"/>
      <c r="DZ219" s="195"/>
      <c r="EA219" s="195"/>
      <c r="EB219" s="195"/>
      <c r="EC219" s="195"/>
      <c r="ED219" s="195"/>
      <c r="EE219" s="195"/>
      <c r="EF219" s="195"/>
      <c r="EG219" s="195"/>
      <c r="EH219" s="195"/>
      <c r="EI219" s="195"/>
      <c r="EJ219" s="195"/>
      <c r="EK219" s="195"/>
      <c r="EL219" s="195"/>
      <c r="EM219" s="195"/>
      <c r="EN219" s="195"/>
      <c r="EO219" s="195"/>
      <c r="EP219" s="197">
        <v>164</v>
      </c>
      <c r="EQ219" s="195"/>
      <c r="ER219" s="195"/>
      <c r="ES219" s="195"/>
      <c r="ET219" s="195"/>
      <c r="EU219" s="195"/>
      <c r="EV219" s="195"/>
      <c r="EW219" s="195"/>
      <c r="EX219" s="195"/>
      <c r="EY219" s="195"/>
      <c r="EZ219" s="195"/>
      <c r="FA219" s="195"/>
      <c r="FB219" s="195"/>
      <c r="FC219" s="195"/>
      <c r="FD219" s="195"/>
      <c r="FE219" s="195"/>
      <c r="FF219" s="195"/>
      <c r="FG219" s="195"/>
      <c r="FH219" s="197">
        <v>164</v>
      </c>
      <c r="FI219" s="195"/>
      <c r="FJ219" s="195"/>
      <c r="FK219" s="195"/>
      <c r="FL219" s="195"/>
      <c r="FM219" s="195"/>
      <c r="FN219" s="195"/>
      <c r="FO219" s="195"/>
      <c r="FP219" s="195"/>
      <c r="FQ219" s="195"/>
      <c r="FR219" s="195"/>
      <c r="FS219" s="195"/>
      <c r="FT219" s="195"/>
      <c r="FU219" s="195"/>
      <c r="FV219" s="195"/>
      <c r="FW219" s="195"/>
      <c r="FX219" s="195"/>
      <c r="FY219" s="195"/>
    </row>
    <row r="220" spans="2:181" x14ac:dyDescent="0.25">
      <c r="B220" s="12">
        <v>165</v>
      </c>
      <c r="C220" s="195"/>
      <c r="D220" s="195"/>
      <c r="E220" s="195"/>
      <c r="F220" s="195"/>
      <c r="G220" s="195"/>
      <c r="H220" s="195"/>
      <c r="I220" s="195"/>
      <c r="J220" s="195"/>
      <c r="K220" s="195"/>
      <c r="L220" s="195"/>
      <c r="M220" s="195"/>
      <c r="N220" s="195"/>
      <c r="O220" s="195"/>
      <c r="P220" s="195"/>
      <c r="Q220" s="195"/>
      <c r="R220" s="195"/>
      <c r="S220" s="195"/>
      <c r="T220" s="12">
        <v>165</v>
      </c>
      <c r="U220" s="195"/>
      <c r="V220" s="195"/>
      <c r="W220" s="195"/>
      <c r="X220" s="195"/>
      <c r="Y220" s="195"/>
      <c r="Z220" s="195"/>
      <c r="AA220" s="195"/>
      <c r="AB220" s="195"/>
      <c r="AC220" s="195"/>
      <c r="AD220" s="195"/>
      <c r="AE220" s="195"/>
      <c r="AF220" s="195"/>
      <c r="AG220" s="195"/>
      <c r="AH220" s="195"/>
      <c r="AI220" s="195"/>
      <c r="AJ220" s="195"/>
      <c r="AK220" s="195"/>
      <c r="AL220" s="12">
        <v>165</v>
      </c>
      <c r="AM220" s="195"/>
      <c r="AN220" s="195"/>
      <c r="AO220" s="195"/>
      <c r="AP220" s="195"/>
      <c r="AQ220" s="195"/>
      <c r="AR220" s="195"/>
      <c r="AS220" s="195"/>
      <c r="AT220" s="195"/>
      <c r="AU220" s="195"/>
      <c r="AV220" s="195"/>
      <c r="AW220" s="195"/>
      <c r="AX220" s="195"/>
      <c r="AY220" s="195"/>
      <c r="AZ220" s="195"/>
      <c r="BA220" s="195"/>
      <c r="BB220" s="195"/>
      <c r="BC220" s="195"/>
      <c r="BD220" s="12">
        <v>165</v>
      </c>
      <c r="BE220" s="195"/>
      <c r="BF220" s="195"/>
      <c r="BG220" s="195"/>
      <c r="BH220" s="195"/>
      <c r="BI220" s="195"/>
      <c r="BJ220" s="195"/>
      <c r="BK220" s="195"/>
      <c r="BL220" s="195"/>
      <c r="BM220" s="195"/>
      <c r="BN220" s="195"/>
      <c r="BO220" s="195"/>
      <c r="BP220" s="195"/>
      <c r="BQ220" s="195"/>
      <c r="BR220" s="195"/>
      <c r="BS220" s="195"/>
      <c r="BT220" s="195"/>
      <c r="BU220" s="195"/>
      <c r="BV220" s="12">
        <v>165</v>
      </c>
      <c r="BW220" s="195"/>
      <c r="BX220" s="195"/>
      <c r="BY220" s="195"/>
      <c r="BZ220" s="195"/>
      <c r="CA220" s="195"/>
      <c r="CB220" s="195"/>
      <c r="CC220" s="195"/>
      <c r="CD220" s="195"/>
      <c r="CE220" s="195"/>
      <c r="CF220" s="195"/>
      <c r="CG220" s="195"/>
      <c r="CH220" s="195"/>
      <c r="CI220" s="195"/>
      <c r="CJ220" s="195"/>
      <c r="CK220" s="195"/>
      <c r="CL220" s="195"/>
      <c r="CM220" s="195"/>
      <c r="CN220" s="12">
        <v>165</v>
      </c>
      <c r="CO220" s="195"/>
      <c r="CP220" s="195"/>
      <c r="CQ220" s="195"/>
      <c r="CR220" s="195"/>
      <c r="CS220" s="195"/>
      <c r="CT220" s="195"/>
      <c r="CU220" s="195"/>
      <c r="CV220" s="195"/>
      <c r="CW220" s="195"/>
      <c r="CX220" s="195"/>
      <c r="CY220" s="195"/>
      <c r="CZ220" s="195"/>
      <c r="DA220" s="195"/>
      <c r="DB220" s="195"/>
      <c r="DC220" s="195"/>
      <c r="DD220" s="195"/>
      <c r="DE220" s="195"/>
      <c r="DF220" s="12">
        <v>165</v>
      </c>
      <c r="DG220" s="195"/>
      <c r="DH220" s="195"/>
      <c r="DI220" s="195"/>
      <c r="DJ220" s="195"/>
      <c r="DK220" s="195"/>
      <c r="DL220" s="195"/>
      <c r="DM220" s="195"/>
      <c r="DN220" s="195"/>
      <c r="DO220" s="195"/>
      <c r="DP220" s="195"/>
      <c r="DQ220" s="195"/>
      <c r="DR220" s="195"/>
      <c r="DS220" s="195"/>
      <c r="DT220" s="195"/>
      <c r="DU220" s="195"/>
      <c r="DV220" s="195"/>
      <c r="DW220" s="195"/>
      <c r="DX220" s="12">
        <v>165</v>
      </c>
      <c r="DY220" s="195"/>
      <c r="DZ220" s="195"/>
      <c r="EA220" s="195"/>
      <c r="EB220" s="195"/>
      <c r="EC220" s="195"/>
      <c r="ED220" s="195"/>
      <c r="EE220" s="195"/>
      <c r="EF220" s="195"/>
      <c r="EG220" s="195"/>
      <c r="EH220" s="195"/>
      <c r="EI220" s="195"/>
      <c r="EJ220" s="195"/>
      <c r="EK220" s="195"/>
      <c r="EL220" s="195"/>
      <c r="EM220" s="195"/>
      <c r="EN220" s="195"/>
      <c r="EO220" s="195"/>
      <c r="EP220" s="12">
        <v>165</v>
      </c>
      <c r="EQ220" s="195"/>
      <c r="ER220" s="195"/>
      <c r="ES220" s="195"/>
      <c r="ET220" s="195"/>
      <c r="EU220" s="195"/>
      <c r="EV220" s="195"/>
      <c r="EW220" s="195"/>
      <c r="EX220" s="195"/>
      <c r="EY220" s="195"/>
      <c r="EZ220" s="195"/>
      <c r="FA220" s="195"/>
      <c r="FB220" s="195"/>
      <c r="FC220" s="195"/>
      <c r="FD220" s="195"/>
      <c r="FE220" s="195"/>
      <c r="FF220" s="195"/>
      <c r="FG220" s="195"/>
      <c r="FH220" s="12">
        <v>165</v>
      </c>
      <c r="FI220" s="195"/>
      <c r="FJ220" s="195"/>
      <c r="FK220" s="195"/>
      <c r="FL220" s="195"/>
      <c r="FM220" s="195"/>
      <c r="FN220" s="195"/>
      <c r="FO220" s="195"/>
      <c r="FP220" s="195"/>
      <c r="FQ220" s="195"/>
      <c r="FR220" s="195"/>
      <c r="FS220" s="195"/>
      <c r="FT220" s="195"/>
      <c r="FU220" s="195"/>
      <c r="FV220" s="195"/>
      <c r="FW220" s="195"/>
      <c r="FX220" s="195"/>
      <c r="FY220" s="195"/>
    </row>
    <row r="221" spans="2:181" x14ac:dyDescent="0.25">
      <c r="B221" s="197">
        <v>166</v>
      </c>
      <c r="C221" s="195"/>
      <c r="D221" s="195"/>
      <c r="E221" s="195"/>
      <c r="F221" s="195"/>
      <c r="G221" s="195"/>
      <c r="H221" s="195"/>
      <c r="I221" s="195"/>
      <c r="J221" s="195"/>
      <c r="K221" s="195"/>
      <c r="L221" s="195"/>
      <c r="M221" s="195"/>
      <c r="N221" s="195"/>
      <c r="O221" s="195"/>
      <c r="P221" s="195"/>
      <c r="Q221" s="195"/>
      <c r="R221" s="195"/>
      <c r="S221" s="195"/>
      <c r="T221" s="197">
        <v>166</v>
      </c>
      <c r="U221" s="195"/>
      <c r="V221" s="195"/>
      <c r="W221" s="195"/>
      <c r="X221" s="195"/>
      <c r="Y221" s="195"/>
      <c r="Z221" s="195"/>
      <c r="AA221" s="195"/>
      <c r="AB221" s="195"/>
      <c r="AC221" s="195"/>
      <c r="AD221" s="195"/>
      <c r="AE221" s="195"/>
      <c r="AF221" s="195"/>
      <c r="AG221" s="195"/>
      <c r="AH221" s="195"/>
      <c r="AI221" s="195"/>
      <c r="AJ221" s="195"/>
      <c r="AK221" s="195"/>
      <c r="AL221" s="197">
        <v>166</v>
      </c>
      <c r="AM221" s="195"/>
      <c r="AN221" s="195"/>
      <c r="AO221" s="195"/>
      <c r="AP221" s="195"/>
      <c r="AQ221" s="195"/>
      <c r="AR221" s="195"/>
      <c r="AS221" s="195"/>
      <c r="AT221" s="195"/>
      <c r="AU221" s="195"/>
      <c r="AV221" s="195"/>
      <c r="AW221" s="195"/>
      <c r="AX221" s="195"/>
      <c r="AY221" s="195"/>
      <c r="AZ221" s="195"/>
      <c r="BA221" s="195"/>
      <c r="BB221" s="195"/>
      <c r="BC221" s="195"/>
      <c r="BD221" s="197">
        <v>166</v>
      </c>
      <c r="BE221" s="195"/>
      <c r="BF221" s="195"/>
      <c r="BG221" s="195"/>
      <c r="BH221" s="195"/>
      <c r="BI221" s="195"/>
      <c r="BJ221" s="195"/>
      <c r="BK221" s="195"/>
      <c r="BL221" s="195"/>
      <c r="BM221" s="195"/>
      <c r="BN221" s="195"/>
      <c r="BO221" s="195"/>
      <c r="BP221" s="195"/>
      <c r="BQ221" s="195"/>
      <c r="BR221" s="195"/>
      <c r="BS221" s="195"/>
      <c r="BT221" s="195"/>
      <c r="BU221" s="195"/>
      <c r="BV221" s="197">
        <v>166</v>
      </c>
      <c r="BW221" s="195"/>
      <c r="BX221" s="195"/>
      <c r="BY221" s="195"/>
      <c r="BZ221" s="195"/>
      <c r="CA221" s="195"/>
      <c r="CB221" s="195"/>
      <c r="CC221" s="195"/>
      <c r="CD221" s="195"/>
      <c r="CE221" s="195"/>
      <c r="CF221" s="195"/>
      <c r="CG221" s="195"/>
      <c r="CH221" s="195"/>
      <c r="CI221" s="195"/>
      <c r="CJ221" s="195"/>
      <c r="CK221" s="195"/>
      <c r="CL221" s="195"/>
      <c r="CM221" s="195"/>
      <c r="CN221" s="197">
        <v>166</v>
      </c>
      <c r="CO221" s="195"/>
      <c r="CP221" s="195"/>
      <c r="CQ221" s="195"/>
      <c r="CR221" s="195"/>
      <c r="CS221" s="195"/>
      <c r="CT221" s="195"/>
      <c r="CU221" s="195"/>
      <c r="CV221" s="195"/>
      <c r="CW221" s="195"/>
      <c r="CX221" s="195"/>
      <c r="CY221" s="195"/>
      <c r="CZ221" s="195"/>
      <c r="DA221" s="195"/>
      <c r="DB221" s="195"/>
      <c r="DC221" s="195"/>
      <c r="DD221" s="195"/>
      <c r="DE221" s="195"/>
      <c r="DF221" s="197">
        <v>166</v>
      </c>
      <c r="DG221" s="195"/>
      <c r="DH221" s="195"/>
      <c r="DI221" s="195"/>
      <c r="DJ221" s="195"/>
      <c r="DK221" s="195"/>
      <c r="DL221" s="195"/>
      <c r="DM221" s="195"/>
      <c r="DN221" s="195"/>
      <c r="DO221" s="195"/>
      <c r="DP221" s="195"/>
      <c r="DQ221" s="195"/>
      <c r="DR221" s="195"/>
      <c r="DS221" s="195"/>
      <c r="DT221" s="195"/>
      <c r="DU221" s="195"/>
      <c r="DV221" s="195"/>
      <c r="DW221" s="195"/>
      <c r="DX221" s="197">
        <v>166</v>
      </c>
      <c r="DY221" s="195"/>
      <c r="DZ221" s="195"/>
      <c r="EA221" s="195"/>
      <c r="EB221" s="195"/>
      <c r="EC221" s="195"/>
      <c r="ED221" s="195"/>
      <c r="EE221" s="195"/>
      <c r="EF221" s="195"/>
      <c r="EG221" s="195"/>
      <c r="EH221" s="195"/>
      <c r="EI221" s="195"/>
      <c r="EJ221" s="195"/>
      <c r="EK221" s="195"/>
      <c r="EL221" s="195"/>
      <c r="EM221" s="195"/>
      <c r="EN221" s="195"/>
      <c r="EO221" s="195"/>
      <c r="EP221" s="197">
        <v>166</v>
      </c>
      <c r="EQ221" s="195"/>
      <c r="ER221" s="195"/>
      <c r="ES221" s="195"/>
      <c r="ET221" s="195"/>
      <c r="EU221" s="195"/>
      <c r="EV221" s="195"/>
      <c r="EW221" s="195"/>
      <c r="EX221" s="195"/>
      <c r="EY221" s="195"/>
      <c r="EZ221" s="195"/>
      <c r="FA221" s="195"/>
      <c r="FB221" s="195"/>
      <c r="FC221" s="195"/>
      <c r="FD221" s="195"/>
      <c r="FE221" s="195"/>
      <c r="FF221" s="195"/>
      <c r="FG221" s="195"/>
      <c r="FH221" s="197">
        <v>166</v>
      </c>
      <c r="FI221" s="195"/>
      <c r="FJ221" s="195"/>
      <c r="FK221" s="195"/>
      <c r="FL221" s="195"/>
      <c r="FM221" s="195"/>
      <c r="FN221" s="195"/>
      <c r="FO221" s="195"/>
      <c r="FP221" s="195"/>
      <c r="FQ221" s="195"/>
      <c r="FR221" s="195"/>
      <c r="FS221" s="195"/>
      <c r="FT221" s="195"/>
      <c r="FU221" s="195"/>
      <c r="FV221" s="195"/>
      <c r="FW221" s="195"/>
      <c r="FX221" s="195"/>
      <c r="FY221" s="195"/>
    </row>
    <row r="222" spans="2:181" x14ac:dyDescent="0.25">
      <c r="B222" s="12">
        <v>167</v>
      </c>
      <c r="C222" s="195"/>
      <c r="D222" s="195"/>
      <c r="E222" s="195"/>
      <c r="F222" s="195"/>
      <c r="G222" s="195"/>
      <c r="H222" s="195"/>
      <c r="I222" s="195"/>
      <c r="J222" s="195"/>
      <c r="K222" s="195"/>
      <c r="L222" s="195"/>
      <c r="M222" s="195"/>
      <c r="N222" s="195"/>
      <c r="O222" s="195"/>
      <c r="P222" s="195"/>
      <c r="Q222" s="195"/>
      <c r="R222" s="195"/>
      <c r="S222" s="195"/>
      <c r="T222" s="12">
        <v>167</v>
      </c>
      <c r="U222" s="195"/>
      <c r="V222" s="195"/>
      <c r="W222" s="195"/>
      <c r="X222" s="195"/>
      <c r="Y222" s="195"/>
      <c r="Z222" s="195"/>
      <c r="AA222" s="195"/>
      <c r="AB222" s="195"/>
      <c r="AC222" s="195"/>
      <c r="AD222" s="195"/>
      <c r="AE222" s="195"/>
      <c r="AF222" s="195"/>
      <c r="AG222" s="195"/>
      <c r="AH222" s="195"/>
      <c r="AI222" s="195"/>
      <c r="AJ222" s="195"/>
      <c r="AK222" s="195"/>
      <c r="AL222" s="12">
        <v>167</v>
      </c>
      <c r="AM222" s="195"/>
      <c r="AN222" s="195"/>
      <c r="AO222" s="195"/>
      <c r="AP222" s="195"/>
      <c r="AQ222" s="195"/>
      <c r="AR222" s="195"/>
      <c r="AS222" s="195"/>
      <c r="AT222" s="195"/>
      <c r="AU222" s="195"/>
      <c r="AV222" s="195"/>
      <c r="AW222" s="195"/>
      <c r="AX222" s="195"/>
      <c r="AY222" s="195"/>
      <c r="AZ222" s="195"/>
      <c r="BA222" s="195"/>
      <c r="BB222" s="195"/>
      <c r="BC222" s="195"/>
      <c r="BD222" s="12">
        <v>167</v>
      </c>
      <c r="BE222" s="195"/>
      <c r="BF222" s="195"/>
      <c r="BG222" s="195"/>
      <c r="BH222" s="195"/>
      <c r="BI222" s="195"/>
      <c r="BJ222" s="195"/>
      <c r="BK222" s="195"/>
      <c r="BL222" s="195"/>
      <c r="BM222" s="195"/>
      <c r="BN222" s="195"/>
      <c r="BO222" s="195"/>
      <c r="BP222" s="195"/>
      <c r="BQ222" s="195"/>
      <c r="BR222" s="195"/>
      <c r="BS222" s="195"/>
      <c r="BT222" s="195"/>
      <c r="BU222" s="195"/>
      <c r="BV222" s="12">
        <v>167</v>
      </c>
      <c r="BW222" s="195"/>
      <c r="BX222" s="195"/>
      <c r="BY222" s="195"/>
      <c r="BZ222" s="195"/>
      <c r="CA222" s="195"/>
      <c r="CB222" s="195"/>
      <c r="CC222" s="195"/>
      <c r="CD222" s="195"/>
      <c r="CE222" s="195"/>
      <c r="CF222" s="195"/>
      <c r="CG222" s="195"/>
      <c r="CH222" s="195"/>
      <c r="CI222" s="195"/>
      <c r="CJ222" s="195"/>
      <c r="CK222" s="195"/>
      <c r="CL222" s="195"/>
      <c r="CM222" s="195"/>
      <c r="CN222" s="12">
        <v>167</v>
      </c>
      <c r="CO222" s="195"/>
      <c r="CP222" s="195"/>
      <c r="CQ222" s="195"/>
      <c r="CR222" s="195"/>
      <c r="CS222" s="195"/>
      <c r="CT222" s="195"/>
      <c r="CU222" s="195"/>
      <c r="CV222" s="195"/>
      <c r="CW222" s="195"/>
      <c r="CX222" s="195"/>
      <c r="CY222" s="195"/>
      <c r="CZ222" s="195"/>
      <c r="DA222" s="195"/>
      <c r="DB222" s="195"/>
      <c r="DC222" s="195"/>
      <c r="DD222" s="195"/>
      <c r="DE222" s="195"/>
      <c r="DF222" s="12">
        <v>167</v>
      </c>
      <c r="DG222" s="195"/>
      <c r="DH222" s="195"/>
      <c r="DI222" s="195"/>
      <c r="DJ222" s="195"/>
      <c r="DK222" s="195"/>
      <c r="DL222" s="195"/>
      <c r="DM222" s="195"/>
      <c r="DN222" s="195"/>
      <c r="DO222" s="195"/>
      <c r="DP222" s="195"/>
      <c r="DQ222" s="195"/>
      <c r="DR222" s="195"/>
      <c r="DS222" s="195"/>
      <c r="DT222" s="195"/>
      <c r="DU222" s="195"/>
      <c r="DV222" s="195"/>
      <c r="DW222" s="195"/>
      <c r="DX222" s="12">
        <v>167</v>
      </c>
      <c r="DY222" s="195"/>
      <c r="DZ222" s="195"/>
      <c r="EA222" s="195"/>
      <c r="EB222" s="195"/>
      <c r="EC222" s="195"/>
      <c r="ED222" s="195"/>
      <c r="EE222" s="195"/>
      <c r="EF222" s="195"/>
      <c r="EG222" s="195"/>
      <c r="EH222" s="195"/>
      <c r="EI222" s="195"/>
      <c r="EJ222" s="195"/>
      <c r="EK222" s="195"/>
      <c r="EL222" s="195"/>
      <c r="EM222" s="195"/>
      <c r="EN222" s="195"/>
      <c r="EO222" s="195"/>
      <c r="EP222" s="12">
        <v>167</v>
      </c>
      <c r="EQ222" s="195"/>
      <c r="ER222" s="195"/>
      <c r="ES222" s="195"/>
      <c r="ET222" s="195"/>
      <c r="EU222" s="195"/>
      <c r="EV222" s="195"/>
      <c r="EW222" s="195"/>
      <c r="EX222" s="195"/>
      <c r="EY222" s="195"/>
      <c r="EZ222" s="195"/>
      <c r="FA222" s="195"/>
      <c r="FB222" s="195"/>
      <c r="FC222" s="195"/>
      <c r="FD222" s="195"/>
      <c r="FE222" s="195"/>
      <c r="FF222" s="195"/>
      <c r="FG222" s="195"/>
      <c r="FH222" s="12">
        <v>167</v>
      </c>
      <c r="FI222" s="195"/>
      <c r="FJ222" s="195"/>
      <c r="FK222" s="195"/>
      <c r="FL222" s="195"/>
      <c r="FM222" s="195"/>
      <c r="FN222" s="195"/>
      <c r="FO222" s="195"/>
      <c r="FP222" s="195"/>
      <c r="FQ222" s="195"/>
      <c r="FR222" s="195"/>
      <c r="FS222" s="195"/>
      <c r="FT222" s="195"/>
      <c r="FU222" s="195"/>
      <c r="FV222" s="195"/>
      <c r="FW222" s="195"/>
      <c r="FX222" s="195"/>
      <c r="FY222" s="195"/>
    </row>
    <row r="223" spans="2:181" x14ac:dyDescent="0.25">
      <c r="B223" s="197">
        <v>168</v>
      </c>
      <c r="C223" s="195"/>
      <c r="D223" s="195"/>
      <c r="E223" s="195"/>
      <c r="F223" s="195"/>
      <c r="G223" s="195"/>
      <c r="H223" s="195"/>
      <c r="I223" s="195"/>
      <c r="J223" s="195"/>
      <c r="K223" s="195"/>
      <c r="L223" s="195"/>
      <c r="M223" s="195"/>
      <c r="N223" s="195"/>
      <c r="O223" s="195"/>
      <c r="P223" s="195"/>
      <c r="Q223" s="195"/>
      <c r="R223" s="195"/>
      <c r="S223" s="195"/>
      <c r="T223" s="197">
        <v>168</v>
      </c>
      <c r="U223" s="195"/>
      <c r="V223" s="195"/>
      <c r="W223" s="195"/>
      <c r="X223" s="195"/>
      <c r="Y223" s="195"/>
      <c r="Z223" s="195"/>
      <c r="AA223" s="195"/>
      <c r="AB223" s="195"/>
      <c r="AC223" s="195"/>
      <c r="AD223" s="195"/>
      <c r="AE223" s="195"/>
      <c r="AF223" s="195"/>
      <c r="AG223" s="195"/>
      <c r="AH223" s="195"/>
      <c r="AI223" s="195"/>
      <c r="AJ223" s="195"/>
      <c r="AK223" s="195"/>
      <c r="AL223" s="197">
        <v>168</v>
      </c>
      <c r="AM223" s="195"/>
      <c r="AN223" s="195"/>
      <c r="AO223" s="195"/>
      <c r="AP223" s="195"/>
      <c r="AQ223" s="195"/>
      <c r="AR223" s="195"/>
      <c r="AS223" s="195"/>
      <c r="AT223" s="195"/>
      <c r="AU223" s="195"/>
      <c r="AV223" s="195"/>
      <c r="AW223" s="195"/>
      <c r="AX223" s="195"/>
      <c r="AY223" s="195"/>
      <c r="AZ223" s="195"/>
      <c r="BA223" s="195"/>
      <c r="BB223" s="195"/>
      <c r="BC223" s="195"/>
      <c r="BD223" s="197">
        <v>168</v>
      </c>
      <c r="BE223" s="195"/>
      <c r="BF223" s="195"/>
      <c r="BG223" s="195"/>
      <c r="BH223" s="195"/>
      <c r="BI223" s="195"/>
      <c r="BJ223" s="195"/>
      <c r="BK223" s="195"/>
      <c r="BL223" s="195"/>
      <c r="BM223" s="195"/>
      <c r="BN223" s="195"/>
      <c r="BO223" s="195"/>
      <c r="BP223" s="195"/>
      <c r="BQ223" s="195"/>
      <c r="BR223" s="195"/>
      <c r="BS223" s="195"/>
      <c r="BT223" s="195"/>
      <c r="BU223" s="195"/>
      <c r="BV223" s="197">
        <v>168</v>
      </c>
      <c r="BW223" s="195"/>
      <c r="BX223" s="195"/>
      <c r="BY223" s="195"/>
      <c r="BZ223" s="195"/>
      <c r="CA223" s="195"/>
      <c r="CB223" s="195"/>
      <c r="CC223" s="195"/>
      <c r="CD223" s="195"/>
      <c r="CE223" s="195"/>
      <c r="CF223" s="195"/>
      <c r="CG223" s="195"/>
      <c r="CH223" s="195"/>
      <c r="CI223" s="195"/>
      <c r="CJ223" s="195"/>
      <c r="CK223" s="195"/>
      <c r="CL223" s="195"/>
      <c r="CM223" s="195"/>
      <c r="CN223" s="197">
        <v>168</v>
      </c>
      <c r="CO223" s="195"/>
      <c r="CP223" s="195"/>
      <c r="CQ223" s="195"/>
      <c r="CR223" s="195"/>
      <c r="CS223" s="195"/>
      <c r="CT223" s="195"/>
      <c r="CU223" s="195"/>
      <c r="CV223" s="195"/>
      <c r="CW223" s="195"/>
      <c r="CX223" s="195"/>
      <c r="CY223" s="195"/>
      <c r="CZ223" s="195"/>
      <c r="DA223" s="195"/>
      <c r="DB223" s="195"/>
      <c r="DC223" s="195"/>
      <c r="DD223" s="195"/>
      <c r="DE223" s="195"/>
      <c r="DF223" s="197">
        <v>168</v>
      </c>
      <c r="DG223" s="195"/>
      <c r="DH223" s="195"/>
      <c r="DI223" s="195"/>
      <c r="DJ223" s="195"/>
      <c r="DK223" s="195"/>
      <c r="DL223" s="195"/>
      <c r="DM223" s="195"/>
      <c r="DN223" s="195"/>
      <c r="DO223" s="195"/>
      <c r="DP223" s="195"/>
      <c r="DQ223" s="195"/>
      <c r="DR223" s="195"/>
      <c r="DS223" s="195"/>
      <c r="DT223" s="195"/>
      <c r="DU223" s="195"/>
      <c r="DV223" s="195"/>
      <c r="DW223" s="195"/>
      <c r="DX223" s="197">
        <v>168</v>
      </c>
      <c r="DY223" s="195"/>
      <c r="DZ223" s="195"/>
      <c r="EA223" s="195"/>
      <c r="EB223" s="195"/>
      <c r="EC223" s="195"/>
      <c r="ED223" s="195"/>
      <c r="EE223" s="195"/>
      <c r="EF223" s="195"/>
      <c r="EG223" s="195"/>
      <c r="EH223" s="195"/>
      <c r="EI223" s="195"/>
      <c r="EJ223" s="195"/>
      <c r="EK223" s="195"/>
      <c r="EL223" s="195"/>
      <c r="EM223" s="195"/>
      <c r="EN223" s="195"/>
      <c r="EO223" s="195"/>
      <c r="EP223" s="197">
        <v>168</v>
      </c>
      <c r="EQ223" s="195"/>
      <c r="ER223" s="195"/>
      <c r="ES223" s="195"/>
      <c r="ET223" s="195"/>
      <c r="EU223" s="195"/>
      <c r="EV223" s="195"/>
      <c r="EW223" s="195"/>
      <c r="EX223" s="195"/>
      <c r="EY223" s="195"/>
      <c r="EZ223" s="195"/>
      <c r="FA223" s="195"/>
      <c r="FB223" s="195"/>
      <c r="FC223" s="195"/>
      <c r="FD223" s="195"/>
      <c r="FE223" s="195"/>
      <c r="FF223" s="195"/>
      <c r="FG223" s="195"/>
      <c r="FH223" s="197">
        <v>168</v>
      </c>
      <c r="FI223" s="195"/>
      <c r="FJ223" s="195"/>
      <c r="FK223" s="195"/>
      <c r="FL223" s="195"/>
      <c r="FM223" s="195"/>
      <c r="FN223" s="195"/>
      <c r="FO223" s="195"/>
      <c r="FP223" s="195"/>
      <c r="FQ223" s="195"/>
      <c r="FR223" s="195"/>
      <c r="FS223" s="195"/>
      <c r="FT223" s="195"/>
      <c r="FU223" s="195"/>
      <c r="FV223" s="195"/>
      <c r="FW223" s="195"/>
      <c r="FX223" s="195"/>
      <c r="FY223" s="195"/>
    </row>
    <row r="224" spans="2:181" x14ac:dyDescent="0.25">
      <c r="B224" s="12">
        <v>169</v>
      </c>
      <c r="C224" s="195"/>
      <c r="D224" s="195"/>
      <c r="E224" s="195"/>
      <c r="F224" s="195"/>
      <c r="G224" s="195"/>
      <c r="H224" s="195"/>
      <c r="I224" s="195"/>
      <c r="J224" s="195"/>
      <c r="K224" s="195"/>
      <c r="L224" s="195"/>
      <c r="M224" s="195"/>
      <c r="N224" s="195"/>
      <c r="O224" s="195"/>
      <c r="P224" s="195"/>
      <c r="Q224" s="195"/>
      <c r="R224" s="195"/>
      <c r="S224" s="195"/>
      <c r="T224" s="12">
        <v>169</v>
      </c>
      <c r="U224" s="195"/>
      <c r="V224" s="195"/>
      <c r="W224" s="195"/>
      <c r="X224" s="195"/>
      <c r="Y224" s="195"/>
      <c r="Z224" s="195"/>
      <c r="AA224" s="195"/>
      <c r="AB224" s="195"/>
      <c r="AC224" s="195"/>
      <c r="AD224" s="195"/>
      <c r="AE224" s="195"/>
      <c r="AF224" s="195"/>
      <c r="AG224" s="195"/>
      <c r="AH224" s="195"/>
      <c r="AI224" s="195"/>
      <c r="AJ224" s="195"/>
      <c r="AK224" s="195"/>
      <c r="AL224" s="12">
        <v>169</v>
      </c>
      <c r="AM224" s="195"/>
      <c r="AN224" s="195"/>
      <c r="AO224" s="195"/>
      <c r="AP224" s="195"/>
      <c r="AQ224" s="195"/>
      <c r="AR224" s="195"/>
      <c r="AS224" s="195"/>
      <c r="AT224" s="195"/>
      <c r="AU224" s="195"/>
      <c r="AV224" s="195"/>
      <c r="AW224" s="195"/>
      <c r="AX224" s="195"/>
      <c r="AY224" s="195"/>
      <c r="AZ224" s="195"/>
      <c r="BA224" s="195"/>
      <c r="BB224" s="195"/>
      <c r="BC224" s="195"/>
      <c r="BD224" s="12">
        <v>169</v>
      </c>
      <c r="BE224" s="195"/>
      <c r="BF224" s="195"/>
      <c r="BG224" s="195"/>
      <c r="BH224" s="195"/>
      <c r="BI224" s="195"/>
      <c r="BJ224" s="195"/>
      <c r="BK224" s="195"/>
      <c r="BL224" s="195"/>
      <c r="BM224" s="195"/>
      <c r="BN224" s="195"/>
      <c r="BO224" s="195"/>
      <c r="BP224" s="195"/>
      <c r="BQ224" s="195"/>
      <c r="BR224" s="195"/>
      <c r="BS224" s="195"/>
      <c r="BT224" s="195"/>
      <c r="BU224" s="195"/>
      <c r="BV224" s="12">
        <v>169</v>
      </c>
      <c r="BW224" s="195"/>
      <c r="BX224" s="195"/>
      <c r="BY224" s="195"/>
      <c r="BZ224" s="195"/>
      <c r="CA224" s="195"/>
      <c r="CB224" s="195"/>
      <c r="CC224" s="195"/>
      <c r="CD224" s="195"/>
      <c r="CE224" s="195"/>
      <c r="CF224" s="195"/>
      <c r="CG224" s="195"/>
      <c r="CH224" s="195"/>
      <c r="CI224" s="195"/>
      <c r="CJ224" s="195"/>
      <c r="CK224" s="195"/>
      <c r="CL224" s="195"/>
      <c r="CM224" s="195"/>
      <c r="CN224" s="12">
        <v>169</v>
      </c>
      <c r="CO224" s="195"/>
      <c r="CP224" s="195"/>
      <c r="CQ224" s="195"/>
      <c r="CR224" s="195"/>
      <c r="CS224" s="195"/>
      <c r="CT224" s="195"/>
      <c r="CU224" s="195"/>
      <c r="CV224" s="195"/>
      <c r="CW224" s="195"/>
      <c r="CX224" s="195"/>
      <c r="CY224" s="195"/>
      <c r="CZ224" s="195"/>
      <c r="DA224" s="195"/>
      <c r="DB224" s="195"/>
      <c r="DC224" s="195"/>
      <c r="DD224" s="195"/>
      <c r="DE224" s="195"/>
      <c r="DF224" s="12">
        <v>169</v>
      </c>
      <c r="DG224" s="195"/>
      <c r="DH224" s="195"/>
      <c r="DI224" s="195"/>
      <c r="DJ224" s="195"/>
      <c r="DK224" s="195"/>
      <c r="DL224" s="195"/>
      <c r="DM224" s="195"/>
      <c r="DN224" s="195"/>
      <c r="DO224" s="195"/>
      <c r="DP224" s="195"/>
      <c r="DQ224" s="195"/>
      <c r="DR224" s="195"/>
      <c r="DS224" s="195"/>
      <c r="DT224" s="195"/>
      <c r="DU224" s="195"/>
      <c r="DV224" s="195"/>
      <c r="DW224" s="195"/>
      <c r="DX224" s="12">
        <v>169</v>
      </c>
      <c r="DY224" s="195"/>
      <c r="DZ224" s="195"/>
      <c r="EA224" s="195"/>
      <c r="EB224" s="195"/>
      <c r="EC224" s="195"/>
      <c r="ED224" s="195"/>
      <c r="EE224" s="195"/>
      <c r="EF224" s="195"/>
      <c r="EG224" s="195"/>
      <c r="EH224" s="195"/>
      <c r="EI224" s="195"/>
      <c r="EJ224" s="195"/>
      <c r="EK224" s="195"/>
      <c r="EL224" s="195"/>
      <c r="EM224" s="195"/>
      <c r="EN224" s="195"/>
      <c r="EO224" s="195"/>
      <c r="EP224" s="12">
        <v>169</v>
      </c>
      <c r="EQ224" s="195"/>
      <c r="ER224" s="195"/>
      <c r="ES224" s="195"/>
      <c r="ET224" s="195"/>
      <c r="EU224" s="195"/>
      <c r="EV224" s="195"/>
      <c r="EW224" s="195"/>
      <c r="EX224" s="195"/>
      <c r="EY224" s="195"/>
      <c r="EZ224" s="195"/>
      <c r="FA224" s="195"/>
      <c r="FB224" s="195"/>
      <c r="FC224" s="195"/>
      <c r="FD224" s="195"/>
      <c r="FE224" s="195"/>
      <c r="FF224" s="195"/>
      <c r="FG224" s="195"/>
      <c r="FH224" s="12">
        <v>169</v>
      </c>
      <c r="FI224" s="195"/>
      <c r="FJ224" s="195"/>
      <c r="FK224" s="195"/>
      <c r="FL224" s="195"/>
      <c r="FM224" s="195"/>
      <c r="FN224" s="195"/>
      <c r="FO224" s="195"/>
      <c r="FP224" s="195"/>
      <c r="FQ224" s="195"/>
      <c r="FR224" s="195"/>
      <c r="FS224" s="195"/>
      <c r="FT224" s="195"/>
      <c r="FU224" s="195"/>
      <c r="FV224" s="195"/>
      <c r="FW224" s="195"/>
      <c r="FX224" s="195"/>
      <c r="FY224" s="195"/>
    </row>
    <row r="225" spans="2:181" x14ac:dyDescent="0.25">
      <c r="B225" s="197">
        <v>170</v>
      </c>
      <c r="C225" s="195"/>
      <c r="D225" s="195"/>
      <c r="E225" s="195"/>
      <c r="F225" s="195"/>
      <c r="G225" s="195"/>
      <c r="H225" s="195"/>
      <c r="I225" s="195"/>
      <c r="J225" s="195"/>
      <c r="K225" s="195"/>
      <c r="L225" s="195"/>
      <c r="M225" s="195"/>
      <c r="N225" s="195"/>
      <c r="O225" s="195"/>
      <c r="P225" s="195"/>
      <c r="Q225" s="195"/>
      <c r="R225" s="195"/>
      <c r="S225" s="195"/>
      <c r="T225" s="197">
        <v>170</v>
      </c>
      <c r="U225" s="195"/>
      <c r="V225" s="195"/>
      <c r="W225" s="195"/>
      <c r="X225" s="195"/>
      <c r="Y225" s="195"/>
      <c r="Z225" s="195"/>
      <c r="AA225" s="195"/>
      <c r="AB225" s="195"/>
      <c r="AC225" s="195"/>
      <c r="AD225" s="195"/>
      <c r="AE225" s="195"/>
      <c r="AF225" s="195"/>
      <c r="AG225" s="195"/>
      <c r="AH225" s="195"/>
      <c r="AI225" s="195"/>
      <c r="AJ225" s="195"/>
      <c r="AK225" s="195"/>
      <c r="AL225" s="197">
        <v>170</v>
      </c>
      <c r="AM225" s="195"/>
      <c r="AN225" s="195"/>
      <c r="AO225" s="195"/>
      <c r="AP225" s="195"/>
      <c r="AQ225" s="195"/>
      <c r="AR225" s="195"/>
      <c r="AS225" s="195"/>
      <c r="AT225" s="195"/>
      <c r="AU225" s="195"/>
      <c r="AV225" s="195"/>
      <c r="AW225" s="195"/>
      <c r="AX225" s="195"/>
      <c r="AY225" s="195"/>
      <c r="AZ225" s="195"/>
      <c r="BA225" s="195"/>
      <c r="BB225" s="195"/>
      <c r="BC225" s="195"/>
      <c r="BD225" s="197">
        <v>170</v>
      </c>
      <c r="BE225" s="195"/>
      <c r="BF225" s="195"/>
      <c r="BG225" s="195"/>
      <c r="BH225" s="195"/>
      <c r="BI225" s="195"/>
      <c r="BJ225" s="195"/>
      <c r="BK225" s="195"/>
      <c r="BL225" s="195"/>
      <c r="BM225" s="195"/>
      <c r="BN225" s="195"/>
      <c r="BO225" s="195"/>
      <c r="BP225" s="195"/>
      <c r="BQ225" s="195"/>
      <c r="BR225" s="195"/>
      <c r="BS225" s="195"/>
      <c r="BT225" s="195"/>
      <c r="BU225" s="195"/>
      <c r="BV225" s="197">
        <v>170</v>
      </c>
      <c r="BW225" s="195"/>
      <c r="BX225" s="195"/>
      <c r="BY225" s="195"/>
      <c r="BZ225" s="195"/>
      <c r="CA225" s="195"/>
      <c r="CB225" s="195"/>
      <c r="CC225" s="195"/>
      <c r="CD225" s="195"/>
      <c r="CE225" s="195"/>
      <c r="CF225" s="195"/>
      <c r="CG225" s="195"/>
      <c r="CH225" s="195"/>
      <c r="CI225" s="195"/>
      <c r="CJ225" s="195"/>
      <c r="CK225" s="195"/>
      <c r="CL225" s="195"/>
      <c r="CM225" s="195"/>
      <c r="CN225" s="197">
        <v>170</v>
      </c>
      <c r="CO225" s="195"/>
      <c r="CP225" s="195"/>
      <c r="CQ225" s="195"/>
      <c r="CR225" s="195"/>
      <c r="CS225" s="195"/>
      <c r="CT225" s="195"/>
      <c r="CU225" s="195"/>
      <c r="CV225" s="195"/>
      <c r="CW225" s="195"/>
      <c r="CX225" s="195"/>
      <c r="CY225" s="195"/>
      <c r="CZ225" s="195"/>
      <c r="DA225" s="195"/>
      <c r="DB225" s="195"/>
      <c r="DC225" s="195"/>
      <c r="DD225" s="195"/>
      <c r="DE225" s="195"/>
      <c r="DF225" s="197">
        <v>170</v>
      </c>
      <c r="DG225" s="195"/>
      <c r="DH225" s="195"/>
      <c r="DI225" s="195"/>
      <c r="DJ225" s="195"/>
      <c r="DK225" s="195"/>
      <c r="DL225" s="195"/>
      <c r="DM225" s="195"/>
      <c r="DN225" s="195"/>
      <c r="DO225" s="195"/>
      <c r="DP225" s="195"/>
      <c r="DQ225" s="195"/>
      <c r="DR225" s="195"/>
      <c r="DS225" s="195"/>
      <c r="DT225" s="195"/>
      <c r="DU225" s="195"/>
      <c r="DV225" s="195"/>
      <c r="DW225" s="195"/>
      <c r="DX225" s="197">
        <v>170</v>
      </c>
      <c r="DY225" s="195"/>
      <c r="DZ225" s="195"/>
      <c r="EA225" s="195"/>
      <c r="EB225" s="195"/>
      <c r="EC225" s="195"/>
      <c r="ED225" s="195"/>
      <c r="EE225" s="195"/>
      <c r="EF225" s="195"/>
      <c r="EG225" s="195"/>
      <c r="EH225" s="195"/>
      <c r="EI225" s="195"/>
      <c r="EJ225" s="195"/>
      <c r="EK225" s="195"/>
      <c r="EL225" s="195"/>
      <c r="EM225" s="195"/>
      <c r="EN225" s="195"/>
      <c r="EO225" s="195"/>
      <c r="EP225" s="197">
        <v>170</v>
      </c>
      <c r="EQ225" s="195"/>
      <c r="ER225" s="195"/>
      <c r="ES225" s="195"/>
      <c r="ET225" s="195"/>
      <c r="EU225" s="195"/>
      <c r="EV225" s="195"/>
      <c r="EW225" s="195"/>
      <c r="EX225" s="195"/>
      <c r="EY225" s="195"/>
      <c r="EZ225" s="195"/>
      <c r="FA225" s="195"/>
      <c r="FB225" s="195"/>
      <c r="FC225" s="195"/>
      <c r="FD225" s="195"/>
      <c r="FE225" s="195"/>
      <c r="FF225" s="195"/>
      <c r="FG225" s="195"/>
      <c r="FH225" s="197">
        <v>170</v>
      </c>
      <c r="FI225" s="195"/>
      <c r="FJ225" s="195"/>
      <c r="FK225" s="195"/>
      <c r="FL225" s="195"/>
      <c r="FM225" s="195"/>
      <c r="FN225" s="195"/>
      <c r="FO225" s="195"/>
      <c r="FP225" s="195"/>
      <c r="FQ225" s="195"/>
      <c r="FR225" s="195"/>
      <c r="FS225" s="195"/>
      <c r="FT225" s="195"/>
      <c r="FU225" s="195"/>
      <c r="FV225" s="195"/>
      <c r="FW225" s="195"/>
      <c r="FX225" s="195"/>
      <c r="FY225" s="195"/>
    </row>
    <row r="226" spans="2:181" x14ac:dyDescent="0.25">
      <c r="B226" s="12">
        <v>171</v>
      </c>
      <c r="C226" s="195"/>
      <c r="D226" s="195"/>
      <c r="E226" s="195"/>
      <c r="F226" s="195"/>
      <c r="G226" s="195"/>
      <c r="H226" s="195"/>
      <c r="I226" s="195"/>
      <c r="J226" s="195"/>
      <c r="K226" s="195"/>
      <c r="L226" s="195"/>
      <c r="M226" s="195"/>
      <c r="N226" s="195"/>
      <c r="O226" s="195"/>
      <c r="P226" s="195"/>
      <c r="Q226" s="195"/>
      <c r="R226" s="195"/>
      <c r="S226" s="195"/>
      <c r="T226" s="12">
        <v>171</v>
      </c>
      <c r="U226" s="195"/>
      <c r="V226" s="195"/>
      <c r="W226" s="195"/>
      <c r="X226" s="195"/>
      <c r="Y226" s="195"/>
      <c r="Z226" s="195"/>
      <c r="AA226" s="195"/>
      <c r="AB226" s="195"/>
      <c r="AC226" s="195"/>
      <c r="AD226" s="195"/>
      <c r="AE226" s="195"/>
      <c r="AF226" s="195"/>
      <c r="AG226" s="195"/>
      <c r="AH226" s="195"/>
      <c r="AI226" s="195"/>
      <c r="AJ226" s="195"/>
      <c r="AK226" s="195"/>
      <c r="AL226" s="12">
        <v>171</v>
      </c>
      <c r="AM226" s="195"/>
      <c r="AN226" s="195"/>
      <c r="AO226" s="195"/>
      <c r="AP226" s="195"/>
      <c r="AQ226" s="195"/>
      <c r="AR226" s="195"/>
      <c r="AS226" s="195"/>
      <c r="AT226" s="195"/>
      <c r="AU226" s="195"/>
      <c r="AV226" s="195"/>
      <c r="AW226" s="195"/>
      <c r="AX226" s="195"/>
      <c r="AY226" s="195"/>
      <c r="AZ226" s="195"/>
      <c r="BA226" s="195"/>
      <c r="BB226" s="195"/>
      <c r="BC226" s="195"/>
      <c r="BD226" s="12">
        <v>171</v>
      </c>
      <c r="BE226" s="195"/>
      <c r="BF226" s="195"/>
      <c r="BG226" s="195"/>
      <c r="BH226" s="195"/>
      <c r="BI226" s="195"/>
      <c r="BJ226" s="195"/>
      <c r="BK226" s="195"/>
      <c r="BL226" s="195"/>
      <c r="BM226" s="195"/>
      <c r="BN226" s="195"/>
      <c r="BO226" s="195"/>
      <c r="BP226" s="195"/>
      <c r="BQ226" s="195"/>
      <c r="BR226" s="195"/>
      <c r="BS226" s="195"/>
      <c r="BT226" s="195"/>
      <c r="BU226" s="195"/>
      <c r="BV226" s="12">
        <v>171</v>
      </c>
      <c r="BW226" s="195"/>
      <c r="BX226" s="195"/>
      <c r="BY226" s="195"/>
      <c r="BZ226" s="195"/>
      <c r="CA226" s="195"/>
      <c r="CB226" s="195"/>
      <c r="CC226" s="195"/>
      <c r="CD226" s="195"/>
      <c r="CE226" s="195"/>
      <c r="CF226" s="195"/>
      <c r="CG226" s="195"/>
      <c r="CH226" s="195"/>
      <c r="CI226" s="195"/>
      <c r="CJ226" s="195"/>
      <c r="CK226" s="195"/>
      <c r="CL226" s="195"/>
      <c r="CM226" s="195"/>
      <c r="CN226" s="12">
        <v>171</v>
      </c>
      <c r="CO226" s="195"/>
      <c r="CP226" s="195"/>
      <c r="CQ226" s="195"/>
      <c r="CR226" s="195"/>
      <c r="CS226" s="195"/>
      <c r="CT226" s="195"/>
      <c r="CU226" s="195"/>
      <c r="CV226" s="195"/>
      <c r="CW226" s="195"/>
      <c r="CX226" s="195"/>
      <c r="CY226" s="195"/>
      <c r="CZ226" s="195"/>
      <c r="DA226" s="195"/>
      <c r="DB226" s="195"/>
      <c r="DC226" s="195"/>
      <c r="DD226" s="195"/>
      <c r="DE226" s="195"/>
      <c r="DF226" s="12">
        <v>171</v>
      </c>
      <c r="DG226" s="195"/>
      <c r="DH226" s="195"/>
      <c r="DI226" s="195"/>
      <c r="DJ226" s="195"/>
      <c r="DK226" s="195"/>
      <c r="DL226" s="195"/>
      <c r="DM226" s="195"/>
      <c r="DN226" s="195"/>
      <c r="DO226" s="195"/>
      <c r="DP226" s="195"/>
      <c r="DQ226" s="195"/>
      <c r="DR226" s="195"/>
      <c r="DS226" s="195"/>
      <c r="DT226" s="195"/>
      <c r="DU226" s="195"/>
      <c r="DV226" s="195"/>
      <c r="DW226" s="195"/>
      <c r="DX226" s="12">
        <v>171</v>
      </c>
      <c r="DY226" s="195"/>
      <c r="DZ226" s="195"/>
      <c r="EA226" s="195"/>
      <c r="EB226" s="195"/>
      <c r="EC226" s="195"/>
      <c r="ED226" s="195"/>
      <c r="EE226" s="195"/>
      <c r="EF226" s="195"/>
      <c r="EG226" s="195"/>
      <c r="EH226" s="195"/>
      <c r="EI226" s="195"/>
      <c r="EJ226" s="195"/>
      <c r="EK226" s="195"/>
      <c r="EL226" s="195"/>
      <c r="EM226" s="195"/>
      <c r="EN226" s="195"/>
      <c r="EO226" s="195"/>
      <c r="EP226" s="12">
        <v>171</v>
      </c>
      <c r="EQ226" s="195"/>
      <c r="ER226" s="195"/>
      <c r="ES226" s="195"/>
      <c r="ET226" s="195"/>
      <c r="EU226" s="195"/>
      <c r="EV226" s="195"/>
      <c r="EW226" s="195"/>
      <c r="EX226" s="195"/>
      <c r="EY226" s="195"/>
      <c r="EZ226" s="195"/>
      <c r="FA226" s="195"/>
      <c r="FB226" s="195"/>
      <c r="FC226" s="195"/>
      <c r="FD226" s="195"/>
      <c r="FE226" s="195"/>
      <c r="FF226" s="195"/>
      <c r="FG226" s="195"/>
      <c r="FH226" s="12">
        <v>171</v>
      </c>
      <c r="FI226" s="195"/>
      <c r="FJ226" s="195"/>
      <c r="FK226" s="195"/>
      <c r="FL226" s="195"/>
      <c r="FM226" s="195"/>
      <c r="FN226" s="195"/>
      <c r="FO226" s="195"/>
      <c r="FP226" s="195"/>
      <c r="FQ226" s="195"/>
      <c r="FR226" s="195"/>
      <c r="FS226" s="195"/>
      <c r="FT226" s="195"/>
      <c r="FU226" s="195"/>
      <c r="FV226" s="195"/>
      <c r="FW226" s="195"/>
      <c r="FX226" s="195"/>
      <c r="FY226" s="195"/>
    </row>
    <row r="227" spans="2:181" x14ac:dyDescent="0.25">
      <c r="B227" s="197">
        <v>172</v>
      </c>
      <c r="C227" s="195"/>
      <c r="D227" s="195"/>
      <c r="E227" s="195"/>
      <c r="F227" s="195"/>
      <c r="G227" s="195"/>
      <c r="H227" s="195"/>
      <c r="I227" s="195"/>
      <c r="J227" s="195"/>
      <c r="K227" s="195"/>
      <c r="L227" s="195"/>
      <c r="M227" s="195"/>
      <c r="N227" s="195"/>
      <c r="O227" s="195"/>
      <c r="P227" s="195"/>
      <c r="Q227" s="195"/>
      <c r="R227" s="195"/>
      <c r="S227" s="195"/>
      <c r="T227" s="197">
        <v>172</v>
      </c>
      <c r="U227" s="195"/>
      <c r="V227" s="195"/>
      <c r="W227" s="195"/>
      <c r="X227" s="195"/>
      <c r="Y227" s="195"/>
      <c r="Z227" s="195"/>
      <c r="AA227" s="195"/>
      <c r="AB227" s="195"/>
      <c r="AC227" s="195"/>
      <c r="AD227" s="195"/>
      <c r="AE227" s="195"/>
      <c r="AF227" s="195"/>
      <c r="AG227" s="195"/>
      <c r="AH227" s="195"/>
      <c r="AI227" s="195"/>
      <c r="AJ227" s="195"/>
      <c r="AK227" s="195"/>
      <c r="AL227" s="197">
        <v>172</v>
      </c>
      <c r="AM227" s="195"/>
      <c r="AN227" s="195"/>
      <c r="AO227" s="195"/>
      <c r="AP227" s="195"/>
      <c r="AQ227" s="195"/>
      <c r="AR227" s="195"/>
      <c r="AS227" s="195"/>
      <c r="AT227" s="195"/>
      <c r="AU227" s="195"/>
      <c r="AV227" s="195"/>
      <c r="AW227" s="195"/>
      <c r="AX227" s="195"/>
      <c r="AY227" s="195"/>
      <c r="AZ227" s="195"/>
      <c r="BA227" s="195"/>
      <c r="BB227" s="195"/>
      <c r="BC227" s="195"/>
      <c r="BD227" s="197">
        <v>172</v>
      </c>
      <c r="BE227" s="195"/>
      <c r="BF227" s="195"/>
      <c r="BG227" s="195"/>
      <c r="BH227" s="195"/>
      <c r="BI227" s="195"/>
      <c r="BJ227" s="195"/>
      <c r="BK227" s="195"/>
      <c r="BL227" s="195"/>
      <c r="BM227" s="195"/>
      <c r="BN227" s="195"/>
      <c r="BO227" s="195"/>
      <c r="BP227" s="195"/>
      <c r="BQ227" s="195"/>
      <c r="BR227" s="195"/>
      <c r="BS227" s="195"/>
      <c r="BT227" s="195"/>
      <c r="BU227" s="195"/>
      <c r="BV227" s="197">
        <v>172</v>
      </c>
      <c r="BW227" s="195"/>
      <c r="BX227" s="195"/>
      <c r="BY227" s="195"/>
      <c r="BZ227" s="195"/>
      <c r="CA227" s="195"/>
      <c r="CB227" s="195"/>
      <c r="CC227" s="195"/>
      <c r="CD227" s="195"/>
      <c r="CE227" s="195"/>
      <c r="CF227" s="195"/>
      <c r="CG227" s="195"/>
      <c r="CH227" s="195"/>
      <c r="CI227" s="195"/>
      <c r="CJ227" s="195"/>
      <c r="CK227" s="195"/>
      <c r="CL227" s="195"/>
      <c r="CM227" s="195"/>
      <c r="CN227" s="197">
        <v>172</v>
      </c>
      <c r="CO227" s="195"/>
      <c r="CP227" s="195"/>
      <c r="CQ227" s="195"/>
      <c r="CR227" s="195"/>
      <c r="CS227" s="195"/>
      <c r="CT227" s="195"/>
      <c r="CU227" s="195"/>
      <c r="CV227" s="195"/>
      <c r="CW227" s="195"/>
      <c r="CX227" s="195"/>
      <c r="CY227" s="195"/>
      <c r="CZ227" s="195"/>
      <c r="DA227" s="195"/>
      <c r="DB227" s="195"/>
      <c r="DC227" s="195"/>
      <c r="DD227" s="195"/>
      <c r="DE227" s="195"/>
      <c r="DF227" s="197">
        <v>172</v>
      </c>
      <c r="DG227" s="195"/>
      <c r="DH227" s="195"/>
      <c r="DI227" s="195"/>
      <c r="DJ227" s="195"/>
      <c r="DK227" s="195"/>
      <c r="DL227" s="195"/>
      <c r="DM227" s="195"/>
      <c r="DN227" s="195"/>
      <c r="DO227" s="195"/>
      <c r="DP227" s="195"/>
      <c r="DQ227" s="195"/>
      <c r="DR227" s="195"/>
      <c r="DS227" s="195"/>
      <c r="DT227" s="195"/>
      <c r="DU227" s="195"/>
      <c r="DV227" s="195"/>
      <c r="DW227" s="195"/>
      <c r="DX227" s="197">
        <v>172</v>
      </c>
      <c r="DY227" s="195"/>
      <c r="DZ227" s="195"/>
      <c r="EA227" s="195"/>
      <c r="EB227" s="195"/>
      <c r="EC227" s="195"/>
      <c r="ED227" s="195"/>
      <c r="EE227" s="195"/>
      <c r="EF227" s="195"/>
      <c r="EG227" s="195"/>
      <c r="EH227" s="195"/>
      <c r="EI227" s="195"/>
      <c r="EJ227" s="195"/>
      <c r="EK227" s="195"/>
      <c r="EL227" s="195"/>
      <c r="EM227" s="195"/>
      <c r="EN227" s="195"/>
      <c r="EO227" s="195"/>
      <c r="EP227" s="197">
        <v>172</v>
      </c>
      <c r="EQ227" s="195"/>
      <c r="ER227" s="195"/>
      <c r="ES227" s="195"/>
      <c r="ET227" s="195"/>
      <c r="EU227" s="195"/>
      <c r="EV227" s="195"/>
      <c r="EW227" s="195"/>
      <c r="EX227" s="195"/>
      <c r="EY227" s="195"/>
      <c r="EZ227" s="195"/>
      <c r="FA227" s="195"/>
      <c r="FB227" s="195"/>
      <c r="FC227" s="195"/>
      <c r="FD227" s="195"/>
      <c r="FE227" s="195"/>
      <c r="FF227" s="195"/>
      <c r="FG227" s="195"/>
      <c r="FH227" s="197">
        <v>172</v>
      </c>
      <c r="FI227" s="195"/>
      <c r="FJ227" s="195"/>
      <c r="FK227" s="195"/>
      <c r="FL227" s="195"/>
      <c r="FM227" s="195"/>
      <c r="FN227" s="195"/>
      <c r="FO227" s="195"/>
      <c r="FP227" s="195"/>
      <c r="FQ227" s="195"/>
      <c r="FR227" s="195"/>
      <c r="FS227" s="195"/>
      <c r="FT227" s="195"/>
      <c r="FU227" s="195"/>
      <c r="FV227" s="195"/>
      <c r="FW227" s="195"/>
      <c r="FX227" s="195"/>
      <c r="FY227" s="195"/>
    </row>
    <row r="228" spans="2:181" x14ac:dyDescent="0.25">
      <c r="B228" s="12">
        <v>173</v>
      </c>
      <c r="C228" s="195"/>
      <c r="D228" s="195"/>
      <c r="E228" s="195"/>
      <c r="F228" s="195"/>
      <c r="G228" s="195"/>
      <c r="H228" s="195"/>
      <c r="I228" s="195"/>
      <c r="J228" s="195"/>
      <c r="K228" s="195"/>
      <c r="L228" s="195"/>
      <c r="M228" s="195"/>
      <c r="N228" s="195"/>
      <c r="O228" s="195"/>
      <c r="P228" s="195"/>
      <c r="Q228" s="195"/>
      <c r="R228" s="195"/>
      <c r="S228" s="195"/>
      <c r="T228" s="12">
        <v>173</v>
      </c>
      <c r="U228" s="195"/>
      <c r="V228" s="195"/>
      <c r="W228" s="195"/>
      <c r="X228" s="195"/>
      <c r="Y228" s="195"/>
      <c r="Z228" s="195"/>
      <c r="AA228" s="195"/>
      <c r="AB228" s="195"/>
      <c r="AC228" s="195"/>
      <c r="AD228" s="195"/>
      <c r="AE228" s="195"/>
      <c r="AF228" s="195"/>
      <c r="AG228" s="195"/>
      <c r="AH228" s="195"/>
      <c r="AI228" s="195"/>
      <c r="AJ228" s="195"/>
      <c r="AK228" s="195"/>
      <c r="AL228" s="12">
        <v>173</v>
      </c>
      <c r="AM228" s="195"/>
      <c r="AN228" s="195"/>
      <c r="AO228" s="195"/>
      <c r="AP228" s="195"/>
      <c r="AQ228" s="195"/>
      <c r="AR228" s="195"/>
      <c r="AS228" s="195"/>
      <c r="AT228" s="195"/>
      <c r="AU228" s="195"/>
      <c r="AV228" s="195"/>
      <c r="AW228" s="195"/>
      <c r="AX228" s="195"/>
      <c r="AY228" s="195"/>
      <c r="AZ228" s="195"/>
      <c r="BA228" s="195"/>
      <c r="BB228" s="195"/>
      <c r="BC228" s="195"/>
      <c r="BD228" s="12">
        <v>173</v>
      </c>
      <c r="BE228" s="195"/>
      <c r="BF228" s="195"/>
      <c r="BG228" s="195"/>
      <c r="BH228" s="195"/>
      <c r="BI228" s="195"/>
      <c r="BJ228" s="195"/>
      <c r="BK228" s="195"/>
      <c r="BL228" s="195"/>
      <c r="BM228" s="195"/>
      <c r="BN228" s="195"/>
      <c r="BO228" s="195"/>
      <c r="BP228" s="195"/>
      <c r="BQ228" s="195"/>
      <c r="BR228" s="195"/>
      <c r="BS228" s="195"/>
      <c r="BT228" s="195"/>
      <c r="BU228" s="195"/>
      <c r="BV228" s="12">
        <v>173</v>
      </c>
      <c r="BW228" s="195"/>
      <c r="BX228" s="195"/>
      <c r="BY228" s="195"/>
      <c r="BZ228" s="195"/>
      <c r="CA228" s="195"/>
      <c r="CB228" s="195"/>
      <c r="CC228" s="195"/>
      <c r="CD228" s="195"/>
      <c r="CE228" s="195"/>
      <c r="CF228" s="195"/>
      <c r="CG228" s="195"/>
      <c r="CH228" s="195"/>
      <c r="CI228" s="195"/>
      <c r="CJ228" s="195"/>
      <c r="CK228" s="195"/>
      <c r="CL228" s="195"/>
      <c r="CM228" s="195"/>
      <c r="CN228" s="12">
        <v>173</v>
      </c>
      <c r="CO228" s="195"/>
      <c r="CP228" s="195"/>
      <c r="CQ228" s="195"/>
      <c r="CR228" s="195"/>
      <c r="CS228" s="195"/>
      <c r="CT228" s="195"/>
      <c r="CU228" s="195"/>
      <c r="CV228" s="195"/>
      <c r="CW228" s="195"/>
      <c r="CX228" s="195"/>
      <c r="CY228" s="195"/>
      <c r="CZ228" s="195"/>
      <c r="DA228" s="195"/>
      <c r="DB228" s="195"/>
      <c r="DC228" s="195"/>
      <c r="DD228" s="195"/>
      <c r="DE228" s="195"/>
      <c r="DF228" s="12">
        <v>173</v>
      </c>
      <c r="DG228" s="195"/>
      <c r="DH228" s="195"/>
      <c r="DI228" s="195"/>
      <c r="DJ228" s="195"/>
      <c r="DK228" s="195"/>
      <c r="DL228" s="195"/>
      <c r="DM228" s="195"/>
      <c r="DN228" s="195"/>
      <c r="DO228" s="195"/>
      <c r="DP228" s="195"/>
      <c r="DQ228" s="195"/>
      <c r="DR228" s="195"/>
      <c r="DS228" s="195"/>
      <c r="DT228" s="195"/>
      <c r="DU228" s="195"/>
      <c r="DV228" s="195"/>
      <c r="DW228" s="195"/>
      <c r="DX228" s="12">
        <v>173</v>
      </c>
      <c r="DY228" s="195"/>
      <c r="DZ228" s="195"/>
      <c r="EA228" s="195"/>
      <c r="EB228" s="195"/>
      <c r="EC228" s="195"/>
      <c r="ED228" s="195"/>
      <c r="EE228" s="195"/>
      <c r="EF228" s="195"/>
      <c r="EG228" s="195"/>
      <c r="EH228" s="195"/>
      <c r="EI228" s="195"/>
      <c r="EJ228" s="195"/>
      <c r="EK228" s="195"/>
      <c r="EL228" s="195"/>
      <c r="EM228" s="195"/>
      <c r="EN228" s="195"/>
      <c r="EO228" s="195"/>
      <c r="EP228" s="12">
        <v>173</v>
      </c>
      <c r="EQ228" s="195"/>
      <c r="ER228" s="195"/>
      <c r="ES228" s="195"/>
      <c r="ET228" s="195"/>
      <c r="EU228" s="195"/>
      <c r="EV228" s="195"/>
      <c r="EW228" s="195"/>
      <c r="EX228" s="195"/>
      <c r="EY228" s="195"/>
      <c r="EZ228" s="195"/>
      <c r="FA228" s="195"/>
      <c r="FB228" s="195"/>
      <c r="FC228" s="195"/>
      <c r="FD228" s="195"/>
      <c r="FE228" s="195"/>
      <c r="FF228" s="195"/>
      <c r="FG228" s="195"/>
      <c r="FH228" s="12">
        <v>173</v>
      </c>
      <c r="FI228" s="195"/>
      <c r="FJ228" s="195"/>
      <c r="FK228" s="195"/>
      <c r="FL228" s="195"/>
      <c r="FM228" s="195"/>
      <c r="FN228" s="195"/>
      <c r="FO228" s="195"/>
      <c r="FP228" s="195"/>
      <c r="FQ228" s="195"/>
      <c r="FR228" s="195"/>
      <c r="FS228" s="195"/>
      <c r="FT228" s="195"/>
      <c r="FU228" s="195"/>
      <c r="FV228" s="195"/>
      <c r="FW228" s="195"/>
      <c r="FX228" s="195"/>
      <c r="FY228" s="195"/>
    </row>
    <row r="229" spans="2:181" x14ac:dyDescent="0.25">
      <c r="B229" s="197">
        <v>174</v>
      </c>
      <c r="C229" s="195"/>
      <c r="D229" s="195"/>
      <c r="E229" s="195"/>
      <c r="F229" s="195"/>
      <c r="G229" s="195"/>
      <c r="H229" s="195"/>
      <c r="I229" s="195"/>
      <c r="J229" s="195"/>
      <c r="K229" s="195"/>
      <c r="L229" s="195"/>
      <c r="M229" s="195"/>
      <c r="N229" s="195"/>
      <c r="O229" s="195"/>
      <c r="P229" s="195"/>
      <c r="Q229" s="195"/>
      <c r="R229" s="195"/>
      <c r="S229" s="195"/>
      <c r="T229" s="197">
        <v>174</v>
      </c>
      <c r="U229" s="195"/>
      <c r="V229" s="195"/>
      <c r="W229" s="195"/>
      <c r="X229" s="195"/>
      <c r="Y229" s="195"/>
      <c r="Z229" s="195"/>
      <c r="AA229" s="195"/>
      <c r="AB229" s="195"/>
      <c r="AC229" s="195"/>
      <c r="AD229" s="195"/>
      <c r="AE229" s="195"/>
      <c r="AF229" s="195"/>
      <c r="AG229" s="195"/>
      <c r="AH229" s="195"/>
      <c r="AI229" s="195"/>
      <c r="AJ229" s="195"/>
      <c r="AK229" s="195"/>
      <c r="AL229" s="197">
        <v>174</v>
      </c>
      <c r="AM229" s="195"/>
      <c r="AN229" s="195"/>
      <c r="AO229" s="195"/>
      <c r="AP229" s="195"/>
      <c r="AQ229" s="195"/>
      <c r="AR229" s="195"/>
      <c r="AS229" s="195"/>
      <c r="AT229" s="195"/>
      <c r="AU229" s="195"/>
      <c r="AV229" s="195"/>
      <c r="AW229" s="195"/>
      <c r="AX229" s="195"/>
      <c r="AY229" s="195"/>
      <c r="AZ229" s="195"/>
      <c r="BA229" s="195"/>
      <c r="BB229" s="195"/>
      <c r="BC229" s="195"/>
      <c r="BD229" s="197">
        <v>174</v>
      </c>
      <c r="BE229" s="195"/>
      <c r="BF229" s="195"/>
      <c r="BG229" s="195"/>
      <c r="BH229" s="195"/>
      <c r="BI229" s="195"/>
      <c r="BJ229" s="195"/>
      <c r="BK229" s="195"/>
      <c r="BL229" s="195"/>
      <c r="BM229" s="195"/>
      <c r="BN229" s="195"/>
      <c r="BO229" s="195"/>
      <c r="BP229" s="195"/>
      <c r="BQ229" s="195"/>
      <c r="BR229" s="195"/>
      <c r="BS229" s="195"/>
      <c r="BT229" s="195"/>
      <c r="BU229" s="195"/>
      <c r="BV229" s="197">
        <v>174</v>
      </c>
      <c r="BW229" s="195"/>
      <c r="BX229" s="195"/>
      <c r="BY229" s="195"/>
      <c r="BZ229" s="195"/>
      <c r="CA229" s="195"/>
      <c r="CB229" s="195"/>
      <c r="CC229" s="195"/>
      <c r="CD229" s="195"/>
      <c r="CE229" s="195"/>
      <c r="CF229" s="195"/>
      <c r="CG229" s="195"/>
      <c r="CH229" s="195"/>
      <c r="CI229" s="195"/>
      <c r="CJ229" s="195"/>
      <c r="CK229" s="195"/>
      <c r="CL229" s="195"/>
      <c r="CM229" s="195"/>
      <c r="CN229" s="197">
        <v>174</v>
      </c>
      <c r="CO229" s="195"/>
      <c r="CP229" s="195"/>
      <c r="CQ229" s="195"/>
      <c r="CR229" s="195"/>
      <c r="CS229" s="195"/>
      <c r="CT229" s="195"/>
      <c r="CU229" s="195"/>
      <c r="CV229" s="195"/>
      <c r="CW229" s="195"/>
      <c r="CX229" s="195"/>
      <c r="CY229" s="195"/>
      <c r="CZ229" s="195"/>
      <c r="DA229" s="195"/>
      <c r="DB229" s="195"/>
      <c r="DC229" s="195"/>
      <c r="DD229" s="195"/>
      <c r="DE229" s="195"/>
      <c r="DF229" s="197">
        <v>174</v>
      </c>
      <c r="DG229" s="195"/>
      <c r="DH229" s="195"/>
      <c r="DI229" s="195"/>
      <c r="DJ229" s="195"/>
      <c r="DK229" s="195"/>
      <c r="DL229" s="195"/>
      <c r="DM229" s="195"/>
      <c r="DN229" s="195"/>
      <c r="DO229" s="195"/>
      <c r="DP229" s="195"/>
      <c r="DQ229" s="195"/>
      <c r="DR229" s="195"/>
      <c r="DS229" s="195"/>
      <c r="DT229" s="195"/>
      <c r="DU229" s="195"/>
      <c r="DV229" s="195"/>
      <c r="DW229" s="195"/>
      <c r="DX229" s="197">
        <v>174</v>
      </c>
      <c r="DY229" s="195"/>
      <c r="DZ229" s="195"/>
      <c r="EA229" s="195"/>
      <c r="EB229" s="195"/>
      <c r="EC229" s="195"/>
      <c r="ED229" s="195"/>
      <c r="EE229" s="195"/>
      <c r="EF229" s="195"/>
      <c r="EG229" s="195"/>
      <c r="EH229" s="195"/>
      <c r="EI229" s="195"/>
      <c r="EJ229" s="195"/>
      <c r="EK229" s="195"/>
      <c r="EL229" s="195"/>
      <c r="EM229" s="195"/>
      <c r="EN229" s="195"/>
      <c r="EO229" s="195"/>
      <c r="EP229" s="197">
        <v>174</v>
      </c>
      <c r="EQ229" s="195"/>
      <c r="ER229" s="195"/>
      <c r="ES229" s="195"/>
      <c r="ET229" s="195"/>
      <c r="EU229" s="195"/>
      <c r="EV229" s="195"/>
      <c r="EW229" s="195"/>
      <c r="EX229" s="195"/>
      <c r="EY229" s="195"/>
      <c r="EZ229" s="195"/>
      <c r="FA229" s="195"/>
      <c r="FB229" s="195"/>
      <c r="FC229" s="195"/>
      <c r="FD229" s="195"/>
      <c r="FE229" s="195"/>
      <c r="FF229" s="195"/>
      <c r="FG229" s="195"/>
      <c r="FH229" s="197">
        <v>174</v>
      </c>
      <c r="FI229" s="195"/>
      <c r="FJ229" s="195"/>
      <c r="FK229" s="195"/>
      <c r="FL229" s="195"/>
      <c r="FM229" s="195"/>
      <c r="FN229" s="195"/>
      <c r="FO229" s="195"/>
      <c r="FP229" s="195"/>
      <c r="FQ229" s="195"/>
      <c r="FR229" s="195"/>
      <c r="FS229" s="195"/>
      <c r="FT229" s="195"/>
      <c r="FU229" s="195"/>
      <c r="FV229" s="195"/>
      <c r="FW229" s="195"/>
      <c r="FX229" s="195"/>
      <c r="FY229" s="195"/>
    </row>
    <row r="230" spans="2:181" x14ac:dyDescent="0.25">
      <c r="B230" s="12">
        <v>175</v>
      </c>
      <c r="C230" s="195"/>
      <c r="D230" s="195"/>
      <c r="E230" s="195"/>
      <c r="F230" s="195"/>
      <c r="G230" s="195"/>
      <c r="H230" s="195"/>
      <c r="I230" s="195"/>
      <c r="J230" s="195"/>
      <c r="K230" s="195"/>
      <c r="L230" s="195"/>
      <c r="M230" s="195"/>
      <c r="N230" s="195"/>
      <c r="O230" s="195"/>
      <c r="P230" s="195"/>
      <c r="Q230" s="195"/>
      <c r="R230" s="195"/>
      <c r="S230" s="195"/>
      <c r="T230" s="12">
        <v>175</v>
      </c>
      <c r="U230" s="195"/>
      <c r="V230" s="195"/>
      <c r="W230" s="195"/>
      <c r="X230" s="195"/>
      <c r="Y230" s="195"/>
      <c r="Z230" s="195"/>
      <c r="AA230" s="195"/>
      <c r="AB230" s="195"/>
      <c r="AC230" s="195"/>
      <c r="AD230" s="195"/>
      <c r="AE230" s="195"/>
      <c r="AF230" s="195"/>
      <c r="AG230" s="195"/>
      <c r="AH230" s="195"/>
      <c r="AI230" s="195"/>
      <c r="AJ230" s="195"/>
      <c r="AK230" s="195"/>
      <c r="AL230" s="12">
        <v>175</v>
      </c>
      <c r="AM230" s="195"/>
      <c r="AN230" s="195"/>
      <c r="AO230" s="195"/>
      <c r="AP230" s="195"/>
      <c r="AQ230" s="195"/>
      <c r="AR230" s="195"/>
      <c r="AS230" s="195"/>
      <c r="AT230" s="195"/>
      <c r="AU230" s="195"/>
      <c r="AV230" s="195"/>
      <c r="AW230" s="195"/>
      <c r="AX230" s="195"/>
      <c r="AY230" s="195"/>
      <c r="AZ230" s="195"/>
      <c r="BA230" s="195"/>
      <c r="BB230" s="195"/>
      <c r="BC230" s="195"/>
      <c r="BD230" s="12">
        <v>175</v>
      </c>
      <c r="BE230" s="195"/>
      <c r="BF230" s="195"/>
      <c r="BG230" s="195"/>
      <c r="BH230" s="195"/>
      <c r="BI230" s="195"/>
      <c r="BJ230" s="195"/>
      <c r="BK230" s="195"/>
      <c r="BL230" s="195"/>
      <c r="BM230" s="195"/>
      <c r="BN230" s="195"/>
      <c r="BO230" s="195"/>
      <c r="BP230" s="195"/>
      <c r="BQ230" s="195"/>
      <c r="BR230" s="195"/>
      <c r="BS230" s="195"/>
      <c r="BT230" s="195"/>
      <c r="BU230" s="195"/>
      <c r="BV230" s="12">
        <v>175</v>
      </c>
      <c r="BW230" s="195"/>
      <c r="BX230" s="195"/>
      <c r="BY230" s="195"/>
      <c r="BZ230" s="195"/>
      <c r="CA230" s="195"/>
      <c r="CB230" s="195"/>
      <c r="CC230" s="195"/>
      <c r="CD230" s="195"/>
      <c r="CE230" s="195"/>
      <c r="CF230" s="195"/>
      <c r="CG230" s="195"/>
      <c r="CH230" s="195"/>
      <c r="CI230" s="195"/>
      <c r="CJ230" s="195"/>
      <c r="CK230" s="195"/>
      <c r="CL230" s="195"/>
      <c r="CM230" s="195"/>
      <c r="CN230" s="12">
        <v>175</v>
      </c>
      <c r="CO230" s="195"/>
      <c r="CP230" s="195"/>
      <c r="CQ230" s="195"/>
      <c r="CR230" s="195"/>
      <c r="CS230" s="195"/>
      <c r="CT230" s="195"/>
      <c r="CU230" s="195"/>
      <c r="CV230" s="195"/>
      <c r="CW230" s="195"/>
      <c r="CX230" s="195"/>
      <c r="CY230" s="195"/>
      <c r="CZ230" s="195"/>
      <c r="DA230" s="195"/>
      <c r="DB230" s="195"/>
      <c r="DC230" s="195"/>
      <c r="DD230" s="195"/>
      <c r="DE230" s="195"/>
      <c r="DF230" s="12">
        <v>175</v>
      </c>
      <c r="DG230" s="195"/>
      <c r="DH230" s="195"/>
      <c r="DI230" s="195"/>
      <c r="DJ230" s="195"/>
      <c r="DK230" s="195"/>
      <c r="DL230" s="195"/>
      <c r="DM230" s="195"/>
      <c r="DN230" s="195"/>
      <c r="DO230" s="195"/>
      <c r="DP230" s="195"/>
      <c r="DQ230" s="195"/>
      <c r="DR230" s="195"/>
      <c r="DS230" s="195"/>
      <c r="DT230" s="195"/>
      <c r="DU230" s="195"/>
      <c r="DV230" s="195"/>
      <c r="DW230" s="195"/>
      <c r="DX230" s="12">
        <v>175</v>
      </c>
      <c r="DY230" s="195"/>
      <c r="DZ230" s="195"/>
      <c r="EA230" s="195"/>
      <c r="EB230" s="195"/>
      <c r="EC230" s="195"/>
      <c r="ED230" s="195"/>
      <c r="EE230" s="195"/>
      <c r="EF230" s="195"/>
      <c r="EG230" s="195"/>
      <c r="EH230" s="195"/>
      <c r="EI230" s="195"/>
      <c r="EJ230" s="195"/>
      <c r="EK230" s="195"/>
      <c r="EL230" s="195"/>
      <c r="EM230" s="195"/>
      <c r="EN230" s="195"/>
      <c r="EO230" s="195"/>
      <c r="EP230" s="12">
        <v>175</v>
      </c>
      <c r="EQ230" s="195"/>
      <c r="ER230" s="195"/>
      <c r="ES230" s="195"/>
      <c r="ET230" s="195"/>
      <c r="EU230" s="195"/>
      <c r="EV230" s="195"/>
      <c r="EW230" s="195"/>
      <c r="EX230" s="195"/>
      <c r="EY230" s="195"/>
      <c r="EZ230" s="195"/>
      <c r="FA230" s="195"/>
      <c r="FB230" s="195"/>
      <c r="FC230" s="195"/>
      <c r="FD230" s="195"/>
      <c r="FE230" s="195"/>
      <c r="FF230" s="195"/>
      <c r="FG230" s="195"/>
      <c r="FH230" s="12">
        <v>175</v>
      </c>
      <c r="FI230" s="195"/>
      <c r="FJ230" s="195"/>
      <c r="FK230" s="195"/>
      <c r="FL230" s="195"/>
      <c r="FM230" s="195"/>
      <c r="FN230" s="195"/>
      <c r="FO230" s="195"/>
      <c r="FP230" s="195"/>
      <c r="FQ230" s="195"/>
      <c r="FR230" s="195"/>
      <c r="FS230" s="195"/>
      <c r="FT230" s="195"/>
      <c r="FU230" s="195"/>
      <c r="FV230" s="195"/>
      <c r="FW230" s="195"/>
      <c r="FX230" s="195"/>
      <c r="FY230" s="195"/>
    </row>
    <row r="231" spans="2:181" x14ac:dyDescent="0.25">
      <c r="B231" s="197">
        <v>176</v>
      </c>
      <c r="C231" s="195"/>
      <c r="D231" s="195"/>
      <c r="E231" s="195"/>
      <c r="F231" s="195"/>
      <c r="G231" s="195"/>
      <c r="H231" s="195"/>
      <c r="I231" s="195"/>
      <c r="J231" s="195"/>
      <c r="K231" s="195"/>
      <c r="L231" s="195"/>
      <c r="M231" s="195"/>
      <c r="N231" s="195"/>
      <c r="O231" s="195"/>
      <c r="P231" s="195"/>
      <c r="Q231" s="195"/>
      <c r="R231" s="195"/>
      <c r="S231" s="195"/>
      <c r="T231" s="197">
        <v>176</v>
      </c>
      <c r="U231" s="195"/>
      <c r="V231" s="195"/>
      <c r="W231" s="195"/>
      <c r="X231" s="195"/>
      <c r="Y231" s="195"/>
      <c r="Z231" s="195"/>
      <c r="AA231" s="195"/>
      <c r="AB231" s="195"/>
      <c r="AC231" s="195"/>
      <c r="AD231" s="195"/>
      <c r="AE231" s="195"/>
      <c r="AF231" s="195"/>
      <c r="AG231" s="195"/>
      <c r="AH231" s="195"/>
      <c r="AI231" s="195"/>
      <c r="AJ231" s="195"/>
      <c r="AK231" s="195"/>
      <c r="AL231" s="197">
        <v>176</v>
      </c>
      <c r="AM231" s="195"/>
      <c r="AN231" s="195"/>
      <c r="AO231" s="195"/>
      <c r="AP231" s="195"/>
      <c r="AQ231" s="195"/>
      <c r="AR231" s="195"/>
      <c r="AS231" s="195"/>
      <c r="AT231" s="195"/>
      <c r="AU231" s="195"/>
      <c r="AV231" s="195"/>
      <c r="AW231" s="195"/>
      <c r="AX231" s="195"/>
      <c r="AY231" s="195"/>
      <c r="AZ231" s="195"/>
      <c r="BA231" s="195"/>
      <c r="BB231" s="195"/>
      <c r="BC231" s="195"/>
      <c r="BD231" s="197">
        <v>176</v>
      </c>
      <c r="BE231" s="195"/>
      <c r="BF231" s="195"/>
      <c r="BG231" s="195"/>
      <c r="BH231" s="195"/>
      <c r="BI231" s="195"/>
      <c r="BJ231" s="195"/>
      <c r="BK231" s="195"/>
      <c r="BL231" s="195"/>
      <c r="BM231" s="195"/>
      <c r="BN231" s="195"/>
      <c r="BO231" s="195"/>
      <c r="BP231" s="195"/>
      <c r="BQ231" s="195"/>
      <c r="BR231" s="195"/>
      <c r="BS231" s="195"/>
      <c r="BT231" s="195"/>
      <c r="BU231" s="195"/>
      <c r="BV231" s="197">
        <v>176</v>
      </c>
      <c r="BW231" s="195"/>
      <c r="BX231" s="195"/>
      <c r="BY231" s="195"/>
      <c r="BZ231" s="195"/>
      <c r="CA231" s="195"/>
      <c r="CB231" s="195"/>
      <c r="CC231" s="195"/>
      <c r="CD231" s="195"/>
      <c r="CE231" s="195"/>
      <c r="CF231" s="195"/>
      <c r="CG231" s="195"/>
      <c r="CH231" s="195"/>
      <c r="CI231" s="195"/>
      <c r="CJ231" s="195"/>
      <c r="CK231" s="195"/>
      <c r="CL231" s="195"/>
      <c r="CM231" s="195"/>
      <c r="CN231" s="197">
        <v>176</v>
      </c>
      <c r="CO231" s="195"/>
      <c r="CP231" s="195"/>
      <c r="CQ231" s="195"/>
      <c r="CR231" s="195"/>
      <c r="CS231" s="195"/>
      <c r="CT231" s="195"/>
      <c r="CU231" s="195"/>
      <c r="CV231" s="195"/>
      <c r="CW231" s="195"/>
      <c r="CX231" s="195"/>
      <c r="CY231" s="195"/>
      <c r="CZ231" s="195"/>
      <c r="DA231" s="195"/>
      <c r="DB231" s="195"/>
      <c r="DC231" s="195"/>
      <c r="DD231" s="195"/>
      <c r="DE231" s="195"/>
      <c r="DF231" s="197">
        <v>176</v>
      </c>
      <c r="DG231" s="195"/>
      <c r="DH231" s="195"/>
      <c r="DI231" s="195"/>
      <c r="DJ231" s="195"/>
      <c r="DK231" s="195"/>
      <c r="DL231" s="195"/>
      <c r="DM231" s="195"/>
      <c r="DN231" s="195"/>
      <c r="DO231" s="195"/>
      <c r="DP231" s="195"/>
      <c r="DQ231" s="195"/>
      <c r="DR231" s="195"/>
      <c r="DS231" s="195"/>
      <c r="DT231" s="195"/>
      <c r="DU231" s="195"/>
      <c r="DV231" s="195"/>
      <c r="DW231" s="195"/>
      <c r="DX231" s="197">
        <v>176</v>
      </c>
      <c r="DY231" s="195"/>
      <c r="DZ231" s="195"/>
      <c r="EA231" s="195"/>
      <c r="EB231" s="195"/>
      <c r="EC231" s="195"/>
      <c r="ED231" s="195"/>
      <c r="EE231" s="195"/>
      <c r="EF231" s="195"/>
      <c r="EG231" s="195"/>
      <c r="EH231" s="195"/>
      <c r="EI231" s="195"/>
      <c r="EJ231" s="195"/>
      <c r="EK231" s="195"/>
      <c r="EL231" s="195"/>
      <c r="EM231" s="195"/>
      <c r="EN231" s="195"/>
      <c r="EO231" s="195"/>
      <c r="EP231" s="197">
        <v>176</v>
      </c>
      <c r="EQ231" s="195"/>
      <c r="ER231" s="195"/>
      <c r="ES231" s="195"/>
      <c r="ET231" s="195"/>
      <c r="EU231" s="195"/>
      <c r="EV231" s="195"/>
      <c r="EW231" s="195"/>
      <c r="EX231" s="195"/>
      <c r="EY231" s="195"/>
      <c r="EZ231" s="195"/>
      <c r="FA231" s="195"/>
      <c r="FB231" s="195"/>
      <c r="FC231" s="195"/>
      <c r="FD231" s="195"/>
      <c r="FE231" s="195"/>
      <c r="FF231" s="195"/>
      <c r="FG231" s="195"/>
      <c r="FH231" s="197">
        <v>176</v>
      </c>
      <c r="FI231" s="195"/>
      <c r="FJ231" s="195"/>
      <c r="FK231" s="195"/>
      <c r="FL231" s="195"/>
      <c r="FM231" s="195"/>
      <c r="FN231" s="195"/>
      <c r="FO231" s="195"/>
      <c r="FP231" s="195"/>
      <c r="FQ231" s="195"/>
      <c r="FR231" s="195"/>
      <c r="FS231" s="195"/>
      <c r="FT231" s="195"/>
      <c r="FU231" s="195"/>
      <c r="FV231" s="195"/>
      <c r="FW231" s="195"/>
      <c r="FX231" s="195"/>
      <c r="FY231" s="195"/>
    </row>
    <row r="232" spans="2:181" x14ac:dyDescent="0.25">
      <c r="B232" s="12">
        <v>177</v>
      </c>
      <c r="C232" s="195"/>
      <c r="D232" s="195"/>
      <c r="E232" s="195"/>
      <c r="F232" s="195"/>
      <c r="G232" s="195"/>
      <c r="H232" s="195"/>
      <c r="I232" s="195"/>
      <c r="J232" s="195"/>
      <c r="K232" s="195"/>
      <c r="L232" s="195"/>
      <c r="M232" s="195"/>
      <c r="N232" s="195"/>
      <c r="O232" s="195"/>
      <c r="P232" s="195"/>
      <c r="Q232" s="195"/>
      <c r="R232" s="195"/>
      <c r="S232" s="195"/>
      <c r="T232" s="12">
        <v>177</v>
      </c>
      <c r="U232" s="195"/>
      <c r="V232" s="195"/>
      <c r="W232" s="195"/>
      <c r="X232" s="195"/>
      <c r="Y232" s="195"/>
      <c r="Z232" s="195"/>
      <c r="AA232" s="195"/>
      <c r="AB232" s="195"/>
      <c r="AC232" s="195"/>
      <c r="AD232" s="195"/>
      <c r="AE232" s="195"/>
      <c r="AF232" s="195"/>
      <c r="AG232" s="195"/>
      <c r="AH232" s="195"/>
      <c r="AI232" s="195"/>
      <c r="AJ232" s="195"/>
      <c r="AK232" s="195"/>
      <c r="AL232" s="12">
        <v>177</v>
      </c>
      <c r="AM232" s="195"/>
      <c r="AN232" s="195"/>
      <c r="AO232" s="195"/>
      <c r="AP232" s="195"/>
      <c r="AQ232" s="195"/>
      <c r="AR232" s="195"/>
      <c r="AS232" s="195"/>
      <c r="AT232" s="195"/>
      <c r="AU232" s="195"/>
      <c r="AV232" s="195"/>
      <c r="AW232" s="195"/>
      <c r="AX232" s="195"/>
      <c r="AY232" s="195"/>
      <c r="AZ232" s="195"/>
      <c r="BA232" s="195"/>
      <c r="BB232" s="195"/>
      <c r="BC232" s="195"/>
      <c r="BD232" s="12">
        <v>177</v>
      </c>
      <c r="BE232" s="195"/>
      <c r="BF232" s="195"/>
      <c r="BG232" s="195"/>
      <c r="BH232" s="195"/>
      <c r="BI232" s="195"/>
      <c r="BJ232" s="195"/>
      <c r="BK232" s="195"/>
      <c r="BL232" s="195"/>
      <c r="BM232" s="195"/>
      <c r="BN232" s="195"/>
      <c r="BO232" s="195"/>
      <c r="BP232" s="195"/>
      <c r="BQ232" s="195"/>
      <c r="BR232" s="195"/>
      <c r="BS232" s="195"/>
      <c r="BT232" s="195"/>
      <c r="BU232" s="195"/>
      <c r="BV232" s="12">
        <v>177</v>
      </c>
      <c r="BW232" s="195"/>
      <c r="BX232" s="195"/>
      <c r="BY232" s="195"/>
      <c r="BZ232" s="195"/>
      <c r="CA232" s="195"/>
      <c r="CB232" s="195"/>
      <c r="CC232" s="195"/>
      <c r="CD232" s="195"/>
      <c r="CE232" s="195"/>
      <c r="CF232" s="195"/>
      <c r="CG232" s="195"/>
      <c r="CH232" s="195"/>
      <c r="CI232" s="195"/>
      <c r="CJ232" s="195"/>
      <c r="CK232" s="195"/>
      <c r="CL232" s="195"/>
      <c r="CM232" s="195"/>
      <c r="CN232" s="12">
        <v>177</v>
      </c>
      <c r="CO232" s="195"/>
      <c r="CP232" s="195"/>
      <c r="CQ232" s="195"/>
      <c r="CR232" s="195"/>
      <c r="CS232" s="195"/>
      <c r="CT232" s="195"/>
      <c r="CU232" s="195"/>
      <c r="CV232" s="195"/>
      <c r="CW232" s="195"/>
      <c r="CX232" s="195"/>
      <c r="CY232" s="195"/>
      <c r="CZ232" s="195"/>
      <c r="DA232" s="195"/>
      <c r="DB232" s="195"/>
      <c r="DC232" s="195"/>
      <c r="DD232" s="195"/>
      <c r="DE232" s="195"/>
      <c r="DF232" s="12">
        <v>177</v>
      </c>
      <c r="DG232" s="195"/>
      <c r="DH232" s="195"/>
      <c r="DI232" s="195"/>
      <c r="DJ232" s="195"/>
      <c r="DK232" s="195"/>
      <c r="DL232" s="195"/>
      <c r="DM232" s="195"/>
      <c r="DN232" s="195"/>
      <c r="DO232" s="195"/>
      <c r="DP232" s="195"/>
      <c r="DQ232" s="195"/>
      <c r="DR232" s="195"/>
      <c r="DS232" s="195"/>
      <c r="DT232" s="195"/>
      <c r="DU232" s="195"/>
      <c r="DV232" s="195"/>
      <c r="DW232" s="195"/>
      <c r="DX232" s="12">
        <v>177</v>
      </c>
      <c r="DY232" s="195"/>
      <c r="DZ232" s="195"/>
      <c r="EA232" s="195"/>
      <c r="EB232" s="195"/>
      <c r="EC232" s="195"/>
      <c r="ED232" s="195"/>
      <c r="EE232" s="195"/>
      <c r="EF232" s="195"/>
      <c r="EG232" s="195"/>
      <c r="EH232" s="195"/>
      <c r="EI232" s="195"/>
      <c r="EJ232" s="195"/>
      <c r="EK232" s="195"/>
      <c r="EL232" s="195"/>
      <c r="EM232" s="195"/>
      <c r="EN232" s="195"/>
      <c r="EO232" s="195"/>
      <c r="EP232" s="12">
        <v>177</v>
      </c>
      <c r="EQ232" s="195"/>
      <c r="ER232" s="195"/>
      <c r="ES232" s="195"/>
      <c r="ET232" s="195"/>
      <c r="EU232" s="195"/>
      <c r="EV232" s="195"/>
      <c r="EW232" s="195"/>
      <c r="EX232" s="195"/>
      <c r="EY232" s="195"/>
      <c r="EZ232" s="195"/>
      <c r="FA232" s="195"/>
      <c r="FB232" s="195"/>
      <c r="FC232" s="195"/>
      <c r="FD232" s="195"/>
      <c r="FE232" s="195"/>
      <c r="FF232" s="195"/>
      <c r="FG232" s="195"/>
      <c r="FH232" s="12">
        <v>177</v>
      </c>
      <c r="FI232" s="195"/>
      <c r="FJ232" s="195"/>
      <c r="FK232" s="195"/>
      <c r="FL232" s="195"/>
      <c r="FM232" s="195"/>
      <c r="FN232" s="195"/>
      <c r="FO232" s="195"/>
      <c r="FP232" s="195"/>
      <c r="FQ232" s="195"/>
      <c r="FR232" s="195"/>
      <c r="FS232" s="195"/>
      <c r="FT232" s="195"/>
      <c r="FU232" s="195"/>
      <c r="FV232" s="195"/>
      <c r="FW232" s="195"/>
      <c r="FX232" s="195"/>
      <c r="FY232" s="195"/>
    </row>
    <row r="233" spans="2:181" x14ac:dyDescent="0.25">
      <c r="B233" s="197">
        <v>178</v>
      </c>
      <c r="C233" s="195"/>
      <c r="D233" s="195"/>
      <c r="E233" s="195"/>
      <c r="F233" s="195"/>
      <c r="G233" s="195"/>
      <c r="H233" s="195"/>
      <c r="I233" s="195"/>
      <c r="J233" s="195"/>
      <c r="K233" s="195"/>
      <c r="L233" s="195"/>
      <c r="M233" s="195"/>
      <c r="N233" s="195"/>
      <c r="O233" s="195"/>
      <c r="P233" s="195"/>
      <c r="Q233" s="195"/>
      <c r="R233" s="195"/>
      <c r="S233" s="195"/>
      <c r="T233" s="197">
        <v>178</v>
      </c>
      <c r="U233" s="195"/>
      <c r="V233" s="195"/>
      <c r="W233" s="195"/>
      <c r="X233" s="195"/>
      <c r="Y233" s="195"/>
      <c r="Z233" s="195"/>
      <c r="AA233" s="195"/>
      <c r="AB233" s="195"/>
      <c r="AC233" s="195"/>
      <c r="AD233" s="195"/>
      <c r="AE233" s="195"/>
      <c r="AF233" s="195"/>
      <c r="AG233" s="195"/>
      <c r="AH233" s="195"/>
      <c r="AI233" s="195"/>
      <c r="AJ233" s="195"/>
      <c r="AK233" s="195"/>
      <c r="AL233" s="197">
        <v>178</v>
      </c>
      <c r="AM233" s="195"/>
      <c r="AN233" s="195"/>
      <c r="AO233" s="195"/>
      <c r="AP233" s="195"/>
      <c r="AQ233" s="195"/>
      <c r="AR233" s="195"/>
      <c r="AS233" s="195"/>
      <c r="AT233" s="195"/>
      <c r="AU233" s="195"/>
      <c r="AV233" s="195"/>
      <c r="AW233" s="195"/>
      <c r="AX233" s="195"/>
      <c r="AY233" s="195"/>
      <c r="AZ233" s="195"/>
      <c r="BA233" s="195"/>
      <c r="BB233" s="195"/>
      <c r="BC233" s="195"/>
      <c r="BD233" s="197">
        <v>178</v>
      </c>
      <c r="BE233" s="195"/>
      <c r="BF233" s="195"/>
      <c r="BG233" s="195"/>
      <c r="BH233" s="195"/>
      <c r="BI233" s="195"/>
      <c r="BJ233" s="195"/>
      <c r="BK233" s="195"/>
      <c r="BL233" s="195"/>
      <c r="BM233" s="195"/>
      <c r="BN233" s="195"/>
      <c r="BO233" s="195"/>
      <c r="BP233" s="195"/>
      <c r="BQ233" s="195"/>
      <c r="BR233" s="195"/>
      <c r="BS233" s="195"/>
      <c r="BT233" s="195"/>
      <c r="BU233" s="195"/>
      <c r="BV233" s="197">
        <v>178</v>
      </c>
      <c r="BW233" s="195"/>
      <c r="BX233" s="195"/>
      <c r="BY233" s="195"/>
      <c r="BZ233" s="195"/>
      <c r="CA233" s="195"/>
      <c r="CB233" s="195"/>
      <c r="CC233" s="195"/>
      <c r="CD233" s="195"/>
      <c r="CE233" s="195"/>
      <c r="CF233" s="195"/>
      <c r="CG233" s="195"/>
      <c r="CH233" s="195"/>
      <c r="CI233" s="195"/>
      <c r="CJ233" s="195"/>
      <c r="CK233" s="195"/>
      <c r="CL233" s="195"/>
      <c r="CM233" s="195"/>
      <c r="CN233" s="197">
        <v>178</v>
      </c>
      <c r="CO233" s="195"/>
      <c r="CP233" s="195"/>
      <c r="CQ233" s="195"/>
      <c r="CR233" s="195"/>
      <c r="CS233" s="195"/>
      <c r="CT233" s="195"/>
      <c r="CU233" s="195"/>
      <c r="CV233" s="195"/>
      <c r="CW233" s="195"/>
      <c r="CX233" s="195"/>
      <c r="CY233" s="195"/>
      <c r="CZ233" s="195"/>
      <c r="DA233" s="195"/>
      <c r="DB233" s="195"/>
      <c r="DC233" s="195"/>
      <c r="DD233" s="195"/>
      <c r="DE233" s="195"/>
      <c r="DF233" s="197">
        <v>178</v>
      </c>
      <c r="DG233" s="195"/>
      <c r="DH233" s="195"/>
      <c r="DI233" s="195"/>
      <c r="DJ233" s="195"/>
      <c r="DK233" s="195"/>
      <c r="DL233" s="195"/>
      <c r="DM233" s="195"/>
      <c r="DN233" s="195"/>
      <c r="DO233" s="195"/>
      <c r="DP233" s="195"/>
      <c r="DQ233" s="195"/>
      <c r="DR233" s="195"/>
      <c r="DS233" s="195"/>
      <c r="DT233" s="195"/>
      <c r="DU233" s="195"/>
      <c r="DV233" s="195"/>
      <c r="DW233" s="195"/>
      <c r="DX233" s="197">
        <v>178</v>
      </c>
      <c r="DY233" s="195"/>
      <c r="DZ233" s="195"/>
      <c r="EA233" s="195"/>
      <c r="EB233" s="195"/>
      <c r="EC233" s="195"/>
      <c r="ED233" s="195"/>
      <c r="EE233" s="195"/>
      <c r="EF233" s="195"/>
      <c r="EG233" s="195"/>
      <c r="EH233" s="195"/>
      <c r="EI233" s="195"/>
      <c r="EJ233" s="195"/>
      <c r="EK233" s="195"/>
      <c r="EL233" s="195"/>
      <c r="EM233" s="195"/>
      <c r="EN233" s="195"/>
      <c r="EO233" s="195"/>
      <c r="EP233" s="197">
        <v>178</v>
      </c>
      <c r="EQ233" s="195"/>
      <c r="ER233" s="195"/>
      <c r="ES233" s="195"/>
      <c r="ET233" s="195"/>
      <c r="EU233" s="195"/>
      <c r="EV233" s="195"/>
      <c r="EW233" s="195"/>
      <c r="EX233" s="195"/>
      <c r="EY233" s="195"/>
      <c r="EZ233" s="195"/>
      <c r="FA233" s="195"/>
      <c r="FB233" s="195"/>
      <c r="FC233" s="195"/>
      <c r="FD233" s="195"/>
      <c r="FE233" s="195"/>
      <c r="FF233" s="195"/>
      <c r="FG233" s="195"/>
      <c r="FH233" s="197">
        <v>178</v>
      </c>
      <c r="FI233" s="195"/>
      <c r="FJ233" s="195"/>
      <c r="FK233" s="195"/>
      <c r="FL233" s="195"/>
      <c r="FM233" s="195"/>
      <c r="FN233" s="195"/>
      <c r="FO233" s="195"/>
      <c r="FP233" s="195"/>
      <c r="FQ233" s="195"/>
      <c r="FR233" s="195"/>
      <c r="FS233" s="195"/>
      <c r="FT233" s="195"/>
      <c r="FU233" s="195"/>
      <c r="FV233" s="195"/>
      <c r="FW233" s="195"/>
      <c r="FX233" s="195"/>
      <c r="FY233" s="195"/>
    </row>
    <row r="234" spans="2:181" x14ac:dyDescent="0.25">
      <c r="B234" s="12">
        <v>179</v>
      </c>
      <c r="C234" s="195"/>
      <c r="D234" s="195"/>
      <c r="E234" s="195"/>
      <c r="F234" s="195"/>
      <c r="G234" s="195"/>
      <c r="H234" s="195"/>
      <c r="I234" s="195"/>
      <c r="J234" s="195"/>
      <c r="K234" s="195"/>
      <c r="L234" s="195"/>
      <c r="M234" s="195"/>
      <c r="N234" s="195"/>
      <c r="O234" s="195"/>
      <c r="P234" s="195"/>
      <c r="Q234" s="195"/>
      <c r="R234" s="195"/>
      <c r="S234" s="195"/>
      <c r="T234" s="12">
        <v>179</v>
      </c>
      <c r="U234" s="195"/>
      <c r="V234" s="195"/>
      <c r="W234" s="195"/>
      <c r="X234" s="195"/>
      <c r="Y234" s="195"/>
      <c r="Z234" s="195"/>
      <c r="AA234" s="195"/>
      <c r="AB234" s="195"/>
      <c r="AC234" s="195"/>
      <c r="AD234" s="195"/>
      <c r="AE234" s="195"/>
      <c r="AF234" s="195"/>
      <c r="AG234" s="195"/>
      <c r="AH234" s="195"/>
      <c r="AI234" s="195"/>
      <c r="AJ234" s="195"/>
      <c r="AK234" s="195"/>
      <c r="AL234" s="12">
        <v>179</v>
      </c>
      <c r="AM234" s="195"/>
      <c r="AN234" s="195"/>
      <c r="AO234" s="195"/>
      <c r="AP234" s="195"/>
      <c r="AQ234" s="195"/>
      <c r="AR234" s="195"/>
      <c r="AS234" s="195"/>
      <c r="AT234" s="195"/>
      <c r="AU234" s="195"/>
      <c r="AV234" s="195"/>
      <c r="AW234" s="195"/>
      <c r="AX234" s="195"/>
      <c r="AY234" s="195"/>
      <c r="AZ234" s="195"/>
      <c r="BA234" s="195"/>
      <c r="BB234" s="195"/>
      <c r="BC234" s="195"/>
      <c r="BD234" s="12">
        <v>179</v>
      </c>
      <c r="BE234" s="195"/>
      <c r="BF234" s="195"/>
      <c r="BG234" s="195"/>
      <c r="BH234" s="195"/>
      <c r="BI234" s="195"/>
      <c r="BJ234" s="195"/>
      <c r="BK234" s="195"/>
      <c r="BL234" s="195"/>
      <c r="BM234" s="195"/>
      <c r="BN234" s="195"/>
      <c r="BO234" s="195"/>
      <c r="BP234" s="195"/>
      <c r="BQ234" s="195"/>
      <c r="BR234" s="195"/>
      <c r="BS234" s="195"/>
      <c r="BT234" s="195"/>
      <c r="BU234" s="195"/>
      <c r="BV234" s="12">
        <v>179</v>
      </c>
      <c r="BW234" s="195"/>
      <c r="BX234" s="195"/>
      <c r="BY234" s="195"/>
      <c r="BZ234" s="195"/>
      <c r="CA234" s="195"/>
      <c r="CB234" s="195"/>
      <c r="CC234" s="195"/>
      <c r="CD234" s="195"/>
      <c r="CE234" s="195"/>
      <c r="CF234" s="195"/>
      <c r="CG234" s="195"/>
      <c r="CH234" s="195"/>
      <c r="CI234" s="195"/>
      <c r="CJ234" s="195"/>
      <c r="CK234" s="195"/>
      <c r="CL234" s="195"/>
      <c r="CM234" s="195"/>
      <c r="CN234" s="12">
        <v>179</v>
      </c>
      <c r="CO234" s="195"/>
      <c r="CP234" s="195"/>
      <c r="CQ234" s="195"/>
      <c r="CR234" s="195"/>
      <c r="CS234" s="195"/>
      <c r="CT234" s="195"/>
      <c r="CU234" s="195"/>
      <c r="CV234" s="195"/>
      <c r="CW234" s="195"/>
      <c r="CX234" s="195"/>
      <c r="CY234" s="195"/>
      <c r="CZ234" s="195"/>
      <c r="DA234" s="195"/>
      <c r="DB234" s="195"/>
      <c r="DC234" s="195"/>
      <c r="DD234" s="195"/>
      <c r="DE234" s="195"/>
      <c r="DF234" s="12">
        <v>179</v>
      </c>
      <c r="DG234" s="195"/>
      <c r="DH234" s="195"/>
      <c r="DI234" s="195"/>
      <c r="DJ234" s="195"/>
      <c r="DK234" s="195"/>
      <c r="DL234" s="195"/>
      <c r="DM234" s="195"/>
      <c r="DN234" s="195"/>
      <c r="DO234" s="195"/>
      <c r="DP234" s="195"/>
      <c r="DQ234" s="195"/>
      <c r="DR234" s="195"/>
      <c r="DS234" s="195"/>
      <c r="DT234" s="195"/>
      <c r="DU234" s="195"/>
      <c r="DV234" s="195"/>
      <c r="DW234" s="195"/>
      <c r="DX234" s="12">
        <v>179</v>
      </c>
      <c r="DY234" s="195"/>
      <c r="DZ234" s="195"/>
      <c r="EA234" s="195"/>
      <c r="EB234" s="195"/>
      <c r="EC234" s="195"/>
      <c r="ED234" s="195"/>
      <c r="EE234" s="195"/>
      <c r="EF234" s="195"/>
      <c r="EG234" s="195"/>
      <c r="EH234" s="195"/>
      <c r="EI234" s="195"/>
      <c r="EJ234" s="195"/>
      <c r="EK234" s="195"/>
      <c r="EL234" s="195"/>
      <c r="EM234" s="195"/>
      <c r="EN234" s="195"/>
      <c r="EO234" s="195"/>
      <c r="EP234" s="12">
        <v>179</v>
      </c>
      <c r="EQ234" s="195"/>
      <c r="ER234" s="195"/>
      <c r="ES234" s="195"/>
      <c r="ET234" s="195"/>
      <c r="EU234" s="195"/>
      <c r="EV234" s="195"/>
      <c r="EW234" s="195"/>
      <c r="EX234" s="195"/>
      <c r="EY234" s="195"/>
      <c r="EZ234" s="195"/>
      <c r="FA234" s="195"/>
      <c r="FB234" s="195"/>
      <c r="FC234" s="195"/>
      <c r="FD234" s="195"/>
      <c r="FE234" s="195"/>
      <c r="FF234" s="195"/>
      <c r="FG234" s="195"/>
      <c r="FH234" s="12">
        <v>179</v>
      </c>
      <c r="FI234" s="195"/>
      <c r="FJ234" s="195"/>
      <c r="FK234" s="195"/>
      <c r="FL234" s="195"/>
      <c r="FM234" s="195"/>
      <c r="FN234" s="195"/>
      <c r="FO234" s="195"/>
      <c r="FP234" s="195"/>
      <c r="FQ234" s="195"/>
      <c r="FR234" s="195"/>
      <c r="FS234" s="195"/>
      <c r="FT234" s="195"/>
      <c r="FU234" s="195"/>
      <c r="FV234" s="195"/>
      <c r="FW234" s="195"/>
      <c r="FX234" s="195"/>
      <c r="FY234" s="195"/>
    </row>
    <row r="235" spans="2:181" x14ac:dyDescent="0.25">
      <c r="B235" s="197">
        <v>180</v>
      </c>
      <c r="C235" s="195"/>
      <c r="D235" s="195"/>
      <c r="E235" s="195"/>
      <c r="F235" s="195"/>
      <c r="G235" s="195"/>
      <c r="H235" s="195"/>
      <c r="I235" s="195"/>
      <c r="J235" s="195"/>
      <c r="K235" s="195"/>
      <c r="L235" s="195"/>
      <c r="M235" s="195"/>
      <c r="N235" s="195"/>
      <c r="O235" s="195"/>
      <c r="P235" s="195"/>
      <c r="Q235" s="195"/>
      <c r="R235" s="195"/>
      <c r="S235" s="195"/>
      <c r="T235" s="197">
        <v>180</v>
      </c>
      <c r="U235" s="195"/>
      <c r="V235" s="195"/>
      <c r="W235" s="195"/>
      <c r="X235" s="195"/>
      <c r="Y235" s="195"/>
      <c r="Z235" s="195"/>
      <c r="AA235" s="195"/>
      <c r="AB235" s="195"/>
      <c r="AC235" s="195"/>
      <c r="AD235" s="195"/>
      <c r="AE235" s="195"/>
      <c r="AF235" s="195"/>
      <c r="AG235" s="195"/>
      <c r="AH235" s="195"/>
      <c r="AI235" s="195"/>
      <c r="AJ235" s="195"/>
      <c r="AK235" s="195"/>
      <c r="AL235" s="197">
        <v>180</v>
      </c>
      <c r="AM235" s="195"/>
      <c r="AN235" s="195"/>
      <c r="AO235" s="195"/>
      <c r="AP235" s="195"/>
      <c r="AQ235" s="195"/>
      <c r="AR235" s="195"/>
      <c r="AS235" s="195"/>
      <c r="AT235" s="195"/>
      <c r="AU235" s="195"/>
      <c r="AV235" s="195"/>
      <c r="AW235" s="195"/>
      <c r="AX235" s="195"/>
      <c r="AY235" s="195"/>
      <c r="AZ235" s="195"/>
      <c r="BA235" s="195"/>
      <c r="BB235" s="195"/>
      <c r="BC235" s="195"/>
      <c r="BD235" s="197">
        <v>180</v>
      </c>
      <c r="BE235" s="195"/>
      <c r="BF235" s="195"/>
      <c r="BG235" s="195"/>
      <c r="BH235" s="195"/>
      <c r="BI235" s="195"/>
      <c r="BJ235" s="195"/>
      <c r="BK235" s="195"/>
      <c r="BL235" s="195"/>
      <c r="BM235" s="195"/>
      <c r="BN235" s="195"/>
      <c r="BO235" s="195"/>
      <c r="BP235" s="195"/>
      <c r="BQ235" s="195"/>
      <c r="BR235" s="195"/>
      <c r="BS235" s="195"/>
      <c r="BT235" s="195"/>
      <c r="BU235" s="195"/>
      <c r="BV235" s="197">
        <v>180</v>
      </c>
      <c r="BW235" s="195"/>
      <c r="BX235" s="195"/>
      <c r="BY235" s="195"/>
      <c r="BZ235" s="195"/>
      <c r="CA235" s="195"/>
      <c r="CB235" s="195"/>
      <c r="CC235" s="195"/>
      <c r="CD235" s="195"/>
      <c r="CE235" s="195"/>
      <c r="CF235" s="195"/>
      <c r="CG235" s="195"/>
      <c r="CH235" s="195"/>
      <c r="CI235" s="195"/>
      <c r="CJ235" s="195"/>
      <c r="CK235" s="195"/>
      <c r="CL235" s="195"/>
      <c r="CM235" s="195"/>
      <c r="CN235" s="197">
        <v>180</v>
      </c>
      <c r="CO235" s="195"/>
      <c r="CP235" s="195"/>
      <c r="CQ235" s="195"/>
      <c r="CR235" s="195"/>
      <c r="CS235" s="195"/>
      <c r="CT235" s="195"/>
      <c r="CU235" s="195"/>
      <c r="CV235" s="195"/>
      <c r="CW235" s="195"/>
      <c r="CX235" s="195"/>
      <c r="CY235" s="195"/>
      <c r="CZ235" s="195"/>
      <c r="DA235" s="195"/>
      <c r="DB235" s="195"/>
      <c r="DC235" s="195"/>
      <c r="DD235" s="195"/>
      <c r="DE235" s="195"/>
      <c r="DF235" s="197">
        <v>180</v>
      </c>
      <c r="DG235" s="195"/>
      <c r="DH235" s="195"/>
      <c r="DI235" s="195"/>
      <c r="DJ235" s="195"/>
      <c r="DK235" s="195"/>
      <c r="DL235" s="195"/>
      <c r="DM235" s="195"/>
      <c r="DN235" s="195"/>
      <c r="DO235" s="195"/>
      <c r="DP235" s="195"/>
      <c r="DQ235" s="195"/>
      <c r="DR235" s="195"/>
      <c r="DS235" s="195"/>
      <c r="DT235" s="195"/>
      <c r="DU235" s="195"/>
      <c r="DV235" s="195"/>
      <c r="DW235" s="195"/>
      <c r="DX235" s="197">
        <v>180</v>
      </c>
      <c r="DY235" s="195"/>
      <c r="DZ235" s="195"/>
      <c r="EA235" s="195"/>
      <c r="EB235" s="195"/>
      <c r="EC235" s="195"/>
      <c r="ED235" s="195"/>
      <c r="EE235" s="195"/>
      <c r="EF235" s="195"/>
      <c r="EG235" s="195"/>
      <c r="EH235" s="195"/>
      <c r="EI235" s="195"/>
      <c r="EJ235" s="195"/>
      <c r="EK235" s="195"/>
      <c r="EL235" s="195"/>
      <c r="EM235" s="195"/>
      <c r="EN235" s="195"/>
      <c r="EO235" s="195"/>
      <c r="EP235" s="197">
        <v>180</v>
      </c>
      <c r="EQ235" s="195"/>
      <c r="ER235" s="195"/>
      <c r="ES235" s="195"/>
      <c r="ET235" s="195"/>
      <c r="EU235" s="195"/>
      <c r="EV235" s="195"/>
      <c r="EW235" s="195"/>
      <c r="EX235" s="195"/>
      <c r="EY235" s="195"/>
      <c r="EZ235" s="195"/>
      <c r="FA235" s="195"/>
      <c r="FB235" s="195"/>
      <c r="FC235" s="195"/>
      <c r="FD235" s="195"/>
      <c r="FE235" s="195"/>
      <c r="FF235" s="195"/>
      <c r="FG235" s="195"/>
      <c r="FH235" s="197">
        <v>180</v>
      </c>
      <c r="FI235" s="195"/>
      <c r="FJ235" s="195"/>
      <c r="FK235" s="195"/>
      <c r="FL235" s="195"/>
      <c r="FM235" s="195"/>
      <c r="FN235" s="195"/>
      <c r="FO235" s="195"/>
      <c r="FP235" s="195"/>
      <c r="FQ235" s="195"/>
      <c r="FR235" s="195"/>
      <c r="FS235" s="195"/>
      <c r="FT235" s="195"/>
      <c r="FU235" s="195"/>
      <c r="FV235" s="195"/>
      <c r="FW235" s="195"/>
      <c r="FX235" s="195"/>
      <c r="FY235" s="195"/>
    </row>
    <row r="236" spans="2:181" x14ac:dyDescent="0.25">
      <c r="B236" s="176"/>
      <c r="C236" s="198"/>
      <c r="D236" s="198"/>
      <c r="E236" s="198"/>
      <c r="F236" s="198"/>
      <c r="G236" s="198"/>
      <c r="H236" s="198"/>
      <c r="I236" s="198"/>
      <c r="J236" s="198"/>
      <c r="K236" s="198"/>
      <c r="L236" s="198"/>
      <c r="M236" s="198"/>
      <c r="N236" s="198"/>
      <c r="O236" s="198"/>
      <c r="P236" s="198"/>
      <c r="Q236" s="198"/>
      <c r="R236" s="198"/>
      <c r="S236" s="198"/>
      <c r="T236" s="176"/>
      <c r="U236" s="198"/>
      <c r="V236" s="198"/>
      <c r="W236" s="198"/>
      <c r="X236" s="198"/>
      <c r="Y236" s="198"/>
      <c r="Z236" s="198"/>
      <c r="AA236" s="198"/>
      <c r="AB236" s="198"/>
      <c r="AC236" s="198"/>
      <c r="AD236" s="198"/>
      <c r="AE236" s="198"/>
      <c r="AF236" s="198"/>
      <c r="AG236" s="198"/>
      <c r="AH236" s="198"/>
      <c r="AI236" s="198"/>
      <c r="AJ236" s="198"/>
      <c r="AK236" s="198"/>
      <c r="AL236" s="176"/>
      <c r="AM236" s="198"/>
      <c r="AN236" s="198"/>
      <c r="AO236" s="198"/>
      <c r="AP236" s="198"/>
      <c r="AQ236" s="198"/>
      <c r="AR236" s="198"/>
      <c r="AS236" s="198"/>
      <c r="AT236" s="198"/>
      <c r="AU236" s="198"/>
      <c r="AV236" s="198"/>
      <c r="AW236" s="198"/>
      <c r="AX236" s="198"/>
      <c r="AY236" s="198"/>
      <c r="AZ236" s="198"/>
      <c r="BA236" s="198"/>
      <c r="BB236" s="198"/>
      <c r="BC236" s="198"/>
      <c r="BD236" s="176"/>
      <c r="BE236" s="198"/>
      <c r="BF236" s="198"/>
      <c r="BG236" s="198"/>
      <c r="BH236" s="198"/>
      <c r="BI236" s="198"/>
      <c r="BJ236" s="198"/>
      <c r="BK236" s="198"/>
      <c r="BL236" s="198"/>
      <c r="BM236" s="198"/>
      <c r="BN236" s="198"/>
      <c r="BO236" s="198"/>
      <c r="BP236" s="198"/>
      <c r="BQ236" s="198"/>
      <c r="BR236" s="198"/>
      <c r="BS236" s="198"/>
      <c r="BT236" s="198"/>
      <c r="BU236" s="198"/>
      <c r="BV236" s="176"/>
      <c r="BW236" s="198"/>
      <c r="BX236" s="198"/>
      <c r="BY236" s="198"/>
      <c r="BZ236" s="198"/>
      <c r="CA236" s="198"/>
      <c r="CB236" s="198"/>
      <c r="CC236" s="198"/>
      <c r="CD236" s="198"/>
      <c r="CE236" s="198"/>
      <c r="CF236" s="198"/>
      <c r="CG236" s="198"/>
      <c r="CH236" s="198"/>
      <c r="CI236" s="198"/>
      <c r="CJ236" s="198"/>
      <c r="CK236" s="198"/>
      <c r="CL236" s="198"/>
      <c r="CM236" s="198"/>
      <c r="CN236" s="176"/>
      <c r="CO236" s="198"/>
      <c r="CP236" s="198"/>
      <c r="CQ236" s="198"/>
      <c r="CR236" s="198"/>
      <c r="CS236" s="198"/>
      <c r="CT236" s="198"/>
      <c r="CU236" s="198"/>
      <c r="CV236" s="198"/>
      <c r="CW236" s="198"/>
      <c r="CX236" s="198"/>
      <c r="CY236" s="198"/>
      <c r="CZ236" s="198"/>
      <c r="DA236" s="198"/>
      <c r="DB236" s="198"/>
      <c r="DC236" s="198"/>
      <c r="DD236" s="198"/>
      <c r="DE236" s="198"/>
      <c r="DF236" s="176"/>
      <c r="DG236" s="198"/>
      <c r="DH236" s="198"/>
      <c r="DI236" s="198"/>
      <c r="DJ236" s="198"/>
      <c r="DK236" s="198"/>
      <c r="DL236" s="198"/>
      <c r="DM236" s="198"/>
      <c r="DN236" s="198"/>
      <c r="DO236" s="198"/>
      <c r="DP236" s="198"/>
      <c r="DQ236" s="198"/>
      <c r="DR236" s="198"/>
      <c r="DS236" s="198"/>
      <c r="DT236" s="198"/>
      <c r="DU236" s="198"/>
      <c r="DV236" s="198"/>
      <c r="DW236" s="198"/>
      <c r="DX236" s="176"/>
      <c r="DY236" s="198"/>
      <c r="DZ236" s="198"/>
      <c r="EA236" s="198"/>
      <c r="EB236" s="198"/>
      <c r="EC236" s="198"/>
      <c r="ED236" s="198"/>
      <c r="EE236" s="198"/>
      <c r="EF236" s="198"/>
      <c r="EG236" s="198"/>
      <c r="EH236" s="198"/>
      <c r="EI236" s="198"/>
      <c r="EJ236" s="198"/>
      <c r="EK236" s="198"/>
      <c r="EL236" s="198"/>
      <c r="EM236" s="198"/>
      <c r="EN236" s="198"/>
      <c r="EO236" s="198"/>
      <c r="EP236" s="176"/>
      <c r="EQ236" s="198"/>
      <c r="ER236" s="198"/>
      <c r="ES236" s="198"/>
      <c r="ET236" s="198"/>
      <c r="EU236" s="198"/>
      <c r="EV236" s="198"/>
      <c r="EW236" s="198"/>
      <c r="EX236" s="198"/>
      <c r="EY236" s="198"/>
      <c r="EZ236" s="198"/>
      <c r="FA236" s="198"/>
      <c r="FB236" s="198"/>
      <c r="FC236" s="198"/>
      <c r="FD236" s="198"/>
      <c r="FE236" s="198"/>
      <c r="FF236" s="198"/>
      <c r="FG236" s="198"/>
      <c r="FH236" s="176"/>
      <c r="FI236" s="198"/>
      <c r="FJ236" s="198"/>
      <c r="FK236" s="198"/>
      <c r="FL236" s="198"/>
      <c r="FM236" s="198"/>
      <c r="FN236" s="198"/>
      <c r="FO236" s="198"/>
      <c r="FP236" s="198"/>
      <c r="FQ236" s="198"/>
      <c r="FR236" s="198"/>
      <c r="FS236" s="198"/>
      <c r="FT236" s="198"/>
      <c r="FU236" s="198"/>
      <c r="FV236" s="198"/>
      <c r="FW236" s="198"/>
      <c r="FX236" s="198"/>
      <c r="FY236" s="198"/>
    </row>
    <row r="237" spans="2:181" x14ac:dyDescent="0.25">
      <c r="B237" s="977" t="s">
        <v>543</v>
      </c>
      <c r="C237" s="977"/>
      <c r="D237" s="977"/>
      <c r="E237" s="977"/>
      <c r="F237" s="977"/>
      <c r="G237" s="199">
        <f>COUNTA(C206:S235)</f>
        <v>0</v>
      </c>
      <c r="H237" s="198" t="s">
        <v>544</v>
      </c>
      <c r="I237" s="198"/>
      <c r="J237" s="198"/>
      <c r="K237" s="198"/>
      <c r="L237" s="198"/>
      <c r="M237" s="200" t="s">
        <v>545</v>
      </c>
      <c r="N237" s="201">
        <f>MAX(C206:S235,U206:AK235)</f>
        <v>0</v>
      </c>
      <c r="O237" s="198"/>
      <c r="P237" s="198"/>
      <c r="Q237" s="198"/>
      <c r="R237" s="198"/>
      <c r="S237" s="198"/>
      <c r="T237" s="977" t="s">
        <v>543</v>
      </c>
      <c r="U237" s="977"/>
      <c r="V237" s="977"/>
      <c r="W237" s="977"/>
      <c r="X237" s="977"/>
      <c r="Y237" s="199">
        <f>COUNTA(U206:AK235)</f>
        <v>0</v>
      </c>
      <c r="Z237" s="198" t="s">
        <v>544</v>
      </c>
      <c r="AA237" s="198"/>
      <c r="AB237" s="198"/>
      <c r="AC237" s="198"/>
      <c r="AD237" s="198"/>
      <c r="AE237" s="198"/>
      <c r="AF237" s="198"/>
      <c r="AG237" s="198"/>
      <c r="AH237" s="198"/>
      <c r="AI237" s="198"/>
      <c r="AJ237" s="198"/>
      <c r="AK237" s="198"/>
      <c r="AL237" s="977" t="s">
        <v>543</v>
      </c>
      <c r="AM237" s="977"/>
      <c r="AN237" s="977"/>
      <c r="AO237" s="977"/>
      <c r="AP237" s="977"/>
      <c r="AQ237" s="199">
        <f>COUNTA(AM206:BC235)</f>
        <v>0</v>
      </c>
      <c r="AR237" s="198" t="s">
        <v>544</v>
      </c>
      <c r="AS237" s="198"/>
      <c r="AT237" s="198"/>
      <c r="AU237" s="198"/>
      <c r="AV237" s="198"/>
      <c r="AW237" s="198"/>
      <c r="AX237" s="198"/>
      <c r="AY237" s="198"/>
      <c r="AZ237" s="198"/>
      <c r="BA237" s="198"/>
      <c r="BB237" s="198"/>
      <c r="BC237" s="198"/>
      <c r="BD237" s="977" t="s">
        <v>543</v>
      </c>
      <c r="BE237" s="977"/>
      <c r="BF237" s="977"/>
      <c r="BG237" s="977"/>
      <c r="BH237" s="977"/>
      <c r="BI237" s="199">
        <f>COUNTA(BE206:BU235)</f>
        <v>0</v>
      </c>
      <c r="BJ237" s="198" t="s">
        <v>544</v>
      </c>
      <c r="BK237" s="198"/>
      <c r="BL237" s="198"/>
      <c r="BM237" s="198"/>
      <c r="BN237" s="198"/>
      <c r="BO237" s="198"/>
      <c r="BP237" s="198"/>
      <c r="BQ237" s="198"/>
      <c r="BR237" s="198"/>
      <c r="BS237" s="198"/>
      <c r="BT237" s="198"/>
      <c r="BU237" s="198"/>
      <c r="BV237" s="977" t="s">
        <v>543</v>
      </c>
      <c r="BW237" s="977"/>
      <c r="BX237" s="977"/>
      <c r="BY237" s="977"/>
      <c r="BZ237" s="977"/>
      <c r="CA237" s="199">
        <f>COUNTA(BW206:CM235)</f>
        <v>0</v>
      </c>
      <c r="CB237" s="198" t="s">
        <v>544</v>
      </c>
      <c r="CC237" s="198"/>
      <c r="CD237" s="198"/>
      <c r="CE237" s="198"/>
      <c r="CF237" s="198"/>
      <c r="CG237" s="198"/>
      <c r="CH237" s="198"/>
      <c r="CI237" s="198"/>
      <c r="CJ237" s="198"/>
      <c r="CK237" s="198"/>
      <c r="CL237" s="198"/>
      <c r="CM237" s="198"/>
      <c r="CN237" s="977" t="s">
        <v>543</v>
      </c>
      <c r="CO237" s="977"/>
      <c r="CP237" s="977"/>
      <c r="CQ237" s="977"/>
      <c r="CR237" s="977"/>
      <c r="CS237" s="199">
        <f>COUNTA(CO206:DE235)</f>
        <v>0</v>
      </c>
      <c r="CT237" s="198" t="s">
        <v>544</v>
      </c>
      <c r="CU237" s="198"/>
      <c r="CV237" s="198"/>
      <c r="CW237" s="198"/>
      <c r="CX237" s="198"/>
      <c r="CY237" s="198"/>
      <c r="CZ237" s="198"/>
      <c r="DA237" s="198"/>
      <c r="DB237" s="198"/>
      <c r="DC237" s="198"/>
      <c r="DD237" s="198"/>
      <c r="DE237" s="198"/>
      <c r="DF237" s="977" t="s">
        <v>543</v>
      </c>
      <c r="DG237" s="977"/>
      <c r="DH237" s="977"/>
      <c r="DI237" s="977"/>
      <c r="DJ237" s="977"/>
      <c r="DK237" s="199">
        <f>COUNTA(DG206:DW235)</f>
        <v>0</v>
      </c>
      <c r="DL237" s="198" t="s">
        <v>544</v>
      </c>
      <c r="DM237" s="198"/>
      <c r="DN237" s="198"/>
      <c r="DO237" s="198"/>
      <c r="DP237" s="198"/>
      <c r="DQ237" s="198"/>
      <c r="DR237" s="198"/>
      <c r="DS237" s="198"/>
      <c r="DT237" s="198"/>
      <c r="DU237" s="198"/>
      <c r="DV237" s="198"/>
      <c r="DW237" s="198"/>
      <c r="DX237" s="977" t="s">
        <v>543</v>
      </c>
      <c r="DY237" s="977"/>
      <c r="DZ237" s="977"/>
      <c r="EA237" s="977"/>
      <c r="EB237" s="977"/>
      <c r="EC237" s="199">
        <f>COUNTA(DY206:EO235)</f>
        <v>0</v>
      </c>
      <c r="ED237" s="198" t="s">
        <v>544</v>
      </c>
      <c r="EE237" s="198"/>
      <c r="EF237" s="198"/>
      <c r="EG237" s="198"/>
      <c r="EH237" s="198"/>
      <c r="EI237" s="198"/>
      <c r="EJ237" s="198"/>
      <c r="EK237" s="198"/>
      <c r="EL237" s="198"/>
      <c r="EM237" s="198"/>
      <c r="EN237" s="198"/>
      <c r="EO237" s="198"/>
      <c r="EP237" s="977" t="s">
        <v>543</v>
      </c>
      <c r="EQ237" s="977"/>
      <c r="ER237" s="977"/>
      <c r="ES237" s="977"/>
      <c r="ET237" s="977"/>
      <c r="EU237" s="199">
        <f>COUNTA(EQ206:FG235)</f>
        <v>0</v>
      </c>
      <c r="EV237" s="198" t="s">
        <v>544</v>
      </c>
      <c r="EW237" s="198"/>
      <c r="EX237" s="198"/>
      <c r="EY237" s="198"/>
      <c r="EZ237" s="198"/>
      <c r="FA237" s="198"/>
      <c r="FB237" s="198"/>
      <c r="FC237" s="198"/>
      <c r="FD237" s="198"/>
      <c r="FE237" s="198"/>
      <c r="FF237" s="198"/>
      <c r="FG237" s="198"/>
      <c r="FH237" s="977" t="s">
        <v>543</v>
      </c>
      <c r="FI237" s="977"/>
      <c r="FJ237" s="977"/>
      <c r="FK237" s="977"/>
      <c r="FL237" s="977"/>
      <c r="FM237" s="199">
        <f>COUNTA(FI206:FY235)</f>
        <v>0</v>
      </c>
      <c r="FN237" s="198" t="s">
        <v>544</v>
      </c>
      <c r="FO237" s="198"/>
      <c r="FP237" s="198"/>
      <c r="FQ237" s="198"/>
      <c r="FR237" s="198"/>
      <c r="FS237" s="198"/>
      <c r="FT237" s="198"/>
      <c r="FU237" s="198"/>
      <c r="FV237" s="198"/>
      <c r="FW237" s="198"/>
      <c r="FX237" s="198"/>
      <c r="FY237" s="198"/>
    </row>
    <row r="238" spans="2:181" x14ac:dyDescent="0.25">
      <c r="M238" s="203" t="s">
        <v>548</v>
      </c>
      <c r="N238" s="204">
        <f>MIN(C206:S235,U206:AK235)</f>
        <v>0</v>
      </c>
    </row>
    <row r="239" spans="2:181" x14ac:dyDescent="0.25">
      <c r="B239" s="205" t="s">
        <v>549</v>
      </c>
      <c r="C239" s="205"/>
      <c r="D239" s="205"/>
      <c r="E239" s="205"/>
      <c r="F239" s="205"/>
      <c r="G239" s="205"/>
      <c r="H239" s="990" t="e">
        <f>#REF!</f>
        <v>#REF!</v>
      </c>
      <c r="I239" s="990"/>
      <c r="J239" s="990"/>
      <c r="K239" s="990"/>
      <c r="L239" s="990"/>
      <c r="M239" s="198"/>
      <c r="N239" s="198"/>
      <c r="O239" s="198"/>
      <c r="P239" s="198"/>
      <c r="Q239" s="198"/>
      <c r="R239" s="198"/>
      <c r="S239" s="198"/>
      <c r="T239" s="205"/>
      <c r="U239" s="205"/>
      <c r="V239" s="205"/>
      <c r="W239" s="205"/>
      <c r="X239" s="205"/>
      <c r="Y239" s="205"/>
      <c r="Z239" s="205"/>
      <c r="AA239" s="198"/>
      <c r="AB239" s="198"/>
      <c r="AC239" s="205"/>
      <c r="AD239" s="198"/>
      <c r="AE239" s="198"/>
      <c r="AF239" s="198"/>
      <c r="AG239" s="198"/>
      <c r="AH239" s="198"/>
      <c r="AI239" s="198"/>
      <c r="AJ239" s="198"/>
      <c r="AK239" s="198"/>
      <c r="AL239" s="205"/>
      <c r="AM239" s="205"/>
      <c r="AN239" s="205"/>
      <c r="AO239" s="205"/>
      <c r="AP239" s="205"/>
      <c r="AQ239" s="205"/>
      <c r="AR239" s="205"/>
      <c r="AS239" s="198"/>
      <c r="AT239" s="198"/>
      <c r="AU239" s="205"/>
      <c r="AV239" s="198"/>
      <c r="AW239" s="198"/>
      <c r="AX239" s="198"/>
      <c r="AY239" s="198"/>
      <c r="AZ239" s="198"/>
      <c r="BA239" s="198"/>
      <c r="BB239" s="198"/>
      <c r="BC239" s="198"/>
      <c r="BD239" s="205"/>
      <c r="BE239" s="205"/>
      <c r="BF239" s="205"/>
      <c r="BG239" s="205"/>
      <c r="BH239" s="205"/>
      <c r="BI239" s="205"/>
      <c r="BJ239" s="205"/>
      <c r="BK239" s="198"/>
      <c r="BL239" s="198"/>
      <c r="BM239" s="205"/>
      <c r="BN239" s="198"/>
      <c r="BO239" s="198"/>
      <c r="BP239" s="198"/>
      <c r="BQ239" s="198"/>
      <c r="BR239" s="198"/>
      <c r="BS239" s="198"/>
      <c r="BT239" s="198"/>
      <c r="BU239" s="198"/>
      <c r="BV239" s="205"/>
      <c r="BW239" s="205"/>
      <c r="BX239" s="205"/>
      <c r="BY239" s="205"/>
      <c r="BZ239" s="205"/>
      <c r="CA239" s="205"/>
      <c r="CB239" s="205"/>
      <c r="CC239" s="198"/>
      <c r="CD239" s="198"/>
      <c r="CE239" s="205"/>
      <c r="CF239" s="198"/>
      <c r="CG239" s="198"/>
      <c r="CH239" s="198"/>
      <c r="CI239" s="198"/>
      <c r="CJ239" s="198"/>
      <c r="CK239" s="198"/>
      <c r="CL239" s="198"/>
      <c r="CM239" s="198"/>
      <c r="CN239" s="205"/>
      <c r="CO239" s="205"/>
      <c r="CP239" s="205"/>
      <c r="CQ239" s="205"/>
      <c r="CR239" s="205"/>
      <c r="CS239" s="205"/>
      <c r="CT239" s="205"/>
      <c r="CU239" s="198"/>
      <c r="CV239" s="198"/>
      <c r="CW239" s="205"/>
      <c r="CX239" s="198"/>
      <c r="CY239" s="198"/>
      <c r="CZ239" s="198"/>
      <c r="DA239" s="198"/>
      <c r="DB239" s="198"/>
      <c r="DC239" s="198"/>
      <c r="DD239" s="198"/>
      <c r="DE239" s="198"/>
      <c r="DF239" s="205"/>
      <c r="DG239" s="205"/>
      <c r="DH239" s="205"/>
      <c r="DI239" s="205"/>
      <c r="DJ239" s="205"/>
      <c r="DK239" s="205"/>
      <c r="DL239" s="205"/>
      <c r="DM239" s="198"/>
      <c r="DN239" s="198"/>
      <c r="DO239" s="205"/>
      <c r="DP239" s="198"/>
      <c r="DQ239" s="198"/>
      <c r="DR239" s="198"/>
      <c r="DS239" s="198"/>
      <c r="DT239" s="198"/>
      <c r="DU239" s="198"/>
      <c r="DV239" s="198"/>
      <c r="DW239" s="198"/>
      <c r="DX239" s="205"/>
      <c r="DY239" s="205"/>
      <c r="DZ239" s="205"/>
      <c r="EA239" s="205"/>
      <c r="EB239" s="205"/>
      <c r="EC239" s="205"/>
      <c r="ED239" s="205"/>
      <c r="EE239" s="198"/>
      <c r="EF239" s="198"/>
      <c r="EG239" s="205"/>
      <c r="EH239" s="198"/>
      <c r="EI239" s="198"/>
      <c r="EJ239" s="198"/>
      <c r="EK239" s="198"/>
      <c r="EL239" s="198"/>
      <c r="EM239" s="198"/>
      <c r="EN239" s="198"/>
      <c r="EO239" s="198"/>
      <c r="EP239" s="205"/>
      <c r="EQ239" s="205"/>
      <c r="ER239" s="205"/>
      <c r="ES239" s="205"/>
      <c r="ET239" s="205"/>
      <c r="EU239" s="205"/>
      <c r="EV239" s="205"/>
      <c r="EW239" s="198"/>
      <c r="EX239" s="198"/>
      <c r="EY239" s="205"/>
      <c r="EZ239" s="198"/>
      <c r="FA239" s="198"/>
      <c r="FB239" s="198"/>
      <c r="FC239" s="198"/>
      <c r="FD239" s="198"/>
      <c r="FE239" s="198"/>
      <c r="FF239" s="198"/>
      <c r="FG239" s="198"/>
      <c r="FH239" s="205"/>
      <c r="FI239" s="205"/>
      <c r="FJ239" s="205"/>
      <c r="FK239" s="205"/>
      <c r="FL239" s="205"/>
      <c r="FM239" s="205"/>
      <c r="FN239" s="205"/>
      <c r="FO239" s="198"/>
      <c r="FP239" s="198"/>
      <c r="FQ239" s="205"/>
      <c r="FR239" s="198"/>
      <c r="FS239" s="198"/>
      <c r="FT239" s="198"/>
      <c r="FU239" s="198"/>
      <c r="FV239" s="198"/>
      <c r="FW239" s="198"/>
      <c r="FX239" s="198"/>
      <c r="FY239" s="198"/>
    </row>
    <row r="240" spans="2:181" x14ac:dyDescent="0.25">
      <c r="B240" s="208"/>
      <c r="C240" s="205"/>
      <c r="D240" s="205"/>
      <c r="E240" s="205"/>
      <c r="F240" s="205"/>
      <c r="G240" s="205"/>
      <c r="H240" s="205"/>
      <c r="I240" s="198"/>
      <c r="J240" s="209"/>
      <c r="K240" s="208"/>
      <c r="L240" s="198"/>
      <c r="M240" s="198"/>
      <c r="N240" s="198"/>
      <c r="O240" s="198"/>
      <c r="P240" s="198"/>
      <c r="Q240" s="198"/>
      <c r="R240" s="198"/>
      <c r="S240" s="209"/>
      <c r="T240" s="208"/>
      <c r="U240" s="205"/>
      <c r="V240" s="205"/>
      <c r="W240" s="205"/>
      <c r="X240" s="205"/>
      <c r="Y240" s="205"/>
      <c r="Z240" s="205"/>
      <c r="AA240" s="198"/>
      <c r="AB240" s="209"/>
      <c r="AC240" s="208"/>
      <c r="AD240" s="198"/>
      <c r="AE240" s="198"/>
      <c r="AF240" s="198"/>
      <c r="AG240" s="198"/>
      <c r="AH240" s="198"/>
      <c r="AI240" s="198"/>
      <c r="AJ240" s="198"/>
      <c r="AK240" s="209"/>
      <c r="AL240" s="208"/>
      <c r="AM240" s="205"/>
      <c r="AN240" s="205"/>
      <c r="AO240" s="205"/>
      <c r="AP240" s="205"/>
      <c r="AQ240" s="205"/>
      <c r="AR240" s="205"/>
      <c r="AS240" s="198"/>
      <c r="AT240" s="209"/>
      <c r="AU240" s="208"/>
      <c r="AV240" s="198"/>
      <c r="AW240" s="198"/>
      <c r="AX240" s="198"/>
      <c r="AY240" s="198"/>
      <c r="AZ240" s="198"/>
      <c r="BA240" s="198"/>
      <c r="BB240" s="198"/>
      <c r="BC240" s="209"/>
      <c r="BD240" s="208"/>
      <c r="BE240" s="205"/>
      <c r="BF240" s="205"/>
      <c r="BG240" s="205"/>
      <c r="BH240" s="205"/>
      <c r="BI240" s="205"/>
      <c r="BJ240" s="205"/>
      <c r="BK240" s="198"/>
      <c r="BL240" s="209"/>
      <c r="BM240" s="208"/>
      <c r="BN240" s="198"/>
      <c r="BO240" s="198"/>
      <c r="BP240" s="198"/>
      <c r="BQ240" s="198"/>
      <c r="BR240" s="198"/>
      <c r="BS240" s="198"/>
      <c r="BT240" s="198"/>
      <c r="BU240" s="209"/>
      <c r="BV240" s="208"/>
      <c r="BW240" s="205"/>
      <c r="BX240" s="205"/>
      <c r="BY240" s="205"/>
      <c r="BZ240" s="205"/>
      <c r="CA240" s="205"/>
      <c r="CB240" s="205"/>
      <c r="CC240" s="198"/>
      <c r="CD240" s="209"/>
      <c r="CE240" s="208"/>
      <c r="CF240" s="198"/>
      <c r="CG240" s="198"/>
      <c r="CH240" s="198"/>
      <c r="CI240" s="198"/>
      <c r="CJ240" s="198"/>
      <c r="CK240" s="198"/>
      <c r="CL240" s="198"/>
      <c r="CM240" s="209"/>
      <c r="CN240" s="208"/>
      <c r="CO240" s="205"/>
      <c r="CP240" s="205"/>
      <c r="CQ240" s="205"/>
      <c r="CR240" s="205"/>
      <c r="CS240" s="205"/>
      <c r="CT240" s="205"/>
      <c r="CU240" s="198"/>
      <c r="CV240" s="209"/>
      <c r="CW240" s="208"/>
      <c r="CX240" s="198"/>
      <c r="CY240" s="198"/>
      <c r="CZ240" s="198"/>
      <c r="DA240" s="198"/>
      <c r="DB240" s="198"/>
      <c r="DC240" s="198"/>
      <c r="DD240" s="198"/>
      <c r="DE240" s="209"/>
      <c r="DF240" s="208"/>
      <c r="DG240" s="205"/>
      <c r="DH240" s="205"/>
      <c r="DI240" s="205"/>
      <c r="DJ240" s="205"/>
      <c r="DK240" s="205"/>
      <c r="DL240" s="205"/>
      <c r="DM240" s="198"/>
      <c r="DN240" s="209"/>
      <c r="DO240" s="208"/>
      <c r="DP240" s="198"/>
      <c r="DQ240" s="198"/>
      <c r="DR240" s="198"/>
      <c r="DS240" s="198"/>
      <c r="DT240" s="198"/>
      <c r="DU240" s="198"/>
      <c r="DV240" s="198"/>
      <c r="DW240" s="209"/>
      <c r="DX240" s="208"/>
      <c r="DY240" s="205"/>
      <c r="DZ240" s="205"/>
      <c r="EA240" s="205"/>
      <c r="EB240" s="205"/>
      <c r="EC240" s="205"/>
      <c r="ED240" s="205"/>
      <c r="EE240" s="198"/>
      <c r="EF240" s="209"/>
      <c r="EG240" s="208"/>
      <c r="EH240" s="198"/>
      <c r="EI240" s="198"/>
      <c r="EJ240" s="198"/>
      <c r="EK240" s="198"/>
      <c r="EL240" s="198"/>
      <c r="EM240" s="198"/>
      <c r="EN240" s="198"/>
      <c r="EO240" s="209"/>
      <c r="EP240" s="208"/>
      <c r="EQ240" s="205"/>
      <c r="ER240" s="205"/>
      <c r="ES240" s="205"/>
      <c r="ET240" s="205"/>
      <c r="EU240" s="205"/>
      <c r="EV240" s="205"/>
      <c r="EW240" s="198"/>
      <c r="EX240" s="209"/>
      <c r="EY240" s="208"/>
      <c r="EZ240" s="198"/>
      <c r="FA240" s="198"/>
      <c r="FB240" s="198"/>
      <c r="FC240" s="198"/>
      <c r="FD240" s="198"/>
      <c r="FE240" s="198"/>
      <c r="FF240" s="198"/>
      <c r="FG240" s="209"/>
      <c r="FH240" s="208"/>
      <c r="FI240" s="205"/>
      <c r="FJ240" s="205"/>
      <c r="FK240" s="205"/>
      <c r="FL240" s="205"/>
      <c r="FM240" s="205"/>
      <c r="FN240" s="205"/>
      <c r="FO240" s="198"/>
      <c r="FP240" s="209"/>
      <c r="FQ240" s="208"/>
      <c r="FR240" s="198"/>
      <c r="FS240" s="198"/>
      <c r="FT240" s="198"/>
      <c r="FU240" s="198"/>
      <c r="FV240" s="198"/>
      <c r="FW240" s="198"/>
      <c r="FX240" s="198"/>
      <c r="FY240" s="209"/>
    </row>
    <row r="241" spans="2:181" x14ac:dyDescent="0.25">
      <c r="B241" s="210"/>
      <c r="C241" s="206"/>
      <c r="D241" s="206"/>
      <c r="E241" s="206"/>
      <c r="F241" s="206"/>
      <c r="G241" s="206"/>
      <c r="H241" s="206"/>
      <c r="I241" s="206"/>
      <c r="J241" s="211"/>
      <c r="K241" s="210"/>
      <c r="L241" s="206"/>
      <c r="M241" s="206"/>
      <c r="N241" s="206"/>
      <c r="O241" s="206"/>
      <c r="P241" s="206"/>
      <c r="Q241" s="206"/>
      <c r="R241" s="206"/>
      <c r="S241" s="211"/>
      <c r="T241" s="210"/>
      <c r="U241" s="206"/>
      <c r="V241" s="206"/>
      <c r="W241" s="206"/>
      <c r="X241" s="206"/>
      <c r="Y241" s="206"/>
      <c r="Z241" s="206"/>
      <c r="AA241" s="206"/>
      <c r="AB241" s="211"/>
      <c r="AC241" s="210"/>
      <c r="AD241" s="206"/>
      <c r="AE241" s="206"/>
      <c r="AF241" s="206"/>
      <c r="AG241" s="206"/>
      <c r="AH241" s="206"/>
      <c r="AI241" s="206"/>
      <c r="AJ241" s="206"/>
      <c r="AK241" s="211"/>
      <c r="AL241" s="210"/>
      <c r="AM241" s="206"/>
      <c r="AN241" s="206"/>
      <c r="AO241" s="206"/>
      <c r="AP241" s="206"/>
      <c r="AQ241" s="206"/>
      <c r="AR241" s="206"/>
      <c r="AS241" s="206"/>
      <c r="AT241" s="211"/>
      <c r="AU241" s="210"/>
      <c r="AV241" s="206"/>
      <c r="AW241" s="206"/>
      <c r="AX241" s="206"/>
      <c r="AY241" s="206"/>
      <c r="AZ241" s="206"/>
      <c r="BA241" s="206"/>
      <c r="BB241" s="206"/>
      <c r="BC241" s="211"/>
      <c r="BD241" s="210"/>
      <c r="BE241" s="206"/>
      <c r="BF241" s="206"/>
      <c r="BG241" s="206"/>
      <c r="BH241" s="206"/>
      <c r="BI241" s="206"/>
      <c r="BJ241" s="206"/>
      <c r="BK241" s="206"/>
      <c r="BL241" s="211"/>
      <c r="BM241" s="210"/>
      <c r="BN241" s="206"/>
      <c r="BO241" s="206"/>
      <c r="BP241" s="206"/>
      <c r="BQ241" s="206"/>
      <c r="BR241" s="206"/>
      <c r="BS241" s="206"/>
      <c r="BT241" s="206"/>
      <c r="BU241" s="211"/>
      <c r="BV241" s="210"/>
      <c r="BW241" s="206"/>
      <c r="BX241" s="206"/>
      <c r="BY241" s="206"/>
      <c r="BZ241" s="206"/>
      <c r="CA241" s="206"/>
      <c r="CB241" s="206"/>
      <c r="CC241" s="206"/>
      <c r="CD241" s="211"/>
      <c r="CE241" s="210"/>
      <c r="CF241" s="206"/>
      <c r="CG241" s="206"/>
      <c r="CH241" s="206"/>
      <c r="CI241" s="206"/>
      <c r="CJ241" s="206"/>
      <c r="CK241" s="206"/>
      <c r="CL241" s="206"/>
      <c r="CM241" s="211"/>
      <c r="CN241" s="210"/>
      <c r="CO241" s="206"/>
      <c r="CP241" s="206"/>
      <c r="CQ241" s="206"/>
      <c r="CR241" s="206"/>
      <c r="CS241" s="206"/>
      <c r="CT241" s="206"/>
      <c r="CU241" s="206"/>
      <c r="CV241" s="211"/>
      <c r="CW241" s="210"/>
      <c r="CX241" s="206"/>
      <c r="CY241" s="206"/>
      <c r="CZ241" s="206"/>
      <c r="DA241" s="206"/>
      <c r="DB241" s="206"/>
      <c r="DC241" s="206"/>
      <c r="DD241" s="206"/>
      <c r="DE241" s="211"/>
      <c r="DF241" s="210"/>
      <c r="DG241" s="206"/>
      <c r="DH241" s="206"/>
      <c r="DI241" s="206"/>
      <c r="DJ241" s="206"/>
      <c r="DK241" s="206"/>
      <c r="DL241" s="206"/>
      <c r="DM241" s="206"/>
      <c r="DN241" s="211"/>
      <c r="DO241" s="210"/>
      <c r="DP241" s="206"/>
      <c r="DQ241" s="206"/>
      <c r="DR241" s="206"/>
      <c r="DS241" s="206"/>
      <c r="DT241" s="206"/>
      <c r="DU241" s="206"/>
      <c r="DV241" s="206"/>
      <c r="DW241" s="211"/>
      <c r="DX241" s="210"/>
      <c r="DY241" s="206"/>
      <c r="DZ241" s="206"/>
      <c r="EA241" s="206"/>
      <c r="EB241" s="206"/>
      <c r="EC241" s="206"/>
      <c r="ED241" s="206"/>
      <c r="EE241" s="206"/>
      <c r="EF241" s="211"/>
      <c r="EG241" s="210"/>
      <c r="EH241" s="206"/>
      <c r="EI241" s="206"/>
      <c r="EJ241" s="206"/>
      <c r="EK241" s="206"/>
      <c r="EL241" s="206"/>
      <c r="EM241" s="206"/>
      <c r="EN241" s="206"/>
      <c r="EO241" s="211"/>
      <c r="EP241" s="210"/>
      <c r="EQ241" s="206"/>
      <c r="ER241" s="206"/>
      <c r="ES241" s="206"/>
      <c r="ET241" s="206"/>
      <c r="EU241" s="206"/>
      <c r="EV241" s="206"/>
      <c r="EW241" s="206"/>
      <c r="EX241" s="211"/>
      <c r="EY241" s="210"/>
      <c r="EZ241" s="206"/>
      <c r="FA241" s="206"/>
      <c r="FB241" s="206"/>
      <c r="FC241" s="206"/>
      <c r="FD241" s="206"/>
      <c r="FE241" s="206"/>
      <c r="FF241" s="206"/>
      <c r="FG241" s="211"/>
      <c r="FH241" s="210"/>
      <c r="FI241" s="206"/>
      <c r="FJ241" s="206"/>
      <c r="FK241" s="206"/>
      <c r="FL241" s="206"/>
      <c r="FM241" s="206"/>
      <c r="FN241" s="206"/>
      <c r="FO241" s="206"/>
      <c r="FP241" s="211"/>
      <c r="FQ241" s="210"/>
      <c r="FR241" s="206"/>
      <c r="FS241" s="206"/>
      <c r="FT241" s="206"/>
      <c r="FU241" s="206"/>
      <c r="FV241" s="206"/>
      <c r="FW241" s="206"/>
      <c r="FX241" s="206"/>
      <c r="FY241" s="211"/>
    </row>
    <row r="243" spans="2:181" ht="30" customHeight="1" x14ac:dyDescent="0.25">
      <c r="B243" s="193" t="s">
        <v>372</v>
      </c>
      <c r="C243" s="194" t="s">
        <v>373</v>
      </c>
      <c r="D243" s="194" t="s">
        <v>374</v>
      </c>
      <c r="E243" s="195" t="s">
        <v>375</v>
      </c>
      <c r="F243" s="195" t="s">
        <v>376</v>
      </c>
      <c r="G243" s="195" t="s">
        <v>377</v>
      </c>
      <c r="H243" s="195" t="s">
        <v>378</v>
      </c>
      <c r="I243" s="195" t="s">
        <v>379</v>
      </c>
      <c r="J243" s="195" t="s">
        <v>380</v>
      </c>
      <c r="K243" s="195" t="s">
        <v>381</v>
      </c>
      <c r="L243" s="196" t="s">
        <v>382</v>
      </c>
      <c r="M243" s="196" t="s">
        <v>383</v>
      </c>
      <c r="N243" s="196" t="s">
        <v>384</v>
      </c>
      <c r="O243" s="196" t="s">
        <v>385</v>
      </c>
      <c r="P243" s="196" t="s">
        <v>386</v>
      </c>
      <c r="Q243" s="196" t="s">
        <v>387</v>
      </c>
      <c r="R243" s="196" t="s">
        <v>388</v>
      </c>
      <c r="S243" s="196" t="s">
        <v>389</v>
      </c>
      <c r="T243" s="193" t="s">
        <v>372</v>
      </c>
      <c r="U243" s="194" t="s">
        <v>390</v>
      </c>
      <c r="V243" s="194" t="s">
        <v>391</v>
      </c>
      <c r="W243" s="195" t="s">
        <v>392</v>
      </c>
      <c r="X243" s="195" t="s">
        <v>393</v>
      </c>
      <c r="Y243" s="195" t="s">
        <v>394</v>
      </c>
      <c r="Z243" s="195" t="s">
        <v>395</v>
      </c>
      <c r="AA243" s="195" t="s">
        <v>396</v>
      </c>
      <c r="AB243" s="195" t="s">
        <v>397</v>
      </c>
      <c r="AC243" s="195" t="s">
        <v>398</v>
      </c>
      <c r="AD243" s="196" t="s">
        <v>399</v>
      </c>
      <c r="AE243" s="196" t="s">
        <v>400</v>
      </c>
      <c r="AF243" s="196" t="s">
        <v>401</v>
      </c>
      <c r="AG243" s="196" t="s">
        <v>402</v>
      </c>
      <c r="AH243" s="196" t="s">
        <v>403</v>
      </c>
      <c r="AI243" s="196" t="s">
        <v>404</v>
      </c>
      <c r="AJ243" s="196" t="s">
        <v>405</v>
      </c>
      <c r="AK243" s="196" t="s">
        <v>406</v>
      </c>
      <c r="AL243" s="193" t="s">
        <v>372</v>
      </c>
      <c r="AM243" s="194" t="s">
        <v>407</v>
      </c>
      <c r="AN243" s="194" t="s">
        <v>408</v>
      </c>
      <c r="AO243" s="195" t="s">
        <v>409</v>
      </c>
      <c r="AP243" s="195" t="s">
        <v>410</v>
      </c>
      <c r="AQ243" s="195" t="s">
        <v>411</v>
      </c>
      <c r="AR243" s="195" t="s">
        <v>412</v>
      </c>
      <c r="AS243" s="195" t="s">
        <v>413</v>
      </c>
      <c r="AT243" s="195" t="s">
        <v>414</v>
      </c>
      <c r="AU243" s="195" t="s">
        <v>415</v>
      </c>
      <c r="AV243" s="196" t="s">
        <v>416</v>
      </c>
      <c r="AW243" s="196" t="s">
        <v>417</v>
      </c>
      <c r="AX243" s="196" t="s">
        <v>418</v>
      </c>
      <c r="AY243" s="196" t="s">
        <v>419</v>
      </c>
      <c r="AZ243" s="196" t="s">
        <v>420</v>
      </c>
      <c r="BA243" s="196" t="s">
        <v>421</v>
      </c>
      <c r="BB243" s="196" t="s">
        <v>422</v>
      </c>
      <c r="BC243" s="196" t="s">
        <v>423</v>
      </c>
      <c r="BD243" s="193" t="s">
        <v>372</v>
      </c>
      <c r="BE243" s="194" t="s">
        <v>424</v>
      </c>
      <c r="BF243" s="194" t="s">
        <v>425</v>
      </c>
      <c r="BG243" s="195" t="s">
        <v>426</v>
      </c>
      <c r="BH243" s="195" t="s">
        <v>427</v>
      </c>
      <c r="BI243" s="195" t="s">
        <v>428</v>
      </c>
      <c r="BJ243" s="195" t="s">
        <v>429</v>
      </c>
      <c r="BK243" s="195" t="s">
        <v>430</v>
      </c>
      <c r="BL243" s="195" t="s">
        <v>431</v>
      </c>
      <c r="BM243" s="195" t="s">
        <v>432</v>
      </c>
      <c r="BN243" s="196" t="s">
        <v>433</v>
      </c>
      <c r="BO243" s="196" t="s">
        <v>434</v>
      </c>
      <c r="BP243" s="196" t="s">
        <v>435</v>
      </c>
      <c r="BQ243" s="196" t="s">
        <v>436</v>
      </c>
      <c r="BR243" s="196" t="s">
        <v>437</v>
      </c>
      <c r="BS243" s="196" t="s">
        <v>438</v>
      </c>
      <c r="BT243" s="196" t="s">
        <v>439</v>
      </c>
      <c r="BU243" s="196" t="s">
        <v>440</v>
      </c>
      <c r="BV243" s="193" t="s">
        <v>372</v>
      </c>
      <c r="BW243" s="194" t="s">
        <v>441</v>
      </c>
      <c r="BX243" s="194" t="s">
        <v>442</v>
      </c>
      <c r="BY243" s="195" t="s">
        <v>443</v>
      </c>
      <c r="BZ243" s="195" t="s">
        <v>444</v>
      </c>
      <c r="CA243" s="195" t="s">
        <v>445</v>
      </c>
      <c r="CB243" s="195" t="s">
        <v>446</v>
      </c>
      <c r="CC243" s="195" t="s">
        <v>447</v>
      </c>
      <c r="CD243" s="195" t="s">
        <v>448</v>
      </c>
      <c r="CE243" s="195" t="s">
        <v>449</v>
      </c>
      <c r="CF243" s="196" t="s">
        <v>450</v>
      </c>
      <c r="CG243" s="196" t="s">
        <v>451</v>
      </c>
      <c r="CH243" s="196" t="s">
        <v>452</v>
      </c>
      <c r="CI243" s="196" t="s">
        <v>453</v>
      </c>
      <c r="CJ243" s="196" t="s">
        <v>454</v>
      </c>
      <c r="CK243" s="196" t="s">
        <v>455</v>
      </c>
      <c r="CL243" s="196" t="s">
        <v>456</v>
      </c>
      <c r="CM243" s="196" t="s">
        <v>457</v>
      </c>
      <c r="CN243" s="193" t="s">
        <v>372</v>
      </c>
      <c r="CO243" s="194" t="s">
        <v>458</v>
      </c>
      <c r="CP243" s="194" t="s">
        <v>459</v>
      </c>
      <c r="CQ243" s="195" t="s">
        <v>460</v>
      </c>
      <c r="CR243" s="195" t="s">
        <v>461</v>
      </c>
      <c r="CS243" s="195" t="s">
        <v>462</v>
      </c>
      <c r="CT243" s="195" t="s">
        <v>463</v>
      </c>
      <c r="CU243" s="195" t="s">
        <v>464</v>
      </c>
      <c r="CV243" s="195" t="s">
        <v>465</v>
      </c>
      <c r="CW243" s="195" t="s">
        <v>466</v>
      </c>
      <c r="CX243" s="196" t="s">
        <v>467</v>
      </c>
      <c r="CY243" s="196" t="s">
        <v>468</v>
      </c>
      <c r="CZ243" s="196" t="s">
        <v>469</v>
      </c>
      <c r="DA243" s="196" t="s">
        <v>470</v>
      </c>
      <c r="DB243" s="196" t="s">
        <v>471</v>
      </c>
      <c r="DC243" s="196" t="s">
        <v>472</v>
      </c>
      <c r="DD243" s="196" t="s">
        <v>473</v>
      </c>
      <c r="DE243" s="196" t="s">
        <v>474</v>
      </c>
      <c r="DF243" s="193" t="s">
        <v>372</v>
      </c>
      <c r="DG243" s="194" t="s">
        <v>526</v>
      </c>
      <c r="DH243" s="194" t="s">
        <v>527</v>
      </c>
      <c r="DI243" s="195" t="s">
        <v>528</v>
      </c>
      <c r="DJ243" s="195" t="s">
        <v>529</v>
      </c>
      <c r="DK243" s="195" t="s">
        <v>530</v>
      </c>
      <c r="DL243" s="195" t="s">
        <v>531</v>
      </c>
      <c r="DM243" s="195" t="s">
        <v>532</v>
      </c>
      <c r="DN243" s="195" t="s">
        <v>533</v>
      </c>
      <c r="DO243" s="195" t="s">
        <v>534</v>
      </c>
      <c r="DP243" s="196" t="s">
        <v>535</v>
      </c>
      <c r="DQ243" s="196" t="s">
        <v>536</v>
      </c>
      <c r="DR243" s="196" t="s">
        <v>537</v>
      </c>
      <c r="DS243" s="196" t="s">
        <v>538</v>
      </c>
      <c r="DT243" s="196" t="s">
        <v>539</v>
      </c>
      <c r="DU243" s="196" t="s">
        <v>540</v>
      </c>
      <c r="DV243" s="196" t="s">
        <v>541</v>
      </c>
      <c r="DW243" s="196" t="s">
        <v>542</v>
      </c>
      <c r="DX243" s="193" t="s">
        <v>372</v>
      </c>
      <c r="DY243" s="194" t="s">
        <v>492</v>
      </c>
      <c r="DZ243" s="194" t="s">
        <v>493</v>
      </c>
      <c r="EA243" s="195" t="s">
        <v>494</v>
      </c>
      <c r="EB243" s="195" t="s">
        <v>495</v>
      </c>
      <c r="EC243" s="195" t="s">
        <v>496</v>
      </c>
      <c r="ED243" s="195" t="s">
        <v>497</v>
      </c>
      <c r="EE243" s="195" t="s">
        <v>498</v>
      </c>
      <c r="EF243" s="195" t="s">
        <v>499</v>
      </c>
      <c r="EG243" s="195" t="s">
        <v>500</v>
      </c>
      <c r="EH243" s="196" t="s">
        <v>501</v>
      </c>
      <c r="EI243" s="196" t="s">
        <v>502</v>
      </c>
      <c r="EJ243" s="196" t="s">
        <v>503</v>
      </c>
      <c r="EK243" s="196" t="s">
        <v>504</v>
      </c>
      <c r="EL243" s="196" t="s">
        <v>505</v>
      </c>
      <c r="EM243" s="196" t="s">
        <v>506</v>
      </c>
      <c r="EN243" s="196" t="s">
        <v>507</v>
      </c>
      <c r="EO243" s="196" t="s">
        <v>508</v>
      </c>
      <c r="EP243" s="193" t="s">
        <v>372</v>
      </c>
      <c r="EQ243" s="194" t="s">
        <v>509</v>
      </c>
      <c r="ER243" s="194" t="s">
        <v>510</v>
      </c>
      <c r="ES243" s="195" t="s">
        <v>511</v>
      </c>
      <c r="ET243" s="195" t="s">
        <v>512</v>
      </c>
      <c r="EU243" s="195" t="s">
        <v>513</v>
      </c>
      <c r="EV243" s="195" t="s">
        <v>514</v>
      </c>
      <c r="EW243" s="195" t="s">
        <v>515</v>
      </c>
      <c r="EX243" s="195" t="s">
        <v>516</v>
      </c>
      <c r="EY243" s="195" t="s">
        <v>517</v>
      </c>
      <c r="EZ243" s="196" t="s">
        <v>518</v>
      </c>
      <c r="FA243" s="196" t="s">
        <v>519</v>
      </c>
      <c r="FB243" s="196" t="s">
        <v>520</v>
      </c>
      <c r="FC243" s="196" t="s">
        <v>521</v>
      </c>
      <c r="FD243" s="196" t="s">
        <v>522</v>
      </c>
      <c r="FE243" s="196" t="s">
        <v>523</v>
      </c>
      <c r="FF243" s="196" t="s">
        <v>524</v>
      </c>
      <c r="FG243" s="196" t="s">
        <v>525</v>
      </c>
      <c r="FH243" s="193" t="s">
        <v>372</v>
      </c>
      <c r="FI243" s="194" t="s">
        <v>526</v>
      </c>
      <c r="FJ243" s="194" t="s">
        <v>527</v>
      </c>
      <c r="FK243" s="195" t="s">
        <v>528</v>
      </c>
      <c r="FL243" s="195" t="s">
        <v>529</v>
      </c>
      <c r="FM243" s="195" t="s">
        <v>530</v>
      </c>
      <c r="FN243" s="195" t="s">
        <v>531</v>
      </c>
      <c r="FO243" s="195" t="s">
        <v>532</v>
      </c>
      <c r="FP243" s="195" t="s">
        <v>533</v>
      </c>
      <c r="FQ243" s="195" t="s">
        <v>534</v>
      </c>
      <c r="FR243" s="196" t="s">
        <v>535</v>
      </c>
      <c r="FS243" s="196" t="s">
        <v>536</v>
      </c>
      <c r="FT243" s="196" t="s">
        <v>537</v>
      </c>
      <c r="FU243" s="196" t="s">
        <v>538</v>
      </c>
      <c r="FV243" s="196" t="s">
        <v>539</v>
      </c>
      <c r="FW243" s="196" t="s">
        <v>540</v>
      </c>
      <c r="FX243" s="196" t="s">
        <v>541</v>
      </c>
      <c r="FY243" s="196" t="s">
        <v>542</v>
      </c>
    </row>
    <row r="244" spans="2:181" x14ac:dyDescent="0.25">
      <c r="B244" s="12">
        <v>181</v>
      </c>
      <c r="C244" s="195"/>
      <c r="D244" s="195"/>
      <c r="E244" s="195"/>
      <c r="F244" s="195"/>
      <c r="G244" s="195"/>
      <c r="H244" s="195"/>
      <c r="I244" s="195"/>
      <c r="J244" s="195"/>
      <c r="K244" s="195"/>
      <c r="L244" s="195"/>
      <c r="M244" s="195"/>
      <c r="N244" s="195"/>
      <c r="O244" s="195"/>
      <c r="P244" s="195"/>
      <c r="Q244" s="195"/>
      <c r="R244" s="195"/>
      <c r="S244" s="195"/>
      <c r="T244" s="12">
        <v>181</v>
      </c>
      <c r="U244" s="195"/>
      <c r="V244" s="195"/>
      <c r="W244" s="195"/>
      <c r="X244" s="195"/>
      <c r="Y244" s="195"/>
      <c r="Z244" s="195"/>
      <c r="AA244" s="195"/>
      <c r="AB244" s="195"/>
      <c r="AC244" s="195"/>
      <c r="AD244" s="195"/>
      <c r="AE244" s="195"/>
      <c r="AF244" s="195"/>
      <c r="AG244" s="195"/>
      <c r="AH244" s="195"/>
      <c r="AI244" s="195"/>
      <c r="AJ244" s="195"/>
      <c r="AK244" s="195"/>
      <c r="AL244" s="12">
        <v>181</v>
      </c>
      <c r="AM244" s="195"/>
      <c r="AN244" s="195"/>
      <c r="AO244" s="195"/>
      <c r="AP244" s="195"/>
      <c r="AQ244" s="195"/>
      <c r="AR244" s="195"/>
      <c r="AS244" s="195"/>
      <c r="AT244" s="195"/>
      <c r="AU244" s="195"/>
      <c r="AV244" s="195"/>
      <c r="AW244" s="195"/>
      <c r="AX244" s="195"/>
      <c r="AY244" s="195"/>
      <c r="AZ244" s="195"/>
      <c r="BA244" s="195"/>
      <c r="BB244" s="195"/>
      <c r="BC244" s="195"/>
      <c r="BD244" s="12">
        <v>181</v>
      </c>
      <c r="BE244" s="195"/>
      <c r="BF244" s="195"/>
      <c r="BG244" s="195"/>
      <c r="BH244" s="195"/>
      <c r="BI244" s="195"/>
      <c r="BJ244" s="195"/>
      <c r="BK244" s="195"/>
      <c r="BL244" s="195"/>
      <c r="BM244" s="195"/>
      <c r="BN244" s="195"/>
      <c r="BO244" s="195"/>
      <c r="BP244" s="195"/>
      <c r="BQ244" s="195"/>
      <c r="BR244" s="195"/>
      <c r="BS244" s="195"/>
      <c r="BT244" s="195"/>
      <c r="BU244" s="195"/>
      <c r="BV244" s="12">
        <v>181</v>
      </c>
      <c r="BW244" s="195"/>
      <c r="BX244" s="195"/>
      <c r="BY244" s="195"/>
      <c r="BZ244" s="195"/>
      <c r="CA244" s="195"/>
      <c r="CB244" s="195"/>
      <c r="CC244" s="195"/>
      <c r="CD244" s="195"/>
      <c r="CE244" s="195"/>
      <c r="CF244" s="195"/>
      <c r="CG244" s="195"/>
      <c r="CH244" s="195"/>
      <c r="CI244" s="195"/>
      <c r="CJ244" s="195"/>
      <c r="CK244" s="195"/>
      <c r="CL244" s="195"/>
      <c r="CM244" s="195"/>
      <c r="CN244" s="12">
        <v>181</v>
      </c>
      <c r="CO244" s="195"/>
      <c r="CP244" s="195"/>
      <c r="CQ244" s="195"/>
      <c r="CR244" s="195"/>
      <c r="CS244" s="195"/>
      <c r="CT244" s="195"/>
      <c r="CU244" s="195"/>
      <c r="CV244" s="195"/>
      <c r="CW244" s="195"/>
      <c r="CX244" s="195"/>
      <c r="CY244" s="195"/>
      <c r="CZ244" s="195"/>
      <c r="DA244" s="195"/>
      <c r="DB244" s="195"/>
      <c r="DC244" s="195"/>
      <c r="DD244" s="195"/>
      <c r="DE244" s="195"/>
      <c r="DF244" s="12">
        <v>181</v>
      </c>
      <c r="DG244" s="195"/>
      <c r="DH244" s="195"/>
      <c r="DI244" s="195"/>
      <c r="DJ244" s="195"/>
      <c r="DK244" s="195"/>
      <c r="DL244" s="195"/>
      <c r="DM244" s="195"/>
      <c r="DN244" s="195"/>
      <c r="DO244" s="195"/>
      <c r="DP244" s="195"/>
      <c r="DQ244" s="195"/>
      <c r="DR244" s="195"/>
      <c r="DS244" s="195"/>
      <c r="DT244" s="195"/>
      <c r="DU244" s="195"/>
      <c r="DV244" s="195"/>
      <c r="DW244" s="195"/>
      <c r="DX244" s="12">
        <v>181</v>
      </c>
      <c r="DY244" s="195"/>
      <c r="DZ244" s="195"/>
      <c r="EA244" s="195"/>
      <c r="EB244" s="195"/>
      <c r="EC244" s="195"/>
      <c r="ED244" s="195"/>
      <c r="EE244" s="195"/>
      <c r="EF244" s="195"/>
      <c r="EG244" s="195"/>
      <c r="EH244" s="195"/>
      <c r="EI244" s="195"/>
      <c r="EJ244" s="195"/>
      <c r="EK244" s="195"/>
      <c r="EL244" s="195"/>
      <c r="EM244" s="195"/>
      <c r="EN244" s="195"/>
      <c r="EO244" s="195"/>
      <c r="EP244" s="12">
        <v>181</v>
      </c>
      <c r="EQ244" s="195"/>
      <c r="ER244" s="195"/>
      <c r="ES244" s="195"/>
      <c r="ET244" s="195"/>
      <c r="EU244" s="195"/>
      <c r="EV244" s="195"/>
      <c r="EW244" s="195"/>
      <c r="EX244" s="195"/>
      <c r="EY244" s="195"/>
      <c r="EZ244" s="195"/>
      <c r="FA244" s="195"/>
      <c r="FB244" s="195"/>
      <c r="FC244" s="195"/>
      <c r="FD244" s="195"/>
      <c r="FE244" s="195"/>
      <c r="FF244" s="195"/>
      <c r="FG244" s="195"/>
      <c r="FH244" s="12">
        <v>181</v>
      </c>
      <c r="FI244" s="195"/>
      <c r="FJ244" s="195"/>
      <c r="FK244" s="195"/>
      <c r="FL244" s="195"/>
      <c r="FM244" s="195"/>
      <c r="FN244" s="195"/>
      <c r="FO244" s="195"/>
      <c r="FP244" s="195"/>
      <c r="FQ244" s="195"/>
      <c r="FR244" s="195"/>
      <c r="FS244" s="195"/>
      <c r="FT244" s="195"/>
      <c r="FU244" s="195"/>
      <c r="FV244" s="195"/>
      <c r="FW244" s="195"/>
      <c r="FX244" s="195"/>
      <c r="FY244" s="195"/>
    </row>
    <row r="245" spans="2:181" x14ac:dyDescent="0.25">
      <c r="B245" s="197">
        <v>182</v>
      </c>
      <c r="C245" s="195"/>
      <c r="D245" s="195"/>
      <c r="E245" s="195"/>
      <c r="F245" s="195"/>
      <c r="G245" s="195"/>
      <c r="H245" s="195"/>
      <c r="I245" s="195"/>
      <c r="J245" s="195"/>
      <c r="K245" s="195"/>
      <c r="L245" s="195"/>
      <c r="M245" s="195"/>
      <c r="N245" s="195"/>
      <c r="O245" s="195"/>
      <c r="P245" s="195"/>
      <c r="Q245" s="195"/>
      <c r="R245" s="195"/>
      <c r="S245" s="195"/>
      <c r="T245" s="197">
        <v>182</v>
      </c>
      <c r="U245" s="195"/>
      <c r="V245" s="195"/>
      <c r="W245" s="195"/>
      <c r="X245" s="195"/>
      <c r="Y245" s="195"/>
      <c r="Z245" s="195"/>
      <c r="AA245" s="195"/>
      <c r="AB245" s="195"/>
      <c r="AC245" s="195"/>
      <c r="AD245" s="195"/>
      <c r="AE245" s="195"/>
      <c r="AF245" s="195"/>
      <c r="AG245" s="195"/>
      <c r="AH245" s="195"/>
      <c r="AI245" s="195"/>
      <c r="AJ245" s="195"/>
      <c r="AK245" s="195"/>
      <c r="AL245" s="197">
        <v>182</v>
      </c>
      <c r="AM245" s="195"/>
      <c r="AN245" s="195"/>
      <c r="AO245" s="195"/>
      <c r="AP245" s="195"/>
      <c r="AQ245" s="195"/>
      <c r="AR245" s="195"/>
      <c r="AS245" s="195"/>
      <c r="AT245" s="195"/>
      <c r="AU245" s="195"/>
      <c r="AV245" s="195"/>
      <c r="AW245" s="195"/>
      <c r="AX245" s="195"/>
      <c r="AY245" s="195"/>
      <c r="AZ245" s="195"/>
      <c r="BA245" s="195"/>
      <c r="BB245" s="195"/>
      <c r="BC245" s="195"/>
      <c r="BD245" s="197">
        <v>182</v>
      </c>
      <c r="BE245" s="195"/>
      <c r="BF245" s="195"/>
      <c r="BG245" s="195"/>
      <c r="BH245" s="195"/>
      <c r="BI245" s="195"/>
      <c r="BJ245" s="195"/>
      <c r="BK245" s="195"/>
      <c r="BL245" s="195"/>
      <c r="BM245" s="195"/>
      <c r="BN245" s="195"/>
      <c r="BO245" s="195"/>
      <c r="BP245" s="195"/>
      <c r="BQ245" s="195"/>
      <c r="BR245" s="195"/>
      <c r="BS245" s="195"/>
      <c r="BT245" s="195"/>
      <c r="BU245" s="195"/>
      <c r="BV245" s="197">
        <v>182</v>
      </c>
      <c r="BW245" s="195"/>
      <c r="BX245" s="195"/>
      <c r="BY245" s="195"/>
      <c r="BZ245" s="195"/>
      <c r="CA245" s="195"/>
      <c r="CB245" s="195"/>
      <c r="CC245" s="195"/>
      <c r="CD245" s="195"/>
      <c r="CE245" s="195"/>
      <c r="CF245" s="195"/>
      <c r="CG245" s="195"/>
      <c r="CH245" s="195"/>
      <c r="CI245" s="195"/>
      <c r="CJ245" s="195"/>
      <c r="CK245" s="195"/>
      <c r="CL245" s="195"/>
      <c r="CM245" s="195"/>
      <c r="CN245" s="197">
        <v>182</v>
      </c>
      <c r="CO245" s="195"/>
      <c r="CP245" s="195"/>
      <c r="CQ245" s="195"/>
      <c r="CR245" s="195"/>
      <c r="CS245" s="195"/>
      <c r="CT245" s="195"/>
      <c r="CU245" s="195"/>
      <c r="CV245" s="195"/>
      <c r="CW245" s="195"/>
      <c r="CX245" s="195"/>
      <c r="CY245" s="195"/>
      <c r="CZ245" s="195"/>
      <c r="DA245" s="195"/>
      <c r="DB245" s="195"/>
      <c r="DC245" s="195"/>
      <c r="DD245" s="195"/>
      <c r="DE245" s="195"/>
      <c r="DF245" s="197">
        <v>182</v>
      </c>
      <c r="DG245" s="195"/>
      <c r="DH245" s="195"/>
      <c r="DI245" s="195"/>
      <c r="DJ245" s="195"/>
      <c r="DK245" s="195"/>
      <c r="DL245" s="195"/>
      <c r="DM245" s="195"/>
      <c r="DN245" s="195"/>
      <c r="DO245" s="195"/>
      <c r="DP245" s="195"/>
      <c r="DQ245" s="195"/>
      <c r="DR245" s="195"/>
      <c r="DS245" s="195"/>
      <c r="DT245" s="195"/>
      <c r="DU245" s="195"/>
      <c r="DV245" s="195"/>
      <c r="DW245" s="195"/>
      <c r="DX245" s="197">
        <v>182</v>
      </c>
      <c r="DY245" s="195"/>
      <c r="DZ245" s="195"/>
      <c r="EA245" s="195"/>
      <c r="EB245" s="195"/>
      <c r="EC245" s="195"/>
      <c r="ED245" s="195"/>
      <c r="EE245" s="195"/>
      <c r="EF245" s="195"/>
      <c r="EG245" s="195"/>
      <c r="EH245" s="195"/>
      <c r="EI245" s="195"/>
      <c r="EJ245" s="195"/>
      <c r="EK245" s="195"/>
      <c r="EL245" s="195"/>
      <c r="EM245" s="195"/>
      <c r="EN245" s="195"/>
      <c r="EO245" s="195"/>
      <c r="EP245" s="197">
        <v>182</v>
      </c>
      <c r="EQ245" s="195"/>
      <c r="ER245" s="195"/>
      <c r="ES245" s="195"/>
      <c r="ET245" s="195"/>
      <c r="EU245" s="195"/>
      <c r="EV245" s="195"/>
      <c r="EW245" s="195"/>
      <c r="EX245" s="195"/>
      <c r="EY245" s="195"/>
      <c r="EZ245" s="195"/>
      <c r="FA245" s="195"/>
      <c r="FB245" s="195"/>
      <c r="FC245" s="195"/>
      <c r="FD245" s="195"/>
      <c r="FE245" s="195"/>
      <c r="FF245" s="195"/>
      <c r="FG245" s="195"/>
      <c r="FH245" s="197">
        <v>182</v>
      </c>
      <c r="FI245" s="195"/>
      <c r="FJ245" s="195"/>
      <c r="FK245" s="195"/>
      <c r="FL245" s="195"/>
      <c r="FM245" s="195"/>
      <c r="FN245" s="195"/>
      <c r="FO245" s="195"/>
      <c r="FP245" s="195"/>
      <c r="FQ245" s="195"/>
      <c r="FR245" s="195"/>
      <c r="FS245" s="195"/>
      <c r="FT245" s="195"/>
      <c r="FU245" s="195"/>
      <c r="FV245" s="195"/>
      <c r="FW245" s="195"/>
      <c r="FX245" s="195"/>
      <c r="FY245" s="195"/>
    </row>
    <row r="246" spans="2:181" x14ac:dyDescent="0.25">
      <c r="B246" s="12">
        <v>183</v>
      </c>
      <c r="C246" s="195"/>
      <c r="D246" s="195"/>
      <c r="E246" s="195"/>
      <c r="F246" s="195"/>
      <c r="G246" s="195"/>
      <c r="H246" s="195"/>
      <c r="I246" s="195"/>
      <c r="J246" s="195"/>
      <c r="K246" s="195"/>
      <c r="L246" s="195"/>
      <c r="M246" s="195"/>
      <c r="N246" s="195"/>
      <c r="O246" s="195"/>
      <c r="P246" s="195"/>
      <c r="Q246" s="195"/>
      <c r="R246" s="195"/>
      <c r="S246" s="195"/>
      <c r="T246" s="12">
        <v>183</v>
      </c>
      <c r="U246" s="195"/>
      <c r="V246" s="195"/>
      <c r="W246" s="195"/>
      <c r="X246" s="195"/>
      <c r="Y246" s="195"/>
      <c r="Z246" s="195"/>
      <c r="AA246" s="195"/>
      <c r="AB246" s="195"/>
      <c r="AC246" s="195"/>
      <c r="AD246" s="195"/>
      <c r="AE246" s="195"/>
      <c r="AF246" s="195"/>
      <c r="AG246" s="195"/>
      <c r="AH246" s="195"/>
      <c r="AI246" s="195"/>
      <c r="AJ246" s="195"/>
      <c r="AK246" s="195"/>
      <c r="AL246" s="12">
        <v>183</v>
      </c>
      <c r="AM246" s="195"/>
      <c r="AN246" s="195"/>
      <c r="AO246" s="195"/>
      <c r="AP246" s="195"/>
      <c r="AQ246" s="195"/>
      <c r="AR246" s="195"/>
      <c r="AS246" s="195"/>
      <c r="AT246" s="195"/>
      <c r="AU246" s="195"/>
      <c r="AV246" s="195"/>
      <c r="AW246" s="195"/>
      <c r="AX246" s="195"/>
      <c r="AY246" s="195"/>
      <c r="AZ246" s="195"/>
      <c r="BA246" s="195"/>
      <c r="BB246" s="195"/>
      <c r="BC246" s="195"/>
      <c r="BD246" s="12">
        <v>183</v>
      </c>
      <c r="BE246" s="195"/>
      <c r="BF246" s="195"/>
      <c r="BG246" s="195"/>
      <c r="BH246" s="195"/>
      <c r="BI246" s="195"/>
      <c r="BJ246" s="195"/>
      <c r="BK246" s="195"/>
      <c r="BL246" s="195"/>
      <c r="BM246" s="195"/>
      <c r="BN246" s="195"/>
      <c r="BO246" s="195"/>
      <c r="BP246" s="195"/>
      <c r="BQ246" s="195"/>
      <c r="BR246" s="195"/>
      <c r="BS246" s="195"/>
      <c r="BT246" s="195"/>
      <c r="BU246" s="195"/>
      <c r="BV246" s="12">
        <v>183</v>
      </c>
      <c r="BW246" s="195"/>
      <c r="BX246" s="195"/>
      <c r="BY246" s="195"/>
      <c r="BZ246" s="195"/>
      <c r="CA246" s="195"/>
      <c r="CB246" s="195"/>
      <c r="CC246" s="195"/>
      <c r="CD246" s="195"/>
      <c r="CE246" s="195"/>
      <c r="CF246" s="195"/>
      <c r="CG246" s="195"/>
      <c r="CH246" s="195"/>
      <c r="CI246" s="195"/>
      <c r="CJ246" s="195"/>
      <c r="CK246" s="195"/>
      <c r="CL246" s="195"/>
      <c r="CM246" s="195"/>
      <c r="CN246" s="12">
        <v>183</v>
      </c>
      <c r="CO246" s="195"/>
      <c r="CP246" s="195"/>
      <c r="CQ246" s="195"/>
      <c r="CR246" s="195"/>
      <c r="CS246" s="195"/>
      <c r="CT246" s="195"/>
      <c r="CU246" s="195"/>
      <c r="CV246" s="195"/>
      <c r="CW246" s="195"/>
      <c r="CX246" s="195"/>
      <c r="CY246" s="195"/>
      <c r="CZ246" s="195"/>
      <c r="DA246" s="195"/>
      <c r="DB246" s="195"/>
      <c r="DC246" s="195"/>
      <c r="DD246" s="195"/>
      <c r="DE246" s="195"/>
      <c r="DF246" s="12">
        <v>183</v>
      </c>
      <c r="DG246" s="195"/>
      <c r="DH246" s="195"/>
      <c r="DI246" s="195"/>
      <c r="DJ246" s="195"/>
      <c r="DK246" s="195"/>
      <c r="DL246" s="195"/>
      <c r="DM246" s="195"/>
      <c r="DN246" s="195"/>
      <c r="DO246" s="195"/>
      <c r="DP246" s="195"/>
      <c r="DQ246" s="195"/>
      <c r="DR246" s="195"/>
      <c r="DS246" s="195"/>
      <c r="DT246" s="195"/>
      <c r="DU246" s="195"/>
      <c r="DV246" s="195"/>
      <c r="DW246" s="195"/>
      <c r="DX246" s="12">
        <v>183</v>
      </c>
      <c r="DY246" s="195"/>
      <c r="DZ246" s="195"/>
      <c r="EA246" s="195"/>
      <c r="EB246" s="195"/>
      <c r="EC246" s="195"/>
      <c r="ED246" s="195"/>
      <c r="EE246" s="195"/>
      <c r="EF246" s="195"/>
      <c r="EG246" s="195"/>
      <c r="EH246" s="195"/>
      <c r="EI246" s="195"/>
      <c r="EJ246" s="195"/>
      <c r="EK246" s="195"/>
      <c r="EL246" s="195"/>
      <c r="EM246" s="195"/>
      <c r="EN246" s="195"/>
      <c r="EO246" s="195"/>
      <c r="EP246" s="12">
        <v>183</v>
      </c>
      <c r="EQ246" s="195"/>
      <c r="ER246" s="195"/>
      <c r="ES246" s="195"/>
      <c r="ET246" s="195"/>
      <c r="EU246" s="195"/>
      <c r="EV246" s="195"/>
      <c r="EW246" s="195"/>
      <c r="EX246" s="195"/>
      <c r="EY246" s="195"/>
      <c r="EZ246" s="195"/>
      <c r="FA246" s="195"/>
      <c r="FB246" s="195"/>
      <c r="FC246" s="195"/>
      <c r="FD246" s="195"/>
      <c r="FE246" s="195"/>
      <c r="FF246" s="195"/>
      <c r="FG246" s="195"/>
      <c r="FH246" s="12">
        <v>183</v>
      </c>
      <c r="FI246" s="195"/>
      <c r="FJ246" s="195"/>
      <c r="FK246" s="195"/>
      <c r="FL246" s="195"/>
      <c r="FM246" s="195"/>
      <c r="FN246" s="195"/>
      <c r="FO246" s="195"/>
      <c r="FP246" s="195"/>
      <c r="FQ246" s="195"/>
      <c r="FR246" s="195"/>
      <c r="FS246" s="195"/>
      <c r="FT246" s="195"/>
      <c r="FU246" s="195"/>
      <c r="FV246" s="195"/>
      <c r="FW246" s="195"/>
      <c r="FX246" s="195"/>
      <c r="FY246" s="195"/>
    </row>
    <row r="247" spans="2:181" x14ac:dyDescent="0.25">
      <c r="B247" s="12">
        <v>184</v>
      </c>
      <c r="C247" s="195"/>
      <c r="D247" s="195"/>
      <c r="E247" s="195"/>
      <c r="F247" s="195"/>
      <c r="G247" s="195"/>
      <c r="H247" s="195"/>
      <c r="I247" s="195"/>
      <c r="J247" s="195"/>
      <c r="K247" s="195"/>
      <c r="L247" s="195"/>
      <c r="M247" s="195"/>
      <c r="N247" s="195"/>
      <c r="O247" s="195"/>
      <c r="P247" s="195"/>
      <c r="Q247" s="195"/>
      <c r="R247" s="195"/>
      <c r="S247" s="195"/>
      <c r="T247" s="12">
        <v>184</v>
      </c>
      <c r="U247" s="195"/>
      <c r="V247" s="195"/>
      <c r="W247" s="195"/>
      <c r="X247" s="195"/>
      <c r="Y247" s="195"/>
      <c r="Z247" s="195"/>
      <c r="AA247" s="195"/>
      <c r="AB247" s="195"/>
      <c r="AC247" s="195"/>
      <c r="AD247" s="195"/>
      <c r="AE247" s="195"/>
      <c r="AF247" s="195"/>
      <c r="AG247" s="195"/>
      <c r="AH247" s="195"/>
      <c r="AI247" s="195"/>
      <c r="AJ247" s="195"/>
      <c r="AK247" s="195"/>
      <c r="AL247" s="12">
        <v>184</v>
      </c>
      <c r="AM247" s="195"/>
      <c r="AN247" s="195"/>
      <c r="AO247" s="195"/>
      <c r="AP247" s="195"/>
      <c r="AQ247" s="195"/>
      <c r="AR247" s="195"/>
      <c r="AS247" s="195"/>
      <c r="AT247" s="195"/>
      <c r="AU247" s="195"/>
      <c r="AV247" s="195"/>
      <c r="AW247" s="195"/>
      <c r="AX247" s="195"/>
      <c r="AY247" s="195"/>
      <c r="AZ247" s="195"/>
      <c r="BA247" s="195"/>
      <c r="BB247" s="195"/>
      <c r="BC247" s="195"/>
      <c r="BD247" s="12">
        <v>184</v>
      </c>
      <c r="BE247" s="195"/>
      <c r="BF247" s="195"/>
      <c r="BG247" s="195"/>
      <c r="BH247" s="195"/>
      <c r="BI247" s="195"/>
      <c r="BJ247" s="195"/>
      <c r="BK247" s="195"/>
      <c r="BL247" s="195"/>
      <c r="BM247" s="195"/>
      <c r="BN247" s="195"/>
      <c r="BO247" s="195"/>
      <c r="BP247" s="195"/>
      <c r="BQ247" s="195"/>
      <c r="BR247" s="195"/>
      <c r="BS247" s="195"/>
      <c r="BT247" s="195"/>
      <c r="BU247" s="195"/>
      <c r="BV247" s="12">
        <v>184</v>
      </c>
      <c r="BW247" s="195"/>
      <c r="BX247" s="195"/>
      <c r="BY247" s="195"/>
      <c r="BZ247" s="195"/>
      <c r="CA247" s="195"/>
      <c r="CB247" s="195"/>
      <c r="CC247" s="195"/>
      <c r="CD247" s="195"/>
      <c r="CE247" s="195"/>
      <c r="CF247" s="195"/>
      <c r="CG247" s="195"/>
      <c r="CH247" s="195"/>
      <c r="CI247" s="195"/>
      <c r="CJ247" s="195"/>
      <c r="CK247" s="195"/>
      <c r="CL247" s="195"/>
      <c r="CM247" s="195"/>
      <c r="CN247" s="12">
        <v>184</v>
      </c>
      <c r="CO247" s="195"/>
      <c r="CP247" s="195"/>
      <c r="CQ247" s="195"/>
      <c r="CR247" s="195"/>
      <c r="CS247" s="195"/>
      <c r="CT247" s="195"/>
      <c r="CU247" s="195"/>
      <c r="CV247" s="195"/>
      <c r="CW247" s="195"/>
      <c r="CX247" s="195"/>
      <c r="CY247" s="195"/>
      <c r="CZ247" s="195"/>
      <c r="DA247" s="195"/>
      <c r="DB247" s="195"/>
      <c r="DC247" s="195"/>
      <c r="DD247" s="195"/>
      <c r="DE247" s="195"/>
      <c r="DF247" s="12">
        <v>184</v>
      </c>
      <c r="DG247" s="195"/>
      <c r="DH247" s="195"/>
      <c r="DI247" s="195"/>
      <c r="DJ247" s="195"/>
      <c r="DK247" s="195"/>
      <c r="DL247" s="195"/>
      <c r="DM247" s="195"/>
      <c r="DN247" s="195"/>
      <c r="DO247" s="195"/>
      <c r="DP247" s="195"/>
      <c r="DQ247" s="195"/>
      <c r="DR247" s="195"/>
      <c r="DS247" s="195"/>
      <c r="DT247" s="195"/>
      <c r="DU247" s="195"/>
      <c r="DV247" s="195"/>
      <c r="DW247" s="195"/>
      <c r="DX247" s="12">
        <v>184</v>
      </c>
      <c r="DY247" s="195"/>
      <c r="DZ247" s="195"/>
      <c r="EA247" s="195"/>
      <c r="EB247" s="195"/>
      <c r="EC247" s="195"/>
      <c r="ED247" s="195"/>
      <c r="EE247" s="195"/>
      <c r="EF247" s="195"/>
      <c r="EG247" s="195"/>
      <c r="EH247" s="195"/>
      <c r="EI247" s="195"/>
      <c r="EJ247" s="195"/>
      <c r="EK247" s="195"/>
      <c r="EL247" s="195"/>
      <c r="EM247" s="195"/>
      <c r="EN247" s="195"/>
      <c r="EO247" s="195"/>
      <c r="EP247" s="12">
        <v>184</v>
      </c>
      <c r="EQ247" s="195"/>
      <c r="ER247" s="195"/>
      <c r="ES247" s="195"/>
      <c r="ET247" s="195"/>
      <c r="EU247" s="195"/>
      <c r="EV247" s="195"/>
      <c r="EW247" s="195"/>
      <c r="EX247" s="195"/>
      <c r="EY247" s="195"/>
      <c r="EZ247" s="195"/>
      <c r="FA247" s="195"/>
      <c r="FB247" s="195"/>
      <c r="FC247" s="195"/>
      <c r="FD247" s="195"/>
      <c r="FE247" s="195"/>
      <c r="FF247" s="195"/>
      <c r="FG247" s="195"/>
      <c r="FH247" s="12">
        <v>184</v>
      </c>
      <c r="FI247" s="195"/>
      <c r="FJ247" s="195"/>
      <c r="FK247" s="195"/>
      <c r="FL247" s="195"/>
      <c r="FM247" s="195"/>
      <c r="FN247" s="195"/>
      <c r="FO247" s="195"/>
      <c r="FP247" s="195"/>
      <c r="FQ247" s="195"/>
      <c r="FR247" s="195"/>
      <c r="FS247" s="195"/>
      <c r="FT247" s="195"/>
      <c r="FU247" s="195"/>
      <c r="FV247" s="195"/>
      <c r="FW247" s="195"/>
      <c r="FX247" s="195"/>
      <c r="FY247" s="195"/>
    </row>
    <row r="248" spans="2:181" x14ac:dyDescent="0.25">
      <c r="B248" s="197">
        <v>185</v>
      </c>
      <c r="C248" s="195"/>
      <c r="D248" s="195"/>
      <c r="E248" s="195"/>
      <c r="F248" s="195"/>
      <c r="G248" s="195"/>
      <c r="H248" s="195"/>
      <c r="I248" s="195"/>
      <c r="J248" s="195"/>
      <c r="K248" s="195"/>
      <c r="L248" s="195"/>
      <c r="M248" s="195"/>
      <c r="N248" s="195"/>
      <c r="O248" s="195"/>
      <c r="P248" s="195"/>
      <c r="Q248" s="195"/>
      <c r="R248" s="195"/>
      <c r="S248" s="195"/>
      <c r="T248" s="197">
        <v>185</v>
      </c>
      <c r="U248" s="195"/>
      <c r="V248" s="195"/>
      <c r="W248" s="195"/>
      <c r="X248" s="195"/>
      <c r="Y248" s="195"/>
      <c r="Z248" s="195"/>
      <c r="AA248" s="195"/>
      <c r="AB248" s="195"/>
      <c r="AC248" s="195"/>
      <c r="AD248" s="195"/>
      <c r="AE248" s="195"/>
      <c r="AF248" s="195"/>
      <c r="AG248" s="195"/>
      <c r="AH248" s="195"/>
      <c r="AI248" s="195"/>
      <c r="AJ248" s="195"/>
      <c r="AK248" s="195"/>
      <c r="AL248" s="197">
        <v>185</v>
      </c>
      <c r="AM248" s="195"/>
      <c r="AN248" s="195"/>
      <c r="AO248" s="195"/>
      <c r="AP248" s="195"/>
      <c r="AQ248" s="195"/>
      <c r="AR248" s="195"/>
      <c r="AS248" s="195"/>
      <c r="AT248" s="195"/>
      <c r="AU248" s="195"/>
      <c r="AV248" s="195"/>
      <c r="AW248" s="195"/>
      <c r="AX248" s="195"/>
      <c r="AY248" s="195"/>
      <c r="AZ248" s="195"/>
      <c r="BA248" s="195"/>
      <c r="BB248" s="195"/>
      <c r="BC248" s="195"/>
      <c r="BD248" s="197">
        <v>185</v>
      </c>
      <c r="BE248" s="195"/>
      <c r="BF248" s="195"/>
      <c r="BG248" s="195"/>
      <c r="BH248" s="195"/>
      <c r="BI248" s="195"/>
      <c r="BJ248" s="195"/>
      <c r="BK248" s="195"/>
      <c r="BL248" s="195"/>
      <c r="BM248" s="195"/>
      <c r="BN248" s="195"/>
      <c r="BO248" s="195"/>
      <c r="BP248" s="195"/>
      <c r="BQ248" s="195"/>
      <c r="BR248" s="195"/>
      <c r="BS248" s="195"/>
      <c r="BT248" s="195"/>
      <c r="BU248" s="195"/>
      <c r="BV248" s="197">
        <v>185</v>
      </c>
      <c r="BW248" s="195"/>
      <c r="BX248" s="195"/>
      <c r="BY248" s="195"/>
      <c r="BZ248" s="195"/>
      <c r="CA248" s="195"/>
      <c r="CB248" s="195"/>
      <c r="CC248" s="195"/>
      <c r="CD248" s="195"/>
      <c r="CE248" s="195"/>
      <c r="CF248" s="195"/>
      <c r="CG248" s="195"/>
      <c r="CH248" s="195"/>
      <c r="CI248" s="195"/>
      <c r="CJ248" s="195"/>
      <c r="CK248" s="195"/>
      <c r="CL248" s="195"/>
      <c r="CM248" s="195"/>
      <c r="CN248" s="197">
        <v>185</v>
      </c>
      <c r="CO248" s="195"/>
      <c r="CP248" s="195"/>
      <c r="CQ248" s="195"/>
      <c r="CR248" s="195"/>
      <c r="CS248" s="195"/>
      <c r="CT248" s="195"/>
      <c r="CU248" s="195"/>
      <c r="CV248" s="195"/>
      <c r="CW248" s="195"/>
      <c r="CX248" s="195"/>
      <c r="CY248" s="195"/>
      <c r="CZ248" s="195"/>
      <c r="DA248" s="195"/>
      <c r="DB248" s="195"/>
      <c r="DC248" s="195"/>
      <c r="DD248" s="195"/>
      <c r="DE248" s="195"/>
      <c r="DF248" s="197">
        <v>185</v>
      </c>
      <c r="DG248" s="195"/>
      <c r="DH248" s="195"/>
      <c r="DI248" s="195"/>
      <c r="DJ248" s="195"/>
      <c r="DK248" s="195"/>
      <c r="DL248" s="195"/>
      <c r="DM248" s="195"/>
      <c r="DN248" s="195"/>
      <c r="DO248" s="195"/>
      <c r="DP248" s="195"/>
      <c r="DQ248" s="195"/>
      <c r="DR248" s="195"/>
      <c r="DS248" s="195"/>
      <c r="DT248" s="195"/>
      <c r="DU248" s="195"/>
      <c r="DV248" s="195"/>
      <c r="DW248" s="195"/>
      <c r="DX248" s="197">
        <v>185</v>
      </c>
      <c r="DY248" s="195"/>
      <c r="DZ248" s="195"/>
      <c r="EA248" s="195"/>
      <c r="EB248" s="195"/>
      <c r="EC248" s="195"/>
      <c r="ED248" s="195"/>
      <c r="EE248" s="195"/>
      <c r="EF248" s="195"/>
      <c r="EG248" s="195"/>
      <c r="EH248" s="195"/>
      <c r="EI248" s="195"/>
      <c r="EJ248" s="195"/>
      <c r="EK248" s="195"/>
      <c r="EL248" s="195"/>
      <c r="EM248" s="195"/>
      <c r="EN248" s="195"/>
      <c r="EO248" s="195"/>
      <c r="EP248" s="197">
        <v>185</v>
      </c>
      <c r="EQ248" s="195"/>
      <c r="ER248" s="195"/>
      <c r="ES248" s="195"/>
      <c r="ET248" s="195"/>
      <c r="EU248" s="195"/>
      <c r="EV248" s="195"/>
      <c r="EW248" s="195"/>
      <c r="EX248" s="195"/>
      <c r="EY248" s="195"/>
      <c r="EZ248" s="195"/>
      <c r="FA248" s="195"/>
      <c r="FB248" s="195"/>
      <c r="FC248" s="195"/>
      <c r="FD248" s="195"/>
      <c r="FE248" s="195"/>
      <c r="FF248" s="195"/>
      <c r="FG248" s="195"/>
      <c r="FH248" s="197">
        <v>185</v>
      </c>
      <c r="FI248" s="195"/>
      <c r="FJ248" s="195"/>
      <c r="FK248" s="195"/>
      <c r="FL248" s="195"/>
      <c r="FM248" s="195"/>
      <c r="FN248" s="195"/>
      <c r="FO248" s="195"/>
      <c r="FP248" s="195"/>
      <c r="FQ248" s="195"/>
      <c r="FR248" s="195"/>
      <c r="FS248" s="195"/>
      <c r="FT248" s="195"/>
      <c r="FU248" s="195"/>
      <c r="FV248" s="195"/>
      <c r="FW248" s="195"/>
      <c r="FX248" s="195"/>
      <c r="FY248" s="195"/>
    </row>
    <row r="249" spans="2:181" x14ac:dyDescent="0.25">
      <c r="B249" s="12">
        <v>186</v>
      </c>
      <c r="C249" s="195"/>
      <c r="D249" s="195"/>
      <c r="E249" s="195"/>
      <c r="F249" s="195"/>
      <c r="G249" s="195"/>
      <c r="H249" s="195"/>
      <c r="I249" s="195"/>
      <c r="J249" s="195"/>
      <c r="K249" s="195"/>
      <c r="L249" s="195"/>
      <c r="M249" s="195"/>
      <c r="N249" s="195"/>
      <c r="O249" s="195"/>
      <c r="P249" s="195"/>
      <c r="Q249" s="195"/>
      <c r="R249" s="195"/>
      <c r="S249" s="195"/>
      <c r="T249" s="12">
        <v>186</v>
      </c>
      <c r="U249" s="195"/>
      <c r="V249" s="195"/>
      <c r="W249" s="195"/>
      <c r="X249" s="195"/>
      <c r="Y249" s="195"/>
      <c r="Z249" s="195"/>
      <c r="AA249" s="195"/>
      <c r="AB249" s="195"/>
      <c r="AC249" s="195"/>
      <c r="AD249" s="195"/>
      <c r="AE249" s="195"/>
      <c r="AF249" s="195"/>
      <c r="AG249" s="195"/>
      <c r="AH249" s="195"/>
      <c r="AI249" s="195"/>
      <c r="AJ249" s="195"/>
      <c r="AK249" s="195"/>
      <c r="AL249" s="12">
        <v>186</v>
      </c>
      <c r="AM249" s="195"/>
      <c r="AN249" s="195"/>
      <c r="AO249" s="195"/>
      <c r="AP249" s="195"/>
      <c r="AQ249" s="195"/>
      <c r="AR249" s="195"/>
      <c r="AS249" s="195"/>
      <c r="AT249" s="195"/>
      <c r="AU249" s="195"/>
      <c r="AV249" s="195"/>
      <c r="AW249" s="195"/>
      <c r="AX249" s="195"/>
      <c r="AY249" s="195"/>
      <c r="AZ249" s="195"/>
      <c r="BA249" s="195"/>
      <c r="BB249" s="195"/>
      <c r="BC249" s="195"/>
      <c r="BD249" s="12">
        <v>186</v>
      </c>
      <c r="BE249" s="195"/>
      <c r="BF249" s="195"/>
      <c r="BG249" s="195"/>
      <c r="BH249" s="195"/>
      <c r="BI249" s="195"/>
      <c r="BJ249" s="195"/>
      <c r="BK249" s="195"/>
      <c r="BL249" s="195"/>
      <c r="BM249" s="195"/>
      <c r="BN249" s="195"/>
      <c r="BO249" s="195"/>
      <c r="BP249" s="195"/>
      <c r="BQ249" s="195"/>
      <c r="BR249" s="195"/>
      <c r="BS249" s="195"/>
      <c r="BT249" s="195"/>
      <c r="BU249" s="195"/>
      <c r="BV249" s="12">
        <v>186</v>
      </c>
      <c r="BW249" s="195"/>
      <c r="BX249" s="195"/>
      <c r="BY249" s="195"/>
      <c r="BZ249" s="195"/>
      <c r="CA249" s="195"/>
      <c r="CB249" s="195"/>
      <c r="CC249" s="195"/>
      <c r="CD249" s="195"/>
      <c r="CE249" s="195"/>
      <c r="CF249" s="195"/>
      <c r="CG249" s="195"/>
      <c r="CH249" s="195"/>
      <c r="CI249" s="195"/>
      <c r="CJ249" s="195"/>
      <c r="CK249" s="195"/>
      <c r="CL249" s="195"/>
      <c r="CM249" s="195"/>
      <c r="CN249" s="12">
        <v>186</v>
      </c>
      <c r="CO249" s="195"/>
      <c r="CP249" s="195"/>
      <c r="CQ249" s="195"/>
      <c r="CR249" s="195"/>
      <c r="CS249" s="195"/>
      <c r="CT249" s="195"/>
      <c r="CU249" s="195"/>
      <c r="CV249" s="195"/>
      <c r="CW249" s="195"/>
      <c r="CX249" s="195"/>
      <c r="CY249" s="195"/>
      <c r="CZ249" s="195"/>
      <c r="DA249" s="195"/>
      <c r="DB249" s="195"/>
      <c r="DC249" s="195"/>
      <c r="DD249" s="195"/>
      <c r="DE249" s="195"/>
      <c r="DF249" s="12">
        <v>186</v>
      </c>
      <c r="DG249" s="195"/>
      <c r="DH249" s="195"/>
      <c r="DI249" s="195"/>
      <c r="DJ249" s="195"/>
      <c r="DK249" s="195"/>
      <c r="DL249" s="195"/>
      <c r="DM249" s="195"/>
      <c r="DN249" s="195"/>
      <c r="DO249" s="195"/>
      <c r="DP249" s="195"/>
      <c r="DQ249" s="195"/>
      <c r="DR249" s="195"/>
      <c r="DS249" s="195"/>
      <c r="DT249" s="195"/>
      <c r="DU249" s="195"/>
      <c r="DV249" s="195"/>
      <c r="DW249" s="195"/>
      <c r="DX249" s="12">
        <v>186</v>
      </c>
      <c r="DY249" s="195"/>
      <c r="DZ249" s="195"/>
      <c r="EA249" s="195"/>
      <c r="EB249" s="195"/>
      <c r="EC249" s="195"/>
      <c r="ED249" s="195"/>
      <c r="EE249" s="195"/>
      <c r="EF249" s="195"/>
      <c r="EG249" s="195"/>
      <c r="EH249" s="195"/>
      <c r="EI249" s="195"/>
      <c r="EJ249" s="195"/>
      <c r="EK249" s="195"/>
      <c r="EL249" s="195"/>
      <c r="EM249" s="195"/>
      <c r="EN249" s="195"/>
      <c r="EO249" s="195"/>
      <c r="EP249" s="12">
        <v>186</v>
      </c>
      <c r="EQ249" s="195"/>
      <c r="ER249" s="195"/>
      <c r="ES249" s="195"/>
      <c r="ET249" s="195"/>
      <c r="EU249" s="195"/>
      <c r="EV249" s="195"/>
      <c r="EW249" s="195"/>
      <c r="EX249" s="195"/>
      <c r="EY249" s="195"/>
      <c r="EZ249" s="195"/>
      <c r="FA249" s="195"/>
      <c r="FB249" s="195"/>
      <c r="FC249" s="195"/>
      <c r="FD249" s="195"/>
      <c r="FE249" s="195"/>
      <c r="FF249" s="195"/>
      <c r="FG249" s="195"/>
      <c r="FH249" s="12">
        <v>186</v>
      </c>
      <c r="FI249" s="195"/>
      <c r="FJ249" s="195"/>
      <c r="FK249" s="195"/>
      <c r="FL249" s="195"/>
      <c r="FM249" s="195"/>
      <c r="FN249" s="195"/>
      <c r="FO249" s="195"/>
      <c r="FP249" s="195"/>
      <c r="FQ249" s="195"/>
      <c r="FR249" s="195"/>
      <c r="FS249" s="195"/>
      <c r="FT249" s="195"/>
      <c r="FU249" s="195"/>
      <c r="FV249" s="195"/>
      <c r="FW249" s="195"/>
      <c r="FX249" s="195"/>
      <c r="FY249" s="195"/>
    </row>
    <row r="250" spans="2:181" x14ac:dyDescent="0.25">
      <c r="B250" s="12">
        <v>187</v>
      </c>
      <c r="C250" s="195"/>
      <c r="D250" s="195"/>
      <c r="E250" s="195"/>
      <c r="F250" s="195"/>
      <c r="G250" s="195"/>
      <c r="H250" s="195"/>
      <c r="I250" s="195"/>
      <c r="J250" s="195"/>
      <c r="K250" s="195"/>
      <c r="L250" s="195"/>
      <c r="M250" s="195"/>
      <c r="N250" s="195"/>
      <c r="O250" s="195"/>
      <c r="P250" s="195"/>
      <c r="Q250" s="195"/>
      <c r="R250" s="195"/>
      <c r="S250" s="195"/>
      <c r="T250" s="12">
        <v>187</v>
      </c>
      <c r="U250" s="195"/>
      <c r="V250" s="195"/>
      <c r="W250" s="195"/>
      <c r="X250" s="195"/>
      <c r="Y250" s="195"/>
      <c r="Z250" s="195"/>
      <c r="AA250" s="195"/>
      <c r="AB250" s="195"/>
      <c r="AC250" s="195"/>
      <c r="AD250" s="195"/>
      <c r="AE250" s="195"/>
      <c r="AF250" s="195"/>
      <c r="AG250" s="195"/>
      <c r="AH250" s="195"/>
      <c r="AI250" s="195"/>
      <c r="AJ250" s="195"/>
      <c r="AK250" s="195"/>
      <c r="AL250" s="12">
        <v>187</v>
      </c>
      <c r="AM250" s="195"/>
      <c r="AN250" s="195"/>
      <c r="AO250" s="195"/>
      <c r="AP250" s="195"/>
      <c r="AQ250" s="195"/>
      <c r="AR250" s="195"/>
      <c r="AS250" s="195"/>
      <c r="AT250" s="195"/>
      <c r="AU250" s="195"/>
      <c r="AV250" s="195"/>
      <c r="AW250" s="195"/>
      <c r="AX250" s="195"/>
      <c r="AY250" s="195"/>
      <c r="AZ250" s="195"/>
      <c r="BA250" s="195"/>
      <c r="BB250" s="195"/>
      <c r="BC250" s="195"/>
      <c r="BD250" s="12">
        <v>187</v>
      </c>
      <c r="BE250" s="195"/>
      <c r="BF250" s="195"/>
      <c r="BG250" s="195"/>
      <c r="BH250" s="195"/>
      <c r="BI250" s="195"/>
      <c r="BJ250" s="195"/>
      <c r="BK250" s="195"/>
      <c r="BL250" s="195"/>
      <c r="BM250" s="195"/>
      <c r="BN250" s="195"/>
      <c r="BO250" s="195"/>
      <c r="BP250" s="195"/>
      <c r="BQ250" s="195"/>
      <c r="BR250" s="195"/>
      <c r="BS250" s="195"/>
      <c r="BT250" s="195"/>
      <c r="BU250" s="195"/>
      <c r="BV250" s="12">
        <v>187</v>
      </c>
      <c r="BW250" s="195"/>
      <c r="BX250" s="195"/>
      <c r="BY250" s="195"/>
      <c r="BZ250" s="195"/>
      <c r="CA250" s="195"/>
      <c r="CB250" s="195"/>
      <c r="CC250" s="195"/>
      <c r="CD250" s="195"/>
      <c r="CE250" s="195"/>
      <c r="CF250" s="195"/>
      <c r="CG250" s="195"/>
      <c r="CH250" s="195"/>
      <c r="CI250" s="195"/>
      <c r="CJ250" s="195"/>
      <c r="CK250" s="195"/>
      <c r="CL250" s="195"/>
      <c r="CM250" s="195"/>
      <c r="CN250" s="12">
        <v>187</v>
      </c>
      <c r="CO250" s="195"/>
      <c r="CP250" s="195"/>
      <c r="CQ250" s="195"/>
      <c r="CR250" s="195"/>
      <c r="CS250" s="195"/>
      <c r="CT250" s="195"/>
      <c r="CU250" s="195"/>
      <c r="CV250" s="195"/>
      <c r="CW250" s="195"/>
      <c r="CX250" s="195"/>
      <c r="CY250" s="195"/>
      <c r="CZ250" s="195"/>
      <c r="DA250" s="195"/>
      <c r="DB250" s="195"/>
      <c r="DC250" s="195"/>
      <c r="DD250" s="195"/>
      <c r="DE250" s="195"/>
      <c r="DF250" s="12">
        <v>187</v>
      </c>
      <c r="DG250" s="195"/>
      <c r="DH250" s="195"/>
      <c r="DI250" s="195"/>
      <c r="DJ250" s="195"/>
      <c r="DK250" s="195"/>
      <c r="DL250" s="195"/>
      <c r="DM250" s="195"/>
      <c r="DN250" s="195"/>
      <c r="DO250" s="195"/>
      <c r="DP250" s="195"/>
      <c r="DQ250" s="195"/>
      <c r="DR250" s="195"/>
      <c r="DS250" s="195"/>
      <c r="DT250" s="195"/>
      <c r="DU250" s="195"/>
      <c r="DV250" s="195"/>
      <c r="DW250" s="195"/>
      <c r="DX250" s="12">
        <v>187</v>
      </c>
      <c r="DY250" s="195"/>
      <c r="DZ250" s="195"/>
      <c r="EA250" s="195"/>
      <c r="EB250" s="195"/>
      <c r="EC250" s="195"/>
      <c r="ED250" s="195"/>
      <c r="EE250" s="195"/>
      <c r="EF250" s="195"/>
      <c r="EG250" s="195"/>
      <c r="EH250" s="195"/>
      <c r="EI250" s="195"/>
      <c r="EJ250" s="195"/>
      <c r="EK250" s="195"/>
      <c r="EL250" s="195"/>
      <c r="EM250" s="195"/>
      <c r="EN250" s="195"/>
      <c r="EO250" s="195"/>
      <c r="EP250" s="12">
        <v>187</v>
      </c>
      <c r="EQ250" s="195"/>
      <c r="ER250" s="195"/>
      <c r="ES250" s="195"/>
      <c r="ET250" s="195"/>
      <c r="EU250" s="195"/>
      <c r="EV250" s="195"/>
      <c r="EW250" s="195"/>
      <c r="EX250" s="195"/>
      <c r="EY250" s="195"/>
      <c r="EZ250" s="195"/>
      <c r="FA250" s="195"/>
      <c r="FB250" s="195"/>
      <c r="FC250" s="195"/>
      <c r="FD250" s="195"/>
      <c r="FE250" s="195"/>
      <c r="FF250" s="195"/>
      <c r="FG250" s="195"/>
      <c r="FH250" s="12">
        <v>187</v>
      </c>
      <c r="FI250" s="195"/>
      <c r="FJ250" s="195"/>
      <c r="FK250" s="195"/>
      <c r="FL250" s="195"/>
      <c r="FM250" s="195"/>
      <c r="FN250" s="195"/>
      <c r="FO250" s="195"/>
      <c r="FP250" s="195"/>
      <c r="FQ250" s="195"/>
      <c r="FR250" s="195"/>
      <c r="FS250" s="195"/>
      <c r="FT250" s="195"/>
      <c r="FU250" s="195"/>
      <c r="FV250" s="195"/>
      <c r="FW250" s="195"/>
      <c r="FX250" s="195"/>
      <c r="FY250" s="195"/>
    </row>
    <row r="251" spans="2:181" x14ac:dyDescent="0.25">
      <c r="B251" s="197">
        <v>188</v>
      </c>
      <c r="C251" s="195"/>
      <c r="D251" s="195"/>
      <c r="E251" s="195"/>
      <c r="F251" s="195"/>
      <c r="G251" s="195"/>
      <c r="H251" s="195"/>
      <c r="I251" s="195"/>
      <c r="J251" s="195"/>
      <c r="K251" s="195"/>
      <c r="L251" s="195"/>
      <c r="M251" s="195"/>
      <c r="N251" s="195"/>
      <c r="O251" s="195"/>
      <c r="P251" s="195"/>
      <c r="Q251" s="195"/>
      <c r="R251" s="195"/>
      <c r="S251" s="195"/>
      <c r="T251" s="197">
        <v>188</v>
      </c>
      <c r="U251" s="195"/>
      <c r="V251" s="195"/>
      <c r="W251" s="195"/>
      <c r="X251" s="195"/>
      <c r="Y251" s="195"/>
      <c r="Z251" s="195"/>
      <c r="AA251" s="195"/>
      <c r="AB251" s="195"/>
      <c r="AC251" s="195"/>
      <c r="AD251" s="195"/>
      <c r="AE251" s="195"/>
      <c r="AF251" s="195"/>
      <c r="AG251" s="195"/>
      <c r="AH251" s="195"/>
      <c r="AI251" s="195"/>
      <c r="AJ251" s="195"/>
      <c r="AK251" s="195"/>
      <c r="AL251" s="197">
        <v>188</v>
      </c>
      <c r="AM251" s="195"/>
      <c r="AN251" s="195"/>
      <c r="AO251" s="195"/>
      <c r="AP251" s="195"/>
      <c r="AQ251" s="195"/>
      <c r="AR251" s="195"/>
      <c r="AS251" s="195"/>
      <c r="AT251" s="195"/>
      <c r="AU251" s="195"/>
      <c r="AV251" s="195"/>
      <c r="AW251" s="195"/>
      <c r="AX251" s="195"/>
      <c r="AY251" s="195"/>
      <c r="AZ251" s="195"/>
      <c r="BA251" s="195"/>
      <c r="BB251" s="195"/>
      <c r="BC251" s="195"/>
      <c r="BD251" s="197">
        <v>188</v>
      </c>
      <c r="BE251" s="195"/>
      <c r="BF251" s="195"/>
      <c r="BG251" s="195"/>
      <c r="BH251" s="195"/>
      <c r="BI251" s="195"/>
      <c r="BJ251" s="195"/>
      <c r="BK251" s="195"/>
      <c r="BL251" s="195"/>
      <c r="BM251" s="195"/>
      <c r="BN251" s="195"/>
      <c r="BO251" s="195"/>
      <c r="BP251" s="195"/>
      <c r="BQ251" s="195"/>
      <c r="BR251" s="195"/>
      <c r="BS251" s="195"/>
      <c r="BT251" s="195"/>
      <c r="BU251" s="195"/>
      <c r="BV251" s="197">
        <v>188</v>
      </c>
      <c r="BW251" s="195"/>
      <c r="BX251" s="195"/>
      <c r="BY251" s="195"/>
      <c r="BZ251" s="195"/>
      <c r="CA251" s="195"/>
      <c r="CB251" s="195"/>
      <c r="CC251" s="195"/>
      <c r="CD251" s="195"/>
      <c r="CE251" s="195"/>
      <c r="CF251" s="195"/>
      <c r="CG251" s="195"/>
      <c r="CH251" s="195"/>
      <c r="CI251" s="195"/>
      <c r="CJ251" s="195"/>
      <c r="CK251" s="195"/>
      <c r="CL251" s="195"/>
      <c r="CM251" s="195"/>
      <c r="CN251" s="197">
        <v>188</v>
      </c>
      <c r="CO251" s="195"/>
      <c r="CP251" s="195"/>
      <c r="CQ251" s="195"/>
      <c r="CR251" s="195"/>
      <c r="CS251" s="195"/>
      <c r="CT251" s="195"/>
      <c r="CU251" s="195"/>
      <c r="CV251" s="195"/>
      <c r="CW251" s="195"/>
      <c r="CX251" s="195"/>
      <c r="CY251" s="195"/>
      <c r="CZ251" s="195"/>
      <c r="DA251" s="195"/>
      <c r="DB251" s="195"/>
      <c r="DC251" s="195"/>
      <c r="DD251" s="195"/>
      <c r="DE251" s="195"/>
      <c r="DF251" s="197">
        <v>188</v>
      </c>
      <c r="DG251" s="195"/>
      <c r="DH251" s="195"/>
      <c r="DI251" s="195"/>
      <c r="DJ251" s="195"/>
      <c r="DK251" s="195"/>
      <c r="DL251" s="195"/>
      <c r="DM251" s="195"/>
      <c r="DN251" s="195"/>
      <c r="DO251" s="195"/>
      <c r="DP251" s="195"/>
      <c r="DQ251" s="195"/>
      <c r="DR251" s="195"/>
      <c r="DS251" s="195"/>
      <c r="DT251" s="195"/>
      <c r="DU251" s="195"/>
      <c r="DV251" s="195"/>
      <c r="DW251" s="195"/>
      <c r="DX251" s="197">
        <v>188</v>
      </c>
      <c r="DY251" s="195"/>
      <c r="DZ251" s="195"/>
      <c r="EA251" s="195"/>
      <c r="EB251" s="195"/>
      <c r="EC251" s="195"/>
      <c r="ED251" s="195"/>
      <c r="EE251" s="195"/>
      <c r="EF251" s="195"/>
      <c r="EG251" s="195"/>
      <c r="EH251" s="195"/>
      <c r="EI251" s="195"/>
      <c r="EJ251" s="195"/>
      <c r="EK251" s="195"/>
      <c r="EL251" s="195"/>
      <c r="EM251" s="195"/>
      <c r="EN251" s="195"/>
      <c r="EO251" s="195"/>
      <c r="EP251" s="197">
        <v>188</v>
      </c>
      <c r="EQ251" s="195"/>
      <c r="ER251" s="195"/>
      <c r="ES251" s="195"/>
      <c r="ET251" s="195"/>
      <c r="EU251" s="195"/>
      <c r="EV251" s="195"/>
      <c r="EW251" s="195"/>
      <c r="EX251" s="195"/>
      <c r="EY251" s="195"/>
      <c r="EZ251" s="195"/>
      <c r="FA251" s="195"/>
      <c r="FB251" s="195"/>
      <c r="FC251" s="195"/>
      <c r="FD251" s="195"/>
      <c r="FE251" s="195"/>
      <c r="FF251" s="195"/>
      <c r="FG251" s="195"/>
      <c r="FH251" s="197">
        <v>188</v>
      </c>
      <c r="FI251" s="195"/>
      <c r="FJ251" s="195"/>
      <c r="FK251" s="195"/>
      <c r="FL251" s="195"/>
      <c r="FM251" s="195"/>
      <c r="FN251" s="195"/>
      <c r="FO251" s="195"/>
      <c r="FP251" s="195"/>
      <c r="FQ251" s="195"/>
      <c r="FR251" s="195"/>
      <c r="FS251" s="195"/>
      <c r="FT251" s="195"/>
      <c r="FU251" s="195"/>
      <c r="FV251" s="195"/>
      <c r="FW251" s="195"/>
      <c r="FX251" s="195"/>
      <c r="FY251" s="195"/>
    </row>
    <row r="252" spans="2:181" x14ac:dyDescent="0.25">
      <c r="B252" s="12">
        <v>189</v>
      </c>
      <c r="C252" s="195"/>
      <c r="D252" s="195"/>
      <c r="E252" s="195"/>
      <c r="F252" s="195"/>
      <c r="G252" s="195"/>
      <c r="H252" s="195"/>
      <c r="I252" s="195"/>
      <c r="J252" s="195"/>
      <c r="K252" s="195"/>
      <c r="L252" s="195"/>
      <c r="M252" s="195"/>
      <c r="N252" s="195"/>
      <c r="O252" s="195"/>
      <c r="P252" s="195"/>
      <c r="Q252" s="195"/>
      <c r="R252" s="195"/>
      <c r="S252" s="195"/>
      <c r="T252" s="12">
        <v>189</v>
      </c>
      <c r="U252" s="195"/>
      <c r="V252" s="195"/>
      <c r="W252" s="195"/>
      <c r="X252" s="195"/>
      <c r="Y252" s="195"/>
      <c r="Z252" s="195"/>
      <c r="AA252" s="195"/>
      <c r="AB252" s="195"/>
      <c r="AC252" s="195"/>
      <c r="AD252" s="195"/>
      <c r="AE252" s="195"/>
      <c r="AF252" s="195"/>
      <c r="AG252" s="195"/>
      <c r="AH252" s="195"/>
      <c r="AI252" s="195"/>
      <c r="AJ252" s="195"/>
      <c r="AK252" s="195"/>
      <c r="AL252" s="12">
        <v>189</v>
      </c>
      <c r="AM252" s="195"/>
      <c r="AN252" s="195"/>
      <c r="AO252" s="195"/>
      <c r="AP252" s="195"/>
      <c r="AQ252" s="195"/>
      <c r="AR252" s="195"/>
      <c r="AS252" s="195"/>
      <c r="AT252" s="195"/>
      <c r="AU252" s="195"/>
      <c r="AV252" s="195"/>
      <c r="AW252" s="195"/>
      <c r="AX252" s="195"/>
      <c r="AY252" s="195"/>
      <c r="AZ252" s="195"/>
      <c r="BA252" s="195"/>
      <c r="BB252" s="195"/>
      <c r="BC252" s="195"/>
      <c r="BD252" s="12">
        <v>189</v>
      </c>
      <c r="BE252" s="195"/>
      <c r="BF252" s="195"/>
      <c r="BG252" s="195"/>
      <c r="BH252" s="195"/>
      <c r="BI252" s="195"/>
      <c r="BJ252" s="195"/>
      <c r="BK252" s="195"/>
      <c r="BL252" s="195"/>
      <c r="BM252" s="195"/>
      <c r="BN252" s="195"/>
      <c r="BO252" s="195"/>
      <c r="BP252" s="195"/>
      <c r="BQ252" s="195"/>
      <c r="BR252" s="195"/>
      <c r="BS252" s="195"/>
      <c r="BT252" s="195"/>
      <c r="BU252" s="195"/>
      <c r="BV252" s="12">
        <v>189</v>
      </c>
      <c r="BW252" s="195"/>
      <c r="BX252" s="195"/>
      <c r="BY252" s="195"/>
      <c r="BZ252" s="195"/>
      <c r="CA252" s="195"/>
      <c r="CB252" s="195"/>
      <c r="CC252" s="195"/>
      <c r="CD252" s="195"/>
      <c r="CE252" s="195"/>
      <c r="CF252" s="195"/>
      <c r="CG252" s="195"/>
      <c r="CH252" s="195"/>
      <c r="CI252" s="195"/>
      <c r="CJ252" s="195"/>
      <c r="CK252" s="195"/>
      <c r="CL252" s="195"/>
      <c r="CM252" s="195"/>
      <c r="CN252" s="12">
        <v>189</v>
      </c>
      <c r="CO252" s="195"/>
      <c r="CP252" s="195"/>
      <c r="CQ252" s="195"/>
      <c r="CR252" s="195"/>
      <c r="CS252" s="195"/>
      <c r="CT252" s="195"/>
      <c r="CU252" s="195"/>
      <c r="CV252" s="195"/>
      <c r="CW252" s="195"/>
      <c r="CX252" s="195"/>
      <c r="CY252" s="195"/>
      <c r="CZ252" s="195"/>
      <c r="DA252" s="195"/>
      <c r="DB252" s="195"/>
      <c r="DC252" s="195"/>
      <c r="DD252" s="195"/>
      <c r="DE252" s="195"/>
      <c r="DF252" s="12">
        <v>189</v>
      </c>
      <c r="DG252" s="195"/>
      <c r="DH252" s="195"/>
      <c r="DI252" s="195"/>
      <c r="DJ252" s="195"/>
      <c r="DK252" s="195"/>
      <c r="DL252" s="195"/>
      <c r="DM252" s="195"/>
      <c r="DN252" s="195"/>
      <c r="DO252" s="195"/>
      <c r="DP252" s="195"/>
      <c r="DQ252" s="195"/>
      <c r="DR252" s="195"/>
      <c r="DS252" s="195"/>
      <c r="DT252" s="195"/>
      <c r="DU252" s="195"/>
      <c r="DV252" s="195"/>
      <c r="DW252" s="195"/>
      <c r="DX252" s="12">
        <v>189</v>
      </c>
      <c r="DY252" s="195"/>
      <c r="DZ252" s="195"/>
      <c r="EA252" s="195"/>
      <c r="EB252" s="195"/>
      <c r="EC252" s="195"/>
      <c r="ED252" s="195"/>
      <c r="EE252" s="195"/>
      <c r="EF252" s="195"/>
      <c r="EG252" s="195"/>
      <c r="EH252" s="195"/>
      <c r="EI252" s="195"/>
      <c r="EJ252" s="195"/>
      <c r="EK252" s="195"/>
      <c r="EL252" s="195"/>
      <c r="EM252" s="195"/>
      <c r="EN252" s="195"/>
      <c r="EO252" s="195"/>
      <c r="EP252" s="12">
        <v>189</v>
      </c>
      <c r="EQ252" s="195"/>
      <c r="ER252" s="195"/>
      <c r="ES252" s="195"/>
      <c r="ET252" s="195"/>
      <c r="EU252" s="195"/>
      <c r="EV252" s="195"/>
      <c r="EW252" s="195"/>
      <c r="EX252" s="195"/>
      <c r="EY252" s="195"/>
      <c r="EZ252" s="195"/>
      <c r="FA252" s="195"/>
      <c r="FB252" s="195"/>
      <c r="FC252" s="195"/>
      <c r="FD252" s="195"/>
      <c r="FE252" s="195"/>
      <c r="FF252" s="195"/>
      <c r="FG252" s="195"/>
      <c r="FH252" s="12">
        <v>189</v>
      </c>
      <c r="FI252" s="195"/>
      <c r="FJ252" s="195"/>
      <c r="FK252" s="195"/>
      <c r="FL252" s="195"/>
      <c r="FM252" s="195"/>
      <c r="FN252" s="195"/>
      <c r="FO252" s="195"/>
      <c r="FP252" s="195"/>
      <c r="FQ252" s="195"/>
      <c r="FR252" s="195"/>
      <c r="FS252" s="195"/>
      <c r="FT252" s="195"/>
      <c r="FU252" s="195"/>
      <c r="FV252" s="195"/>
      <c r="FW252" s="195"/>
      <c r="FX252" s="195"/>
      <c r="FY252" s="195"/>
    </row>
    <row r="253" spans="2:181" x14ac:dyDescent="0.25">
      <c r="B253" s="12">
        <v>190</v>
      </c>
      <c r="C253" s="195"/>
      <c r="D253" s="195"/>
      <c r="E253" s="195"/>
      <c r="F253" s="195"/>
      <c r="G253" s="195"/>
      <c r="H253" s="195"/>
      <c r="I253" s="195"/>
      <c r="J253" s="195"/>
      <c r="K253" s="195"/>
      <c r="L253" s="195"/>
      <c r="M253" s="195"/>
      <c r="N253" s="195"/>
      <c r="O253" s="195"/>
      <c r="P253" s="195"/>
      <c r="Q253" s="195"/>
      <c r="R253" s="195"/>
      <c r="S253" s="195"/>
      <c r="T253" s="12">
        <v>190</v>
      </c>
      <c r="U253" s="195"/>
      <c r="V253" s="195"/>
      <c r="W253" s="195"/>
      <c r="X253" s="195"/>
      <c r="Y253" s="195"/>
      <c r="Z253" s="195"/>
      <c r="AA253" s="195"/>
      <c r="AB253" s="195"/>
      <c r="AC253" s="195"/>
      <c r="AD253" s="195"/>
      <c r="AE253" s="195"/>
      <c r="AF253" s="195"/>
      <c r="AG253" s="195"/>
      <c r="AH253" s="195"/>
      <c r="AI253" s="195"/>
      <c r="AJ253" s="195"/>
      <c r="AK253" s="195"/>
      <c r="AL253" s="12">
        <v>190</v>
      </c>
      <c r="AM253" s="195"/>
      <c r="AN253" s="195"/>
      <c r="AO253" s="195"/>
      <c r="AP253" s="195"/>
      <c r="AQ253" s="195"/>
      <c r="AR253" s="195"/>
      <c r="AS253" s="195"/>
      <c r="AT253" s="195"/>
      <c r="AU253" s="195"/>
      <c r="AV253" s="195"/>
      <c r="AW253" s="195"/>
      <c r="AX253" s="195"/>
      <c r="AY253" s="195"/>
      <c r="AZ253" s="195"/>
      <c r="BA253" s="195"/>
      <c r="BB253" s="195"/>
      <c r="BC253" s="195"/>
      <c r="BD253" s="12">
        <v>190</v>
      </c>
      <c r="BE253" s="195"/>
      <c r="BF253" s="195"/>
      <c r="BG253" s="195"/>
      <c r="BH253" s="195"/>
      <c r="BI253" s="195"/>
      <c r="BJ253" s="195"/>
      <c r="BK253" s="195"/>
      <c r="BL253" s="195"/>
      <c r="BM253" s="195"/>
      <c r="BN253" s="195"/>
      <c r="BO253" s="195"/>
      <c r="BP253" s="195"/>
      <c r="BQ253" s="195"/>
      <c r="BR253" s="195"/>
      <c r="BS253" s="195"/>
      <c r="BT253" s="195"/>
      <c r="BU253" s="195"/>
      <c r="BV253" s="12">
        <v>190</v>
      </c>
      <c r="BW253" s="195"/>
      <c r="BX253" s="195"/>
      <c r="BY253" s="195"/>
      <c r="BZ253" s="195"/>
      <c r="CA253" s="195"/>
      <c r="CB253" s="195"/>
      <c r="CC253" s="195"/>
      <c r="CD253" s="195"/>
      <c r="CE253" s="195"/>
      <c r="CF253" s="195"/>
      <c r="CG253" s="195"/>
      <c r="CH253" s="195"/>
      <c r="CI253" s="195"/>
      <c r="CJ253" s="195"/>
      <c r="CK253" s="195"/>
      <c r="CL253" s="195"/>
      <c r="CM253" s="195"/>
      <c r="CN253" s="12">
        <v>190</v>
      </c>
      <c r="CO253" s="195"/>
      <c r="CP253" s="195"/>
      <c r="CQ253" s="195"/>
      <c r="CR253" s="195"/>
      <c r="CS253" s="195"/>
      <c r="CT253" s="195"/>
      <c r="CU253" s="195"/>
      <c r="CV253" s="195"/>
      <c r="CW253" s="195"/>
      <c r="CX253" s="195"/>
      <c r="CY253" s="195"/>
      <c r="CZ253" s="195"/>
      <c r="DA253" s="195"/>
      <c r="DB253" s="195"/>
      <c r="DC253" s="195"/>
      <c r="DD253" s="195"/>
      <c r="DE253" s="195"/>
      <c r="DF253" s="12">
        <v>190</v>
      </c>
      <c r="DG253" s="195"/>
      <c r="DH253" s="195"/>
      <c r="DI253" s="195"/>
      <c r="DJ253" s="195"/>
      <c r="DK253" s="195"/>
      <c r="DL253" s="195"/>
      <c r="DM253" s="195"/>
      <c r="DN253" s="195"/>
      <c r="DO253" s="195"/>
      <c r="DP253" s="195"/>
      <c r="DQ253" s="195"/>
      <c r="DR253" s="195"/>
      <c r="DS253" s="195"/>
      <c r="DT253" s="195"/>
      <c r="DU253" s="195"/>
      <c r="DV253" s="195"/>
      <c r="DW253" s="195"/>
      <c r="DX253" s="12">
        <v>190</v>
      </c>
      <c r="DY253" s="195"/>
      <c r="DZ253" s="195"/>
      <c r="EA253" s="195"/>
      <c r="EB253" s="195"/>
      <c r="EC253" s="195"/>
      <c r="ED253" s="195"/>
      <c r="EE253" s="195"/>
      <c r="EF253" s="195"/>
      <c r="EG253" s="195"/>
      <c r="EH253" s="195"/>
      <c r="EI253" s="195"/>
      <c r="EJ253" s="195"/>
      <c r="EK253" s="195"/>
      <c r="EL253" s="195"/>
      <c r="EM253" s="195"/>
      <c r="EN253" s="195"/>
      <c r="EO253" s="195"/>
      <c r="EP253" s="12">
        <v>190</v>
      </c>
      <c r="EQ253" s="195"/>
      <c r="ER253" s="195"/>
      <c r="ES253" s="195"/>
      <c r="ET253" s="195"/>
      <c r="EU253" s="195"/>
      <c r="EV253" s="195"/>
      <c r="EW253" s="195"/>
      <c r="EX253" s="195"/>
      <c r="EY253" s="195"/>
      <c r="EZ253" s="195"/>
      <c r="FA253" s="195"/>
      <c r="FB253" s="195"/>
      <c r="FC253" s="195"/>
      <c r="FD253" s="195"/>
      <c r="FE253" s="195"/>
      <c r="FF253" s="195"/>
      <c r="FG253" s="195"/>
      <c r="FH253" s="12">
        <v>190</v>
      </c>
      <c r="FI253" s="195"/>
      <c r="FJ253" s="195"/>
      <c r="FK253" s="195"/>
      <c r="FL253" s="195"/>
      <c r="FM253" s="195"/>
      <c r="FN253" s="195"/>
      <c r="FO253" s="195"/>
      <c r="FP253" s="195"/>
      <c r="FQ253" s="195"/>
      <c r="FR253" s="195"/>
      <c r="FS253" s="195"/>
      <c r="FT253" s="195"/>
      <c r="FU253" s="195"/>
      <c r="FV253" s="195"/>
      <c r="FW253" s="195"/>
      <c r="FX253" s="195"/>
      <c r="FY253" s="195"/>
    </row>
    <row r="254" spans="2:181" x14ac:dyDescent="0.25">
      <c r="B254" s="197">
        <v>191</v>
      </c>
      <c r="C254" s="195"/>
      <c r="D254" s="195"/>
      <c r="E254" s="195"/>
      <c r="F254" s="195"/>
      <c r="G254" s="195"/>
      <c r="H254" s="195"/>
      <c r="I254" s="195"/>
      <c r="J254" s="195"/>
      <c r="K254" s="195"/>
      <c r="L254" s="195"/>
      <c r="M254" s="195"/>
      <c r="N254" s="195"/>
      <c r="O254" s="195"/>
      <c r="P254" s="195"/>
      <c r="Q254" s="195"/>
      <c r="R254" s="195"/>
      <c r="S254" s="195"/>
      <c r="T254" s="197">
        <v>191</v>
      </c>
      <c r="U254" s="195"/>
      <c r="V254" s="195"/>
      <c r="W254" s="195"/>
      <c r="X254" s="195"/>
      <c r="Y254" s="195"/>
      <c r="Z254" s="195"/>
      <c r="AA254" s="195"/>
      <c r="AB254" s="195"/>
      <c r="AC254" s="195"/>
      <c r="AD254" s="195"/>
      <c r="AE254" s="195"/>
      <c r="AF254" s="195"/>
      <c r="AG254" s="195"/>
      <c r="AH254" s="195"/>
      <c r="AI254" s="195"/>
      <c r="AJ254" s="195"/>
      <c r="AK254" s="195"/>
      <c r="AL254" s="197">
        <v>191</v>
      </c>
      <c r="AM254" s="195"/>
      <c r="AN254" s="195"/>
      <c r="AO254" s="195"/>
      <c r="AP254" s="195"/>
      <c r="AQ254" s="195"/>
      <c r="AR254" s="195"/>
      <c r="AS254" s="195"/>
      <c r="AT254" s="195"/>
      <c r="AU254" s="195"/>
      <c r="AV254" s="195"/>
      <c r="AW254" s="195"/>
      <c r="AX254" s="195"/>
      <c r="AY254" s="195"/>
      <c r="AZ254" s="195"/>
      <c r="BA254" s="195"/>
      <c r="BB254" s="195"/>
      <c r="BC254" s="195"/>
      <c r="BD254" s="197">
        <v>191</v>
      </c>
      <c r="BE254" s="195"/>
      <c r="BF254" s="195"/>
      <c r="BG254" s="195"/>
      <c r="BH254" s="195"/>
      <c r="BI254" s="195"/>
      <c r="BJ254" s="195"/>
      <c r="BK254" s="195"/>
      <c r="BL254" s="195"/>
      <c r="BM254" s="195"/>
      <c r="BN254" s="195"/>
      <c r="BO254" s="195"/>
      <c r="BP254" s="195"/>
      <c r="BQ254" s="195"/>
      <c r="BR254" s="195"/>
      <c r="BS254" s="195"/>
      <c r="BT254" s="195"/>
      <c r="BU254" s="195"/>
      <c r="BV254" s="197">
        <v>191</v>
      </c>
      <c r="BW254" s="195"/>
      <c r="BX254" s="195"/>
      <c r="BY254" s="195"/>
      <c r="BZ254" s="195"/>
      <c r="CA254" s="195"/>
      <c r="CB254" s="195"/>
      <c r="CC254" s="195"/>
      <c r="CD254" s="195"/>
      <c r="CE254" s="195"/>
      <c r="CF254" s="195"/>
      <c r="CG254" s="195"/>
      <c r="CH254" s="195"/>
      <c r="CI254" s="195"/>
      <c r="CJ254" s="195"/>
      <c r="CK254" s="195"/>
      <c r="CL254" s="195"/>
      <c r="CM254" s="195"/>
      <c r="CN254" s="197">
        <v>191</v>
      </c>
      <c r="CO254" s="195"/>
      <c r="CP254" s="195"/>
      <c r="CQ254" s="195"/>
      <c r="CR254" s="195"/>
      <c r="CS254" s="195"/>
      <c r="CT254" s="195"/>
      <c r="CU254" s="195"/>
      <c r="CV254" s="195"/>
      <c r="CW254" s="195"/>
      <c r="CX254" s="195"/>
      <c r="CY254" s="195"/>
      <c r="CZ254" s="195"/>
      <c r="DA254" s="195"/>
      <c r="DB254" s="195"/>
      <c r="DC254" s="195"/>
      <c r="DD254" s="195"/>
      <c r="DE254" s="195"/>
      <c r="DF254" s="197">
        <v>191</v>
      </c>
      <c r="DG254" s="195"/>
      <c r="DH254" s="195"/>
      <c r="DI254" s="195"/>
      <c r="DJ254" s="195"/>
      <c r="DK254" s="195"/>
      <c r="DL254" s="195"/>
      <c r="DM254" s="195"/>
      <c r="DN254" s="195"/>
      <c r="DO254" s="195"/>
      <c r="DP254" s="195"/>
      <c r="DQ254" s="195"/>
      <c r="DR254" s="195"/>
      <c r="DS254" s="195"/>
      <c r="DT254" s="195"/>
      <c r="DU254" s="195"/>
      <c r="DV254" s="195"/>
      <c r="DW254" s="195"/>
      <c r="DX254" s="197">
        <v>191</v>
      </c>
      <c r="DY254" s="195"/>
      <c r="DZ254" s="195"/>
      <c r="EA254" s="195"/>
      <c r="EB254" s="195"/>
      <c r="EC254" s="195"/>
      <c r="ED254" s="195"/>
      <c r="EE254" s="195"/>
      <c r="EF254" s="195"/>
      <c r="EG254" s="195"/>
      <c r="EH254" s="195"/>
      <c r="EI254" s="195"/>
      <c r="EJ254" s="195"/>
      <c r="EK254" s="195"/>
      <c r="EL254" s="195"/>
      <c r="EM254" s="195"/>
      <c r="EN254" s="195"/>
      <c r="EO254" s="195"/>
      <c r="EP254" s="197">
        <v>191</v>
      </c>
      <c r="EQ254" s="195"/>
      <c r="ER254" s="195"/>
      <c r="ES254" s="195"/>
      <c r="ET254" s="195"/>
      <c r="EU254" s="195"/>
      <c r="EV254" s="195"/>
      <c r="EW254" s="195"/>
      <c r="EX254" s="195"/>
      <c r="EY254" s="195"/>
      <c r="EZ254" s="195"/>
      <c r="FA254" s="195"/>
      <c r="FB254" s="195"/>
      <c r="FC254" s="195"/>
      <c r="FD254" s="195"/>
      <c r="FE254" s="195"/>
      <c r="FF254" s="195"/>
      <c r="FG254" s="195"/>
      <c r="FH254" s="197">
        <v>191</v>
      </c>
      <c r="FI254" s="195"/>
      <c r="FJ254" s="195"/>
      <c r="FK254" s="195"/>
      <c r="FL254" s="195"/>
      <c r="FM254" s="195"/>
      <c r="FN254" s="195"/>
      <c r="FO254" s="195"/>
      <c r="FP254" s="195"/>
      <c r="FQ254" s="195"/>
      <c r="FR254" s="195"/>
      <c r="FS254" s="195"/>
      <c r="FT254" s="195"/>
      <c r="FU254" s="195"/>
      <c r="FV254" s="195"/>
      <c r="FW254" s="195"/>
      <c r="FX254" s="195"/>
      <c r="FY254" s="195"/>
    </row>
    <row r="255" spans="2:181" x14ac:dyDescent="0.25">
      <c r="B255" s="12">
        <v>192</v>
      </c>
      <c r="C255" s="195"/>
      <c r="D255" s="195"/>
      <c r="E255" s="195"/>
      <c r="F255" s="195"/>
      <c r="G255" s="195"/>
      <c r="H255" s="195"/>
      <c r="I255" s="195"/>
      <c r="J255" s="195"/>
      <c r="K255" s="195"/>
      <c r="L255" s="195"/>
      <c r="M255" s="195"/>
      <c r="N255" s="195"/>
      <c r="O255" s="195"/>
      <c r="P255" s="195"/>
      <c r="Q255" s="195"/>
      <c r="R255" s="195"/>
      <c r="S255" s="195"/>
      <c r="T255" s="12">
        <v>192</v>
      </c>
      <c r="U255" s="195"/>
      <c r="V255" s="195"/>
      <c r="W255" s="195"/>
      <c r="X255" s="195"/>
      <c r="Y255" s="195"/>
      <c r="Z255" s="195"/>
      <c r="AA255" s="195"/>
      <c r="AB255" s="195"/>
      <c r="AC255" s="195"/>
      <c r="AD255" s="195"/>
      <c r="AE255" s="195"/>
      <c r="AF255" s="195"/>
      <c r="AG255" s="195"/>
      <c r="AH255" s="195"/>
      <c r="AI255" s="195"/>
      <c r="AJ255" s="195"/>
      <c r="AK255" s="195"/>
      <c r="AL255" s="12">
        <v>192</v>
      </c>
      <c r="AM255" s="195"/>
      <c r="AN255" s="195"/>
      <c r="AO255" s="195"/>
      <c r="AP255" s="195"/>
      <c r="AQ255" s="195"/>
      <c r="AR255" s="195"/>
      <c r="AS255" s="195"/>
      <c r="AT255" s="195"/>
      <c r="AU255" s="195"/>
      <c r="AV255" s="195"/>
      <c r="AW255" s="195"/>
      <c r="AX255" s="195"/>
      <c r="AY255" s="195"/>
      <c r="AZ255" s="195"/>
      <c r="BA255" s="195"/>
      <c r="BB255" s="195"/>
      <c r="BC255" s="195"/>
      <c r="BD255" s="12">
        <v>192</v>
      </c>
      <c r="BE255" s="195"/>
      <c r="BF255" s="195"/>
      <c r="BG255" s="195"/>
      <c r="BH255" s="195"/>
      <c r="BI255" s="195"/>
      <c r="BJ255" s="195"/>
      <c r="BK255" s="195"/>
      <c r="BL255" s="195"/>
      <c r="BM255" s="195"/>
      <c r="BN255" s="195"/>
      <c r="BO255" s="195"/>
      <c r="BP255" s="195"/>
      <c r="BQ255" s="195"/>
      <c r="BR255" s="195"/>
      <c r="BS255" s="195"/>
      <c r="BT255" s="195"/>
      <c r="BU255" s="195"/>
      <c r="BV255" s="12">
        <v>192</v>
      </c>
      <c r="BW255" s="195"/>
      <c r="BX255" s="195"/>
      <c r="BY255" s="195"/>
      <c r="BZ255" s="195"/>
      <c r="CA255" s="195"/>
      <c r="CB255" s="195"/>
      <c r="CC255" s="195"/>
      <c r="CD255" s="195"/>
      <c r="CE255" s="195"/>
      <c r="CF255" s="195"/>
      <c r="CG255" s="195"/>
      <c r="CH255" s="195"/>
      <c r="CI255" s="195"/>
      <c r="CJ255" s="195"/>
      <c r="CK255" s="195"/>
      <c r="CL255" s="195"/>
      <c r="CM255" s="195"/>
      <c r="CN255" s="12">
        <v>192</v>
      </c>
      <c r="CO255" s="195"/>
      <c r="CP255" s="195"/>
      <c r="CQ255" s="195"/>
      <c r="CR255" s="195"/>
      <c r="CS255" s="195"/>
      <c r="CT255" s="195"/>
      <c r="CU255" s="195"/>
      <c r="CV255" s="195"/>
      <c r="CW255" s="195"/>
      <c r="CX255" s="195"/>
      <c r="CY255" s="195"/>
      <c r="CZ255" s="195"/>
      <c r="DA255" s="195"/>
      <c r="DB255" s="195"/>
      <c r="DC255" s="195"/>
      <c r="DD255" s="195"/>
      <c r="DE255" s="195"/>
      <c r="DF255" s="12">
        <v>192</v>
      </c>
      <c r="DG255" s="195"/>
      <c r="DH255" s="195"/>
      <c r="DI255" s="195"/>
      <c r="DJ255" s="195"/>
      <c r="DK255" s="195"/>
      <c r="DL255" s="195"/>
      <c r="DM255" s="195"/>
      <c r="DN255" s="195"/>
      <c r="DO255" s="195"/>
      <c r="DP255" s="195"/>
      <c r="DQ255" s="195"/>
      <c r="DR255" s="195"/>
      <c r="DS255" s="195"/>
      <c r="DT255" s="195"/>
      <c r="DU255" s="195"/>
      <c r="DV255" s="195"/>
      <c r="DW255" s="195"/>
      <c r="DX255" s="12">
        <v>192</v>
      </c>
      <c r="DY255" s="195"/>
      <c r="DZ255" s="195"/>
      <c r="EA255" s="195"/>
      <c r="EB255" s="195"/>
      <c r="EC255" s="195"/>
      <c r="ED255" s="195"/>
      <c r="EE255" s="195"/>
      <c r="EF255" s="195"/>
      <c r="EG255" s="195"/>
      <c r="EH255" s="195"/>
      <c r="EI255" s="195"/>
      <c r="EJ255" s="195"/>
      <c r="EK255" s="195"/>
      <c r="EL255" s="195"/>
      <c r="EM255" s="195"/>
      <c r="EN255" s="195"/>
      <c r="EO255" s="195"/>
      <c r="EP255" s="12">
        <v>192</v>
      </c>
      <c r="EQ255" s="195"/>
      <c r="ER255" s="195"/>
      <c r="ES255" s="195"/>
      <c r="ET255" s="195"/>
      <c r="EU255" s="195"/>
      <c r="EV255" s="195"/>
      <c r="EW255" s="195"/>
      <c r="EX255" s="195"/>
      <c r="EY255" s="195"/>
      <c r="EZ255" s="195"/>
      <c r="FA255" s="195"/>
      <c r="FB255" s="195"/>
      <c r="FC255" s="195"/>
      <c r="FD255" s="195"/>
      <c r="FE255" s="195"/>
      <c r="FF255" s="195"/>
      <c r="FG255" s="195"/>
      <c r="FH255" s="12">
        <v>192</v>
      </c>
      <c r="FI255" s="195"/>
      <c r="FJ255" s="195"/>
      <c r="FK255" s="195"/>
      <c r="FL255" s="195"/>
      <c r="FM255" s="195"/>
      <c r="FN255" s="195"/>
      <c r="FO255" s="195"/>
      <c r="FP255" s="195"/>
      <c r="FQ255" s="195"/>
      <c r="FR255" s="195"/>
      <c r="FS255" s="195"/>
      <c r="FT255" s="195"/>
      <c r="FU255" s="195"/>
      <c r="FV255" s="195"/>
      <c r="FW255" s="195"/>
      <c r="FX255" s="195"/>
      <c r="FY255" s="195"/>
    </row>
    <row r="256" spans="2:181" x14ac:dyDescent="0.25">
      <c r="B256" s="12">
        <v>193</v>
      </c>
      <c r="C256" s="195"/>
      <c r="D256" s="195"/>
      <c r="E256" s="195"/>
      <c r="F256" s="195"/>
      <c r="G256" s="195"/>
      <c r="H256" s="195"/>
      <c r="I256" s="195"/>
      <c r="J256" s="195"/>
      <c r="K256" s="195"/>
      <c r="L256" s="195"/>
      <c r="M256" s="195"/>
      <c r="N256" s="195"/>
      <c r="O256" s="195"/>
      <c r="P256" s="195"/>
      <c r="Q256" s="195"/>
      <c r="R256" s="195"/>
      <c r="S256" s="195"/>
      <c r="T256" s="12">
        <v>193</v>
      </c>
      <c r="U256" s="195"/>
      <c r="V256" s="195"/>
      <c r="W256" s="195"/>
      <c r="X256" s="195"/>
      <c r="Y256" s="195"/>
      <c r="Z256" s="195"/>
      <c r="AA256" s="195"/>
      <c r="AB256" s="195"/>
      <c r="AC256" s="195"/>
      <c r="AD256" s="195"/>
      <c r="AE256" s="195"/>
      <c r="AF256" s="195"/>
      <c r="AG256" s="195"/>
      <c r="AH256" s="195"/>
      <c r="AI256" s="195"/>
      <c r="AJ256" s="195"/>
      <c r="AK256" s="195"/>
      <c r="AL256" s="12">
        <v>193</v>
      </c>
      <c r="AM256" s="195"/>
      <c r="AN256" s="195"/>
      <c r="AO256" s="195"/>
      <c r="AP256" s="195"/>
      <c r="AQ256" s="195"/>
      <c r="AR256" s="195"/>
      <c r="AS256" s="195"/>
      <c r="AT256" s="195"/>
      <c r="AU256" s="195"/>
      <c r="AV256" s="195"/>
      <c r="AW256" s="195"/>
      <c r="AX256" s="195"/>
      <c r="AY256" s="195"/>
      <c r="AZ256" s="195"/>
      <c r="BA256" s="195"/>
      <c r="BB256" s="195"/>
      <c r="BC256" s="195"/>
      <c r="BD256" s="12">
        <v>193</v>
      </c>
      <c r="BE256" s="195"/>
      <c r="BF256" s="195"/>
      <c r="BG256" s="195"/>
      <c r="BH256" s="195"/>
      <c r="BI256" s="195"/>
      <c r="BJ256" s="195"/>
      <c r="BK256" s="195"/>
      <c r="BL256" s="195"/>
      <c r="BM256" s="195"/>
      <c r="BN256" s="195"/>
      <c r="BO256" s="195"/>
      <c r="BP256" s="195"/>
      <c r="BQ256" s="195"/>
      <c r="BR256" s="195"/>
      <c r="BS256" s="195"/>
      <c r="BT256" s="195"/>
      <c r="BU256" s="195"/>
      <c r="BV256" s="12">
        <v>193</v>
      </c>
      <c r="BW256" s="195"/>
      <c r="BX256" s="195"/>
      <c r="BY256" s="195"/>
      <c r="BZ256" s="195"/>
      <c r="CA256" s="195"/>
      <c r="CB256" s="195"/>
      <c r="CC256" s="195"/>
      <c r="CD256" s="195"/>
      <c r="CE256" s="195"/>
      <c r="CF256" s="195"/>
      <c r="CG256" s="195"/>
      <c r="CH256" s="195"/>
      <c r="CI256" s="195"/>
      <c r="CJ256" s="195"/>
      <c r="CK256" s="195"/>
      <c r="CL256" s="195"/>
      <c r="CM256" s="195"/>
      <c r="CN256" s="12">
        <v>193</v>
      </c>
      <c r="CO256" s="195"/>
      <c r="CP256" s="195"/>
      <c r="CQ256" s="195"/>
      <c r="CR256" s="195"/>
      <c r="CS256" s="195"/>
      <c r="CT256" s="195"/>
      <c r="CU256" s="195"/>
      <c r="CV256" s="195"/>
      <c r="CW256" s="195"/>
      <c r="CX256" s="195"/>
      <c r="CY256" s="195"/>
      <c r="CZ256" s="195"/>
      <c r="DA256" s="195"/>
      <c r="DB256" s="195"/>
      <c r="DC256" s="195"/>
      <c r="DD256" s="195"/>
      <c r="DE256" s="195"/>
      <c r="DF256" s="12">
        <v>193</v>
      </c>
      <c r="DG256" s="195"/>
      <c r="DH256" s="195"/>
      <c r="DI256" s="195"/>
      <c r="DJ256" s="195"/>
      <c r="DK256" s="195"/>
      <c r="DL256" s="195"/>
      <c r="DM256" s="195"/>
      <c r="DN256" s="195"/>
      <c r="DO256" s="195"/>
      <c r="DP256" s="195"/>
      <c r="DQ256" s="195"/>
      <c r="DR256" s="195"/>
      <c r="DS256" s="195"/>
      <c r="DT256" s="195"/>
      <c r="DU256" s="195"/>
      <c r="DV256" s="195"/>
      <c r="DW256" s="195"/>
      <c r="DX256" s="12">
        <v>193</v>
      </c>
      <c r="DY256" s="195"/>
      <c r="DZ256" s="195"/>
      <c r="EA256" s="195"/>
      <c r="EB256" s="195"/>
      <c r="EC256" s="195"/>
      <c r="ED256" s="195"/>
      <c r="EE256" s="195"/>
      <c r="EF256" s="195"/>
      <c r="EG256" s="195"/>
      <c r="EH256" s="195"/>
      <c r="EI256" s="195"/>
      <c r="EJ256" s="195"/>
      <c r="EK256" s="195"/>
      <c r="EL256" s="195"/>
      <c r="EM256" s="195"/>
      <c r="EN256" s="195"/>
      <c r="EO256" s="195"/>
      <c r="EP256" s="12">
        <v>193</v>
      </c>
      <c r="EQ256" s="195"/>
      <c r="ER256" s="195"/>
      <c r="ES256" s="195"/>
      <c r="ET256" s="195"/>
      <c r="EU256" s="195"/>
      <c r="EV256" s="195"/>
      <c r="EW256" s="195"/>
      <c r="EX256" s="195"/>
      <c r="EY256" s="195"/>
      <c r="EZ256" s="195"/>
      <c r="FA256" s="195"/>
      <c r="FB256" s="195"/>
      <c r="FC256" s="195"/>
      <c r="FD256" s="195"/>
      <c r="FE256" s="195"/>
      <c r="FF256" s="195"/>
      <c r="FG256" s="195"/>
      <c r="FH256" s="12">
        <v>193</v>
      </c>
      <c r="FI256" s="195"/>
      <c r="FJ256" s="195"/>
      <c r="FK256" s="195"/>
      <c r="FL256" s="195"/>
      <c r="FM256" s="195"/>
      <c r="FN256" s="195"/>
      <c r="FO256" s="195"/>
      <c r="FP256" s="195"/>
      <c r="FQ256" s="195"/>
      <c r="FR256" s="195"/>
      <c r="FS256" s="195"/>
      <c r="FT256" s="195"/>
      <c r="FU256" s="195"/>
      <c r="FV256" s="195"/>
      <c r="FW256" s="195"/>
      <c r="FX256" s="195"/>
      <c r="FY256" s="195"/>
    </row>
    <row r="257" spans="2:181" x14ac:dyDescent="0.25">
      <c r="B257" s="197">
        <v>194</v>
      </c>
      <c r="C257" s="195"/>
      <c r="D257" s="195"/>
      <c r="E257" s="195"/>
      <c r="F257" s="195"/>
      <c r="G257" s="195"/>
      <c r="H257" s="195"/>
      <c r="I257" s="195"/>
      <c r="J257" s="195"/>
      <c r="K257" s="195"/>
      <c r="L257" s="195"/>
      <c r="M257" s="195"/>
      <c r="N257" s="195"/>
      <c r="O257" s="195"/>
      <c r="P257" s="195"/>
      <c r="Q257" s="195"/>
      <c r="R257" s="195"/>
      <c r="S257" s="195"/>
      <c r="T257" s="197">
        <v>194</v>
      </c>
      <c r="U257" s="195"/>
      <c r="V257" s="195"/>
      <c r="W257" s="195"/>
      <c r="X257" s="195"/>
      <c r="Y257" s="195"/>
      <c r="Z257" s="195"/>
      <c r="AA257" s="195"/>
      <c r="AB257" s="195"/>
      <c r="AC257" s="195"/>
      <c r="AD257" s="195"/>
      <c r="AE257" s="195"/>
      <c r="AF257" s="195"/>
      <c r="AG257" s="195"/>
      <c r="AH257" s="195"/>
      <c r="AI257" s="195"/>
      <c r="AJ257" s="195"/>
      <c r="AK257" s="195"/>
      <c r="AL257" s="197">
        <v>194</v>
      </c>
      <c r="AM257" s="195"/>
      <c r="AN257" s="195"/>
      <c r="AO257" s="195"/>
      <c r="AP257" s="195"/>
      <c r="AQ257" s="195"/>
      <c r="AR257" s="195"/>
      <c r="AS257" s="195"/>
      <c r="AT257" s="195"/>
      <c r="AU257" s="195"/>
      <c r="AV257" s="195"/>
      <c r="AW257" s="195"/>
      <c r="AX257" s="195"/>
      <c r="AY257" s="195"/>
      <c r="AZ257" s="195"/>
      <c r="BA257" s="195"/>
      <c r="BB257" s="195"/>
      <c r="BC257" s="195"/>
      <c r="BD257" s="197">
        <v>194</v>
      </c>
      <c r="BE257" s="195"/>
      <c r="BF257" s="195"/>
      <c r="BG257" s="195"/>
      <c r="BH257" s="195"/>
      <c r="BI257" s="195"/>
      <c r="BJ257" s="195"/>
      <c r="BK257" s="195"/>
      <c r="BL257" s="195"/>
      <c r="BM257" s="195"/>
      <c r="BN257" s="195"/>
      <c r="BO257" s="195"/>
      <c r="BP257" s="195"/>
      <c r="BQ257" s="195"/>
      <c r="BR257" s="195"/>
      <c r="BS257" s="195"/>
      <c r="BT257" s="195"/>
      <c r="BU257" s="195"/>
      <c r="BV257" s="197">
        <v>194</v>
      </c>
      <c r="BW257" s="195"/>
      <c r="BX257" s="195"/>
      <c r="BY257" s="195"/>
      <c r="BZ257" s="195"/>
      <c r="CA257" s="195"/>
      <c r="CB257" s="195"/>
      <c r="CC257" s="195"/>
      <c r="CD257" s="195"/>
      <c r="CE257" s="195"/>
      <c r="CF257" s="195"/>
      <c r="CG257" s="195"/>
      <c r="CH257" s="195"/>
      <c r="CI257" s="195"/>
      <c r="CJ257" s="195"/>
      <c r="CK257" s="195"/>
      <c r="CL257" s="195"/>
      <c r="CM257" s="195"/>
      <c r="CN257" s="197">
        <v>194</v>
      </c>
      <c r="CO257" s="195"/>
      <c r="CP257" s="195"/>
      <c r="CQ257" s="195"/>
      <c r="CR257" s="195"/>
      <c r="CS257" s="195"/>
      <c r="CT257" s="195"/>
      <c r="CU257" s="195"/>
      <c r="CV257" s="195"/>
      <c r="CW257" s="195"/>
      <c r="CX257" s="195"/>
      <c r="CY257" s="195"/>
      <c r="CZ257" s="195"/>
      <c r="DA257" s="195"/>
      <c r="DB257" s="195"/>
      <c r="DC257" s="195"/>
      <c r="DD257" s="195"/>
      <c r="DE257" s="195"/>
      <c r="DF257" s="197">
        <v>194</v>
      </c>
      <c r="DG257" s="195"/>
      <c r="DH257" s="195"/>
      <c r="DI257" s="195"/>
      <c r="DJ257" s="195"/>
      <c r="DK257" s="195"/>
      <c r="DL257" s="195"/>
      <c r="DM257" s="195"/>
      <c r="DN257" s="195"/>
      <c r="DO257" s="195"/>
      <c r="DP257" s="195"/>
      <c r="DQ257" s="195"/>
      <c r="DR257" s="195"/>
      <c r="DS257" s="195"/>
      <c r="DT257" s="195"/>
      <c r="DU257" s="195"/>
      <c r="DV257" s="195"/>
      <c r="DW257" s="195"/>
      <c r="DX257" s="197">
        <v>194</v>
      </c>
      <c r="DY257" s="195"/>
      <c r="DZ257" s="195"/>
      <c r="EA257" s="195"/>
      <c r="EB257" s="195"/>
      <c r="EC257" s="195"/>
      <c r="ED257" s="195"/>
      <c r="EE257" s="195"/>
      <c r="EF257" s="195"/>
      <c r="EG257" s="195"/>
      <c r="EH257" s="195"/>
      <c r="EI257" s="195"/>
      <c r="EJ257" s="195"/>
      <c r="EK257" s="195"/>
      <c r="EL257" s="195"/>
      <c r="EM257" s="195"/>
      <c r="EN257" s="195"/>
      <c r="EO257" s="195"/>
      <c r="EP257" s="197">
        <v>194</v>
      </c>
      <c r="EQ257" s="195"/>
      <c r="ER257" s="195"/>
      <c r="ES257" s="195"/>
      <c r="ET257" s="195"/>
      <c r="EU257" s="195"/>
      <c r="EV257" s="195"/>
      <c r="EW257" s="195"/>
      <c r="EX257" s="195"/>
      <c r="EY257" s="195"/>
      <c r="EZ257" s="195"/>
      <c r="FA257" s="195"/>
      <c r="FB257" s="195"/>
      <c r="FC257" s="195"/>
      <c r="FD257" s="195"/>
      <c r="FE257" s="195"/>
      <c r="FF257" s="195"/>
      <c r="FG257" s="195"/>
      <c r="FH257" s="197">
        <v>194</v>
      </c>
      <c r="FI257" s="195"/>
      <c r="FJ257" s="195"/>
      <c r="FK257" s="195"/>
      <c r="FL257" s="195"/>
      <c r="FM257" s="195"/>
      <c r="FN257" s="195"/>
      <c r="FO257" s="195"/>
      <c r="FP257" s="195"/>
      <c r="FQ257" s="195"/>
      <c r="FR257" s="195"/>
      <c r="FS257" s="195"/>
      <c r="FT257" s="195"/>
      <c r="FU257" s="195"/>
      <c r="FV257" s="195"/>
      <c r="FW257" s="195"/>
      <c r="FX257" s="195"/>
      <c r="FY257" s="195"/>
    </row>
    <row r="258" spans="2:181" x14ac:dyDescent="0.25">
      <c r="B258" s="12">
        <v>195</v>
      </c>
      <c r="C258" s="195"/>
      <c r="D258" s="195"/>
      <c r="E258" s="195"/>
      <c r="F258" s="195"/>
      <c r="G258" s="195"/>
      <c r="H258" s="195"/>
      <c r="I258" s="195"/>
      <c r="J258" s="195"/>
      <c r="K258" s="195"/>
      <c r="L258" s="195"/>
      <c r="M258" s="195"/>
      <c r="N258" s="195"/>
      <c r="O258" s="195"/>
      <c r="P258" s="195"/>
      <c r="Q258" s="195"/>
      <c r="R258" s="195"/>
      <c r="S258" s="195"/>
      <c r="T258" s="12">
        <v>195</v>
      </c>
      <c r="U258" s="195"/>
      <c r="V258" s="195"/>
      <c r="W258" s="195"/>
      <c r="X258" s="195"/>
      <c r="Y258" s="195"/>
      <c r="Z258" s="195"/>
      <c r="AA258" s="195"/>
      <c r="AB258" s="195"/>
      <c r="AC258" s="195"/>
      <c r="AD258" s="195"/>
      <c r="AE258" s="195"/>
      <c r="AF258" s="195"/>
      <c r="AG258" s="195"/>
      <c r="AH258" s="195"/>
      <c r="AI258" s="195"/>
      <c r="AJ258" s="195"/>
      <c r="AK258" s="195"/>
      <c r="AL258" s="12">
        <v>195</v>
      </c>
      <c r="AM258" s="195"/>
      <c r="AN258" s="195"/>
      <c r="AO258" s="195"/>
      <c r="AP258" s="195"/>
      <c r="AQ258" s="195"/>
      <c r="AR258" s="195"/>
      <c r="AS258" s="195"/>
      <c r="AT258" s="195"/>
      <c r="AU258" s="195"/>
      <c r="AV258" s="195"/>
      <c r="AW258" s="195"/>
      <c r="AX258" s="195"/>
      <c r="AY258" s="195"/>
      <c r="AZ258" s="195"/>
      <c r="BA258" s="195"/>
      <c r="BB258" s="195"/>
      <c r="BC258" s="195"/>
      <c r="BD258" s="12">
        <v>195</v>
      </c>
      <c r="BE258" s="195"/>
      <c r="BF258" s="195"/>
      <c r="BG258" s="195"/>
      <c r="BH258" s="195"/>
      <c r="BI258" s="195"/>
      <c r="BJ258" s="195"/>
      <c r="BK258" s="195"/>
      <c r="BL258" s="195"/>
      <c r="BM258" s="195"/>
      <c r="BN258" s="195"/>
      <c r="BO258" s="195"/>
      <c r="BP258" s="195"/>
      <c r="BQ258" s="195"/>
      <c r="BR258" s="195"/>
      <c r="BS258" s="195"/>
      <c r="BT258" s="195"/>
      <c r="BU258" s="195"/>
      <c r="BV258" s="12">
        <v>195</v>
      </c>
      <c r="BW258" s="195"/>
      <c r="BX258" s="195"/>
      <c r="BY258" s="195"/>
      <c r="BZ258" s="195"/>
      <c r="CA258" s="195"/>
      <c r="CB258" s="195"/>
      <c r="CC258" s="195"/>
      <c r="CD258" s="195"/>
      <c r="CE258" s="195"/>
      <c r="CF258" s="195"/>
      <c r="CG258" s="195"/>
      <c r="CH258" s="195"/>
      <c r="CI258" s="195"/>
      <c r="CJ258" s="195"/>
      <c r="CK258" s="195"/>
      <c r="CL258" s="195"/>
      <c r="CM258" s="195"/>
      <c r="CN258" s="12">
        <v>195</v>
      </c>
      <c r="CO258" s="195"/>
      <c r="CP258" s="195"/>
      <c r="CQ258" s="195"/>
      <c r="CR258" s="195"/>
      <c r="CS258" s="195"/>
      <c r="CT258" s="195"/>
      <c r="CU258" s="195"/>
      <c r="CV258" s="195"/>
      <c r="CW258" s="195"/>
      <c r="CX258" s="195"/>
      <c r="CY258" s="195"/>
      <c r="CZ258" s="195"/>
      <c r="DA258" s="195"/>
      <c r="DB258" s="195"/>
      <c r="DC258" s="195"/>
      <c r="DD258" s="195"/>
      <c r="DE258" s="195"/>
      <c r="DF258" s="12">
        <v>195</v>
      </c>
      <c r="DG258" s="195"/>
      <c r="DH258" s="195"/>
      <c r="DI258" s="195"/>
      <c r="DJ258" s="195"/>
      <c r="DK258" s="195"/>
      <c r="DL258" s="195"/>
      <c r="DM258" s="195"/>
      <c r="DN258" s="195"/>
      <c r="DO258" s="195"/>
      <c r="DP258" s="195"/>
      <c r="DQ258" s="195"/>
      <c r="DR258" s="195"/>
      <c r="DS258" s="195"/>
      <c r="DT258" s="195"/>
      <c r="DU258" s="195"/>
      <c r="DV258" s="195"/>
      <c r="DW258" s="195"/>
      <c r="DX258" s="12">
        <v>195</v>
      </c>
      <c r="DY258" s="195"/>
      <c r="DZ258" s="195"/>
      <c r="EA258" s="195"/>
      <c r="EB258" s="195"/>
      <c r="EC258" s="195"/>
      <c r="ED258" s="195"/>
      <c r="EE258" s="195"/>
      <c r="EF258" s="195"/>
      <c r="EG258" s="195"/>
      <c r="EH258" s="195"/>
      <c r="EI258" s="195"/>
      <c r="EJ258" s="195"/>
      <c r="EK258" s="195"/>
      <c r="EL258" s="195"/>
      <c r="EM258" s="195"/>
      <c r="EN258" s="195"/>
      <c r="EO258" s="195"/>
      <c r="EP258" s="12">
        <v>195</v>
      </c>
      <c r="EQ258" s="195"/>
      <c r="ER258" s="195"/>
      <c r="ES258" s="195"/>
      <c r="ET258" s="195"/>
      <c r="EU258" s="195"/>
      <c r="EV258" s="195"/>
      <c r="EW258" s="195"/>
      <c r="EX258" s="195"/>
      <c r="EY258" s="195"/>
      <c r="EZ258" s="195"/>
      <c r="FA258" s="195"/>
      <c r="FB258" s="195"/>
      <c r="FC258" s="195"/>
      <c r="FD258" s="195"/>
      <c r="FE258" s="195"/>
      <c r="FF258" s="195"/>
      <c r="FG258" s="195"/>
      <c r="FH258" s="12">
        <v>195</v>
      </c>
      <c r="FI258" s="195"/>
      <c r="FJ258" s="195"/>
      <c r="FK258" s="195"/>
      <c r="FL258" s="195"/>
      <c r="FM258" s="195"/>
      <c r="FN258" s="195"/>
      <c r="FO258" s="195"/>
      <c r="FP258" s="195"/>
      <c r="FQ258" s="195"/>
      <c r="FR258" s="195"/>
      <c r="FS258" s="195"/>
      <c r="FT258" s="195"/>
      <c r="FU258" s="195"/>
      <c r="FV258" s="195"/>
      <c r="FW258" s="195"/>
      <c r="FX258" s="195"/>
      <c r="FY258" s="195"/>
    </row>
    <row r="259" spans="2:181" x14ac:dyDescent="0.25">
      <c r="B259" s="12">
        <v>196</v>
      </c>
      <c r="C259" s="195"/>
      <c r="D259" s="195"/>
      <c r="E259" s="195"/>
      <c r="F259" s="195"/>
      <c r="G259" s="195"/>
      <c r="H259" s="195"/>
      <c r="I259" s="195"/>
      <c r="J259" s="195"/>
      <c r="K259" s="195"/>
      <c r="L259" s="195"/>
      <c r="M259" s="195"/>
      <c r="N259" s="195"/>
      <c r="O259" s="195"/>
      <c r="P259" s="195"/>
      <c r="Q259" s="195"/>
      <c r="R259" s="195"/>
      <c r="S259" s="195"/>
      <c r="T259" s="12">
        <v>196</v>
      </c>
      <c r="U259" s="195"/>
      <c r="V259" s="195"/>
      <c r="W259" s="195"/>
      <c r="X259" s="195"/>
      <c r="Y259" s="195"/>
      <c r="Z259" s="195"/>
      <c r="AA259" s="195"/>
      <c r="AB259" s="195"/>
      <c r="AC259" s="195"/>
      <c r="AD259" s="195"/>
      <c r="AE259" s="195"/>
      <c r="AF259" s="195"/>
      <c r="AG259" s="195"/>
      <c r="AH259" s="195"/>
      <c r="AI259" s="195"/>
      <c r="AJ259" s="195"/>
      <c r="AK259" s="195"/>
      <c r="AL259" s="12">
        <v>196</v>
      </c>
      <c r="AM259" s="195"/>
      <c r="AN259" s="195"/>
      <c r="AO259" s="195"/>
      <c r="AP259" s="195"/>
      <c r="AQ259" s="195"/>
      <c r="AR259" s="195"/>
      <c r="AS259" s="195"/>
      <c r="AT259" s="195"/>
      <c r="AU259" s="195"/>
      <c r="AV259" s="195"/>
      <c r="AW259" s="195"/>
      <c r="AX259" s="195"/>
      <c r="AY259" s="195"/>
      <c r="AZ259" s="195"/>
      <c r="BA259" s="195"/>
      <c r="BB259" s="195"/>
      <c r="BC259" s="195"/>
      <c r="BD259" s="12">
        <v>196</v>
      </c>
      <c r="BE259" s="195"/>
      <c r="BF259" s="195"/>
      <c r="BG259" s="195"/>
      <c r="BH259" s="195"/>
      <c r="BI259" s="195"/>
      <c r="BJ259" s="195"/>
      <c r="BK259" s="195"/>
      <c r="BL259" s="195"/>
      <c r="BM259" s="195"/>
      <c r="BN259" s="195"/>
      <c r="BO259" s="195"/>
      <c r="BP259" s="195"/>
      <c r="BQ259" s="195"/>
      <c r="BR259" s="195"/>
      <c r="BS259" s="195"/>
      <c r="BT259" s="195"/>
      <c r="BU259" s="195"/>
      <c r="BV259" s="12">
        <v>196</v>
      </c>
      <c r="BW259" s="195"/>
      <c r="BX259" s="195"/>
      <c r="BY259" s="195"/>
      <c r="BZ259" s="195"/>
      <c r="CA259" s="195"/>
      <c r="CB259" s="195"/>
      <c r="CC259" s="195"/>
      <c r="CD259" s="195"/>
      <c r="CE259" s="195"/>
      <c r="CF259" s="195"/>
      <c r="CG259" s="195"/>
      <c r="CH259" s="195"/>
      <c r="CI259" s="195"/>
      <c r="CJ259" s="195"/>
      <c r="CK259" s="195"/>
      <c r="CL259" s="195"/>
      <c r="CM259" s="195"/>
      <c r="CN259" s="12">
        <v>196</v>
      </c>
      <c r="CO259" s="195"/>
      <c r="CP259" s="195"/>
      <c r="CQ259" s="195"/>
      <c r="CR259" s="195"/>
      <c r="CS259" s="195"/>
      <c r="CT259" s="195"/>
      <c r="CU259" s="195"/>
      <c r="CV259" s="195"/>
      <c r="CW259" s="195"/>
      <c r="CX259" s="195"/>
      <c r="CY259" s="195"/>
      <c r="CZ259" s="195"/>
      <c r="DA259" s="195"/>
      <c r="DB259" s="195"/>
      <c r="DC259" s="195"/>
      <c r="DD259" s="195"/>
      <c r="DE259" s="195"/>
      <c r="DF259" s="12">
        <v>196</v>
      </c>
      <c r="DG259" s="195"/>
      <c r="DH259" s="195"/>
      <c r="DI259" s="195"/>
      <c r="DJ259" s="195"/>
      <c r="DK259" s="195"/>
      <c r="DL259" s="195"/>
      <c r="DM259" s="195"/>
      <c r="DN259" s="195"/>
      <c r="DO259" s="195"/>
      <c r="DP259" s="195"/>
      <c r="DQ259" s="195"/>
      <c r="DR259" s="195"/>
      <c r="DS259" s="195"/>
      <c r="DT259" s="195"/>
      <c r="DU259" s="195"/>
      <c r="DV259" s="195"/>
      <c r="DW259" s="195"/>
      <c r="DX259" s="12">
        <v>196</v>
      </c>
      <c r="DY259" s="195"/>
      <c r="DZ259" s="195"/>
      <c r="EA259" s="195"/>
      <c r="EB259" s="195"/>
      <c r="EC259" s="195"/>
      <c r="ED259" s="195"/>
      <c r="EE259" s="195"/>
      <c r="EF259" s="195"/>
      <c r="EG259" s="195"/>
      <c r="EH259" s="195"/>
      <c r="EI259" s="195"/>
      <c r="EJ259" s="195"/>
      <c r="EK259" s="195"/>
      <c r="EL259" s="195"/>
      <c r="EM259" s="195"/>
      <c r="EN259" s="195"/>
      <c r="EO259" s="195"/>
      <c r="EP259" s="12">
        <v>196</v>
      </c>
      <c r="EQ259" s="195"/>
      <c r="ER259" s="195"/>
      <c r="ES259" s="195"/>
      <c r="ET259" s="195"/>
      <c r="EU259" s="195"/>
      <c r="EV259" s="195"/>
      <c r="EW259" s="195"/>
      <c r="EX259" s="195"/>
      <c r="EY259" s="195"/>
      <c r="EZ259" s="195"/>
      <c r="FA259" s="195"/>
      <c r="FB259" s="195"/>
      <c r="FC259" s="195"/>
      <c r="FD259" s="195"/>
      <c r="FE259" s="195"/>
      <c r="FF259" s="195"/>
      <c r="FG259" s="195"/>
      <c r="FH259" s="12">
        <v>196</v>
      </c>
      <c r="FI259" s="195"/>
      <c r="FJ259" s="195"/>
      <c r="FK259" s="195"/>
      <c r="FL259" s="195"/>
      <c r="FM259" s="195"/>
      <c r="FN259" s="195"/>
      <c r="FO259" s="195"/>
      <c r="FP259" s="195"/>
      <c r="FQ259" s="195"/>
      <c r="FR259" s="195"/>
      <c r="FS259" s="195"/>
      <c r="FT259" s="195"/>
      <c r="FU259" s="195"/>
      <c r="FV259" s="195"/>
      <c r="FW259" s="195"/>
      <c r="FX259" s="195"/>
      <c r="FY259" s="195"/>
    </row>
    <row r="260" spans="2:181" x14ac:dyDescent="0.25">
      <c r="B260" s="197">
        <v>197</v>
      </c>
      <c r="C260" s="195"/>
      <c r="D260" s="195"/>
      <c r="E260" s="195"/>
      <c r="F260" s="195"/>
      <c r="G260" s="195"/>
      <c r="H260" s="195"/>
      <c r="I260" s="195"/>
      <c r="J260" s="195"/>
      <c r="K260" s="195"/>
      <c r="L260" s="195"/>
      <c r="M260" s="195"/>
      <c r="N260" s="195"/>
      <c r="O260" s="195"/>
      <c r="P260" s="195"/>
      <c r="Q260" s="195"/>
      <c r="R260" s="195"/>
      <c r="S260" s="195"/>
      <c r="T260" s="197">
        <v>197</v>
      </c>
      <c r="U260" s="195"/>
      <c r="V260" s="195"/>
      <c r="W260" s="195"/>
      <c r="X260" s="195"/>
      <c r="Y260" s="195"/>
      <c r="Z260" s="195"/>
      <c r="AA260" s="195"/>
      <c r="AB260" s="195"/>
      <c r="AC260" s="195"/>
      <c r="AD260" s="195"/>
      <c r="AE260" s="195"/>
      <c r="AF260" s="195"/>
      <c r="AG260" s="195"/>
      <c r="AH260" s="195"/>
      <c r="AI260" s="195"/>
      <c r="AJ260" s="195"/>
      <c r="AK260" s="195"/>
      <c r="AL260" s="197">
        <v>197</v>
      </c>
      <c r="AM260" s="195"/>
      <c r="AN260" s="195"/>
      <c r="AO260" s="195"/>
      <c r="AP260" s="195"/>
      <c r="AQ260" s="195"/>
      <c r="AR260" s="195"/>
      <c r="AS260" s="195"/>
      <c r="AT260" s="195"/>
      <c r="AU260" s="195"/>
      <c r="AV260" s="195"/>
      <c r="AW260" s="195"/>
      <c r="AX260" s="195"/>
      <c r="AY260" s="195"/>
      <c r="AZ260" s="195"/>
      <c r="BA260" s="195"/>
      <c r="BB260" s="195"/>
      <c r="BC260" s="195"/>
      <c r="BD260" s="197">
        <v>197</v>
      </c>
      <c r="BE260" s="195"/>
      <c r="BF260" s="195"/>
      <c r="BG260" s="195"/>
      <c r="BH260" s="195"/>
      <c r="BI260" s="195"/>
      <c r="BJ260" s="195"/>
      <c r="BK260" s="195"/>
      <c r="BL260" s="195"/>
      <c r="BM260" s="195"/>
      <c r="BN260" s="195"/>
      <c r="BO260" s="195"/>
      <c r="BP260" s="195"/>
      <c r="BQ260" s="195"/>
      <c r="BR260" s="195"/>
      <c r="BS260" s="195"/>
      <c r="BT260" s="195"/>
      <c r="BU260" s="195"/>
      <c r="BV260" s="197">
        <v>197</v>
      </c>
      <c r="BW260" s="195"/>
      <c r="BX260" s="195"/>
      <c r="BY260" s="195"/>
      <c r="BZ260" s="195"/>
      <c r="CA260" s="195"/>
      <c r="CB260" s="195"/>
      <c r="CC260" s="195"/>
      <c r="CD260" s="195"/>
      <c r="CE260" s="195"/>
      <c r="CF260" s="195"/>
      <c r="CG260" s="195"/>
      <c r="CH260" s="195"/>
      <c r="CI260" s="195"/>
      <c r="CJ260" s="195"/>
      <c r="CK260" s="195"/>
      <c r="CL260" s="195"/>
      <c r="CM260" s="195"/>
      <c r="CN260" s="197">
        <v>197</v>
      </c>
      <c r="CO260" s="195"/>
      <c r="CP260" s="195"/>
      <c r="CQ260" s="195"/>
      <c r="CR260" s="195"/>
      <c r="CS260" s="195"/>
      <c r="CT260" s="195"/>
      <c r="CU260" s="195"/>
      <c r="CV260" s="195"/>
      <c r="CW260" s="195"/>
      <c r="CX260" s="195"/>
      <c r="CY260" s="195"/>
      <c r="CZ260" s="195"/>
      <c r="DA260" s="195"/>
      <c r="DB260" s="195"/>
      <c r="DC260" s="195"/>
      <c r="DD260" s="195"/>
      <c r="DE260" s="195"/>
      <c r="DF260" s="197">
        <v>197</v>
      </c>
      <c r="DG260" s="195"/>
      <c r="DH260" s="195"/>
      <c r="DI260" s="195"/>
      <c r="DJ260" s="195"/>
      <c r="DK260" s="195"/>
      <c r="DL260" s="195"/>
      <c r="DM260" s="195"/>
      <c r="DN260" s="195"/>
      <c r="DO260" s="195"/>
      <c r="DP260" s="195"/>
      <c r="DQ260" s="195"/>
      <c r="DR260" s="195"/>
      <c r="DS260" s="195"/>
      <c r="DT260" s="195"/>
      <c r="DU260" s="195"/>
      <c r="DV260" s="195"/>
      <c r="DW260" s="195"/>
      <c r="DX260" s="197">
        <v>197</v>
      </c>
      <c r="DY260" s="195"/>
      <c r="DZ260" s="195"/>
      <c r="EA260" s="195"/>
      <c r="EB260" s="195"/>
      <c r="EC260" s="195"/>
      <c r="ED260" s="195"/>
      <c r="EE260" s="195"/>
      <c r="EF260" s="195"/>
      <c r="EG260" s="195"/>
      <c r="EH260" s="195"/>
      <c r="EI260" s="195"/>
      <c r="EJ260" s="195"/>
      <c r="EK260" s="195"/>
      <c r="EL260" s="195"/>
      <c r="EM260" s="195"/>
      <c r="EN260" s="195"/>
      <c r="EO260" s="195"/>
      <c r="EP260" s="197">
        <v>197</v>
      </c>
      <c r="EQ260" s="195"/>
      <c r="ER260" s="195"/>
      <c r="ES260" s="195"/>
      <c r="ET260" s="195"/>
      <c r="EU260" s="195"/>
      <c r="EV260" s="195"/>
      <c r="EW260" s="195"/>
      <c r="EX260" s="195"/>
      <c r="EY260" s="195"/>
      <c r="EZ260" s="195"/>
      <c r="FA260" s="195"/>
      <c r="FB260" s="195"/>
      <c r="FC260" s="195"/>
      <c r="FD260" s="195"/>
      <c r="FE260" s="195"/>
      <c r="FF260" s="195"/>
      <c r="FG260" s="195"/>
      <c r="FH260" s="197">
        <v>197</v>
      </c>
      <c r="FI260" s="195"/>
      <c r="FJ260" s="195"/>
      <c r="FK260" s="195"/>
      <c r="FL260" s="195"/>
      <c r="FM260" s="195"/>
      <c r="FN260" s="195"/>
      <c r="FO260" s="195"/>
      <c r="FP260" s="195"/>
      <c r="FQ260" s="195"/>
      <c r="FR260" s="195"/>
      <c r="FS260" s="195"/>
      <c r="FT260" s="195"/>
      <c r="FU260" s="195"/>
      <c r="FV260" s="195"/>
      <c r="FW260" s="195"/>
      <c r="FX260" s="195"/>
      <c r="FY260" s="195"/>
    </row>
    <row r="261" spans="2:181" x14ac:dyDescent="0.25">
      <c r="B261" s="12">
        <v>198</v>
      </c>
      <c r="C261" s="195"/>
      <c r="D261" s="195"/>
      <c r="E261" s="195"/>
      <c r="F261" s="195"/>
      <c r="G261" s="195"/>
      <c r="H261" s="195"/>
      <c r="I261" s="195"/>
      <c r="J261" s="195"/>
      <c r="K261" s="195"/>
      <c r="L261" s="195"/>
      <c r="M261" s="195"/>
      <c r="N261" s="195"/>
      <c r="O261" s="195"/>
      <c r="P261" s="195"/>
      <c r="Q261" s="195"/>
      <c r="R261" s="195"/>
      <c r="S261" s="195"/>
      <c r="T261" s="12">
        <v>198</v>
      </c>
      <c r="U261" s="195"/>
      <c r="V261" s="195"/>
      <c r="W261" s="195"/>
      <c r="X261" s="195"/>
      <c r="Y261" s="195"/>
      <c r="Z261" s="195"/>
      <c r="AA261" s="195"/>
      <c r="AB261" s="195"/>
      <c r="AC261" s="195"/>
      <c r="AD261" s="195"/>
      <c r="AE261" s="195"/>
      <c r="AF261" s="195"/>
      <c r="AG261" s="195"/>
      <c r="AH261" s="195"/>
      <c r="AI261" s="195"/>
      <c r="AJ261" s="195"/>
      <c r="AK261" s="195"/>
      <c r="AL261" s="12">
        <v>198</v>
      </c>
      <c r="AM261" s="195"/>
      <c r="AN261" s="195"/>
      <c r="AO261" s="195"/>
      <c r="AP261" s="195"/>
      <c r="AQ261" s="195"/>
      <c r="AR261" s="195"/>
      <c r="AS261" s="195"/>
      <c r="AT261" s="195"/>
      <c r="AU261" s="195"/>
      <c r="AV261" s="195"/>
      <c r="AW261" s="195"/>
      <c r="AX261" s="195"/>
      <c r="AY261" s="195"/>
      <c r="AZ261" s="195"/>
      <c r="BA261" s="195"/>
      <c r="BB261" s="195"/>
      <c r="BC261" s="195"/>
      <c r="BD261" s="12">
        <v>198</v>
      </c>
      <c r="BE261" s="195"/>
      <c r="BF261" s="195"/>
      <c r="BG261" s="195"/>
      <c r="BH261" s="195"/>
      <c r="BI261" s="195"/>
      <c r="BJ261" s="195"/>
      <c r="BK261" s="195"/>
      <c r="BL261" s="195"/>
      <c r="BM261" s="195"/>
      <c r="BN261" s="195"/>
      <c r="BO261" s="195"/>
      <c r="BP261" s="195"/>
      <c r="BQ261" s="195"/>
      <c r="BR261" s="195"/>
      <c r="BS261" s="195"/>
      <c r="BT261" s="195"/>
      <c r="BU261" s="195"/>
      <c r="BV261" s="12">
        <v>198</v>
      </c>
      <c r="BW261" s="195"/>
      <c r="BX261" s="195"/>
      <c r="BY261" s="195"/>
      <c r="BZ261" s="195"/>
      <c r="CA261" s="195"/>
      <c r="CB261" s="195"/>
      <c r="CC261" s="195"/>
      <c r="CD261" s="195"/>
      <c r="CE261" s="195"/>
      <c r="CF261" s="195"/>
      <c r="CG261" s="195"/>
      <c r="CH261" s="195"/>
      <c r="CI261" s="195"/>
      <c r="CJ261" s="195"/>
      <c r="CK261" s="195"/>
      <c r="CL261" s="195"/>
      <c r="CM261" s="195"/>
      <c r="CN261" s="12">
        <v>198</v>
      </c>
      <c r="CO261" s="195"/>
      <c r="CP261" s="195"/>
      <c r="CQ261" s="195"/>
      <c r="CR261" s="195"/>
      <c r="CS261" s="195"/>
      <c r="CT261" s="195"/>
      <c r="CU261" s="195"/>
      <c r="CV261" s="195"/>
      <c r="CW261" s="195"/>
      <c r="CX261" s="195"/>
      <c r="CY261" s="195"/>
      <c r="CZ261" s="195"/>
      <c r="DA261" s="195"/>
      <c r="DB261" s="195"/>
      <c r="DC261" s="195"/>
      <c r="DD261" s="195"/>
      <c r="DE261" s="195"/>
      <c r="DF261" s="12">
        <v>198</v>
      </c>
      <c r="DG261" s="195"/>
      <c r="DH261" s="195"/>
      <c r="DI261" s="195"/>
      <c r="DJ261" s="195"/>
      <c r="DK261" s="195"/>
      <c r="DL261" s="195"/>
      <c r="DM261" s="195"/>
      <c r="DN261" s="195"/>
      <c r="DO261" s="195"/>
      <c r="DP261" s="195"/>
      <c r="DQ261" s="195"/>
      <c r="DR261" s="195"/>
      <c r="DS261" s="195"/>
      <c r="DT261" s="195"/>
      <c r="DU261" s="195"/>
      <c r="DV261" s="195"/>
      <c r="DW261" s="195"/>
      <c r="DX261" s="12">
        <v>198</v>
      </c>
      <c r="DY261" s="195"/>
      <c r="DZ261" s="195"/>
      <c r="EA261" s="195"/>
      <c r="EB261" s="195"/>
      <c r="EC261" s="195"/>
      <c r="ED261" s="195"/>
      <c r="EE261" s="195"/>
      <c r="EF261" s="195"/>
      <c r="EG261" s="195"/>
      <c r="EH261" s="195"/>
      <c r="EI261" s="195"/>
      <c r="EJ261" s="195"/>
      <c r="EK261" s="195"/>
      <c r="EL261" s="195"/>
      <c r="EM261" s="195"/>
      <c r="EN261" s="195"/>
      <c r="EO261" s="195"/>
      <c r="EP261" s="12">
        <v>198</v>
      </c>
      <c r="EQ261" s="195"/>
      <c r="ER261" s="195"/>
      <c r="ES261" s="195"/>
      <c r="ET261" s="195"/>
      <c r="EU261" s="195"/>
      <c r="EV261" s="195"/>
      <c r="EW261" s="195"/>
      <c r="EX261" s="195"/>
      <c r="EY261" s="195"/>
      <c r="EZ261" s="195"/>
      <c r="FA261" s="195"/>
      <c r="FB261" s="195"/>
      <c r="FC261" s="195"/>
      <c r="FD261" s="195"/>
      <c r="FE261" s="195"/>
      <c r="FF261" s="195"/>
      <c r="FG261" s="195"/>
      <c r="FH261" s="12">
        <v>198</v>
      </c>
      <c r="FI261" s="195"/>
      <c r="FJ261" s="195"/>
      <c r="FK261" s="195"/>
      <c r="FL261" s="195"/>
      <c r="FM261" s="195"/>
      <c r="FN261" s="195"/>
      <c r="FO261" s="195"/>
      <c r="FP261" s="195"/>
      <c r="FQ261" s="195"/>
      <c r="FR261" s="195"/>
      <c r="FS261" s="195"/>
      <c r="FT261" s="195"/>
      <c r="FU261" s="195"/>
      <c r="FV261" s="195"/>
      <c r="FW261" s="195"/>
      <c r="FX261" s="195"/>
      <c r="FY261" s="195"/>
    </row>
    <row r="262" spans="2:181" x14ac:dyDescent="0.25">
      <c r="B262" s="12">
        <v>199</v>
      </c>
      <c r="C262" s="195"/>
      <c r="D262" s="195"/>
      <c r="E262" s="195"/>
      <c r="F262" s="195"/>
      <c r="G262" s="195"/>
      <c r="H262" s="195"/>
      <c r="I262" s="195"/>
      <c r="J262" s="195"/>
      <c r="K262" s="195"/>
      <c r="L262" s="195"/>
      <c r="M262" s="195"/>
      <c r="N262" s="195"/>
      <c r="O262" s="195"/>
      <c r="P262" s="195"/>
      <c r="Q262" s="195"/>
      <c r="R262" s="195"/>
      <c r="S262" s="195"/>
      <c r="T262" s="12">
        <v>199</v>
      </c>
      <c r="U262" s="195"/>
      <c r="V262" s="195"/>
      <c r="W262" s="195"/>
      <c r="X262" s="195"/>
      <c r="Y262" s="195"/>
      <c r="Z262" s="195"/>
      <c r="AA262" s="195"/>
      <c r="AB262" s="195"/>
      <c r="AC262" s="195"/>
      <c r="AD262" s="195"/>
      <c r="AE262" s="195"/>
      <c r="AF262" s="195"/>
      <c r="AG262" s="195"/>
      <c r="AH262" s="195"/>
      <c r="AI262" s="195"/>
      <c r="AJ262" s="195"/>
      <c r="AK262" s="195"/>
      <c r="AL262" s="12">
        <v>199</v>
      </c>
      <c r="AM262" s="195"/>
      <c r="AN262" s="195"/>
      <c r="AO262" s="195"/>
      <c r="AP262" s="195"/>
      <c r="AQ262" s="195"/>
      <c r="AR262" s="195"/>
      <c r="AS262" s="195"/>
      <c r="AT262" s="195"/>
      <c r="AU262" s="195"/>
      <c r="AV262" s="195"/>
      <c r="AW262" s="195"/>
      <c r="AX262" s="195"/>
      <c r="AY262" s="195"/>
      <c r="AZ262" s="195"/>
      <c r="BA262" s="195"/>
      <c r="BB262" s="195"/>
      <c r="BC262" s="195"/>
      <c r="BD262" s="12">
        <v>199</v>
      </c>
      <c r="BE262" s="195"/>
      <c r="BF262" s="195"/>
      <c r="BG262" s="195"/>
      <c r="BH262" s="195"/>
      <c r="BI262" s="195"/>
      <c r="BJ262" s="195"/>
      <c r="BK262" s="195"/>
      <c r="BL262" s="195"/>
      <c r="BM262" s="195"/>
      <c r="BN262" s="195"/>
      <c r="BO262" s="195"/>
      <c r="BP262" s="195"/>
      <c r="BQ262" s="195"/>
      <c r="BR262" s="195"/>
      <c r="BS262" s="195"/>
      <c r="BT262" s="195"/>
      <c r="BU262" s="195"/>
      <c r="BV262" s="12">
        <v>199</v>
      </c>
      <c r="BW262" s="195"/>
      <c r="BX262" s="195"/>
      <c r="BY262" s="195"/>
      <c r="BZ262" s="195"/>
      <c r="CA262" s="195"/>
      <c r="CB262" s="195"/>
      <c r="CC262" s="195"/>
      <c r="CD262" s="195"/>
      <c r="CE262" s="195"/>
      <c r="CF262" s="195"/>
      <c r="CG262" s="195"/>
      <c r="CH262" s="195"/>
      <c r="CI262" s="195"/>
      <c r="CJ262" s="195"/>
      <c r="CK262" s="195"/>
      <c r="CL262" s="195"/>
      <c r="CM262" s="195"/>
      <c r="CN262" s="12">
        <v>199</v>
      </c>
      <c r="CO262" s="195"/>
      <c r="CP262" s="195"/>
      <c r="CQ262" s="195"/>
      <c r="CR262" s="195"/>
      <c r="CS262" s="195"/>
      <c r="CT262" s="195"/>
      <c r="CU262" s="195"/>
      <c r="CV262" s="195"/>
      <c r="CW262" s="195"/>
      <c r="CX262" s="195"/>
      <c r="CY262" s="195"/>
      <c r="CZ262" s="195"/>
      <c r="DA262" s="195"/>
      <c r="DB262" s="195"/>
      <c r="DC262" s="195"/>
      <c r="DD262" s="195"/>
      <c r="DE262" s="195"/>
      <c r="DF262" s="12">
        <v>199</v>
      </c>
      <c r="DG262" s="195"/>
      <c r="DH262" s="195"/>
      <c r="DI262" s="195"/>
      <c r="DJ262" s="195"/>
      <c r="DK262" s="195"/>
      <c r="DL262" s="195"/>
      <c r="DM262" s="195"/>
      <c r="DN262" s="195"/>
      <c r="DO262" s="195"/>
      <c r="DP262" s="195"/>
      <c r="DQ262" s="195"/>
      <c r="DR262" s="195"/>
      <c r="DS262" s="195"/>
      <c r="DT262" s="195"/>
      <c r="DU262" s="195"/>
      <c r="DV262" s="195"/>
      <c r="DW262" s="195"/>
      <c r="DX262" s="12">
        <v>199</v>
      </c>
      <c r="DY262" s="195"/>
      <c r="DZ262" s="195"/>
      <c r="EA262" s="195"/>
      <c r="EB262" s="195"/>
      <c r="EC262" s="195"/>
      <c r="ED262" s="195"/>
      <c r="EE262" s="195"/>
      <c r="EF262" s="195"/>
      <c r="EG262" s="195"/>
      <c r="EH262" s="195"/>
      <c r="EI262" s="195"/>
      <c r="EJ262" s="195"/>
      <c r="EK262" s="195"/>
      <c r="EL262" s="195"/>
      <c r="EM262" s="195"/>
      <c r="EN262" s="195"/>
      <c r="EO262" s="195"/>
      <c r="EP262" s="12">
        <v>199</v>
      </c>
      <c r="EQ262" s="195"/>
      <c r="ER262" s="195"/>
      <c r="ES262" s="195"/>
      <c r="ET262" s="195"/>
      <c r="EU262" s="195"/>
      <c r="EV262" s="195"/>
      <c r="EW262" s="195"/>
      <c r="EX262" s="195"/>
      <c r="EY262" s="195"/>
      <c r="EZ262" s="195"/>
      <c r="FA262" s="195"/>
      <c r="FB262" s="195"/>
      <c r="FC262" s="195"/>
      <c r="FD262" s="195"/>
      <c r="FE262" s="195"/>
      <c r="FF262" s="195"/>
      <c r="FG262" s="195"/>
      <c r="FH262" s="12">
        <v>199</v>
      </c>
      <c r="FI262" s="195"/>
      <c r="FJ262" s="195"/>
      <c r="FK262" s="195"/>
      <c r="FL262" s="195"/>
      <c r="FM262" s="195"/>
      <c r="FN262" s="195"/>
      <c r="FO262" s="195"/>
      <c r="FP262" s="195"/>
      <c r="FQ262" s="195"/>
      <c r="FR262" s="195"/>
      <c r="FS262" s="195"/>
      <c r="FT262" s="195"/>
      <c r="FU262" s="195"/>
      <c r="FV262" s="195"/>
      <c r="FW262" s="195"/>
      <c r="FX262" s="195"/>
      <c r="FY262" s="195"/>
    </row>
    <row r="263" spans="2:181" x14ac:dyDescent="0.25">
      <c r="B263" s="197">
        <v>200</v>
      </c>
      <c r="C263" s="195"/>
      <c r="D263" s="195"/>
      <c r="E263" s="195"/>
      <c r="F263" s="195"/>
      <c r="G263" s="195"/>
      <c r="H263" s="195"/>
      <c r="I263" s="195"/>
      <c r="J263" s="195"/>
      <c r="K263" s="195"/>
      <c r="L263" s="195"/>
      <c r="M263" s="195"/>
      <c r="N263" s="195"/>
      <c r="O263" s="195"/>
      <c r="P263" s="195"/>
      <c r="Q263" s="195"/>
      <c r="R263" s="195"/>
      <c r="S263" s="195"/>
      <c r="T263" s="197">
        <v>200</v>
      </c>
      <c r="U263" s="195"/>
      <c r="V263" s="195"/>
      <c r="W263" s="195"/>
      <c r="X263" s="195"/>
      <c r="Y263" s="195"/>
      <c r="Z263" s="195"/>
      <c r="AA263" s="195"/>
      <c r="AB263" s="195"/>
      <c r="AC263" s="195"/>
      <c r="AD263" s="195"/>
      <c r="AE263" s="195"/>
      <c r="AF263" s="195"/>
      <c r="AG263" s="195"/>
      <c r="AH263" s="195"/>
      <c r="AI263" s="195"/>
      <c r="AJ263" s="195"/>
      <c r="AK263" s="195"/>
      <c r="AL263" s="197">
        <v>200</v>
      </c>
      <c r="AM263" s="195"/>
      <c r="AN263" s="195"/>
      <c r="AO263" s="195"/>
      <c r="AP263" s="195"/>
      <c r="AQ263" s="195"/>
      <c r="AR263" s="195"/>
      <c r="AS263" s="195"/>
      <c r="AT263" s="195"/>
      <c r="AU263" s="195"/>
      <c r="AV263" s="195"/>
      <c r="AW263" s="195"/>
      <c r="AX263" s="195"/>
      <c r="AY263" s="195"/>
      <c r="AZ263" s="195"/>
      <c r="BA263" s="195"/>
      <c r="BB263" s="195"/>
      <c r="BC263" s="195"/>
      <c r="BD263" s="197">
        <v>200</v>
      </c>
      <c r="BE263" s="195"/>
      <c r="BF263" s="195"/>
      <c r="BG263" s="195"/>
      <c r="BH263" s="195"/>
      <c r="BI263" s="195"/>
      <c r="BJ263" s="195"/>
      <c r="BK263" s="195"/>
      <c r="BL263" s="195"/>
      <c r="BM263" s="195"/>
      <c r="BN263" s="195"/>
      <c r="BO263" s="195"/>
      <c r="BP263" s="195"/>
      <c r="BQ263" s="195"/>
      <c r="BR263" s="195"/>
      <c r="BS263" s="195"/>
      <c r="BT263" s="195"/>
      <c r="BU263" s="195"/>
      <c r="BV263" s="197">
        <v>200</v>
      </c>
      <c r="BW263" s="195"/>
      <c r="BX263" s="195"/>
      <c r="BY263" s="195"/>
      <c r="BZ263" s="195"/>
      <c r="CA263" s="195"/>
      <c r="CB263" s="195"/>
      <c r="CC263" s="195"/>
      <c r="CD263" s="195"/>
      <c r="CE263" s="195"/>
      <c r="CF263" s="195"/>
      <c r="CG263" s="195"/>
      <c r="CH263" s="195"/>
      <c r="CI263" s="195"/>
      <c r="CJ263" s="195"/>
      <c r="CK263" s="195"/>
      <c r="CL263" s="195"/>
      <c r="CM263" s="195"/>
      <c r="CN263" s="197">
        <v>200</v>
      </c>
      <c r="CO263" s="195"/>
      <c r="CP263" s="195"/>
      <c r="CQ263" s="195"/>
      <c r="CR263" s="195"/>
      <c r="CS263" s="195"/>
      <c r="CT263" s="195"/>
      <c r="CU263" s="195"/>
      <c r="CV263" s="195"/>
      <c r="CW263" s="195"/>
      <c r="CX263" s="195"/>
      <c r="CY263" s="195"/>
      <c r="CZ263" s="195"/>
      <c r="DA263" s="195"/>
      <c r="DB263" s="195"/>
      <c r="DC263" s="195"/>
      <c r="DD263" s="195"/>
      <c r="DE263" s="195"/>
      <c r="DF263" s="197">
        <v>200</v>
      </c>
      <c r="DG263" s="195"/>
      <c r="DH263" s="195"/>
      <c r="DI263" s="195"/>
      <c r="DJ263" s="195"/>
      <c r="DK263" s="195"/>
      <c r="DL263" s="195"/>
      <c r="DM263" s="195"/>
      <c r="DN263" s="195"/>
      <c r="DO263" s="195"/>
      <c r="DP263" s="195"/>
      <c r="DQ263" s="195"/>
      <c r="DR263" s="195"/>
      <c r="DS263" s="195"/>
      <c r="DT263" s="195"/>
      <c r="DU263" s="195"/>
      <c r="DV263" s="195"/>
      <c r="DW263" s="195"/>
      <c r="DX263" s="197">
        <v>200</v>
      </c>
      <c r="DY263" s="195"/>
      <c r="DZ263" s="195"/>
      <c r="EA263" s="195"/>
      <c r="EB263" s="195"/>
      <c r="EC263" s="195"/>
      <c r="ED263" s="195"/>
      <c r="EE263" s="195"/>
      <c r="EF263" s="195"/>
      <c r="EG263" s="195"/>
      <c r="EH263" s="195"/>
      <c r="EI263" s="195"/>
      <c r="EJ263" s="195"/>
      <c r="EK263" s="195"/>
      <c r="EL263" s="195"/>
      <c r="EM263" s="195"/>
      <c r="EN263" s="195"/>
      <c r="EO263" s="195"/>
      <c r="EP263" s="197">
        <v>200</v>
      </c>
      <c r="EQ263" s="195"/>
      <c r="ER263" s="195"/>
      <c r="ES263" s="195"/>
      <c r="ET263" s="195"/>
      <c r="EU263" s="195"/>
      <c r="EV263" s="195"/>
      <c r="EW263" s="195"/>
      <c r="EX263" s="195"/>
      <c r="EY263" s="195"/>
      <c r="EZ263" s="195"/>
      <c r="FA263" s="195"/>
      <c r="FB263" s="195"/>
      <c r="FC263" s="195"/>
      <c r="FD263" s="195"/>
      <c r="FE263" s="195"/>
      <c r="FF263" s="195"/>
      <c r="FG263" s="195"/>
      <c r="FH263" s="197">
        <v>200</v>
      </c>
      <c r="FI263" s="195"/>
      <c r="FJ263" s="195"/>
      <c r="FK263" s="195"/>
      <c r="FL263" s="195"/>
      <c r="FM263" s="195"/>
      <c r="FN263" s="195"/>
      <c r="FO263" s="195"/>
      <c r="FP263" s="195"/>
      <c r="FQ263" s="195"/>
      <c r="FR263" s="195"/>
      <c r="FS263" s="195"/>
      <c r="FT263" s="195"/>
      <c r="FU263" s="195"/>
      <c r="FV263" s="195"/>
      <c r="FW263" s="195"/>
      <c r="FX263" s="195"/>
      <c r="FY263" s="195"/>
    </row>
    <row r="264" spans="2:181" x14ac:dyDescent="0.25">
      <c r="B264" s="12">
        <v>201</v>
      </c>
      <c r="C264" s="195"/>
      <c r="D264" s="195"/>
      <c r="E264" s="195"/>
      <c r="F264" s="195"/>
      <c r="G264" s="195"/>
      <c r="H264" s="195"/>
      <c r="I264" s="195"/>
      <c r="J264" s="195"/>
      <c r="K264" s="195"/>
      <c r="L264" s="195"/>
      <c r="M264" s="195"/>
      <c r="N264" s="195"/>
      <c r="O264" s="195"/>
      <c r="P264" s="195"/>
      <c r="Q264" s="195"/>
      <c r="R264" s="195"/>
      <c r="S264" s="195"/>
      <c r="T264" s="12">
        <v>201</v>
      </c>
      <c r="U264" s="195"/>
      <c r="V264" s="195"/>
      <c r="W264" s="195"/>
      <c r="X264" s="195"/>
      <c r="Y264" s="195"/>
      <c r="Z264" s="195"/>
      <c r="AA264" s="195"/>
      <c r="AB264" s="195"/>
      <c r="AC264" s="195"/>
      <c r="AD264" s="195"/>
      <c r="AE264" s="195"/>
      <c r="AF264" s="195"/>
      <c r="AG264" s="195"/>
      <c r="AH264" s="195"/>
      <c r="AI264" s="195"/>
      <c r="AJ264" s="195"/>
      <c r="AK264" s="195"/>
      <c r="AL264" s="12">
        <v>201</v>
      </c>
      <c r="AM264" s="195"/>
      <c r="AN264" s="195"/>
      <c r="AO264" s="195"/>
      <c r="AP264" s="195"/>
      <c r="AQ264" s="195"/>
      <c r="AR264" s="195"/>
      <c r="AS264" s="195"/>
      <c r="AT264" s="195"/>
      <c r="AU264" s="195"/>
      <c r="AV264" s="195"/>
      <c r="AW264" s="195"/>
      <c r="AX264" s="195"/>
      <c r="AY264" s="195"/>
      <c r="AZ264" s="195"/>
      <c r="BA264" s="195"/>
      <c r="BB264" s="195"/>
      <c r="BC264" s="195"/>
      <c r="BD264" s="12">
        <v>201</v>
      </c>
      <c r="BE264" s="195"/>
      <c r="BF264" s="195"/>
      <c r="BG264" s="195"/>
      <c r="BH264" s="195"/>
      <c r="BI264" s="195"/>
      <c r="BJ264" s="195"/>
      <c r="BK264" s="195"/>
      <c r="BL264" s="195"/>
      <c r="BM264" s="195"/>
      <c r="BN264" s="195"/>
      <c r="BO264" s="195"/>
      <c r="BP264" s="195"/>
      <c r="BQ264" s="195"/>
      <c r="BR264" s="195"/>
      <c r="BS264" s="195"/>
      <c r="BT264" s="195"/>
      <c r="BU264" s="195"/>
      <c r="BV264" s="12">
        <v>201</v>
      </c>
      <c r="BW264" s="195"/>
      <c r="BX264" s="195"/>
      <c r="BY264" s="195"/>
      <c r="BZ264" s="195"/>
      <c r="CA264" s="195"/>
      <c r="CB264" s="195"/>
      <c r="CC264" s="195"/>
      <c r="CD264" s="195"/>
      <c r="CE264" s="195"/>
      <c r="CF264" s="195"/>
      <c r="CG264" s="195"/>
      <c r="CH264" s="195"/>
      <c r="CI264" s="195"/>
      <c r="CJ264" s="195"/>
      <c r="CK264" s="195"/>
      <c r="CL264" s="195"/>
      <c r="CM264" s="195"/>
      <c r="CN264" s="12">
        <v>201</v>
      </c>
      <c r="CO264" s="195"/>
      <c r="CP264" s="195"/>
      <c r="CQ264" s="195"/>
      <c r="CR264" s="195"/>
      <c r="CS264" s="195"/>
      <c r="CT264" s="195"/>
      <c r="CU264" s="195"/>
      <c r="CV264" s="195"/>
      <c r="CW264" s="195"/>
      <c r="CX264" s="195"/>
      <c r="CY264" s="195"/>
      <c r="CZ264" s="195"/>
      <c r="DA264" s="195"/>
      <c r="DB264" s="195"/>
      <c r="DC264" s="195"/>
      <c r="DD264" s="195"/>
      <c r="DE264" s="195"/>
      <c r="DF264" s="12">
        <v>201</v>
      </c>
      <c r="DG264" s="195"/>
      <c r="DH264" s="195"/>
      <c r="DI264" s="195"/>
      <c r="DJ264" s="195"/>
      <c r="DK264" s="195"/>
      <c r="DL264" s="195"/>
      <c r="DM264" s="195"/>
      <c r="DN264" s="195"/>
      <c r="DO264" s="195"/>
      <c r="DP264" s="195"/>
      <c r="DQ264" s="195"/>
      <c r="DR264" s="195"/>
      <c r="DS264" s="195"/>
      <c r="DT264" s="195"/>
      <c r="DU264" s="195"/>
      <c r="DV264" s="195"/>
      <c r="DW264" s="195"/>
      <c r="DX264" s="12">
        <v>201</v>
      </c>
      <c r="DY264" s="195"/>
      <c r="DZ264" s="195"/>
      <c r="EA264" s="195"/>
      <c r="EB264" s="195"/>
      <c r="EC264" s="195"/>
      <c r="ED264" s="195"/>
      <c r="EE264" s="195"/>
      <c r="EF264" s="195"/>
      <c r="EG264" s="195"/>
      <c r="EH264" s="195"/>
      <c r="EI264" s="195"/>
      <c r="EJ264" s="195"/>
      <c r="EK264" s="195"/>
      <c r="EL264" s="195"/>
      <c r="EM264" s="195"/>
      <c r="EN264" s="195"/>
      <c r="EO264" s="195"/>
      <c r="EP264" s="12">
        <v>201</v>
      </c>
      <c r="EQ264" s="195"/>
      <c r="ER264" s="195"/>
      <c r="ES264" s="195"/>
      <c r="ET264" s="195"/>
      <c r="EU264" s="195"/>
      <c r="EV264" s="195"/>
      <c r="EW264" s="195"/>
      <c r="EX264" s="195"/>
      <c r="EY264" s="195"/>
      <c r="EZ264" s="195"/>
      <c r="FA264" s="195"/>
      <c r="FB264" s="195"/>
      <c r="FC264" s="195"/>
      <c r="FD264" s="195"/>
      <c r="FE264" s="195"/>
      <c r="FF264" s="195"/>
      <c r="FG264" s="195"/>
      <c r="FH264" s="12">
        <v>201</v>
      </c>
      <c r="FI264" s="195"/>
      <c r="FJ264" s="195"/>
      <c r="FK264" s="195"/>
      <c r="FL264" s="195"/>
      <c r="FM264" s="195"/>
      <c r="FN264" s="195"/>
      <c r="FO264" s="195"/>
      <c r="FP264" s="195"/>
      <c r="FQ264" s="195"/>
      <c r="FR264" s="195"/>
      <c r="FS264" s="195"/>
      <c r="FT264" s="195"/>
      <c r="FU264" s="195"/>
      <c r="FV264" s="195"/>
      <c r="FW264" s="195"/>
      <c r="FX264" s="195"/>
      <c r="FY264" s="195"/>
    </row>
    <row r="265" spans="2:181" x14ac:dyDescent="0.25">
      <c r="B265" s="12">
        <v>202</v>
      </c>
      <c r="C265" s="195"/>
      <c r="D265" s="195"/>
      <c r="E265" s="195"/>
      <c r="F265" s="195"/>
      <c r="G265" s="195"/>
      <c r="H265" s="195"/>
      <c r="I265" s="195"/>
      <c r="J265" s="195"/>
      <c r="K265" s="195"/>
      <c r="L265" s="195"/>
      <c r="M265" s="195"/>
      <c r="N265" s="195"/>
      <c r="O265" s="195"/>
      <c r="P265" s="195"/>
      <c r="Q265" s="195"/>
      <c r="R265" s="195"/>
      <c r="S265" s="195"/>
      <c r="T265" s="12">
        <v>202</v>
      </c>
      <c r="U265" s="195"/>
      <c r="V265" s="195"/>
      <c r="W265" s="195"/>
      <c r="X265" s="195"/>
      <c r="Y265" s="195"/>
      <c r="Z265" s="195"/>
      <c r="AA265" s="195"/>
      <c r="AB265" s="195"/>
      <c r="AC265" s="195"/>
      <c r="AD265" s="195"/>
      <c r="AE265" s="195"/>
      <c r="AF265" s="195"/>
      <c r="AG265" s="195"/>
      <c r="AH265" s="195"/>
      <c r="AI265" s="195"/>
      <c r="AJ265" s="195"/>
      <c r="AK265" s="195"/>
      <c r="AL265" s="12">
        <v>202</v>
      </c>
      <c r="AM265" s="195"/>
      <c r="AN265" s="195"/>
      <c r="AO265" s="195"/>
      <c r="AP265" s="195"/>
      <c r="AQ265" s="195"/>
      <c r="AR265" s="195"/>
      <c r="AS265" s="195"/>
      <c r="AT265" s="195"/>
      <c r="AU265" s="195"/>
      <c r="AV265" s="195"/>
      <c r="AW265" s="195"/>
      <c r="AX265" s="195"/>
      <c r="AY265" s="195"/>
      <c r="AZ265" s="195"/>
      <c r="BA265" s="195"/>
      <c r="BB265" s="195"/>
      <c r="BC265" s="195"/>
      <c r="BD265" s="12">
        <v>202</v>
      </c>
      <c r="BE265" s="195"/>
      <c r="BF265" s="195"/>
      <c r="BG265" s="195"/>
      <c r="BH265" s="195"/>
      <c r="BI265" s="195"/>
      <c r="BJ265" s="195"/>
      <c r="BK265" s="195"/>
      <c r="BL265" s="195"/>
      <c r="BM265" s="195"/>
      <c r="BN265" s="195"/>
      <c r="BO265" s="195"/>
      <c r="BP265" s="195"/>
      <c r="BQ265" s="195"/>
      <c r="BR265" s="195"/>
      <c r="BS265" s="195"/>
      <c r="BT265" s="195"/>
      <c r="BU265" s="195"/>
      <c r="BV265" s="12">
        <v>202</v>
      </c>
      <c r="BW265" s="195"/>
      <c r="BX265" s="195"/>
      <c r="BY265" s="195"/>
      <c r="BZ265" s="195"/>
      <c r="CA265" s="195"/>
      <c r="CB265" s="195"/>
      <c r="CC265" s="195"/>
      <c r="CD265" s="195"/>
      <c r="CE265" s="195"/>
      <c r="CF265" s="195"/>
      <c r="CG265" s="195"/>
      <c r="CH265" s="195"/>
      <c r="CI265" s="195"/>
      <c r="CJ265" s="195"/>
      <c r="CK265" s="195"/>
      <c r="CL265" s="195"/>
      <c r="CM265" s="195"/>
      <c r="CN265" s="12">
        <v>202</v>
      </c>
      <c r="CO265" s="195"/>
      <c r="CP265" s="195"/>
      <c r="CQ265" s="195"/>
      <c r="CR265" s="195"/>
      <c r="CS265" s="195"/>
      <c r="CT265" s="195"/>
      <c r="CU265" s="195"/>
      <c r="CV265" s="195"/>
      <c r="CW265" s="195"/>
      <c r="CX265" s="195"/>
      <c r="CY265" s="195"/>
      <c r="CZ265" s="195"/>
      <c r="DA265" s="195"/>
      <c r="DB265" s="195"/>
      <c r="DC265" s="195"/>
      <c r="DD265" s="195"/>
      <c r="DE265" s="195"/>
      <c r="DF265" s="12">
        <v>202</v>
      </c>
      <c r="DG265" s="195"/>
      <c r="DH265" s="195"/>
      <c r="DI265" s="195"/>
      <c r="DJ265" s="195"/>
      <c r="DK265" s="195"/>
      <c r="DL265" s="195"/>
      <c r="DM265" s="195"/>
      <c r="DN265" s="195"/>
      <c r="DO265" s="195"/>
      <c r="DP265" s="195"/>
      <c r="DQ265" s="195"/>
      <c r="DR265" s="195"/>
      <c r="DS265" s="195"/>
      <c r="DT265" s="195"/>
      <c r="DU265" s="195"/>
      <c r="DV265" s="195"/>
      <c r="DW265" s="195"/>
      <c r="DX265" s="12">
        <v>202</v>
      </c>
      <c r="DY265" s="195"/>
      <c r="DZ265" s="195"/>
      <c r="EA265" s="195"/>
      <c r="EB265" s="195"/>
      <c r="EC265" s="195"/>
      <c r="ED265" s="195"/>
      <c r="EE265" s="195"/>
      <c r="EF265" s="195"/>
      <c r="EG265" s="195"/>
      <c r="EH265" s="195"/>
      <c r="EI265" s="195"/>
      <c r="EJ265" s="195"/>
      <c r="EK265" s="195"/>
      <c r="EL265" s="195"/>
      <c r="EM265" s="195"/>
      <c r="EN265" s="195"/>
      <c r="EO265" s="195"/>
      <c r="EP265" s="12">
        <v>202</v>
      </c>
      <c r="EQ265" s="195"/>
      <c r="ER265" s="195"/>
      <c r="ES265" s="195"/>
      <c r="ET265" s="195"/>
      <c r="EU265" s="195"/>
      <c r="EV265" s="195"/>
      <c r="EW265" s="195"/>
      <c r="EX265" s="195"/>
      <c r="EY265" s="195"/>
      <c r="EZ265" s="195"/>
      <c r="FA265" s="195"/>
      <c r="FB265" s="195"/>
      <c r="FC265" s="195"/>
      <c r="FD265" s="195"/>
      <c r="FE265" s="195"/>
      <c r="FF265" s="195"/>
      <c r="FG265" s="195"/>
      <c r="FH265" s="12">
        <v>202</v>
      </c>
      <c r="FI265" s="195"/>
      <c r="FJ265" s="195"/>
      <c r="FK265" s="195"/>
      <c r="FL265" s="195"/>
      <c r="FM265" s="195"/>
      <c r="FN265" s="195"/>
      <c r="FO265" s="195"/>
      <c r="FP265" s="195"/>
      <c r="FQ265" s="195"/>
      <c r="FR265" s="195"/>
      <c r="FS265" s="195"/>
      <c r="FT265" s="195"/>
      <c r="FU265" s="195"/>
      <c r="FV265" s="195"/>
      <c r="FW265" s="195"/>
      <c r="FX265" s="195"/>
      <c r="FY265" s="195"/>
    </row>
    <row r="266" spans="2:181" x14ac:dyDescent="0.25">
      <c r="B266" s="197">
        <v>203</v>
      </c>
      <c r="C266" s="195"/>
      <c r="D266" s="195"/>
      <c r="E266" s="195"/>
      <c r="F266" s="195"/>
      <c r="G266" s="195"/>
      <c r="H266" s="195"/>
      <c r="I266" s="195"/>
      <c r="J266" s="195"/>
      <c r="K266" s="195"/>
      <c r="L266" s="195"/>
      <c r="M266" s="195"/>
      <c r="N266" s="195"/>
      <c r="O266" s="195"/>
      <c r="P266" s="195"/>
      <c r="Q266" s="195"/>
      <c r="R266" s="195"/>
      <c r="S266" s="195"/>
      <c r="T266" s="197">
        <v>203</v>
      </c>
      <c r="U266" s="195"/>
      <c r="V266" s="195"/>
      <c r="W266" s="195"/>
      <c r="X266" s="195"/>
      <c r="Y266" s="195"/>
      <c r="Z266" s="195"/>
      <c r="AA266" s="195"/>
      <c r="AB266" s="195"/>
      <c r="AC266" s="195"/>
      <c r="AD266" s="195"/>
      <c r="AE266" s="195"/>
      <c r="AF266" s="195"/>
      <c r="AG266" s="195"/>
      <c r="AH266" s="195"/>
      <c r="AI266" s="195"/>
      <c r="AJ266" s="195"/>
      <c r="AK266" s="195"/>
      <c r="AL266" s="197">
        <v>203</v>
      </c>
      <c r="AM266" s="195"/>
      <c r="AN266" s="195"/>
      <c r="AO266" s="195"/>
      <c r="AP266" s="195"/>
      <c r="AQ266" s="195"/>
      <c r="AR266" s="195"/>
      <c r="AS266" s="195"/>
      <c r="AT266" s="195"/>
      <c r="AU266" s="195"/>
      <c r="AV266" s="195"/>
      <c r="AW266" s="195"/>
      <c r="AX266" s="195"/>
      <c r="AY266" s="195"/>
      <c r="AZ266" s="195"/>
      <c r="BA266" s="195"/>
      <c r="BB266" s="195"/>
      <c r="BC266" s="195"/>
      <c r="BD266" s="197">
        <v>203</v>
      </c>
      <c r="BE266" s="195"/>
      <c r="BF266" s="195"/>
      <c r="BG266" s="195"/>
      <c r="BH266" s="195"/>
      <c r="BI266" s="195"/>
      <c r="BJ266" s="195"/>
      <c r="BK266" s="195"/>
      <c r="BL266" s="195"/>
      <c r="BM266" s="195"/>
      <c r="BN266" s="195"/>
      <c r="BO266" s="195"/>
      <c r="BP266" s="195"/>
      <c r="BQ266" s="195"/>
      <c r="BR266" s="195"/>
      <c r="BS266" s="195"/>
      <c r="BT266" s="195"/>
      <c r="BU266" s="195"/>
      <c r="BV266" s="197">
        <v>203</v>
      </c>
      <c r="BW266" s="195"/>
      <c r="BX266" s="195"/>
      <c r="BY266" s="195"/>
      <c r="BZ266" s="195"/>
      <c r="CA266" s="195"/>
      <c r="CB266" s="195"/>
      <c r="CC266" s="195"/>
      <c r="CD266" s="195"/>
      <c r="CE266" s="195"/>
      <c r="CF266" s="195"/>
      <c r="CG266" s="195"/>
      <c r="CH266" s="195"/>
      <c r="CI266" s="195"/>
      <c r="CJ266" s="195"/>
      <c r="CK266" s="195"/>
      <c r="CL266" s="195"/>
      <c r="CM266" s="195"/>
      <c r="CN266" s="197">
        <v>203</v>
      </c>
      <c r="CO266" s="195"/>
      <c r="CP266" s="195"/>
      <c r="CQ266" s="195"/>
      <c r="CR266" s="195"/>
      <c r="CS266" s="195"/>
      <c r="CT266" s="195"/>
      <c r="CU266" s="195"/>
      <c r="CV266" s="195"/>
      <c r="CW266" s="195"/>
      <c r="CX266" s="195"/>
      <c r="CY266" s="195"/>
      <c r="CZ266" s="195"/>
      <c r="DA266" s="195"/>
      <c r="DB266" s="195"/>
      <c r="DC266" s="195"/>
      <c r="DD266" s="195"/>
      <c r="DE266" s="195"/>
      <c r="DF266" s="197">
        <v>203</v>
      </c>
      <c r="DG266" s="195"/>
      <c r="DH266" s="195"/>
      <c r="DI266" s="195"/>
      <c r="DJ266" s="195"/>
      <c r="DK266" s="195"/>
      <c r="DL266" s="195"/>
      <c r="DM266" s="195"/>
      <c r="DN266" s="195"/>
      <c r="DO266" s="195"/>
      <c r="DP266" s="195"/>
      <c r="DQ266" s="195"/>
      <c r="DR266" s="195"/>
      <c r="DS266" s="195"/>
      <c r="DT266" s="195"/>
      <c r="DU266" s="195"/>
      <c r="DV266" s="195"/>
      <c r="DW266" s="195"/>
      <c r="DX266" s="197">
        <v>203</v>
      </c>
      <c r="DY266" s="195"/>
      <c r="DZ266" s="195"/>
      <c r="EA266" s="195"/>
      <c r="EB266" s="195"/>
      <c r="EC266" s="195"/>
      <c r="ED266" s="195"/>
      <c r="EE266" s="195"/>
      <c r="EF266" s="195"/>
      <c r="EG266" s="195"/>
      <c r="EH266" s="195"/>
      <c r="EI266" s="195"/>
      <c r="EJ266" s="195"/>
      <c r="EK266" s="195"/>
      <c r="EL266" s="195"/>
      <c r="EM266" s="195"/>
      <c r="EN266" s="195"/>
      <c r="EO266" s="195"/>
      <c r="EP266" s="197">
        <v>203</v>
      </c>
      <c r="EQ266" s="195"/>
      <c r="ER266" s="195"/>
      <c r="ES266" s="195"/>
      <c r="ET266" s="195"/>
      <c r="EU266" s="195"/>
      <c r="EV266" s="195"/>
      <c r="EW266" s="195"/>
      <c r="EX266" s="195"/>
      <c r="EY266" s="195"/>
      <c r="EZ266" s="195"/>
      <c r="FA266" s="195"/>
      <c r="FB266" s="195"/>
      <c r="FC266" s="195"/>
      <c r="FD266" s="195"/>
      <c r="FE266" s="195"/>
      <c r="FF266" s="195"/>
      <c r="FG266" s="195"/>
      <c r="FH266" s="197">
        <v>203</v>
      </c>
      <c r="FI266" s="195"/>
      <c r="FJ266" s="195"/>
      <c r="FK266" s="195"/>
      <c r="FL266" s="195"/>
      <c r="FM266" s="195"/>
      <c r="FN266" s="195"/>
      <c r="FO266" s="195"/>
      <c r="FP266" s="195"/>
      <c r="FQ266" s="195"/>
      <c r="FR266" s="195"/>
      <c r="FS266" s="195"/>
      <c r="FT266" s="195"/>
      <c r="FU266" s="195"/>
      <c r="FV266" s="195"/>
      <c r="FW266" s="195"/>
      <c r="FX266" s="195"/>
      <c r="FY266" s="195"/>
    </row>
    <row r="267" spans="2:181" x14ac:dyDescent="0.25">
      <c r="B267" s="12">
        <v>204</v>
      </c>
      <c r="C267" s="195"/>
      <c r="D267" s="195"/>
      <c r="E267" s="195"/>
      <c r="F267" s="195"/>
      <c r="G267" s="195"/>
      <c r="H267" s="195"/>
      <c r="I267" s="195"/>
      <c r="J267" s="195"/>
      <c r="K267" s="195"/>
      <c r="L267" s="195"/>
      <c r="M267" s="195"/>
      <c r="N267" s="195"/>
      <c r="O267" s="195"/>
      <c r="P267" s="195"/>
      <c r="Q267" s="195"/>
      <c r="R267" s="195"/>
      <c r="S267" s="195"/>
      <c r="T267" s="12">
        <v>204</v>
      </c>
      <c r="U267" s="195"/>
      <c r="V267" s="195"/>
      <c r="W267" s="195"/>
      <c r="X267" s="195"/>
      <c r="Y267" s="195"/>
      <c r="Z267" s="195"/>
      <c r="AA267" s="195"/>
      <c r="AB267" s="195"/>
      <c r="AC267" s="195"/>
      <c r="AD267" s="195"/>
      <c r="AE267" s="195"/>
      <c r="AF267" s="195"/>
      <c r="AG267" s="195"/>
      <c r="AH267" s="195"/>
      <c r="AI267" s="195"/>
      <c r="AJ267" s="195"/>
      <c r="AK267" s="195"/>
      <c r="AL267" s="12">
        <v>204</v>
      </c>
      <c r="AM267" s="195"/>
      <c r="AN267" s="195"/>
      <c r="AO267" s="195"/>
      <c r="AP267" s="195"/>
      <c r="AQ267" s="195"/>
      <c r="AR267" s="195"/>
      <c r="AS267" s="195"/>
      <c r="AT267" s="195"/>
      <c r="AU267" s="195"/>
      <c r="AV267" s="195"/>
      <c r="AW267" s="195"/>
      <c r="AX267" s="195"/>
      <c r="AY267" s="195"/>
      <c r="AZ267" s="195"/>
      <c r="BA267" s="195"/>
      <c r="BB267" s="195"/>
      <c r="BC267" s="195"/>
      <c r="BD267" s="12">
        <v>204</v>
      </c>
      <c r="BE267" s="195"/>
      <c r="BF267" s="195"/>
      <c r="BG267" s="195"/>
      <c r="BH267" s="195"/>
      <c r="BI267" s="195"/>
      <c r="BJ267" s="195"/>
      <c r="BK267" s="195"/>
      <c r="BL267" s="195"/>
      <c r="BM267" s="195"/>
      <c r="BN267" s="195"/>
      <c r="BO267" s="195"/>
      <c r="BP267" s="195"/>
      <c r="BQ267" s="195"/>
      <c r="BR267" s="195"/>
      <c r="BS267" s="195"/>
      <c r="BT267" s="195"/>
      <c r="BU267" s="195"/>
      <c r="BV267" s="12">
        <v>204</v>
      </c>
      <c r="BW267" s="195"/>
      <c r="BX267" s="195"/>
      <c r="BY267" s="195"/>
      <c r="BZ267" s="195"/>
      <c r="CA267" s="195"/>
      <c r="CB267" s="195"/>
      <c r="CC267" s="195"/>
      <c r="CD267" s="195"/>
      <c r="CE267" s="195"/>
      <c r="CF267" s="195"/>
      <c r="CG267" s="195"/>
      <c r="CH267" s="195"/>
      <c r="CI267" s="195"/>
      <c r="CJ267" s="195"/>
      <c r="CK267" s="195"/>
      <c r="CL267" s="195"/>
      <c r="CM267" s="195"/>
      <c r="CN267" s="12">
        <v>204</v>
      </c>
      <c r="CO267" s="195"/>
      <c r="CP267" s="195"/>
      <c r="CQ267" s="195"/>
      <c r="CR267" s="195"/>
      <c r="CS267" s="195"/>
      <c r="CT267" s="195"/>
      <c r="CU267" s="195"/>
      <c r="CV267" s="195"/>
      <c r="CW267" s="195"/>
      <c r="CX267" s="195"/>
      <c r="CY267" s="195"/>
      <c r="CZ267" s="195"/>
      <c r="DA267" s="195"/>
      <c r="DB267" s="195"/>
      <c r="DC267" s="195"/>
      <c r="DD267" s="195"/>
      <c r="DE267" s="195"/>
      <c r="DF267" s="12">
        <v>204</v>
      </c>
      <c r="DG267" s="195"/>
      <c r="DH267" s="195"/>
      <c r="DI267" s="195"/>
      <c r="DJ267" s="195"/>
      <c r="DK267" s="195"/>
      <c r="DL267" s="195"/>
      <c r="DM267" s="195"/>
      <c r="DN267" s="195"/>
      <c r="DO267" s="195"/>
      <c r="DP267" s="195"/>
      <c r="DQ267" s="195"/>
      <c r="DR267" s="195"/>
      <c r="DS267" s="195"/>
      <c r="DT267" s="195"/>
      <c r="DU267" s="195"/>
      <c r="DV267" s="195"/>
      <c r="DW267" s="195"/>
      <c r="DX267" s="12">
        <v>204</v>
      </c>
      <c r="DY267" s="195"/>
      <c r="DZ267" s="195"/>
      <c r="EA267" s="195"/>
      <c r="EB267" s="195"/>
      <c r="EC267" s="195"/>
      <c r="ED267" s="195"/>
      <c r="EE267" s="195"/>
      <c r="EF267" s="195"/>
      <c r="EG267" s="195"/>
      <c r="EH267" s="195"/>
      <c r="EI267" s="195"/>
      <c r="EJ267" s="195"/>
      <c r="EK267" s="195"/>
      <c r="EL267" s="195"/>
      <c r="EM267" s="195"/>
      <c r="EN267" s="195"/>
      <c r="EO267" s="195"/>
      <c r="EP267" s="12">
        <v>204</v>
      </c>
      <c r="EQ267" s="195"/>
      <c r="ER267" s="195"/>
      <c r="ES267" s="195"/>
      <c r="ET267" s="195"/>
      <c r="EU267" s="195"/>
      <c r="EV267" s="195"/>
      <c r="EW267" s="195"/>
      <c r="EX267" s="195"/>
      <c r="EY267" s="195"/>
      <c r="EZ267" s="195"/>
      <c r="FA267" s="195"/>
      <c r="FB267" s="195"/>
      <c r="FC267" s="195"/>
      <c r="FD267" s="195"/>
      <c r="FE267" s="195"/>
      <c r="FF267" s="195"/>
      <c r="FG267" s="195"/>
      <c r="FH267" s="12">
        <v>204</v>
      </c>
      <c r="FI267" s="195"/>
      <c r="FJ267" s="195"/>
      <c r="FK267" s="195"/>
      <c r="FL267" s="195"/>
      <c r="FM267" s="195"/>
      <c r="FN267" s="195"/>
      <c r="FO267" s="195"/>
      <c r="FP267" s="195"/>
      <c r="FQ267" s="195"/>
      <c r="FR267" s="195"/>
      <c r="FS267" s="195"/>
      <c r="FT267" s="195"/>
      <c r="FU267" s="195"/>
      <c r="FV267" s="195"/>
      <c r="FW267" s="195"/>
      <c r="FX267" s="195"/>
      <c r="FY267" s="195"/>
    </row>
    <row r="268" spans="2:181" x14ac:dyDescent="0.25">
      <c r="B268" s="12">
        <v>205</v>
      </c>
      <c r="C268" s="195"/>
      <c r="D268" s="195"/>
      <c r="E268" s="195"/>
      <c r="F268" s="195"/>
      <c r="G268" s="195"/>
      <c r="H268" s="195"/>
      <c r="I268" s="195"/>
      <c r="J268" s="195"/>
      <c r="K268" s="195"/>
      <c r="L268" s="195"/>
      <c r="M268" s="195"/>
      <c r="N268" s="195"/>
      <c r="O268" s="195"/>
      <c r="P268" s="195"/>
      <c r="Q268" s="195"/>
      <c r="R268" s="195"/>
      <c r="S268" s="195"/>
      <c r="T268" s="12">
        <v>205</v>
      </c>
      <c r="U268" s="195"/>
      <c r="V268" s="195"/>
      <c r="W268" s="195"/>
      <c r="X268" s="195"/>
      <c r="Y268" s="195"/>
      <c r="Z268" s="195"/>
      <c r="AA268" s="195"/>
      <c r="AB268" s="195"/>
      <c r="AC268" s="195"/>
      <c r="AD268" s="195"/>
      <c r="AE268" s="195"/>
      <c r="AF268" s="195"/>
      <c r="AG268" s="195"/>
      <c r="AH268" s="195"/>
      <c r="AI268" s="195"/>
      <c r="AJ268" s="195"/>
      <c r="AK268" s="195"/>
      <c r="AL268" s="12">
        <v>205</v>
      </c>
      <c r="AM268" s="195"/>
      <c r="AN268" s="195"/>
      <c r="AO268" s="195"/>
      <c r="AP268" s="195"/>
      <c r="AQ268" s="195"/>
      <c r="AR268" s="195"/>
      <c r="AS268" s="195"/>
      <c r="AT268" s="195"/>
      <c r="AU268" s="195"/>
      <c r="AV268" s="195"/>
      <c r="AW268" s="195"/>
      <c r="AX268" s="195"/>
      <c r="AY268" s="195"/>
      <c r="AZ268" s="195"/>
      <c r="BA268" s="195"/>
      <c r="BB268" s="195"/>
      <c r="BC268" s="195"/>
      <c r="BD268" s="12">
        <v>205</v>
      </c>
      <c r="BE268" s="195"/>
      <c r="BF268" s="195"/>
      <c r="BG268" s="195"/>
      <c r="BH268" s="195"/>
      <c r="BI268" s="195"/>
      <c r="BJ268" s="195"/>
      <c r="BK268" s="195"/>
      <c r="BL268" s="195"/>
      <c r="BM268" s="195"/>
      <c r="BN268" s="195"/>
      <c r="BO268" s="195"/>
      <c r="BP268" s="195"/>
      <c r="BQ268" s="195"/>
      <c r="BR268" s="195"/>
      <c r="BS268" s="195"/>
      <c r="BT268" s="195"/>
      <c r="BU268" s="195"/>
      <c r="BV268" s="12">
        <v>205</v>
      </c>
      <c r="BW268" s="195"/>
      <c r="BX268" s="195"/>
      <c r="BY268" s="195"/>
      <c r="BZ268" s="195"/>
      <c r="CA268" s="195"/>
      <c r="CB268" s="195"/>
      <c r="CC268" s="195"/>
      <c r="CD268" s="195"/>
      <c r="CE268" s="195"/>
      <c r="CF268" s="195"/>
      <c r="CG268" s="195"/>
      <c r="CH268" s="195"/>
      <c r="CI268" s="195"/>
      <c r="CJ268" s="195"/>
      <c r="CK268" s="195"/>
      <c r="CL268" s="195"/>
      <c r="CM268" s="195"/>
      <c r="CN268" s="12">
        <v>205</v>
      </c>
      <c r="CO268" s="195"/>
      <c r="CP268" s="195"/>
      <c r="CQ268" s="195"/>
      <c r="CR268" s="195"/>
      <c r="CS268" s="195"/>
      <c r="CT268" s="195"/>
      <c r="CU268" s="195"/>
      <c r="CV268" s="195"/>
      <c r="CW268" s="195"/>
      <c r="CX268" s="195"/>
      <c r="CY268" s="195"/>
      <c r="CZ268" s="195"/>
      <c r="DA268" s="195"/>
      <c r="DB268" s="195"/>
      <c r="DC268" s="195"/>
      <c r="DD268" s="195"/>
      <c r="DE268" s="195"/>
      <c r="DF268" s="12">
        <v>205</v>
      </c>
      <c r="DG268" s="195"/>
      <c r="DH268" s="195"/>
      <c r="DI268" s="195"/>
      <c r="DJ268" s="195"/>
      <c r="DK268" s="195"/>
      <c r="DL268" s="195"/>
      <c r="DM268" s="195"/>
      <c r="DN268" s="195"/>
      <c r="DO268" s="195"/>
      <c r="DP268" s="195"/>
      <c r="DQ268" s="195"/>
      <c r="DR268" s="195"/>
      <c r="DS268" s="195"/>
      <c r="DT268" s="195"/>
      <c r="DU268" s="195"/>
      <c r="DV268" s="195"/>
      <c r="DW268" s="195"/>
      <c r="DX268" s="12">
        <v>205</v>
      </c>
      <c r="DY268" s="195"/>
      <c r="DZ268" s="195"/>
      <c r="EA268" s="195"/>
      <c r="EB268" s="195"/>
      <c r="EC268" s="195"/>
      <c r="ED268" s="195"/>
      <c r="EE268" s="195"/>
      <c r="EF268" s="195"/>
      <c r="EG268" s="195"/>
      <c r="EH268" s="195"/>
      <c r="EI268" s="195"/>
      <c r="EJ268" s="195"/>
      <c r="EK268" s="195"/>
      <c r="EL268" s="195"/>
      <c r="EM268" s="195"/>
      <c r="EN268" s="195"/>
      <c r="EO268" s="195"/>
      <c r="EP268" s="12">
        <v>205</v>
      </c>
      <c r="EQ268" s="195"/>
      <c r="ER268" s="195"/>
      <c r="ES268" s="195"/>
      <c r="ET268" s="195"/>
      <c r="EU268" s="195"/>
      <c r="EV268" s="195"/>
      <c r="EW268" s="195"/>
      <c r="EX268" s="195"/>
      <c r="EY268" s="195"/>
      <c r="EZ268" s="195"/>
      <c r="FA268" s="195"/>
      <c r="FB268" s="195"/>
      <c r="FC268" s="195"/>
      <c r="FD268" s="195"/>
      <c r="FE268" s="195"/>
      <c r="FF268" s="195"/>
      <c r="FG268" s="195"/>
      <c r="FH268" s="12">
        <v>205</v>
      </c>
      <c r="FI268" s="195"/>
      <c r="FJ268" s="195"/>
      <c r="FK268" s="195"/>
      <c r="FL268" s="195"/>
      <c r="FM268" s="195"/>
      <c r="FN268" s="195"/>
      <c r="FO268" s="195"/>
      <c r="FP268" s="195"/>
      <c r="FQ268" s="195"/>
      <c r="FR268" s="195"/>
      <c r="FS268" s="195"/>
      <c r="FT268" s="195"/>
      <c r="FU268" s="195"/>
      <c r="FV268" s="195"/>
      <c r="FW268" s="195"/>
      <c r="FX268" s="195"/>
      <c r="FY268" s="195"/>
    </row>
    <row r="269" spans="2:181" x14ac:dyDescent="0.25">
      <c r="B269" s="197">
        <v>206</v>
      </c>
      <c r="C269" s="195"/>
      <c r="D269" s="195"/>
      <c r="E269" s="195"/>
      <c r="F269" s="195"/>
      <c r="G269" s="195"/>
      <c r="H269" s="195"/>
      <c r="I269" s="195"/>
      <c r="J269" s="195"/>
      <c r="K269" s="195"/>
      <c r="L269" s="195"/>
      <c r="M269" s="195"/>
      <c r="N269" s="195"/>
      <c r="O269" s="195"/>
      <c r="P269" s="195"/>
      <c r="Q269" s="195"/>
      <c r="R269" s="195"/>
      <c r="S269" s="195"/>
      <c r="T269" s="197">
        <v>206</v>
      </c>
      <c r="U269" s="195"/>
      <c r="V269" s="195"/>
      <c r="W269" s="195"/>
      <c r="X269" s="195"/>
      <c r="Y269" s="195"/>
      <c r="Z269" s="195"/>
      <c r="AA269" s="195"/>
      <c r="AB269" s="195"/>
      <c r="AC269" s="195"/>
      <c r="AD269" s="195"/>
      <c r="AE269" s="195"/>
      <c r="AF269" s="195"/>
      <c r="AG269" s="195"/>
      <c r="AH269" s="195"/>
      <c r="AI269" s="195"/>
      <c r="AJ269" s="195"/>
      <c r="AK269" s="195"/>
      <c r="AL269" s="197">
        <v>206</v>
      </c>
      <c r="AM269" s="195"/>
      <c r="AN269" s="195"/>
      <c r="AO269" s="195"/>
      <c r="AP269" s="195"/>
      <c r="AQ269" s="195"/>
      <c r="AR269" s="195"/>
      <c r="AS269" s="195"/>
      <c r="AT269" s="195"/>
      <c r="AU269" s="195"/>
      <c r="AV269" s="195"/>
      <c r="AW269" s="195"/>
      <c r="AX269" s="195"/>
      <c r="AY269" s="195"/>
      <c r="AZ269" s="195"/>
      <c r="BA269" s="195"/>
      <c r="BB269" s="195"/>
      <c r="BC269" s="195"/>
      <c r="BD269" s="197">
        <v>206</v>
      </c>
      <c r="BE269" s="195"/>
      <c r="BF269" s="195"/>
      <c r="BG269" s="195"/>
      <c r="BH269" s="195"/>
      <c r="BI269" s="195"/>
      <c r="BJ269" s="195"/>
      <c r="BK269" s="195"/>
      <c r="BL269" s="195"/>
      <c r="BM269" s="195"/>
      <c r="BN269" s="195"/>
      <c r="BO269" s="195"/>
      <c r="BP269" s="195"/>
      <c r="BQ269" s="195"/>
      <c r="BR269" s="195"/>
      <c r="BS269" s="195"/>
      <c r="BT269" s="195"/>
      <c r="BU269" s="195"/>
      <c r="BV269" s="197">
        <v>206</v>
      </c>
      <c r="BW269" s="195"/>
      <c r="BX269" s="195"/>
      <c r="BY269" s="195"/>
      <c r="BZ269" s="195"/>
      <c r="CA269" s="195"/>
      <c r="CB269" s="195"/>
      <c r="CC269" s="195"/>
      <c r="CD269" s="195"/>
      <c r="CE269" s="195"/>
      <c r="CF269" s="195"/>
      <c r="CG269" s="195"/>
      <c r="CH269" s="195"/>
      <c r="CI269" s="195"/>
      <c r="CJ269" s="195"/>
      <c r="CK269" s="195"/>
      <c r="CL269" s="195"/>
      <c r="CM269" s="195"/>
      <c r="CN269" s="197">
        <v>206</v>
      </c>
      <c r="CO269" s="195"/>
      <c r="CP269" s="195"/>
      <c r="CQ269" s="195"/>
      <c r="CR269" s="195"/>
      <c r="CS269" s="195"/>
      <c r="CT269" s="195"/>
      <c r="CU269" s="195"/>
      <c r="CV269" s="195"/>
      <c r="CW269" s="195"/>
      <c r="CX269" s="195"/>
      <c r="CY269" s="195"/>
      <c r="CZ269" s="195"/>
      <c r="DA269" s="195"/>
      <c r="DB269" s="195"/>
      <c r="DC269" s="195"/>
      <c r="DD269" s="195"/>
      <c r="DE269" s="195"/>
      <c r="DF269" s="197">
        <v>206</v>
      </c>
      <c r="DG269" s="195"/>
      <c r="DH269" s="195"/>
      <c r="DI269" s="195"/>
      <c r="DJ269" s="195"/>
      <c r="DK269" s="195"/>
      <c r="DL269" s="195"/>
      <c r="DM269" s="195"/>
      <c r="DN269" s="195"/>
      <c r="DO269" s="195"/>
      <c r="DP269" s="195"/>
      <c r="DQ269" s="195"/>
      <c r="DR269" s="195"/>
      <c r="DS269" s="195"/>
      <c r="DT269" s="195"/>
      <c r="DU269" s="195"/>
      <c r="DV269" s="195"/>
      <c r="DW269" s="195"/>
      <c r="DX269" s="197">
        <v>206</v>
      </c>
      <c r="DY269" s="195"/>
      <c r="DZ269" s="195"/>
      <c r="EA269" s="195"/>
      <c r="EB269" s="195"/>
      <c r="EC269" s="195"/>
      <c r="ED269" s="195"/>
      <c r="EE269" s="195"/>
      <c r="EF269" s="195"/>
      <c r="EG269" s="195"/>
      <c r="EH269" s="195"/>
      <c r="EI269" s="195"/>
      <c r="EJ269" s="195"/>
      <c r="EK269" s="195"/>
      <c r="EL269" s="195"/>
      <c r="EM269" s="195"/>
      <c r="EN269" s="195"/>
      <c r="EO269" s="195"/>
      <c r="EP269" s="197">
        <v>206</v>
      </c>
      <c r="EQ269" s="195"/>
      <c r="ER269" s="195"/>
      <c r="ES269" s="195"/>
      <c r="ET269" s="195"/>
      <c r="EU269" s="195"/>
      <c r="EV269" s="195"/>
      <c r="EW269" s="195"/>
      <c r="EX269" s="195"/>
      <c r="EY269" s="195"/>
      <c r="EZ269" s="195"/>
      <c r="FA269" s="195"/>
      <c r="FB269" s="195"/>
      <c r="FC269" s="195"/>
      <c r="FD269" s="195"/>
      <c r="FE269" s="195"/>
      <c r="FF269" s="195"/>
      <c r="FG269" s="195"/>
      <c r="FH269" s="197">
        <v>206</v>
      </c>
      <c r="FI269" s="195"/>
      <c r="FJ269" s="195"/>
      <c r="FK269" s="195"/>
      <c r="FL269" s="195"/>
      <c r="FM269" s="195"/>
      <c r="FN269" s="195"/>
      <c r="FO269" s="195"/>
      <c r="FP269" s="195"/>
      <c r="FQ269" s="195"/>
      <c r="FR269" s="195"/>
      <c r="FS269" s="195"/>
      <c r="FT269" s="195"/>
      <c r="FU269" s="195"/>
      <c r="FV269" s="195"/>
      <c r="FW269" s="195"/>
      <c r="FX269" s="195"/>
      <c r="FY269" s="195"/>
    </row>
    <row r="270" spans="2:181" x14ac:dyDescent="0.25">
      <c r="B270" s="12">
        <v>207</v>
      </c>
      <c r="C270" s="195"/>
      <c r="D270" s="195"/>
      <c r="E270" s="195"/>
      <c r="F270" s="195"/>
      <c r="G270" s="195"/>
      <c r="H270" s="195"/>
      <c r="I270" s="195"/>
      <c r="J270" s="195"/>
      <c r="K270" s="195"/>
      <c r="L270" s="195"/>
      <c r="M270" s="195"/>
      <c r="N270" s="195"/>
      <c r="O270" s="195"/>
      <c r="P270" s="195"/>
      <c r="Q270" s="195"/>
      <c r="R270" s="195"/>
      <c r="S270" s="195"/>
      <c r="T270" s="12">
        <v>207</v>
      </c>
      <c r="U270" s="195"/>
      <c r="V270" s="195"/>
      <c r="W270" s="195"/>
      <c r="X270" s="195"/>
      <c r="Y270" s="195"/>
      <c r="Z270" s="195"/>
      <c r="AA270" s="195"/>
      <c r="AB270" s="195"/>
      <c r="AC270" s="195"/>
      <c r="AD270" s="195"/>
      <c r="AE270" s="195"/>
      <c r="AF270" s="195"/>
      <c r="AG270" s="195"/>
      <c r="AH270" s="195"/>
      <c r="AI270" s="195"/>
      <c r="AJ270" s="195"/>
      <c r="AK270" s="195"/>
      <c r="AL270" s="12">
        <v>207</v>
      </c>
      <c r="AM270" s="195"/>
      <c r="AN270" s="195"/>
      <c r="AO270" s="195"/>
      <c r="AP270" s="195"/>
      <c r="AQ270" s="195"/>
      <c r="AR270" s="195"/>
      <c r="AS270" s="195"/>
      <c r="AT270" s="195"/>
      <c r="AU270" s="195"/>
      <c r="AV270" s="195"/>
      <c r="AW270" s="195"/>
      <c r="AX270" s="195"/>
      <c r="AY270" s="195"/>
      <c r="AZ270" s="195"/>
      <c r="BA270" s="195"/>
      <c r="BB270" s="195"/>
      <c r="BC270" s="195"/>
      <c r="BD270" s="12">
        <v>207</v>
      </c>
      <c r="BE270" s="195"/>
      <c r="BF270" s="195"/>
      <c r="BG270" s="195"/>
      <c r="BH270" s="195"/>
      <c r="BI270" s="195"/>
      <c r="BJ270" s="195"/>
      <c r="BK270" s="195"/>
      <c r="BL270" s="195"/>
      <c r="BM270" s="195"/>
      <c r="BN270" s="195"/>
      <c r="BO270" s="195"/>
      <c r="BP270" s="195"/>
      <c r="BQ270" s="195"/>
      <c r="BR270" s="195"/>
      <c r="BS270" s="195"/>
      <c r="BT270" s="195"/>
      <c r="BU270" s="195"/>
      <c r="BV270" s="12">
        <v>207</v>
      </c>
      <c r="BW270" s="195"/>
      <c r="BX270" s="195"/>
      <c r="BY270" s="195"/>
      <c r="BZ270" s="195"/>
      <c r="CA270" s="195"/>
      <c r="CB270" s="195"/>
      <c r="CC270" s="195"/>
      <c r="CD270" s="195"/>
      <c r="CE270" s="195"/>
      <c r="CF270" s="195"/>
      <c r="CG270" s="195"/>
      <c r="CH270" s="195"/>
      <c r="CI270" s="195"/>
      <c r="CJ270" s="195"/>
      <c r="CK270" s="195"/>
      <c r="CL270" s="195"/>
      <c r="CM270" s="195"/>
      <c r="CN270" s="12">
        <v>207</v>
      </c>
      <c r="CO270" s="195"/>
      <c r="CP270" s="195"/>
      <c r="CQ270" s="195"/>
      <c r="CR270" s="195"/>
      <c r="CS270" s="195"/>
      <c r="CT270" s="195"/>
      <c r="CU270" s="195"/>
      <c r="CV270" s="195"/>
      <c r="CW270" s="195"/>
      <c r="CX270" s="195"/>
      <c r="CY270" s="195"/>
      <c r="CZ270" s="195"/>
      <c r="DA270" s="195"/>
      <c r="DB270" s="195"/>
      <c r="DC270" s="195"/>
      <c r="DD270" s="195"/>
      <c r="DE270" s="195"/>
      <c r="DF270" s="12">
        <v>207</v>
      </c>
      <c r="DG270" s="195"/>
      <c r="DH270" s="195"/>
      <c r="DI270" s="195"/>
      <c r="DJ270" s="195"/>
      <c r="DK270" s="195"/>
      <c r="DL270" s="195"/>
      <c r="DM270" s="195"/>
      <c r="DN270" s="195"/>
      <c r="DO270" s="195"/>
      <c r="DP270" s="195"/>
      <c r="DQ270" s="195"/>
      <c r="DR270" s="195"/>
      <c r="DS270" s="195"/>
      <c r="DT270" s="195"/>
      <c r="DU270" s="195"/>
      <c r="DV270" s="195"/>
      <c r="DW270" s="195"/>
      <c r="DX270" s="12">
        <v>207</v>
      </c>
      <c r="DY270" s="195"/>
      <c r="DZ270" s="195"/>
      <c r="EA270" s="195"/>
      <c r="EB270" s="195"/>
      <c r="EC270" s="195"/>
      <c r="ED270" s="195"/>
      <c r="EE270" s="195"/>
      <c r="EF270" s="195"/>
      <c r="EG270" s="195"/>
      <c r="EH270" s="195"/>
      <c r="EI270" s="195"/>
      <c r="EJ270" s="195"/>
      <c r="EK270" s="195"/>
      <c r="EL270" s="195"/>
      <c r="EM270" s="195"/>
      <c r="EN270" s="195"/>
      <c r="EO270" s="195"/>
      <c r="EP270" s="12">
        <v>207</v>
      </c>
      <c r="EQ270" s="195"/>
      <c r="ER270" s="195"/>
      <c r="ES270" s="195"/>
      <c r="ET270" s="195"/>
      <c r="EU270" s="195"/>
      <c r="EV270" s="195"/>
      <c r="EW270" s="195"/>
      <c r="EX270" s="195"/>
      <c r="EY270" s="195"/>
      <c r="EZ270" s="195"/>
      <c r="FA270" s="195"/>
      <c r="FB270" s="195"/>
      <c r="FC270" s="195"/>
      <c r="FD270" s="195"/>
      <c r="FE270" s="195"/>
      <c r="FF270" s="195"/>
      <c r="FG270" s="195"/>
      <c r="FH270" s="12">
        <v>207</v>
      </c>
      <c r="FI270" s="195"/>
      <c r="FJ270" s="195"/>
      <c r="FK270" s="195"/>
      <c r="FL270" s="195"/>
      <c r="FM270" s="195"/>
      <c r="FN270" s="195"/>
      <c r="FO270" s="195"/>
      <c r="FP270" s="195"/>
      <c r="FQ270" s="195"/>
      <c r="FR270" s="195"/>
      <c r="FS270" s="195"/>
      <c r="FT270" s="195"/>
      <c r="FU270" s="195"/>
      <c r="FV270" s="195"/>
      <c r="FW270" s="195"/>
      <c r="FX270" s="195"/>
      <c r="FY270" s="195"/>
    </row>
    <row r="271" spans="2:181" x14ac:dyDescent="0.25">
      <c r="B271" s="12">
        <v>208</v>
      </c>
      <c r="C271" s="195"/>
      <c r="D271" s="195"/>
      <c r="E271" s="195"/>
      <c r="F271" s="195"/>
      <c r="G271" s="195"/>
      <c r="H271" s="195"/>
      <c r="I271" s="195"/>
      <c r="J271" s="195"/>
      <c r="K271" s="195"/>
      <c r="L271" s="195"/>
      <c r="M271" s="195"/>
      <c r="N271" s="195"/>
      <c r="O271" s="195"/>
      <c r="P271" s="195"/>
      <c r="Q271" s="195"/>
      <c r="R271" s="195"/>
      <c r="S271" s="195"/>
      <c r="T271" s="12">
        <v>208</v>
      </c>
      <c r="U271" s="195"/>
      <c r="V271" s="195"/>
      <c r="W271" s="195"/>
      <c r="X271" s="195"/>
      <c r="Y271" s="195"/>
      <c r="Z271" s="195"/>
      <c r="AA271" s="195"/>
      <c r="AB271" s="195"/>
      <c r="AC271" s="195"/>
      <c r="AD271" s="195"/>
      <c r="AE271" s="195"/>
      <c r="AF271" s="195"/>
      <c r="AG271" s="195"/>
      <c r="AH271" s="195"/>
      <c r="AI271" s="195"/>
      <c r="AJ271" s="195"/>
      <c r="AK271" s="195"/>
      <c r="AL271" s="12">
        <v>208</v>
      </c>
      <c r="AM271" s="195"/>
      <c r="AN271" s="195"/>
      <c r="AO271" s="195"/>
      <c r="AP271" s="195"/>
      <c r="AQ271" s="195"/>
      <c r="AR271" s="195"/>
      <c r="AS271" s="195"/>
      <c r="AT271" s="195"/>
      <c r="AU271" s="195"/>
      <c r="AV271" s="195"/>
      <c r="AW271" s="195"/>
      <c r="AX271" s="195"/>
      <c r="AY271" s="195"/>
      <c r="AZ271" s="195"/>
      <c r="BA271" s="195"/>
      <c r="BB271" s="195"/>
      <c r="BC271" s="195"/>
      <c r="BD271" s="12">
        <v>208</v>
      </c>
      <c r="BE271" s="195"/>
      <c r="BF271" s="195"/>
      <c r="BG271" s="195"/>
      <c r="BH271" s="195"/>
      <c r="BI271" s="195"/>
      <c r="BJ271" s="195"/>
      <c r="BK271" s="195"/>
      <c r="BL271" s="195"/>
      <c r="BM271" s="195"/>
      <c r="BN271" s="195"/>
      <c r="BO271" s="195"/>
      <c r="BP271" s="195"/>
      <c r="BQ271" s="195"/>
      <c r="BR271" s="195"/>
      <c r="BS271" s="195"/>
      <c r="BT271" s="195"/>
      <c r="BU271" s="195"/>
      <c r="BV271" s="12">
        <v>208</v>
      </c>
      <c r="BW271" s="195"/>
      <c r="BX271" s="195"/>
      <c r="BY271" s="195"/>
      <c r="BZ271" s="195"/>
      <c r="CA271" s="195"/>
      <c r="CB271" s="195"/>
      <c r="CC271" s="195"/>
      <c r="CD271" s="195"/>
      <c r="CE271" s="195"/>
      <c r="CF271" s="195"/>
      <c r="CG271" s="195"/>
      <c r="CH271" s="195"/>
      <c r="CI271" s="195"/>
      <c r="CJ271" s="195"/>
      <c r="CK271" s="195"/>
      <c r="CL271" s="195"/>
      <c r="CM271" s="195"/>
      <c r="CN271" s="12">
        <v>208</v>
      </c>
      <c r="CO271" s="195"/>
      <c r="CP271" s="195"/>
      <c r="CQ271" s="195"/>
      <c r="CR271" s="195"/>
      <c r="CS271" s="195"/>
      <c r="CT271" s="195"/>
      <c r="CU271" s="195"/>
      <c r="CV271" s="195"/>
      <c r="CW271" s="195"/>
      <c r="CX271" s="195"/>
      <c r="CY271" s="195"/>
      <c r="CZ271" s="195"/>
      <c r="DA271" s="195"/>
      <c r="DB271" s="195"/>
      <c r="DC271" s="195"/>
      <c r="DD271" s="195"/>
      <c r="DE271" s="195"/>
      <c r="DF271" s="12">
        <v>208</v>
      </c>
      <c r="DG271" s="195"/>
      <c r="DH271" s="195"/>
      <c r="DI271" s="195"/>
      <c r="DJ271" s="195"/>
      <c r="DK271" s="195"/>
      <c r="DL271" s="195"/>
      <c r="DM271" s="195"/>
      <c r="DN271" s="195"/>
      <c r="DO271" s="195"/>
      <c r="DP271" s="195"/>
      <c r="DQ271" s="195"/>
      <c r="DR271" s="195"/>
      <c r="DS271" s="195"/>
      <c r="DT271" s="195"/>
      <c r="DU271" s="195"/>
      <c r="DV271" s="195"/>
      <c r="DW271" s="195"/>
      <c r="DX271" s="12">
        <v>208</v>
      </c>
      <c r="DY271" s="195"/>
      <c r="DZ271" s="195"/>
      <c r="EA271" s="195"/>
      <c r="EB271" s="195"/>
      <c r="EC271" s="195"/>
      <c r="ED271" s="195"/>
      <c r="EE271" s="195"/>
      <c r="EF271" s="195"/>
      <c r="EG271" s="195"/>
      <c r="EH271" s="195"/>
      <c r="EI271" s="195"/>
      <c r="EJ271" s="195"/>
      <c r="EK271" s="195"/>
      <c r="EL271" s="195"/>
      <c r="EM271" s="195"/>
      <c r="EN271" s="195"/>
      <c r="EO271" s="195"/>
      <c r="EP271" s="12">
        <v>208</v>
      </c>
      <c r="EQ271" s="195"/>
      <c r="ER271" s="195"/>
      <c r="ES271" s="195"/>
      <c r="ET271" s="195"/>
      <c r="EU271" s="195"/>
      <c r="EV271" s="195"/>
      <c r="EW271" s="195"/>
      <c r="EX271" s="195"/>
      <c r="EY271" s="195"/>
      <c r="EZ271" s="195"/>
      <c r="FA271" s="195"/>
      <c r="FB271" s="195"/>
      <c r="FC271" s="195"/>
      <c r="FD271" s="195"/>
      <c r="FE271" s="195"/>
      <c r="FF271" s="195"/>
      <c r="FG271" s="195"/>
      <c r="FH271" s="12">
        <v>208</v>
      </c>
      <c r="FI271" s="195"/>
      <c r="FJ271" s="195"/>
      <c r="FK271" s="195"/>
      <c r="FL271" s="195"/>
      <c r="FM271" s="195"/>
      <c r="FN271" s="195"/>
      <c r="FO271" s="195"/>
      <c r="FP271" s="195"/>
      <c r="FQ271" s="195"/>
      <c r="FR271" s="195"/>
      <c r="FS271" s="195"/>
      <c r="FT271" s="195"/>
      <c r="FU271" s="195"/>
      <c r="FV271" s="195"/>
      <c r="FW271" s="195"/>
      <c r="FX271" s="195"/>
      <c r="FY271" s="195"/>
    </row>
    <row r="272" spans="2:181" x14ac:dyDescent="0.25">
      <c r="B272" s="197">
        <v>209</v>
      </c>
      <c r="C272" s="195"/>
      <c r="D272" s="195"/>
      <c r="E272" s="195"/>
      <c r="F272" s="195"/>
      <c r="G272" s="195"/>
      <c r="H272" s="195"/>
      <c r="I272" s="195"/>
      <c r="J272" s="195"/>
      <c r="K272" s="195"/>
      <c r="L272" s="195"/>
      <c r="M272" s="195"/>
      <c r="N272" s="195"/>
      <c r="O272" s="195"/>
      <c r="P272" s="195"/>
      <c r="Q272" s="195"/>
      <c r="R272" s="195"/>
      <c r="S272" s="195"/>
      <c r="T272" s="197">
        <v>209</v>
      </c>
      <c r="U272" s="195"/>
      <c r="V272" s="195"/>
      <c r="W272" s="195"/>
      <c r="X272" s="195"/>
      <c r="Y272" s="195"/>
      <c r="Z272" s="195"/>
      <c r="AA272" s="195"/>
      <c r="AB272" s="195"/>
      <c r="AC272" s="195"/>
      <c r="AD272" s="195"/>
      <c r="AE272" s="195"/>
      <c r="AF272" s="195"/>
      <c r="AG272" s="195"/>
      <c r="AH272" s="195"/>
      <c r="AI272" s="195"/>
      <c r="AJ272" s="195"/>
      <c r="AK272" s="195"/>
      <c r="AL272" s="197">
        <v>209</v>
      </c>
      <c r="AM272" s="195"/>
      <c r="AN272" s="195"/>
      <c r="AO272" s="195"/>
      <c r="AP272" s="195"/>
      <c r="AQ272" s="195"/>
      <c r="AR272" s="195"/>
      <c r="AS272" s="195"/>
      <c r="AT272" s="195"/>
      <c r="AU272" s="195"/>
      <c r="AV272" s="195"/>
      <c r="AW272" s="195"/>
      <c r="AX272" s="195"/>
      <c r="AY272" s="195"/>
      <c r="AZ272" s="195"/>
      <c r="BA272" s="195"/>
      <c r="BB272" s="195"/>
      <c r="BC272" s="195"/>
      <c r="BD272" s="197">
        <v>209</v>
      </c>
      <c r="BE272" s="195"/>
      <c r="BF272" s="195"/>
      <c r="BG272" s="195"/>
      <c r="BH272" s="195"/>
      <c r="BI272" s="195"/>
      <c r="BJ272" s="195"/>
      <c r="BK272" s="195"/>
      <c r="BL272" s="195"/>
      <c r="BM272" s="195"/>
      <c r="BN272" s="195"/>
      <c r="BO272" s="195"/>
      <c r="BP272" s="195"/>
      <c r="BQ272" s="195"/>
      <c r="BR272" s="195"/>
      <c r="BS272" s="195"/>
      <c r="BT272" s="195"/>
      <c r="BU272" s="195"/>
      <c r="BV272" s="197">
        <v>209</v>
      </c>
      <c r="BW272" s="195"/>
      <c r="BX272" s="195"/>
      <c r="BY272" s="195"/>
      <c r="BZ272" s="195"/>
      <c r="CA272" s="195"/>
      <c r="CB272" s="195"/>
      <c r="CC272" s="195"/>
      <c r="CD272" s="195"/>
      <c r="CE272" s="195"/>
      <c r="CF272" s="195"/>
      <c r="CG272" s="195"/>
      <c r="CH272" s="195"/>
      <c r="CI272" s="195"/>
      <c r="CJ272" s="195"/>
      <c r="CK272" s="195"/>
      <c r="CL272" s="195"/>
      <c r="CM272" s="195"/>
      <c r="CN272" s="197">
        <v>209</v>
      </c>
      <c r="CO272" s="195"/>
      <c r="CP272" s="195"/>
      <c r="CQ272" s="195"/>
      <c r="CR272" s="195"/>
      <c r="CS272" s="195"/>
      <c r="CT272" s="195"/>
      <c r="CU272" s="195"/>
      <c r="CV272" s="195"/>
      <c r="CW272" s="195"/>
      <c r="CX272" s="195"/>
      <c r="CY272" s="195"/>
      <c r="CZ272" s="195"/>
      <c r="DA272" s="195"/>
      <c r="DB272" s="195"/>
      <c r="DC272" s="195"/>
      <c r="DD272" s="195"/>
      <c r="DE272" s="195"/>
      <c r="DF272" s="197">
        <v>209</v>
      </c>
      <c r="DG272" s="195"/>
      <c r="DH272" s="195"/>
      <c r="DI272" s="195"/>
      <c r="DJ272" s="195"/>
      <c r="DK272" s="195"/>
      <c r="DL272" s="195"/>
      <c r="DM272" s="195"/>
      <c r="DN272" s="195"/>
      <c r="DO272" s="195"/>
      <c r="DP272" s="195"/>
      <c r="DQ272" s="195"/>
      <c r="DR272" s="195"/>
      <c r="DS272" s="195"/>
      <c r="DT272" s="195"/>
      <c r="DU272" s="195"/>
      <c r="DV272" s="195"/>
      <c r="DW272" s="195"/>
      <c r="DX272" s="197">
        <v>209</v>
      </c>
      <c r="DY272" s="195"/>
      <c r="DZ272" s="195"/>
      <c r="EA272" s="195"/>
      <c r="EB272" s="195"/>
      <c r="EC272" s="195"/>
      <c r="ED272" s="195"/>
      <c r="EE272" s="195"/>
      <c r="EF272" s="195"/>
      <c r="EG272" s="195"/>
      <c r="EH272" s="195"/>
      <c r="EI272" s="195"/>
      <c r="EJ272" s="195"/>
      <c r="EK272" s="195"/>
      <c r="EL272" s="195"/>
      <c r="EM272" s="195"/>
      <c r="EN272" s="195"/>
      <c r="EO272" s="195"/>
      <c r="EP272" s="197">
        <v>209</v>
      </c>
      <c r="EQ272" s="195"/>
      <c r="ER272" s="195"/>
      <c r="ES272" s="195"/>
      <c r="ET272" s="195"/>
      <c r="EU272" s="195"/>
      <c r="EV272" s="195"/>
      <c r="EW272" s="195"/>
      <c r="EX272" s="195"/>
      <c r="EY272" s="195"/>
      <c r="EZ272" s="195"/>
      <c r="FA272" s="195"/>
      <c r="FB272" s="195"/>
      <c r="FC272" s="195"/>
      <c r="FD272" s="195"/>
      <c r="FE272" s="195"/>
      <c r="FF272" s="195"/>
      <c r="FG272" s="195"/>
      <c r="FH272" s="197">
        <v>209</v>
      </c>
      <c r="FI272" s="195"/>
      <c r="FJ272" s="195"/>
      <c r="FK272" s="195"/>
      <c r="FL272" s="195"/>
      <c r="FM272" s="195"/>
      <c r="FN272" s="195"/>
      <c r="FO272" s="195"/>
      <c r="FP272" s="195"/>
      <c r="FQ272" s="195"/>
      <c r="FR272" s="195"/>
      <c r="FS272" s="195"/>
      <c r="FT272" s="195"/>
      <c r="FU272" s="195"/>
      <c r="FV272" s="195"/>
      <c r="FW272" s="195"/>
      <c r="FX272" s="195"/>
      <c r="FY272" s="195"/>
    </row>
    <row r="273" spans="2:181" x14ac:dyDescent="0.25">
      <c r="B273" s="12">
        <v>210</v>
      </c>
      <c r="C273" s="195"/>
      <c r="D273" s="195"/>
      <c r="E273" s="195"/>
      <c r="F273" s="195"/>
      <c r="G273" s="195"/>
      <c r="H273" s="195"/>
      <c r="I273" s="195"/>
      <c r="J273" s="195"/>
      <c r="K273" s="195"/>
      <c r="L273" s="195"/>
      <c r="M273" s="195"/>
      <c r="N273" s="195"/>
      <c r="O273" s="195"/>
      <c r="P273" s="195"/>
      <c r="Q273" s="195"/>
      <c r="R273" s="195"/>
      <c r="S273" s="195"/>
      <c r="T273" s="12">
        <v>210</v>
      </c>
      <c r="U273" s="195"/>
      <c r="V273" s="195"/>
      <c r="W273" s="195"/>
      <c r="X273" s="195"/>
      <c r="Y273" s="195"/>
      <c r="Z273" s="195"/>
      <c r="AA273" s="195"/>
      <c r="AB273" s="195"/>
      <c r="AC273" s="195"/>
      <c r="AD273" s="195"/>
      <c r="AE273" s="195"/>
      <c r="AF273" s="195"/>
      <c r="AG273" s="195"/>
      <c r="AH273" s="195"/>
      <c r="AI273" s="195"/>
      <c r="AJ273" s="195"/>
      <c r="AK273" s="195"/>
      <c r="AL273" s="12">
        <v>210</v>
      </c>
      <c r="AM273" s="195"/>
      <c r="AN273" s="195"/>
      <c r="AO273" s="195"/>
      <c r="AP273" s="195"/>
      <c r="AQ273" s="195"/>
      <c r="AR273" s="195"/>
      <c r="AS273" s="195"/>
      <c r="AT273" s="195"/>
      <c r="AU273" s="195"/>
      <c r="AV273" s="195"/>
      <c r="AW273" s="195"/>
      <c r="AX273" s="195"/>
      <c r="AY273" s="195"/>
      <c r="AZ273" s="195"/>
      <c r="BA273" s="195"/>
      <c r="BB273" s="195"/>
      <c r="BC273" s="195"/>
      <c r="BD273" s="12">
        <v>210</v>
      </c>
      <c r="BE273" s="195"/>
      <c r="BF273" s="195"/>
      <c r="BG273" s="195"/>
      <c r="BH273" s="195"/>
      <c r="BI273" s="195"/>
      <c r="BJ273" s="195"/>
      <c r="BK273" s="195"/>
      <c r="BL273" s="195"/>
      <c r="BM273" s="195"/>
      <c r="BN273" s="195"/>
      <c r="BO273" s="195"/>
      <c r="BP273" s="195"/>
      <c r="BQ273" s="195"/>
      <c r="BR273" s="195"/>
      <c r="BS273" s="195"/>
      <c r="BT273" s="195"/>
      <c r="BU273" s="195"/>
      <c r="BV273" s="12">
        <v>210</v>
      </c>
      <c r="BW273" s="195"/>
      <c r="BX273" s="195"/>
      <c r="BY273" s="195"/>
      <c r="BZ273" s="195"/>
      <c r="CA273" s="195"/>
      <c r="CB273" s="195"/>
      <c r="CC273" s="195"/>
      <c r="CD273" s="195"/>
      <c r="CE273" s="195"/>
      <c r="CF273" s="195"/>
      <c r="CG273" s="195"/>
      <c r="CH273" s="195"/>
      <c r="CI273" s="195"/>
      <c r="CJ273" s="195"/>
      <c r="CK273" s="195"/>
      <c r="CL273" s="195"/>
      <c r="CM273" s="195"/>
      <c r="CN273" s="12">
        <v>210</v>
      </c>
      <c r="CO273" s="195"/>
      <c r="CP273" s="195"/>
      <c r="CQ273" s="195"/>
      <c r="CR273" s="195"/>
      <c r="CS273" s="195"/>
      <c r="CT273" s="195"/>
      <c r="CU273" s="195"/>
      <c r="CV273" s="195"/>
      <c r="CW273" s="195"/>
      <c r="CX273" s="195"/>
      <c r="CY273" s="195"/>
      <c r="CZ273" s="195"/>
      <c r="DA273" s="195"/>
      <c r="DB273" s="195"/>
      <c r="DC273" s="195"/>
      <c r="DD273" s="195"/>
      <c r="DE273" s="195"/>
      <c r="DF273" s="12">
        <v>210</v>
      </c>
      <c r="DG273" s="195"/>
      <c r="DH273" s="195"/>
      <c r="DI273" s="195"/>
      <c r="DJ273" s="195"/>
      <c r="DK273" s="195"/>
      <c r="DL273" s="195"/>
      <c r="DM273" s="195"/>
      <c r="DN273" s="195"/>
      <c r="DO273" s="195"/>
      <c r="DP273" s="195"/>
      <c r="DQ273" s="195"/>
      <c r="DR273" s="195"/>
      <c r="DS273" s="195"/>
      <c r="DT273" s="195"/>
      <c r="DU273" s="195"/>
      <c r="DV273" s="195"/>
      <c r="DW273" s="195"/>
      <c r="DX273" s="12">
        <v>210</v>
      </c>
      <c r="DY273" s="195"/>
      <c r="DZ273" s="195"/>
      <c r="EA273" s="195"/>
      <c r="EB273" s="195"/>
      <c r="EC273" s="195"/>
      <c r="ED273" s="195"/>
      <c r="EE273" s="195"/>
      <c r="EF273" s="195"/>
      <c r="EG273" s="195"/>
      <c r="EH273" s="195"/>
      <c r="EI273" s="195"/>
      <c r="EJ273" s="195"/>
      <c r="EK273" s="195"/>
      <c r="EL273" s="195"/>
      <c r="EM273" s="195"/>
      <c r="EN273" s="195"/>
      <c r="EO273" s="195"/>
      <c r="EP273" s="12">
        <v>210</v>
      </c>
      <c r="EQ273" s="195"/>
      <c r="ER273" s="195"/>
      <c r="ES273" s="195"/>
      <c r="ET273" s="195"/>
      <c r="EU273" s="195"/>
      <c r="EV273" s="195"/>
      <c r="EW273" s="195"/>
      <c r="EX273" s="195"/>
      <c r="EY273" s="195"/>
      <c r="EZ273" s="195"/>
      <c r="FA273" s="195"/>
      <c r="FB273" s="195"/>
      <c r="FC273" s="195"/>
      <c r="FD273" s="195"/>
      <c r="FE273" s="195"/>
      <c r="FF273" s="195"/>
      <c r="FG273" s="195"/>
      <c r="FH273" s="12">
        <v>210</v>
      </c>
      <c r="FI273" s="195"/>
      <c r="FJ273" s="195"/>
      <c r="FK273" s="195"/>
      <c r="FL273" s="195"/>
      <c r="FM273" s="195"/>
      <c r="FN273" s="195"/>
      <c r="FO273" s="195"/>
      <c r="FP273" s="195"/>
      <c r="FQ273" s="195"/>
      <c r="FR273" s="195"/>
      <c r="FS273" s="195"/>
      <c r="FT273" s="195"/>
      <c r="FU273" s="195"/>
      <c r="FV273" s="195"/>
      <c r="FW273" s="195"/>
      <c r="FX273" s="195"/>
      <c r="FY273" s="195"/>
    </row>
    <row r="274" spans="2:181" x14ac:dyDescent="0.25">
      <c r="B274" s="176"/>
      <c r="C274" s="198"/>
      <c r="D274" s="198"/>
      <c r="E274" s="198"/>
      <c r="F274" s="198"/>
      <c r="G274" s="198"/>
      <c r="H274" s="198"/>
      <c r="I274" s="198"/>
      <c r="J274" s="198"/>
      <c r="K274" s="198"/>
      <c r="L274" s="198"/>
      <c r="M274" s="198"/>
      <c r="N274" s="198"/>
      <c r="O274" s="198"/>
      <c r="P274" s="198"/>
      <c r="Q274" s="198"/>
      <c r="R274" s="198"/>
      <c r="S274" s="198"/>
      <c r="T274" s="176"/>
      <c r="U274" s="198"/>
      <c r="V274" s="198"/>
      <c r="W274" s="198"/>
      <c r="X274" s="198"/>
      <c r="Y274" s="198"/>
      <c r="Z274" s="198"/>
      <c r="AA274" s="198"/>
      <c r="AB274" s="198"/>
      <c r="AC274" s="198"/>
      <c r="AD274" s="198"/>
      <c r="AE274" s="198"/>
      <c r="AF274" s="198"/>
      <c r="AG274" s="198"/>
      <c r="AH274" s="198"/>
      <c r="AI274" s="198"/>
      <c r="AJ274" s="198"/>
      <c r="AK274" s="198"/>
      <c r="AL274" s="176"/>
      <c r="AM274" s="198"/>
      <c r="AN274" s="198"/>
      <c r="AO274" s="198"/>
      <c r="AP274" s="198"/>
      <c r="AQ274" s="198"/>
      <c r="AR274" s="198"/>
      <c r="AS274" s="198"/>
      <c r="AT274" s="198"/>
      <c r="AU274" s="198"/>
      <c r="AV274" s="198"/>
      <c r="AW274" s="198"/>
      <c r="AX274" s="198"/>
      <c r="AY274" s="198"/>
      <c r="AZ274" s="198"/>
      <c r="BA274" s="198"/>
      <c r="BB274" s="198"/>
      <c r="BC274" s="198"/>
      <c r="BD274" s="176"/>
      <c r="BE274" s="198"/>
      <c r="BF274" s="198"/>
      <c r="BG274" s="198"/>
      <c r="BH274" s="198"/>
      <c r="BI274" s="198"/>
      <c r="BJ274" s="198"/>
      <c r="BK274" s="198"/>
      <c r="BL274" s="198"/>
      <c r="BM274" s="198"/>
      <c r="BN274" s="198"/>
      <c r="BO274" s="198"/>
      <c r="BP274" s="198"/>
      <c r="BQ274" s="198"/>
      <c r="BR274" s="198"/>
      <c r="BS274" s="198"/>
      <c r="BT274" s="198"/>
      <c r="BU274" s="198"/>
      <c r="BV274" s="176"/>
      <c r="BW274" s="198"/>
      <c r="BX274" s="198"/>
      <c r="BY274" s="198"/>
      <c r="BZ274" s="198"/>
      <c r="CA274" s="198"/>
      <c r="CB274" s="198"/>
      <c r="CC274" s="198"/>
      <c r="CD274" s="198"/>
      <c r="CE274" s="198"/>
      <c r="CF274" s="198"/>
      <c r="CG274" s="198"/>
      <c r="CH274" s="198"/>
      <c r="CI274" s="198"/>
      <c r="CJ274" s="198"/>
      <c r="CK274" s="198"/>
      <c r="CL274" s="198"/>
      <c r="CM274" s="198"/>
      <c r="CN274" s="176"/>
      <c r="CO274" s="198"/>
      <c r="CP274" s="198"/>
      <c r="CQ274" s="198"/>
      <c r="CR274" s="198"/>
      <c r="CS274" s="198"/>
      <c r="CT274" s="198"/>
      <c r="CU274" s="198"/>
      <c r="CV274" s="198"/>
      <c r="CW274" s="198"/>
      <c r="CX274" s="198"/>
      <c r="CY274" s="198"/>
      <c r="CZ274" s="198"/>
      <c r="DA274" s="198"/>
      <c r="DB274" s="198"/>
      <c r="DC274" s="198"/>
      <c r="DD274" s="198"/>
      <c r="DE274" s="198"/>
      <c r="DF274" s="176"/>
      <c r="DG274" s="198"/>
      <c r="DH274" s="198"/>
      <c r="DI274" s="198"/>
      <c r="DJ274" s="198"/>
      <c r="DK274" s="198"/>
      <c r="DL274" s="198"/>
      <c r="DM274" s="198"/>
      <c r="DN274" s="198"/>
      <c r="DO274" s="198"/>
      <c r="DP274" s="198"/>
      <c r="DQ274" s="198"/>
      <c r="DR274" s="198"/>
      <c r="DS274" s="198"/>
      <c r="DT274" s="198"/>
      <c r="DU274" s="198"/>
      <c r="DV274" s="198"/>
      <c r="DW274" s="198"/>
      <c r="DX274" s="176"/>
      <c r="DY274" s="198"/>
      <c r="DZ274" s="198"/>
      <c r="EA274" s="198"/>
      <c r="EB274" s="198"/>
      <c r="EC274" s="198"/>
      <c r="ED274" s="198"/>
      <c r="EE274" s="198"/>
      <c r="EF274" s="198"/>
      <c r="EG274" s="198"/>
      <c r="EH274" s="198"/>
      <c r="EI274" s="198"/>
      <c r="EJ274" s="198"/>
      <c r="EK274" s="198"/>
      <c r="EL274" s="198"/>
      <c r="EM274" s="198"/>
      <c r="EN274" s="198"/>
      <c r="EO274" s="198"/>
      <c r="EP274" s="176"/>
      <c r="EQ274" s="198"/>
      <c r="ER274" s="198"/>
      <c r="ES274" s="198"/>
      <c r="ET274" s="198"/>
      <c r="EU274" s="198"/>
      <c r="EV274" s="198"/>
      <c r="EW274" s="198"/>
      <c r="EX274" s="198"/>
      <c r="EY274" s="198"/>
      <c r="EZ274" s="198"/>
      <c r="FA274" s="198"/>
      <c r="FB274" s="198"/>
      <c r="FC274" s="198"/>
      <c r="FD274" s="198"/>
      <c r="FE274" s="198"/>
      <c r="FF274" s="198"/>
      <c r="FG274" s="198"/>
      <c r="FH274" s="176"/>
      <c r="FI274" s="198"/>
      <c r="FJ274" s="198"/>
      <c r="FK274" s="198"/>
      <c r="FL274" s="198"/>
      <c r="FM274" s="198"/>
      <c r="FN274" s="198"/>
      <c r="FO274" s="198"/>
      <c r="FP274" s="198"/>
      <c r="FQ274" s="198"/>
      <c r="FR274" s="198"/>
      <c r="FS274" s="198"/>
      <c r="FT274" s="198"/>
      <c r="FU274" s="198"/>
      <c r="FV274" s="198"/>
      <c r="FW274" s="198"/>
      <c r="FX274" s="198"/>
      <c r="FY274" s="198"/>
    </row>
    <row r="275" spans="2:181" x14ac:dyDescent="0.25">
      <c r="B275" s="977" t="s">
        <v>543</v>
      </c>
      <c r="C275" s="977"/>
      <c r="D275" s="977"/>
      <c r="E275" s="977"/>
      <c r="F275" s="977"/>
      <c r="G275" s="199">
        <f>COUNTA(C244:S273)</f>
        <v>0</v>
      </c>
      <c r="H275" s="198" t="s">
        <v>544</v>
      </c>
      <c r="I275" s="198"/>
      <c r="J275" s="198"/>
      <c r="K275" s="198"/>
      <c r="L275" s="198"/>
      <c r="M275" s="200" t="s">
        <v>545</v>
      </c>
      <c r="N275" s="201">
        <f>MAX(C244:S273,U244:AK273)</f>
        <v>0</v>
      </c>
      <c r="O275" s="198"/>
      <c r="P275" s="198"/>
      <c r="Q275" s="198"/>
      <c r="R275" s="198"/>
      <c r="S275" s="198"/>
      <c r="T275" s="977" t="s">
        <v>543</v>
      </c>
      <c r="U275" s="977"/>
      <c r="V275" s="977"/>
      <c r="W275" s="977"/>
      <c r="X275" s="977"/>
      <c r="Y275" s="199">
        <f>COUNTA(U244:AK273)</f>
        <v>0</v>
      </c>
      <c r="Z275" s="198" t="s">
        <v>544</v>
      </c>
      <c r="AA275" s="198"/>
      <c r="AB275" s="198"/>
      <c r="AC275" s="198"/>
      <c r="AD275" s="198"/>
      <c r="AE275" s="198"/>
      <c r="AF275" s="198"/>
      <c r="AG275" s="198"/>
      <c r="AH275" s="198"/>
      <c r="AI275" s="198"/>
      <c r="AJ275" s="198"/>
      <c r="AK275" s="198"/>
      <c r="AL275" s="977" t="s">
        <v>543</v>
      </c>
      <c r="AM275" s="977"/>
      <c r="AN275" s="977"/>
      <c r="AO275" s="977"/>
      <c r="AP275" s="977"/>
      <c r="AQ275" s="199">
        <f>COUNTA(AM244:BC273)</f>
        <v>0</v>
      </c>
      <c r="AR275" s="198" t="s">
        <v>544</v>
      </c>
      <c r="AS275" s="198"/>
      <c r="AT275" s="198"/>
      <c r="AU275" s="198"/>
      <c r="AV275" s="198"/>
      <c r="AW275" s="198"/>
      <c r="AX275" s="198"/>
      <c r="AY275" s="198"/>
      <c r="AZ275" s="198"/>
      <c r="BA275" s="198"/>
      <c r="BB275" s="198"/>
      <c r="BC275" s="198"/>
      <c r="BD275" s="977" t="s">
        <v>543</v>
      </c>
      <c r="BE275" s="977"/>
      <c r="BF275" s="977"/>
      <c r="BG275" s="977"/>
      <c r="BH275" s="977"/>
      <c r="BI275" s="199">
        <f>COUNTA(BE244:BU273)</f>
        <v>0</v>
      </c>
      <c r="BJ275" s="198" t="s">
        <v>544</v>
      </c>
      <c r="BK275" s="198"/>
      <c r="BL275" s="198"/>
      <c r="BM275" s="198"/>
      <c r="BN275" s="198"/>
      <c r="BO275" s="198"/>
      <c r="BP275" s="198"/>
      <c r="BQ275" s="198"/>
      <c r="BR275" s="198"/>
      <c r="BS275" s="198"/>
      <c r="BT275" s="198"/>
      <c r="BU275" s="198"/>
      <c r="BV275" s="977" t="s">
        <v>543</v>
      </c>
      <c r="BW275" s="977"/>
      <c r="BX275" s="977"/>
      <c r="BY275" s="977"/>
      <c r="BZ275" s="977"/>
      <c r="CA275" s="199">
        <f>COUNTA(BW244:CM273)</f>
        <v>0</v>
      </c>
      <c r="CB275" s="198" t="s">
        <v>544</v>
      </c>
      <c r="CC275" s="198"/>
      <c r="CD275" s="198"/>
      <c r="CE275" s="198"/>
      <c r="CF275" s="198"/>
      <c r="CG275" s="198"/>
      <c r="CH275" s="198"/>
      <c r="CI275" s="198"/>
      <c r="CJ275" s="198"/>
      <c r="CK275" s="198"/>
      <c r="CL275" s="198"/>
      <c r="CM275" s="198"/>
      <c r="CN275" s="977" t="s">
        <v>543</v>
      </c>
      <c r="CO275" s="977"/>
      <c r="CP275" s="977"/>
      <c r="CQ275" s="977"/>
      <c r="CR275" s="977"/>
      <c r="CS275" s="199">
        <f>COUNTA(CO244:DE273)</f>
        <v>0</v>
      </c>
      <c r="CT275" s="198" t="s">
        <v>544</v>
      </c>
      <c r="CU275" s="198"/>
      <c r="CV275" s="198"/>
      <c r="CW275" s="198"/>
      <c r="CX275" s="198"/>
      <c r="CY275" s="198"/>
      <c r="CZ275" s="198"/>
      <c r="DA275" s="198"/>
      <c r="DB275" s="198"/>
      <c r="DC275" s="198"/>
      <c r="DD275" s="198"/>
      <c r="DE275" s="198"/>
      <c r="DF275" s="977" t="s">
        <v>543</v>
      </c>
      <c r="DG275" s="977"/>
      <c r="DH275" s="977"/>
      <c r="DI275" s="977"/>
      <c r="DJ275" s="977"/>
      <c r="DK275" s="199">
        <f>COUNTA(DG244:DW273)</f>
        <v>0</v>
      </c>
      <c r="DL275" s="198" t="s">
        <v>544</v>
      </c>
      <c r="DM275" s="198"/>
      <c r="DN275" s="198"/>
      <c r="DO275" s="198"/>
      <c r="DP275" s="198"/>
      <c r="DQ275" s="198"/>
      <c r="DR275" s="198"/>
      <c r="DS275" s="198"/>
      <c r="DT275" s="198"/>
      <c r="DU275" s="198"/>
      <c r="DV275" s="198"/>
      <c r="DW275" s="198"/>
      <c r="DX275" s="977" t="s">
        <v>543</v>
      </c>
      <c r="DY275" s="977"/>
      <c r="DZ275" s="977"/>
      <c r="EA275" s="977"/>
      <c r="EB275" s="977"/>
      <c r="EC275" s="199">
        <f>COUNTA(DY244:EO273)</f>
        <v>0</v>
      </c>
      <c r="ED275" s="198" t="s">
        <v>544</v>
      </c>
      <c r="EE275" s="198"/>
      <c r="EF275" s="198"/>
      <c r="EG275" s="198"/>
      <c r="EH275" s="198"/>
      <c r="EI275" s="198"/>
      <c r="EJ275" s="198"/>
      <c r="EK275" s="198"/>
      <c r="EL275" s="198"/>
      <c r="EM275" s="198"/>
      <c r="EN275" s="198"/>
      <c r="EO275" s="198"/>
      <c r="EP275" s="977" t="s">
        <v>543</v>
      </c>
      <c r="EQ275" s="977"/>
      <c r="ER275" s="977"/>
      <c r="ES275" s="977"/>
      <c r="ET275" s="977"/>
      <c r="EU275" s="199">
        <f>COUNTA(EQ244:FG273)</f>
        <v>0</v>
      </c>
      <c r="EV275" s="198" t="s">
        <v>544</v>
      </c>
      <c r="EW275" s="198"/>
      <c r="EX275" s="198"/>
      <c r="EY275" s="198"/>
      <c r="EZ275" s="198"/>
      <c r="FA275" s="198"/>
      <c r="FB275" s="198"/>
      <c r="FC275" s="198"/>
      <c r="FD275" s="198"/>
      <c r="FE275" s="198"/>
      <c r="FF275" s="198"/>
      <c r="FG275" s="198"/>
      <c r="FH275" s="977" t="s">
        <v>543</v>
      </c>
      <c r="FI275" s="977"/>
      <c r="FJ275" s="977"/>
      <c r="FK275" s="977"/>
      <c r="FL275" s="977"/>
      <c r="FM275" s="199">
        <f>COUNTA(FI244:FY273)</f>
        <v>0</v>
      </c>
      <c r="FN275" s="198" t="s">
        <v>544</v>
      </c>
      <c r="FO275" s="198"/>
      <c r="FP275" s="198"/>
      <c r="FQ275" s="198"/>
      <c r="FR275" s="198"/>
      <c r="FS275" s="198"/>
      <c r="FT275" s="198"/>
      <c r="FU275" s="198"/>
      <c r="FV275" s="198"/>
      <c r="FW275" s="198"/>
      <c r="FX275" s="198"/>
      <c r="FY275" s="198"/>
    </row>
    <row r="276" spans="2:181" x14ac:dyDescent="0.25">
      <c r="M276" s="203" t="s">
        <v>548</v>
      </c>
      <c r="N276" s="204">
        <f>MIN(C244:S273,U244:AK273)</f>
        <v>0</v>
      </c>
    </row>
    <row r="277" spans="2:181" x14ac:dyDescent="0.25">
      <c r="B277" s="205" t="s">
        <v>549</v>
      </c>
      <c r="C277" s="205"/>
      <c r="D277" s="205"/>
      <c r="E277" s="205"/>
      <c r="F277" s="205"/>
      <c r="G277" s="205"/>
      <c r="H277" s="990" t="e">
        <f>#REF!</f>
        <v>#REF!</v>
      </c>
      <c r="I277" s="990"/>
      <c r="J277" s="990"/>
      <c r="K277" s="990"/>
      <c r="L277" s="990"/>
      <c r="M277" s="198"/>
      <c r="N277" s="198"/>
      <c r="O277" s="198"/>
      <c r="P277" s="198"/>
      <c r="Q277" s="198"/>
      <c r="R277" s="198"/>
      <c r="S277" s="198"/>
      <c r="T277" s="205"/>
      <c r="U277" s="205"/>
      <c r="V277" s="205"/>
      <c r="W277" s="205"/>
      <c r="X277" s="205"/>
      <c r="Y277" s="205"/>
      <c r="Z277" s="205"/>
      <c r="AA277" s="198"/>
      <c r="AB277" s="198"/>
      <c r="AC277" s="205"/>
      <c r="AD277" s="198"/>
      <c r="AE277" s="198"/>
      <c r="AF277" s="198"/>
      <c r="AG277" s="198"/>
      <c r="AH277" s="198"/>
      <c r="AI277" s="198"/>
      <c r="AJ277" s="198"/>
      <c r="AK277" s="198"/>
      <c r="AL277" s="205"/>
      <c r="AM277" s="205"/>
      <c r="AN277" s="205"/>
      <c r="AO277" s="205"/>
      <c r="AP277" s="205"/>
      <c r="AQ277" s="205"/>
      <c r="AR277" s="205"/>
      <c r="AS277" s="198"/>
      <c r="AT277" s="198"/>
      <c r="AU277" s="205"/>
      <c r="AV277" s="198"/>
      <c r="AW277" s="198"/>
      <c r="AX277" s="198"/>
      <c r="AY277" s="198"/>
      <c r="AZ277" s="198"/>
      <c r="BA277" s="198"/>
      <c r="BB277" s="198"/>
      <c r="BC277" s="198"/>
      <c r="BD277" s="205"/>
      <c r="BE277" s="205"/>
      <c r="BF277" s="205"/>
      <c r="BG277" s="205"/>
      <c r="BH277" s="205"/>
      <c r="BI277" s="205"/>
      <c r="BJ277" s="205"/>
      <c r="BK277" s="198"/>
      <c r="BL277" s="198"/>
      <c r="BM277" s="205"/>
      <c r="BN277" s="198"/>
      <c r="BO277" s="198"/>
      <c r="BP277" s="198"/>
      <c r="BQ277" s="198"/>
      <c r="BR277" s="198"/>
      <c r="BS277" s="198"/>
      <c r="BT277" s="198"/>
      <c r="BU277" s="198"/>
      <c r="BV277" s="205"/>
      <c r="BW277" s="205"/>
      <c r="BX277" s="205"/>
      <c r="BY277" s="205"/>
      <c r="BZ277" s="205"/>
      <c r="CA277" s="205"/>
      <c r="CB277" s="205"/>
      <c r="CC277" s="198"/>
      <c r="CD277" s="198"/>
      <c r="CE277" s="205"/>
      <c r="CF277" s="198"/>
      <c r="CG277" s="198"/>
      <c r="CH277" s="198"/>
      <c r="CI277" s="198"/>
      <c r="CJ277" s="198"/>
      <c r="CK277" s="198"/>
      <c r="CL277" s="198"/>
      <c r="CM277" s="198"/>
      <c r="CN277" s="205"/>
      <c r="CO277" s="205"/>
      <c r="CP277" s="205"/>
      <c r="CQ277" s="205"/>
      <c r="CR277" s="205"/>
      <c r="CS277" s="205"/>
      <c r="CT277" s="205"/>
      <c r="CU277" s="198"/>
      <c r="CV277" s="198"/>
      <c r="CW277" s="205"/>
      <c r="CX277" s="198"/>
      <c r="CY277" s="198"/>
      <c r="CZ277" s="198"/>
      <c r="DA277" s="198"/>
      <c r="DB277" s="198"/>
      <c r="DC277" s="198"/>
      <c r="DD277" s="198"/>
      <c r="DE277" s="198"/>
      <c r="DF277" s="205"/>
      <c r="DG277" s="205"/>
      <c r="DH277" s="205"/>
      <c r="DI277" s="205"/>
      <c r="DJ277" s="205"/>
      <c r="DK277" s="205"/>
      <c r="DL277" s="205"/>
      <c r="DM277" s="198"/>
      <c r="DN277" s="198"/>
      <c r="DO277" s="205"/>
      <c r="DP277" s="198"/>
      <c r="DQ277" s="198"/>
      <c r="DR277" s="198"/>
      <c r="DS277" s="198"/>
      <c r="DT277" s="198"/>
      <c r="DU277" s="198"/>
      <c r="DV277" s="198"/>
      <c r="DW277" s="198"/>
      <c r="DX277" s="205"/>
      <c r="DY277" s="205"/>
      <c r="DZ277" s="205"/>
      <c r="EA277" s="205"/>
      <c r="EB277" s="205"/>
      <c r="EC277" s="205"/>
      <c r="ED277" s="205"/>
      <c r="EE277" s="198"/>
      <c r="EF277" s="198"/>
      <c r="EG277" s="205"/>
      <c r="EH277" s="198"/>
      <c r="EI277" s="198"/>
      <c r="EJ277" s="198"/>
      <c r="EK277" s="198"/>
      <c r="EL277" s="198"/>
      <c r="EM277" s="198"/>
      <c r="EN277" s="198"/>
      <c r="EO277" s="198"/>
      <c r="EP277" s="205"/>
      <c r="EQ277" s="205"/>
      <c r="ER277" s="205"/>
      <c r="ES277" s="205"/>
      <c r="ET277" s="205"/>
      <c r="EU277" s="205"/>
      <c r="EV277" s="205"/>
      <c r="EW277" s="198"/>
      <c r="EX277" s="198"/>
      <c r="EY277" s="205"/>
      <c r="EZ277" s="198"/>
      <c r="FA277" s="198"/>
      <c r="FB277" s="198"/>
      <c r="FC277" s="198"/>
      <c r="FD277" s="198"/>
      <c r="FE277" s="198"/>
      <c r="FF277" s="198"/>
      <c r="FG277" s="198"/>
      <c r="FH277" s="205"/>
      <c r="FI277" s="205"/>
      <c r="FJ277" s="205"/>
      <c r="FK277" s="205"/>
      <c r="FL277" s="205"/>
      <c r="FM277" s="205"/>
      <c r="FN277" s="205"/>
      <c r="FO277" s="198"/>
      <c r="FP277" s="198"/>
      <c r="FQ277" s="205"/>
      <c r="FR277" s="198"/>
      <c r="FS277" s="198"/>
      <c r="FT277" s="198"/>
      <c r="FU277" s="198"/>
      <c r="FV277" s="198"/>
      <c r="FW277" s="198"/>
      <c r="FX277" s="198"/>
      <c r="FY277" s="198"/>
    </row>
    <row r="278" spans="2:181" x14ac:dyDescent="0.25">
      <c r="B278" s="208"/>
      <c r="C278" s="205"/>
      <c r="D278" s="205"/>
      <c r="E278" s="205"/>
      <c r="F278" s="205"/>
      <c r="G278" s="205"/>
      <c r="H278" s="205"/>
      <c r="I278" s="198"/>
      <c r="J278" s="209"/>
      <c r="K278" s="208"/>
      <c r="L278" s="198"/>
      <c r="M278" s="198"/>
      <c r="N278" s="198"/>
      <c r="O278" s="198"/>
      <c r="P278" s="198"/>
      <c r="Q278" s="198"/>
      <c r="R278" s="198"/>
      <c r="S278" s="209"/>
      <c r="T278" s="208"/>
      <c r="U278" s="205"/>
      <c r="V278" s="205"/>
      <c r="W278" s="205"/>
      <c r="X278" s="205"/>
      <c r="Y278" s="205"/>
      <c r="Z278" s="205"/>
      <c r="AA278" s="198"/>
      <c r="AB278" s="209"/>
      <c r="AC278" s="208"/>
      <c r="AD278" s="198"/>
      <c r="AE278" s="198"/>
      <c r="AF278" s="198"/>
      <c r="AG278" s="198"/>
      <c r="AH278" s="198"/>
      <c r="AI278" s="198"/>
      <c r="AJ278" s="198"/>
      <c r="AK278" s="209"/>
      <c r="AL278" s="208"/>
      <c r="AM278" s="205"/>
      <c r="AN278" s="205"/>
      <c r="AO278" s="205"/>
      <c r="AP278" s="205"/>
      <c r="AQ278" s="205"/>
      <c r="AR278" s="205"/>
      <c r="AS278" s="198"/>
      <c r="AT278" s="209"/>
      <c r="AU278" s="208"/>
      <c r="AV278" s="198"/>
      <c r="AW278" s="198"/>
      <c r="AX278" s="198"/>
      <c r="AY278" s="198"/>
      <c r="AZ278" s="198"/>
      <c r="BA278" s="198"/>
      <c r="BB278" s="198"/>
      <c r="BC278" s="209"/>
      <c r="BD278" s="208"/>
      <c r="BE278" s="205"/>
      <c r="BF278" s="205"/>
      <c r="BG278" s="205"/>
      <c r="BH278" s="205"/>
      <c r="BI278" s="205"/>
      <c r="BJ278" s="205"/>
      <c r="BK278" s="198"/>
      <c r="BL278" s="209"/>
      <c r="BM278" s="208"/>
      <c r="BN278" s="198"/>
      <c r="BO278" s="198"/>
      <c r="BP278" s="198"/>
      <c r="BQ278" s="198"/>
      <c r="BR278" s="198"/>
      <c r="BS278" s="198"/>
      <c r="BT278" s="198"/>
      <c r="BU278" s="209"/>
      <c r="BV278" s="208"/>
      <c r="BW278" s="205"/>
      <c r="BX278" s="205"/>
      <c r="BY278" s="205"/>
      <c r="BZ278" s="205"/>
      <c r="CA278" s="205"/>
      <c r="CB278" s="205"/>
      <c r="CC278" s="198"/>
      <c r="CD278" s="209"/>
      <c r="CE278" s="208"/>
      <c r="CF278" s="198"/>
      <c r="CG278" s="198"/>
      <c r="CH278" s="198"/>
      <c r="CI278" s="198"/>
      <c r="CJ278" s="198"/>
      <c r="CK278" s="198"/>
      <c r="CL278" s="198"/>
      <c r="CM278" s="209"/>
      <c r="CN278" s="208"/>
      <c r="CO278" s="205"/>
      <c r="CP278" s="205"/>
      <c r="CQ278" s="205"/>
      <c r="CR278" s="205"/>
      <c r="CS278" s="205"/>
      <c r="CT278" s="205"/>
      <c r="CU278" s="198"/>
      <c r="CV278" s="209"/>
      <c r="CW278" s="208"/>
      <c r="CX278" s="198"/>
      <c r="CY278" s="198"/>
      <c r="CZ278" s="198"/>
      <c r="DA278" s="198"/>
      <c r="DB278" s="198"/>
      <c r="DC278" s="198"/>
      <c r="DD278" s="198"/>
      <c r="DE278" s="209"/>
      <c r="DF278" s="208"/>
      <c r="DG278" s="205"/>
      <c r="DH278" s="205"/>
      <c r="DI278" s="205"/>
      <c r="DJ278" s="205"/>
      <c r="DK278" s="205"/>
      <c r="DL278" s="205"/>
      <c r="DM278" s="198"/>
      <c r="DN278" s="209"/>
      <c r="DO278" s="208"/>
      <c r="DP278" s="198"/>
      <c r="DQ278" s="198"/>
      <c r="DR278" s="198"/>
      <c r="DS278" s="198"/>
      <c r="DT278" s="198"/>
      <c r="DU278" s="198"/>
      <c r="DV278" s="198"/>
      <c r="DW278" s="209"/>
      <c r="DX278" s="208"/>
      <c r="DY278" s="205"/>
      <c r="DZ278" s="205"/>
      <c r="EA278" s="205"/>
      <c r="EB278" s="205"/>
      <c r="EC278" s="205"/>
      <c r="ED278" s="205"/>
      <c r="EE278" s="198"/>
      <c r="EF278" s="209"/>
      <c r="EG278" s="208"/>
      <c r="EH278" s="198"/>
      <c r="EI278" s="198"/>
      <c r="EJ278" s="198"/>
      <c r="EK278" s="198"/>
      <c r="EL278" s="198"/>
      <c r="EM278" s="198"/>
      <c r="EN278" s="198"/>
      <c r="EO278" s="209"/>
      <c r="EP278" s="208"/>
      <c r="EQ278" s="205"/>
      <c r="ER278" s="205"/>
      <c r="ES278" s="205"/>
      <c r="ET278" s="205"/>
      <c r="EU278" s="205"/>
      <c r="EV278" s="205"/>
      <c r="EW278" s="198"/>
      <c r="EX278" s="209"/>
      <c r="EY278" s="208"/>
      <c r="EZ278" s="198"/>
      <c r="FA278" s="198"/>
      <c r="FB278" s="198"/>
      <c r="FC278" s="198"/>
      <c r="FD278" s="198"/>
      <c r="FE278" s="198"/>
      <c r="FF278" s="198"/>
      <c r="FG278" s="209"/>
      <c r="FH278" s="208"/>
      <c r="FI278" s="205"/>
      <c r="FJ278" s="205"/>
      <c r="FK278" s="205"/>
      <c r="FL278" s="205"/>
      <c r="FM278" s="205"/>
      <c r="FN278" s="205"/>
      <c r="FO278" s="198"/>
      <c r="FP278" s="209"/>
      <c r="FQ278" s="208"/>
      <c r="FR278" s="198"/>
      <c r="FS278" s="198"/>
      <c r="FT278" s="198"/>
      <c r="FU278" s="198"/>
      <c r="FV278" s="198"/>
      <c r="FW278" s="198"/>
      <c r="FX278" s="198"/>
      <c r="FY278" s="209"/>
    </row>
    <row r="279" spans="2:181" x14ac:dyDescent="0.25">
      <c r="B279" s="210"/>
      <c r="C279" s="206"/>
      <c r="D279" s="206"/>
      <c r="E279" s="206"/>
      <c r="F279" s="206"/>
      <c r="G279" s="206"/>
      <c r="H279" s="206"/>
      <c r="I279" s="206"/>
      <c r="J279" s="211"/>
      <c r="K279" s="210"/>
      <c r="L279" s="206"/>
      <c r="M279" s="206"/>
      <c r="N279" s="206"/>
      <c r="O279" s="206"/>
      <c r="P279" s="206"/>
      <c r="Q279" s="206"/>
      <c r="R279" s="206"/>
      <c r="S279" s="211"/>
      <c r="T279" s="210"/>
      <c r="U279" s="206"/>
      <c r="V279" s="206"/>
      <c r="W279" s="206"/>
      <c r="X279" s="206"/>
      <c r="Y279" s="206"/>
      <c r="Z279" s="206"/>
      <c r="AA279" s="206"/>
      <c r="AB279" s="211"/>
      <c r="AC279" s="210"/>
      <c r="AD279" s="206"/>
      <c r="AE279" s="206"/>
      <c r="AF279" s="206"/>
      <c r="AG279" s="206"/>
      <c r="AH279" s="206"/>
      <c r="AI279" s="206"/>
      <c r="AJ279" s="206"/>
      <c r="AK279" s="211"/>
      <c r="AL279" s="210"/>
      <c r="AM279" s="206"/>
      <c r="AN279" s="206"/>
      <c r="AO279" s="206"/>
      <c r="AP279" s="206"/>
      <c r="AQ279" s="206"/>
      <c r="AR279" s="206"/>
      <c r="AS279" s="206"/>
      <c r="AT279" s="211"/>
      <c r="AU279" s="210"/>
      <c r="AV279" s="206"/>
      <c r="AW279" s="206"/>
      <c r="AX279" s="206"/>
      <c r="AY279" s="206"/>
      <c r="AZ279" s="206"/>
      <c r="BA279" s="206"/>
      <c r="BB279" s="206"/>
      <c r="BC279" s="211"/>
      <c r="BD279" s="210"/>
      <c r="BE279" s="206"/>
      <c r="BF279" s="206"/>
      <c r="BG279" s="206"/>
      <c r="BH279" s="206"/>
      <c r="BI279" s="206"/>
      <c r="BJ279" s="206"/>
      <c r="BK279" s="206"/>
      <c r="BL279" s="211"/>
      <c r="BM279" s="210"/>
      <c r="BN279" s="206"/>
      <c r="BO279" s="206"/>
      <c r="BP279" s="206"/>
      <c r="BQ279" s="206"/>
      <c r="BR279" s="206"/>
      <c r="BS279" s="206"/>
      <c r="BT279" s="206"/>
      <c r="BU279" s="211"/>
      <c r="BV279" s="210"/>
      <c r="BW279" s="206"/>
      <c r="BX279" s="206"/>
      <c r="BY279" s="206"/>
      <c r="BZ279" s="206"/>
      <c r="CA279" s="206"/>
      <c r="CB279" s="206"/>
      <c r="CC279" s="206"/>
      <c r="CD279" s="211"/>
      <c r="CE279" s="210"/>
      <c r="CF279" s="206"/>
      <c r="CG279" s="206"/>
      <c r="CH279" s="206"/>
      <c r="CI279" s="206"/>
      <c r="CJ279" s="206"/>
      <c r="CK279" s="206"/>
      <c r="CL279" s="206"/>
      <c r="CM279" s="211"/>
      <c r="CN279" s="210"/>
      <c r="CO279" s="206"/>
      <c r="CP279" s="206"/>
      <c r="CQ279" s="206"/>
      <c r="CR279" s="206"/>
      <c r="CS279" s="206"/>
      <c r="CT279" s="206"/>
      <c r="CU279" s="206"/>
      <c r="CV279" s="211"/>
      <c r="CW279" s="210"/>
      <c r="CX279" s="206"/>
      <c r="CY279" s="206"/>
      <c r="CZ279" s="206"/>
      <c r="DA279" s="206"/>
      <c r="DB279" s="206"/>
      <c r="DC279" s="206"/>
      <c r="DD279" s="206"/>
      <c r="DE279" s="211"/>
      <c r="DF279" s="210"/>
      <c r="DG279" s="206"/>
      <c r="DH279" s="206"/>
      <c r="DI279" s="206"/>
      <c r="DJ279" s="206"/>
      <c r="DK279" s="206"/>
      <c r="DL279" s="206"/>
      <c r="DM279" s="206"/>
      <c r="DN279" s="211"/>
      <c r="DO279" s="210"/>
      <c r="DP279" s="206"/>
      <c r="DQ279" s="206"/>
      <c r="DR279" s="206"/>
      <c r="DS279" s="206"/>
      <c r="DT279" s="206"/>
      <c r="DU279" s="206"/>
      <c r="DV279" s="206"/>
      <c r="DW279" s="211"/>
      <c r="DX279" s="210"/>
      <c r="DY279" s="206"/>
      <c r="DZ279" s="206"/>
      <c r="EA279" s="206"/>
      <c r="EB279" s="206"/>
      <c r="EC279" s="206"/>
      <c r="ED279" s="206"/>
      <c r="EE279" s="206"/>
      <c r="EF279" s="211"/>
      <c r="EG279" s="210"/>
      <c r="EH279" s="206"/>
      <c r="EI279" s="206"/>
      <c r="EJ279" s="206"/>
      <c r="EK279" s="206"/>
      <c r="EL279" s="206"/>
      <c r="EM279" s="206"/>
      <c r="EN279" s="206"/>
      <c r="EO279" s="211"/>
      <c r="EP279" s="210"/>
      <c r="EQ279" s="206"/>
      <c r="ER279" s="206"/>
      <c r="ES279" s="206"/>
      <c r="ET279" s="206"/>
      <c r="EU279" s="206"/>
      <c r="EV279" s="206"/>
      <c r="EW279" s="206"/>
      <c r="EX279" s="211"/>
      <c r="EY279" s="210"/>
      <c r="EZ279" s="206"/>
      <c r="FA279" s="206"/>
      <c r="FB279" s="206"/>
      <c r="FC279" s="206"/>
      <c r="FD279" s="206"/>
      <c r="FE279" s="206"/>
      <c r="FF279" s="206"/>
      <c r="FG279" s="211"/>
      <c r="FH279" s="210"/>
      <c r="FI279" s="206"/>
      <c r="FJ279" s="206"/>
      <c r="FK279" s="206"/>
      <c r="FL279" s="206"/>
      <c r="FM279" s="206"/>
      <c r="FN279" s="206"/>
      <c r="FO279" s="206"/>
      <c r="FP279" s="211"/>
      <c r="FQ279" s="210"/>
      <c r="FR279" s="206"/>
      <c r="FS279" s="206"/>
      <c r="FT279" s="206"/>
      <c r="FU279" s="206"/>
      <c r="FV279" s="206"/>
      <c r="FW279" s="206"/>
      <c r="FX279" s="206"/>
      <c r="FY279" s="211"/>
    </row>
    <row r="281" spans="2:181" ht="30" customHeight="1" x14ac:dyDescent="0.25">
      <c r="B281" s="193" t="s">
        <v>372</v>
      </c>
      <c r="C281" s="194" t="s">
        <v>373</v>
      </c>
      <c r="D281" s="194" t="s">
        <v>374</v>
      </c>
      <c r="E281" s="195" t="s">
        <v>375</v>
      </c>
      <c r="F281" s="195" t="s">
        <v>376</v>
      </c>
      <c r="G281" s="195" t="s">
        <v>377</v>
      </c>
      <c r="H281" s="195" t="s">
        <v>378</v>
      </c>
      <c r="I281" s="195" t="s">
        <v>379</v>
      </c>
      <c r="J281" s="195" t="s">
        <v>380</v>
      </c>
      <c r="K281" s="195" t="s">
        <v>381</v>
      </c>
      <c r="L281" s="196" t="s">
        <v>382</v>
      </c>
      <c r="M281" s="196" t="s">
        <v>383</v>
      </c>
      <c r="N281" s="196" t="s">
        <v>384</v>
      </c>
      <c r="O281" s="196" t="s">
        <v>385</v>
      </c>
      <c r="P281" s="196" t="s">
        <v>386</v>
      </c>
      <c r="Q281" s="196" t="s">
        <v>387</v>
      </c>
      <c r="R281" s="196" t="s">
        <v>388</v>
      </c>
      <c r="S281" s="196" t="s">
        <v>389</v>
      </c>
      <c r="T281" s="193" t="s">
        <v>372</v>
      </c>
      <c r="U281" s="194" t="s">
        <v>390</v>
      </c>
      <c r="V281" s="194" t="s">
        <v>391</v>
      </c>
      <c r="W281" s="195" t="s">
        <v>392</v>
      </c>
      <c r="X281" s="195" t="s">
        <v>393</v>
      </c>
      <c r="Y281" s="195" t="s">
        <v>394</v>
      </c>
      <c r="Z281" s="195" t="s">
        <v>395</v>
      </c>
      <c r="AA281" s="195" t="s">
        <v>396</v>
      </c>
      <c r="AB281" s="195" t="s">
        <v>397</v>
      </c>
      <c r="AC281" s="195" t="s">
        <v>398</v>
      </c>
      <c r="AD281" s="196" t="s">
        <v>399</v>
      </c>
      <c r="AE281" s="196" t="s">
        <v>400</v>
      </c>
      <c r="AF281" s="196" t="s">
        <v>401</v>
      </c>
      <c r="AG281" s="196" t="s">
        <v>402</v>
      </c>
      <c r="AH281" s="196" t="s">
        <v>403</v>
      </c>
      <c r="AI281" s="196" t="s">
        <v>404</v>
      </c>
      <c r="AJ281" s="196" t="s">
        <v>405</v>
      </c>
      <c r="AK281" s="196" t="s">
        <v>406</v>
      </c>
      <c r="AL281" s="193" t="s">
        <v>372</v>
      </c>
      <c r="AM281" s="194" t="s">
        <v>407</v>
      </c>
      <c r="AN281" s="194" t="s">
        <v>408</v>
      </c>
      <c r="AO281" s="195" t="s">
        <v>409</v>
      </c>
      <c r="AP281" s="195" t="s">
        <v>410</v>
      </c>
      <c r="AQ281" s="195" t="s">
        <v>411</v>
      </c>
      <c r="AR281" s="195" t="s">
        <v>412</v>
      </c>
      <c r="AS281" s="195" t="s">
        <v>413</v>
      </c>
      <c r="AT281" s="195" t="s">
        <v>414</v>
      </c>
      <c r="AU281" s="195" t="s">
        <v>415</v>
      </c>
      <c r="AV281" s="196" t="s">
        <v>416</v>
      </c>
      <c r="AW281" s="196" t="s">
        <v>417</v>
      </c>
      <c r="AX281" s="196" t="s">
        <v>418</v>
      </c>
      <c r="AY281" s="196" t="s">
        <v>419</v>
      </c>
      <c r="AZ281" s="196" t="s">
        <v>420</v>
      </c>
      <c r="BA281" s="196" t="s">
        <v>421</v>
      </c>
      <c r="BB281" s="196" t="s">
        <v>422</v>
      </c>
      <c r="BC281" s="196" t="s">
        <v>423</v>
      </c>
      <c r="BD281" s="193" t="s">
        <v>372</v>
      </c>
      <c r="BE281" s="194" t="s">
        <v>424</v>
      </c>
      <c r="BF281" s="194" t="s">
        <v>425</v>
      </c>
      <c r="BG281" s="195" t="s">
        <v>426</v>
      </c>
      <c r="BH281" s="195" t="s">
        <v>427</v>
      </c>
      <c r="BI281" s="195" t="s">
        <v>428</v>
      </c>
      <c r="BJ281" s="195" t="s">
        <v>429</v>
      </c>
      <c r="BK281" s="195" t="s">
        <v>430</v>
      </c>
      <c r="BL281" s="195" t="s">
        <v>431</v>
      </c>
      <c r="BM281" s="195" t="s">
        <v>432</v>
      </c>
      <c r="BN281" s="196" t="s">
        <v>433</v>
      </c>
      <c r="BO281" s="196" t="s">
        <v>434</v>
      </c>
      <c r="BP281" s="196" t="s">
        <v>435</v>
      </c>
      <c r="BQ281" s="196" t="s">
        <v>436</v>
      </c>
      <c r="BR281" s="196" t="s">
        <v>437</v>
      </c>
      <c r="BS281" s="196" t="s">
        <v>438</v>
      </c>
      <c r="BT281" s="196" t="s">
        <v>439</v>
      </c>
      <c r="BU281" s="196" t="s">
        <v>440</v>
      </c>
      <c r="BV281" s="193" t="s">
        <v>372</v>
      </c>
      <c r="BW281" s="194" t="s">
        <v>441</v>
      </c>
      <c r="BX281" s="194" t="s">
        <v>442</v>
      </c>
      <c r="BY281" s="195" t="s">
        <v>443</v>
      </c>
      <c r="BZ281" s="195" t="s">
        <v>444</v>
      </c>
      <c r="CA281" s="195" t="s">
        <v>445</v>
      </c>
      <c r="CB281" s="195" t="s">
        <v>446</v>
      </c>
      <c r="CC281" s="195" t="s">
        <v>447</v>
      </c>
      <c r="CD281" s="195" t="s">
        <v>448</v>
      </c>
      <c r="CE281" s="195" t="s">
        <v>449</v>
      </c>
      <c r="CF281" s="196" t="s">
        <v>450</v>
      </c>
      <c r="CG281" s="196" t="s">
        <v>451</v>
      </c>
      <c r="CH281" s="196" t="s">
        <v>452</v>
      </c>
      <c r="CI281" s="196" t="s">
        <v>453</v>
      </c>
      <c r="CJ281" s="196" t="s">
        <v>454</v>
      </c>
      <c r="CK281" s="196" t="s">
        <v>455</v>
      </c>
      <c r="CL281" s="196" t="s">
        <v>456</v>
      </c>
      <c r="CM281" s="196" t="s">
        <v>457</v>
      </c>
      <c r="CN281" s="193" t="s">
        <v>372</v>
      </c>
      <c r="CO281" s="194" t="s">
        <v>458</v>
      </c>
      <c r="CP281" s="194" t="s">
        <v>459</v>
      </c>
      <c r="CQ281" s="195" t="s">
        <v>460</v>
      </c>
      <c r="CR281" s="195" t="s">
        <v>461</v>
      </c>
      <c r="CS281" s="195" t="s">
        <v>462</v>
      </c>
      <c r="CT281" s="195" t="s">
        <v>463</v>
      </c>
      <c r="CU281" s="195" t="s">
        <v>464</v>
      </c>
      <c r="CV281" s="195" t="s">
        <v>465</v>
      </c>
      <c r="CW281" s="195" t="s">
        <v>466</v>
      </c>
      <c r="CX281" s="196" t="s">
        <v>467</v>
      </c>
      <c r="CY281" s="196" t="s">
        <v>468</v>
      </c>
      <c r="CZ281" s="196" t="s">
        <v>469</v>
      </c>
      <c r="DA281" s="196" t="s">
        <v>470</v>
      </c>
      <c r="DB281" s="196" t="s">
        <v>471</v>
      </c>
      <c r="DC281" s="196" t="s">
        <v>472</v>
      </c>
      <c r="DD281" s="196" t="s">
        <v>473</v>
      </c>
      <c r="DE281" s="196" t="s">
        <v>474</v>
      </c>
      <c r="DF281" s="193" t="s">
        <v>372</v>
      </c>
      <c r="DG281" s="194" t="s">
        <v>526</v>
      </c>
      <c r="DH281" s="194" t="s">
        <v>527</v>
      </c>
      <c r="DI281" s="195" t="s">
        <v>528</v>
      </c>
      <c r="DJ281" s="195" t="s">
        <v>529</v>
      </c>
      <c r="DK281" s="195" t="s">
        <v>530</v>
      </c>
      <c r="DL281" s="195" t="s">
        <v>531</v>
      </c>
      <c r="DM281" s="195" t="s">
        <v>532</v>
      </c>
      <c r="DN281" s="195" t="s">
        <v>533</v>
      </c>
      <c r="DO281" s="195" t="s">
        <v>534</v>
      </c>
      <c r="DP281" s="196" t="s">
        <v>535</v>
      </c>
      <c r="DQ281" s="196" t="s">
        <v>536</v>
      </c>
      <c r="DR281" s="196" t="s">
        <v>537</v>
      </c>
      <c r="DS281" s="196" t="s">
        <v>538</v>
      </c>
      <c r="DT281" s="196" t="s">
        <v>539</v>
      </c>
      <c r="DU281" s="196" t="s">
        <v>540</v>
      </c>
      <c r="DV281" s="196" t="s">
        <v>541</v>
      </c>
      <c r="DW281" s="196" t="s">
        <v>542</v>
      </c>
      <c r="DX281" s="193" t="s">
        <v>372</v>
      </c>
      <c r="DY281" s="194" t="s">
        <v>492</v>
      </c>
      <c r="DZ281" s="194" t="s">
        <v>493</v>
      </c>
      <c r="EA281" s="195" t="s">
        <v>494</v>
      </c>
      <c r="EB281" s="195" t="s">
        <v>495</v>
      </c>
      <c r="EC281" s="195" t="s">
        <v>496</v>
      </c>
      <c r="ED281" s="195" t="s">
        <v>497</v>
      </c>
      <c r="EE281" s="195" t="s">
        <v>498</v>
      </c>
      <c r="EF281" s="195" t="s">
        <v>499</v>
      </c>
      <c r="EG281" s="195" t="s">
        <v>500</v>
      </c>
      <c r="EH281" s="196" t="s">
        <v>501</v>
      </c>
      <c r="EI281" s="196" t="s">
        <v>502</v>
      </c>
      <c r="EJ281" s="196" t="s">
        <v>503</v>
      </c>
      <c r="EK281" s="196" t="s">
        <v>504</v>
      </c>
      <c r="EL281" s="196" t="s">
        <v>505</v>
      </c>
      <c r="EM281" s="196" t="s">
        <v>506</v>
      </c>
      <c r="EN281" s="196" t="s">
        <v>507</v>
      </c>
      <c r="EO281" s="196" t="s">
        <v>508</v>
      </c>
      <c r="EP281" s="193" t="s">
        <v>372</v>
      </c>
      <c r="EQ281" s="194" t="s">
        <v>509</v>
      </c>
      <c r="ER281" s="194" t="s">
        <v>510</v>
      </c>
      <c r="ES281" s="195" t="s">
        <v>511</v>
      </c>
      <c r="ET281" s="195" t="s">
        <v>512</v>
      </c>
      <c r="EU281" s="195" t="s">
        <v>513</v>
      </c>
      <c r="EV281" s="195" t="s">
        <v>514</v>
      </c>
      <c r="EW281" s="195" t="s">
        <v>515</v>
      </c>
      <c r="EX281" s="195" t="s">
        <v>516</v>
      </c>
      <c r="EY281" s="195" t="s">
        <v>517</v>
      </c>
      <c r="EZ281" s="196" t="s">
        <v>518</v>
      </c>
      <c r="FA281" s="196" t="s">
        <v>519</v>
      </c>
      <c r="FB281" s="196" t="s">
        <v>520</v>
      </c>
      <c r="FC281" s="196" t="s">
        <v>521</v>
      </c>
      <c r="FD281" s="196" t="s">
        <v>522</v>
      </c>
      <c r="FE281" s="196" t="s">
        <v>523</v>
      </c>
      <c r="FF281" s="196" t="s">
        <v>524</v>
      </c>
      <c r="FG281" s="196" t="s">
        <v>525</v>
      </c>
      <c r="FH281" s="193" t="s">
        <v>372</v>
      </c>
      <c r="FI281" s="194" t="s">
        <v>526</v>
      </c>
      <c r="FJ281" s="194" t="s">
        <v>527</v>
      </c>
      <c r="FK281" s="195" t="s">
        <v>528</v>
      </c>
      <c r="FL281" s="195" t="s">
        <v>529</v>
      </c>
      <c r="FM281" s="195" t="s">
        <v>530</v>
      </c>
      <c r="FN281" s="195" t="s">
        <v>531</v>
      </c>
      <c r="FO281" s="195" t="s">
        <v>532</v>
      </c>
      <c r="FP281" s="195" t="s">
        <v>533</v>
      </c>
      <c r="FQ281" s="195" t="s">
        <v>534</v>
      </c>
      <c r="FR281" s="196" t="s">
        <v>535</v>
      </c>
      <c r="FS281" s="196" t="s">
        <v>536</v>
      </c>
      <c r="FT281" s="196" t="s">
        <v>537</v>
      </c>
      <c r="FU281" s="196" t="s">
        <v>538</v>
      </c>
      <c r="FV281" s="196" t="s">
        <v>539</v>
      </c>
      <c r="FW281" s="196" t="s">
        <v>540</v>
      </c>
      <c r="FX281" s="196" t="s">
        <v>541</v>
      </c>
      <c r="FY281" s="196" t="s">
        <v>542</v>
      </c>
    </row>
    <row r="282" spans="2:181" x14ac:dyDescent="0.25">
      <c r="B282" s="12">
        <v>211</v>
      </c>
      <c r="C282" s="195"/>
      <c r="D282" s="195"/>
      <c r="E282" s="195"/>
      <c r="F282" s="195"/>
      <c r="G282" s="195"/>
      <c r="H282" s="195"/>
      <c r="I282" s="195"/>
      <c r="J282" s="195"/>
      <c r="K282" s="195"/>
      <c r="L282" s="195"/>
      <c r="M282" s="195"/>
      <c r="N282" s="195"/>
      <c r="O282" s="195"/>
      <c r="P282" s="195"/>
      <c r="Q282" s="195"/>
      <c r="R282" s="195"/>
      <c r="S282" s="195"/>
      <c r="T282" s="12">
        <v>211</v>
      </c>
      <c r="U282" s="195"/>
      <c r="V282" s="195"/>
      <c r="W282" s="195"/>
      <c r="X282" s="195"/>
      <c r="Y282" s="195"/>
      <c r="Z282" s="195"/>
      <c r="AA282" s="195"/>
      <c r="AB282" s="195"/>
      <c r="AC282" s="195"/>
      <c r="AD282" s="195"/>
      <c r="AE282" s="195"/>
      <c r="AF282" s="195"/>
      <c r="AG282" s="195"/>
      <c r="AH282" s="195"/>
      <c r="AI282" s="195"/>
      <c r="AJ282" s="195"/>
      <c r="AK282" s="195"/>
      <c r="AL282" s="12">
        <v>211</v>
      </c>
      <c r="AM282" s="195"/>
      <c r="AN282" s="195"/>
      <c r="AO282" s="195"/>
      <c r="AP282" s="195"/>
      <c r="AQ282" s="195"/>
      <c r="AR282" s="195"/>
      <c r="AS282" s="195"/>
      <c r="AT282" s="195"/>
      <c r="AU282" s="195"/>
      <c r="AV282" s="195"/>
      <c r="AW282" s="195"/>
      <c r="AX282" s="195"/>
      <c r="AY282" s="195"/>
      <c r="AZ282" s="195"/>
      <c r="BA282" s="195"/>
      <c r="BB282" s="195"/>
      <c r="BC282" s="195"/>
      <c r="BD282" s="12">
        <v>211</v>
      </c>
      <c r="BE282" s="195"/>
      <c r="BF282" s="195"/>
      <c r="BG282" s="195"/>
      <c r="BH282" s="195"/>
      <c r="BI282" s="195"/>
      <c r="BJ282" s="195"/>
      <c r="BK282" s="195"/>
      <c r="BL282" s="195"/>
      <c r="BM282" s="195"/>
      <c r="BN282" s="195"/>
      <c r="BO282" s="195"/>
      <c r="BP282" s="195"/>
      <c r="BQ282" s="195"/>
      <c r="BR282" s="195"/>
      <c r="BS282" s="195"/>
      <c r="BT282" s="195"/>
      <c r="BU282" s="195"/>
      <c r="BV282" s="12">
        <v>211</v>
      </c>
      <c r="BW282" s="195"/>
      <c r="BX282" s="195"/>
      <c r="BY282" s="195"/>
      <c r="BZ282" s="195"/>
      <c r="CA282" s="195"/>
      <c r="CB282" s="195"/>
      <c r="CC282" s="195"/>
      <c r="CD282" s="195"/>
      <c r="CE282" s="195"/>
      <c r="CF282" s="195"/>
      <c r="CG282" s="195"/>
      <c r="CH282" s="195"/>
      <c r="CI282" s="195"/>
      <c r="CJ282" s="195"/>
      <c r="CK282" s="195"/>
      <c r="CL282" s="195"/>
      <c r="CM282" s="195"/>
      <c r="CN282" s="12">
        <v>211</v>
      </c>
      <c r="CO282" s="195"/>
      <c r="CP282" s="195"/>
      <c r="CQ282" s="195"/>
      <c r="CR282" s="195"/>
      <c r="CS282" s="195"/>
      <c r="CT282" s="195"/>
      <c r="CU282" s="195"/>
      <c r="CV282" s="195"/>
      <c r="CW282" s="195"/>
      <c r="CX282" s="195"/>
      <c r="CY282" s="195"/>
      <c r="CZ282" s="195"/>
      <c r="DA282" s="195"/>
      <c r="DB282" s="195"/>
      <c r="DC282" s="195"/>
      <c r="DD282" s="195"/>
      <c r="DE282" s="195"/>
      <c r="DF282" s="12">
        <v>211</v>
      </c>
      <c r="DG282" s="195"/>
      <c r="DH282" s="195"/>
      <c r="DI282" s="195"/>
      <c r="DJ282" s="195"/>
      <c r="DK282" s="195"/>
      <c r="DL282" s="195"/>
      <c r="DM282" s="195"/>
      <c r="DN282" s="195"/>
      <c r="DO282" s="195"/>
      <c r="DP282" s="195"/>
      <c r="DQ282" s="195"/>
      <c r="DR282" s="195"/>
      <c r="DS282" s="195"/>
      <c r="DT282" s="195"/>
      <c r="DU282" s="195"/>
      <c r="DV282" s="195"/>
      <c r="DW282" s="195"/>
      <c r="DX282" s="12">
        <v>211</v>
      </c>
      <c r="DY282" s="195"/>
      <c r="DZ282" s="195"/>
      <c r="EA282" s="195"/>
      <c r="EB282" s="195"/>
      <c r="EC282" s="195"/>
      <c r="ED282" s="195"/>
      <c r="EE282" s="195"/>
      <c r="EF282" s="195"/>
      <c r="EG282" s="195"/>
      <c r="EH282" s="195"/>
      <c r="EI282" s="195"/>
      <c r="EJ282" s="195"/>
      <c r="EK282" s="195"/>
      <c r="EL282" s="195"/>
      <c r="EM282" s="195"/>
      <c r="EN282" s="195"/>
      <c r="EO282" s="195"/>
      <c r="EP282" s="12">
        <v>211</v>
      </c>
      <c r="EQ282" s="195"/>
      <c r="ER282" s="195"/>
      <c r="ES282" s="195"/>
      <c r="ET282" s="195"/>
      <c r="EU282" s="195"/>
      <c r="EV282" s="195"/>
      <c r="EW282" s="195"/>
      <c r="EX282" s="195"/>
      <c r="EY282" s="195"/>
      <c r="EZ282" s="195"/>
      <c r="FA282" s="195"/>
      <c r="FB282" s="195"/>
      <c r="FC282" s="195"/>
      <c r="FD282" s="195"/>
      <c r="FE282" s="195"/>
      <c r="FF282" s="195"/>
      <c r="FG282" s="195"/>
      <c r="FH282" s="12">
        <v>211</v>
      </c>
      <c r="FI282" s="195"/>
      <c r="FJ282" s="195"/>
      <c r="FK282" s="195"/>
      <c r="FL282" s="195"/>
      <c r="FM282" s="195"/>
      <c r="FN282" s="195"/>
      <c r="FO282" s="195"/>
      <c r="FP282" s="195"/>
      <c r="FQ282" s="195"/>
      <c r="FR282" s="195"/>
      <c r="FS282" s="195"/>
      <c r="FT282" s="195"/>
      <c r="FU282" s="195"/>
      <c r="FV282" s="195"/>
      <c r="FW282" s="195"/>
      <c r="FX282" s="195"/>
      <c r="FY282" s="195"/>
    </row>
    <row r="283" spans="2:181" x14ac:dyDescent="0.25">
      <c r="B283" s="197">
        <v>212</v>
      </c>
      <c r="C283" s="195"/>
      <c r="D283" s="195"/>
      <c r="E283" s="195"/>
      <c r="F283" s="195"/>
      <c r="G283" s="195"/>
      <c r="H283" s="195"/>
      <c r="I283" s="195"/>
      <c r="J283" s="195"/>
      <c r="K283" s="195"/>
      <c r="L283" s="195"/>
      <c r="M283" s="195"/>
      <c r="N283" s="195"/>
      <c r="O283" s="195"/>
      <c r="P283" s="195"/>
      <c r="Q283" s="195"/>
      <c r="R283" s="195"/>
      <c r="S283" s="195"/>
      <c r="T283" s="197">
        <v>212</v>
      </c>
      <c r="U283" s="195"/>
      <c r="V283" s="195"/>
      <c r="W283" s="195"/>
      <c r="X283" s="195"/>
      <c r="Y283" s="195"/>
      <c r="Z283" s="195"/>
      <c r="AA283" s="195"/>
      <c r="AB283" s="195"/>
      <c r="AC283" s="195"/>
      <c r="AD283" s="195"/>
      <c r="AE283" s="195"/>
      <c r="AF283" s="195"/>
      <c r="AG283" s="195"/>
      <c r="AH283" s="195"/>
      <c r="AI283" s="195"/>
      <c r="AJ283" s="195"/>
      <c r="AK283" s="195"/>
      <c r="AL283" s="197">
        <v>212</v>
      </c>
      <c r="AM283" s="195"/>
      <c r="AN283" s="195"/>
      <c r="AO283" s="195"/>
      <c r="AP283" s="195"/>
      <c r="AQ283" s="195"/>
      <c r="AR283" s="195"/>
      <c r="AS283" s="195"/>
      <c r="AT283" s="195"/>
      <c r="AU283" s="195"/>
      <c r="AV283" s="195"/>
      <c r="AW283" s="195"/>
      <c r="AX283" s="195"/>
      <c r="AY283" s="195"/>
      <c r="AZ283" s="195"/>
      <c r="BA283" s="195"/>
      <c r="BB283" s="195"/>
      <c r="BC283" s="195"/>
      <c r="BD283" s="197">
        <v>212</v>
      </c>
      <c r="BE283" s="195"/>
      <c r="BF283" s="195"/>
      <c r="BG283" s="195"/>
      <c r="BH283" s="195"/>
      <c r="BI283" s="195"/>
      <c r="BJ283" s="195"/>
      <c r="BK283" s="195"/>
      <c r="BL283" s="195"/>
      <c r="BM283" s="195"/>
      <c r="BN283" s="195"/>
      <c r="BO283" s="195"/>
      <c r="BP283" s="195"/>
      <c r="BQ283" s="195"/>
      <c r="BR283" s="195"/>
      <c r="BS283" s="195"/>
      <c r="BT283" s="195"/>
      <c r="BU283" s="195"/>
      <c r="BV283" s="197">
        <v>212</v>
      </c>
      <c r="BW283" s="195"/>
      <c r="BX283" s="195"/>
      <c r="BY283" s="195"/>
      <c r="BZ283" s="195"/>
      <c r="CA283" s="195"/>
      <c r="CB283" s="195"/>
      <c r="CC283" s="195"/>
      <c r="CD283" s="195"/>
      <c r="CE283" s="195"/>
      <c r="CF283" s="195"/>
      <c r="CG283" s="195"/>
      <c r="CH283" s="195"/>
      <c r="CI283" s="195"/>
      <c r="CJ283" s="195"/>
      <c r="CK283" s="195"/>
      <c r="CL283" s="195"/>
      <c r="CM283" s="195"/>
      <c r="CN283" s="197">
        <v>212</v>
      </c>
      <c r="CO283" s="195"/>
      <c r="CP283" s="195"/>
      <c r="CQ283" s="195"/>
      <c r="CR283" s="195"/>
      <c r="CS283" s="195"/>
      <c r="CT283" s="195"/>
      <c r="CU283" s="195"/>
      <c r="CV283" s="195"/>
      <c r="CW283" s="195"/>
      <c r="CX283" s="195"/>
      <c r="CY283" s="195"/>
      <c r="CZ283" s="195"/>
      <c r="DA283" s="195"/>
      <c r="DB283" s="195"/>
      <c r="DC283" s="195"/>
      <c r="DD283" s="195"/>
      <c r="DE283" s="195"/>
      <c r="DF283" s="197">
        <v>212</v>
      </c>
      <c r="DG283" s="195"/>
      <c r="DH283" s="195"/>
      <c r="DI283" s="195"/>
      <c r="DJ283" s="195"/>
      <c r="DK283" s="195"/>
      <c r="DL283" s="195"/>
      <c r="DM283" s="195"/>
      <c r="DN283" s="195"/>
      <c r="DO283" s="195"/>
      <c r="DP283" s="195"/>
      <c r="DQ283" s="195"/>
      <c r="DR283" s="195"/>
      <c r="DS283" s="195"/>
      <c r="DT283" s="195"/>
      <c r="DU283" s="195"/>
      <c r="DV283" s="195"/>
      <c r="DW283" s="195"/>
      <c r="DX283" s="197">
        <v>212</v>
      </c>
      <c r="DY283" s="195"/>
      <c r="DZ283" s="195"/>
      <c r="EA283" s="195"/>
      <c r="EB283" s="195"/>
      <c r="EC283" s="195"/>
      <c r="ED283" s="195"/>
      <c r="EE283" s="195"/>
      <c r="EF283" s="195"/>
      <c r="EG283" s="195"/>
      <c r="EH283" s="195"/>
      <c r="EI283" s="195"/>
      <c r="EJ283" s="195"/>
      <c r="EK283" s="195"/>
      <c r="EL283" s="195"/>
      <c r="EM283" s="195"/>
      <c r="EN283" s="195"/>
      <c r="EO283" s="195"/>
      <c r="EP283" s="197">
        <v>212</v>
      </c>
      <c r="EQ283" s="195"/>
      <c r="ER283" s="195"/>
      <c r="ES283" s="195"/>
      <c r="ET283" s="195"/>
      <c r="EU283" s="195"/>
      <c r="EV283" s="195"/>
      <c r="EW283" s="195"/>
      <c r="EX283" s="195"/>
      <c r="EY283" s="195"/>
      <c r="EZ283" s="195"/>
      <c r="FA283" s="195"/>
      <c r="FB283" s="195"/>
      <c r="FC283" s="195"/>
      <c r="FD283" s="195"/>
      <c r="FE283" s="195"/>
      <c r="FF283" s="195"/>
      <c r="FG283" s="195"/>
      <c r="FH283" s="197">
        <v>212</v>
      </c>
      <c r="FI283" s="195"/>
      <c r="FJ283" s="195"/>
      <c r="FK283" s="195"/>
      <c r="FL283" s="195"/>
      <c r="FM283" s="195"/>
      <c r="FN283" s="195"/>
      <c r="FO283" s="195"/>
      <c r="FP283" s="195"/>
      <c r="FQ283" s="195"/>
      <c r="FR283" s="195"/>
      <c r="FS283" s="195"/>
      <c r="FT283" s="195"/>
      <c r="FU283" s="195"/>
      <c r="FV283" s="195"/>
      <c r="FW283" s="195"/>
      <c r="FX283" s="195"/>
      <c r="FY283" s="195"/>
    </row>
    <row r="284" spans="2:181" x14ac:dyDescent="0.25">
      <c r="B284" s="12">
        <v>213</v>
      </c>
      <c r="C284" s="195"/>
      <c r="D284" s="195"/>
      <c r="E284" s="195"/>
      <c r="F284" s="195"/>
      <c r="G284" s="195"/>
      <c r="H284" s="195"/>
      <c r="I284" s="195"/>
      <c r="J284" s="195"/>
      <c r="K284" s="195"/>
      <c r="L284" s="195"/>
      <c r="M284" s="195"/>
      <c r="N284" s="195"/>
      <c r="O284" s="195"/>
      <c r="P284" s="195"/>
      <c r="Q284" s="195"/>
      <c r="R284" s="195"/>
      <c r="S284" s="195"/>
      <c r="T284" s="12">
        <v>213</v>
      </c>
      <c r="U284" s="195"/>
      <c r="V284" s="195"/>
      <c r="W284" s="195"/>
      <c r="X284" s="195"/>
      <c r="Y284" s="195"/>
      <c r="Z284" s="195"/>
      <c r="AA284" s="195"/>
      <c r="AB284" s="195"/>
      <c r="AC284" s="195"/>
      <c r="AD284" s="195"/>
      <c r="AE284" s="195"/>
      <c r="AF284" s="195"/>
      <c r="AG284" s="195"/>
      <c r="AH284" s="195"/>
      <c r="AI284" s="195"/>
      <c r="AJ284" s="195"/>
      <c r="AK284" s="195"/>
      <c r="AL284" s="12">
        <v>213</v>
      </c>
      <c r="AM284" s="195"/>
      <c r="AN284" s="195"/>
      <c r="AO284" s="195"/>
      <c r="AP284" s="195"/>
      <c r="AQ284" s="195"/>
      <c r="AR284" s="195"/>
      <c r="AS284" s="195"/>
      <c r="AT284" s="195"/>
      <c r="AU284" s="195"/>
      <c r="AV284" s="195"/>
      <c r="AW284" s="195"/>
      <c r="AX284" s="195"/>
      <c r="AY284" s="195"/>
      <c r="AZ284" s="195"/>
      <c r="BA284" s="195"/>
      <c r="BB284" s="195"/>
      <c r="BC284" s="195"/>
      <c r="BD284" s="12">
        <v>213</v>
      </c>
      <c r="BE284" s="195"/>
      <c r="BF284" s="195"/>
      <c r="BG284" s="195"/>
      <c r="BH284" s="195"/>
      <c r="BI284" s="195"/>
      <c r="BJ284" s="195"/>
      <c r="BK284" s="195"/>
      <c r="BL284" s="195"/>
      <c r="BM284" s="195"/>
      <c r="BN284" s="195"/>
      <c r="BO284" s="195"/>
      <c r="BP284" s="195"/>
      <c r="BQ284" s="195"/>
      <c r="BR284" s="195"/>
      <c r="BS284" s="195"/>
      <c r="BT284" s="195"/>
      <c r="BU284" s="195"/>
      <c r="BV284" s="12">
        <v>213</v>
      </c>
      <c r="BW284" s="195"/>
      <c r="BX284" s="195"/>
      <c r="BY284" s="195"/>
      <c r="BZ284" s="195"/>
      <c r="CA284" s="195"/>
      <c r="CB284" s="195"/>
      <c r="CC284" s="195"/>
      <c r="CD284" s="195"/>
      <c r="CE284" s="195"/>
      <c r="CF284" s="195"/>
      <c r="CG284" s="195"/>
      <c r="CH284" s="195"/>
      <c r="CI284" s="195"/>
      <c r="CJ284" s="195"/>
      <c r="CK284" s="195"/>
      <c r="CL284" s="195"/>
      <c r="CM284" s="195"/>
      <c r="CN284" s="12">
        <v>213</v>
      </c>
      <c r="CO284" s="195"/>
      <c r="CP284" s="195"/>
      <c r="CQ284" s="195"/>
      <c r="CR284" s="195"/>
      <c r="CS284" s="195"/>
      <c r="CT284" s="195"/>
      <c r="CU284" s="195"/>
      <c r="CV284" s="195"/>
      <c r="CW284" s="195"/>
      <c r="CX284" s="195"/>
      <c r="CY284" s="195"/>
      <c r="CZ284" s="195"/>
      <c r="DA284" s="195"/>
      <c r="DB284" s="195"/>
      <c r="DC284" s="195"/>
      <c r="DD284" s="195"/>
      <c r="DE284" s="195"/>
      <c r="DF284" s="12">
        <v>213</v>
      </c>
      <c r="DG284" s="195"/>
      <c r="DH284" s="195"/>
      <c r="DI284" s="195"/>
      <c r="DJ284" s="195"/>
      <c r="DK284" s="195"/>
      <c r="DL284" s="195"/>
      <c r="DM284" s="195"/>
      <c r="DN284" s="195"/>
      <c r="DO284" s="195"/>
      <c r="DP284" s="195"/>
      <c r="DQ284" s="195"/>
      <c r="DR284" s="195"/>
      <c r="DS284" s="195"/>
      <c r="DT284" s="195"/>
      <c r="DU284" s="195"/>
      <c r="DV284" s="195"/>
      <c r="DW284" s="195"/>
      <c r="DX284" s="12">
        <v>213</v>
      </c>
      <c r="DY284" s="195"/>
      <c r="DZ284" s="195"/>
      <c r="EA284" s="195"/>
      <c r="EB284" s="195"/>
      <c r="EC284" s="195"/>
      <c r="ED284" s="195"/>
      <c r="EE284" s="195"/>
      <c r="EF284" s="195"/>
      <c r="EG284" s="195"/>
      <c r="EH284" s="195"/>
      <c r="EI284" s="195"/>
      <c r="EJ284" s="195"/>
      <c r="EK284" s="195"/>
      <c r="EL284" s="195"/>
      <c r="EM284" s="195"/>
      <c r="EN284" s="195"/>
      <c r="EO284" s="195"/>
      <c r="EP284" s="12">
        <v>213</v>
      </c>
      <c r="EQ284" s="195"/>
      <c r="ER284" s="195"/>
      <c r="ES284" s="195"/>
      <c r="ET284" s="195"/>
      <c r="EU284" s="195"/>
      <c r="EV284" s="195"/>
      <c r="EW284" s="195"/>
      <c r="EX284" s="195"/>
      <c r="EY284" s="195"/>
      <c r="EZ284" s="195"/>
      <c r="FA284" s="195"/>
      <c r="FB284" s="195"/>
      <c r="FC284" s="195"/>
      <c r="FD284" s="195"/>
      <c r="FE284" s="195"/>
      <c r="FF284" s="195"/>
      <c r="FG284" s="195"/>
      <c r="FH284" s="12">
        <v>213</v>
      </c>
      <c r="FI284" s="195"/>
      <c r="FJ284" s="195"/>
      <c r="FK284" s="195"/>
      <c r="FL284" s="195"/>
      <c r="FM284" s="195"/>
      <c r="FN284" s="195"/>
      <c r="FO284" s="195"/>
      <c r="FP284" s="195"/>
      <c r="FQ284" s="195"/>
      <c r="FR284" s="195"/>
      <c r="FS284" s="195"/>
      <c r="FT284" s="195"/>
      <c r="FU284" s="195"/>
      <c r="FV284" s="195"/>
      <c r="FW284" s="195"/>
      <c r="FX284" s="195"/>
      <c r="FY284" s="195"/>
    </row>
    <row r="285" spans="2:181" x14ac:dyDescent="0.25">
      <c r="B285" s="197">
        <v>214</v>
      </c>
      <c r="C285" s="195"/>
      <c r="D285" s="195"/>
      <c r="E285" s="195"/>
      <c r="F285" s="195"/>
      <c r="G285" s="195"/>
      <c r="H285" s="195"/>
      <c r="I285" s="195"/>
      <c r="J285" s="195"/>
      <c r="K285" s="195"/>
      <c r="L285" s="195"/>
      <c r="M285" s="195"/>
      <c r="N285" s="195"/>
      <c r="O285" s="195"/>
      <c r="P285" s="195"/>
      <c r="Q285" s="195"/>
      <c r="R285" s="195"/>
      <c r="S285" s="195"/>
      <c r="T285" s="197">
        <v>214</v>
      </c>
      <c r="U285" s="195"/>
      <c r="V285" s="195"/>
      <c r="W285" s="195"/>
      <c r="X285" s="195"/>
      <c r="Y285" s="195"/>
      <c r="Z285" s="195"/>
      <c r="AA285" s="195"/>
      <c r="AB285" s="195"/>
      <c r="AC285" s="195"/>
      <c r="AD285" s="195"/>
      <c r="AE285" s="195"/>
      <c r="AF285" s="195"/>
      <c r="AG285" s="195"/>
      <c r="AH285" s="195"/>
      <c r="AI285" s="195"/>
      <c r="AJ285" s="195"/>
      <c r="AK285" s="195"/>
      <c r="AL285" s="197">
        <v>214</v>
      </c>
      <c r="AM285" s="195"/>
      <c r="AN285" s="195"/>
      <c r="AO285" s="195"/>
      <c r="AP285" s="195"/>
      <c r="AQ285" s="195"/>
      <c r="AR285" s="195"/>
      <c r="AS285" s="195"/>
      <c r="AT285" s="195"/>
      <c r="AU285" s="195"/>
      <c r="AV285" s="195"/>
      <c r="AW285" s="195"/>
      <c r="AX285" s="195"/>
      <c r="AY285" s="195"/>
      <c r="AZ285" s="195"/>
      <c r="BA285" s="195"/>
      <c r="BB285" s="195"/>
      <c r="BC285" s="195"/>
      <c r="BD285" s="197">
        <v>214</v>
      </c>
      <c r="BE285" s="195"/>
      <c r="BF285" s="195"/>
      <c r="BG285" s="195"/>
      <c r="BH285" s="195"/>
      <c r="BI285" s="195"/>
      <c r="BJ285" s="195"/>
      <c r="BK285" s="195"/>
      <c r="BL285" s="195"/>
      <c r="BM285" s="195"/>
      <c r="BN285" s="195"/>
      <c r="BO285" s="195"/>
      <c r="BP285" s="195"/>
      <c r="BQ285" s="195"/>
      <c r="BR285" s="195"/>
      <c r="BS285" s="195"/>
      <c r="BT285" s="195"/>
      <c r="BU285" s="195"/>
      <c r="BV285" s="197">
        <v>214</v>
      </c>
      <c r="BW285" s="195"/>
      <c r="BX285" s="195"/>
      <c r="BY285" s="195"/>
      <c r="BZ285" s="195"/>
      <c r="CA285" s="195"/>
      <c r="CB285" s="195"/>
      <c r="CC285" s="195"/>
      <c r="CD285" s="195"/>
      <c r="CE285" s="195"/>
      <c r="CF285" s="195"/>
      <c r="CG285" s="195"/>
      <c r="CH285" s="195"/>
      <c r="CI285" s="195"/>
      <c r="CJ285" s="195"/>
      <c r="CK285" s="195"/>
      <c r="CL285" s="195"/>
      <c r="CM285" s="195"/>
      <c r="CN285" s="197">
        <v>214</v>
      </c>
      <c r="CO285" s="195"/>
      <c r="CP285" s="195"/>
      <c r="CQ285" s="195"/>
      <c r="CR285" s="195"/>
      <c r="CS285" s="195"/>
      <c r="CT285" s="195"/>
      <c r="CU285" s="195"/>
      <c r="CV285" s="195"/>
      <c r="CW285" s="195"/>
      <c r="CX285" s="195"/>
      <c r="CY285" s="195"/>
      <c r="CZ285" s="195"/>
      <c r="DA285" s="195"/>
      <c r="DB285" s="195"/>
      <c r="DC285" s="195"/>
      <c r="DD285" s="195"/>
      <c r="DE285" s="195"/>
      <c r="DF285" s="197">
        <v>214</v>
      </c>
      <c r="DG285" s="195"/>
      <c r="DH285" s="195"/>
      <c r="DI285" s="195"/>
      <c r="DJ285" s="195"/>
      <c r="DK285" s="195"/>
      <c r="DL285" s="195"/>
      <c r="DM285" s="195"/>
      <c r="DN285" s="195"/>
      <c r="DO285" s="195"/>
      <c r="DP285" s="195"/>
      <c r="DQ285" s="195"/>
      <c r="DR285" s="195"/>
      <c r="DS285" s="195"/>
      <c r="DT285" s="195"/>
      <c r="DU285" s="195"/>
      <c r="DV285" s="195"/>
      <c r="DW285" s="195"/>
      <c r="DX285" s="197">
        <v>214</v>
      </c>
      <c r="DY285" s="195"/>
      <c r="DZ285" s="195"/>
      <c r="EA285" s="195"/>
      <c r="EB285" s="195"/>
      <c r="EC285" s="195"/>
      <c r="ED285" s="195"/>
      <c r="EE285" s="195"/>
      <c r="EF285" s="195"/>
      <c r="EG285" s="195"/>
      <c r="EH285" s="195"/>
      <c r="EI285" s="195"/>
      <c r="EJ285" s="195"/>
      <c r="EK285" s="195"/>
      <c r="EL285" s="195"/>
      <c r="EM285" s="195"/>
      <c r="EN285" s="195"/>
      <c r="EO285" s="195"/>
      <c r="EP285" s="197">
        <v>214</v>
      </c>
      <c r="EQ285" s="195"/>
      <c r="ER285" s="195"/>
      <c r="ES285" s="195"/>
      <c r="ET285" s="195"/>
      <c r="EU285" s="195"/>
      <c r="EV285" s="195"/>
      <c r="EW285" s="195"/>
      <c r="EX285" s="195"/>
      <c r="EY285" s="195"/>
      <c r="EZ285" s="195"/>
      <c r="FA285" s="195"/>
      <c r="FB285" s="195"/>
      <c r="FC285" s="195"/>
      <c r="FD285" s="195"/>
      <c r="FE285" s="195"/>
      <c r="FF285" s="195"/>
      <c r="FG285" s="195"/>
      <c r="FH285" s="197">
        <v>214</v>
      </c>
      <c r="FI285" s="195"/>
      <c r="FJ285" s="195"/>
      <c r="FK285" s="195"/>
      <c r="FL285" s="195"/>
      <c r="FM285" s="195"/>
      <c r="FN285" s="195"/>
      <c r="FO285" s="195"/>
      <c r="FP285" s="195"/>
      <c r="FQ285" s="195"/>
      <c r="FR285" s="195"/>
      <c r="FS285" s="195"/>
      <c r="FT285" s="195"/>
      <c r="FU285" s="195"/>
      <c r="FV285" s="195"/>
      <c r="FW285" s="195"/>
      <c r="FX285" s="195"/>
      <c r="FY285" s="195"/>
    </row>
    <row r="286" spans="2:181" x14ac:dyDescent="0.25">
      <c r="B286" s="12">
        <v>215</v>
      </c>
      <c r="C286" s="195"/>
      <c r="D286" s="195"/>
      <c r="E286" s="195"/>
      <c r="F286" s="195"/>
      <c r="G286" s="195"/>
      <c r="H286" s="195"/>
      <c r="I286" s="195"/>
      <c r="J286" s="195"/>
      <c r="K286" s="195"/>
      <c r="L286" s="195"/>
      <c r="M286" s="195"/>
      <c r="N286" s="195"/>
      <c r="O286" s="195"/>
      <c r="P286" s="195"/>
      <c r="Q286" s="195"/>
      <c r="R286" s="195"/>
      <c r="S286" s="195"/>
      <c r="T286" s="12">
        <v>215</v>
      </c>
      <c r="U286" s="195"/>
      <c r="V286" s="195"/>
      <c r="W286" s="195"/>
      <c r="X286" s="195"/>
      <c r="Y286" s="195"/>
      <c r="Z286" s="195"/>
      <c r="AA286" s="195"/>
      <c r="AB286" s="195"/>
      <c r="AC286" s="195"/>
      <c r="AD286" s="195"/>
      <c r="AE286" s="195"/>
      <c r="AF286" s="195"/>
      <c r="AG286" s="195"/>
      <c r="AH286" s="195"/>
      <c r="AI286" s="195"/>
      <c r="AJ286" s="195"/>
      <c r="AK286" s="195"/>
      <c r="AL286" s="12">
        <v>215</v>
      </c>
      <c r="AM286" s="195"/>
      <c r="AN286" s="195"/>
      <c r="AO286" s="195"/>
      <c r="AP286" s="195"/>
      <c r="AQ286" s="195"/>
      <c r="AR286" s="195"/>
      <c r="AS286" s="195"/>
      <c r="AT286" s="195"/>
      <c r="AU286" s="195"/>
      <c r="AV286" s="195"/>
      <c r="AW286" s="195"/>
      <c r="AX286" s="195"/>
      <c r="AY286" s="195"/>
      <c r="AZ286" s="195"/>
      <c r="BA286" s="195"/>
      <c r="BB286" s="195"/>
      <c r="BC286" s="195"/>
      <c r="BD286" s="12">
        <v>215</v>
      </c>
      <c r="BE286" s="195"/>
      <c r="BF286" s="195"/>
      <c r="BG286" s="195"/>
      <c r="BH286" s="195"/>
      <c r="BI286" s="195"/>
      <c r="BJ286" s="195"/>
      <c r="BK286" s="195"/>
      <c r="BL286" s="195"/>
      <c r="BM286" s="195"/>
      <c r="BN286" s="195"/>
      <c r="BO286" s="195"/>
      <c r="BP286" s="195"/>
      <c r="BQ286" s="195"/>
      <c r="BR286" s="195"/>
      <c r="BS286" s="195"/>
      <c r="BT286" s="195"/>
      <c r="BU286" s="195"/>
      <c r="BV286" s="12">
        <v>215</v>
      </c>
      <c r="BW286" s="195"/>
      <c r="BX286" s="195"/>
      <c r="BY286" s="195"/>
      <c r="BZ286" s="195"/>
      <c r="CA286" s="195"/>
      <c r="CB286" s="195"/>
      <c r="CC286" s="195"/>
      <c r="CD286" s="195"/>
      <c r="CE286" s="195"/>
      <c r="CF286" s="195"/>
      <c r="CG286" s="195"/>
      <c r="CH286" s="195"/>
      <c r="CI286" s="195"/>
      <c r="CJ286" s="195"/>
      <c r="CK286" s="195"/>
      <c r="CL286" s="195"/>
      <c r="CM286" s="195"/>
      <c r="CN286" s="12">
        <v>215</v>
      </c>
      <c r="CO286" s="195"/>
      <c r="CP286" s="195"/>
      <c r="CQ286" s="195"/>
      <c r="CR286" s="195"/>
      <c r="CS286" s="195"/>
      <c r="CT286" s="195"/>
      <c r="CU286" s="195"/>
      <c r="CV286" s="195"/>
      <c r="CW286" s="195"/>
      <c r="CX286" s="195"/>
      <c r="CY286" s="195"/>
      <c r="CZ286" s="195"/>
      <c r="DA286" s="195"/>
      <c r="DB286" s="195"/>
      <c r="DC286" s="195"/>
      <c r="DD286" s="195"/>
      <c r="DE286" s="195"/>
      <c r="DF286" s="12">
        <v>215</v>
      </c>
      <c r="DG286" s="195"/>
      <c r="DH286" s="195"/>
      <c r="DI286" s="195"/>
      <c r="DJ286" s="195"/>
      <c r="DK286" s="195"/>
      <c r="DL286" s="195"/>
      <c r="DM286" s="195"/>
      <c r="DN286" s="195"/>
      <c r="DO286" s="195"/>
      <c r="DP286" s="195"/>
      <c r="DQ286" s="195"/>
      <c r="DR286" s="195"/>
      <c r="DS286" s="195"/>
      <c r="DT286" s="195"/>
      <c r="DU286" s="195"/>
      <c r="DV286" s="195"/>
      <c r="DW286" s="195"/>
      <c r="DX286" s="12">
        <v>215</v>
      </c>
      <c r="DY286" s="195"/>
      <c r="DZ286" s="195"/>
      <c r="EA286" s="195"/>
      <c r="EB286" s="195"/>
      <c r="EC286" s="195"/>
      <c r="ED286" s="195"/>
      <c r="EE286" s="195"/>
      <c r="EF286" s="195"/>
      <c r="EG286" s="195"/>
      <c r="EH286" s="195"/>
      <c r="EI286" s="195"/>
      <c r="EJ286" s="195"/>
      <c r="EK286" s="195"/>
      <c r="EL286" s="195"/>
      <c r="EM286" s="195"/>
      <c r="EN286" s="195"/>
      <c r="EO286" s="195"/>
      <c r="EP286" s="12">
        <v>215</v>
      </c>
      <c r="EQ286" s="195"/>
      <c r="ER286" s="195"/>
      <c r="ES286" s="195"/>
      <c r="ET286" s="195"/>
      <c r="EU286" s="195"/>
      <c r="EV286" s="195"/>
      <c r="EW286" s="195"/>
      <c r="EX286" s="195"/>
      <c r="EY286" s="195"/>
      <c r="EZ286" s="195"/>
      <c r="FA286" s="195"/>
      <c r="FB286" s="195"/>
      <c r="FC286" s="195"/>
      <c r="FD286" s="195"/>
      <c r="FE286" s="195"/>
      <c r="FF286" s="195"/>
      <c r="FG286" s="195"/>
      <c r="FH286" s="12">
        <v>215</v>
      </c>
      <c r="FI286" s="195"/>
      <c r="FJ286" s="195"/>
      <c r="FK286" s="195"/>
      <c r="FL286" s="195"/>
      <c r="FM286" s="195"/>
      <c r="FN286" s="195"/>
      <c r="FO286" s="195"/>
      <c r="FP286" s="195"/>
      <c r="FQ286" s="195"/>
      <c r="FR286" s="195"/>
      <c r="FS286" s="195"/>
      <c r="FT286" s="195"/>
      <c r="FU286" s="195"/>
      <c r="FV286" s="195"/>
      <c r="FW286" s="195"/>
      <c r="FX286" s="195"/>
      <c r="FY286" s="195"/>
    </row>
    <row r="287" spans="2:181" x14ac:dyDescent="0.25">
      <c r="B287" s="197">
        <v>216</v>
      </c>
      <c r="C287" s="195"/>
      <c r="D287" s="195"/>
      <c r="E287" s="195"/>
      <c r="F287" s="195"/>
      <c r="G287" s="195"/>
      <c r="H287" s="195"/>
      <c r="I287" s="195"/>
      <c r="J287" s="195"/>
      <c r="K287" s="195"/>
      <c r="L287" s="195"/>
      <c r="M287" s="195"/>
      <c r="N287" s="195"/>
      <c r="O287" s="195"/>
      <c r="P287" s="195"/>
      <c r="Q287" s="195"/>
      <c r="R287" s="195"/>
      <c r="S287" s="195"/>
      <c r="T287" s="197">
        <v>216</v>
      </c>
      <c r="U287" s="195"/>
      <c r="V287" s="195"/>
      <c r="W287" s="195"/>
      <c r="X287" s="195"/>
      <c r="Y287" s="195"/>
      <c r="Z287" s="195"/>
      <c r="AA287" s="195"/>
      <c r="AB287" s="195"/>
      <c r="AC287" s="195"/>
      <c r="AD287" s="195"/>
      <c r="AE287" s="195"/>
      <c r="AF287" s="195"/>
      <c r="AG287" s="195"/>
      <c r="AH287" s="195"/>
      <c r="AI287" s="195"/>
      <c r="AJ287" s="195"/>
      <c r="AK287" s="195"/>
      <c r="AL287" s="197">
        <v>216</v>
      </c>
      <c r="AM287" s="195"/>
      <c r="AN287" s="195"/>
      <c r="AO287" s="195"/>
      <c r="AP287" s="195"/>
      <c r="AQ287" s="195"/>
      <c r="AR287" s="195"/>
      <c r="AS287" s="195"/>
      <c r="AT287" s="195"/>
      <c r="AU287" s="195"/>
      <c r="AV287" s="195"/>
      <c r="AW287" s="195"/>
      <c r="AX287" s="195"/>
      <c r="AY287" s="195"/>
      <c r="AZ287" s="195"/>
      <c r="BA287" s="195"/>
      <c r="BB287" s="195"/>
      <c r="BC287" s="195"/>
      <c r="BD287" s="197">
        <v>216</v>
      </c>
      <c r="BE287" s="195"/>
      <c r="BF287" s="195"/>
      <c r="BG287" s="195"/>
      <c r="BH287" s="195"/>
      <c r="BI287" s="195"/>
      <c r="BJ287" s="195"/>
      <c r="BK287" s="195"/>
      <c r="BL287" s="195"/>
      <c r="BM287" s="195"/>
      <c r="BN287" s="195"/>
      <c r="BO287" s="195"/>
      <c r="BP287" s="195"/>
      <c r="BQ287" s="195"/>
      <c r="BR287" s="195"/>
      <c r="BS287" s="195"/>
      <c r="BT287" s="195"/>
      <c r="BU287" s="195"/>
      <c r="BV287" s="197">
        <v>216</v>
      </c>
      <c r="BW287" s="195"/>
      <c r="BX287" s="195"/>
      <c r="BY287" s="195"/>
      <c r="BZ287" s="195"/>
      <c r="CA287" s="195"/>
      <c r="CB287" s="195"/>
      <c r="CC287" s="195"/>
      <c r="CD287" s="195"/>
      <c r="CE287" s="195"/>
      <c r="CF287" s="195"/>
      <c r="CG287" s="195"/>
      <c r="CH287" s="195"/>
      <c r="CI287" s="195"/>
      <c r="CJ287" s="195"/>
      <c r="CK287" s="195"/>
      <c r="CL287" s="195"/>
      <c r="CM287" s="195"/>
      <c r="CN287" s="197">
        <v>216</v>
      </c>
      <c r="CO287" s="195"/>
      <c r="CP287" s="195"/>
      <c r="CQ287" s="195"/>
      <c r="CR287" s="195"/>
      <c r="CS287" s="195"/>
      <c r="CT287" s="195"/>
      <c r="CU287" s="195"/>
      <c r="CV287" s="195"/>
      <c r="CW287" s="195"/>
      <c r="CX287" s="195"/>
      <c r="CY287" s="195"/>
      <c r="CZ287" s="195"/>
      <c r="DA287" s="195"/>
      <c r="DB287" s="195"/>
      <c r="DC287" s="195"/>
      <c r="DD287" s="195"/>
      <c r="DE287" s="195"/>
      <c r="DF287" s="197">
        <v>216</v>
      </c>
      <c r="DG287" s="195"/>
      <c r="DH287" s="195"/>
      <c r="DI287" s="195"/>
      <c r="DJ287" s="195"/>
      <c r="DK287" s="195"/>
      <c r="DL287" s="195"/>
      <c r="DM287" s="195"/>
      <c r="DN287" s="195"/>
      <c r="DO287" s="195"/>
      <c r="DP287" s="195"/>
      <c r="DQ287" s="195"/>
      <c r="DR287" s="195"/>
      <c r="DS287" s="195"/>
      <c r="DT287" s="195"/>
      <c r="DU287" s="195"/>
      <c r="DV287" s="195"/>
      <c r="DW287" s="195"/>
      <c r="DX287" s="197">
        <v>216</v>
      </c>
      <c r="DY287" s="195"/>
      <c r="DZ287" s="195"/>
      <c r="EA287" s="195"/>
      <c r="EB287" s="195"/>
      <c r="EC287" s="195"/>
      <c r="ED287" s="195"/>
      <c r="EE287" s="195"/>
      <c r="EF287" s="195"/>
      <c r="EG287" s="195"/>
      <c r="EH287" s="195"/>
      <c r="EI287" s="195"/>
      <c r="EJ287" s="195"/>
      <c r="EK287" s="195"/>
      <c r="EL287" s="195"/>
      <c r="EM287" s="195"/>
      <c r="EN287" s="195"/>
      <c r="EO287" s="195"/>
      <c r="EP287" s="197">
        <v>216</v>
      </c>
      <c r="EQ287" s="195"/>
      <c r="ER287" s="195"/>
      <c r="ES287" s="195"/>
      <c r="ET287" s="195"/>
      <c r="EU287" s="195"/>
      <c r="EV287" s="195"/>
      <c r="EW287" s="195"/>
      <c r="EX287" s="195"/>
      <c r="EY287" s="195"/>
      <c r="EZ287" s="195"/>
      <c r="FA287" s="195"/>
      <c r="FB287" s="195"/>
      <c r="FC287" s="195"/>
      <c r="FD287" s="195"/>
      <c r="FE287" s="195"/>
      <c r="FF287" s="195"/>
      <c r="FG287" s="195"/>
      <c r="FH287" s="197">
        <v>216</v>
      </c>
      <c r="FI287" s="195"/>
      <c r="FJ287" s="195"/>
      <c r="FK287" s="195"/>
      <c r="FL287" s="195"/>
      <c r="FM287" s="195"/>
      <c r="FN287" s="195"/>
      <c r="FO287" s="195"/>
      <c r="FP287" s="195"/>
      <c r="FQ287" s="195"/>
      <c r="FR287" s="195"/>
      <c r="FS287" s="195"/>
      <c r="FT287" s="195"/>
      <c r="FU287" s="195"/>
      <c r="FV287" s="195"/>
      <c r="FW287" s="195"/>
      <c r="FX287" s="195"/>
      <c r="FY287" s="195"/>
    </row>
    <row r="288" spans="2:181" x14ac:dyDescent="0.25">
      <c r="B288" s="12">
        <v>217</v>
      </c>
      <c r="C288" s="195"/>
      <c r="D288" s="195"/>
      <c r="E288" s="195"/>
      <c r="F288" s="195"/>
      <c r="G288" s="195"/>
      <c r="H288" s="195"/>
      <c r="I288" s="195"/>
      <c r="J288" s="195"/>
      <c r="K288" s="195"/>
      <c r="L288" s="195"/>
      <c r="M288" s="195"/>
      <c r="N288" s="195"/>
      <c r="O288" s="195"/>
      <c r="P288" s="195"/>
      <c r="Q288" s="195"/>
      <c r="R288" s="195"/>
      <c r="S288" s="195"/>
      <c r="T288" s="12">
        <v>217</v>
      </c>
      <c r="U288" s="195"/>
      <c r="V288" s="195"/>
      <c r="W288" s="195"/>
      <c r="X288" s="195"/>
      <c r="Y288" s="195"/>
      <c r="Z288" s="195"/>
      <c r="AA288" s="195"/>
      <c r="AB288" s="195"/>
      <c r="AC288" s="195"/>
      <c r="AD288" s="195"/>
      <c r="AE288" s="195"/>
      <c r="AF288" s="195"/>
      <c r="AG288" s="195"/>
      <c r="AH288" s="195"/>
      <c r="AI288" s="195"/>
      <c r="AJ288" s="195"/>
      <c r="AK288" s="195"/>
      <c r="AL288" s="12">
        <v>217</v>
      </c>
      <c r="AM288" s="195"/>
      <c r="AN288" s="195"/>
      <c r="AO288" s="195"/>
      <c r="AP288" s="195"/>
      <c r="AQ288" s="195"/>
      <c r="AR288" s="195"/>
      <c r="AS288" s="195"/>
      <c r="AT288" s="195"/>
      <c r="AU288" s="195"/>
      <c r="AV288" s="195"/>
      <c r="AW288" s="195"/>
      <c r="AX288" s="195"/>
      <c r="AY288" s="195"/>
      <c r="AZ288" s="195"/>
      <c r="BA288" s="195"/>
      <c r="BB288" s="195"/>
      <c r="BC288" s="195"/>
      <c r="BD288" s="12">
        <v>217</v>
      </c>
      <c r="BE288" s="195"/>
      <c r="BF288" s="195"/>
      <c r="BG288" s="195"/>
      <c r="BH288" s="195"/>
      <c r="BI288" s="195"/>
      <c r="BJ288" s="195"/>
      <c r="BK288" s="195"/>
      <c r="BL288" s="195"/>
      <c r="BM288" s="195"/>
      <c r="BN288" s="195"/>
      <c r="BO288" s="195"/>
      <c r="BP288" s="195"/>
      <c r="BQ288" s="195"/>
      <c r="BR288" s="195"/>
      <c r="BS288" s="195"/>
      <c r="BT288" s="195"/>
      <c r="BU288" s="195"/>
      <c r="BV288" s="12">
        <v>217</v>
      </c>
      <c r="BW288" s="195"/>
      <c r="BX288" s="195"/>
      <c r="BY288" s="195"/>
      <c r="BZ288" s="195"/>
      <c r="CA288" s="195"/>
      <c r="CB288" s="195"/>
      <c r="CC288" s="195"/>
      <c r="CD288" s="195"/>
      <c r="CE288" s="195"/>
      <c r="CF288" s="195"/>
      <c r="CG288" s="195"/>
      <c r="CH288" s="195"/>
      <c r="CI288" s="195"/>
      <c r="CJ288" s="195"/>
      <c r="CK288" s="195"/>
      <c r="CL288" s="195"/>
      <c r="CM288" s="195"/>
      <c r="CN288" s="12">
        <v>217</v>
      </c>
      <c r="CO288" s="195"/>
      <c r="CP288" s="195"/>
      <c r="CQ288" s="195"/>
      <c r="CR288" s="195"/>
      <c r="CS288" s="195"/>
      <c r="CT288" s="195"/>
      <c r="CU288" s="195"/>
      <c r="CV288" s="195"/>
      <c r="CW288" s="195"/>
      <c r="CX288" s="195"/>
      <c r="CY288" s="195"/>
      <c r="CZ288" s="195"/>
      <c r="DA288" s="195"/>
      <c r="DB288" s="195"/>
      <c r="DC288" s="195"/>
      <c r="DD288" s="195"/>
      <c r="DE288" s="195"/>
      <c r="DF288" s="12">
        <v>217</v>
      </c>
      <c r="DG288" s="195"/>
      <c r="DH288" s="195"/>
      <c r="DI288" s="195"/>
      <c r="DJ288" s="195"/>
      <c r="DK288" s="195"/>
      <c r="DL288" s="195"/>
      <c r="DM288" s="195"/>
      <c r="DN288" s="195"/>
      <c r="DO288" s="195"/>
      <c r="DP288" s="195"/>
      <c r="DQ288" s="195"/>
      <c r="DR288" s="195"/>
      <c r="DS288" s="195"/>
      <c r="DT288" s="195"/>
      <c r="DU288" s="195"/>
      <c r="DV288" s="195"/>
      <c r="DW288" s="195"/>
      <c r="DX288" s="12">
        <v>217</v>
      </c>
      <c r="DY288" s="195"/>
      <c r="DZ288" s="195"/>
      <c r="EA288" s="195"/>
      <c r="EB288" s="195"/>
      <c r="EC288" s="195"/>
      <c r="ED288" s="195"/>
      <c r="EE288" s="195"/>
      <c r="EF288" s="195"/>
      <c r="EG288" s="195"/>
      <c r="EH288" s="195"/>
      <c r="EI288" s="195"/>
      <c r="EJ288" s="195"/>
      <c r="EK288" s="195"/>
      <c r="EL288" s="195"/>
      <c r="EM288" s="195"/>
      <c r="EN288" s="195"/>
      <c r="EO288" s="195"/>
      <c r="EP288" s="12">
        <v>217</v>
      </c>
      <c r="EQ288" s="195"/>
      <c r="ER288" s="195"/>
      <c r="ES288" s="195"/>
      <c r="ET288" s="195"/>
      <c r="EU288" s="195"/>
      <c r="EV288" s="195"/>
      <c r="EW288" s="195"/>
      <c r="EX288" s="195"/>
      <c r="EY288" s="195"/>
      <c r="EZ288" s="195"/>
      <c r="FA288" s="195"/>
      <c r="FB288" s="195"/>
      <c r="FC288" s="195"/>
      <c r="FD288" s="195"/>
      <c r="FE288" s="195"/>
      <c r="FF288" s="195"/>
      <c r="FG288" s="195"/>
      <c r="FH288" s="12">
        <v>217</v>
      </c>
      <c r="FI288" s="195"/>
      <c r="FJ288" s="195"/>
      <c r="FK288" s="195"/>
      <c r="FL288" s="195"/>
      <c r="FM288" s="195"/>
      <c r="FN288" s="195"/>
      <c r="FO288" s="195"/>
      <c r="FP288" s="195"/>
      <c r="FQ288" s="195"/>
      <c r="FR288" s="195"/>
      <c r="FS288" s="195"/>
      <c r="FT288" s="195"/>
      <c r="FU288" s="195"/>
      <c r="FV288" s="195"/>
      <c r="FW288" s="195"/>
      <c r="FX288" s="195"/>
      <c r="FY288" s="195"/>
    </row>
    <row r="289" spans="2:181" x14ac:dyDescent="0.25">
      <c r="B289" s="197">
        <v>218</v>
      </c>
      <c r="C289" s="195"/>
      <c r="D289" s="195"/>
      <c r="E289" s="195"/>
      <c r="F289" s="195"/>
      <c r="G289" s="195"/>
      <c r="H289" s="195"/>
      <c r="I289" s="195"/>
      <c r="J289" s="195"/>
      <c r="K289" s="195"/>
      <c r="L289" s="195"/>
      <c r="M289" s="195"/>
      <c r="N289" s="195"/>
      <c r="O289" s="195"/>
      <c r="P289" s="195"/>
      <c r="Q289" s="195"/>
      <c r="R289" s="195"/>
      <c r="S289" s="195"/>
      <c r="T289" s="197">
        <v>218</v>
      </c>
      <c r="U289" s="195"/>
      <c r="V289" s="195"/>
      <c r="W289" s="195"/>
      <c r="X289" s="195"/>
      <c r="Y289" s="195"/>
      <c r="Z289" s="195"/>
      <c r="AA289" s="195"/>
      <c r="AB289" s="195"/>
      <c r="AC289" s="195"/>
      <c r="AD289" s="195"/>
      <c r="AE289" s="195"/>
      <c r="AF289" s="195"/>
      <c r="AG289" s="195"/>
      <c r="AH289" s="195"/>
      <c r="AI289" s="195"/>
      <c r="AJ289" s="195"/>
      <c r="AK289" s="195"/>
      <c r="AL289" s="197">
        <v>218</v>
      </c>
      <c r="AM289" s="195"/>
      <c r="AN289" s="195"/>
      <c r="AO289" s="195"/>
      <c r="AP289" s="195"/>
      <c r="AQ289" s="195"/>
      <c r="AR289" s="195"/>
      <c r="AS289" s="195"/>
      <c r="AT289" s="195"/>
      <c r="AU289" s="195"/>
      <c r="AV289" s="195"/>
      <c r="AW289" s="195"/>
      <c r="AX289" s="195"/>
      <c r="AY289" s="195"/>
      <c r="AZ289" s="195"/>
      <c r="BA289" s="195"/>
      <c r="BB289" s="195"/>
      <c r="BC289" s="195"/>
      <c r="BD289" s="197">
        <v>218</v>
      </c>
      <c r="BE289" s="195"/>
      <c r="BF289" s="195"/>
      <c r="BG289" s="195"/>
      <c r="BH289" s="195"/>
      <c r="BI289" s="195"/>
      <c r="BJ289" s="195"/>
      <c r="BK289" s="195"/>
      <c r="BL289" s="195"/>
      <c r="BM289" s="195"/>
      <c r="BN289" s="195"/>
      <c r="BO289" s="195"/>
      <c r="BP289" s="195"/>
      <c r="BQ289" s="195"/>
      <c r="BR289" s="195"/>
      <c r="BS289" s="195"/>
      <c r="BT289" s="195"/>
      <c r="BU289" s="195"/>
      <c r="BV289" s="197">
        <v>218</v>
      </c>
      <c r="BW289" s="195"/>
      <c r="BX289" s="195"/>
      <c r="BY289" s="195"/>
      <c r="BZ289" s="195"/>
      <c r="CA289" s="195"/>
      <c r="CB289" s="195"/>
      <c r="CC289" s="195"/>
      <c r="CD289" s="195"/>
      <c r="CE289" s="195"/>
      <c r="CF289" s="195"/>
      <c r="CG289" s="195"/>
      <c r="CH289" s="195"/>
      <c r="CI289" s="195"/>
      <c r="CJ289" s="195"/>
      <c r="CK289" s="195"/>
      <c r="CL289" s="195"/>
      <c r="CM289" s="195"/>
      <c r="CN289" s="197">
        <v>218</v>
      </c>
      <c r="CO289" s="195"/>
      <c r="CP289" s="195"/>
      <c r="CQ289" s="195"/>
      <c r="CR289" s="195"/>
      <c r="CS289" s="195"/>
      <c r="CT289" s="195"/>
      <c r="CU289" s="195"/>
      <c r="CV289" s="195"/>
      <c r="CW289" s="195"/>
      <c r="CX289" s="195"/>
      <c r="CY289" s="195"/>
      <c r="CZ289" s="195"/>
      <c r="DA289" s="195"/>
      <c r="DB289" s="195"/>
      <c r="DC289" s="195"/>
      <c r="DD289" s="195"/>
      <c r="DE289" s="195"/>
      <c r="DF289" s="197">
        <v>218</v>
      </c>
      <c r="DG289" s="195"/>
      <c r="DH289" s="195"/>
      <c r="DI289" s="195"/>
      <c r="DJ289" s="195"/>
      <c r="DK289" s="195"/>
      <c r="DL289" s="195"/>
      <c r="DM289" s="195"/>
      <c r="DN289" s="195"/>
      <c r="DO289" s="195"/>
      <c r="DP289" s="195"/>
      <c r="DQ289" s="195"/>
      <c r="DR289" s="195"/>
      <c r="DS289" s="195"/>
      <c r="DT289" s="195"/>
      <c r="DU289" s="195"/>
      <c r="DV289" s="195"/>
      <c r="DW289" s="195"/>
      <c r="DX289" s="197">
        <v>218</v>
      </c>
      <c r="DY289" s="195"/>
      <c r="DZ289" s="195"/>
      <c r="EA289" s="195"/>
      <c r="EB289" s="195"/>
      <c r="EC289" s="195"/>
      <c r="ED289" s="195"/>
      <c r="EE289" s="195"/>
      <c r="EF289" s="195"/>
      <c r="EG289" s="195"/>
      <c r="EH289" s="195"/>
      <c r="EI289" s="195"/>
      <c r="EJ289" s="195"/>
      <c r="EK289" s="195"/>
      <c r="EL289" s="195"/>
      <c r="EM289" s="195"/>
      <c r="EN289" s="195"/>
      <c r="EO289" s="195"/>
      <c r="EP289" s="197">
        <v>218</v>
      </c>
      <c r="EQ289" s="195"/>
      <c r="ER289" s="195"/>
      <c r="ES289" s="195"/>
      <c r="ET289" s="195"/>
      <c r="EU289" s="195"/>
      <c r="EV289" s="195"/>
      <c r="EW289" s="195"/>
      <c r="EX289" s="195"/>
      <c r="EY289" s="195"/>
      <c r="EZ289" s="195"/>
      <c r="FA289" s="195"/>
      <c r="FB289" s="195"/>
      <c r="FC289" s="195"/>
      <c r="FD289" s="195"/>
      <c r="FE289" s="195"/>
      <c r="FF289" s="195"/>
      <c r="FG289" s="195"/>
      <c r="FH289" s="197">
        <v>218</v>
      </c>
      <c r="FI289" s="195"/>
      <c r="FJ289" s="195"/>
      <c r="FK289" s="195"/>
      <c r="FL289" s="195"/>
      <c r="FM289" s="195"/>
      <c r="FN289" s="195"/>
      <c r="FO289" s="195"/>
      <c r="FP289" s="195"/>
      <c r="FQ289" s="195"/>
      <c r="FR289" s="195"/>
      <c r="FS289" s="195"/>
      <c r="FT289" s="195"/>
      <c r="FU289" s="195"/>
      <c r="FV289" s="195"/>
      <c r="FW289" s="195"/>
      <c r="FX289" s="195"/>
      <c r="FY289" s="195"/>
    </row>
    <row r="290" spans="2:181" x14ac:dyDescent="0.25">
      <c r="B290" s="12">
        <v>219</v>
      </c>
      <c r="C290" s="195"/>
      <c r="D290" s="195"/>
      <c r="E290" s="195"/>
      <c r="F290" s="195"/>
      <c r="G290" s="195"/>
      <c r="H290" s="195"/>
      <c r="I290" s="195"/>
      <c r="J290" s="195"/>
      <c r="K290" s="195"/>
      <c r="L290" s="195"/>
      <c r="M290" s="195"/>
      <c r="N290" s="195"/>
      <c r="O290" s="195"/>
      <c r="P290" s="195"/>
      <c r="Q290" s="195"/>
      <c r="R290" s="195"/>
      <c r="S290" s="195"/>
      <c r="T290" s="12">
        <v>219</v>
      </c>
      <c r="U290" s="195"/>
      <c r="V290" s="195"/>
      <c r="W290" s="195"/>
      <c r="X290" s="195"/>
      <c r="Y290" s="195"/>
      <c r="Z290" s="195"/>
      <c r="AA290" s="195"/>
      <c r="AB290" s="195"/>
      <c r="AC290" s="195"/>
      <c r="AD290" s="195"/>
      <c r="AE290" s="195"/>
      <c r="AF290" s="195"/>
      <c r="AG290" s="195"/>
      <c r="AH290" s="195"/>
      <c r="AI290" s="195"/>
      <c r="AJ290" s="195"/>
      <c r="AK290" s="195"/>
      <c r="AL290" s="12">
        <v>219</v>
      </c>
      <c r="AM290" s="195"/>
      <c r="AN290" s="195"/>
      <c r="AO290" s="195"/>
      <c r="AP290" s="195"/>
      <c r="AQ290" s="195"/>
      <c r="AR290" s="195"/>
      <c r="AS290" s="195"/>
      <c r="AT290" s="195"/>
      <c r="AU290" s="195"/>
      <c r="AV290" s="195"/>
      <c r="AW290" s="195"/>
      <c r="AX290" s="195"/>
      <c r="AY290" s="195"/>
      <c r="AZ290" s="195"/>
      <c r="BA290" s="195"/>
      <c r="BB290" s="195"/>
      <c r="BC290" s="195"/>
      <c r="BD290" s="12">
        <v>219</v>
      </c>
      <c r="BE290" s="195"/>
      <c r="BF290" s="195"/>
      <c r="BG290" s="195"/>
      <c r="BH290" s="195"/>
      <c r="BI290" s="195"/>
      <c r="BJ290" s="195"/>
      <c r="BK290" s="195"/>
      <c r="BL290" s="195"/>
      <c r="BM290" s="195"/>
      <c r="BN290" s="195"/>
      <c r="BO290" s="195"/>
      <c r="BP290" s="195"/>
      <c r="BQ290" s="195"/>
      <c r="BR290" s="195"/>
      <c r="BS290" s="195"/>
      <c r="BT290" s="195"/>
      <c r="BU290" s="195"/>
      <c r="BV290" s="12">
        <v>219</v>
      </c>
      <c r="BW290" s="195"/>
      <c r="BX290" s="195"/>
      <c r="BY290" s="195"/>
      <c r="BZ290" s="195"/>
      <c r="CA290" s="195"/>
      <c r="CB290" s="195"/>
      <c r="CC290" s="195"/>
      <c r="CD290" s="195"/>
      <c r="CE290" s="195"/>
      <c r="CF290" s="195"/>
      <c r="CG290" s="195"/>
      <c r="CH290" s="195"/>
      <c r="CI290" s="195"/>
      <c r="CJ290" s="195"/>
      <c r="CK290" s="195"/>
      <c r="CL290" s="195"/>
      <c r="CM290" s="195"/>
      <c r="CN290" s="12">
        <v>219</v>
      </c>
      <c r="CO290" s="195"/>
      <c r="CP290" s="195"/>
      <c r="CQ290" s="195"/>
      <c r="CR290" s="195"/>
      <c r="CS290" s="195"/>
      <c r="CT290" s="195"/>
      <c r="CU290" s="195"/>
      <c r="CV290" s="195"/>
      <c r="CW290" s="195"/>
      <c r="CX290" s="195"/>
      <c r="CY290" s="195"/>
      <c r="CZ290" s="195"/>
      <c r="DA290" s="195"/>
      <c r="DB290" s="195"/>
      <c r="DC290" s="195"/>
      <c r="DD290" s="195"/>
      <c r="DE290" s="195"/>
      <c r="DF290" s="12">
        <v>219</v>
      </c>
      <c r="DG290" s="195"/>
      <c r="DH290" s="195"/>
      <c r="DI290" s="195"/>
      <c r="DJ290" s="195"/>
      <c r="DK290" s="195"/>
      <c r="DL290" s="195"/>
      <c r="DM290" s="195"/>
      <c r="DN290" s="195"/>
      <c r="DO290" s="195"/>
      <c r="DP290" s="195"/>
      <c r="DQ290" s="195"/>
      <c r="DR290" s="195"/>
      <c r="DS290" s="195"/>
      <c r="DT290" s="195"/>
      <c r="DU290" s="195"/>
      <c r="DV290" s="195"/>
      <c r="DW290" s="195"/>
      <c r="DX290" s="12">
        <v>219</v>
      </c>
      <c r="DY290" s="195"/>
      <c r="DZ290" s="195"/>
      <c r="EA290" s="195"/>
      <c r="EB290" s="195"/>
      <c r="EC290" s="195"/>
      <c r="ED290" s="195"/>
      <c r="EE290" s="195"/>
      <c r="EF290" s="195"/>
      <c r="EG290" s="195"/>
      <c r="EH290" s="195"/>
      <c r="EI290" s="195"/>
      <c r="EJ290" s="195"/>
      <c r="EK290" s="195"/>
      <c r="EL290" s="195"/>
      <c r="EM290" s="195"/>
      <c r="EN290" s="195"/>
      <c r="EO290" s="195"/>
      <c r="EP290" s="12">
        <v>219</v>
      </c>
      <c r="EQ290" s="195"/>
      <c r="ER290" s="195"/>
      <c r="ES290" s="195"/>
      <c r="ET290" s="195"/>
      <c r="EU290" s="195"/>
      <c r="EV290" s="195"/>
      <c r="EW290" s="195"/>
      <c r="EX290" s="195"/>
      <c r="EY290" s="195"/>
      <c r="EZ290" s="195"/>
      <c r="FA290" s="195"/>
      <c r="FB290" s="195"/>
      <c r="FC290" s="195"/>
      <c r="FD290" s="195"/>
      <c r="FE290" s="195"/>
      <c r="FF290" s="195"/>
      <c r="FG290" s="195"/>
      <c r="FH290" s="12">
        <v>219</v>
      </c>
      <c r="FI290" s="195"/>
      <c r="FJ290" s="195"/>
      <c r="FK290" s="195"/>
      <c r="FL290" s="195"/>
      <c r="FM290" s="195"/>
      <c r="FN290" s="195"/>
      <c r="FO290" s="195"/>
      <c r="FP290" s="195"/>
      <c r="FQ290" s="195"/>
      <c r="FR290" s="195"/>
      <c r="FS290" s="195"/>
      <c r="FT290" s="195"/>
      <c r="FU290" s="195"/>
      <c r="FV290" s="195"/>
      <c r="FW290" s="195"/>
      <c r="FX290" s="195"/>
      <c r="FY290" s="195"/>
    </row>
    <row r="291" spans="2:181" x14ac:dyDescent="0.25">
      <c r="B291" s="197">
        <v>220</v>
      </c>
      <c r="C291" s="195"/>
      <c r="D291" s="195"/>
      <c r="E291" s="195"/>
      <c r="F291" s="195"/>
      <c r="G291" s="195"/>
      <c r="H291" s="195"/>
      <c r="I291" s="195"/>
      <c r="J291" s="195"/>
      <c r="K291" s="195"/>
      <c r="L291" s="195"/>
      <c r="M291" s="195"/>
      <c r="N291" s="195"/>
      <c r="O291" s="195"/>
      <c r="P291" s="195"/>
      <c r="Q291" s="195"/>
      <c r="R291" s="195"/>
      <c r="S291" s="195"/>
      <c r="T291" s="197">
        <v>220</v>
      </c>
      <c r="U291" s="195"/>
      <c r="V291" s="195"/>
      <c r="W291" s="195"/>
      <c r="X291" s="195"/>
      <c r="Y291" s="195"/>
      <c r="Z291" s="195"/>
      <c r="AA291" s="195"/>
      <c r="AB291" s="195"/>
      <c r="AC291" s="195"/>
      <c r="AD291" s="195"/>
      <c r="AE291" s="195"/>
      <c r="AF291" s="195"/>
      <c r="AG291" s="195"/>
      <c r="AH291" s="195"/>
      <c r="AI291" s="195"/>
      <c r="AJ291" s="195"/>
      <c r="AK291" s="195"/>
      <c r="AL291" s="197">
        <v>220</v>
      </c>
      <c r="AM291" s="195"/>
      <c r="AN291" s="195"/>
      <c r="AO291" s="195"/>
      <c r="AP291" s="195"/>
      <c r="AQ291" s="195"/>
      <c r="AR291" s="195"/>
      <c r="AS291" s="195"/>
      <c r="AT291" s="195"/>
      <c r="AU291" s="195"/>
      <c r="AV291" s="195"/>
      <c r="AW291" s="195"/>
      <c r="AX291" s="195"/>
      <c r="AY291" s="195"/>
      <c r="AZ291" s="195"/>
      <c r="BA291" s="195"/>
      <c r="BB291" s="195"/>
      <c r="BC291" s="195"/>
      <c r="BD291" s="197">
        <v>220</v>
      </c>
      <c r="BE291" s="195"/>
      <c r="BF291" s="195"/>
      <c r="BG291" s="195"/>
      <c r="BH291" s="195"/>
      <c r="BI291" s="195"/>
      <c r="BJ291" s="195"/>
      <c r="BK291" s="195"/>
      <c r="BL291" s="195"/>
      <c r="BM291" s="195"/>
      <c r="BN291" s="195"/>
      <c r="BO291" s="195"/>
      <c r="BP291" s="195"/>
      <c r="BQ291" s="195"/>
      <c r="BR291" s="195"/>
      <c r="BS291" s="195"/>
      <c r="BT291" s="195"/>
      <c r="BU291" s="195"/>
      <c r="BV291" s="197">
        <v>220</v>
      </c>
      <c r="BW291" s="195"/>
      <c r="BX291" s="195"/>
      <c r="BY291" s="195"/>
      <c r="BZ291" s="195"/>
      <c r="CA291" s="195"/>
      <c r="CB291" s="195"/>
      <c r="CC291" s="195"/>
      <c r="CD291" s="195"/>
      <c r="CE291" s="195"/>
      <c r="CF291" s="195"/>
      <c r="CG291" s="195"/>
      <c r="CH291" s="195"/>
      <c r="CI291" s="195"/>
      <c r="CJ291" s="195"/>
      <c r="CK291" s="195"/>
      <c r="CL291" s="195"/>
      <c r="CM291" s="195"/>
      <c r="CN291" s="197">
        <v>220</v>
      </c>
      <c r="CO291" s="195"/>
      <c r="CP291" s="195"/>
      <c r="CQ291" s="195"/>
      <c r="CR291" s="195"/>
      <c r="CS291" s="195"/>
      <c r="CT291" s="195"/>
      <c r="CU291" s="195"/>
      <c r="CV291" s="195"/>
      <c r="CW291" s="195"/>
      <c r="CX291" s="195"/>
      <c r="CY291" s="195"/>
      <c r="CZ291" s="195"/>
      <c r="DA291" s="195"/>
      <c r="DB291" s="195"/>
      <c r="DC291" s="195"/>
      <c r="DD291" s="195"/>
      <c r="DE291" s="195"/>
      <c r="DF291" s="197">
        <v>220</v>
      </c>
      <c r="DG291" s="195"/>
      <c r="DH291" s="195"/>
      <c r="DI291" s="195"/>
      <c r="DJ291" s="195"/>
      <c r="DK291" s="195"/>
      <c r="DL291" s="195"/>
      <c r="DM291" s="195"/>
      <c r="DN291" s="195"/>
      <c r="DO291" s="195"/>
      <c r="DP291" s="195"/>
      <c r="DQ291" s="195"/>
      <c r="DR291" s="195"/>
      <c r="DS291" s="195"/>
      <c r="DT291" s="195"/>
      <c r="DU291" s="195"/>
      <c r="DV291" s="195"/>
      <c r="DW291" s="195"/>
      <c r="DX291" s="197">
        <v>220</v>
      </c>
      <c r="DY291" s="195"/>
      <c r="DZ291" s="195"/>
      <c r="EA291" s="195"/>
      <c r="EB291" s="195"/>
      <c r="EC291" s="195"/>
      <c r="ED291" s="195"/>
      <c r="EE291" s="195"/>
      <c r="EF291" s="195"/>
      <c r="EG291" s="195"/>
      <c r="EH291" s="195"/>
      <c r="EI291" s="195"/>
      <c r="EJ291" s="195"/>
      <c r="EK291" s="195"/>
      <c r="EL291" s="195"/>
      <c r="EM291" s="195"/>
      <c r="EN291" s="195"/>
      <c r="EO291" s="195"/>
      <c r="EP291" s="197">
        <v>220</v>
      </c>
      <c r="EQ291" s="195"/>
      <c r="ER291" s="195"/>
      <c r="ES291" s="195"/>
      <c r="ET291" s="195"/>
      <c r="EU291" s="195"/>
      <c r="EV291" s="195"/>
      <c r="EW291" s="195"/>
      <c r="EX291" s="195"/>
      <c r="EY291" s="195"/>
      <c r="EZ291" s="195"/>
      <c r="FA291" s="195"/>
      <c r="FB291" s="195"/>
      <c r="FC291" s="195"/>
      <c r="FD291" s="195"/>
      <c r="FE291" s="195"/>
      <c r="FF291" s="195"/>
      <c r="FG291" s="195"/>
      <c r="FH291" s="197">
        <v>220</v>
      </c>
      <c r="FI291" s="195"/>
      <c r="FJ291" s="195"/>
      <c r="FK291" s="195"/>
      <c r="FL291" s="195"/>
      <c r="FM291" s="195"/>
      <c r="FN291" s="195"/>
      <c r="FO291" s="195"/>
      <c r="FP291" s="195"/>
      <c r="FQ291" s="195"/>
      <c r="FR291" s="195"/>
      <c r="FS291" s="195"/>
      <c r="FT291" s="195"/>
      <c r="FU291" s="195"/>
      <c r="FV291" s="195"/>
      <c r="FW291" s="195"/>
      <c r="FX291" s="195"/>
      <c r="FY291" s="195"/>
    </row>
    <row r="292" spans="2:181" x14ac:dyDescent="0.25">
      <c r="B292" s="12">
        <v>221</v>
      </c>
      <c r="C292" s="195"/>
      <c r="D292" s="195"/>
      <c r="E292" s="195"/>
      <c r="F292" s="195"/>
      <c r="G292" s="195"/>
      <c r="H292" s="195"/>
      <c r="I292" s="195"/>
      <c r="J292" s="195"/>
      <c r="K292" s="195"/>
      <c r="L292" s="195"/>
      <c r="M292" s="195"/>
      <c r="N292" s="195"/>
      <c r="O292" s="195"/>
      <c r="P292" s="195"/>
      <c r="Q292" s="195"/>
      <c r="R292" s="195"/>
      <c r="S292" s="195"/>
      <c r="T292" s="12">
        <v>221</v>
      </c>
      <c r="U292" s="195"/>
      <c r="V292" s="195"/>
      <c r="W292" s="195"/>
      <c r="X292" s="195"/>
      <c r="Y292" s="195"/>
      <c r="Z292" s="195"/>
      <c r="AA292" s="195"/>
      <c r="AB292" s="195"/>
      <c r="AC292" s="195"/>
      <c r="AD292" s="195"/>
      <c r="AE292" s="195"/>
      <c r="AF292" s="195"/>
      <c r="AG292" s="195"/>
      <c r="AH292" s="195"/>
      <c r="AI292" s="195"/>
      <c r="AJ292" s="195"/>
      <c r="AK292" s="195"/>
      <c r="AL292" s="12">
        <v>221</v>
      </c>
      <c r="AM292" s="195"/>
      <c r="AN292" s="195"/>
      <c r="AO292" s="195"/>
      <c r="AP292" s="195"/>
      <c r="AQ292" s="195"/>
      <c r="AR292" s="195"/>
      <c r="AS292" s="195"/>
      <c r="AT292" s="195"/>
      <c r="AU292" s="195"/>
      <c r="AV292" s="195"/>
      <c r="AW292" s="195"/>
      <c r="AX292" s="195"/>
      <c r="AY292" s="195"/>
      <c r="AZ292" s="195"/>
      <c r="BA292" s="195"/>
      <c r="BB292" s="195"/>
      <c r="BC292" s="195"/>
      <c r="BD292" s="12">
        <v>221</v>
      </c>
      <c r="BE292" s="195"/>
      <c r="BF292" s="195"/>
      <c r="BG292" s="195"/>
      <c r="BH292" s="195"/>
      <c r="BI292" s="195"/>
      <c r="BJ292" s="195"/>
      <c r="BK292" s="195"/>
      <c r="BL292" s="195"/>
      <c r="BM292" s="195"/>
      <c r="BN292" s="195"/>
      <c r="BO292" s="195"/>
      <c r="BP292" s="195"/>
      <c r="BQ292" s="195"/>
      <c r="BR292" s="195"/>
      <c r="BS292" s="195"/>
      <c r="BT292" s="195"/>
      <c r="BU292" s="195"/>
      <c r="BV292" s="12">
        <v>221</v>
      </c>
      <c r="BW292" s="195"/>
      <c r="BX292" s="195"/>
      <c r="BY292" s="195"/>
      <c r="BZ292" s="195"/>
      <c r="CA292" s="195"/>
      <c r="CB292" s="195"/>
      <c r="CC292" s="195"/>
      <c r="CD292" s="195"/>
      <c r="CE292" s="195"/>
      <c r="CF292" s="195"/>
      <c r="CG292" s="195"/>
      <c r="CH292" s="195"/>
      <c r="CI292" s="195"/>
      <c r="CJ292" s="195"/>
      <c r="CK292" s="195"/>
      <c r="CL292" s="195"/>
      <c r="CM292" s="195"/>
      <c r="CN292" s="12">
        <v>221</v>
      </c>
      <c r="CO292" s="195"/>
      <c r="CP292" s="195"/>
      <c r="CQ292" s="195"/>
      <c r="CR292" s="195"/>
      <c r="CS292" s="195"/>
      <c r="CT292" s="195"/>
      <c r="CU292" s="195"/>
      <c r="CV292" s="195"/>
      <c r="CW292" s="195"/>
      <c r="CX292" s="195"/>
      <c r="CY292" s="195"/>
      <c r="CZ292" s="195"/>
      <c r="DA292" s="195"/>
      <c r="DB292" s="195"/>
      <c r="DC292" s="195"/>
      <c r="DD292" s="195"/>
      <c r="DE292" s="195"/>
      <c r="DF292" s="12">
        <v>221</v>
      </c>
      <c r="DG292" s="195"/>
      <c r="DH292" s="195"/>
      <c r="DI292" s="195"/>
      <c r="DJ292" s="195"/>
      <c r="DK292" s="195"/>
      <c r="DL292" s="195"/>
      <c r="DM292" s="195"/>
      <c r="DN292" s="195"/>
      <c r="DO292" s="195"/>
      <c r="DP292" s="195"/>
      <c r="DQ292" s="195"/>
      <c r="DR292" s="195"/>
      <c r="DS292" s="195"/>
      <c r="DT292" s="195"/>
      <c r="DU292" s="195"/>
      <c r="DV292" s="195"/>
      <c r="DW292" s="195"/>
      <c r="DX292" s="12">
        <v>221</v>
      </c>
      <c r="DY292" s="195"/>
      <c r="DZ292" s="195"/>
      <c r="EA292" s="195"/>
      <c r="EB292" s="195"/>
      <c r="EC292" s="195"/>
      <c r="ED292" s="195"/>
      <c r="EE292" s="195"/>
      <c r="EF292" s="195"/>
      <c r="EG292" s="195"/>
      <c r="EH292" s="195"/>
      <c r="EI292" s="195"/>
      <c r="EJ292" s="195"/>
      <c r="EK292" s="195"/>
      <c r="EL292" s="195"/>
      <c r="EM292" s="195"/>
      <c r="EN292" s="195"/>
      <c r="EO292" s="195"/>
      <c r="EP292" s="12">
        <v>221</v>
      </c>
      <c r="EQ292" s="195"/>
      <c r="ER292" s="195"/>
      <c r="ES292" s="195"/>
      <c r="ET292" s="195"/>
      <c r="EU292" s="195"/>
      <c r="EV292" s="195"/>
      <c r="EW292" s="195"/>
      <c r="EX292" s="195"/>
      <c r="EY292" s="195"/>
      <c r="EZ292" s="195"/>
      <c r="FA292" s="195"/>
      <c r="FB292" s="195"/>
      <c r="FC292" s="195"/>
      <c r="FD292" s="195"/>
      <c r="FE292" s="195"/>
      <c r="FF292" s="195"/>
      <c r="FG292" s="195"/>
      <c r="FH292" s="12">
        <v>221</v>
      </c>
      <c r="FI292" s="195"/>
      <c r="FJ292" s="195"/>
      <c r="FK292" s="195"/>
      <c r="FL292" s="195"/>
      <c r="FM292" s="195"/>
      <c r="FN292" s="195"/>
      <c r="FO292" s="195"/>
      <c r="FP292" s="195"/>
      <c r="FQ292" s="195"/>
      <c r="FR292" s="195"/>
      <c r="FS292" s="195"/>
      <c r="FT292" s="195"/>
      <c r="FU292" s="195"/>
      <c r="FV292" s="195"/>
      <c r="FW292" s="195"/>
      <c r="FX292" s="195"/>
      <c r="FY292" s="195"/>
    </row>
    <row r="293" spans="2:181" x14ac:dyDescent="0.25">
      <c r="B293" s="197">
        <v>222</v>
      </c>
      <c r="C293" s="195"/>
      <c r="D293" s="195"/>
      <c r="E293" s="195"/>
      <c r="F293" s="195"/>
      <c r="G293" s="195"/>
      <c r="H293" s="195"/>
      <c r="I293" s="195"/>
      <c r="J293" s="195"/>
      <c r="K293" s="195"/>
      <c r="L293" s="195"/>
      <c r="M293" s="195"/>
      <c r="N293" s="195"/>
      <c r="O293" s="195"/>
      <c r="P293" s="195"/>
      <c r="Q293" s="195"/>
      <c r="R293" s="195"/>
      <c r="S293" s="195"/>
      <c r="T293" s="197">
        <v>222</v>
      </c>
      <c r="U293" s="195"/>
      <c r="V293" s="195"/>
      <c r="W293" s="195"/>
      <c r="X293" s="195"/>
      <c r="Y293" s="195"/>
      <c r="Z293" s="195"/>
      <c r="AA293" s="195"/>
      <c r="AB293" s="195"/>
      <c r="AC293" s="195"/>
      <c r="AD293" s="195"/>
      <c r="AE293" s="195"/>
      <c r="AF293" s="195"/>
      <c r="AG293" s="195"/>
      <c r="AH293" s="195"/>
      <c r="AI293" s="195"/>
      <c r="AJ293" s="195"/>
      <c r="AK293" s="195"/>
      <c r="AL293" s="197">
        <v>222</v>
      </c>
      <c r="AM293" s="195"/>
      <c r="AN293" s="195"/>
      <c r="AO293" s="195"/>
      <c r="AP293" s="195"/>
      <c r="AQ293" s="195"/>
      <c r="AR293" s="195"/>
      <c r="AS293" s="195"/>
      <c r="AT293" s="195"/>
      <c r="AU293" s="195"/>
      <c r="AV293" s="195"/>
      <c r="AW293" s="195"/>
      <c r="AX293" s="195"/>
      <c r="AY293" s="195"/>
      <c r="AZ293" s="195"/>
      <c r="BA293" s="195"/>
      <c r="BB293" s="195"/>
      <c r="BC293" s="195"/>
      <c r="BD293" s="197">
        <v>222</v>
      </c>
      <c r="BE293" s="195"/>
      <c r="BF293" s="195"/>
      <c r="BG293" s="195"/>
      <c r="BH293" s="195"/>
      <c r="BI293" s="195"/>
      <c r="BJ293" s="195"/>
      <c r="BK293" s="195"/>
      <c r="BL293" s="195"/>
      <c r="BM293" s="195"/>
      <c r="BN293" s="195"/>
      <c r="BO293" s="195"/>
      <c r="BP293" s="195"/>
      <c r="BQ293" s="195"/>
      <c r="BR293" s="195"/>
      <c r="BS293" s="195"/>
      <c r="BT293" s="195"/>
      <c r="BU293" s="195"/>
      <c r="BV293" s="197">
        <v>222</v>
      </c>
      <c r="BW293" s="195"/>
      <c r="BX293" s="195"/>
      <c r="BY293" s="195"/>
      <c r="BZ293" s="195"/>
      <c r="CA293" s="195"/>
      <c r="CB293" s="195"/>
      <c r="CC293" s="195"/>
      <c r="CD293" s="195"/>
      <c r="CE293" s="195"/>
      <c r="CF293" s="195"/>
      <c r="CG293" s="195"/>
      <c r="CH293" s="195"/>
      <c r="CI293" s="195"/>
      <c r="CJ293" s="195"/>
      <c r="CK293" s="195"/>
      <c r="CL293" s="195"/>
      <c r="CM293" s="195"/>
      <c r="CN293" s="197">
        <v>222</v>
      </c>
      <c r="CO293" s="195"/>
      <c r="CP293" s="195"/>
      <c r="CQ293" s="195"/>
      <c r="CR293" s="195"/>
      <c r="CS293" s="195"/>
      <c r="CT293" s="195"/>
      <c r="CU293" s="195"/>
      <c r="CV293" s="195"/>
      <c r="CW293" s="195"/>
      <c r="CX293" s="195"/>
      <c r="CY293" s="195"/>
      <c r="CZ293" s="195"/>
      <c r="DA293" s="195"/>
      <c r="DB293" s="195"/>
      <c r="DC293" s="195"/>
      <c r="DD293" s="195"/>
      <c r="DE293" s="195"/>
      <c r="DF293" s="197">
        <v>222</v>
      </c>
      <c r="DG293" s="195"/>
      <c r="DH293" s="195"/>
      <c r="DI293" s="195"/>
      <c r="DJ293" s="195"/>
      <c r="DK293" s="195"/>
      <c r="DL293" s="195"/>
      <c r="DM293" s="195"/>
      <c r="DN293" s="195"/>
      <c r="DO293" s="195"/>
      <c r="DP293" s="195"/>
      <c r="DQ293" s="195"/>
      <c r="DR293" s="195"/>
      <c r="DS293" s="195"/>
      <c r="DT293" s="195"/>
      <c r="DU293" s="195"/>
      <c r="DV293" s="195"/>
      <c r="DW293" s="195"/>
      <c r="DX293" s="197">
        <v>222</v>
      </c>
      <c r="DY293" s="195"/>
      <c r="DZ293" s="195"/>
      <c r="EA293" s="195"/>
      <c r="EB293" s="195"/>
      <c r="EC293" s="195"/>
      <c r="ED293" s="195"/>
      <c r="EE293" s="195"/>
      <c r="EF293" s="195"/>
      <c r="EG293" s="195"/>
      <c r="EH293" s="195"/>
      <c r="EI293" s="195"/>
      <c r="EJ293" s="195"/>
      <c r="EK293" s="195"/>
      <c r="EL293" s="195"/>
      <c r="EM293" s="195"/>
      <c r="EN293" s="195"/>
      <c r="EO293" s="195"/>
      <c r="EP293" s="197">
        <v>222</v>
      </c>
      <c r="EQ293" s="195"/>
      <c r="ER293" s="195"/>
      <c r="ES293" s="195"/>
      <c r="ET293" s="195"/>
      <c r="EU293" s="195"/>
      <c r="EV293" s="195"/>
      <c r="EW293" s="195"/>
      <c r="EX293" s="195"/>
      <c r="EY293" s="195"/>
      <c r="EZ293" s="195"/>
      <c r="FA293" s="195"/>
      <c r="FB293" s="195"/>
      <c r="FC293" s="195"/>
      <c r="FD293" s="195"/>
      <c r="FE293" s="195"/>
      <c r="FF293" s="195"/>
      <c r="FG293" s="195"/>
      <c r="FH293" s="197">
        <v>222</v>
      </c>
      <c r="FI293" s="195"/>
      <c r="FJ293" s="195"/>
      <c r="FK293" s="195"/>
      <c r="FL293" s="195"/>
      <c r="FM293" s="195"/>
      <c r="FN293" s="195"/>
      <c r="FO293" s="195"/>
      <c r="FP293" s="195"/>
      <c r="FQ293" s="195"/>
      <c r="FR293" s="195"/>
      <c r="FS293" s="195"/>
      <c r="FT293" s="195"/>
      <c r="FU293" s="195"/>
      <c r="FV293" s="195"/>
      <c r="FW293" s="195"/>
      <c r="FX293" s="195"/>
      <c r="FY293" s="195"/>
    </row>
    <row r="294" spans="2:181" x14ac:dyDescent="0.25">
      <c r="B294" s="12">
        <v>223</v>
      </c>
      <c r="C294" s="195"/>
      <c r="D294" s="195"/>
      <c r="E294" s="195"/>
      <c r="F294" s="195"/>
      <c r="G294" s="195"/>
      <c r="H294" s="195"/>
      <c r="I294" s="195"/>
      <c r="J294" s="195"/>
      <c r="K294" s="195"/>
      <c r="L294" s="195"/>
      <c r="M294" s="195"/>
      <c r="N294" s="195"/>
      <c r="O294" s="195"/>
      <c r="P294" s="195"/>
      <c r="Q294" s="195"/>
      <c r="R294" s="195"/>
      <c r="S294" s="195"/>
      <c r="T294" s="12">
        <v>223</v>
      </c>
      <c r="U294" s="195"/>
      <c r="V294" s="195"/>
      <c r="W294" s="195"/>
      <c r="X294" s="195"/>
      <c r="Y294" s="195"/>
      <c r="Z294" s="195"/>
      <c r="AA294" s="195"/>
      <c r="AB294" s="195"/>
      <c r="AC294" s="195"/>
      <c r="AD294" s="195"/>
      <c r="AE294" s="195"/>
      <c r="AF294" s="195"/>
      <c r="AG294" s="195"/>
      <c r="AH294" s="195"/>
      <c r="AI294" s="195"/>
      <c r="AJ294" s="195"/>
      <c r="AK294" s="195"/>
      <c r="AL294" s="12">
        <v>223</v>
      </c>
      <c r="AM294" s="195"/>
      <c r="AN294" s="195"/>
      <c r="AO294" s="195"/>
      <c r="AP294" s="195"/>
      <c r="AQ294" s="195"/>
      <c r="AR294" s="195"/>
      <c r="AS294" s="195"/>
      <c r="AT294" s="195"/>
      <c r="AU294" s="195"/>
      <c r="AV294" s="195"/>
      <c r="AW294" s="195"/>
      <c r="AX294" s="195"/>
      <c r="AY294" s="195"/>
      <c r="AZ294" s="195"/>
      <c r="BA294" s="195"/>
      <c r="BB294" s="195"/>
      <c r="BC294" s="195"/>
      <c r="BD294" s="12">
        <v>223</v>
      </c>
      <c r="BE294" s="195"/>
      <c r="BF294" s="195"/>
      <c r="BG294" s="195"/>
      <c r="BH294" s="195"/>
      <c r="BI294" s="195"/>
      <c r="BJ294" s="195"/>
      <c r="BK294" s="195"/>
      <c r="BL294" s="195"/>
      <c r="BM294" s="195"/>
      <c r="BN294" s="195"/>
      <c r="BO294" s="195"/>
      <c r="BP294" s="195"/>
      <c r="BQ294" s="195"/>
      <c r="BR294" s="195"/>
      <c r="BS294" s="195"/>
      <c r="BT294" s="195"/>
      <c r="BU294" s="195"/>
      <c r="BV294" s="12">
        <v>223</v>
      </c>
      <c r="BW294" s="195"/>
      <c r="BX294" s="195"/>
      <c r="BY294" s="195"/>
      <c r="BZ294" s="195"/>
      <c r="CA294" s="195"/>
      <c r="CB294" s="195"/>
      <c r="CC294" s="195"/>
      <c r="CD294" s="195"/>
      <c r="CE294" s="195"/>
      <c r="CF294" s="195"/>
      <c r="CG294" s="195"/>
      <c r="CH294" s="195"/>
      <c r="CI294" s="195"/>
      <c r="CJ294" s="195"/>
      <c r="CK294" s="195"/>
      <c r="CL294" s="195"/>
      <c r="CM294" s="195"/>
      <c r="CN294" s="12">
        <v>223</v>
      </c>
      <c r="CO294" s="195"/>
      <c r="CP294" s="195"/>
      <c r="CQ294" s="195"/>
      <c r="CR294" s="195"/>
      <c r="CS294" s="195"/>
      <c r="CT294" s="195"/>
      <c r="CU294" s="195"/>
      <c r="CV294" s="195"/>
      <c r="CW294" s="195"/>
      <c r="CX294" s="195"/>
      <c r="CY294" s="195"/>
      <c r="CZ294" s="195"/>
      <c r="DA294" s="195"/>
      <c r="DB294" s="195"/>
      <c r="DC294" s="195"/>
      <c r="DD294" s="195"/>
      <c r="DE294" s="195"/>
      <c r="DF294" s="12">
        <v>223</v>
      </c>
      <c r="DG294" s="195"/>
      <c r="DH294" s="195"/>
      <c r="DI294" s="195"/>
      <c r="DJ294" s="195"/>
      <c r="DK294" s="195"/>
      <c r="DL294" s="195"/>
      <c r="DM294" s="195"/>
      <c r="DN294" s="195"/>
      <c r="DO294" s="195"/>
      <c r="DP294" s="195"/>
      <c r="DQ294" s="195"/>
      <c r="DR294" s="195"/>
      <c r="DS294" s="195"/>
      <c r="DT294" s="195"/>
      <c r="DU294" s="195"/>
      <c r="DV294" s="195"/>
      <c r="DW294" s="195"/>
      <c r="DX294" s="12">
        <v>223</v>
      </c>
      <c r="DY294" s="195"/>
      <c r="DZ294" s="195"/>
      <c r="EA294" s="195"/>
      <c r="EB294" s="195"/>
      <c r="EC294" s="195"/>
      <c r="ED294" s="195"/>
      <c r="EE294" s="195"/>
      <c r="EF294" s="195"/>
      <c r="EG294" s="195"/>
      <c r="EH294" s="195"/>
      <c r="EI294" s="195"/>
      <c r="EJ294" s="195"/>
      <c r="EK294" s="195"/>
      <c r="EL294" s="195"/>
      <c r="EM294" s="195"/>
      <c r="EN294" s="195"/>
      <c r="EO294" s="195"/>
      <c r="EP294" s="12">
        <v>223</v>
      </c>
      <c r="EQ294" s="195"/>
      <c r="ER294" s="195"/>
      <c r="ES294" s="195"/>
      <c r="ET294" s="195"/>
      <c r="EU294" s="195"/>
      <c r="EV294" s="195"/>
      <c r="EW294" s="195"/>
      <c r="EX294" s="195"/>
      <c r="EY294" s="195"/>
      <c r="EZ294" s="195"/>
      <c r="FA294" s="195"/>
      <c r="FB294" s="195"/>
      <c r="FC294" s="195"/>
      <c r="FD294" s="195"/>
      <c r="FE294" s="195"/>
      <c r="FF294" s="195"/>
      <c r="FG294" s="195"/>
      <c r="FH294" s="12">
        <v>223</v>
      </c>
      <c r="FI294" s="195"/>
      <c r="FJ294" s="195"/>
      <c r="FK294" s="195"/>
      <c r="FL294" s="195"/>
      <c r="FM294" s="195"/>
      <c r="FN294" s="195"/>
      <c r="FO294" s="195"/>
      <c r="FP294" s="195"/>
      <c r="FQ294" s="195"/>
      <c r="FR294" s="195"/>
      <c r="FS294" s="195"/>
      <c r="FT294" s="195"/>
      <c r="FU294" s="195"/>
      <c r="FV294" s="195"/>
      <c r="FW294" s="195"/>
      <c r="FX294" s="195"/>
      <c r="FY294" s="195"/>
    </row>
    <row r="295" spans="2:181" x14ac:dyDescent="0.25">
      <c r="B295" s="197">
        <v>224</v>
      </c>
      <c r="C295" s="195"/>
      <c r="D295" s="195"/>
      <c r="E295" s="195"/>
      <c r="F295" s="195"/>
      <c r="G295" s="195"/>
      <c r="H295" s="195"/>
      <c r="I295" s="195"/>
      <c r="J295" s="195"/>
      <c r="K295" s="195"/>
      <c r="L295" s="195"/>
      <c r="M295" s="195"/>
      <c r="N295" s="195"/>
      <c r="O295" s="195"/>
      <c r="P295" s="195"/>
      <c r="Q295" s="195"/>
      <c r="R295" s="195"/>
      <c r="S295" s="195"/>
      <c r="T295" s="197">
        <v>224</v>
      </c>
      <c r="U295" s="195"/>
      <c r="V295" s="195"/>
      <c r="W295" s="195"/>
      <c r="X295" s="195"/>
      <c r="Y295" s="195"/>
      <c r="Z295" s="195"/>
      <c r="AA295" s="195"/>
      <c r="AB295" s="195"/>
      <c r="AC295" s="195"/>
      <c r="AD295" s="195"/>
      <c r="AE295" s="195"/>
      <c r="AF295" s="195"/>
      <c r="AG295" s="195"/>
      <c r="AH295" s="195"/>
      <c r="AI295" s="195"/>
      <c r="AJ295" s="195"/>
      <c r="AK295" s="195"/>
      <c r="AL295" s="197">
        <v>224</v>
      </c>
      <c r="AM295" s="195"/>
      <c r="AN295" s="195"/>
      <c r="AO295" s="195"/>
      <c r="AP295" s="195"/>
      <c r="AQ295" s="195"/>
      <c r="AR295" s="195"/>
      <c r="AS295" s="195"/>
      <c r="AT295" s="195"/>
      <c r="AU295" s="195"/>
      <c r="AV295" s="195"/>
      <c r="AW295" s="195"/>
      <c r="AX295" s="195"/>
      <c r="AY295" s="195"/>
      <c r="AZ295" s="195"/>
      <c r="BA295" s="195"/>
      <c r="BB295" s="195"/>
      <c r="BC295" s="195"/>
      <c r="BD295" s="197">
        <v>224</v>
      </c>
      <c r="BE295" s="195"/>
      <c r="BF295" s="195"/>
      <c r="BG295" s="195"/>
      <c r="BH295" s="195"/>
      <c r="BI295" s="195"/>
      <c r="BJ295" s="195"/>
      <c r="BK295" s="195"/>
      <c r="BL295" s="195"/>
      <c r="BM295" s="195"/>
      <c r="BN295" s="195"/>
      <c r="BO295" s="195"/>
      <c r="BP295" s="195"/>
      <c r="BQ295" s="195"/>
      <c r="BR295" s="195"/>
      <c r="BS295" s="195"/>
      <c r="BT295" s="195"/>
      <c r="BU295" s="195"/>
      <c r="BV295" s="197">
        <v>224</v>
      </c>
      <c r="BW295" s="195"/>
      <c r="BX295" s="195"/>
      <c r="BY295" s="195"/>
      <c r="BZ295" s="195"/>
      <c r="CA295" s="195"/>
      <c r="CB295" s="195"/>
      <c r="CC295" s="195"/>
      <c r="CD295" s="195"/>
      <c r="CE295" s="195"/>
      <c r="CF295" s="195"/>
      <c r="CG295" s="195"/>
      <c r="CH295" s="195"/>
      <c r="CI295" s="195"/>
      <c r="CJ295" s="195"/>
      <c r="CK295" s="195"/>
      <c r="CL295" s="195"/>
      <c r="CM295" s="195"/>
      <c r="CN295" s="197">
        <v>224</v>
      </c>
      <c r="CO295" s="195"/>
      <c r="CP295" s="195"/>
      <c r="CQ295" s="195"/>
      <c r="CR295" s="195"/>
      <c r="CS295" s="195"/>
      <c r="CT295" s="195"/>
      <c r="CU295" s="195"/>
      <c r="CV295" s="195"/>
      <c r="CW295" s="195"/>
      <c r="CX295" s="195"/>
      <c r="CY295" s="195"/>
      <c r="CZ295" s="195"/>
      <c r="DA295" s="195"/>
      <c r="DB295" s="195"/>
      <c r="DC295" s="195"/>
      <c r="DD295" s="195"/>
      <c r="DE295" s="195"/>
      <c r="DF295" s="197">
        <v>224</v>
      </c>
      <c r="DG295" s="195"/>
      <c r="DH295" s="195"/>
      <c r="DI295" s="195"/>
      <c r="DJ295" s="195"/>
      <c r="DK295" s="195"/>
      <c r="DL295" s="195"/>
      <c r="DM295" s="195"/>
      <c r="DN295" s="195"/>
      <c r="DO295" s="195"/>
      <c r="DP295" s="195"/>
      <c r="DQ295" s="195"/>
      <c r="DR295" s="195"/>
      <c r="DS295" s="195"/>
      <c r="DT295" s="195"/>
      <c r="DU295" s="195"/>
      <c r="DV295" s="195"/>
      <c r="DW295" s="195"/>
      <c r="DX295" s="197">
        <v>224</v>
      </c>
      <c r="DY295" s="195"/>
      <c r="DZ295" s="195"/>
      <c r="EA295" s="195"/>
      <c r="EB295" s="195"/>
      <c r="EC295" s="195"/>
      <c r="ED295" s="195"/>
      <c r="EE295" s="195"/>
      <c r="EF295" s="195"/>
      <c r="EG295" s="195"/>
      <c r="EH295" s="195"/>
      <c r="EI295" s="195"/>
      <c r="EJ295" s="195"/>
      <c r="EK295" s="195"/>
      <c r="EL295" s="195"/>
      <c r="EM295" s="195"/>
      <c r="EN295" s="195"/>
      <c r="EO295" s="195"/>
      <c r="EP295" s="197">
        <v>224</v>
      </c>
      <c r="EQ295" s="195"/>
      <c r="ER295" s="195"/>
      <c r="ES295" s="195"/>
      <c r="ET295" s="195"/>
      <c r="EU295" s="195"/>
      <c r="EV295" s="195"/>
      <c r="EW295" s="195"/>
      <c r="EX295" s="195"/>
      <c r="EY295" s="195"/>
      <c r="EZ295" s="195"/>
      <c r="FA295" s="195"/>
      <c r="FB295" s="195"/>
      <c r="FC295" s="195"/>
      <c r="FD295" s="195"/>
      <c r="FE295" s="195"/>
      <c r="FF295" s="195"/>
      <c r="FG295" s="195"/>
      <c r="FH295" s="197">
        <v>224</v>
      </c>
      <c r="FI295" s="195"/>
      <c r="FJ295" s="195"/>
      <c r="FK295" s="195"/>
      <c r="FL295" s="195"/>
      <c r="FM295" s="195"/>
      <c r="FN295" s="195"/>
      <c r="FO295" s="195"/>
      <c r="FP295" s="195"/>
      <c r="FQ295" s="195"/>
      <c r="FR295" s="195"/>
      <c r="FS295" s="195"/>
      <c r="FT295" s="195"/>
      <c r="FU295" s="195"/>
      <c r="FV295" s="195"/>
      <c r="FW295" s="195"/>
      <c r="FX295" s="195"/>
      <c r="FY295" s="195"/>
    </row>
    <row r="296" spans="2:181" x14ac:dyDescent="0.25">
      <c r="B296" s="12">
        <v>225</v>
      </c>
      <c r="C296" s="195"/>
      <c r="D296" s="195"/>
      <c r="E296" s="195"/>
      <c r="F296" s="195"/>
      <c r="G296" s="195"/>
      <c r="H296" s="195"/>
      <c r="I296" s="195"/>
      <c r="J296" s="195"/>
      <c r="K296" s="195"/>
      <c r="L296" s="195"/>
      <c r="M296" s="195"/>
      <c r="N296" s="195"/>
      <c r="O296" s="195"/>
      <c r="P296" s="195"/>
      <c r="Q296" s="195"/>
      <c r="R296" s="195"/>
      <c r="S296" s="195"/>
      <c r="T296" s="12">
        <v>225</v>
      </c>
      <c r="U296" s="195"/>
      <c r="V296" s="195"/>
      <c r="W296" s="195"/>
      <c r="X296" s="195"/>
      <c r="Y296" s="195"/>
      <c r="Z296" s="195"/>
      <c r="AA296" s="195"/>
      <c r="AB296" s="195"/>
      <c r="AC296" s="195"/>
      <c r="AD296" s="195"/>
      <c r="AE296" s="195"/>
      <c r="AF296" s="195"/>
      <c r="AG296" s="195"/>
      <c r="AH296" s="195"/>
      <c r="AI296" s="195"/>
      <c r="AJ296" s="195"/>
      <c r="AK296" s="195"/>
      <c r="AL296" s="12">
        <v>225</v>
      </c>
      <c r="AM296" s="195"/>
      <c r="AN296" s="195"/>
      <c r="AO296" s="195"/>
      <c r="AP296" s="195"/>
      <c r="AQ296" s="195"/>
      <c r="AR296" s="195"/>
      <c r="AS296" s="195"/>
      <c r="AT296" s="195"/>
      <c r="AU296" s="195"/>
      <c r="AV296" s="195"/>
      <c r="AW296" s="195"/>
      <c r="AX296" s="195"/>
      <c r="AY296" s="195"/>
      <c r="AZ296" s="195"/>
      <c r="BA296" s="195"/>
      <c r="BB296" s="195"/>
      <c r="BC296" s="195"/>
      <c r="BD296" s="12">
        <v>225</v>
      </c>
      <c r="BE296" s="195"/>
      <c r="BF296" s="195"/>
      <c r="BG296" s="195"/>
      <c r="BH296" s="195"/>
      <c r="BI296" s="195"/>
      <c r="BJ296" s="195"/>
      <c r="BK296" s="195"/>
      <c r="BL296" s="195"/>
      <c r="BM296" s="195"/>
      <c r="BN296" s="195"/>
      <c r="BO296" s="195"/>
      <c r="BP296" s="195"/>
      <c r="BQ296" s="195"/>
      <c r="BR296" s="195"/>
      <c r="BS296" s="195"/>
      <c r="BT296" s="195"/>
      <c r="BU296" s="195"/>
      <c r="BV296" s="12">
        <v>225</v>
      </c>
      <c r="BW296" s="195"/>
      <c r="BX296" s="195"/>
      <c r="BY296" s="195"/>
      <c r="BZ296" s="195"/>
      <c r="CA296" s="195"/>
      <c r="CB296" s="195"/>
      <c r="CC296" s="195"/>
      <c r="CD296" s="195"/>
      <c r="CE296" s="195"/>
      <c r="CF296" s="195"/>
      <c r="CG296" s="195"/>
      <c r="CH296" s="195"/>
      <c r="CI296" s="195"/>
      <c r="CJ296" s="195"/>
      <c r="CK296" s="195"/>
      <c r="CL296" s="195"/>
      <c r="CM296" s="195"/>
      <c r="CN296" s="12">
        <v>225</v>
      </c>
      <c r="CO296" s="195"/>
      <c r="CP296" s="195"/>
      <c r="CQ296" s="195"/>
      <c r="CR296" s="195"/>
      <c r="CS296" s="195"/>
      <c r="CT296" s="195"/>
      <c r="CU296" s="195"/>
      <c r="CV296" s="195"/>
      <c r="CW296" s="195"/>
      <c r="CX296" s="195"/>
      <c r="CY296" s="195"/>
      <c r="CZ296" s="195"/>
      <c r="DA296" s="195"/>
      <c r="DB296" s="195"/>
      <c r="DC296" s="195"/>
      <c r="DD296" s="195"/>
      <c r="DE296" s="195"/>
      <c r="DF296" s="12">
        <v>225</v>
      </c>
      <c r="DG296" s="195"/>
      <c r="DH296" s="195"/>
      <c r="DI296" s="195"/>
      <c r="DJ296" s="195"/>
      <c r="DK296" s="195"/>
      <c r="DL296" s="195"/>
      <c r="DM296" s="195"/>
      <c r="DN296" s="195"/>
      <c r="DO296" s="195"/>
      <c r="DP296" s="195"/>
      <c r="DQ296" s="195"/>
      <c r="DR296" s="195"/>
      <c r="DS296" s="195"/>
      <c r="DT296" s="195"/>
      <c r="DU296" s="195"/>
      <c r="DV296" s="195"/>
      <c r="DW296" s="195"/>
      <c r="DX296" s="12">
        <v>225</v>
      </c>
      <c r="DY296" s="195"/>
      <c r="DZ296" s="195"/>
      <c r="EA296" s="195"/>
      <c r="EB296" s="195"/>
      <c r="EC296" s="195"/>
      <c r="ED296" s="195"/>
      <c r="EE296" s="195"/>
      <c r="EF296" s="195"/>
      <c r="EG296" s="195"/>
      <c r="EH296" s="195"/>
      <c r="EI296" s="195"/>
      <c r="EJ296" s="195"/>
      <c r="EK296" s="195"/>
      <c r="EL296" s="195"/>
      <c r="EM296" s="195"/>
      <c r="EN296" s="195"/>
      <c r="EO296" s="195"/>
      <c r="EP296" s="12">
        <v>225</v>
      </c>
      <c r="EQ296" s="195"/>
      <c r="ER296" s="195"/>
      <c r="ES296" s="195"/>
      <c r="ET296" s="195"/>
      <c r="EU296" s="195"/>
      <c r="EV296" s="195"/>
      <c r="EW296" s="195"/>
      <c r="EX296" s="195"/>
      <c r="EY296" s="195"/>
      <c r="EZ296" s="195"/>
      <c r="FA296" s="195"/>
      <c r="FB296" s="195"/>
      <c r="FC296" s="195"/>
      <c r="FD296" s="195"/>
      <c r="FE296" s="195"/>
      <c r="FF296" s="195"/>
      <c r="FG296" s="195"/>
      <c r="FH296" s="12">
        <v>225</v>
      </c>
      <c r="FI296" s="195"/>
      <c r="FJ296" s="195"/>
      <c r="FK296" s="195"/>
      <c r="FL296" s="195"/>
      <c r="FM296" s="195"/>
      <c r="FN296" s="195"/>
      <c r="FO296" s="195"/>
      <c r="FP296" s="195"/>
      <c r="FQ296" s="195"/>
      <c r="FR296" s="195"/>
      <c r="FS296" s="195"/>
      <c r="FT296" s="195"/>
      <c r="FU296" s="195"/>
      <c r="FV296" s="195"/>
      <c r="FW296" s="195"/>
      <c r="FX296" s="195"/>
      <c r="FY296" s="195"/>
    </row>
    <row r="297" spans="2:181" x14ac:dyDescent="0.25">
      <c r="B297" s="197">
        <v>226</v>
      </c>
      <c r="C297" s="195"/>
      <c r="D297" s="195"/>
      <c r="E297" s="195"/>
      <c r="F297" s="195"/>
      <c r="G297" s="195"/>
      <c r="H297" s="195"/>
      <c r="I297" s="195"/>
      <c r="J297" s="195"/>
      <c r="K297" s="195"/>
      <c r="L297" s="195"/>
      <c r="M297" s="195"/>
      <c r="N297" s="195"/>
      <c r="O297" s="195"/>
      <c r="P297" s="195"/>
      <c r="Q297" s="195"/>
      <c r="R297" s="195"/>
      <c r="S297" s="195"/>
      <c r="T297" s="197">
        <v>226</v>
      </c>
      <c r="U297" s="195"/>
      <c r="V297" s="195"/>
      <c r="W297" s="195"/>
      <c r="X297" s="195"/>
      <c r="Y297" s="195"/>
      <c r="Z297" s="195"/>
      <c r="AA297" s="195"/>
      <c r="AB297" s="195"/>
      <c r="AC297" s="195"/>
      <c r="AD297" s="195"/>
      <c r="AE297" s="195"/>
      <c r="AF297" s="195"/>
      <c r="AG297" s="195"/>
      <c r="AH297" s="195"/>
      <c r="AI297" s="195"/>
      <c r="AJ297" s="195"/>
      <c r="AK297" s="195"/>
      <c r="AL297" s="197">
        <v>226</v>
      </c>
      <c r="AM297" s="195"/>
      <c r="AN297" s="195"/>
      <c r="AO297" s="195"/>
      <c r="AP297" s="195"/>
      <c r="AQ297" s="195"/>
      <c r="AR297" s="195"/>
      <c r="AS297" s="195"/>
      <c r="AT297" s="195"/>
      <c r="AU297" s="195"/>
      <c r="AV297" s="195"/>
      <c r="AW297" s="195"/>
      <c r="AX297" s="195"/>
      <c r="AY297" s="195"/>
      <c r="AZ297" s="195"/>
      <c r="BA297" s="195"/>
      <c r="BB297" s="195"/>
      <c r="BC297" s="195"/>
      <c r="BD297" s="197">
        <v>226</v>
      </c>
      <c r="BE297" s="195"/>
      <c r="BF297" s="195"/>
      <c r="BG297" s="195"/>
      <c r="BH297" s="195"/>
      <c r="BI297" s="195"/>
      <c r="BJ297" s="195"/>
      <c r="BK297" s="195"/>
      <c r="BL297" s="195"/>
      <c r="BM297" s="195"/>
      <c r="BN297" s="195"/>
      <c r="BO297" s="195"/>
      <c r="BP297" s="195"/>
      <c r="BQ297" s="195"/>
      <c r="BR297" s="195"/>
      <c r="BS297" s="195"/>
      <c r="BT297" s="195"/>
      <c r="BU297" s="195"/>
      <c r="BV297" s="197">
        <v>226</v>
      </c>
      <c r="BW297" s="195"/>
      <c r="BX297" s="195"/>
      <c r="BY297" s="195"/>
      <c r="BZ297" s="195"/>
      <c r="CA297" s="195"/>
      <c r="CB297" s="195"/>
      <c r="CC297" s="195"/>
      <c r="CD297" s="195"/>
      <c r="CE297" s="195"/>
      <c r="CF297" s="195"/>
      <c r="CG297" s="195"/>
      <c r="CH297" s="195"/>
      <c r="CI297" s="195"/>
      <c r="CJ297" s="195"/>
      <c r="CK297" s="195"/>
      <c r="CL297" s="195"/>
      <c r="CM297" s="195"/>
      <c r="CN297" s="197">
        <v>226</v>
      </c>
      <c r="CO297" s="195"/>
      <c r="CP297" s="195"/>
      <c r="CQ297" s="195"/>
      <c r="CR297" s="195"/>
      <c r="CS297" s="195"/>
      <c r="CT297" s="195"/>
      <c r="CU297" s="195"/>
      <c r="CV297" s="195"/>
      <c r="CW297" s="195"/>
      <c r="CX297" s="195"/>
      <c r="CY297" s="195"/>
      <c r="CZ297" s="195"/>
      <c r="DA297" s="195"/>
      <c r="DB297" s="195"/>
      <c r="DC297" s="195"/>
      <c r="DD297" s="195"/>
      <c r="DE297" s="195"/>
      <c r="DF297" s="197">
        <v>226</v>
      </c>
      <c r="DG297" s="195"/>
      <c r="DH297" s="195"/>
      <c r="DI297" s="195"/>
      <c r="DJ297" s="195"/>
      <c r="DK297" s="195"/>
      <c r="DL297" s="195"/>
      <c r="DM297" s="195"/>
      <c r="DN297" s="195"/>
      <c r="DO297" s="195"/>
      <c r="DP297" s="195"/>
      <c r="DQ297" s="195"/>
      <c r="DR297" s="195"/>
      <c r="DS297" s="195"/>
      <c r="DT297" s="195"/>
      <c r="DU297" s="195"/>
      <c r="DV297" s="195"/>
      <c r="DW297" s="195"/>
      <c r="DX297" s="197">
        <v>226</v>
      </c>
      <c r="DY297" s="195"/>
      <c r="DZ297" s="195"/>
      <c r="EA297" s="195"/>
      <c r="EB297" s="195"/>
      <c r="EC297" s="195"/>
      <c r="ED297" s="195"/>
      <c r="EE297" s="195"/>
      <c r="EF297" s="195"/>
      <c r="EG297" s="195"/>
      <c r="EH297" s="195"/>
      <c r="EI297" s="195"/>
      <c r="EJ297" s="195"/>
      <c r="EK297" s="195"/>
      <c r="EL297" s="195"/>
      <c r="EM297" s="195"/>
      <c r="EN297" s="195"/>
      <c r="EO297" s="195"/>
      <c r="EP297" s="197">
        <v>226</v>
      </c>
      <c r="EQ297" s="195"/>
      <c r="ER297" s="195"/>
      <c r="ES297" s="195"/>
      <c r="ET297" s="195"/>
      <c r="EU297" s="195"/>
      <c r="EV297" s="195"/>
      <c r="EW297" s="195"/>
      <c r="EX297" s="195"/>
      <c r="EY297" s="195"/>
      <c r="EZ297" s="195"/>
      <c r="FA297" s="195"/>
      <c r="FB297" s="195"/>
      <c r="FC297" s="195"/>
      <c r="FD297" s="195"/>
      <c r="FE297" s="195"/>
      <c r="FF297" s="195"/>
      <c r="FG297" s="195"/>
      <c r="FH297" s="197">
        <v>226</v>
      </c>
      <c r="FI297" s="195"/>
      <c r="FJ297" s="195"/>
      <c r="FK297" s="195"/>
      <c r="FL297" s="195"/>
      <c r="FM297" s="195"/>
      <c r="FN297" s="195"/>
      <c r="FO297" s="195"/>
      <c r="FP297" s="195"/>
      <c r="FQ297" s="195"/>
      <c r="FR297" s="195"/>
      <c r="FS297" s="195"/>
      <c r="FT297" s="195"/>
      <c r="FU297" s="195"/>
      <c r="FV297" s="195"/>
      <c r="FW297" s="195"/>
      <c r="FX297" s="195"/>
      <c r="FY297" s="195"/>
    </row>
    <row r="298" spans="2:181" x14ac:dyDescent="0.25">
      <c r="B298" s="12">
        <v>227</v>
      </c>
      <c r="C298" s="195"/>
      <c r="D298" s="195"/>
      <c r="E298" s="195"/>
      <c r="F298" s="195"/>
      <c r="G298" s="195"/>
      <c r="H298" s="195"/>
      <c r="I298" s="195"/>
      <c r="J298" s="195"/>
      <c r="K298" s="195"/>
      <c r="L298" s="195"/>
      <c r="M298" s="195"/>
      <c r="N298" s="195"/>
      <c r="O298" s="195"/>
      <c r="P298" s="195"/>
      <c r="Q298" s="195"/>
      <c r="R298" s="195"/>
      <c r="S298" s="195"/>
      <c r="T298" s="12">
        <v>227</v>
      </c>
      <c r="U298" s="195"/>
      <c r="V298" s="195"/>
      <c r="W298" s="195"/>
      <c r="X298" s="195"/>
      <c r="Y298" s="195"/>
      <c r="Z298" s="195"/>
      <c r="AA298" s="195"/>
      <c r="AB298" s="195"/>
      <c r="AC298" s="195"/>
      <c r="AD298" s="195"/>
      <c r="AE298" s="195"/>
      <c r="AF298" s="195"/>
      <c r="AG298" s="195"/>
      <c r="AH298" s="195"/>
      <c r="AI298" s="195"/>
      <c r="AJ298" s="195"/>
      <c r="AK298" s="195"/>
      <c r="AL298" s="12">
        <v>227</v>
      </c>
      <c r="AM298" s="195"/>
      <c r="AN298" s="195"/>
      <c r="AO298" s="195"/>
      <c r="AP298" s="195"/>
      <c r="AQ298" s="195"/>
      <c r="AR298" s="195"/>
      <c r="AS298" s="195"/>
      <c r="AT298" s="195"/>
      <c r="AU298" s="195"/>
      <c r="AV298" s="195"/>
      <c r="AW298" s="195"/>
      <c r="AX298" s="195"/>
      <c r="AY298" s="195"/>
      <c r="AZ298" s="195"/>
      <c r="BA298" s="195"/>
      <c r="BB298" s="195"/>
      <c r="BC298" s="195"/>
      <c r="BD298" s="12">
        <v>227</v>
      </c>
      <c r="BE298" s="195"/>
      <c r="BF298" s="195"/>
      <c r="BG298" s="195"/>
      <c r="BH298" s="195"/>
      <c r="BI298" s="195"/>
      <c r="BJ298" s="195"/>
      <c r="BK298" s="195"/>
      <c r="BL298" s="195"/>
      <c r="BM298" s="195"/>
      <c r="BN298" s="195"/>
      <c r="BO298" s="195"/>
      <c r="BP298" s="195"/>
      <c r="BQ298" s="195"/>
      <c r="BR298" s="195"/>
      <c r="BS298" s="195"/>
      <c r="BT298" s="195"/>
      <c r="BU298" s="195"/>
      <c r="BV298" s="12">
        <v>227</v>
      </c>
      <c r="BW298" s="195"/>
      <c r="BX298" s="195"/>
      <c r="BY298" s="195"/>
      <c r="BZ298" s="195"/>
      <c r="CA298" s="195"/>
      <c r="CB298" s="195"/>
      <c r="CC298" s="195"/>
      <c r="CD298" s="195"/>
      <c r="CE298" s="195"/>
      <c r="CF298" s="195"/>
      <c r="CG298" s="195"/>
      <c r="CH298" s="195"/>
      <c r="CI298" s="195"/>
      <c r="CJ298" s="195"/>
      <c r="CK298" s="195"/>
      <c r="CL298" s="195"/>
      <c r="CM298" s="195"/>
      <c r="CN298" s="12">
        <v>227</v>
      </c>
      <c r="CO298" s="195"/>
      <c r="CP298" s="195"/>
      <c r="CQ298" s="195"/>
      <c r="CR298" s="195"/>
      <c r="CS298" s="195"/>
      <c r="CT298" s="195"/>
      <c r="CU298" s="195"/>
      <c r="CV298" s="195"/>
      <c r="CW298" s="195"/>
      <c r="CX298" s="195"/>
      <c r="CY298" s="195"/>
      <c r="CZ298" s="195"/>
      <c r="DA298" s="195"/>
      <c r="DB298" s="195"/>
      <c r="DC298" s="195"/>
      <c r="DD298" s="195"/>
      <c r="DE298" s="195"/>
      <c r="DF298" s="12">
        <v>227</v>
      </c>
      <c r="DG298" s="195"/>
      <c r="DH298" s="195"/>
      <c r="DI298" s="195"/>
      <c r="DJ298" s="195"/>
      <c r="DK298" s="195"/>
      <c r="DL298" s="195"/>
      <c r="DM298" s="195"/>
      <c r="DN298" s="195"/>
      <c r="DO298" s="195"/>
      <c r="DP298" s="195"/>
      <c r="DQ298" s="195"/>
      <c r="DR298" s="195"/>
      <c r="DS298" s="195"/>
      <c r="DT298" s="195"/>
      <c r="DU298" s="195"/>
      <c r="DV298" s="195"/>
      <c r="DW298" s="195"/>
      <c r="DX298" s="12">
        <v>227</v>
      </c>
      <c r="DY298" s="195"/>
      <c r="DZ298" s="195"/>
      <c r="EA298" s="195"/>
      <c r="EB298" s="195"/>
      <c r="EC298" s="195"/>
      <c r="ED298" s="195"/>
      <c r="EE298" s="195"/>
      <c r="EF298" s="195"/>
      <c r="EG298" s="195"/>
      <c r="EH298" s="195"/>
      <c r="EI298" s="195"/>
      <c r="EJ298" s="195"/>
      <c r="EK298" s="195"/>
      <c r="EL298" s="195"/>
      <c r="EM298" s="195"/>
      <c r="EN298" s="195"/>
      <c r="EO298" s="195"/>
      <c r="EP298" s="12">
        <v>227</v>
      </c>
      <c r="EQ298" s="195"/>
      <c r="ER298" s="195"/>
      <c r="ES298" s="195"/>
      <c r="ET298" s="195"/>
      <c r="EU298" s="195"/>
      <c r="EV298" s="195"/>
      <c r="EW298" s="195"/>
      <c r="EX298" s="195"/>
      <c r="EY298" s="195"/>
      <c r="EZ298" s="195"/>
      <c r="FA298" s="195"/>
      <c r="FB298" s="195"/>
      <c r="FC298" s="195"/>
      <c r="FD298" s="195"/>
      <c r="FE298" s="195"/>
      <c r="FF298" s="195"/>
      <c r="FG298" s="195"/>
      <c r="FH298" s="12">
        <v>227</v>
      </c>
      <c r="FI298" s="195"/>
      <c r="FJ298" s="195"/>
      <c r="FK298" s="195"/>
      <c r="FL298" s="195"/>
      <c r="FM298" s="195"/>
      <c r="FN298" s="195"/>
      <c r="FO298" s="195"/>
      <c r="FP298" s="195"/>
      <c r="FQ298" s="195"/>
      <c r="FR298" s="195"/>
      <c r="FS298" s="195"/>
      <c r="FT298" s="195"/>
      <c r="FU298" s="195"/>
      <c r="FV298" s="195"/>
      <c r="FW298" s="195"/>
      <c r="FX298" s="195"/>
      <c r="FY298" s="195"/>
    </row>
    <row r="299" spans="2:181" x14ac:dyDescent="0.25">
      <c r="B299" s="197">
        <v>228</v>
      </c>
      <c r="C299" s="195"/>
      <c r="D299" s="195"/>
      <c r="E299" s="195"/>
      <c r="F299" s="195"/>
      <c r="G299" s="195"/>
      <c r="H299" s="195"/>
      <c r="I299" s="195"/>
      <c r="J299" s="195"/>
      <c r="K299" s="195"/>
      <c r="L299" s="195"/>
      <c r="M299" s="195"/>
      <c r="N299" s="195"/>
      <c r="O299" s="195"/>
      <c r="P299" s="195"/>
      <c r="Q299" s="195"/>
      <c r="R299" s="195"/>
      <c r="S299" s="195"/>
      <c r="T299" s="197">
        <v>228</v>
      </c>
      <c r="U299" s="195"/>
      <c r="V299" s="195"/>
      <c r="W299" s="195"/>
      <c r="X299" s="195"/>
      <c r="Y299" s="195"/>
      <c r="Z299" s="195"/>
      <c r="AA299" s="195"/>
      <c r="AB299" s="195"/>
      <c r="AC299" s="195"/>
      <c r="AD299" s="195"/>
      <c r="AE299" s="195"/>
      <c r="AF299" s="195"/>
      <c r="AG299" s="195"/>
      <c r="AH299" s="195"/>
      <c r="AI299" s="195"/>
      <c r="AJ299" s="195"/>
      <c r="AK299" s="195"/>
      <c r="AL299" s="197">
        <v>228</v>
      </c>
      <c r="AM299" s="195"/>
      <c r="AN299" s="195"/>
      <c r="AO299" s="195"/>
      <c r="AP299" s="195"/>
      <c r="AQ299" s="195"/>
      <c r="AR299" s="195"/>
      <c r="AS299" s="195"/>
      <c r="AT299" s="195"/>
      <c r="AU299" s="195"/>
      <c r="AV299" s="195"/>
      <c r="AW299" s="195"/>
      <c r="AX299" s="195"/>
      <c r="AY299" s="195"/>
      <c r="AZ299" s="195"/>
      <c r="BA299" s="195"/>
      <c r="BB299" s="195"/>
      <c r="BC299" s="195"/>
      <c r="BD299" s="197">
        <v>228</v>
      </c>
      <c r="BE299" s="195"/>
      <c r="BF299" s="195"/>
      <c r="BG299" s="195"/>
      <c r="BH299" s="195"/>
      <c r="BI299" s="195"/>
      <c r="BJ299" s="195"/>
      <c r="BK299" s="195"/>
      <c r="BL299" s="195"/>
      <c r="BM299" s="195"/>
      <c r="BN299" s="195"/>
      <c r="BO299" s="195"/>
      <c r="BP299" s="195"/>
      <c r="BQ299" s="195"/>
      <c r="BR299" s="195"/>
      <c r="BS299" s="195"/>
      <c r="BT299" s="195"/>
      <c r="BU299" s="195"/>
      <c r="BV299" s="197">
        <v>228</v>
      </c>
      <c r="BW299" s="195"/>
      <c r="BX299" s="195"/>
      <c r="BY299" s="195"/>
      <c r="BZ299" s="195"/>
      <c r="CA299" s="195"/>
      <c r="CB299" s="195"/>
      <c r="CC299" s="195"/>
      <c r="CD299" s="195"/>
      <c r="CE299" s="195"/>
      <c r="CF299" s="195"/>
      <c r="CG299" s="195"/>
      <c r="CH299" s="195"/>
      <c r="CI299" s="195"/>
      <c r="CJ299" s="195"/>
      <c r="CK299" s="195"/>
      <c r="CL299" s="195"/>
      <c r="CM299" s="195"/>
      <c r="CN299" s="197">
        <v>228</v>
      </c>
      <c r="CO299" s="195"/>
      <c r="CP299" s="195"/>
      <c r="CQ299" s="195"/>
      <c r="CR299" s="195"/>
      <c r="CS299" s="195"/>
      <c r="CT299" s="195"/>
      <c r="CU299" s="195"/>
      <c r="CV299" s="195"/>
      <c r="CW299" s="195"/>
      <c r="CX299" s="195"/>
      <c r="CY299" s="195"/>
      <c r="CZ299" s="195"/>
      <c r="DA299" s="195"/>
      <c r="DB299" s="195"/>
      <c r="DC299" s="195"/>
      <c r="DD299" s="195"/>
      <c r="DE299" s="195"/>
      <c r="DF299" s="197">
        <v>228</v>
      </c>
      <c r="DG299" s="195"/>
      <c r="DH299" s="195"/>
      <c r="DI299" s="195"/>
      <c r="DJ299" s="195"/>
      <c r="DK299" s="195"/>
      <c r="DL299" s="195"/>
      <c r="DM299" s="195"/>
      <c r="DN299" s="195"/>
      <c r="DO299" s="195"/>
      <c r="DP299" s="195"/>
      <c r="DQ299" s="195"/>
      <c r="DR299" s="195"/>
      <c r="DS299" s="195"/>
      <c r="DT299" s="195"/>
      <c r="DU299" s="195"/>
      <c r="DV299" s="195"/>
      <c r="DW299" s="195"/>
      <c r="DX299" s="197">
        <v>228</v>
      </c>
      <c r="DY299" s="195"/>
      <c r="DZ299" s="195"/>
      <c r="EA299" s="195"/>
      <c r="EB299" s="195"/>
      <c r="EC299" s="195"/>
      <c r="ED299" s="195"/>
      <c r="EE299" s="195"/>
      <c r="EF299" s="195"/>
      <c r="EG299" s="195"/>
      <c r="EH299" s="195"/>
      <c r="EI299" s="195"/>
      <c r="EJ299" s="195"/>
      <c r="EK299" s="195"/>
      <c r="EL299" s="195"/>
      <c r="EM299" s="195"/>
      <c r="EN299" s="195"/>
      <c r="EO299" s="195"/>
      <c r="EP299" s="197">
        <v>228</v>
      </c>
      <c r="EQ299" s="195"/>
      <c r="ER299" s="195"/>
      <c r="ES299" s="195"/>
      <c r="ET299" s="195"/>
      <c r="EU299" s="195"/>
      <c r="EV299" s="195"/>
      <c r="EW299" s="195"/>
      <c r="EX299" s="195"/>
      <c r="EY299" s="195"/>
      <c r="EZ299" s="195"/>
      <c r="FA299" s="195"/>
      <c r="FB299" s="195"/>
      <c r="FC299" s="195"/>
      <c r="FD299" s="195"/>
      <c r="FE299" s="195"/>
      <c r="FF299" s="195"/>
      <c r="FG299" s="195"/>
      <c r="FH299" s="197">
        <v>228</v>
      </c>
      <c r="FI299" s="195"/>
      <c r="FJ299" s="195"/>
      <c r="FK299" s="195"/>
      <c r="FL299" s="195"/>
      <c r="FM299" s="195"/>
      <c r="FN299" s="195"/>
      <c r="FO299" s="195"/>
      <c r="FP299" s="195"/>
      <c r="FQ299" s="195"/>
      <c r="FR299" s="195"/>
      <c r="FS299" s="195"/>
      <c r="FT299" s="195"/>
      <c r="FU299" s="195"/>
      <c r="FV299" s="195"/>
      <c r="FW299" s="195"/>
      <c r="FX299" s="195"/>
      <c r="FY299" s="195"/>
    </row>
    <row r="300" spans="2:181" x14ac:dyDescent="0.25">
      <c r="B300" s="12">
        <v>229</v>
      </c>
      <c r="C300" s="195"/>
      <c r="D300" s="195"/>
      <c r="E300" s="195"/>
      <c r="F300" s="195"/>
      <c r="G300" s="195"/>
      <c r="H300" s="195"/>
      <c r="I300" s="195"/>
      <c r="J300" s="195"/>
      <c r="K300" s="195"/>
      <c r="L300" s="195"/>
      <c r="M300" s="195"/>
      <c r="N300" s="195"/>
      <c r="O300" s="195"/>
      <c r="P300" s="195"/>
      <c r="Q300" s="195"/>
      <c r="R300" s="195"/>
      <c r="S300" s="195"/>
      <c r="T300" s="12">
        <v>229</v>
      </c>
      <c r="U300" s="195"/>
      <c r="V300" s="195"/>
      <c r="W300" s="195"/>
      <c r="X300" s="195"/>
      <c r="Y300" s="195"/>
      <c r="Z300" s="195"/>
      <c r="AA300" s="195"/>
      <c r="AB300" s="195"/>
      <c r="AC300" s="195"/>
      <c r="AD300" s="195"/>
      <c r="AE300" s="195"/>
      <c r="AF300" s="195"/>
      <c r="AG300" s="195"/>
      <c r="AH300" s="195"/>
      <c r="AI300" s="195"/>
      <c r="AJ300" s="195"/>
      <c r="AK300" s="195"/>
      <c r="AL300" s="12">
        <v>229</v>
      </c>
      <c r="AM300" s="195"/>
      <c r="AN300" s="195"/>
      <c r="AO300" s="195"/>
      <c r="AP300" s="195"/>
      <c r="AQ300" s="195"/>
      <c r="AR300" s="195"/>
      <c r="AS300" s="195"/>
      <c r="AT300" s="195"/>
      <c r="AU300" s="195"/>
      <c r="AV300" s="195"/>
      <c r="AW300" s="195"/>
      <c r="AX300" s="195"/>
      <c r="AY300" s="195"/>
      <c r="AZ300" s="195"/>
      <c r="BA300" s="195"/>
      <c r="BB300" s="195"/>
      <c r="BC300" s="195"/>
      <c r="BD300" s="12">
        <v>229</v>
      </c>
      <c r="BE300" s="195"/>
      <c r="BF300" s="195"/>
      <c r="BG300" s="195"/>
      <c r="BH300" s="195"/>
      <c r="BI300" s="195"/>
      <c r="BJ300" s="195"/>
      <c r="BK300" s="195"/>
      <c r="BL300" s="195"/>
      <c r="BM300" s="195"/>
      <c r="BN300" s="195"/>
      <c r="BO300" s="195"/>
      <c r="BP300" s="195"/>
      <c r="BQ300" s="195"/>
      <c r="BR300" s="195"/>
      <c r="BS300" s="195"/>
      <c r="BT300" s="195"/>
      <c r="BU300" s="195"/>
      <c r="BV300" s="12">
        <v>229</v>
      </c>
      <c r="BW300" s="195"/>
      <c r="BX300" s="195"/>
      <c r="BY300" s="195"/>
      <c r="BZ300" s="195"/>
      <c r="CA300" s="195"/>
      <c r="CB300" s="195"/>
      <c r="CC300" s="195"/>
      <c r="CD300" s="195"/>
      <c r="CE300" s="195"/>
      <c r="CF300" s="195"/>
      <c r="CG300" s="195"/>
      <c r="CH300" s="195"/>
      <c r="CI300" s="195"/>
      <c r="CJ300" s="195"/>
      <c r="CK300" s="195"/>
      <c r="CL300" s="195"/>
      <c r="CM300" s="195"/>
      <c r="CN300" s="12">
        <v>229</v>
      </c>
      <c r="CO300" s="195"/>
      <c r="CP300" s="195"/>
      <c r="CQ300" s="195"/>
      <c r="CR300" s="195"/>
      <c r="CS300" s="195"/>
      <c r="CT300" s="195"/>
      <c r="CU300" s="195"/>
      <c r="CV300" s="195"/>
      <c r="CW300" s="195"/>
      <c r="CX300" s="195"/>
      <c r="CY300" s="195"/>
      <c r="CZ300" s="195"/>
      <c r="DA300" s="195"/>
      <c r="DB300" s="195"/>
      <c r="DC300" s="195"/>
      <c r="DD300" s="195"/>
      <c r="DE300" s="195"/>
      <c r="DF300" s="12">
        <v>229</v>
      </c>
      <c r="DG300" s="195"/>
      <c r="DH300" s="195"/>
      <c r="DI300" s="195"/>
      <c r="DJ300" s="195"/>
      <c r="DK300" s="195"/>
      <c r="DL300" s="195"/>
      <c r="DM300" s="195"/>
      <c r="DN300" s="195"/>
      <c r="DO300" s="195"/>
      <c r="DP300" s="195"/>
      <c r="DQ300" s="195"/>
      <c r="DR300" s="195"/>
      <c r="DS300" s="195"/>
      <c r="DT300" s="195"/>
      <c r="DU300" s="195"/>
      <c r="DV300" s="195"/>
      <c r="DW300" s="195"/>
      <c r="DX300" s="12">
        <v>229</v>
      </c>
      <c r="DY300" s="195"/>
      <c r="DZ300" s="195"/>
      <c r="EA300" s="195"/>
      <c r="EB300" s="195"/>
      <c r="EC300" s="195"/>
      <c r="ED300" s="195"/>
      <c r="EE300" s="195"/>
      <c r="EF300" s="195"/>
      <c r="EG300" s="195"/>
      <c r="EH300" s="195"/>
      <c r="EI300" s="195"/>
      <c r="EJ300" s="195"/>
      <c r="EK300" s="195"/>
      <c r="EL300" s="195"/>
      <c r="EM300" s="195"/>
      <c r="EN300" s="195"/>
      <c r="EO300" s="195"/>
      <c r="EP300" s="12">
        <v>229</v>
      </c>
      <c r="EQ300" s="195"/>
      <c r="ER300" s="195"/>
      <c r="ES300" s="195"/>
      <c r="ET300" s="195"/>
      <c r="EU300" s="195"/>
      <c r="EV300" s="195"/>
      <c r="EW300" s="195"/>
      <c r="EX300" s="195"/>
      <c r="EY300" s="195"/>
      <c r="EZ300" s="195"/>
      <c r="FA300" s="195"/>
      <c r="FB300" s="195"/>
      <c r="FC300" s="195"/>
      <c r="FD300" s="195"/>
      <c r="FE300" s="195"/>
      <c r="FF300" s="195"/>
      <c r="FG300" s="195"/>
      <c r="FH300" s="12">
        <v>229</v>
      </c>
      <c r="FI300" s="195"/>
      <c r="FJ300" s="195"/>
      <c r="FK300" s="195"/>
      <c r="FL300" s="195"/>
      <c r="FM300" s="195"/>
      <c r="FN300" s="195"/>
      <c r="FO300" s="195"/>
      <c r="FP300" s="195"/>
      <c r="FQ300" s="195"/>
      <c r="FR300" s="195"/>
      <c r="FS300" s="195"/>
      <c r="FT300" s="195"/>
      <c r="FU300" s="195"/>
      <c r="FV300" s="195"/>
      <c r="FW300" s="195"/>
      <c r="FX300" s="195"/>
      <c r="FY300" s="195"/>
    </row>
    <row r="301" spans="2:181" x14ac:dyDescent="0.25">
      <c r="B301" s="197">
        <v>230</v>
      </c>
      <c r="C301" s="195"/>
      <c r="D301" s="195"/>
      <c r="E301" s="195"/>
      <c r="F301" s="195"/>
      <c r="G301" s="195"/>
      <c r="H301" s="195"/>
      <c r="I301" s="195"/>
      <c r="J301" s="195"/>
      <c r="K301" s="195"/>
      <c r="L301" s="195"/>
      <c r="M301" s="195"/>
      <c r="N301" s="195"/>
      <c r="O301" s="195"/>
      <c r="P301" s="195"/>
      <c r="Q301" s="195"/>
      <c r="R301" s="195"/>
      <c r="S301" s="195"/>
      <c r="T301" s="197">
        <v>230</v>
      </c>
      <c r="U301" s="195"/>
      <c r="V301" s="195"/>
      <c r="W301" s="195"/>
      <c r="X301" s="195"/>
      <c r="Y301" s="195"/>
      <c r="Z301" s="195"/>
      <c r="AA301" s="195"/>
      <c r="AB301" s="195"/>
      <c r="AC301" s="195"/>
      <c r="AD301" s="195"/>
      <c r="AE301" s="195"/>
      <c r="AF301" s="195"/>
      <c r="AG301" s="195"/>
      <c r="AH301" s="195"/>
      <c r="AI301" s="195"/>
      <c r="AJ301" s="195"/>
      <c r="AK301" s="195"/>
      <c r="AL301" s="197">
        <v>230</v>
      </c>
      <c r="AM301" s="195"/>
      <c r="AN301" s="195"/>
      <c r="AO301" s="195"/>
      <c r="AP301" s="195"/>
      <c r="AQ301" s="195"/>
      <c r="AR301" s="195"/>
      <c r="AS301" s="195"/>
      <c r="AT301" s="195"/>
      <c r="AU301" s="195"/>
      <c r="AV301" s="195"/>
      <c r="AW301" s="195"/>
      <c r="AX301" s="195"/>
      <c r="AY301" s="195"/>
      <c r="AZ301" s="195"/>
      <c r="BA301" s="195"/>
      <c r="BB301" s="195"/>
      <c r="BC301" s="195"/>
      <c r="BD301" s="197">
        <v>230</v>
      </c>
      <c r="BE301" s="195"/>
      <c r="BF301" s="195"/>
      <c r="BG301" s="195"/>
      <c r="BH301" s="195"/>
      <c r="BI301" s="195"/>
      <c r="BJ301" s="195"/>
      <c r="BK301" s="195"/>
      <c r="BL301" s="195"/>
      <c r="BM301" s="195"/>
      <c r="BN301" s="195"/>
      <c r="BO301" s="195"/>
      <c r="BP301" s="195"/>
      <c r="BQ301" s="195"/>
      <c r="BR301" s="195"/>
      <c r="BS301" s="195"/>
      <c r="BT301" s="195"/>
      <c r="BU301" s="195"/>
      <c r="BV301" s="197">
        <v>230</v>
      </c>
      <c r="BW301" s="195"/>
      <c r="BX301" s="195"/>
      <c r="BY301" s="195"/>
      <c r="BZ301" s="195"/>
      <c r="CA301" s="195"/>
      <c r="CB301" s="195"/>
      <c r="CC301" s="195"/>
      <c r="CD301" s="195"/>
      <c r="CE301" s="195"/>
      <c r="CF301" s="195"/>
      <c r="CG301" s="195"/>
      <c r="CH301" s="195"/>
      <c r="CI301" s="195"/>
      <c r="CJ301" s="195"/>
      <c r="CK301" s="195"/>
      <c r="CL301" s="195"/>
      <c r="CM301" s="195"/>
      <c r="CN301" s="197">
        <v>230</v>
      </c>
      <c r="CO301" s="195"/>
      <c r="CP301" s="195"/>
      <c r="CQ301" s="195"/>
      <c r="CR301" s="195"/>
      <c r="CS301" s="195"/>
      <c r="CT301" s="195"/>
      <c r="CU301" s="195"/>
      <c r="CV301" s="195"/>
      <c r="CW301" s="195"/>
      <c r="CX301" s="195"/>
      <c r="CY301" s="195"/>
      <c r="CZ301" s="195"/>
      <c r="DA301" s="195"/>
      <c r="DB301" s="195"/>
      <c r="DC301" s="195"/>
      <c r="DD301" s="195"/>
      <c r="DE301" s="195"/>
      <c r="DF301" s="197">
        <v>230</v>
      </c>
      <c r="DG301" s="195"/>
      <c r="DH301" s="195"/>
      <c r="DI301" s="195"/>
      <c r="DJ301" s="195"/>
      <c r="DK301" s="195"/>
      <c r="DL301" s="195"/>
      <c r="DM301" s="195"/>
      <c r="DN301" s="195"/>
      <c r="DO301" s="195"/>
      <c r="DP301" s="195"/>
      <c r="DQ301" s="195"/>
      <c r="DR301" s="195"/>
      <c r="DS301" s="195"/>
      <c r="DT301" s="195"/>
      <c r="DU301" s="195"/>
      <c r="DV301" s="195"/>
      <c r="DW301" s="195"/>
      <c r="DX301" s="197">
        <v>230</v>
      </c>
      <c r="DY301" s="195"/>
      <c r="DZ301" s="195"/>
      <c r="EA301" s="195"/>
      <c r="EB301" s="195"/>
      <c r="EC301" s="195"/>
      <c r="ED301" s="195"/>
      <c r="EE301" s="195"/>
      <c r="EF301" s="195"/>
      <c r="EG301" s="195"/>
      <c r="EH301" s="195"/>
      <c r="EI301" s="195"/>
      <c r="EJ301" s="195"/>
      <c r="EK301" s="195"/>
      <c r="EL301" s="195"/>
      <c r="EM301" s="195"/>
      <c r="EN301" s="195"/>
      <c r="EO301" s="195"/>
      <c r="EP301" s="197">
        <v>230</v>
      </c>
      <c r="EQ301" s="195"/>
      <c r="ER301" s="195"/>
      <c r="ES301" s="195"/>
      <c r="ET301" s="195"/>
      <c r="EU301" s="195"/>
      <c r="EV301" s="195"/>
      <c r="EW301" s="195"/>
      <c r="EX301" s="195"/>
      <c r="EY301" s="195"/>
      <c r="EZ301" s="195"/>
      <c r="FA301" s="195"/>
      <c r="FB301" s="195"/>
      <c r="FC301" s="195"/>
      <c r="FD301" s="195"/>
      <c r="FE301" s="195"/>
      <c r="FF301" s="195"/>
      <c r="FG301" s="195"/>
      <c r="FH301" s="197">
        <v>230</v>
      </c>
      <c r="FI301" s="195"/>
      <c r="FJ301" s="195"/>
      <c r="FK301" s="195"/>
      <c r="FL301" s="195"/>
      <c r="FM301" s="195"/>
      <c r="FN301" s="195"/>
      <c r="FO301" s="195"/>
      <c r="FP301" s="195"/>
      <c r="FQ301" s="195"/>
      <c r="FR301" s="195"/>
      <c r="FS301" s="195"/>
      <c r="FT301" s="195"/>
      <c r="FU301" s="195"/>
      <c r="FV301" s="195"/>
      <c r="FW301" s="195"/>
      <c r="FX301" s="195"/>
      <c r="FY301" s="195"/>
    </row>
    <row r="302" spans="2:181" x14ac:dyDescent="0.25">
      <c r="B302" s="12">
        <v>231</v>
      </c>
      <c r="C302" s="195"/>
      <c r="D302" s="195"/>
      <c r="E302" s="195"/>
      <c r="F302" s="195"/>
      <c r="G302" s="195"/>
      <c r="H302" s="195"/>
      <c r="I302" s="195"/>
      <c r="J302" s="195"/>
      <c r="K302" s="195"/>
      <c r="L302" s="195"/>
      <c r="M302" s="195"/>
      <c r="N302" s="195"/>
      <c r="O302" s="195"/>
      <c r="P302" s="195"/>
      <c r="Q302" s="195"/>
      <c r="R302" s="195"/>
      <c r="S302" s="195"/>
      <c r="T302" s="12">
        <v>231</v>
      </c>
      <c r="U302" s="195"/>
      <c r="V302" s="195"/>
      <c r="W302" s="195"/>
      <c r="X302" s="195"/>
      <c r="Y302" s="195"/>
      <c r="Z302" s="195"/>
      <c r="AA302" s="195"/>
      <c r="AB302" s="195"/>
      <c r="AC302" s="195"/>
      <c r="AD302" s="195"/>
      <c r="AE302" s="195"/>
      <c r="AF302" s="195"/>
      <c r="AG302" s="195"/>
      <c r="AH302" s="195"/>
      <c r="AI302" s="195"/>
      <c r="AJ302" s="195"/>
      <c r="AK302" s="195"/>
      <c r="AL302" s="12">
        <v>231</v>
      </c>
      <c r="AM302" s="195"/>
      <c r="AN302" s="195"/>
      <c r="AO302" s="195"/>
      <c r="AP302" s="195"/>
      <c r="AQ302" s="195"/>
      <c r="AR302" s="195"/>
      <c r="AS302" s="195"/>
      <c r="AT302" s="195"/>
      <c r="AU302" s="195"/>
      <c r="AV302" s="195"/>
      <c r="AW302" s="195"/>
      <c r="AX302" s="195"/>
      <c r="AY302" s="195"/>
      <c r="AZ302" s="195"/>
      <c r="BA302" s="195"/>
      <c r="BB302" s="195"/>
      <c r="BC302" s="195"/>
      <c r="BD302" s="12">
        <v>231</v>
      </c>
      <c r="BE302" s="195"/>
      <c r="BF302" s="195"/>
      <c r="BG302" s="195"/>
      <c r="BH302" s="195"/>
      <c r="BI302" s="195"/>
      <c r="BJ302" s="195"/>
      <c r="BK302" s="195"/>
      <c r="BL302" s="195"/>
      <c r="BM302" s="195"/>
      <c r="BN302" s="195"/>
      <c r="BO302" s="195"/>
      <c r="BP302" s="195"/>
      <c r="BQ302" s="195"/>
      <c r="BR302" s="195"/>
      <c r="BS302" s="195"/>
      <c r="BT302" s="195"/>
      <c r="BU302" s="195"/>
      <c r="BV302" s="12">
        <v>231</v>
      </c>
      <c r="BW302" s="195"/>
      <c r="BX302" s="195"/>
      <c r="BY302" s="195"/>
      <c r="BZ302" s="195"/>
      <c r="CA302" s="195"/>
      <c r="CB302" s="195"/>
      <c r="CC302" s="195"/>
      <c r="CD302" s="195"/>
      <c r="CE302" s="195"/>
      <c r="CF302" s="195"/>
      <c r="CG302" s="195"/>
      <c r="CH302" s="195"/>
      <c r="CI302" s="195"/>
      <c r="CJ302" s="195"/>
      <c r="CK302" s="195"/>
      <c r="CL302" s="195"/>
      <c r="CM302" s="195"/>
      <c r="CN302" s="12">
        <v>231</v>
      </c>
      <c r="CO302" s="195"/>
      <c r="CP302" s="195"/>
      <c r="CQ302" s="195"/>
      <c r="CR302" s="195"/>
      <c r="CS302" s="195"/>
      <c r="CT302" s="195"/>
      <c r="CU302" s="195"/>
      <c r="CV302" s="195"/>
      <c r="CW302" s="195"/>
      <c r="CX302" s="195"/>
      <c r="CY302" s="195"/>
      <c r="CZ302" s="195"/>
      <c r="DA302" s="195"/>
      <c r="DB302" s="195"/>
      <c r="DC302" s="195"/>
      <c r="DD302" s="195"/>
      <c r="DE302" s="195"/>
      <c r="DF302" s="12">
        <v>231</v>
      </c>
      <c r="DG302" s="195"/>
      <c r="DH302" s="195"/>
      <c r="DI302" s="195"/>
      <c r="DJ302" s="195"/>
      <c r="DK302" s="195"/>
      <c r="DL302" s="195"/>
      <c r="DM302" s="195"/>
      <c r="DN302" s="195"/>
      <c r="DO302" s="195"/>
      <c r="DP302" s="195"/>
      <c r="DQ302" s="195"/>
      <c r="DR302" s="195"/>
      <c r="DS302" s="195"/>
      <c r="DT302" s="195"/>
      <c r="DU302" s="195"/>
      <c r="DV302" s="195"/>
      <c r="DW302" s="195"/>
      <c r="DX302" s="12">
        <v>231</v>
      </c>
      <c r="DY302" s="195"/>
      <c r="DZ302" s="195"/>
      <c r="EA302" s="195"/>
      <c r="EB302" s="195"/>
      <c r="EC302" s="195"/>
      <c r="ED302" s="195"/>
      <c r="EE302" s="195"/>
      <c r="EF302" s="195"/>
      <c r="EG302" s="195"/>
      <c r="EH302" s="195"/>
      <c r="EI302" s="195"/>
      <c r="EJ302" s="195"/>
      <c r="EK302" s="195"/>
      <c r="EL302" s="195"/>
      <c r="EM302" s="195"/>
      <c r="EN302" s="195"/>
      <c r="EO302" s="195"/>
      <c r="EP302" s="12">
        <v>231</v>
      </c>
      <c r="EQ302" s="195"/>
      <c r="ER302" s="195"/>
      <c r="ES302" s="195"/>
      <c r="ET302" s="195"/>
      <c r="EU302" s="195"/>
      <c r="EV302" s="195"/>
      <c r="EW302" s="195"/>
      <c r="EX302" s="195"/>
      <c r="EY302" s="195"/>
      <c r="EZ302" s="195"/>
      <c r="FA302" s="195"/>
      <c r="FB302" s="195"/>
      <c r="FC302" s="195"/>
      <c r="FD302" s="195"/>
      <c r="FE302" s="195"/>
      <c r="FF302" s="195"/>
      <c r="FG302" s="195"/>
      <c r="FH302" s="12">
        <v>231</v>
      </c>
      <c r="FI302" s="195"/>
      <c r="FJ302" s="195"/>
      <c r="FK302" s="195"/>
      <c r="FL302" s="195"/>
      <c r="FM302" s="195"/>
      <c r="FN302" s="195"/>
      <c r="FO302" s="195"/>
      <c r="FP302" s="195"/>
      <c r="FQ302" s="195"/>
      <c r="FR302" s="195"/>
      <c r="FS302" s="195"/>
      <c r="FT302" s="195"/>
      <c r="FU302" s="195"/>
      <c r="FV302" s="195"/>
      <c r="FW302" s="195"/>
      <c r="FX302" s="195"/>
      <c r="FY302" s="195"/>
    </row>
    <row r="303" spans="2:181" x14ac:dyDescent="0.25">
      <c r="B303" s="197">
        <v>232</v>
      </c>
      <c r="C303" s="195"/>
      <c r="D303" s="195"/>
      <c r="E303" s="195"/>
      <c r="F303" s="195"/>
      <c r="G303" s="195"/>
      <c r="H303" s="195"/>
      <c r="I303" s="195"/>
      <c r="J303" s="195"/>
      <c r="K303" s="195"/>
      <c r="L303" s="195"/>
      <c r="M303" s="195"/>
      <c r="N303" s="195"/>
      <c r="O303" s="195"/>
      <c r="P303" s="195"/>
      <c r="Q303" s="195"/>
      <c r="R303" s="195"/>
      <c r="S303" s="195"/>
      <c r="T303" s="197">
        <v>232</v>
      </c>
      <c r="U303" s="195"/>
      <c r="V303" s="195"/>
      <c r="W303" s="195"/>
      <c r="X303" s="195"/>
      <c r="Y303" s="195"/>
      <c r="Z303" s="195"/>
      <c r="AA303" s="195"/>
      <c r="AB303" s="195"/>
      <c r="AC303" s="195"/>
      <c r="AD303" s="195"/>
      <c r="AE303" s="195"/>
      <c r="AF303" s="195"/>
      <c r="AG303" s="195"/>
      <c r="AH303" s="195"/>
      <c r="AI303" s="195"/>
      <c r="AJ303" s="195"/>
      <c r="AK303" s="195"/>
      <c r="AL303" s="197">
        <v>232</v>
      </c>
      <c r="AM303" s="195"/>
      <c r="AN303" s="195"/>
      <c r="AO303" s="195"/>
      <c r="AP303" s="195"/>
      <c r="AQ303" s="195"/>
      <c r="AR303" s="195"/>
      <c r="AS303" s="195"/>
      <c r="AT303" s="195"/>
      <c r="AU303" s="195"/>
      <c r="AV303" s="195"/>
      <c r="AW303" s="195"/>
      <c r="AX303" s="195"/>
      <c r="AY303" s="195"/>
      <c r="AZ303" s="195"/>
      <c r="BA303" s="195"/>
      <c r="BB303" s="195"/>
      <c r="BC303" s="195"/>
      <c r="BD303" s="197">
        <v>232</v>
      </c>
      <c r="BE303" s="195"/>
      <c r="BF303" s="195"/>
      <c r="BG303" s="195"/>
      <c r="BH303" s="195"/>
      <c r="BI303" s="195"/>
      <c r="BJ303" s="195"/>
      <c r="BK303" s="195"/>
      <c r="BL303" s="195"/>
      <c r="BM303" s="195"/>
      <c r="BN303" s="195"/>
      <c r="BO303" s="195"/>
      <c r="BP303" s="195"/>
      <c r="BQ303" s="195"/>
      <c r="BR303" s="195"/>
      <c r="BS303" s="195"/>
      <c r="BT303" s="195"/>
      <c r="BU303" s="195"/>
      <c r="BV303" s="197">
        <v>232</v>
      </c>
      <c r="BW303" s="195"/>
      <c r="BX303" s="195"/>
      <c r="BY303" s="195"/>
      <c r="BZ303" s="195"/>
      <c r="CA303" s="195"/>
      <c r="CB303" s="195"/>
      <c r="CC303" s="195"/>
      <c r="CD303" s="195"/>
      <c r="CE303" s="195"/>
      <c r="CF303" s="195"/>
      <c r="CG303" s="195"/>
      <c r="CH303" s="195"/>
      <c r="CI303" s="195"/>
      <c r="CJ303" s="195"/>
      <c r="CK303" s="195"/>
      <c r="CL303" s="195"/>
      <c r="CM303" s="195"/>
      <c r="CN303" s="197">
        <v>232</v>
      </c>
      <c r="CO303" s="195"/>
      <c r="CP303" s="195"/>
      <c r="CQ303" s="195"/>
      <c r="CR303" s="195"/>
      <c r="CS303" s="195"/>
      <c r="CT303" s="195"/>
      <c r="CU303" s="195"/>
      <c r="CV303" s="195"/>
      <c r="CW303" s="195"/>
      <c r="CX303" s="195"/>
      <c r="CY303" s="195"/>
      <c r="CZ303" s="195"/>
      <c r="DA303" s="195"/>
      <c r="DB303" s="195"/>
      <c r="DC303" s="195"/>
      <c r="DD303" s="195"/>
      <c r="DE303" s="195"/>
      <c r="DF303" s="197">
        <v>232</v>
      </c>
      <c r="DG303" s="195"/>
      <c r="DH303" s="195"/>
      <c r="DI303" s="195"/>
      <c r="DJ303" s="195"/>
      <c r="DK303" s="195"/>
      <c r="DL303" s="195"/>
      <c r="DM303" s="195"/>
      <c r="DN303" s="195"/>
      <c r="DO303" s="195"/>
      <c r="DP303" s="195"/>
      <c r="DQ303" s="195"/>
      <c r="DR303" s="195"/>
      <c r="DS303" s="195"/>
      <c r="DT303" s="195"/>
      <c r="DU303" s="195"/>
      <c r="DV303" s="195"/>
      <c r="DW303" s="195"/>
      <c r="DX303" s="197">
        <v>232</v>
      </c>
      <c r="DY303" s="195"/>
      <c r="DZ303" s="195"/>
      <c r="EA303" s="195"/>
      <c r="EB303" s="195"/>
      <c r="EC303" s="195"/>
      <c r="ED303" s="195"/>
      <c r="EE303" s="195"/>
      <c r="EF303" s="195"/>
      <c r="EG303" s="195"/>
      <c r="EH303" s="195"/>
      <c r="EI303" s="195"/>
      <c r="EJ303" s="195"/>
      <c r="EK303" s="195"/>
      <c r="EL303" s="195"/>
      <c r="EM303" s="195"/>
      <c r="EN303" s="195"/>
      <c r="EO303" s="195"/>
      <c r="EP303" s="197">
        <v>232</v>
      </c>
      <c r="EQ303" s="195"/>
      <c r="ER303" s="195"/>
      <c r="ES303" s="195"/>
      <c r="ET303" s="195"/>
      <c r="EU303" s="195"/>
      <c r="EV303" s="195"/>
      <c r="EW303" s="195"/>
      <c r="EX303" s="195"/>
      <c r="EY303" s="195"/>
      <c r="EZ303" s="195"/>
      <c r="FA303" s="195"/>
      <c r="FB303" s="195"/>
      <c r="FC303" s="195"/>
      <c r="FD303" s="195"/>
      <c r="FE303" s="195"/>
      <c r="FF303" s="195"/>
      <c r="FG303" s="195"/>
      <c r="FH303" s="197">
        <v>232</v>
      </c>
      <c r="FI303" s="195"/>
      <c r="FJ303" s="195"/>
      <c r="FK303" s="195"/>
      <c r="FL303" s="195"/>
      <c r="FM303" s="195"/>
      <c r="FN303" s="195"/>
      <c r="FO303" s="195"/>
      <c r="FP303" s="195"/>
      <c r="FQ303" s="195"/>
      <c r="FR303" s="195"/>
      <c r="FS303" s="195"/>
      <c r="FT303" s="195"/>
      <c r="FU303" s="195"/>
      <c r="FV303" s="195"/>
      <c r="FW303" s="195"/>
      <c r="FX303" s="195"/>
      <c r="FY303" s="195"/>
    </row>
    <row r="304" spans="2:181" x14ac:dyDescent="0.25">
      <c r="B304" s="12">
        <v>233</v>
      </c>
      <c r="C304" s="195"/>
      <c r="D304" s="195"/>
      <c r="E304" s="195"/>
      <c r="F304" s="195"/>
      <c r="G304" s="195"/>
      <c r="H304" s="195"/>
      <c r="I304" s="195"/>
      <c r="J304" s="195"/>
      <c r="K304" s="195"/>
      <c r="L304" s="195"/>
      <c r="M304" s="195"/>
      <c r="N304" s="195"/>
      <c r="O304" s="195"/>
      <c r="P304" s="195"/>
      <c r="Q304" s="195"/>
      <c r="R304" s="195"/>
      <c r="S304" s="195"/>
      <c r="T304" s="12">
        <v>233</v>
      </c>
      <c r="U304" s="195"/>
      <c r="V304" s="195"/>
      <c r="W304" s="195"/>
      <c r="X304" s="195"/>
      <c r="Y304" s="195"/>
      <c r="Z304" s="195"/>
      <c r="AA304" s="195"/>
      <c r="AB304" s="195"/>
      <c r="AC304" s="195"/>
      <c r="AD304" s="195"/>
      <c r="AE304" s="195"/>
      <c r="AF304" s="195"/>
      <c r="AG304" s="195"/>
      <c r="AH304" s="195"/>
      <c r="AI304" s="195"/>
      <c r="AJ304" s="195"/>
      <c r="AK304" s="195"/>
      <c r="AL304" s="12">
        <v>233</v>
      </c>
      <c r="AM304" s="195"/>
      <c r="AN304" s="195"/>
      <c r="AO304" s="195"/>
      <c r="AP304" s="195"/>
      <c r="AQ304" s="195"/>
      <c r="AR304" s="195"/>
      <c r="AS304" s="195"/>
      <c r="AT304" s="195"/>
      <c r="AU304" s="195"/>
      <c r="AV304" s="195"/>
      <c r="AW304" s="195"/>
      <c r="AX304" s="195"/>
      <c r="AY304" s="195"/>
      <c r="AZ304" s="195"/>
      <c r="BA304" s="195"/>
      <c r="BB304" s="195"/>
      <c r="BC304" s="195"/>
      <c r="BD304" s="12">
        <v>233</v>
      </c>
      <c r="BE304" s="195"/>
      <c r="BF304" s="195"/>
      <c r="BG304" s="195"/>
      <c r="BH304" s="195"/>
      <c r="BI304" s="195"/>
      <c r="BJ304" s="195"/>
      <c r="BK304" s="195"/>
      <c r="BL304" s="195"/>
      <c r="BM304" s="195"/>
      <c r="BN304" s="195"/>
      <c r="BO304" s="195"/>
      <c r="BP304" s="195"/>
      <c r="BQ304" s="195"/>
      <c r="BR304" s="195"/>
      <c r="BS304" s="195"/>
      <c r="BT304" s="195"/>
      <c r="BU304" s="195"/>
      <c r="BV304" s="12">
        <v>233</v>
      </c>
      <c r="BW304" s="195"/>
      <c r="BX304" s="195"/>
      <c r="BY304" s="195"/>
      <c r="BZ304" s="195"/>
      <c r="CA304" s="195"/>
      <c r="CB304" s="195"/>
      <c r="CC304" s="195"/>
      <c r="CD304" s="195"/>
      <c r="CE304" s="195"/>
      <c r="CF304" s="195"/>
      <c r="CG304" s="195"/>
      <c r="CH304" s="195"/>
      <c r="CI304" s="195"/>
      <c r="CJ304" s="195"/>
      <c r="CK304" s="195"/>
      <c r="CL304" s="195"/>
      <c r="CM304" s="195"/>
      <c r="CN304" s="12">
        <v>233</v>
      </c>
      <c r="CO304" s="195"/>
      <c r="CP304" s="195"/>
      <c r="CQ304" s="195"/>
      <c r="CR304" s="195"/>
      <c r="CS304" s="195"/>
      <c r="CT304" s="195"/>
      <c r="CU304" s="195"/>
      <c r="CV304" s="195"/>
      <c r="CW304" s="195"/>
      <c r="CX304" s="195"/>
      <c r="CY304" s="195"/>
      <c r="CZ304" s="195"/>
      <c r="DA304" s="195"/>
      <c r="DB304" s="195"/>
      <c r="DC304" s="195"/>
      <c r="DD304" s="195"/>
      <c r="DE304" s="195"/>
      <c r="DF304" s="12">
        <v>233</v>
      </c>
      <c r="DG304" s="195"/>
      <c r="DH304" s="195"/>
      <c r="DI304" s="195"/>
      <c r="DJ304" s="195"/>
      <c r="DK304" s="195"/>
      <c r="DL304" s="195"/>
      <c r="DM304" s="195"/>
      <c r="DN304" s="195"/>
      <c r="DO304" s="195"/>
      <c r="DP304" s="195"/>
      <c r="DQ304" s="195"/>
      <c r="DR304" s="195"/>
      <c r="DS304" s="195"/>
      <c r="DT304" s="195"/>
      <c r="DU304" s="195"/>
      <c r="DV304" s="195"/>
      <c r="DW304" s="195"/>
      <c r="DX304" s="12">
        <v>233</v>
      </c>
      <c r="DY304" s="195"/>
      <c r="DZ304" s="195"/>
      <c r="EA304" s="195"/>
      <c r="EB304" s="195"/>
      <c r="EC304" s="195"/>
      <c r="ED304" s="195"/>
      <c r="EE304" s="195"/>
      <c r="EF304" s="195"/>
      <c r="EG304" s="195"/>
      <c r="EH304" s="195"/>
      <c r="EI304" s="195"/>
      <c r="EJ304" s="195"/>
      <c r="EK304" s="195"/>
      <c r="EL304" s="195"/>
      <c r="EM304" s="195"/>
      <c r="EN304" s="195"/>
      <c r="EO304" s="195"/>
      <c r="EP304" s="12">
        <v>233</v>
      </c>
      <c r="EQ304" s="195"/>
      <c r="ER304" s="195"/>
      <c r="ES304" s="195"/>
      <c r="ET304" s="195"/>
      <c r="EU304" s="195"/>
      <c r="EV304" s="195"/>
      <c r="EW304" s="195"/>
      <c r="EX304" s="195"/>
      <c r="EY304" s="195"/>
      <c r="EZ304" s="195"/>
      <c r="FA304" s="195"/>
      <c r="FB304" s="195"/>
      <c r="FC304" s="195"/>
      <c r="FD304" s="195"/>
      <c r="FE304" s="195"/>
      <c r="FF304" s="195"/>
      <c r="FG304" s="195"/>
      <c r="FH304" s="12">
        <v>233</v>
      </c>
      <c r="FI304" s="195"/>
      <c r="FJ304" s="195"/>
      <c r="FK304" s="195"/>
      <c r="FL304" s="195"/>
      <c r="FM304" s="195"/>
      <c r="FN304" s="195"/>
      <c r="FO304" s="195"/>
      <c r="FP304" s="195"/>
      <c r="FQ304" s="195"/>
      <c r="FR304" s="195"/>
      <c r="FS304" s="195"/>
      <c r="FT304" s="195"/>
      <c r="FU304" s="195"/>
      <c r="FV304" s="195"/>
      <c r="FW304" s="195"/>
      <c r="FX304" s="195"/>
      <c r="FY304" s="195"/>
    </row>
    <row r="305" spans="2:181" x14ac:dyDescent="0.25">
      <c r="B305" s="197">
        <v>234</v>
      </c>
      <c r="C305" s="195"/>
      <c r="D305" s="195"/>
      <c r="E305" s="195"/>
      <c r="F305" s="195"/>
      <c r="G305" s="195"/>
      <c r="H305" s="195"/>
      <c r="I305" s="195"/>
      <c r="J305" s="195"/>
      <c r="K305" s="195"/>
      <c r="L305" s="195"/>
      <c r="M305" s="195"/>
      <c r="N305" s="195"/>
      <c r="O305" s="195"/>
      <c r="P305" s="195"/>
      <c r="Q305" s="195"/>
      <c r="R305" s="195"/>
      <c r="S305" s="195"/>
      <c r="T305" s="197">
        <v>234</v>
      </c>
      <c r="U305" s="195"/>
      <c r="V305" s="195"/>
      <c r="W305" s="195"/>
      <c r="X305" s="195"/>
      <c r="Y305" s="195"/>
      <c r="Z305" s="195"/>
      <c r="AA305" s="195"/>
      <c r="AB305" s="195"/>
      <c r="AC305" s="195"/>
      <c r="AD305" s="195"/>
      <c r="AE305" s="195"/>
      <c r="AF305" s="195"/>
      <c r="AG305" s="195"/>
      <c r="AH305" s="195"/>
      <c r="AI305" s="195"/>
      <c r="AJ305" s="195"/>
      <c r="AK305" s="195"/>
      <c r="AL305" s="197">
        <v>234</v>
      </c>
      <c r="AM305" s="195"/>
      <c r="AN305" s="195"/>
      <c r="AO305" s="195"/>
      <c r="AP305" s="195"/>
      <c r="AQ305" s="195"/>
      <c r="AR305" s="195"/>
      <c r="AS305" s="195"/>
      <c r="AT305" s="195"/>
      <c r="AU305" s="195"/>
      <c r="AV305" s="195"/>
      <c r="AW305" s="195"/>
      <c r="AX305" s="195"/>
      <c r="AY305" s="195"/>
      <c r="AZ305" s="195"/>
      <c r="BA305" s="195"/>
      <c r="BB305" s="195"/>
      <c r="BC305" s="195"/>
      <c r="BD305" s="197">
        <v>234</v>
      </c>
      <c r="BE305" s="195"/>
      <c r="BF305" s="195"/>
      <c r="BG305" s="195"/>
      <c r="BH305" s="195"/>
      <c r="BI305" s="195"/>
      <c r="BJ305" s="195"/>
      <c r="BK305" s="195"/>
      <c r="BL305" s="195"/>
      <c r="BM305" s="195"/>
      <c r="BN305" s="195"/>
      <c r="BO305" s="195"/>
      <c r="BP305" s="195"/>
      <c r="BQ305" s="195"/>
      <c r="BR305" s="195"/>
      <c r="BS305" s="195"/>
      <c r="BT305" s="195"/>
      <c r="BU305" s="195"/>
      <c r="BV305" s="197">
        <v>234</v>
      </c>
      <c r="BW305" s="195"/>
      <c r="BX305" s="195"/>
      <c r="BY305" s="195"/>
      <c r="BZ305" s="195"/>
      <c r="CA305" s="195"/>
      <c r="CB305" s="195"/>
      <c r="CC305" s="195"/>
      <c r="CD305" s="195"/>
      <c r="CE305" s="195"/>
      <c r="CF305" s="195"/>
      <c r="CG305" s="195"/>
      <c r="CH305" s="195"/>
      <c r="CI305" s="195"/>
      <c r="CJ305" s="195"/>
      <c r="CK305" s="195"/>
      <c r="CL305" s="195"/>
      <c r="CM305" s="195"/>
      <c r="CN305" s="197">
        <v>234</v>
      </c>
      <c r="CO305" s="195"/>
      <c r="CP305" s="195"/>
      <c r="CQ305" s="195"/>
      <c r="CR305" s="195"/>
      <c r="CS305" s="195"/>
      <c r="CT305" s="195"/>
      <c r="CU305" s="195"/>
      <c r="CV305" s="195"/>
      <c r="CW305" s="195"/>
      <c r="CX305" s="195"/>
      <c r="CY305" s="195"/>
      <c r="CZ305" s="195"/>
      <c r="DA305" s="195"/>
      <c r="DB305" s="195"/>
      <c r="DC305" s="195"/>
      <c r="DD305" s="195"/>
      <c r="DE305" s="195"/>
      <c r="DF305" s="197">
        <v>234</v>
      </c>
      <c r="DG305" s="195"/>
      <c r="DH305" s="195"/>
      <c r="DI305" s="195"/>
      <c r="DJ305" s="195"/>
      <c r="DK305" s="195"/>
      <c r="DL305" s="195"/>
      <c r="DM305" s="195"/>
      <c r="DN305" s="195"/>
      <c r="DO305" s="195"/>
      <c r="DP305" s="195"/>
      <c r="DQ305" s="195"/>
      <c r="DR305" s="195"/>
      <c r="DS305" s="195"/>
      <c r="DT305" s="195"/>
      <c r="DU305" s="195"/>
      <c r="DV305" s="195"/>
      <c r="DW305" s="195"/>
      <c r="DX305" s="197">
        <v>234</v>
      </c>
      <c r="DY305" s="195"/>
      <c r="DZ305" s="195"/>
      <c r="EA305" s="195"/>
      <c r="EB305" s="195"/>
      <c r="EC305" s="195"/>
      <c r="ED305" s="195"/>
      <c r="EE305" s="195"/>
      <c r="EF305" s="195"/>
      <c r="EG305" s="195"/>
      <c r="EH305" s="195"/>
      <c r="EI305" s="195"/>
      <c r="EJ305" s="195"/>
      <c r="EK305" s="195"/>
      <c r="EL305" s="195"/>
      <c r="EM305" s="195"/>
      <c r="EN305" s="195"/>
      <c r="EO305" s="195"/>
      <c r="EP305" s="197">
        <v>234</v>
      </c>
      <c r="EQ305" s="195"/>
      <c r="ER305" s="195"/>
      <c r="ES305" s="195"/>
      <c r="ET305" s="195"/>
      <c r="EU305" s="195"/>
      <c r="EV305" s="195"/>
      <c r="EW305" s="195"/>
      <c r="EX305" s="195"/>
      <c r="EY305" s="195"/>
      <c r="EZ305" s="195"/>
      <c r="FA305" s="195"/>
      <c r="FB305" s="195"/>
      <c r="FC305" s="195"/>
      <c r="FD305" s="195"/>
      <c r="FE305" s="195"/>
      <c r="FF305" s="195"/>
      <c r="FG305" s="195"/>
      <c r="FH305" s="197">
        <v>234</v>
      </c>
      <c r="FI305" s="195"/>
      <c r="FJ305" s="195"/>
      <c r="FK305" s="195"/>
      <c r="FL305" s="195"/>
      <c r="FM305" s="195"/>
      <c r="FN305" s="195"/>
      <c r="FO305" s="195"/>
      <c r="FP305" s="195"/>
      <c r="FQ305" s="195"/>
      <c r="FR305" s="195"/>
      <c r="FS305" s="195"/>
      <c r="FT305" s="195"/>
      <c r="FU305" s="195"/>
      <c r="FV305" s="195"/>
      <c r="FW305" s="195"/>
      <c r="FX305" s="195"/>
      <c r="FY305" s="195"/>
    </row>
    <row r="306" spans="2:181" x14ac:dyDescent="0.25">
      <c r="B306" s="12">
        <v>235</v>
      </c>
      <c r="C306" s="195"/>
      <c r="D306" s="195"/>
      <c r="E306" s="195"/>
      <c r="F306" s="195"/>
      <c r="G306" s="195"/>
      <c r="H306" s="195"/>
      <c r="I306" s="195"/>
      <c r="J306" s="195"/>
      <c r="K306" s="195"/>
      <c r="L306" s="195"/>
      <c r="M306" s="195"/>
      <c r="N306" s="195"/>
      <c r="O306" s="195"/>
      <c r="P306" s="195"/>
      <c r="Q306" s="195"/>
      <c r="R306" s="195"/>
      <c r="S306" s="195"/>
      <c r="T306" s="12">
        <v>235</v>
      </c>
      <c r="U306" s="195"/>
      <c r="V306" s="195"/>
      <c r="W306" s="195"/>
      <c r="X306" s="195"/>
      <c r="Y306" s="195"/>
      <c r="Z306" s="195"/>
      <c r="AA306" s="195"/>
      <c r="AB306" s="195"/>
      <c r="AC306" s="195"/>
      <c r="AD306" s="195"/>
      <c r="AE306" s="195"/>
      <c r="AF306" s="195"/>
      <c r="AG306" s="195"/>
      <c r="AH306" s="195"/>
      <c r="AI306" s="195"/>
      <c r="AJ306" s="195"/>
      <c r="AK306" s="195"/>
      <c r="AL306" s="12">
        <v>235</v>
      </c>
      <c r="AM306" s="195"/>
      <c r="AN306" s="195"/>
      <c r="AO306" s="195"/>
      <c r="AP306" s="195"/>
      <c r="AQ306" s="195"/>
      <c r="AR306" s="195"/>
      <c r="AS306" s="195"/>
      <c r="AT306" s="195"/>
      <c r="AU306" s="195"/>
      <c r="AV306" s="195"/>
      <c r="AW306" s="195"/>
      <c r="AX306" s="195"/>
      <c r="AY306" s="195"/>
      <c r="AZ306" s="195"/>
      <c r="BA306" s="195"/>
      <c r="BB306" s="195"/>
      <c r="BC306" s="195"/>
      <c r="BD306" s="12">
        <v>235</v>
      </c>
      <c r="BE306" s="195"/>
      <c r="BF306" s="195"/>
      <c r="BG306" s="195"/>
      <c r="BH306" s="195"/>
      <c r="BI306" s="195"/>
      <c r="BJ306" s="195"/>
      <c r="BK306" s="195"/>
      <c r="BL306" s="195"/>
      <c r="BM306" s="195"/>
      <c r="BN306" s="195"/>
      <c r="BO306" s="195"/>
      <c r="BP306" s="195"/>
      <c r="BQ306" s="195"/>
      <c r="BR306" s="195"/>
      <c r="BS306" s="195"/>
      <c r="BT306" s="195"/>
      <c r="BU306" s="195"/>
      <c r="BV306" s="12">
        <v>235</v>
      </c>
      <c r="BW306" s="195"/>
      <c r="BX306" s="195"/>
      <c r="BY306" s="195"/>
      <c r="BZ306" s="195"/>
      <c r="CA306" s="195"/>
      <c r="CB306" s="195"/>
      <c r="CC306" s="195"/>
      <c r="CD306" s="195"/>
      <c r="CE306" s="195"/>
      <c r="CF306" s="195"/>
      <c r="CG306" s="195"/>
      <c r="CH306" s="195"/>
      <c r="CI306" s="195"/>
      <c r="CJ306" s="195"/>
      <c r="CK306" s="195"/>
      <c r="CL306" s="195"/>
      <c r="CM306" s="195"/>
      <c r="CN306" s="12">
        <v>235</v>
      </c>
      <c r="CO306" s="195"/>
      <c r="CP306" s="195"/>
      <c r="CQ306" s="195"/>
      <c r="CR306" s="195"/>
      <c r="CS306" s="195"/>
      <c r="CT306" s="195"/>
      <c r="CU306" s="195"/>
      <c r="CV306" s="195"/>
      <c r="CW306" s="195"/>
      <c r="CX306" s="195"/>
      <c r="CY306" s="195"/>
      <c r="CZ306" s="195"/>
      <c r="DA306" s="195"/>
      <c r="DB306" s="195"/>
      <c r="DC306" s="195"/>
      <c r="DD306" s="195"/>
      <c r="DE306" s="195"/>
      <c r="DF306" s="12">
        <v>235</v>
      </c>
      <c r="DG306" s="195"/>
      <c r="DH306" s="195"/>
      <c r="DI306" s="195"/>
      <c r="DJ306" s="195"/>
      <c r="DK306" s="195"/>
      <c r="DL306" s="195"/>
      <c r="DM306" s="195"/>
      <c r="DN306" s="195"/>
      <c r="DO306" s="195"/>
      <c r="DP306" s="195"/>
      <c r="DQ306" s="195"/>
      <c r="DR306" s="195"/>
      <c r="DS306" s="195"/>
      <c r="DT306" s="195"/>
      <c r="DU306" s="195"/>
      <c r="DV306" s="195"/>
      <c r="DW306" s="195"/>
      <c r="DX306" s="12">
        <v>235</v>
      </c>
      <c r="DY306" s="195"/>
      <c r="DZ306" s="195"/>
      <c r="EA306" s="195"/>
      <c r="EB306" s="195"/>
      <c r="EC306" s="195"/>
      <c r="ED306" s="195"/>
      <c r="EE306" s="195"/>
      <c r="EF306" s="195"/>
      <c r="EG306" s="195"/>
      <c r="EH306" s="195"/>
      <c r="EI306" s="195"/>
      <c r="EJ306" s="195"/>
      <c r="EK306" s="195"/>
      <c r="EL306" s="195"/>
      <c r="EM306" s="195"/>
      <c r="EN306" s="195"/>
      <c r="EO306" s="195"/>
      <c r="EP306" s="12">
        <v>235</v>
      </c>
      <c r="EQ306" s="195"/>
      <c r="ER306" s="195"/>
      <c r="ES306" s="195"/>
      <c r="ET306" s="195"/>
      <c r="EU306" s="195"/>
      <c r="EV306" s="195"/>
      <c r="EW306" s="195"/>
      <c r="EX306" s="195"/>
      <c r="EY306" s="195"/>
      <c r="EZ306" s="195"/>
      <c r="FA306" s="195"/>
      <c r="FB306" s="195"/>
      <c r="FC306" s="195"/>
      <c r="FD306" s="195"/>
      <c r="FE306" s="195"/>
      <c r="FF306" s="195"/>
      <c r="FG306" s="195"/>
      <c r="FH306" s="12">
        <v>235</v>
      </c>
      <c r="FI306" s="195"/>
      <c r="FJ306" s="195"/>
      <c r="FK306" s="195"/>
      <c r="FL306" s="195"/>
      <c r="FM306" s="195"/>
      <c r="FN306" s="195"/>
      <c r="FO306" s="195"/>
      <c r="FP306" s="195"/>
      <c r="FQ306" s="195"/>
      <c r="FR306" s="195"/>
      <c r="FS306" s="195"/>
      <c r="FT306" s="195"/>
      <c r="FU306" s="195"/>
      <c r="FV306" s="195"/>
      <c r="FW306" s="195"/>
      <c r="FX306" s="195"/>
      <c r="FY306" s="195"/>
    </row>
    <row r="307" spans="2:181" x14ac:dyDescent="0.25">
      <c r="B307" s="197">
        <v>236</v>
      </c>
      <c r="C307" s="195"/>
      <c r="D307" s="195"/>
      <c r="E307" s="195"/>
      <c r="F307" s="195"/>
      <c r="G307" s="195"/>
      <c r="H307" s="195"/>
      <c r="I307" s="195"/>
      <c r="J307" s="195"/>
      <c r="K307" s="195"/>
      <c r="L307" s="195"/>
      <c r="M307" s="195"/>
      <c r="N307" s="195"/>
      <c r="O307" s="195"/>
      <c r="P307" s="195"/>
      <c r="Q307" s="195"/>
      <c r="R307" s="195"/>
      <c r="S307" s="195"/>
      <c r="T307" s="197">
        <v>236</v>
      </c>
      <c r="U307" s="195"/>
      <c r="V307" s="195"/>
      <c r="W307" s="195"/>
      <c r="X307" s="195"/>
      <c r="Y307" s="195"/>
      <c r="Z307" s="195"/>
      <c r="AA307" s="195"/>
      <c r="AB307" s="195"/>
      <c r="AC307" s="195"/>
      <c r="AD307" s="195"/>
      <c r="AE307" s="195"/>
      <c r="AF307" s="195"/>
      <c r="AG307" s="195"/>
      <c r="AH307" s="195"/>
      <c r="AI307" s="195"/>
      <c r="AJ307" s="195"/>
      <c r="AK307" s="195"/>
      <c r="AL307" s="197">
        <v>236</v>
      </c>
      <c r="AM307" s="195"/>
      <c r="AN307" s="195"/>
      <c r="AO307" s="195"/>
      <c r="AP307" s="195"/>
      <c r="AQ307" s="195"/>
      <c r="AR307" s="195"/>
      <c r="AS307" s="195"/>
      <c r="AT307" s="195"/>
      <c r="AU307" s="195"/>
      <c r="AV307" s="195"/>
      <c r="AW307" s="195"/>
      <c r="AX307" s="195"/>
      <c r="AY307" s="195"/>
      <c r="AZ307" s="195"/>
      <c r="BA307" s="195"/>
      <c r="BB307" s="195"/>
      <c r="BC307" s="195"/>
      <c r="BD307" s="197">
        <v>236</v>
      </c>
      <c r="BE307" s="195"/>
      <c r="BF307" s="195"/>
      <c r="BG307" s="195"/>
      <c r="BH307" s="195"/>
      <c r="BI307" s="195"/>
      <c r="BJ307" s="195"/>
      <c r="BK307" s="195"/>
      <c r="BL307" s="195"/>
      <c r="BM307" s="195"/>
      <c r="BN307" s="195"/>
      <c r="BO307" s="195"/>
      <c r="BP307" s="195"/>
      <c r="BQ307" s="195"/>
      <c r="BR307" s="195"/>
      <c r="BS307" s="195"/>
      <c r="BT307" s="195"/>
      <c r="BU307" s="195"/>
      <c r="BV307" s="197">
        <v>236</v>
      </c>
      <c r="BW307" s="195"/>
      <c r="BX307" s="195"/>
      <c r="BY307" s="195"/>
      <c r="BZ307" s="195"/>
      <c r="CA307" s="195"/>
      <c r="CB307" s="195"/>
      <c r="CC307" s="195"/>
      <c r="CD307" s="195"/>
      <c r="CE307" s="195"/>
      <c r="CF307" s="195"/>
      <c r="CG307" s="195"/>
      <c r="CH307" s="195"/>
      <c r="CI307" s="195"/>
      <c r="CJ307" s="195"/>
      <c r="CK307" s="195"/>
      <c r="CL307" s="195"/>
      <c r="CM307" s="195"/>
      <c r="CN307" s="197">
        <v>236</v>
      </c>
      <c r="CO307" s="195"/>
      <c r="CP307" s="195"/>
      <c r="CQ307" s="195"/>
      <c r="CR307" s="195"/>
      <c r="CS307" s="195"/>
      <c r="CT307" s="195"/>
      <c r="CU307" s="195"/>
      <c r="CV307" s="195"/>
      <c r="CW307" s="195"/>
      <c r="CX307" s="195"/>
      <c r="CY307" s="195"/>
      <c r="CZ307" s="195"/>
      <c r="DA307" s="195"/>
      <c r="DB307" s="195"/>
      <c r="DC307" s="195"/>
      <c r="DD307" s="195"/>
      <c r="DE307" s="195"/>
      <c r="DF307" s="197">
        <v>236</v>
      </c>
      <c r="DG307" s="195"/>
      <c r="DH307" s="195"/>
      <c r="DI307" s="195"/>
      <c r="DJ307" s="195"/>
      <c r="DK307" s="195"/>
      <c r="DL307" s="195"/>
      <c r="DM307" s="195"/>
      <c r="DN307" s="195"/>
      <c r="DO307" s="195"/>
      <c r="DP307" s="195"/>
      <c r="DQ307" s="195"/>
      <c r="DR307" s="195"/>
      <c r="DS307" s="195"/>
      <c r="DT307" s="195"/>
      <c r="DU307" s="195"/>
      <c r="DV307" s="195"/>
      <c r="DW307" s="195"/>
      <c r="DX307" s="197">
        <v>236</v>
      </c>
      <c r="DY307" s="195"/>
      <c r="DZ307" s="195"/>
      <c r="EA307" s="195"/>
      <c r="EB307" s="195"/>
      <c r="EC307" s="195"/>
      <c r="ED307" s="195"/>
      <c r="EE307" s="195"/>
      <c r="EF307" s="195"/>
      <c r="EG307" s="195"/>
      <c r="EH307" s="195"/>
      <c r="EI307" s="195"/>
      <c r="EJ307" s="195"/>
      <c r="EK307" s="195"/>
      <c r="EL307" s="195"/>
      <c r="EM307" s="195"/>
      <c r="EN307" s="195"/>
      <c r="EO307" s="195"/>
      <c r="EP307" s="197">
        <v>236</v>
      </c>
      <c r="EQ307" s="195"/>
      <c r="ER307" s="195"/>
      <c r="ES307" s="195"/>
      <c r="ET307" s="195"/>
      <c r="EU307" s="195"/>
      <c r="EV307" s="195"/>
      <c r="EW307" s="195"/>
      <c r="EX307" s="195"/>
      <c r="EY307" s="195"/>
      <c r="EZ307" s="195"/>
      <c r="FA307" s="195"/>
      <c r="FB307" s="195"/>
      <c r="FC307" s="195"/>
      <c r="FD307" s="195"/>
      <c r="FE307" s="195"/>
      <c r="FF307" s="195"/>
      <c r="FG307" s="195"/>
      <c r="FH307" s="197">
        <v>236</v>
      </c>
      <c r="FI307" s="195"/>
      <c r="FJ307" s="195"/>
      <c r="FK307" s="195"/>
      <c r="FL307" s="195"/>
      <c r="FM307" s="195"/>
      <c r="FN307" s="195"/>
      <c r="FO307" s="195"/>
      <c r="FP307" s="195"/>
      <c r="FQ307" s="195"/>
      <c r="FR307" s="195"/>
      <c r="FS307" s="195"/>
      <c r="FT307" s="195"/>
      <c r="FU307" s="195"/>
      <c r="FV307" s="195"/>
      <c r="FW307" s="195"/>
      <c r="FX307" s="195"/>
      <c r="FY307" s="195"/>
    </row>
    <row r="308" spans="2:181" x14ac:dyDescent="0.25">
      <c r="B308" s="12">
        <v>237</v>
      </c>
      <c r="C308" s="195"/>
      <c r="D308" s="195"/>
      <c r="E308" s="195"/>
      <c r="F308" s="195"/>
      <c r="G308" s="195"/>
      <c r="H308" s="195"/>
      <c r="I308" s="195"/>
      <c r="J308" s="195"/>
      <c r="K308" s="195"/>
      <c r="L308" s="195"/>
      <c r="M308" s="195"/>
      <c r="N308" s="195"/>
      <c r="O308" s="195"/>
      <c r="P308" s="195"/>
      <c r="Q308" s="195"/>
      <c r="R308" s="195"/>
      <c r="S308" s="195"/>
      <c r="T308" s="12">
        <v>237</v>
      </c>
      <c r="U308" s="195"/>
      <c r="V308" s="195"/>
      <c r="W308" s="195"/>
      <c r="X308" s="195"/>
      <c r="Y308" s="195"/>
      <c r="Z308" s="195"/>
      <c r="AA308" s="195"/>
      <c r="AB308" s="195"/>
      <c r="AC308" s="195"/>
      <c r="AD308" s="195"/>
      <c r="AE308" s="195"/>
      <c r="AF308" s="195"/>
      <c r="AG308" s="195"/>
      <c r="AH308" s="195"/>
      <c r="AI308" s="195"/>
      <c r="AJ308" s="195"/>
      <c r="AK308" s="195"/>
      <c r="AL308" s="12">
        <v>237</v>
      </c>
      <c r="AM308" s="195"/>
      <c r="AN308" s="195"/>
      <c r="AO308" s="195"/>
      <c r="AP308" s="195"/>
      <c r="AQ308" s="195"/>
      <c r="AR308" s="195"/>
      <c r="AS308" s="195"/>
      <c r="AT308" s="195"/>
      <c r="AU308" s="195"/>
      <c r="AV308" s="195"/>
      <c r="AW308" s="195"/>
      <c r="AX308" s="195"/>
      <c r="AY308" s="195"/>
      <c r="AZ308" s="195"/>
      <c r="BA308" s="195"/>
      <c r="BB308" s="195"/>
      <c r="BC308" s="195"/>
      <c r="BD308" s="12">
        <v>237</v>
      </c>
      <c r="BE308" s="195"/>
      <c r="BF308" s="195"/>
      <c r="BG308" s="195"/>
      <c r="BH308" s="195"/>
      <c r="BI308" s="195"/>
      <c r="BJ308" s="195"/>
      <c r="BK308" s="195"/>
      <c r="BL308" s="195"/>
      <c r="BM308" s="195"/>
      <c r="BN308" s="195"/>
      <c r="BO308" s="195"/>
      <c r="BP308" s="195"/>
      <c r="BQ308" s="195"/>
      <c r="BR308" s="195"/>
      <c r="BS308" s="195"/>
      <c r="BT308" s="195"/>
      <c r="BU308" s="195"/>
      <c r="BV308" s="12">
        <v>237</v>
      </c>
      <c r="BW308" s="195"/>
      <c r="BX308" s="195"/>
      <c r="BY308" s="195"/>
      <c r="BZ308" s="195"/>
      <c r="CA308" s="195"/>
      <c r="CB308" s="195"/>
      <c r="CC308" s="195"/>
      <c r="CD308" s="195"/>
      <c r="CE308" s="195"/>
      <c r="CF308" s="195"/>
      <c r="CG308" s="195"/>
      <c r="CH308" s="195"/>
      <c r="CI308" s="195"/>
      <c r="CJ308" s="195"/>
      <c r="CK308" s="195"/>
      <c r="CL308" s="195"/>
      <c r="CM308" s="195"/>
      <c r="CN308" s="12">
        <v>237</v>
      </c>
      <c r="CO308" s="195"/>
      <c r="CP308" s="195"/>
      <c r="CQ308" s="195"/>
      <c r="CR308" s="195"/>
      <c r="CS308" s="195"/>
      <c r="CT308" s="195"/>
      <c r="CU308" s="195"/>
      <c r="CV308" s="195"/>
      <c r="CW308" s="195"/>
      <c r="CX308" s="195"/>
      <c r="CY308" s="195"/>
      <c r="CZ308" s="195"/>
      <c r="DA308" s="195"/>
      <c r="DB308" s="195"/>
      <c r="DC308" s="195"/>
      <c r="DD308" s="195"/>
      <c r="DE308" s="195"/>
      <c r="DF308" s="12">
        <v>237</v>
      </c>
      <c r="DG308" s="195"/>
      <c r="DH308" s="195"/>
      <c r="DI308" s="195"/>
      <c r="DJ308" s="195"/>
      <c r="DK308" s="195"/>
      <c r="DL308" s="195"/>
      <c r="DM308" s="195"/>
      <c r="DN308" s="195"/>
      <c r="DO308" s="195"/>
      <c r="DP308" s="195"/>
      <c r="DQ308" s="195"/>
      <c r="DR308" s="195"/>
      <c r="DS308" s="195"/>
      <c r="DT308" s="195"/>
      <c r="DU308" s="195"/>
      <c r="DV308" s="195"/>
      <c r="DW308" s="195"/>
      <c r="DX308" s="12">
        <v>237</v>
      </c>
      <c r="DY308" s="195"/>
      <c r="DZ308" s="195"/>
      <c r="EA308" s="195"/>
      <c r="EB308" s="195"/>
      <c r="EC308" s="195"/>
      <c r="ED308" s="195"/>
      <c r="EE308" s="195"/>
      <c r="EF308" s="195"/>
      <c r="EG308" s="195"/>
      <c r="EH308" s="195"/>
      <c r="EI308" s="195"/>
      <c r="EJ308" s="195"/>
      <c r="EK308" s="195"/>
      <c r="EL308" s="195"/>
      <c r="EM308" s="195"/>
      <c r="EN308" s="195"/>
      <c r="EO308" s="195"/>
      <c r="EP308" s="12">
        <v>237</v>
      </c>
      <c r="EQ308" s="195"/>
      <c r="ER308" s="195"/>
      <c r="ES308" s="195"/>
      <c r="ET308" s="195"/>
      <c r="EU308" s="195"/>
      <c r="EV308" s="195"/>
      <c r="EW308" s="195"/>
      <c r="EX308" s="195"/>
      <c r="EY308" s="195"/>
      <c r="EZ308" s="195"/>
      <c r="FA308" s="195"/>
      <c r="FB308" s="195"/>
      <c r="FC308" s="195"/>
      <c r="FD308" s="195"/>
      <c r="FE308" s="195"/>
      <c r="FF308" s="195"/>
      <c r="FG308" s="195"/>
      <c r="FH308" s="12">
        <v>237</v>
      </c>
      <c r="FI308" s="195"/>
      <c r="FJ308" s="195"/>
      <c r="FK308" s="195"/>
      <c r="FL308" s="195"/>
      <c r="FM308" s="195"/>
      <c r="FN308" s="195"/>
      <c r="FO308" s="195"/>
      <c r="FP308" s="195"/>
      <c r="FQ308" s="195"/>
      <c r="FR308" s="195"/>
      <c r="FS308" s="195"/>
      <c r="FT308" s="195"/>
      <c r="FU308" s="195"/>
      <c r="FV308" s="195"/>
      <c r="FW308" s="195"/>
      <c r="FX308" s="195"/>
      <c r="FY308" s="195"/>
    </row>
    <row r="309" spans="2:181" x14ac:dyDescent="0.25">
      <c r="B309" s="197">
        <v>238</v>
      </c>
      <c r="C309" s="195"/>
      <c r="D309" s="195"/>
      <c r="E309" s="195"/>
      <c r="F309" s="195"/>
      <c r="G309" s="195"/>
      <c r="H309" s="195"/>
      <c r="I309" s="195"/>
      <c r="J309" s="195"/>
      <c r="K309" s="195"/>
      <c r="L309" s="195"/>
      <c r="M309" s="195"/>
      <c r="N309" s="195"/>
      <c r="O309" s="195"/>
      <c r="P309" s="195"/>
      <c r="Q309" s="195"/>
      <c r="R309" s="195"/>
      <c r="S309" s="195"/>
      <c r="T309" s="197">
        <v>238</v>
      </c>
      <c r="U309" s="195"/>
      <c r="V309" s="195"/>
      <c r="W309" s="195"/>
      <c r="X309" s="195"/>
      <c r="Y309" s="195"/>
      <c r="Z309" s="195"/>
      <c r="AA309" s="195"/>
      <c r="AB309" s="195"/>
      <c r="AC309" s="195"/>
      <c r="AD309" s="195"/>
      <c r="AE309" s="195"/>
      <c r="AF309" s="195"/>
      <c r="AG309" s="195"/>
      <c r="AH309" s="195"/>
      <c r="AI309" s="195"/>
      <c r="AJ309" s="195"/>
      <c r="AK309" s="195"/>
      <c r="AL309" s="197">
        <v>238</v>
      </c>
      <c r="AM309" s="195"/>
      <c r="AN309" s="195"/>
      <c r="AO309" s="195"/>
      <c r="AP309" s="195"/>
      <c r="AQ309" s="195"/>
      <c r="AR309" s="195"/>
      <c r="AS309" s="195"/>
      <c r="AT309" s="195"/>
      <c r="AU309" s="195"/>
      <c r="AV309" s="195"/>
      <c r="AW309" s="195"/>
      <c r="AX309" s="195"/>
      <c r="AY309" s="195"/>
      <c r="AZ309" s="195"/>
      <c r="BA309" s="195"/>
      <c r="BB309" s="195"/>
      <c r="BC309" s="195"/>
      <c r="BD309" s="197">
        <v>238</v>
      </c>
      <c r="BE309" s="195"/>
      <c r="BF309" s="195"/>
      <c r="BG309" s="195"/>
      <c r="BH309" s="195"/>
      <c r="BI309" s="195"/>
      <c r="BJ309" s="195"/>
      <c r="BK309" s="195"/>
      <c r="BL309" s="195"/>
      <c r="BM309" s="195"/>
      <c r="BN309" s="195"/>
      <c r="BO309" s="195"/>
      <c r="BP309" s="195"/>
      <c r="BQ309" s="195"/>
      <c r="BR309" s="195"/>
      <c r="BS309" s="195"/>
      <c r="BT309" s="195"/>
      <c r="BU309" s="195"/>
      <c r="BV309" s="197">
        <v>238</v>
      </c>
      <c r="BW309" s="195"/>
      <c r="BX309" s="195"/>
      <c r="BY309" s="195"/>
      <c r="BZ309" s="195"/>
      <c r="CA309" s="195"/>
      <c r="CB309" s="195"/>
      <c r="CC309" s="195"/>
      <c r="CD309" s="195"/>
      <c r="CE309" s="195"/>
      <c r="CF309" s="195"/>
      <c r="CG309" s="195"/>
      <c r="CH309" s="195"/>
      <c r="CI309" s="195"/>
      <c r="CJ309" s="195"/>
      <c r="CK309" s="195"/>
      <c r="CL309" s="195"/>
      <c r="CM309" s="195"/>
      <c r="CN309" s="197">
        <v>238</v>
      </c>
      <c r="CO309" s="195"/>
      <c r="CP309" s="195"/>
      <c r="CQ309" s="195"/>
      <c r="CR309" s="195"/>
      <c r="CS309" s="195"/>
      <c r="CT309" s="195"/>
      <c r="CU309" s="195"/>
      <c r="CV309" s="195"/>
      <c r="CW309" s="195"/>
      <c r="CX309" s="195"/>
      <c r="CY309" s="195"/>
      <c r="CZ309" s="195"/>
      <c r="DA309" s="195"/>
      <c r="DB309" s="195"/>
      <c r="DC309" s="195"/>
      <c r="DD309" s="195"/>
      <c r="DE309" s="195"/>
      <c r="DF309" s="197">
        <v>238</v>
      </c>
      <c r="DG309" s="195"/>
      <c r="DH309" s="195"/>
      <c r="DI309" s="195"/>
      <c r="DJ309" s="195"/>
      <c r="DK309" s="195"/>
      <c r="DL309" s="195"/>
      <c r="DM309" s="195"/>
      <c r="DN309" s="195"/>
      <c r="DO309" s="195"/>
      <c r="DP309" s="195"/>
      <c r="DQ309" s="195"/>
      <c r="DR309" s="195"/>
      <c r="DS309" s="195"/>
      <c r="DT309" s="195"/>
      <c r="DU309" s="195"/>
      <c r="DV309" s="195"/>
      <c r="DW309" s="195"/>
      <c r="DX309" s="197">
        <v>238</v>
      </c>
      <c r="DY309" s="195"/>
      <c r="DZ309" s="195"/>
      <c r="EA309" s="195"/>
      <c r="EB309" s="195"/>
      <c r="EC309" s="195"/>
      <c r="ED309" s="195"/>
      <c r="EE309" s="195"/>
      <c r="EF309" s="195"/>
      <c r="EG309" s="195"/>
      <c r="EH309" s="195"/>
      <c r="EI309" s="195"/>
      <c r="EJ309" s="195"/>
      <c r="EK309" s="195"/>
      <c r="EL309" s="195"/>
      <c r="EM309" s="195"/>
      <c r="EN309" s="195"/>
      <c r="EO309" s="195"/>
      <c r="EP309" s="197">
        <v>238</v>
      </c>
      <c r="EQ309" s="195"/>
      <c r="ER309" s="195"/>
      <c r="ES309" s="195"/>
      <c r="ET309" s="195"/>
      <c r="EU309" s="195"/>
      <c r="EV309" s="195"/>
      <c r="EW309" s="195"/>
      <c r="EX309" s="195"/>
      <c r="EY309" s="195"/>
      <c r="EZ309" s="195"/>
      <c r="FA309" s="195"/>
      <c r="FB309" s="195"/>
      <c r="FC309" s="195"/>
      <c r="FD309" s="195"/>
      <c r="FE309" s="195"/>
      <c r="FF309" s="195"/>
      <c r="FG309" s="195"/>
      <c r="FH309" s="197">
        <v>238</v>
      </c>
      <c r="FI309" s="195"/>
      <c r="FJ309" s="195"/>
      <c r="FK309" s="195"/>
      <c r="FL309" s="195"/>
      <c r="FM309" s="195"/>
      <c r="FN309" s="195"/>
      <c r="FO309" s="195"/>
      <c r="FP309" s="195"/>
      <c r="FQ309" s="195"/>
      <c r="FR309" s="195"/>
      <c r="FS309" s="195"/>
      <c r="FT309" s="195"/>
      <c r="FU309" s="195"/>
      <c r="FV309" s="195"/>
      <c r="FW309" s="195"/>
      <c r="FX309" s="195"/>
      <c r="FY309" s="195"/>
    </row>
    <row r="310" spans="2:181" x14ac:dyDescent="0.25">
      <c r="B310" s="12">
        <v>239</v>
      </c>
      <c r="C310" s="195"/>
      <c r="D310" s="195"/>
      <c r="E310" s="195"/>
      <c r="F310" s="195"/>
      <c r="G310" s="195"/>
      <c r="H310" s="195"/>
      <c r="I310" s="195"/>
      <c r="J310" s="195"/>
      <c r="K310" s="195"/>
      <c r="L310" s="195"/>
      <c r="M310" s="195"/>
      <c r="N310" s="195"/>
      <c r="O310" s="195"/>
      <c r="P310" s="195"/>
      <c r="Q310" s="195"/>
      <c r="R310" s="195"/>
      <c r="S310" s="195"/>
      <c r="T310" s="12">
        <v>239</v>
      </c>
      <c r="U310" s="195"/>
      <c r="V310" s="195"/>
      <c r="W310" s="195"/>
      <c r="X310" s="195"/>
      <c r="Y310" s="195"/>
      <c r="Z310" s="195"/>
      <c r="AA310" s="195"/>
      <c r="AB310" s="195"/>
      <c r="AC310" s="195"/>
      <c r="AD310" s="195"/>
      <c r="AE310" s="195"/>
      <c r="AF310" s="195"/>
      <c r="AG310" s="195"/>
      <c r="AH310" s="195"/>
      <c r="AI310" s="195"/>
      <c r="AJ310" s="195"/>
      <c r="AK310" s="195"/>
      <c r="AL310" s="12">
        <v>239</v>
      </c>
      <c r="AM310" s="195"/>
      <c r="AN310" s="195"/>
      <c r="AO310" s="195"/>
      <c r="AP310" s="195"/>
      <c r="AQ310" s="195"/>
      <c r="AR310" s="195"/>
      <c r="AS310" s="195"/>
      <c r="AT310" s="195"/>
      <c r="AU310" s="195"/>
      <c r="AV310" s="195"/>
      <c r="AW310" s="195"/>
      <c r="AX310" s="195"/>
      <c r="AY310" s="195"/>
      <c r="AZ310" s="195"/>
      <c r="BA310" s="195"/>
      <c r="BB310" s="195"/>
      <c r="BC310" s="195"/>
      <c r="BD310" s="12">
        <v>239</v>
      </c>
      <c r="BE310" s="195"/>
      <c r="BF310" s="195"/>
      <c r="BG310" s="195"/>
      <c r="BH310" s="195"/>
      <c r="BI310" s="195"/>
      <c r="BJ310" s="195"/>
      <c r="BK310" s="195"/>
      <c r="BL310" s="195"/>
      <c r="BM310" s="195"/>
      <c r="BN310" s="195"/>
      <c r="BO310" s="195"/>
      <c r="BP310" s="195"/>
      <c r="BQ310" s="195"/>
      <c r="BR310" s="195"/>
      <c r="BS310" s="195"/>
      <c r="BT310" s="195"/>
      <c r="BU310" s="195"/>
      <c r="BV310" s="12">
        <v>239</v>
      </c>
      <c r="BW310" s="195"/>
      <c r="BX310" s="195"/>
      <c r="BY310" s="195"/>
      <c r="BZ310" s="195"/>
      <c r="CA310" s="195"/>
      <c r="CB310" s="195"/>
      <c r="CC310" s="195"/>
      <c r="CD310" s="195"/>
      <c r="CE310" s="195"/>
      <c r="CF310" s="195"/>
      <c r="CG310" s="195"/>
      <c r="CH310" s="195"/>
      <c r="CI310" s="195"/>
      <c r="CJ310" s="195"/>
      <c r="CK310" s="195"/>
      <c r="CL310" s="195"/>
      <c r="CM310" s="195"/>
      <c r="CN310" s="12">
        <v>239</v>
      </c>
      <c r="CO310" s="195"/>
      <c r="CP310" s="195"/>
      <c r="CQ310" s="195"/>
      <c r="CR310" s="195"/>
      <c r="CS310" s="195"/>
      <c r="CT310" s="195"/>
      <c r="CU310" s="195"/>
      <c r="CV310" s="195"/>
      <c r="CW310" s="195"/>
      <c r="CX310" s="195"/>
      <c r="CY310" s="195"/>
      <c r="CZ310" s="195"/>
      <c r="DA310" s="195"/>
      <c r="DB310" s="195"/>
      <c r="DC310" s="195"/>
      <c r="DD310" s="195"/>
      <c r="DE310" s="195"/>
      <c r="DF310" s="12">
        <v>239</v>
      </c>
      <c r="DG310" s="195"/>
      <c r="DH310" s="195"/>
      <c r="DI310" s="195"/>
      <c r="DJ310" s="195"/>
      <c r="DK310" s="195"/>
      <c r="DL310" s="195"/>
      <c r="DM310" s="195"/>
      <c r="DN310" s="195"/>
      <c r="DO310" s="195"/>
      <c r="DP310" s="195"/>
      <c r="DQ310" s="195"/>
      <c r="DR310" s="195"/>
      <c r="DS310" s="195"/>
      <c r="DT310" s="195"/>
      <c r="DU310" s="195"/>
      <c r="DV310" s="195"/>
      <c r="DW310" s="195"/>
      <c r="DX310" s="12">
        <v>239</v>
      </c>
      <c r="DY310" s="195"/>
      <c r="DZ310" s="195"/>
      <c r="EA310" s="195"/>
      <c r="EB310" s="195"/>
      <c r="EC310" s="195"/>
      <c r="ED310" s="195"/>
      <c r="EE310" s="195"/>
      <c r="EF310" s="195"/>
      <c r="EG310" s="195"/>
      <c r="EH310" s="195"/>
      <c r="EI310" s="195"/>
      <c r="EJ310" s="195"/>
      <c r="EK310" s="195"/>
      <c r="EL310" s="195"/>
      <c r="EM310" s="195"/>
      <c r="EN310" s="195"/>
      <c r="EO310" s="195"/>
      <c r="EP310" s="12">
        <v>239</v>
      </c>
      <c r="EQ310" s="195"/>
      <c r="ER310" s="195"/>
      <c r="ES310" s="195"/>
      <c r="ET310" s="195"/>
      <c r="EU310" s="195"/>
      <c r="EV310" s="195"/>
      <c r="EW310" s="195"/>
      <c r="EX310" s="195"/>
      <c r="EY310" s="195"/>
      <c r="EZ310" s="195"/>
      <c r="FA310" s="195"/>
      <c r="FB310" s="195"/>
      <c r="FC310" s="195"/>
      <c r="FD310" s="195"/>
      <c r="FE310" s="195"/>
      <c r="FF310" s="195"/>
      <c r="FG310" s="195"/>
      <c r="FH310" s="12">
        <v>239</v>
      </c>
      <c r="FI310" s="195"/>
      <c r="FJ310" s="195"/>
      <c r="FK310" s="195"/>
      <c r="FL310" s="195"/>
      <c r="FM310" s="195"/>
      <c r="FN310" s="195"/>
      <c r="FO310" s="195"/>
      <c r="FP310" s="195"/>
      <c r="FQ310" s="195"/>
      <c r="FR310" s="195"/>
      <c r="FS310" s="195"/>
      <c r="FT310" s="195"/>
      <c r="FU310" s="195"/>
      <c r="FV310" s="195"/>
      <c r="FW310" s="195"/>
      <c r="FX310" s="195"/>
      <c r="FY310" s="195"/>
    </row>
    <row r="311" spans="2:181" x14ac:dyDescent="0.25">
      <c r="B311" s="197">
        <v>240</v>
      </c>
      <c r="C311" s="195"/>
      <c r="D311" s="195"/>
      <c r="E311" s="195"/>
      <c r="F311" s="195"/>
      <c r="G311" s="195"/>
      <c r="H311" s="195"/>
      <c r="I311" s="195"/>
      <c r="J311" s="195"/>
      <c r="K311" s="195"/>
      <c r="L311" s="195"/>
      <c r="M311" s="195"/>
      <c r="N311" s="195"/>
      <c r="O311" s="195"/>
      <c r="P311" s="195"/>
      <c r="Q311" s="195"/>
      <c r="R311" s="195"/>
      <c r="S311" s="195"/>
      <c r="T311" s="197">
        <v>240</v>
      </c>
      <c r="U311" s="195"/>
      <c r="V311" s="195"/>
      <c r="W311" s="195"/>
      <c r="X311" s="195"/>
      <c r="Y311" s="195"/>
      <c r="Z311" s="195"/>
      <c r="AA311" s="195"/>
      <c r="AB311" s="195"/>
      <c r="AC311" s="195"/>
      <c r="AD311" s="195"/>
      <c r="AE311" s="195"/>
      <c r="AF311" s="195"/>
      <c r="AG311" s="195"/>
      <c r="AH311" s="195"/>
      <c r="AI311" s="195"/>
      <c r="AJ311" s="195"/>
      <c r="AK311" s="195"/>
      <c r="AL311" s="197">
        <v>240</v>
      </c>
      <c r="AM311" s="195"/>
      <c r="AN311" s="195"/>
      <c r="AO311" s="195"/>
      <c r="AP311" s="195"/>
      <c r="AQ311" s="195"/>
      <c r="AR311" s="195"/>
      <c r="AS311" s="195"/>
      <c r="AT311" s="195"/>
      <c r="AU311" s="195"/>
      <c r="AV311" s="195"/>
      <c r="AW311" s="195"/>
      <c r="AX311" s="195"/>
      <c r="AY311" s="195"/>
      <c r="AZ311" s="195"/>
      <c r="BA311" s="195"/>
      <c r="BB311" s="195"/>
      <c r="BC311" s="195"/>
      <c r="BD311" s="197">
        <v>240</v>
      </c>
      <c r="BE311" s="195"/>
      <c r="BF311" s="195"/>
      <c r="BG311" s="195"/>
      <c r="BH311" s="195"/>
      <c r="BI311" s="195"/>
      <c r="BJ311" s="195"/>
      <c r="BK311" s="195"/>
      <c r="BL311" s="195"/>
      <c r="BM311" s="195"/>
      <c r="BN311" s="195"/>
      <c r="BO311" s="195"/>
      <c r="BP311" s="195"/>
      <c r="BQ311" s="195"/>
      <c r="BR311" s="195"/>
      <c r="BS311" s="195"/>
      <c r="BT311" s="195"/>
      <c r="BU311" s="195"/>
      <c r="BV311" s="197">
        <v>240</v>
      </c>
      <c r="BW311" s="195"/>
      <c r="BX311" s="195"/>
      <c r="BY311" s="195"/>
      <c r="BZ311" s="195"/>
      <c r="CA311" s="195"/>
      <c r="CB311" s="195"/>
      <c r="CC311" s="195"/>
      <c r="CD311" s="195"/>
      <c r="CE311" s="195"/>
      <c r="CF311" s="195"/>
      <c r="CG311" s="195"/>
      <c r="CH311" s="195"/>
      <c r="CI311" s="195"/>
      <c r="CJ311" s="195"/>
      <c r="CK311" s="195"/>
      <c r="CL311" s="195"/>
      <c r="CM311" s="195"/>
      <c r="CN311" s="197">
        <v>240</v>
      </c>
      <c r="CO311" s="195"/>
      <c r="CP311" s="195"/>
      <c r="CQ311" s="195"/>
      <c r="CR311" s="195"/>
      <c r="CS311" s="195"/>
      <c r="CT311" s="195"/>
      <c r="CU311" s="195"/>
      <c r="CV311" s="195"/>
      <c r="CW311" s="195"/>
      <c r="CX311" s="195"/>
      <c r="CY311" s="195"/>
      <c r="CZ311" s="195"/>
      <c r="DA311" s="195"/>
      <c r="DB311" s="195"/>
      <c r="DC311" s="195"/>
      <c r="DD311" s="195"/>
      <c r="DE311" s="195"/>
      <c r="DF311" s="197">
        <v>240</v>
      </c>
      <c r="DG311" s="195"/>
      <c r="DH311" s="195"/>
      <c r="DI311" s="195"/>
      <c r="DJ311" s="195"/>
      <c r="DK311" s="195"/>
      <c r="DL311" s="195"/>
      <c r="DM311" s="195"/>
      <c r="DN311" s="195"/>
      <c r="DO311" s="195"/>
      <c r="DP311" s="195"/>
      <c r="DQ311" s="195"/>
      <c r="DR311" s="195"/>
      <c r="DS311" s="195"/>
      <c r="DT311" s="195"/>
      <c r="DU311" s="195"/>
      <c r="DV311" s="195"/>
      <c r="DW311" s="195"/>
      <c r="DX311" s="197">
        <v>240</v>
      </c>
      <c r="DY311" s="195"/>
      <c r="DZ311" s="195"/>
      <c r="EA311" s="195"/>
      <c r="EB311" s="195"/>
      <c r="EC311" s="195"/>
      <c r="ED311" s="195"/>
      <c r="EE311" s="195"/>
      <c r="EF311" s="195"/>
      <c r="EG311" s="195"/>
      <c r="EH311" s="195"/>
      <c r="EI311" s="195"/>
      <c r="EJ311" s="195"/>
      <c r="EK311" s="195"/>
      <c r="EL311" s="195"/>
      <c r="EM311" s="195"/>
      <c r="EN311" s="195"/>
      <c r="EO311" s="195"/>
      <c r="EP311" s="197">
        <v>240</v>
      </c>
      <c r="EQ311" s="195"/>
      <c r="ER311" s="195"/>
      <c r="ES311" s="195"/>
      <c r="ET311" s="195"/>
      <c r="EU311" s="195"/>
      <c r="EV311" s="195"/>
      <c r="EW311" s="195"/>
      <c r="EX311" s="195"/>
      <c r="EY311" s="195"/>
      <c r="EZ311" s="195"/>
      <c r="FA311" s="195"/>
      <c r="FB311" s="195"/>
      <c r="FC311" s="195"/>
      <c r="FD311" s="195"/>
      <c r="FE311" s="195"/>
      <c r="FF311" s="195"/>
      <c r="FG311" s="195"/>
      <c r="FH311" s="197">
        <v>240</v>
      </c>
      <c r="FI311" s="195"/>
      <c r="FJ311" s="195"/>
      <c r="FK311" s="195"/>
      <c r="FL311" s="195"/>
      <c r="FM311" s="195"/>
      <c r="FN311" s="195"/>
      <c r="FO311" s="195"/>
      <c r="FP311" s="195"/>
      <c r="FQ311" s="195"/>
      <c r="FR311" s="195"/>
      <c r="FS311" s="195"/>
      <c r="FT311" s="195"/>
      <c r="FU311" s="195"/>
      <c r="FV311" s="195"/>
      <c r="FW311" s="195"/>
      <c r="FX311" s="195"/>
      <c r="FY311" s="195"/>
    </row>
    <row r="312" spans="2:181" x14ac:dyDescent="0.25">
      <c r="B312" s="176"/>
      <c r="C312" s="198"/>
      <c r="D312" s="198"/>
      <c r="E312" s="198"/>
      <c r="F312" s="198"/>
      <c r="G312" s="198"/>
      <c r="H312" s="198"/>
      <c r="I312" s="198"/>
      <c r="J312" s="198"/>
      <c r="K312" s="198"/>
      <c r="L312" s="198"/>
      <c r="M312" s="198"/>
      <c r="N312" s="198"/>
      <c r="O312" s="198"/>
      <c r="P312" s="198"/>
      <c r="Q312" s="198"/>
      <c r="R312" s="198"/>
      <c r="S312" s="198"/>
      <c r="T312" s="176"/>
      <c r="U312" s="198"/>
      <c r="V312" s="198"/>
      <c r="W312" s="198"/>
      <c r="X312" s="198"/>
      <c r="Y312" s="198"/>
      <c r="Z312" s="198"/>
      <c r="AA312" s="198"/>
      <c r="AB312" s="198"/>
      <c r="AC312" s="198"/>
      <c r="AD312" s="198"/>
      <c r="AE312" s="198"/>
      <c r="AF312" s="198"/>
      <c r="AG312" s="198"/>
      <c r="AH312" s="198"/>
      <c r="AI312" s="198"/>
      <c r="AJ312" s="198"/>
      <c r="AK312" s="198"/>
      <c r="AL312" s="176"/>
      <c r="AM312" s="198"/>
      <c r="AN312" s="198"/>
      <c r="AO312" s="198"/>
      <c r="AP312" s="198"/>
      <c r="AQ312" s="198"/>
      <c r="AR312" s="198"/>
      <c r="AS312" s="198"/>
      <c r="AT312" s="198"/>
      <c r="AU312" s="198"/>
      <c r="AV312" s="198"/>
      <c r="AW312" s="198"/>
      <c r="AX312" s="198"/>
      <c r="AY312" s="198"/>
      <c r="AZ312" s="198"/>
      <c r="BA312" s="198"/>
      <c r="BB312" s="198"/>
      <c r="BC312" s="198"/>
      <c r="BD312" s="176"/>
      <c r="BE312" s="198"/>
      <c r="BF312" s="198"/>
      <c r="BG312" s="198"/>
      <c r="BH312" s="198"/>
      <c r="BI312" s="198"/>
      <c r="BJ312" s="198"/>
      <c r="BK312" s="198"/>
      <c r="BL312" s="198"/>
      <c r="BM312" s="198"/>
      <c r="BN312" s="198"/>
      <c r="BO312" s="198"/>
      <c r="BP312" s="198"/>
      <c r="BQ312" s="198"/>
      <c r="BR312" s="198"/>
      <c r="BS312" s="198"/>
      <c r="BT312" s="198"/>
      <c r="BU312" s="198"/>
      <c r="BV312" s="176"/>
      <c r="BW312" s="198"/>
      <c r="BX312" s="198"/>
      <c r="BY312" s="198"/>
      <c r="BZ312" s="198"/>
      <c r="CA312" s="198"/>
      <c r="CB312" s="198"/>
      <c r="CC312" s="198"/>
      <c r="CD312" s="198"/>
      <c r="CE312" s="198"/>
      <c r="CF312" s="198"/>
      <c r="CG312" s="198"/>
      <c r="CH312" s="198"/>
      <c r="CI312" s="198"/>
      <c r="CJ312" s="198"/>
      <c r="CK312" s="198"/>
      <c r="CL312" s="198"/>
      <c r="CM312" s="198"/>
      <c r="CN312" s="176"/>
      <c r="CO312" s="198"/>
      <c r="CP312" s="198"/>
      <c r="CQ312" s="198"/>
      <c r="CR312" s="198"/>
      <c r="CS312" s="198"/>
      <c r="CT312" s="198"/>
      <c r="CU312" s="198"/>
      <c r="CV312" s="198"/>
      <c r="CW312" s="198"/>
      <c r="CX312" s="198"/>
      <c r="CY312" s="198"/>
      <c r="CZ312" s="198"/>
      <c r="DA312" s="198"/>
      <c r="DB312" s="198"/>
      <c r="DC312" s="198"/>
      <c r="DD312" s="198"/>
      <c r="DE312" s="198"/>
      <c r="DF312" s="176"/>
      <c r="DG312" s="198"/>
      <c r="DH312" s="198"/>
      <c r="DI312" s="198"/>
      <c r="DJ312" s="198"/>
      <c r="DK312" s="198"/>
      <c r="DL312" s="198"/>
      <c r="DM312" s="198"/>
      <c r="DN312" s="198"/>
      <c r="DO312" s="198"/>
      <c r="DP312" s="198"/>
      <c r="DQ312" s="198"/>
      <c r="DR312" s="198"/>
      <c r="DS312" s="198"/>
      <c r="DT312" s="198"/>
      <c r="DU312" s="198"/>
      <c r="DV312" s="198"/>
      <c r="DW312" s="198"/>
      <c r="DX312" s="176"/>
      <c r="DY312" s="198"/>
      <c r="DZ312" s="198"/>
      <c r="EA312" s="198"/>
      <c r="EB312" s="198"/>
      <c r="EC312" s="198"/>
      <c r="ED312" s="198"/>
      <c r="EE312" s="198"/>
      <c r="EF312" s="198"/>
      <c r="EG312" s="198"/>
      <c r="EH312" s="198"/>
      <c r="EI312" s="198"/>
      <c r="EJ312" s="198"/>
      <c r="EK312" s="198"/>
      <c r="EL312" s="198"/>
      <c r="EM312" s="198"/>
      <c r="EN312" s="198"/>
      <c r="EO312" s="198"/>
      <c r="EP312" s="176"/>
      <c r="EQ312" s="198"/>
      <c r="ER312" s="198"/>
      <c r="ES312" s="198"/>
      <c r="ET312" s="198"/>
      <c r="EU312" s="198"/>
      <c r="EV312" s="198"/>
      <c r="EW312" s="198"/>
      <c r="EX312" s="198"/>
      <c r="EY312" s="198"/>
      <c r="EZ312" s="198"/>
      <c r="FA312" s="198"/>
      <c r="FB312" s="198"/>
      <c r="FC312" s="198"/>
      <c r="FD312" s="198"/>
      <c r="FE312" s="198"/>
      <c r="FF312" s="198"/>
      <c r="FG312" s="198"/>
      <c r="FH312" s="176"/>
      <c r="FI312" s="198"/>
      <c r="FJ312" s="198"/>
      <c r="FK312" s="198"/>
      <c r="FL312" s="198"/>
      <c r="FM312" s="198"/>
      <c r="FN312" s="198"/>
      <c r="FO312" s="198"/>
      <c r="FP312" s="198"/>
      <c r="FQ312" s="198"/>
      <c r="FR312" s="198"/>
      <c r="FS312" s="198"/>
      <c r="FT312" s="198"/>
      <c r="FU312" s="198"/>
      <c r="FV312" s="198"/>
      <c r="FW312" s="198"/>
      <c r="FX312" s="198"/>
      <c r="FY312" s="198"/>
    </row>
    <row r="313" spans="2:181" x14ac:dyDescent="0.25">
      <c r="B313" s="977" t="s">
        <v>543</v>
      </c>
      <c r="C313" s="977"/>
      <c r="D313" s="977"/>
      <c r="E313" s="977"/>
      <c r="F313" s="977"/>
      <c r="G313" s="199">
        <f>COUNTA(C282:S311)</f>
        <v>0</v>
      </c>
      <c r="H313" s="198" t="s">
        <v>544</v>
      </c>
      <c r="I313" s="198"/>
      <c r="J313" s="198"/>
      <c r="K313" s="198"/>
      <c r="L313" s="198"/>
      <c r="M313" s="200" t="s">
        <v>545</v>
      </c>
      <c r="N313" s="201">
        <f>MAX(C282:S311,U282:AK311)</f>
        <v>0</v>
      </c>
      <c r="O313" s="198"/>
      <c r="P313" s="198"/>
      <c r="Q313" s="198"/>
      <c r="R313" s="198"/>
      <c r="S313" s="198"/>
      <c r="T313" s="977" t="s">
        <v>543</v>
      </c>
      <c r="U313" s="977"/>
      <c r="V313" s="977"/>
      <c r="W313" s="977"/>
      <c r="X313" s="977"/>
      <c r="Y313" s="199">
        <f>COUNTA(U282:AK311)</f>
        <v>0</v>
      </c>
      <c r="Z313" s="198" t="s">
        <v>544</v>
      </c>
      <c r="AA313" s="198"/>
      <c r="AB313" s="198"/>
      <c r="AC313" s="198"/>
      <c r="AD313" s="198"/>
      <c r="AE313" s="198"/>
      <c r="AF313" s="198"/>
      <c r="AG313" s="198"/>
      <c r="AH313" s="198"/>
      <c r="AI313" s="198"/>
      <c r="AJ313" s="198"/>
      <c r="AK313" s="198"/>
      <c r="AL313" s="977" t="s">
        <v>543</v>
      </c>
      <c r="AM313" s="977"/>
      <c r="AN313" s="977"/>
      <c r="AO313" s="977"/>
      <c r="AP313" s="977"/>
      <c r="AQ313" s="199">
        <f>COUNTA(AM282:BC311)</f>
        <v>0</v>
      </c>
      <c r="AR313" s="198" t="s">
        <v>544</v>
      </c>
      <c r="AS313" s="198"/>
      <c r="AT313" s="198"/>
      <c r="AU313" s="198"/>
      <c r="AV313" s="198"/>
      <c r="AW313" s="198"/>
      <c r="AX313" s="198"/>
      <c r="AY313" s="198"/>
      <c r="AZ313" s="198"/>
      <c r="BA313" s="198"/>
      <c r="BB313" s="198"/>
      <c r="BC313" s="198"/>
      <c r="BD313" s="977" t="s">
        <v>543</v>
      </c>
      <c r="BE313" s="977"/>
      <c r="BF313" s="977"/>
      <c r="BG313" s="977"/>
      <c r="BH313" s="977"/>
      <c r="BI313" s="199">
        <f>COUNTA(BE282:BU311)</f>
        <v>0</v>
      </c>
      <c r="BJ313" s="198" t="s">
        <v>544</v>
      </c>
      <c r="BK313" s="198"/>
      <c r="BL313" s="198"/>
      <c r="BM313" s="198"/>
      <c r="BN313" s="198"/>
      <c r="BO313" s="198"/>
      <c r="BP313" s="198"/>
      <c r="BQ313" s="198"/>
      <c r="BR313" s="198"/>
      <c r="BS313" s="198"/>
      <c r="BT313" s="198"/>
      <c r="BU313" s="198"/>
      <c r="BV313" s="977" t="s">
        <v>543</v>
      </c>
      <c r="BW313" s="977"/>
      <c r="BX313" s="977"/>
      <c r="BY313" s="977"/>
      <c r="BZ313" s="977"/>
      <c r="CA313" s="199">
        <f>COUNTA(BW282:CM311)</f>
        <v>0</v>
      </c>
      <c r="CB313" s="198" t="s">
        <v>544</v>
      </c>
      <c r="CC313" s="198"/>
      <c r="CD313" s="198"/>
      <c r="CE313" s="198"/>
      <c r="CF313" s="198"/>
      <c r="CG313" s="198"/>
      <c r="CH313" s="198"/>
      <c r="CI313" s="198"/>
      <c r="CJ313" s="198"/>
      <c r="CK313" s="198"/>
      <c r="CL313" s="198"/>
      <c r="CM313" s="198"/>
      <c r="CN313" s="977" t="s">
        <v>543</v>
      </c>
      <c r="CO313" s="977"/>
      <c r="CP313" s="977"/>
      <c r="CQ313" s="977"/>
      <c r="CR313" s="977"/>
      <c r="CS313" s="199">
        <f>COUNTA(CO282:DE311)</f>
        <v>0</v>
      </c>
      <c r="CT313" s="198" t="s">
        <v>544</v>
      </c>
      <c r="CU313" s="198"/>
      <c r="CV313" s="198"/>
      <c r="CW313" s="198"/>
      <c r="CX313" s="198"/>
      <c r="CY313" s="198"/>
      <c r="CZ313" s="198"/>
      <c r="DA313" s="198"/>
      <c r="DB313" s="198"/>
      <c r="DC313" s="198"/>
      <c r="DD313" s="198"/>
      <c r="DE313" s="198"/>
      <c r="DF313" s="977" t="s">
        <v>543</v>
      </c>
      <c r="DG313" s="977"/>
      <c r="DH313" s="977"/>
      <c r="DI313" s="977"/>
      <c r="DJ313" s="977"/>
      <c r="DK313" s="199">
        <f>COUNTA(DG282:DW311)</f>
        <v>0</v>
      </c>
      <c r="DL313" s="198" t="s">
        <v>544</v>
      </c>
      <c r="DM313" s="198"/>
      <c r="DN313" s="198"/>
      <c r="DO313" s="198"/>
      <c r="DP313" s="198"/>
      <c r="DQ313" s="198"/>
      <c r="DR313" s="198"/>
      <c r="DS313" s="198"/>
      <c r="DT313" s="198"/>
      <c r="DU313" s="198"/>
      <c r="DV313" s="198"/>
      <c r="DW313" s="198"/>
      <c r="DX313" s="977" t="s">
        <v>543</v>
      </c>
      <c r="DY313" s="977"/>
      <c r="DZ313" s="977"/>
      <c r="EA313" s="977"/>
      <c r="EB313" s="977"/>
      <c r="EC313" s="199">
        <f>COUNTA(DY282:EO311)</f>
        <v>0</v>
      </c>
      <c r="ED313" s="198" t="s">
        <v>544</v>
      </c>
      <c r="EE313" s="198"/>
      <c r="EF313" s="198"/>
      <c r="EG313" s="198"/>
      <c r="EH313" s="198"/>
      <c r="EI313" s="198"/>
      <c r="EJ313" s="198"/>
      <c r="EK313" s="198"/>
      <c r="EL313" s="198"/>
      <c r="EM313" s="198"/>
      <c r="EN313" s="198"/>
      <c r="EO313" s="198"/>
      <c r="EP313" s="977" t="s">
        <v>543</v>
      </c>
      <c r="EQ313" s="977"/>
      <c r="ER313" s="977"/>
      <c r="ES313" s="977"/>
      <c r="ET313" s="977"/>
      <c r="EU313" s="199">
        <f>COUNTA(EQ282:FG311)</f>
        <v>0</v>
      </c>
      <c r="EV313" s="198" t="s">
        <v>544</v>
      </c>
      <c r="EW313" s="198"/>
      <c r="EX313" s="198"/>
      <c r="EY313" s="198"/>
      <c r="EZ313" s="198"/>
      <c r="FA313" s="198"/>
      <c r="FB313" s="198"/>
      <c r="FC313" s="198"/>
      <c r="FD313" s="198"/>
      <c r="FE313" s="198"/>
      <c r="FF313" s="198"/>
      <c r="FG313" s="198"/>
      <c r="FH313" s="977" t="s">
        <v>543</v>
      </c>
      <c r="FI313" s="977"/>
      <c r="FJ313" s="977"/>
      <c r="FK313" s="977"/>
      <c r="FL313" s="977"/>
      <c r="FM313" s="199">
        <f>COUNTA(FI282:FY311)</f>
        <v>0</v>
      </c>
      <c r="FN313" s="198" t="s">
        <v>544</v>
      </c>
      <c r="FO313" s="198"/>
      <c r="FP313" s="198"/>
      <c r="FQ313" s="198"/>
      <c r="FR313" s="198"/>
      <c r="FS313" s="198"/>
      <c r="FT313" s="198"/>
      <c r="FU313" s="198"/>
      <c r="FV313" s="198"/>
      <c r="FW313" s="198"/>
      <c r="FX313" s="198"/>
      <c r="FY313" s="198"/>
    </row>
    <row r="314" spans="2:181" x14ac:dyDescent="0.25">
      <c r="M314" s="203" t="s">
        <v>548</v>
      </c>
      <c r="N314" s="204">
        <f>MIN(C282:S311,U282:AK311)</f>
        <v>0</v>
      </c>
    </row>
    <row r="315" spans="2:181" x14ac:dyDescent="0.25">
      <c r="B315" s="205" t="s">
        <v>549</v>
      </c>
      <c r="C315" s="205"/>
      <c r="D315" s="205"/>
      <c r="E315" s="205"/>
      <c r="F315" s="205"/>
      <c r="G315" s="205"/>
      <c r="H315" s="990" t="e">
        <f>#REF!</f>
        <v>#REF!</v>
      </c>
      <c r="I315" s="990"/>
      <c r="J315" s="990"/>
      <c r="K315" s="990"/>
      <c r="L315" s="990"/>
      <c r="M315" s="198"/>
      <c r="N315" s="198"/>
      <c r="O315" s="198"/>
      <c r="P315" s="198"/>
      <c r="Q315" s="198"/>
      <c r="R315" s="198"/>
      <c r="S315" s="198"/>
      <c r="T315" s="205"/>
      <c r="U315" s="205"/>
      <c r="V315" s="205"/>
      <c r="W315" s="205"/>
      <c r="X315" s="205"/>
      <c r="Y315" s="205"/>
      <c r="Z315" s="205"/>
      <c r="AA315" s="198"/>
      <c r="AB315" s="198"/>
      <c r="AC315" s="205"/>
      <c r="AD315" s="198"/>
      <c r="AE315" s="198"/>
      <c r="AF315" s="198"/>
      <c r="AG315" s="198"/>
      <c r="AH315" s="198"/>
      <c r="AI315" s="198"/>
      <c r="AJ315" s="198"/>
      <c r="AK315" s="198"/>
      <c r="AL315" s="205"/>
      <c r="AM315" s="205"/>
      <c r="AN315" s="205"/>
      <c r="AO315" s="205"/>
      <c r="AP315" s="205"/>
      <c r="AQ315" s="205"/>
      <c r="AR315" s="205"/>
      <c r="AS315" s="198"/>
      <c r="AT315" s="198"/>
      <c r="AU315" s="205"/>
      <c r="AV315" s="198"/>
      <c r="AW315" s="198"/>
      <c r="AX315" s="198"/>
      <c r="AY315" s="198"/>
      <c r="AZ315" s="198"/>
      <c r="BA315" s="198"/>
      <c r="BB315" s="198"/>
      <c r="BC315" s="198"/>
      <c r="BD315" s="205"/>
      <c r="BE315" s="205"/>
      <c r="BF315" s="205"/>
      <c r="BG315" s="205"/>
      <c r="BH315" s="205"/>
      <c r="BI315" s="205"/>
      <c r="BJ315" s="205"/>
      <c r="BK315" s="198"/>
      <c r="BL315" s="198"/>
      <c r="BM315" s="205"/>
      <c r="BN315" s="198"/>
      <c r="BO315" s="198"/>
      <c r="BP315" s="198"/>
      <c r="BQ315" s="198"/>
      <c r="BR315" s="198"/>
      <c r="BS315" s="198"/>
      <c r="BT315" s="198"/>
      <c r="BU315" s="198"/>
      <c r="BV315" s="205"/>
      <c r="BW315" s="205"/>
      <c r="BX315" s="205"/>
      <c r="BY315" s="205"/>
      <c r="BZ315" s="205"/>
      <c r="CA315" s="205"/>
      <c r="CB315" s="205"/>
      <c r="CC315" s="198"/>
      <c r="CD315" s="198"/>
      <c r="CE315" s="205"/>
      <c r="CF315" s="198"/>
      <c r="CG315" s="198"/>
      <c r="CH315" s="198"/>
      <c r="CI315" s="198"/>
      <c r="CJ315" s="198"/>
      <c r="CK315" s="198"/>
      <c r="CL315" s="198"/>
      <c r="CM315" s="198"/>
      <c r="CN315" s="205"/>
      <c r="CO315" s="205"/>
      <c r="CP315" s="205"/>
      <c r="CQ315" s="205"/>
      <c r="CR315" s="205"/>
      <c r="CS315" s="205"/>
      <c r="CT315" s="205"/>
      <c r="CU315" s="198"/>
      <c r="CV315" s="198"/>
      <c r="CW315" s="205"/>
      <c r="CX315" s="198"/>
      <c r="CY315" s="198"/>
      <c r="CZ315" s="198"/>
      <c r="DA315" s="198"/>
      <c r="DB315" s="198"/>
      <c r="DC315" s="198"/>
      <c r="DD315" s="198"/>
      <c r="DE315" s="198"/>
      <c r="DF315" s="205"/>
      <c r="DG315" s="205"/>
      <c r="DH315" s="205"/>
      <c r="DI315" s="205"/>
      <c r="DJ315" s="205"/>
      <c r="DK315" s="205"/>
      <c r="DL315" s="205"/>
      <c r="DM315" s="198"/>
      <c r="DN315" s="198"/>
      <c r="DO315" s="205"/>
      <c r="DP315" s="198"/>
      <c r="DQ315" s="198"/>
      <c r="DR315" s="198"/>
      <c r="DS315" s="198"/>
      <c r="DT315" s="198"/>
      <c r="DU315" s="198"/>
      <c r="DV315" s="198"/>
      <c r="DW315" s="198"/>
      <c r="DX315" s="205"/>
      <c r="DY315" s="205"/>
      <c r="DZ315" s="205"/>
      <c r="EA315" s="205"/>
      <c r="EB315" s="205"/>
      <c r="EC315" s="205"/>
      <c r="ED315" s="205"/>
      <c r="EE315" s="198"/>
      <c r="EF315" s="198"/>
      <c r="EG315" s="205"/>
      <c r="EH315" s="198"/>
      <c r="EI315" s="198"/>
      <c r="EJ315" s="198"/>
      <c r="EK315" s="198"/>
      <c r="EL315" s="198"/>
      <c r="EM315" s="198"/>
      <c r="EN315" s="198"/>
      <c r="EO315" s="198"/>
      <c r="EP315" s="205"/>
      <c r="EQ315" s="205"/>
      <c r="ER315" s="205"/>
      <c r="ES315" s="205"/>
      <c r="ET315" s="205"/>
      <c r="EU315" s="205"/>
      <c r="EV315" s="205"/>
      <c r="EW315" s="198"/>
      <c r="EX315" s="198"/>
      <c r="EY315" s="205"/>
      <c r="EZ315" s="198"/>
      <c r="FA315" s="198"/>
      <c r="FB315" s="198"/>
      <c r="FC315" s="198"/>
      <c r="FD315" s="198"/>
      <c r="FE315" s="198"/>
      <c r="FF315" s="198"/>
      <c r="FG315" s="198"/>
      <c r="FH315" s="205"/>
      <c r="FI315" s="205"/>
      <c r="FJ315" s="205"/>
      <c r="FK315" s="205"/>
      <c r="FL315" s="205"/>
      <c r="FM315" s="205"/>
      <c r="FN315" s="205"/>
      <c r="FO315" s="198"/>
      <c r="FP315" s="198"/>
      <c r="FQ315" s="205"/>
      <c r="FR315" s="198"/>
      <c r="FS315" s="198"/>
      <c r="FT315" s="198"/>
      <c r="FU315" s="198"/>
      <c r="FV315" s="198"/>
      <c r="FW315" s="198"/>
      <c r="FX315" s="198"/>
      <c r="FY315" s="198"/>
    </row>
    <row r="316" spans="2:181" x14ac:dyDescent="0.25">
      <c r="B316" s="208"/>
      <c r="C316" s="205"/>
      <c r="D316" s="205"/>
      <c r="E316" s="205"/>
      <c r="F316" s="205"/>
      <c r="G316" s="205"/>
      <c r="H316" s="205"/>
      <c r="I316" s="198"/>
      <c r="J316" s="209"/>
      <c r="K316" s="208"/>
      <c r="L316" s="198"/>
      <c r="M316" s="198"/>
      <c r="N316" s="198"/>
      <c r="O316" s="198"/>
      <c r="P316" s="198"/>
      <c r="Q316" s="198"/>
      <c r="R316" s="198"/>
      <c r="S316" s="209"/>
      <c r="T316" s="208"/>
      <c r="U316" s="205"/>
      <c r="V316" s="205"/>
      <c r="W316" s="205"/>
      <c r="X316" s="205"/>
      <c r="Y316" s="205"/>
      <c r="Z316" s="205"/>
      <c r="AA316" s="198"/>
      <c r="AB316" s="209"/>
      <c r="AC316" s="208"/>
      <c r="AD316" s="198"/>
      <c r="AE316" s="198"/>
      <c r="AF316" s="198"/>
      <c r="AG316" s="198"/>
      <c r="AH316" s="198"/>
      <c r="AI316" s="198"/>
      <c r="AJ316" s="198"/>
      <c r="AK316" s="209"/>
      <c r="AL316" s="208"/>
      <c r="AM316" s="205"/>
      <c r="AN316" s="205"/>
      <c r="AO316" s="205"/>
      <c r="AP316" s="205"/>
      <c r="AQ316" s="205"/>
      <c r="AR316" s="205"/>
      <c r="AS316" s="198"/>
      <c r="AT316" s="209"/>
      <c r="AU316" s="208"/>
      <c r="AV316" s="198"/>
      <c r="AW316" s="198"/>
      <c r="AX316" s="198"/>
      <c r="AY316" s="198"/>
      <c r="AZ316" s="198"/>
      <c r="BA316" s="198"/>
      <c r="BB316" s="198"/>
      <c r="BC316" s="209"/>
      <c r="BD316" s="208"/>
      <c r="BE316" s="205"/>
      <c r="BF316" s="205"/>
      <c r="BG316" s="205"/>
      <c r="BH316" s="205"/>
      <c r="BI316" s="205"/>
      <c r="BJ316" s="205"/>
      <c r="BK316" s="198"/>
      <c r="BL316" s="209"/>
      <c r="BM316" s="208"/>
      <c r="BN316" s="198"/>
      <c r="BO316" s="198"/>
      <c r="BP316" s="198"/>
      <c r="BQ316" s="198"/>
      <c r="BR316" s="198"/>
      <c r="BS316" s="198"/>
      <c r="BT316" s="198"/>
      <c r="BU316" s="209"/>
      <c r="BV316" s="208"/>
      <c r="BW316" s="205"/>
      <c r="BX316" s="205"/>
      <c r="BY316" s="205"/>
      <c r="BZ316" s="205"/>
      <c r="CA316" s="205"/>
      <c r="CB316" s="205"/>
      <c r="CC316" s="198"/>
      <c r="CD316" s="209"/>
      <c r="CE316" s="208"/>
      <c r="CF316" s="198"/>
      <c r="CG316" s="198"/>
      <c r="CH316" s="198"/>
      <c r="CI316" s="198"/>
      <c r="CJ316" s="198"/>
      <c r="CK316" s="198"/>
      <c r="CL316" s="198"/>
      <c r="CM316" s="209"/>
      <c r="CN316" s="208"/>
      <c r="CO316" s="205"/>
      <c r="CP316" s="205"/>
      <c r="CQ316" s="205"/>
      <c r="CR316" s="205"/>
      <c r="CS316" s="205"/>
      <c r="CT316" s="205"/>
      <c r="CU316" s="198"/>
      <c r="CV316" s="209"/>
      <c r="CW316" s="208"/>
      <c r="CX316" s="198"/>
      <c r="CY316" s="198"/>
      <c r="CZ316" s="198"/>
      <c r="DA316" s="198"/>
      <c r="DB316" s="198"/>
      <c r="DC316" s="198"/>
      <c r="DD316" s="198"/>
      <c r="DE316" s="209"/>
      <c r="DF316" s="208"/>
      <c r="DG316" s="205"/>
      <c r="DH316" s="205"/>
      <c r="DI316" s="205"/>
      <c r="DJ316" s="205"/>
      <c r="DK316" s="205"/>
      <c r="DL316" s="205"/>
      <c r="DM316" s="198"/>
      <c r="DN316" s="209"/>
      <c r="DO316" s="208"/>
      <c r="DP316" s="198"/>
      <c r="DQ316" s="198"/>
      <c r="DR316" s="198"/>
      <c r="DS316" s="198"/>
      <c r="DT316" s="198"/>
      <c r="DU316" s="198"/>
      <c r="DV316" s="198"/>
      <c r="DW316" s="209"/>
      <c r="DX316" s="208"/>
      <c r="DY316" s="205"/>
      <c r="DZ316" s="205"/>
      <c r="EA316" s="205"/>
      <c r="EB316" s="205"/>
      <c r="EC316" s="205"/>
      <c r="ED316" s="205"/>
      <c r="EE316" s="198"/>
      <c r="EF316" s="209"/>
      <c r="EG316" s="208"/>
      <c r="EH316" s="198"/>
      <c r="EI316" s="198"/>
      <c r="EJ316" s="198"/>
      <c r="EK316" s="198"/>
      <c r="EL316" s="198"/>
      <c r="EM316" s="198"/>
      <c r="EN316" s="198"/>
      <c r="EO316" s="209"/>
      <c r="EP316" s="208"/>
      <c r="EQ316" s="205"/>
      <c r="ER316" s="205"/>
      <c r="ES316" s="205"/>
      <c r="ET316" s="205"/>
      <c r="EU316" s="205"/>
      <c r="EV316" s="205"/>
      <c r="EW316" s="198"/>
      <c r="EX316" s="209"/>
      <c r="EY316" s="208"/>
      <c r="EZ316" s="198"/>
      <c r="FA316" s="198"/>
      <c r="FB316" s="198"/>
      <c r="FC316" s="198"/>
      <c r="FD316" s="198"/>
      <c r="FE316" s="198"/>
      <c r="FF316" s="198"/>
      <c r="FG316" s="209"/>
      <c r="FH316" s="208"/>
      <c r="FI316" s="205"/>
      <c r="FJ316" s="205"/>
      <c r="FK316" s="205"/>
      <c r="FL316" s="205"/>
      <c r="FM316" s="205"/>
      <c r="FN316" s="205"/>
      <c r="FO316" s="198"/>
      <c r="FP316" s="209"/>
      <c r="FQ316" s="208"/>
      <c r="FR316" s="198"/>
      <c r="FS316" s="198"/>
      <c r="FT316" s="198"/>
      <c r="FU316" s="198"/>
      <c r="FV316" s="198"/>
      <c r="FW316" s="198"/>
      <c r="FX316" s="198"/>
      <c r="FY316" s="209"/>
    </row>
    <row r="317" spans="2:181" x14ac:dyDescent="0.25">
      <c r="B317" s="210"/>
      <c r="C317" s="206"/>
      <c r="D317" s="206"/>
      <c r="E317" s="206"/>
      <c r="F317" s="206"/>
      <c r="G317" s="206"/>
      <c r="H317" s="206"/>
      <c r="I317" s="206"/>
      <c r="J317" s="211"/>
      <c r="K317" s="210"/>
      <c r="L317" s="206"/>
      <c r="M317" s="206"/>
      <c r="N317" s="206"/>
      <c r="O317" s="206"/>
      <c r="P317" s="206"/>
      <c r="Q317" s="206"/>
      <c r="R317" s="206"/>
      <c r="S317" s="211"/>
      <c r="T317" s="210"/>
      <c r="U317" s="206"/>
      <c r="V317" s="206"/>
      <c r="W317" s="206"/>
      <c r="X317" s="206"/>
      <c r="Y317" s="206"/>
      <c r="Z317" s="206"/>
      <c r="AA317" s="206"/>
      <c r="AB317" s="211"/>
      <c r="AC317" s="210"/>
      <c r="AD317" s="206"/>
      <c r="AE317" s="206"/>
      <c r="AF317" s="206"/>
      <c r="AG317" s="206"/>
      <c r="AH317" s="206"/>
      <c r="AI317" s="206"/>
      <c r="AJ317" s="206"/>
      <c r="AK317" s="211"/>
      <c r="AL317" s="210"/>
      <c r="AM317" s="206"/>
      <c r="AN317" s="206"/>
      <c r="AO317" s="206"/>
      <c r="AP317" s="206"/>
      <c r="AQ317" s="206"/>
      <c r="AR317" s="206"/>
      <c r="AS317" s="206"/>
      <c r="AT317" s="211"/>
      <c r="AU317" s="210"/>
      <c r="AV317" s="206"/>
      <c r="AW317" s="206"/>
      <c r="AX317" s="206"/>
      <c r="AY317" s="206"/>
      <c r="AZ317" s="206"/>
      <c r="BA317" s="206"/>
      <c r="BB317" s="206"/>
      <c r="BC317" s="211"/>
      <c r="BD317" s="210"/>
      <c r="BE317" s="206"/>
      <c r="BF317" s="206"/>
      <c r="BG317" s="206"/>
      <c r="BH317" s="206"/>
      <c r="BI317" s="206"/>
      <c r="BJ317" s="206"/>
      <c r="BK317" s="206"/>
      <c r="BL317" s="211"/>
      <c r="BM317" s="210"/>
      <c r="BN317" s="206"/>
      <c r="BO317" s="206"/>
      <c r="BP317" s="206"/>
      <c r="BQ317" s="206"/>
      <c r="BR317" s="206"/>
      <c r="BS317" s="206"/>
      <c r="BT317" s="206"/>
      <c r="BU317" s="211"/>
      <c r="BV317" s="210"/>
      <c r="BW317" s="206"/>
      <c r="BX317" s="206"/>
      <c r="BY317" s="206"/>
      <c r="BZ317" s="206"/>
      <c r="CA317" s="206"/>
      <c r="CB317" s="206"/>
      <c r="CC317" s="206"/>
      <c r="CD317" s="211"/>
      <c r="CE317" s="210"/>
      <c r="CF317" s="206"/>
      <c r="CG317" s="206"/>
      <c r="CH317" s="206"/>
      <c r="CI317" s="206"/>
      <c r="CJ317" s="206"/>
      <c r="CK317" s="206"/>
      <c r="CL317" s="206"/>
      <c r="CM317" s="211"/>
      <c r="CN317" s="210"/>
      <c r="CO317" s="206"/>
      <c r="CP317" s="206"/>
      <c r="CQ317" s="206"/>
      <c r="CR317" s="206"/>
      <c r="CS317" s="206"/>
      <c r="CT317" s="206"/>
      <c r="CU317" s="206"/>
      <c r="CV317" s="211"/>
      <c r="CW317" s="210"/>
      <c r="CX317" s="206"/>
      <c r="CY317" s="206"/>
      <c r="CZ317" s="206"/>
      <c r="DA317" s="206"/>
      <c r="DB317" s="206"/>
      <c r="DC317" s="206"/>
      <c r="DD317" s="206"/>
      <c r="DE317" s="211"/>
      <c r="DF317" s="210"/>
      <c r="DG317" s="206"/>
      <c r="DH317" s="206"/>
      <c r="DI317" s="206"/>
      <c r="DJ317" s="206"/>
      <c r="DK317" s="206"/>
      <c r="DL317" s="206"/>
      <c r="DM317" s="206"/>
      <c r="DN317" s="211"/>
      <c r="DO317" s="210"/>
      <c r="DP317" s="206"/>
      <c r="DQ317" s="206"/>
      <c r="DR317" s="206"/>
      <c r="DS317" s="206"/>
      <c r="DT317" s="206"/>
      <c r="DU317" s="206"/>
      <c r="DV317" s="206"/>
      <c r="DW317" s="211"/>
      <c r="DX317" s="210"/>
      <c r="DY317" s="206"/>
      <c r="DZ317" s="206"/>
      <c r="EA317" s="206"/>
      <c r="EB317" s="206"/>
      <c r="EC317" s="206"/>
      <c r="ED317" s="206"/>
      <c r="EE317" s="206"/>
      <c r="EF317" s="211"/>
      <c r="EG317" s="210"/>
      <c r="EH317" s="206"/>
      <c r="EI317" s="206"/>
      <c r="EJ317" s="206"/>
      <c r="EK317" s="206"/>
      <c r="EL317" s="206"/>
      <c r="EM317" s="206"/>
      <c r="EN317" s="206"/>
      <c r="EO317" s="211"/>
      <c r="EP317" s="210"/>
      <c r="EQ317" s="206"/>
      <c r="ER317" s="206"/>
      <c r="ES317" s="206"/>
      <c r="ET317" s="206"/>
      <c r="EU317" s="206"/>
      <c r="EV317" s="206"/>
      <c r="EW317" s="206"/>
      <c r="EX317" s="211"/>
      <c r="EY317" s="210"/>
      <c r="EZ317" s="206"/>
      <c r="FA317" s="206"/>
      <c r="FB317" s="206"/>
      <c r="FC317" s="206"/>
      <c r="FD317" s="206"/>
      <c r="FE317" s="206"/>
      <c r="FF317" s="206"/>
      <c r="FG317" s="211"/>
      <c r="FH317" s="210"/>
      <c r="FI317" s="206"/>
      <c r="FJ317" s="206"/>
      <c r="FK317" s="206"/>
      <c r="FL317" s="206"/>
      <c r="FM317" s="206"/>
      <c r="FN317" s="206"/>
      <c r="FO317" s="206"/>
      <c r="FP317" s="211"/>
      <c r="FQ317" s="210"/>
      <c r="FR317" s="206"/>
      <c r="FS317" s="206"/>
      <c r="FT317" s="206"/>
      <c r="FU317" s="206"/>
      <c r="FV317" s="206"/>
      <c r="FW317" s="206"/>
      <c r="FX317" s="206"/>
      <c r="FY317" s="211"/>
    </row>
    <row r="319" spans="2:181" ht="30" customHeight="1" x14ac:dyDescent="0.25">
      <c r="B319" s="193" t="s">
        <v>372</v>
      </c>
      <c r="C319" s="194" t="s">
        <v>373</v>
      </c>
      <c r="D319" s="194" t="s">
        <v>374</v>
      </c>
      <c r="E319" s="195" t="s">
        <v>375</v>
      </c>
      <c r="F319" s="195" t="s">
        <v>376</v>
      </c>
      <c r="G319" s="195" t="s">
        <v>377</v>
      </c>
      <c r="H319" s="195" t="s">
        <v>378</v>
      </c>
      <c r="I319" s="195" t="s">
        <v>379</v>
      </c>
      <c r="J319" s="195" t="s">
        <v>380</v>
      </c>
      <c r="K319" s="195" t="s">
        <v>381</v>
      </c>
      <c r="L319" s="196" t="s">
        <v>382</v>
      </c>
      <c r="M319" s="196" t="s">
        <v>383</v>
      </c>
      <c r="N319" s="196" t="s">
        <v>384</v>
      </c>
      <c r="O319" s="196" t="s">
        <v>385</v>
      </c>
      <c r="P319" s="196" t="s">
        <v>386</v>
      </c>
      <c r="Q319" s="196" t="s">
        <v>387</v>
      </c>
      <c r="R319" s="196" t="s">
        <v>388</v>
      </c>
      <c r="S319" s="196" t="s">
        <v>389</v>
      </c>
      <c r="T319" s="193" t="s">
        <v>372</v>
      </c>
      <c r="U319" s="194" t="s">
        <v>390</v>
      </c>
      <c r="V319" s="194" t="s">
        <v>391</v>
      </c>
      <c r="W319" s="195" t="s">
        <v>392</v>
      </c>
      <c r="X319" s="195" t="s">
        <v>393</v>
      </c>
      <c r="Y319" s="195" t="s">
        <v>394</v>
      </c>
      <c r="Z319" s="195" t="s">
        <v>395</v>
      </c>
      <c r="AA319" s="195" t="s">
        <v>396</v>
      </c>
      <c r="AB319" s="195" t="s">
        <v>397</v>
      </c>
      <c r="AC319" s="195" t="s">
        <v>398</v>
      </c>
      <c r="AD319" s="196" t="s">
        <v>399</v>
      </c>
      <c r="AE319" s="196" t="s">
        <v>400</v>
      </c>
      <c r="AF319" s="196" t="s">
        <v>401</v>
      </c>
      <c r="AG319" s="196" t="s">
        <v>402</v>
      </c>
      <c r="AH319" s="196" t="s">
        <v>403</v>
      </c>
      <c r="AI319" s="196" t="s">
        <v>404</v>
      </c>
      <c r="AJ319" s="196" t="s">
        <v>405</v>
      </c>
      <c r="AK319" s="196" t="s">
        <v>406</v>
      </c>
      <c r="AL319" s="193" t="s">
        <v>372</v>
      </c>
      <c r="AM319" s="194" t="s">
        <v>407</v>
      </c>
      <c r="AN319" s="194" t="s">
        <v>408</v>
      </c>
      <c r="AO319" s="195" t="s">
        <v>409</v>
      </c>
      <c r="AP319" s="195" t="s">
        <v>410</v>
      </c>
      <c r="AQ319" s="195" t="s">
        <v>411</v>
      </c>
      <c r="AR319" s="195" t="s">
        <v>412</v>
      </c>
      <c r="AS319" s="195" t="s">
        <v>413</v>
      </c>
      <c r="AT319" s="195" t="s">
        <v>414</v>
      </c>
      <c r="AU319" s="195" t="s">
        <v>415</v>
      </c>
      <c r="AV319" s="196" t="s">
        <v>416</v>
      </c>
      <c r="AW319" s="196" t="s">
        <v>417</v>
      </c>
      <c r="AX319" s="196" t="s">
        <v>418</v>
      </c>
      <c r="AY319" s="196" t="s">
        <v>419</v>
      </c>
      <c r="AZ319" s="196" t="s">
        <v>420</v>
      </c>
      <c r="BA319" s="196" t="s">
        <v>421</v>
      </c>
      <c r="BB319" s="196" t="s">
        <v>422</v>
      </c>
      <c r="BC319" s="196" t="s">
        <v>423</v>
      </c>
      <c r="BD319" s="193" t="s">
        <v>372</v>
      </c>
      <c r="BE319" s="194" t="s">
        <v>424</v>
      </c>
      <c r="BF319" s="194" t="s">
        <v>425</v>
      </c>
      <c r="BG319" s="195" t="s">
        <v>426</v>
      </c>
      <c r="BH319" s="195" t="s">
        <v>427</v>
      </c>
      <c r="BI319" s="195" t="s">
        <v>428</v>
      </c>
      <c r="BJ319" s="195" t="s">
        <v>429</v>
      </c>
      <c r="BK319" s="195" t="s">
        <v>430</v>
      </c>
      <c r="BL319" s="195" t="s">
        <v>431</v>
      </c>
      <c r="BM319" s="195" t="s">
        <v>432</v>
      </c>
      <c r="BN319" s="196" t="s">
        <v>433</v>
      </c>
      <c r="BO319" s="196" t="s">
        <v>434</v>
      </c>
      <c r="BP319" s="196" t="s">
        <v>435</v>
      </c>
      <c r="BQ319" s="196" t="s">
        <v>436</v>
      </c>
      <c r="BR319" s="196" t="s">
        <v>437</v>
      </c>
      <c r="BS319" s="196" t="s">
        <v>438</v>
      </c>
      <c r="BT319" s="196" t="s">
        <v>439</v>
      </c>
      <c r="BU319" s="196" t="s">
        <v>440</v>
      </c>
      <c r="BV319" s="193" t="s">
        <v>372</v>
      </c>
      <c r="BW319" s="194" t="s">
        <v>441</v>
      </c>
      <c r="BX319" s="194" t="s">
        <v>442</v>
      </c>
      <c r="BY319" s="195" t="s">
        <v>443</v>
      </c>
      <c r="BZ319" s="195" t="s">
        <v>444</v>
      </c>
      <c r="CA319" s="195" t="s">
        <v>445</v>
      </c>
      <c r="CB319" s="195" t="s">
        <v>446</v>
      </c>
      <c r="CC319" s="195" t="s">
        <v>447</v>
      </c>
      <c r="CD319" s="195" t="s">
        <v>448</v>
      </c>
      <c r="CE319" s="195" t="s">
        <v>449</v>
      </c>
      <c r="CF319" s="196" t="s">
        <v>450</v>
      </c>
      <c r="CG319" s="196" t="s">
        <v>451</v>
      </c>
      <c r="CH319" s="196" t="s">
        <v>452</v>
      </c>
      <c r="CI319" s="196" t="s">
        <v>453</v>
      </c>
      <c r="CJ319" s="196" t="s">
        <v>454</v>
      </c>
      <c r="CK319" s="196" t="s">
        <v>455</v>
      </c>
      <c r="CL319" s="196" t="s">
        <v>456</v>
      </c>
      <c r="CM319" s="196" t="s">
        <v>457</v>
      </c>
      <c r="CN319" s="193" t="s">
        <v>372</v>
      </c>
      <c r="CO319" s="194" t="s">
        <v>458</v>
      </c>
      <c r="CP319" s="194" t="s">
        <v>459</v>
      </c>
      <c r="CQ319" s="195" t="s">
        <v>460</v>
      </c>
      <c r="CR319" s="195" t="s">
        <v>461</v>
      </c>
      <c r="CS319" s="195" t="s">
        <v>462</v>
      </c>
      <c r="CT319" s="195" t="s">
        <v>463</v>
      </c>
      <c r="CU319" s="195" t="s">
        <v>464</v>
      </c>
      <c r="CV319" s="195" t="s">
        <v>465</v>
      </c>
      <c r="CW319" s="195" t="s">
        <v>466</v>
      </c>
      <c r="CX319" s="196" t="s">
        <v>467</v>
      </c>
      <c r="CY319" s="196" t="s">
        <v>468</v>
      </c>
      <c r="CZ319" s="196" t="s">
        <v>469</v>
      </c>
      <c r="DA319" s="196" t="s">
        <v>470</v>
      </c>
      <c r="DB319" s="196" t="s">
        <v>471</v>
      </c>
      <c r="DC319" s="196" t="s">
        <v>472</v>
      </c>
      <c r="DD319" s="196" t="s">
        <v>473</v>
      </c>
      <c r="DE319" s="196" t="s">
        <v>474</v>
      </c>
      <c r="DF319" s="193" t="s">
        <v>372</v>
      </c>
      <c r="DG319" s="194" t="s">
        <v>526</v>
      </c>
      <c r="DH319" s="194" t="s">
        <v>527</v>
      </c>
      <c r="DI319" s="195" t="s">
        <v>528</v>
      </c>
      <c r="DJ319" s="195" t="s">
        <v>529</v>
      </c>
      <c r="DK319" s="195" t="s">
        <v>530</v>
      </c>
      <c r="DL319" s="195" t="s">
        <v>531</v>
      </c>
      <c r="DM319" s="195" t="s">
        <v>532</v>
      </c>
      <c r="DN319" s="195" t="s">
        <v>533</v>
      </c>
      <c r="DO319" s="195" t="s">
        <v>534</v>
      </c>
      <c r="DP319" s="196" t="s">
        <v>535</v>
      </c>
      <c r="DQ319" s="196" t="s">
        <v>536</v>
      </c>
      <c r="DR319" s="196" t="s">
        <v>537</v>
      </c>
      <c r="DS319" s="196" t="s">
        <v>538</v>
      </c>
      <c r="DT319" s="196" t="s">
        <v>539</v>
      </c>
      <c r="DU319" s="196" t="s">
        <v>540</v>
      </c>
      <c r="DV319" s="196" t="s">
        <v>541</v>
      </c>
      <c r="DW319" s="196" t="s">
        <v>542</v>
      </c>
      <c r="DX319" s="193" t="s">
        <v>372</v>
      </c>
      <c r="DY319" s="194" t="s">
        <v>492</v>
      </c>
      <c r="DZ319" s="194" t="s">
        <v>493</v>
      </c>
      <c r="EA319" s="195" t="s">
        <v>494</v>
      </c>
      <c r="EB319" s="195" t="s">
        <v>495</v>
      </c>
      <c r="EC319" s="195" t="s">
        <v>496</v>
      </c>
      <c r="ED319" s="195" t="s">
        <v>497</v>
      </c>
      <c r="EE319" s="195" t="s">
        <v>498</v>
      </c>
      <c r="EF319" s="195" t="s">
        <v>499</v>
      </c>
      <c r="EG319" s="195" t="s">
        <v>500</v>
      </c>
      <c r="EH319" s="196" t="s">
        <v>501</v>
      </c>
      <c r="EI319" s="196" t="s">
        <v>502</v>
      </c>
      <c r="EJ319" s="196" t="s">
        <v>503</v>
      </c>
      <c r="EK319" s="196" t="s">
        <v>504</v>
      </c>
      <c r="EL319" s="196" t="s">
        <v>505</v>
      </c>
      <c r="EM319" s="196" t="s">
        <v>506</v>
      </c>
      <c r="EN319" s="196" t="s">
        <v>507</v>
      </c>
      <c r="EO319" s="196" t="s">
        <v>508</v>
      </c>
      <c r="EP319" s="193" t="s">
        <v>372</v>
      </c>
      <c r="EQ319" s="194" t="s">
        <v>509</v>
      </c>
      <c r="ER319" s="194" t="s">
        <v>510</v>
      </c>
      <c r="ES319" s="195" t="s">
        <v>511</v>
      </c>
      <c r="ET319" s="195" t="s">
        <v>512</v>
      </c>
      <c r="EU319" s="195" t="s">
        <v>513</v>
      </c>
      <c r="EV319" s="195" t="s">
        <v>514</v>
      </c>
      <c r="EW319" s="195" t="s">
        <v>515</v>
      </c>
      <c r="EX319" s="195" t="s">
        <v>516</v>
      </c>
      <c r="EY319" s="195" t="s">
        <v>517</v>
      </c>
      <c r="EZ319" s="196" t="s">
        <v>518</v>
      </c>
      <c r="FA319" s="196" t="s">
        <v>519</v>
      </c>
      <c r="FB319" s="196" t="s">
        <v>520</v>
      </c>
      <c r="FC319" s="196" t="s">
        <v>521</v>
      </c>
      <c r="FD319" s="196" t="s">
        <v>522</v>
      </c>
      <c r="FE319" s="196" t="s">
        <v>523</v>
      </c>
      <c r="FF319" s="196" t="s">
        <v>524</v>
      </c>
      <c r="FG319" s="196" t="s">
        <v>525</v>
      </c>
      <c r="FH319" s="193" t="s">
        <v>372</v>
      </c>
      <c r="FI319" s="194" t="s">
        <v>526</v>
      </c>
      <c r="FJ319" s="194" t="s">
        <v>527</v>
      </c>
      <c r="FK319" s="195" t="s">
        <v>528</v>
      </c>
      <c r="FL319" s="195" t="s">
        <v>529</v>
      </c>
      <c r="FM319" s="195" t="s">
        <v>530</v>
      </c>
      <c r="FN319" s="195" t="s">
        <v>531</v>
      </c>
      <c r="FO319" s="195" t="s">
        <v>532</v>
      </c>
      <c r="FP319" s="195" t="s">
        <v>533</v>
      </c>
      <c r="FQ319" s="195" t="s">
        <v>534</v>
      </c>
      <c r="FR319" s="196" t="s">
        <v>535</v>
      </c>
      <c r="FS319" s="196" t="s">
        <v>536</v>
      </c>
      <c r="FT319" s="196" t="s">
        <v>537</v>
      </c>
      <c r="FU319" s="196" t="s">
        <v>538</v>
      </c>
      <c r="FV319" s="196" t="s">
        <v>539</v>
      </c>
      <c r="FW319" s="196" t="s">
        <v>540</v>
      </c>
      <c r="FX319" s="196" t="s">
        <v>541</v>
      </c>
      <c r="FY319" s="196" t="s">
        <v>542</v>
      </c>
    </row>
    <row r="320" spans="2:181" x14ac:dyDescent="0.25">
      <c r="B320" s="12">
        <v>241</v>
      </c>
      <c r="C320" s="195"/>
      <c r="D320" s="195"/>
      <c r="E320" s="195"/>
      <c r="F320" s="195"/>
      <c r="G320" s="195"/>
      <c r="H320" s="195"/>
      <c r="I320" s="195"/>
      <c r="J320" s="195"/>
      <c r="K320" s="195"/>
      <c r="L320" s="195"/>
      <c r="M320" s="195"/>
      <c r="N320" s="195"/>
      <c r="O320" s="195"/>
      <c r="P320" s="195"/>
      <c r="Q320" s="195"/>
      <c r="R320" s="195"/>
      <c r="S320" s="195"/>
      <c r="T320" s="12">
        <v>241</v>
      </c>
      <c r="U320" s="195"/>
      <c r="V320" s="195"/>
      <c r="W320" s="195"/>
      <c r="X320" s="195"/>
      <c r="Y320" s="195"/>
      <c r="Z320" s="195"/>
      <c r="AA320" s="195"/>
      <c r="AB320" s="195"/>
      <c r="AC320" s="195"/>
      <c r="AD320" s="195"/>
      <c r="AE320" s="195"/>
      <c r="AF320" s="195"/>
      <c r="AG320" s="195"/>
      <c r="AH320" s="195"/>
      <c r="AI320" s="195"/>
      <c r="AJ320" s="195"/>
      <c r="AK320" s="195"/>
      <c r="AL320" s="12">
        <v>241</v>
      </c>
      <c r="AM320" s="195"/>
      <c r="AN320" s="195"/>
      <c r="AO320" s="195"/>
      <c r="AP320" s="195"/>
      <c r="AQ320" s="195"/>
      <c r="AR320" s="195"/>
      <c r="AS320" s="195"/>
      <c r="AT320" s="195"/>
      <c r="AU320" s="195"/>
      <c r="AV320" s="195"/>
      <c r="AW320" s="195"/>
      <c r="AX320" s="195"/>
      <c r="AY320" s="195"/>
      <c r="AZ320" s="195"/>
      <c r="BA320" s="195"/>
      <c r="BB320" s="195"/>
      <c r="BC320" s="195"/>
      <c r="BD320" s="12">
        <v>241</v>
      </c>
      <c r="BE320" s="195"/>
      <c r="BF320" s="195"/>
      <c r="BG320" s="195"/>
      <c r="BH320" s="195"/>
      <c r="BI320" s="195"/>
      <c r="BJ320" s="195"/>
      <c r="BK320" s="195"/>
      <c r="BL320" s="195"/>
      <c r="BM320" s="195"/>
      <c r="BN320" s="195"/>
      <c r="BO320" s="195"/>
      <c r="BP320" s="195"/>
      <c r="BQ320" s="195"/>
      <c r="BR320" s="195"/>
      <c r="BS320" s="195"/>
      <c r="BT320" s="195"/>
      <c r="BU320" s="195"/>
      <c r="BV320" s="12">
        <v>241</v>
      </c>
      <c r="BW320" s="195"/>
      <c r="BX320" s="195"/>
      <c r="BY320" s="195"/>
      <c r="BZ320" s="195"/>
      <c r="CA320" s="195"/>
      <c r="CB320" s="195"/>
      <c r="CC320" s="195"/>
      <c r="CD320" s="195"/>
      <c r="CE320" s="195"/>
      <c r="CF320" s="195"/>
      <c r="CG320" s="195"/>
      <c r="CH320" s="195"/>
      <c r="CI320" s="195"/>
      <c r="CJ320" s="195"/>
      <c r="CK320" s="195"/>
      <c r="CL320" s="195"/>
      <c r="CM320" s="195"/>
      <c r="CN320" s="12">
        <v>241</v>
      </c>
      <c r="CO320" s="195"/>
      <c r="CP320" s="195"/>
      <c r="CQ320" s="195"/>
      <c r="CR320" s="195"/>
      <c r="CS320" s="195"/>
      <c r="CT320" s="195"/>
      <c r="CU320" s="195"/>
      <c r="CV320" s="195"/>
      <c r="CW320" s="195"/>
      <c r="CX320" s="195"/>
      <c r="CY320" s="195"/>
      <c r="CZ320" s="195"/>
      <c r="DA320" s="195"/>
      <c r="DB320" s="195"/>
      <c r="DC320" s="195"/>
      <c r="DD320" s="195"/>
      <c r="DE320" s="195"/>
      <c r="DF320" s="12">
        <v>241</v>
      </c>
      <c r="DG320" s="195"/>
      <c r="DH320" s="195"/>
      <c r="DI320" s="195"/>
      <c r="DJ320" s="195"/>
      <c r="DK320" s="195"/>
      <c r="DL320" s="195"/>
      <c r="DM320" s="195"/>
      <c r="DN320" s="195"/>
      <c r="DO320" s="195"/>
      <c r="DP320" s="195"/>
      <c r="DQ320" s="195"/>
      <c r="DR320" s="195"/>
      <c r="DS320" s="195"/>
      <c r="DT320" s="195"/>
      <c r="DU320" s="195"/>
      <c r="DV320" s="195"/>
      <c r="DW320" s="195"/>
      <c r="DX320" s="12">
        <v>241</v>
      </c>
      <c r="DY320" s="195"/>
      <c r="DZ320" s="195"/>
      <c r="EA320" s="195"/>
      <c r="EB320" s="195"/>
      <c r="EC320" s="195"/>
      <c r="ED320" s="195"/>
      <c r="EE320" s="195"/>
      <c r="EF320" s="195"/>
      <c r="EG320" s="195"/>
      <c r="EH320" s="195"/>
      <c r="EI320" s="195"/>
      <c r="EJ320" s="195"/>
      <c r="EK320" s="195"/>
      <c r="EL320" s="195"/>
      <c r="EM320" s="195"/>
      <c r="EN320" s="195"/>
      <c r="EO320" s="195"/>
      <c r="EP320" s="12">
        <v>241</v>
      </c>
      <c r="EQ320" s="195"/>
      <c r="ER320" s="195"/>
      <c r="ES320" s="195"/>
      <c r="ET320" s="195"/>
      <c r="EU320" s="195"/>
      <c r="EV320" s="195"/>
      <c r="EW320" s="195"/>
      <c r="EX320" s="195"/>
      <c r="EY320" s="195"/>
      <c r="EZ320" s="195"/>
      <c r="FA320" s="195"/>
      <c r="FB320" s="195"/>
      <c r="FC320" s="195"/>
      <c r="FD320" s="195"/>
      <c r="FE320" s="195"/>
      <c r="FF320" s="195"/>
      <c r="FG320" s="195"/>
      <c r="FH320" s="12">
        <v>241</v>
      </c>
      <c r="FI320" s="195"/>
      <c r="FJ320" s="195"/>
      <c r="FK320" s="195"/>
      <c r="FL320" s="195"/>
      <c r="FM320" s="195"/>
      <c r="FN320" s="195"/>
      <c r="FO320" s="195"/>
      <c r="FP320" s="195"/>
      <c r="FQ320" s="195"/>
      <c r="FR320" s="195"/>
      <c r="FS320" s="195"/>
      <c r="FT320" s="195"/>
      <c r="FU320" s="195"/>
      <c r="FV320" s="195"/>
      <c r="FW320" s="195"/>
      <c r="FX320" s="195"/>
      <c r="FY320" s="195"/>
    </row>
    <row r="321" spans="2:181" x14ac:dyDescent="0.25">
      <c r="B321" s="197">
        <v>242</v>
      </c>
      <c r="C321" s="195"/>
      <c r="D321" s="195"/>
      <c r="E321" s="195"/>
      <c r="F321" s="195"/>
      <c r="G321" s="195"/>
      <c r="H321" s="195"/>
      <c r="I321" s="195"/>
      <c r="J321" s="195"/>
      <c r="K321" s="195"/>
      <c r="L321" s="195"/>
      <c r="M321" s="195"/>
      <c r="N321" s="195"/>
      <c r="O321" s="195"/>
      <c r="P321" s="195"/>
      <c r="Q321" s="195"/>
      <c r="R321" s="195"/>
      <c r="S321" s="195"/>
      <c r="T321" s="197">
        <v>242</v>
      </c>
      <c r="U321" s="195"/>
      <c r="V321" s="195"/>
      <c r="W321" s="195"/>
      <c r="X321" s="195"/>
      <c r="Y321" s="195"/>
      <c r="Z321" s="195"/>
      <c r="AA321" s="195"/>
      <c r="AB321" s="195"/>
      <c r="AC321" s="195"/>
      <c r="AD321" s="195"/>
      <c r="AE321" s="195"/>
      <c r="AF321" s="195"/>
      <c r="AG321" s="195"/>
      <c r="AH321" s="195"/>
      <c r="AI321" s="195"/>
      <c r="AJ321" s="195"/>
      <c r="AK321" s="195"/>
      <c r="AL321" s="197">
        <v>242</v>
      </c>
      <c r="AM321" s="195"/>
      <c r="AN321" s="195"/>
      <c r="AO321" s="195"/>
      <c r="AP321" s="195"/>
      <c r="AQ321" s="195"/>
      <c r="AR321" s="195"/>
      <c r="AS321" s="195"/>
      <c r="AT321" s="195"/>
      <c r="AU321" s="195"/>
      <c r="AV321" s="195"/>
      <c r="AW321" s="195"/>
      <c r="AX321" s="195"/>
      <c r="AY321" s="195"/>
      <c r="AZ321" s="195"/>
      <c r="BA321" s="195"/>
      <c r="BB321" s="195"/>
      <c r="BC321" s="195"/>
      <c r="BD321" s="197">
        <v>242</v>
      </c>
      <c r="BE321" s="195"/>
      <c r="BF321" s="195"/>
      <c r="BG321" s="195"/>
      <c r="BH321" s="195"/>
      <c r="BI321" s="195"/>
      <c r="BJ321" s="195"/>
      <c r="BK321" s="195"/>
      <c r="BL321" s="195"/>
      <c r="BM321" s="195"/>
      <c r="BN321" s="195"/>
      <c r="BO321" s="195"/>
      <c r="BP321" s="195"/>
      <c r="BQ321" s="195"/>
      <c r="BR321" s="195"/>
      <c r="BS321" s="195"/>
      <c r="BT321" s="195"/>
      <c r="BU321" s="195"/>
      <c r="BV321" s="197">
        <v>242</v>
      </c>
      <c r="BW321" s="195"/>
      <c r="BX321" s="195"/>
      <c r="BY321" s="195"/>
      <c r="BZ321" s="195"/>
      <c r="CA321" s="195"/>
      <c r="CB321" s="195"/>
      <c r="CC321" s="195"/>
      <c r="CD321" s="195"/>
      <c r="CE321" s="195"/>
      <c r="CF321" s="195"/>
      <c r="CG321" s="195"/>
      <c r="CH321" s="195"/>
      <c r="CI321" s="195"/>
      <c r="CJ321" s="195"/>
      <c r="CK321" s="195"/>
      <c r="CL321" s="195"/>
      <c r="CM321" s="195"/>
      <c r="CN321" s="197">
        <v>242</v>
      </c>
      <c r="CO321" s="195"/>
      <c r="CP321" s="195"/>
      <c r="CQ321" s="195"/>
      <c r="CR321" s="195"/>
      <c r="CS321" s="195"/>
      <c r="CT321" s="195"/>
      <c r="CU321" s="195"/>
      <c r="CV321" s="195"/>
      <c r="CW321" s="195"/>
      <c r="CX321" s="195"/>
      <c r="CY321" s="195"/>
      <c r="CZ321" s="195"/>
      <c r="DA321" s="195"/>
      <c r="DB321" s="195"/>
      <c r="DC321" s="195"/>
      <c r="DD321" s="195"/>
      <c r="DE321" s="195"/>
      <c r="DF321" s="197">
        <v>242</v>
      </c>
      <c r="DG321" s="195"/>
      <c r="DH321" s="195"/>
      <c r="DI321" s="195"/>
      <c r="DJ321" s="195"/>
      <c r="DK321" s="195"/>
      <c r="DL321" s="195"/>
      <c r="DM321" s="195"/>
      <c r="DN321" s="195"/>
      <c r="DO321" s="195"/>
      <c r="DP321" s="195"/>
      <c r="DQ321" s="195"/>
      <c r="DR321" s="195"/>
      <c r="DS321" s="195"/>
      <c r="DT321" s="195"/>
      <c r="DU321" s="195"/>
      <c r="DV321" s="195"/>
      <c r="DW321" s="195"/>
      <c r="DX321" s="197">
        <v>242</v>
      </c>
      <c r="DY321" s="195"/>
      <c r="DZ321" s="195"/>
      <c r="EA321" s="195"/>
      <c r="EB321" s="195"/>
      <c r="EC321" s="195"/>
      <c r="ED321" s="195"/>
      <c r="EE321" s="195"/>
      <c r="EF321" s="195"/>
      <c r="EG321" s="195"/>
      <c r="EH321" s="195"/>
      <c r="EI321" s="195"/>
      <c r="EJ321" s="195"/>
      <c r="EK321" s="195"/>
      <c r="EL321" s="195"/>
      <c r="EM321" s="195"/>
      <c r="EN321" s="195"/>
      <c r="EO321" s="195"/>
      <c r="EP321" s="197">
        <v>242</v>
      </c>
      <c r="EQ321" s="195"/>
      <c r="ER321" s="195"/>
      <c r="ES321" s="195"/>
      <c r="ET321" s="195"/>
      <c r="EU321" s="195"/>
      <c r="EV321" s="195"/>
      <c r="EW321" s="195"/>
      <c r="EX321" s="195"/>
      <c r="EY321" s="195"/>
      <c r="EZ321" s="195"/>
      <c r="FA321" s="195"/>
      <c r="FB321" s="195"/>
      <c r="FC321" s="195"/>
      <c r="FD321" s="195"/>
      <c r="FE321" s="195"/>
      <c r="FF321" s="195"/>
      <c r="FG321" s="195"/>
      <c r="FH321" s="197">
        <v>242</v>
      </c>
      <c r="FI321" s="195"/>
      <c r="FJ321" s="195"/>
      <c r="FK321" s="195"/>
      <c r="FL321" s="195"/>
      <c r="FM321" s="195"/>
      <c r="FN321" s="195"/>
      <c r="FO321" s="195"/>
      <c r="FP321" s="195"/>
      <c r="FQ321" s="195"/>
      <c r="FR321" s="195"/>
      <c r="FS321" s="195"/>
      <c r="FT321" s="195"/>
      <c r="FU321" s="195"/>
      <c r="FV321" s="195"/>
      <c r="FW321" s="195"/>
      <c r="FX321" s="195"/>
      <c r="FY321" s="195"/>
    </row>
    <row r="322" spans="2:181" x14ac:dyDescent="0.25">
      <c r="B322" s="12">
        <v>243</v>
      </c>
      <c r="C322" s="195"/>
      <c r="D322" s="195"/>
      <c r="E322" s="195"/>
      <c r="F322" s="195"/>
      <c r="G322" s="195"/>
      <c r="H322" s="195"/>
      <c r="I322" s="195"/>
      <c r="J322" s="195"/>
      <c r="K322" s="195"/>
      <c r="L322" s="195"/>
      <c r="M322" s="195"/>
      <c r="N322" s="195"/>
      <c r="O322" s="195"/>
      <c r="P322" s="195"/>
      <c r="Q322" s="195"/>
      <c r="R322" s="195"/>
      <c r="S322" s="195"/>
      <c r="T322" s="12">
        <v>243</v>
      </c>
      <c r="U322" s="195"/>
      <c r="V322" s="195"/>
      <c r="W322" s="195"/>
      <c r="X322" s="195"/>
      <c r="Y322" s="195"/>
      <c r="Z322" s="195"/>
      <c r="AA322" s="195"/>
      <c r="AB322" s="195"/>
      <c r="AC322" s="195"/>
      <c r="AD322" s="195"/>
      <c r="AE322" s="195"/>
      <c r="AF322" s="195"/>
      <c r="AG322" s="195"/>
      <c r="AH322" s="195"/>
      <c r="AI322" s="195"/>
      <c r="AJ322" s="195"/>
      <c r="AK322" s="195"/>
      <c r="AL322" s="12">
        <v>243</v>
      </c>
      <c r="AM322" s="195"/>
      <c r="AN322" s="195"/>
      <c r="AO322" s="195"/>
      <c r="AP322" s="195"/>
      <c r="AQ322" s="195"/>
      <c r="AR322" s="195"/>
      <c r="AS322" s="195"/>
      <c r="AT322" s="195"/>
      <c r="AU322" s="195"/>
      <c r="AV322" s="195"/>
      <c r="AW322" s="195"/>
      <c r="AX322" s="195"/>
      <c r="AY322" s="195"/>
      <c r="AZ322" s="195"/>
      <c r="BA322" s="195"/>
      <c r="BB322" s="195"/>
      <c r="BC322" s="195"/>
      <c r="BD322" s="12">
        <v>243</v>
      </c>
      <c r="BE322" s="195"/>
      <c r="BF322" s="195"/>
      <c r="BG322" s="195"/>
      <c r="BH322" s="195"/>
      <c r="BI322" s="195"/>
      <c r="BJ322" s="195"/>
      <c r="BK322" s="195"/>
      <c r="BL322" s="195"/>
      <c r="BM322" s="195"/>
      <c r="BN322" s="195"/>
      <c r="BO322" s="195"/>
      <c r="BP322" s="195"/>
      <c r="BQ322" s="195"/>
      <c r="BR322" s="195"/>
      <c r="BS322" s="195"/>
      <c r="BT322" s="195"/>
      <c r="BU322" s="195"/>
      <c r="BV322" s="12">
        <v>243</v>
      </c>
      <c r="BW322" s="195"/>
      <c r="BX322" s="195"/>
      <c r="BY322" s="195"/>
      <c r="BZ322" s="195"/>
      <c r="CA322" s="195"/>
      <c r="CB322" s="195"/>
      <c r="CC322" s="195"/>
      <c r="CD322" s="195"/>
      <c r="CE322" s="195"/>
      <c r="CF322" s="195"/>
      <c r="CG322" s="195"/>
      <c r="CH322" s="195"/>
      <c r="CI322" s="195"/>
      <c r="CJ322" s="195"/>
      <c r="CK322" s="195"/>
      <c r="CL322" s="195"/>
      <c r="CM322" s="195"/>
      <c r="CN322" s="12">
        <v>243</v>
      </c>
      <c r="CO322" s="195"/>
      <c r="CP322" s="195"/>
      <c r="CQ322" s="195"/>
      <c r="CR322" s="195"/>
      <c r="CS322" s="195"/>
      <c r="CT322" s="195"/>
      <c r="CU322" s="195"/>
      <c r="CV322" s="195"/>
      <c r="CW322" s="195"/>
      <c r="CX322" s="195"/>
      <c r="CY322" s="195"/>
      <c r="CZ322" s="195"/>
      <c r="DA322" s="195"/>
      <c r="DB322" s="195"/>
      <c r="DC322" s="195"/>
      <c r="DD322" s="195"/>
      <c r="DE322" s="195"/>
      <c r="DF322" s="12">
        <v>243</v>
      </c>
      <c r="DG322" s="195"/>
      <c r="DH322" s="195"/>
      <c r="DI322" s="195"/>
      <c r="DJ322" s="195"/>
      <c r="DK322" s="195"/>
      <c r="DL322" s="195"/>
      <c r="DM322" s="195"/>
      <c r="DN322" s="195"/>
      <c r="DO322" s="195"/>
      <c r="DP322" s="195"/>
      <c r="DQ322" s="195"/>
      <c r="DR322" s="195"/>
      <c r="DS322" s="195"/>
      <c r="DT322" s="195"/>
      <c r="DU322" s="195"/>
      <c r="DV322" s="195"/>
      <c r="DW322" s="195"/>
      <c r="DX322" s="12">
        <v>243</v>
      </c>
      <c r="DY322" s="195"/>
      <c r="DZ322" s="195"/>
      <c r="EA322" s="195"/>
      <c r="EB322" s="195"/>
      <c r="EC322" s="195"/>
      <c r="ED322" s="195"/>
      <c r="EE322" s="195"/>
      <c r="EF322" s="195"/>
      <c r="EG322" s="195"/>
      <c r="EH322" s="195"/>
      <c r="EI322" s="195"/>
      <c r="EJ322" s="195"/>
      <c r="EK322" s="195"/>
      <c r="EL322" s="195"/>
      <c r="EM322" s="195"/>
      <c r="EN322" s="195"/>
      <c r="EO322" s="195"/>
      <c r="EP322" s="12">
        <v>243</v>
      </c>
      <c r="EQ322" s="195"/>
      <c r="ER322" s="195"/>
      <c r="ES322" s="195"/>
      <c r="ET322" s="195"/>
      <c r="EU322" s="195"/>
      <c r="EV322" s="195"/>
      <c r="EW322" s="195"/>
      <c r="EX322" s="195"/>
      <c r="EY322" s="195"/>
      <c r="EZ322" s="195"/>
      <c r="FA322" s="195"/>
      <c r="FB322" s="195"/>
      <c r="FC322" s="195"/>
      <c r="FD322" s="195"/>
      <c r="FE322" s="195"/>
      <c r="FF322" s="195"/>
      <c r="FG322" s="195"/>
      <c r="FH322" s="12">
        <v>243</v>
      </c>
      <c r="FI322" s="195"/>
      <c r="FJ322" s="195"/>
      <c r="FK322" s="195"/>
      <c r="FL322" s="195"/>
      <c r="FM322" s="195"/>
      <c r="FN322" s="195"/>
      <c r="FO322" s="195"/>
      <c r="FP322" s="195"/>
      <c r="FQ322" s="195"/>
      <c r="FR322" s="195"/>
      <c r="FS322" s="195"/>
      <c r="FT322" s="195"/>
      <c r="FU322" s="195"/>
      <c r="FV322" s="195"/>
      <c r="FW322" s="195"/>
      <c r="FX322" s="195"/>
      <c r="FY322" s="195"/>
    </row>
    <row r="323" spans="2:181" x14ac:dyDescent="0.25">
      <c r="B323" s="197">
        <v>244</v>
      </c>
      <c r="C323" s="195"/>
      <c r="D323" s="195"/>
      <c r="E323" s="195"/>
      <c r="F323" s="195"/>
      <c r="G323" s="195"/>
      <c r="H323" s="195"/>
      <c r="I323" s="195"/>
      <c r="J323" s="195"/>
      <c r="K323" s="195"/>
      <c r="L323" s="195"/>
      <c r="M323" s="195"/>
      <c r="N323" s="195"/>
      <c r="O323" s="195"/>
      <c r="P323" s="195"/>
      <c r="Q323" s="195"/>
      <c r="R323" s="195"/>
      <c r="S323" s="195"/>
      <c r="T323" s="197">
        <v>244</v>
      </c>
      <c r="U323" s="195"/>
      <c r="V323" s="195"/>
      <c r="W323" s="195"/>
      <c r="X323" s="195"/>
      <c r="Y323" s="195"/>
      <c r="Z323" s="195"/>
      <c r="AA323" s="195"/>
      <c r="AB323" s="195"/>
      <c r="AC323" s="195"/>
      <c r="AD323" s="195"/>
      <c r="AE323" s="195"/>
      <c r="AF323" s="195"/>
      <c r="AG323" s="195"/>
      <c r="AH323" s="195"/>
      <c r="AI323" s="195"/>
      <c r="AJ323" s="195"/>
      <c r="AK323" s="195"/>
      <c r="AL323" s="197">
        <v>244</v>
      </c>
      <c r="AM323" s="195"/>
      <c r="AN323" s="195"/>
      <c r="AO323" s="195"/>
      <c r="AP323" s="195"/>
      <c r="AQ323" s="195"/>
      <c r="AR323" s="195"/>
      <c r="AS323" s="195"/>
      <c r="AT323" s="195"/>
      <c r="AU323" s="195"/>
      <c r="AV323" s="195"/>
      <c r="AW323" s="195"/>
      <c r="AX323" s="195"/>
      <c r="AY323" s="195"/>
      <c r="AZ323" s="195"/>
      <c r="BA323" s="195"/>
      <c r="BB323" s="195"/>
      <c r="BC323" s="195"/>
      <c r="BD323" s="197">
        <v>244</v>
      </c>
      <c r="BE323" s="195"/>
      <c r="BF323" s="195"/>
      <c r="BG323" s="195"/>
      <c r="BH323" s="195"/>
      <c r="BI323" s="195"/>
      <c r="BJ323" s="195"/>
      <c r="BK323" s="195"/>
      <c r="BL323" s="195"/>
      <c r="BM323" s="195"/>
      <c r="BN323" s="195"/>
      <c r="BO323" s="195"/>
      <c r="BP323" s="195"/>
      <c r="BQ323" s="195"/>
      <c r="BR323" s="195"/>
      <c r="BS323" s="195"/>
      <c r="BT323" s="195"/>
      <c r="BU323" s="195"/>
      <c r="BV323" s="197">
        <v>244</v>
      </c>
      <c r="BW323" s="195"/>
      <c r="BX323" s="195"/>
      <c r="BY323" s="195"/>
      <c r="BZ323" s="195"/>
      <c r="CA323" s="195"/>
      <c r="CB323" s="195"/>
      <c r="CC323" s="195"/>
      <c r="CD323" s="195"/>
      <c r="CE323" s="195"/>
      <c r="CF323" s="195"/>
      <c r="CG323" s="195"/>
      <c r="CH323" s="195"/>
      <c r="CI323" s="195"/>
      <c r="CJ323" s="195"/>
      <c r="CK323" s="195"/>
      <c r="CL323" s="195"/>
      <c r="CM323" s="195"/>
      <c r="CN323" s="197">
        <v>244</v>
      </c>
      <c r="CO323" s="195"/>
      <c r="CP323" s="195"/>
      <c r="CQ323" s="195"/>
      <c r="CR323" s="195"/>
      <c r="CS323" s="195"/>
      <c r="CT323" s="195"/>
      <c r="CU323" s="195"/>
      <c r="CV323" s="195"/>
      <c r="CW323" s="195"/>
      <c r="CX323" s="195"/>
      <c r="CY323" s="195"/>
      <c r="CZ323" s="195"/>
      <c r="DA323" s="195"/>
      <c r="DB323" s="195"/>
      <c r="DC323" s="195"/>
      <c r="DD323" s="195"/>
      <c r="DE323" s="195"/>
      <c r="DF323" s="197">
        <v>244</v>
      </c>
      <c r="DG323" s="195"/>
      <c r="DH323" s="195"/>
      <c r="DI323" s="195"/>
      <c r="DJ323" s="195"/>
      <c r="DK323" s="195"/>
      <c r="DL323" s="195"/>
      <c r="DM323" s="195"/>
      <c r="DN323" s="195"/>
      <c r="DO323" s="195"/>
      <c r="DP323" s="195"/>
      <c r="DQ323" s="195"/>
      <c r="DR323" s="195"/>
      <c r="DS323" s="195"/>
      <c r="DT323" s="195"/>
      <c r="DU323" s="195"/>
      <c r="DV323" s="195"/>
      <c r="DW323" s="195"/>
      <c r="DX323" s="197">
        <v>244</v>
      </c>
      <c r="DY323" s="195"/>
      <c r="DZ323" s="195"/>
      <c r="EA323" s="195"/>
      <c r="EB323" s="195"/>
      <c r="EC323" s="195"/>
      <c r="ED323" s="195"/>
      <c r="EE323" s="195"/>
      <c r="EF323" s="195"/>
      <c r="EG323" s="195"/>
      <c r="EH323" s="195"/>
      <c r="EI323" s="195"/>
      <c r="EJ323" s="195"/>
      <c r="EK323" s="195"/>
      <c r="EL323" s="195"/>
      <c r="EM323" s="195"/>
      <c r="EN323" s="195"/>
      <c r="EO323" s="195"/>
      <c r="EP323" s="197">
        <v>244</v>
      </c>
      <c r="EQ323" s="195"/>
      <c r="ER323" s="195"/>
      <c r="ES323" s="195"/>
      <c r="ET323" s="195"/>
      <c r="EU323" s="195"/>
      <c r="EV323" s="195"/>
      <c r="EW323" s="195"/>
      <c r="EX323" s="195"/>
      <c r="EY323" s="195"/>
      <c r="EZ323" s="195"/>
      <c r="FA323" s="195"/>
      <c r="FB323" s="195"/>
      <c r="FC323" s="195"/>
      <c r="FD323" s="195"/>
      <c r="FE323" s="195"/>
      <c r="FF323" s="195"/>
      <c r="FG323" s="195"/>
      <c r="FH323" s="197">
        <v>244</v>
      </c>
      <c r="FI323" s="195"/>
      <c r="FJ323" s="195"/>
      <c r="FK323" s="195"/>
      <c r="FL323" s="195"/>
      <c r="FM323" s="195"/>
      <c r="FN323" s="195"/>
      <c r="FO323" s="195"/>
      <c r="FP323" s="195"/>
      <c r="FQ323" s="195"/>
      <c r="FR323" s="195"/>
      <c r="FS323" s="195"/>
      <c r="FT323" s="195"/>
      <c r="FU323" s="195"/>
      <c r="FV323" s="195"/>
      <c r="FW323" s="195"/>
      <c r="FX323" s="195"/>
      <c r="FY323" s="195"/>
    </row>
    <row r="324" spans="2:181" x14ac:dyDescent="0.25">
      <c r="B324" s="12">
        <v>245</v>
      </c>
      <c r="C324" s="195"/>
      <c r="D324" s="195"/>
      <c r="E324" s="195"/>
      <c r="F324" s="195"/>
      <c r="G324" s="195"/>
      <c r="H324" s="195"/>
      <c r="I324" s="195"/>
      <c r="J324" s="195"/>
      <c r="K324" s="195"/>
      <c r="L324" s="195"/>
      <c r="M324" s="195"/>
      <c r="N324" s="195"/>
      <c r="O324" s="195"/>
      <c r="P324" s="195"/>
      <c r="Q324" s="195"/>
      <c r="R324" s="195"/>
      <c r="S324" s="195"/>
      <c r="T324" s="12">
        <v>245</v>
      </c>
      <c r="U324" s="195"/>
      <c r="V324" s="195"/>
      <c r="W324" s="195"/>
      <c r="X324" s="195"/>
      <c r="Y324" s="195"/>
      <c r="Z324" s="195"/>
      <c r="AA324" s="195"/>
      <c r="AB324" s="195"/>
      <c r="AC324" s="195"/>
      <c r="AD324" s="195"/>
      <c r="AE324" s="195"/>
      <c r="AF324" s="195"/>
      <c r="AG324" s="195"/>
      <c r="AH324" s="195"/>
      <c r="AI324" s="195"/>
      <c r="AJ324" s="195"/>
      <c r="AK324" s="195"/>
      <c r="AL324" s="12">
        <v>245</v>
      </c>
      <c r="AM324" s="195"/>
      <c r="AN324" s="195"/>
      <c r="AO324" s="195"/>
      <c r="AP324" s="195"/>
      <c r="AQ324" s="195"/>
      <c r="AR324" s="195"/>
      <c r="AS324" s="195"/>
      <c r="AT324" s="195"/>
      <c r="AU324" s="195"/>
      <c r="AV324" s="195"/>
      <c r="AW324" s="195"/>
      <c r="AX324" s="195"/>
      <c r="AY324" s="195"/>
      <c r="AZ324" s="195"/>
      <c r="BA324" s="195"/>
      <c r="BB324" s="195"/>
      <c r="BC324" s="195"/>
      <c r="BD324" s="12">
        <v>245</v>
      </c>
      <c r="BE324" s="195"/>
      <c r="BF324" s="195"/>
      <c r="BG324" s="195"/>
      <c r="BH324" s="195"/>
      <c r="BI324" s="195"/>
      <c r="BJ324" s="195"/>
      <c r="BK324" s="195"/>
      <c r="BL324" s="195"/>
      <c r="BM324" s="195"/>
      <c r="BN324" s="195"/>
      <c r="BO324" s="195"/>
      <c r="BP324" s="195"/>
      <c r="BQ324" s="195"/>
      <c r="BR324" s="195"/>
      <c r="BS324" s="195"/>
      <c r="BT324" s="195"/>
      <c r="BU324" s="195"/>
      <c r="BV324" s="12">
        <v>245</v>
      </c>
      <c r="BW324" s="195"/>
      <c r="BX324" s="195"/>
      <c r="BY324" s="195"/>
      <c r="BZ324" s="195"/>
      <c r="CA324" s="195"/>
      <c r="CB324" s="195"/>
      <c r="CC324" s="195"/>
      <c r="CD324" s="195"/>
      <c r="CE324" s="195"/>
      <c r="CF324" s="195"/>
      <c r="CG324" s="195"/>
      <c r="CH324" s="195"/>
      <c r="CI324" s="195"/>
      <c r="CJ324" s="195"/>
      <c r="CK324" s="195"/>
      <c r="CL324" s="195"/>
      <c r="CM324" s="195"/>
      <c r="CN324" s="12">
        <v>245</v>
      </c>
      <c r="CO324" s="195"/>
      <c r="CP324" s="195"/>
      <c r="CQ324" s="195"/>
      <c r="CR324" s="195"/>
      <c r="CS324" s="195"/>
      <c r="CT324" s="195"/>
      <c r="CU324" s="195"/>
      <c r="CV324" s="195"/>
      <c r="CW324" s="195"/>
      <c r="CX324" s="195"/>
      <c r="CY324" s="195"/>
      <c r="CZ324" s="195"/>
      <c r="DA324" s="195"/>
      <c r="DB324" s="195"/>
      <c r="DC324" s="195"/>
      <c r="DD324" s="195"/>
      <c r="DE324" s="195"/>
      <c r="DF324" s="12">
        <v>245</v>
      </c>
      <c r="DG324" s="195"/>
      <c r="DH324" s="195"/>
      <c r="DI324" s="195"/>
      <c r="DJ324" s="195"/>
      <c r="DK324" s="195"/>
      <c r="DL324" s="195"/>
      <c r="DM324" s="195"/>
      <c r="DN324" s="195"/>
      <c r="DO324" s="195"/>
      <c r="DP324" s="195"/>
      <c r="DQ324" s="195"/>
      <c r="DR324" s="195"/>
      <c r="DS324" s="195"/>
      <c r="DT324" s="195"/>
      <c r="DU324" s="195"/>
      <c r="DV324" s="195"/>
      <c r="DW324" s="195"/>
      <c r="DX324" s="12">
        <v>245</v>
      </c>
      <c r="DY324" s="195"/>
      <c r="DZ324" s="195"/>
      <c r="EA324" s="195"/>
      <c r="EB324" s="195"/>
      <c r="EC324" s="195"/>
      <c r="ED324" s="195"/>
      <c r="EE324" s="195"/>
      <c r="EF324" s="195"/>
      <c r="EG324" s="195"/>
      <c r="EH324" s="195"/>
      <c r="EI324" s="195"/>
      <c r="EJ324" s="195"/>
      <c r="EK324" s="195"/>
      <c r="EL324" s="195"/>
      <c r="EM324" s="195"/>
      <c r="EN324" s="195"/>
      <c r="EO324" s="195"/>
      <c r="EP324" s="12">
        <v>245</v>
      </c>
      <c r="EQ324" s="195"/>
      <c r="ER324" s="195"/>
      <c r="ES324" s="195"/>
      <c r="ET324" s="195"/>
      <c r="EU324" s="195"/>
      <c r="EV324" s="195"/>
      <c r="EW324" s="195"/>
      <c r="EX324" s="195"/>
      <c r="EY324" s="195"/>
      <c r="EZ324" s="195"/>
      <c r="FA324" s="195"/>
      <c r="FB324" s="195"/>
      <c r="FC324" s="195"/>
      <c r="FD324" s="195"/>
      <c r="FE324" s="195"/>
      <c r="FF324" s="195"/>
      <c r="FG324" s="195"/>
      <c r="FH324" s="12">
        <v>245</v>
      </c>
      <c r="FI324" s="195"/>
      <c r="FJ324" s="195"/>
      <c r="FK324" s="195"/>
      <c r="FL324" s="195"/>
      <c r="FM324" s="195"/>
      <c r="FN324" s="195"/>
      <c r="FO324" s="195"/>
      <c r="FP324" s="195"/>
      <c r="FQ324" s="195"/>
      <c r="FR324" s="195"/>
      <c r="FS324" s="195"/>
      <c r="FT324" s="195"/>
      <c r="FU324" s="195"/>
      <c r="FV324" s="195"/>
      <c r="FW324" s="195"/>
      <c r="FX324" s="195"/>
      <c r="FY324" s="195"/>
    </row>
    <row r="325" spans="2:181" x14ac:dyDescent="0.25">
      <c r="B325" s="197">
        <v>246</v>
      </c>
      <c r="C325" s="195"/>
      <c r="D325" s="195"/>
      <c r="E325" s="195"/>
      <c r="F325" s="195"/>
      <c r="G325" s="195"/>
      <c r="H325" s="195"/>
      <c r="I325" s="195"/>
      <c r="J325" s="195"/>
      <c r="K325" s="195"/>
      <c r="L325" s="195"/>
      <c r="M325" s="195"/>
      <c r="N325" s="195"/>
      <c r="O325" s="195"/>
      <c r="P325" s="195"/>
      <c r="Q325" s="195"/>
      <c r="R325" s="195"/>
      <c r="S325" s="195"/>
      <c r="T325" s="197">
        <v>246</v>
      </c>
      <c r="U325" s="195"/>
      <c r="V325" s="195"/>
      <c r="W325" s="195"/>
      <c r="X325" s="195"/>
      <c r="Y325" s="195"/>
      <c r="Z325" s="195"/>
      <c r="AA325" s="195"/>
      <c r="AB325" s="195"/>
      <c r="AC325" s="195"/>
      <c r="AD325" s="195"/>
      <c r="AE325" s="195"/>
      <c r="AF325" s="195"/>
      <c r="AG325" s="195"/>
      <c r="AH325" s="195"/>
      <c r="AI325" s="195"/>
      <c r="AJ325" s="195"/>
      <c r="AK325" s="195"/>
      <c r="AL325" s="197">
        <v>246</v>
      </c>
      <c r="AM325" s="195"/>
      <c r="AN325" s="195"/>
      <c r="AO325" s="195"/>
      <c r="AP325" s="195"/>
      <c r="AQ325" s="195"/>
      <c r="AR325" s="195"/>
      <c r="AS325" s="195"/>
      <c r="AT325" s="195"/>
      <c r="AU325" s="195"/>
      <c r="AV325" s="195"/>
      <c r="AW325" s="195"/>
      <c r="AX325" s="195"/>
      <c r="AY325" s="195"/>
      <c r="AZ325" s="195"/>
      <c r="BA325" s="195"/>
      <c r="BB325" s="195"/>
      <c r="BC325" s="195"/>
      <c r="BD325" s="197">
        <v>246</v>
      </c>
      <c r="BE325" s="195"/>
      <c r="BF325" s="195"/>
      <c r="BG325" s="195"/>
      <c r="BH325" s="195"/>
      <c r="BI325" s="195"/>
      <c r="BJ325" s="195"/>
      <c r="BK325" s="195"/>
      <c r="BL325" s="195"/>
      <c r="BM325" s="195"/>
      <c r="BN325" s="195"/>
      <c r="BO325" s="195"/>
      <c r="BP325" s="195"/>
      <c r="BQ325" s="195"/>
      <c r="BR325" s="195"/>
      <c r="BS325" s="195"/>
      <c r="BT325" s="195"/>
      <c r="BU325" s="195"/>
      <c r="BV325" s="197">
        <v>246</v>
      </c>
      <c r="BW325" s="195"/>
      <c r="BX325" s="195"/>
      <c r="BY325" s="195"/>
      <c r="BZ325" s="195"/>
      <c r="CA325" s="195"/>
      <c r="CB325" s="195"/>
      <c r="CC325" s="195"/>
      <c r="CD325" s="195"/>
      <c r="CE325" s="195"/>
      <c r="CF325" s="195"/>
      <c r="CG325" s="195"/>
      <c r="CH325" s="195"/>
      <c r="CI325" s="195"/>
      <c r="CJ325" s="195"/>
      <c r="CK325" s="195"/>
      <c r="CL325" s="195"/>
      <c r="CM325" s="195"/>
      <c r="CN325" s="197">
        <v>246</v>
      </c>
      <c r="CO325" s="195"/>
      <c r="CP325" s="195"/>
      <c r="CQ325" s="195"/>
      <c r="CR325" s="195"/>
      <c r="CS325" s="195"/>
      <c r="CT325" s="195"/>
      <c r="CU325" s="195"/>
      <c r="CV325" s="195"/>
      <c r="CW325" s="195"/>
      <c r="CX325" s="195"/>
      <c r="CY325" s="195"/>
      <c r="CZ325" s="195"/>
      <c r="DA325" s="195"/>
      <c r="DB325" s="195"/>
      <c r="DC325" s="195"/>
      <c r="DD325" s="195"/>
      <c r="DE325" s="195"/>
      <c r="DF325" s="197">
        <v>246</v>
      </c>
      <c r="DG325" s="195"/>
      <c r="DH325" s="195"/>
      <c r="DI325" s="195"/>
      <c r="DJ325" s="195"/>
      <c r="DK325" s="195"/>
      <c r="DL325" s="195"/>
      <c r="DM325" s="195"/>
      <c r="DN325" s="195"/>
      <c r="DO325" s="195"/>
      <c r="DP325" s="195"/>
      <c r="DQ325" s="195"/>
      <c r="DR325" s="195"/>
      <c r="DS325" s="195"/>
      <c r="DT325" s="195"/>
      <c r="DU325" s="195"/>
      <c r="DV325" s="195"/>
      <c r="DW325" s="195"/>
      <c r="DX325" s="197">
        <v>246</v>
      </c>
      <c r="DY325" s="195"/>
      <c r="DZ325" s="195"/>
      <c r="EA325" s="195"/>
      <c r="EB325" s="195"/>
      <c r="EC325" s="195"/>
      <c r="ED325" s="195"/>
      <c r="EE325" s="195"/>
      <c r="EF325" s="195"/>
      <c r="EG325" s="195"/>
      <c r="EH325" s="195"/>
      <c r="EI325" s="195"/>
      <c r="EJ325" s="195"/>
      <c r="EK325" s="195"/>
      <c r="EL325" s="195"/>
      <c r="EM325" s="195"/>
      <c r="EN325" s="195"/>
      <c r="EO325" s="195"/>
      <c r="EP325" s="197">
        <v>246</v>
      </c>
      <c r="EQ325" s="195"/>
      <c r="ER325" s="195"/>
      <c r="ES325" s="195"/>
      <c r="ET325" s="195"/>
      <c r="EU325" s="195"/>
      <c r="EV325" s="195"/>
      <c r="EW325" s="195"/>
      <c r="EX325" s="195"/>
      <c r="EY325" s="195"/>
      <c r="EZ325" s="195"/>
      <c r="FA325" s="195"/>
      <c r="FB325" s="195"/>
      <c r="FC325" s="195"/>
      <c r="FD325" s="195"/>
      <c r="FE325" s="195"/>
      <c r="FF325" s="195"/>
      <c r="FG325" s="195"/>
      <c r="FH325" s="197">
        <v>246</v>
      </c>
      <c r="FI325" s="195"/>
      <c r="FJ325" s="195"/>
      <c r="FK325" s="195"/>
      <c r="FL325" s="195"/>
      <c r="FM325" s="195"/>
      <c r="FN325" s="195"/>
      <c r="FO325" s="195"/>
      <c r="FP325" s="195"/>
      <c r="FQ325" s="195"/>
      <c r="FR325" s="195"/>
      <c r="FS325" s="195"/>
      <c r="FT325" s="195"/>
      <c r="FU325" s="195"/>
      <c r="FV325" s="195"/>
      <c r="FW325" s="195"/>
      <c r="FX325" s="195"/>
      <c r="FY325" s="195"/>
    </row>
    <row r="326" spans="2:181" x14ac:dyDescent="0.25">
      <c r="B326" s="12">
        <v>247</v>
      </c>
      <c r="C326" s="195"/>
      <c r="D326" s="195"/>
      <c r="E326" s="195"/>
      <c r="F326" s="195"/>
      <c r="G326" s="195"/>
      <c r="H326" s="195"/>
      <c r="I326" s="195"/>
      <c r="J326" s="195"/>
      <c r="K326" s="195"/>
      <c r="L326" s="195"/>
      <c r="M326" s="195"/>
      <c r="N326" s="195"/>
      <c r="O326" s="195"/>
      <c r="P326" s="195"/>
      <c r="Q326" s="195"/>
      <c r="R326" s="195"/>
      <c r="S326" s="195"/>
      <c r="T326" s="12">
        <v>247</v>
      </c>
      <c r="U326" s="195"/>
      <c r="V326" s="195"/>
      <c r="W326" s="195"/>
      <c r="X326" s="195"/>
      <c r="Y326" s="195"/>
      <c r="Z326" s="195"/>
      <c r="AA326" s="195"/>
      <c r="AB326" s="195"/>
      <c r="AC326" s="195"/>
      <c r="AD326" s="195"/>
      <c r="AE326" s="195"/>
      <c r="AF326" s="195"/>
      <c r="AG326" s="195"/>
      <c r="AH326" s="195"/>
      <c r="AI326" s="195"/>
      <c r="AJ326" s="195"/>
      <c r="AK326" s="195"/>
      <c r="AL326" s="12">
        <v>247</v>
      </c>
      <c r="AM326" s="195"/>
      <c r="AN326" s="195"/>
      <c r="AO326" s="195"/>
      <c r="AP326" s="195"/>
      <c r="AQ326" s="195"/>
      <c r="AR326" s="195"/>
      <c r="AS326" s="195"/>
      <c r="AT326" s="195"/>
      <c r="AU326" s="195"/>
      <c r="AV326" s="195"/>
      <c r="AW326" s="195"/>
      <c r="AX326" s="195"/>
      <c r="AY326" s="195"/>
      <c r="AZ326" s="195"/>
      <c r="BA326" s="195"/>
      <c r="BB326" s="195"/>
      <c r="BC326" s="195"/>
      <c r="BD326" s="12">
        <v>247</v>
      </c>
      <c r="BE326" s="195"/>
      <c r="BF326" s="195"/>
      <c r="BG326" s="195"/>
      <c r="BH326" s="195"/>
      <c r="BI326" s="195"/>
      <c r="BJ326" s="195"/>
      <c r="BK326" s="195"/>
      <c r="BL326" s="195"/>
      <c r="BM326" s="195"/>
      <c r="BN326" s="195"/>
      <c r="BO326" s="195"/>
      <c r="BP326" s="195"/>
      <c r="BQ326" s="195"/>
      <c r="BR326" s="195"/>
      <c r="BS326" s="195"/>
      <c r="BT326" s="195"/>
      <c r="BU326" s="195"/>
      <c r="BV326" s="12">
        <v>247</v>
      </c>
      <c r="BW326" s="195"/>
      <c r="BX326" s="195"/>
      <c r="BY326" s="195"/>
      <c r="BZ326" s="195"/>
      <c r="CA326" s="195"/>
      <c r="CB326" s="195"/>
      <c r="CC326" s="195"/>
      <c r="CD326" s="195"/>
      <c r="CE326" s="195"/>
      <c r="CF326" s="195"/>
      <c r="CG326" s="195"/>
      <c r="CH326" s="195"/>
      <c r="CI326" s="195"/>
      <c r="CJ326" s="195"/>
      <c r="CK326" s="195"/>
      <c r="CL326" s="195"/>
      <c r="CM326" s="195"/>
      <c r="CN326" s="12">
        <v>247</v>
      </c>
      <c r="CO326" s="195"/>
      <c r="CP326" s="195"/>
      <c r="CQ326" s="195"/>
      <c r="CR326" s="195"/>
      <c r="CS326" s="195"/>
      <c r="CT326" s="195"/>
      <c r="CU326" s="195"/>
      <c r="CV326" s="195"/>
      <c r="CW326" s="195"/>
      <c r="CX326" s="195"/>
      <c r="CY326" s="195"/>
      <c r="CZ326" s="195"/>
      <c r="DA326" s="195"/>
      <c r="DB326" s="195"/>
      <c r="DC326" s="195"/>
      <c r="DD326" s="195"/>
      <c r="DE326" s="195"/>
      <c r="DF326" s="12">
        <v>247</v>
      </c>
      <c r="DG326" s="195"/>
      <c r="DH326" s="195"/>
      <c r="DI326" s="195"/>
      <c r="DJ326" s="195"/>
      <c r="DK326" s="195"/>
      <c r="DL326" s="195"/>
      <c r="DM326" s="195"/>
      <c r="DN326" s="195"/>
      <c r="DO326" s="195"/>
      <c r="DP326" s="195"/>
      <c r="DQ326" s="195"/>
      <c r="DR326" s="195"/>
      <c r="DS326" s="195"/>
      <c r="DT326" s="195"/>
      <c r="DU326" s="195"/>
      <c r="DV326" s="195"/>
      <c r="DW326" s="195"/>
      <c r="DX326" s="12">
        <v>247</v>
      </c>
      <c r="DY326" s="195"/>
      <c r="DZ326" s="195"/>
      <c r="EA326" s="195"/>
      <c r="EB326" s="195"/>
      <c r="EC326" s="195"/>
      <c r="ED326" s="195"/>
      <c r="EE326" s="195"/>
      <c r="EF326" s="195"/>
      <c r="EG326" s="195"/>
      <c r="EH326" s="195"/>
      <c r="EI326" s="195"/>
      <c r="EJ326" s="195"/>
      <c r="EK326" s="195"/>
      <c r="EL326" s="195"/>
      <c r="EM326" s="195"/>
      <c r="EN326" s="195"/>
      <c r="EO326" s="195"/>
      <c r="EP326" s="12">
        <v>247</v>
      </c>
      <c r="EQ326" s="195"/>
      <c r="ER326" s="195"/>
      <c r="ES326" s="195"/>
      <c r="ET326" s="195"/>
      <c r="EU326" s="195"/>
      <c r="EV326" s="195"/>
      <c r="EW326" s="195"/>
      <c r="EX326" s="195"/>
      <c r="EY326" s="195"/>
      <c r="EZ326" s="195"/>
      <c r="FA326" s="195"/>
      <c r="FB326" s="195"/>
      <c r="FC326" s="195"/>
      <c r="FD326" s="195"/>
      <c r="FE326" s="195"/>
      <c r="FF326" s="195"/>
      <c r="FG326" s="195"/>
      <c r="FH326" s="12">
        <v>247</v>
      </c>
      <c r="FI326" s="195"/>
      <c r="FJ326" s="195"/>
      <c r="FK326" s="195"/>
      <c r="FL326" s="195"/>
      <c r="FM326" s="195"/>
      <c r="FN326" s="195"/>
      <c r="FO326" s="195"/>
      <c r="FP326" s="195"/>
      <c r="FQ326" s="195"/>
      <c r="FR326" s="195"/>
      <c r="FS326" s="195"/>
      <c r="FT326" s="195"/>
      <c r="FU326" s="195"/>
      <c r="FV326" s="195"/>
      <c r="FW326" s="195"/>
      <c r="FX326" s="195"/>
      <c r="FY326" s="195"/>
    </row>
    <row r="327" spans="2:181" x14ac:dyDescent="0.25">
      <c r="B327" s="197">
        <v>248</v>
      </c>
      <c r="C327" s="195"/>
      <c r="D327" s="195"/>
      <c r="E327" s="195"/>
      <c r="F327" s="195"/>
      <c r="G327" s="195"/>
      <c r="H327" s="195"/>
      <c r="I327" s="195"/>
      <c r="J327" s="195"/>
      <c r="K327" s="195"/>
      <c r="L327" s="195"/>
      <c r="M327" s="195"/>
      <c r="N327" s="195"/>
      <c r="O327" s="195"/>
      <c r="P327" s="195"/>
      <c r="Q327" s="195"/>
      <c r="R327" s="195"/>
      <c r="S327" s="195"/>
      <c r="T327" s="197">
        <v>248</v>
      </c>
      <c r="U327" s="195"/>
      <c r="V327" s="195"/>
      <c r="W327" s="195"/>
      <c r="X327" s="195"/>
      <c r="Y327" s="195"/>
      <c r="Z327" s="195"/>
      <c r="AA327" s="195"/>
      <c r="AB327" s="195"/>
      <c r="AC327" s="195"/>
      <c r="AD327" s="195"/>
      <c r="AE327" s="195"/>
      <c r="AF327" s="195"/>
      <c r="AG327" s="195"/>
      <c r="AH327" s="195"/>
      <c r="AI327" s="195"/>
      <c r="AJ327" s="195"/>
      <c r="AK327" s="195"/>
      <c r="AL327" s="197">
        <v>248</v>
      </c>
      <c r="AM327" s="195"/>
      <c r="AN327" s="195"/>
      <c r="AO327" s="195"/>
      <c r="AP327" s="195"/>
      <c r="AQ327" s="195"/>
      <c r="AR327" s="195"/>
      <c r="AS327" s="195"/>
      <c r="AT327" s="195"/>
      <c r="AU327" s="195"/>
      <c r="AV327" s="195"/>
      <c r="AW327" s="195"/>
      <c r="AX327" s="195"/>
      <c r="AY327" s="195"/>
      <c r="AZ327" s="195"/>
      <c r="BA327" s="195"/>
      <c r="BB327" s="195"/>
      <c r="BC327" s="195"/>
      <c r="BD327" s="197">
        <v>248</v>
      </c>
      <c r="BE327" s="195"/>
      <c r="BF327" s="195"/>
      <c r="BG327" s="195"/>
      <c r="BH327" s="195"/>
      <c r="BI327" s="195"/>
      <c r="BJ327" s="195"/>
      <c r="BK327" s="195"/>
      <c r="BL327" s="195"/>
      <c r="BM327" s="195"/>
      <c r="BN327" s="195"/>
      <c r="BO327" s="195"/>
      <c r="BP327" s="195"/>
      <c r="BQ327" s="195"/>
      <c r="BR327" s="195"/>
      <c r="BS327" s="195"/>
      <c r="BT327" s="195"/>
      <c r="BU327" s="195"/>
      <c r="BV327" s="197">
        <v>248</v>
      </c>
      <c r="BW327" s="195"/>
      <c r="BX327" s="195"/>
      <c r="BY327" s="195"/>
      <c r="BZ327" s="195"/>
      <c r="CA327" s="195"/>
      <c r="CB327" s="195"/>
      <c r="CC327" s="195"/>
      <c r="CD327" s="195"/>
      <c r="CE327" s="195"/>
      <c r="CF327" s="195"/>
      <c r="CG327" s="195"/>
      <c r="CH327" s="195"/>
      <c r="CI327" s="195"/>
      <c r="CJ327" s="195"/>
      <c r="CK327" s="195"/>
      <c r="CL327" s="195"/>
      <c r="CM327" s="195"/>
      <c r="CN327" s="197">
        <v>248</v>
      </c>
      <c r="CO327" s="195"/>
      <c r="CP327" s="195"/>
      <c r="CQ327" s="195"/>
      <c r="CR327" s="195"/>
      <c r="CS327" s="195"/>
      <c r="CT327" s="195"/>
      <c r="CU327" s="195"/>
      <c r="CV327" s="195"/>
      <c r="CW327" s="195"/>
      <c r="CX327" s="195"/>
      <c r="CY327" s="195"/>
      <c r="CZ327" s="195"/>
      <c r="DA327" s="195"/>
      <c r="DB327" s="195"/>
      <c r="DC327" s="195"/>
      <c r="DD327" s="195"/>
      <c r="DE327" s="195"/>
      <c r="DF327" s="197">
        <v>248</v>
      </c>
      <c r="DG327" s="195"/>
      <c r="DH327" s="195"/>
      <c r="DI327" s="195"/>
      <c r="DJ327" s="195"/>
      <c r="DK327" s="195"/>
      <c r="DL327" s="195"/>
      <c r="DM327" s="195"/>
      <c r="DN327" s="195"/>
      <c r="DO327" s="195"/>
      <c r="DP327" s="195"/>
      <c r="DQ327" s="195"/>
      <c r="DR327" s="195"/>
      <c r="DS327" s="195"/>
      <c r="DT327" s="195"/>
      <c r="DU327" s="195"/>
      <c r="DV327" s="195"/>
      <c r="DW327" s="195"/>
      <c r="DX327" s="197">
        <v>248</v>
      </c>
      <c r="DY327" s="195"/>
      <c r="DZ327" s="195"/>
      <c r="EA327" s="195"/>
      <c r="EB327" s="195"/>
      <c r="EC327" s="195"/>
      <c r="ED327" s="195"/>
      <c r="EE327" s="195"/>
      <c r="EF327" s="195"/>
      <c r="EG327" s="195"/>
      <c r="EH327" s="195"/>
      <c r="EI327" s="195"/>
      <c r="EJ327" s="195"/>
      <c r="EK327" s="195"/>
      <c r="EL327" s="195"/>
      <c r="EM327" s="195"/>
      <c r="EN327" s="195"/>
      <c r="EO327" s="195"/>
      <c r="EP327" s="197">
        <v>248</v>
      </c>
      <c r="EQ327" s="195"/>
      <c r="ER327" s="195"/>
      <c r="ES327" s="195"/>
      <c r="ET327" s="195"/>
      <c r="EU327" s="195"/>
      <c r="EV327" s="195"/>
      <c r="EW327" s="195"/>
      <c r="EX327" s="195"/>
      <c r="EY327" s="195"/>
      <c r="EZ327" s="195"/>
      <c r="FA327" s="195"/>
      <c r="FB327" s="195"/>
      <c r="FC327" s="195"/>
      <c r="FD327" s="195"/>
      <c r="FE327" s="195"/>
      <c r="FF327" s="195"/>
      <c r="FG327" s="195"/>
      <c r="FH327" s="197">
        <v>248</v>
      </c>
      <c r="FI327" s="195"/>
      <c r="FJ327" s="195"/>
      <c r="FK327" s="195"/>
      <c r="FL327" s="195"/>
      <c r="FM327" s="195"/>
      <c r="FN327" s="195"/>
      <c r="FO327" s="195"/>
      <c r="FP327" s="195"/>
      <c r="FQ327" s="195"/>
      <c r="FR327" s="195"/>
      <c r="FS327" s="195"/>
      <c r="FT327" s="195"/>
      <c r="FU327" s="195"/>
      <c r="FV327" s="195"/>
      <c r="FW327" s="195"/>
      <c r="FX327" s="195"/>
      <c r="FY327" s="195"/>
    </row>
    <row r="328" spans="2:181" x14ac:dyDescent="0.25">
      <c r="B328" s="12">
        <v>249</v>
      </c>
      <c r="C328" s="195"/>
      <c r="D328" s="195"/>
      <c r="E328" s="195"/>
      <c r="F328" s="195"/>
      <c r="G328" s="195"/>
      <c r="H328" s="195"/>
      <c r="I328" s="195"/>
      <c r="J328" s="195"/>
      <c r="K328" s="195"/>
      <c r="L328" s="195"/>
      <c r="M328" s="195"/>
      <c r="N328" s="195"/>
      <c r="O328" s="195"/>
      <c r="P328" s="195"/>
      <c r="Q328" s="195"/>
      <c r="R328" s="195"/>
      <c r="S328" s="195"/>
      <c r="T328" s="12">
        <v>249</v>
      </c>
      <c r="U328" s="195"/>
      <c r="V328" s="195"/>
      <c r="W328" s="195"/>
      <c r="X328" s="195"/>
      <c r="Y328" s="195"/>
      <c r="Z328" s="195"/>
      <c r="AA328" s="195"/>
      <c r="AB328" s="195"/>
      <c r="AC328" s="195"/>
      <c r="AD328" s="195"/>
      <c r="AE328" s="195"/>
      <c r="AF328" s="195"/>
      <c r="AG328" s="195"/>
      <c r="AH328" s="195"/>
      <c r="AI328" s="195"/>
      <c r="AJ328" s="195"/>
      <c r="AK328" s="195"/>
      <c r="AL328" s="12">
        <v>249</v>
      </c>
      <c r="AM328" s="195"/>
      <c r="AN328" s="195"/>
      <c r="AO328" s="195"/>
      <c r="AP328" s="195"/>
      <c r="AQ328" s="195"/>
      <c r="AR328" s="195"/>
      <c r="AS328" s="195"/>
      <c r="AT328" s="195"/>
      <c r="AU328" s="195"/>
      <c r="AV328" s="195"/>
      <c r="AW328" s="195"/>
      <c r="AX328" s="195"/>
      <c r="AY328" s="195"/>
      <c r="AZ328" s="195"/>
      <c r="BA328" s="195"/>
      <c r="BB328" s="195"/>
      <c r="BC328" s="195"/>
      <c r="BD328" s="12">
        <v>249</v>
      </c>
      <c r="BE328" s="195"/>
      <c r="BF328" s="195"/>
      <c r="BG328" s="195"/>
      <c r="BH328" s="195"/>
      <c r="BI328" s="195"/>
      <c r="BJ328" s="195"/>
      <c r="BK328" s="195"/>
      <c r="BL328" s="195"/>
      <c r="BM328" s="195"/>
      <c r="BN328" s="195"/>
      <c r="BO328" s="195"/>
      <c r="BP328" s="195"/>
      <c r="BQ328" s="195"/>
      <c r="BR328" s="195"/>
      <c r="BS328" s="195"/>
      <c r="BT328" s="195"/>
      <c r="BU328" s="195"/>
      <c r="BV328" s="12">
        <v>249</v>
      </c>
      <c r="BW328" s="195"/>
      <c r="BX328" s="195"/>
      <c r="BY328" s="195"/>
      <c r="BZ328" s="195"/>
      <c r="CA328" s="195"/>
      <c r="CB328" s="195"/>
      <c r="CC328" s="195"/>
      <c r="CD328" s="195"/>
      <c r="CE328" s="195"/>
      <c r="CF328" s="195"/>
      <c r="CG328" s="195"/>
      <c r="CH328" s="195"/>
      <c r="CI328" s="195"/>
      <c r="CJ328" s="195"/>
      <c r="CK328" s="195"/>
      <c r="CL328" s="195"/>
      <c r="CM328" s="195"/>
      <c r="CN328" s="12">
        <v>249</v>
      </c>
      <c r="CO328" s="195"/>
      <c r="CP328" s="195"/>
      <c r="CQ328" s="195"/>
      <c r="CR328" s="195"/>
      <c r="CS328" s="195"/>
      <c r="CT328" s="195"/>
      <c r="CU328" s="195"/>
      <c r="CV328" s="195"/>
      <c r="CW328" s="195"/>
      <c r="CX328" s="195"/>
      <c r="CY328" s="195"/>
      <c r="CZ328" s="195"/>
      <c r="DA328" s="195"/>
      <c r="DB328" s="195"/>
      <c r="DC328" s="195"/>
      <c r="DD328" s="195"/>
      <c r="DE328" s="195"/>
      <c r="DF328" s="12">
        <v>249</v>
      </c>
      <c r="DG328" s="195"/>
      <c r="DH328" s="195"/>
      <c r="DI328" s="195"/>
      <c r="DJ328" s="195"/>
      <c r="DK328" s="195"/>
      <c r="DL328" s="195"/>
      <c r="DM328" s="195"/>
      <c r="DN328" s="195"/>
      <c r="DO328" s="195"/>
      <c r="DP328" s="195"/>
      <c r="DQ328" s="195"/>
      <c r="DR328" s="195"/>
      <c r="DS328" s="195"/>
      <c r="DT328" s="195"/>
      <c r="DU328" s="195"/>
      <c r="DV328" s="195"/>
      <c r="DW328" s="195"/>
      <c r="DX328" s="12">
        <v>249</v>
      </c>
      <c r="DY328" s="195"/>
      <c r="DZ328" s="195"/>
      <c r="EA328" s="195"/>
      <c r="EB328" s="195"/>
      <c r="EC328" s="195"/>
      <c r="ED328" s="195"/>
      <c r="EE328" s="195"/>
      <c r="EF328" s="195"/>
      <c r="EG328" s="195"/>
      <c r="EH328" s="195"/>
      <c r="EI328" s="195"/>
      <c r="EJ328" s="195"/>
      <c r="EK328" s="195"/>
      <c r="EL328" s="195"/>
      <c r="EM328" s="195"/>
      <c r="EN328" s="195"/>
      <c r="EO328" s="195"/>
      <c r="EP328" s="12">
        <v>249</v>
      </c>
      <c r="EQ328" s="195"/>
      <c r="ER328" s="195"/>
      <c r="ES328" s="195"/>
      <c r="ET328" s="195"/>
      <c r="EU328" s="195"/>
      <c r="EV328" s="195"/>
      <c r="EW328" s="195"/>
      <c r="EX328" s="195"/>
      <c r="EY328" s="195"/>
      <c r="EZ328" s="195"/>
      <c r="FA328" s="195"/>
      <c r="FB328" s="195"/>
      <c r="FC328" s="195"/>
      <c r="FD328" s="195"/>
      <c r="FE328" s="195"/>
      <c r="FF328" s="195"/>
      <c r="FG328" s="195"/>
      <c r="FH328" s="12">
        <v>249</v>
      </c>
      <c r="FI328" s="195"/>
      <c r="FJ328" s="195"/>
      <c r="FK328" s="195"/>
      <c r="FL328" s="195"/>
      <c r="FM328" s="195"/>
      <c r="FN328" s="195"/>
      <c r="FO328" s="195"/>
      <c r="FP328" s="195"/>
      <c r="FQ328" s="195"/>
      <c r="FR328" s="195"/>
      <c r="FS328" s="195"/>
      <c r="FT328" s="195"/>
      <c r="FU328" s="195"/>
      <c r="FV328" s="195"/>
      <c r="FW328" s="195"/>
      <c r="FX328" s="195"/>
      <c r="FY328" s="195"/>
    </row>
    <row r="329" spans="2:181" x14ac:dyDescent="0.25">
      <c r="B329" s="197">
        <v>250</v>
      </c>
      <c r="C329" s="195"/>
      <c r="D329" s="195"/>
      <c r="E329" s="195"/>
      <c r="F329" s="195"/>
      <c r="G329" s="195"/>
      <c r="H329" s="195"/>
      <c r="I329" s="195"/>
      <c r="J329" s="195"/>
      <c r="K329" s="195"/>
      <c r="L329" s="195"/>
      <c r="M329" s="195"/>
      <c r="N329" s="195"/>
      <c r="O329" s="195"/>
      <c r="P329" s="195"/>
      <c r="Q329" s="195"/>
      <c r="R329" s="195"/>
      <c r="S329" s="195"/>
      <c r="T329" s="197">
        <v>250</v>
      </c>
      <c r="U329" s="195"/>
      <c r="V329" s="195"/>
      <c r="W329" s="195"/>
      <c r="X329" s="195"/>
      <c r="Y329" s="195"/>
      <c r="Z329" s="195"/>
      <c r="AA329" s="195"/>
      <c r="AB329" s="195"/>
      <c r="AC329" s="195"/>
      <c r="AD329" s="195"/>
      <c r="AE329" s="195"/>
      <c r="AF329" s="195"/>
      <c r="AG329" s="195"/>
      <c r="AH329" s="195"/>
      <c r="AI329" s="195"/>
      <c r="AJ329" s="195"/>
      <c r="AK329" s="195"/>
      <c r="AL329" s="197">
        <v>250</v>
      </c>
      <c r="AM329" s="195"/>
      <c r="AN329" s="195"/>
      <c r="AO329" s="195"/>
      <c r="AP329" s="195"/>
      <c r="AQ329" s="195"/>
      <c r="AR329" s="195"/>
      <c r="AS329" s="195"/>
      <c r="AT329" s="195"/>
      <c r="AU329" s="195"/>
      <c r="AV329" s="195"/>
      <c r="AW329" s="195"/>
      <c r="AX329" s="195"/>
      <c r="AY329" s="195"/>
      <c r="AZ329" s="195"/>
      <c r="BA329" s="195"/>
      <c r="BB329" s="195"/>
      <c r="BC329" s="195"/>
      <c r="BD329" s="197">
        <v>250</v>
      </c>
      <c r="BE329" s="195"/>
      <c r="BF329" s="195"/>
      <c r="BG329" s="195"/>
      <c r="BH329" s="195"/>
      <c r="BI329" s="195"/>
      <c r="BJ329" s="195"/>
      <c r="BK329" s="195"/>
      <c r="BL329" s="195"/>
      <c r="BM329" s="195"/>
      <c r="BN329" s="195"/>
      <c r="BO329" s="195"/>
      <c r="BP329" s="195"/>
      <c r="BQ329" s="195"/>
      <c r="BR329" s="195"/>
      <c r="BS329" s="195"/>
      <c r="BT329" s="195"/>
      <c r="BU329" s="195"/>
      <c r="BV329" s="197">
        <v>250</v>
      </c>
      <c r="BW329" s="195"/>
      <c r="BX329" s="195"/>
      <c r="BY329" s="195"/>
      <c r="BZ329" s="195"/>
      <c r="CA329" s="195"/>
      <c r="CB329" s="195"/>
      <c r="CC329" s="195"/>
      <c r="CD329" s="195"/>
      <c r="CE329" s="195"/>
      <c r="CF329" s="195"/>
      <c r="CG329" s="195"/>
      <c r="CH329" s="195"/>
      <c r="CI329" s="195"/>
      <c r="CJ329" s="195"/>
      <c r="CK329" s="195"/>
      <c r="CL329" s="195"/>
      <c r="CM329" s="195"/>
      <c r="CN329" s="197">
        <v>250</v>
      </c>
      <c r="CO329" s="195"/>
      <c r="CP329" s="195"/>
      <c r="CQ329" s="195"/>
      <c r="CR329" s="195"/>
      <c r="CS329" s="195"/>
      <c r="CT329" s="195"/>
      <c r="CU329" s="195"/>
      <c r="CV329" s="195"/>
      <c r="CW329" s="195"/>
      <c r="CX329" s="195"/>
      <c r="CY329" s="195"/>
      <c r="CZ329" s="195"/>
      <c r="DA329" s="195"/>
      <c r="DB329" s="195"/>
      <c r="DC329" s="195"/>
      <c r="DD329" s="195"/>
      <c r="DE329" s="195"/>
      <c r="DF329" s="197">
        <v>250</v>
      </c>
      <c r="DG329" s="195"/>
      <c r="DH329" s="195"/>
      <c r="DI329" s="195"/>
      <c r="DJ329" s="195"/>
      <c r="DK329" s="195"/>
      <c r="DL329" s="195"/>
      <c r="DM329" s="195"/>
      <c r="DN329" s="195"/>
      <c r="DO329" s="195"/>
      <c r="DP329" s="195"/>
      <c r="DQ329" s="195"/>
      <c r="DR329" s="195"/>
      <c r="DS329" s="195"/>
      <c r="DT329" s="195"/>
      <c r="DU329" s="195"/>
      <c r="DV329" s="195"/>
      <c r="DW329" s="195"/>
      <c r="DX329" s="197">
        <v>250</v>
      </c>
      <c r="DY329" s="195"/>
      <c r="DZ329" s="195"/>
      <c r="EA329" s="195"/>
      <c r="EB329" s="195"/>
      <c r="EC329" s="195"/>
      <c r="ED329" s="195"/>
      <c r="EE329" s="195"/>
      <c r="EF329" s="195"/>
      <c r="EG329" s="195"/>
      <c r="EH329" s="195"/>
      <c r="EI329" s="195"/>
      <c r="EJ329" s="195"/>
      <c r="EK329" s="195"/>
      <c r="EL329" s="195"/>
      <c r="EM329" s="195"/>
      <c r="EN329" s="195"/>
      <c r="EO329" s="195"/>
      <c r="EP329" s="197">
        <v>250</v>
      </c>
      <c r="EQ329" s="195"/>
      <c r="ER329" s="195"/>
      <c r="ES329" s="195"/>
      <c r="ET329" s="195"/>
      <c r="EU329" s="195"/>
      <c r="EV329" s="195"/>
      <c r="EW329" s="195"/>
      <c r="EX329" s="195"/>
      <c r="EY329" s="195"/>
      <c r="EZ329" s="195"/>
      <c r="FA329" s="195"/>
      <c r="FB329" s="195"/>
      <c r="FC329" s="195"/>
      <c r="FD329" s="195"/>
      <c r="FE329" s="195"/>
      <c r="FF329" s="195"/>
      <c r="FG329" s="195"/>
      <c r="FH329" s="197">
        <v>250</v>
      </c>
      <c r="FI329" s="195"/>
      <c r="FJ329" s="195"/>
      <c r="FK329" s="195"/>
      <c r="FL329" s="195"/>
      <c r="FM329" s="195"/>
      <c r="FN329" s="195"/>
      <c r="FO329" s="195"/>
      <c r="FP329" s="195"/>
      <c r="FQ329" s="195"/>
      <c r="FR329" s="195"/>
      <c r="FS329" s="195"/>
      <c r="FT329" s="195"/>
      <c r="FU329" s="195"/>
      <c r="FV329" s="195"/>
      <c r="FW329" s="195"/>
      <c r="FX329" s="195"/>
      <c r="FY329" s="195"/>
    </row>
    <row r="330" spans="2:181" x14ac:dyDescent="0.25">
      <c r="B330" s="12">
        <v>251</v>
      </c>
      <c r="C330" s="195"/>
      <c r="D330" s="195"/>
      <c r="E330" s="195"/>
      <c r="F330" s="195"/>
      <c r="G330" s="195"/>
      <c r="H330" s="195"/>
      <c r="I330" s="195"/>
      <c r="J330" s="195"/>
      <c r="K330" s="195"/>
      <c r="L330" s="195"/>
      <c r="M330" s="195"/>
      <c r="N330" s="195"/>
      <c r="O330" s="195"/>
      <c r="P330" s="195"/>
      <c r="Q330" s="195"/>
      <c r="R330" s="195"/>
      <c r="S330" s="195"/>
      <c r="T330" s="12">
        <v>251</v>
      </c>
      <c r="U330" s="195"/>
      <c r="V330" s="195"/>
      <c r="W330" s="195"/>
      <c r="X330" s="195"/>
      <c r="Y330" s="195"/>
      <c r="Z330" s="195"/>
      <c r="AA330" s="195"/>
      <c r="AB330" s="195"/>
      <c r="AC330" s="195"/>
      <c r="AD330" s="195"/>
      <c r="AE330" s="195"/>
      <c r="AF330" s="195"/>
      <c r="AG330" s="195"/>
      <c r="AH330" s="195"/>
      <c r="AI330" s="195"/>
      <c r="AJ330" s="195"/>
      <c r="AK330" s="195"/>
      <c r="AL330" s="12">
        <v>251</v>
      </c>
      <c r="AM330" s="195"/>
      <c r="AN330" s="195"/>
      <c r="AO330" s="195"/>
      <c r="AP330" s="195"/>
      <c r="AQ330" s="195"/>
      <c r="AR330" s="195"/>
      <c r="AS330" s="195"/>
      <c r="AT330" s="195"/>
      <c r="AU330" s="195"/>
      <c r="AV330" s="195"/>
      <c r="AW330" s="195"/>
      <c r="AX330" s="195"/>
      <c r="AY330" s="195"/>
      <c r="AZ330" s="195"/>
      <c r="BA330" s="195"/>
      <c r="BB330" s="195"/>
      <c r="BC330" s="195"/>
      <c r="BD330" s="12">
        <v>251</v>
      </c>
      <c r="BE330" s="195"/>
      <c r="BF330" s="195"/>
      <c r="BG330" s="195"/>
      <c r="BH330" s="195"/>
      <c r="BI330" s="195"/>
      <c r="BJ330" s="195"/>
      <c r="BK330" s="195"/>
      <c r="BL330" s="195"/>
      <c r="BM330" s="195"/>
      <c r="BN330" s="195"/>
      <c r="BO330" s="195"/>
      <c r="BP330" s="195"/>
      <c r="BQ330" s="195"/>
      <c r="BR330" s="195"/>
      <c r="BS330" s="195"/>
      <c r="BT330" s="195"/>
      <c r="BU330" s="195"/>
      <c r="BV330" s="12">
        <v>251</v>
      </c>
      <c r="BW330" s="195"/>
      <c r="BX330" s="195"/>
      <c r="BY330" s="195"/>
      <c r="BZ330" s="195"/>
      <c r="CA330" s="195"/>
      <c r="CB330" s="195"/>
      <c r="CC330" s="195"/>
      <c r="CD330" s="195"/>
      <c r="CE330" s="195"/>
      <c r="CF330" s="195"/>
      <c r="CG330" s="195"/>
      <c r="CH330" s="195"/>
      <c r="CI330" s="195"/>
      <c r="CJ330" s="195"/>
      <c r="CK330" s="195"/>
      <c r="CL330" s="195"/>
      <c r="CM330" s="195"/>
      <c r="CN330" s="12">
        <v>251</v>
      </c>
      <c r="CO330" s="195"/>
      <c r="CP330" s="195"/>
      <c r="CQ330" s="195"/>
      <c r="CR330" s="195"/>
      <c r="CS330" s="195"/>
      <c r="CT330" s="195"/>
      <c r="CU330" s="195"/>
      <c r="CV330" s="195"/>
      <c r="CW330" s="195"/>
      <c r="CX330" s="195"/>
      <c r="CY330" s="195"/>
      <c r="CZ330" s="195"/>
      <c r="DA330" s="195"/>
      <c r="DB330" s="195"/>
      <c r="DC330" s="195"/>
      <c r="DD330" s="195"/>
      <c r="DE330" s="195"/>
      <c r="DF330" s="12">
        <v>251</v>
      </c>
      <c r="DG330" s="195"/>
      <c r="DH330" s="195"/>
      <c r="DI330" s="195"/>
      <c r="DJ330" s="195"/>
      <c r="DK330" s="195"/>
      <c r="DL330" s="195"/>
      <c r="DM330" s="195"/>
      <c r="DN330" s="195"/>
      <c r="DO330" s="195"/>
      <c r="DP330" s="195"/>
      <c r="DQ330" s="195"/>
      <c r="DR330" s="195"/>
      <c r="DS330" s="195"/>
      <c r="DT330" s="195"/>
      <c r="DU330" s="195"/>
      <c r="DV330" s="195"/>
      <c r="DW330" s="195"/>
      <c r="DX330" s="12">
        <v>251</v>
      </c>
      <c r="DY330" s="195"/>
      <c r="DZ330" s="195"/>
      <c r="EA330" s="195"/>
      <c r="EB330" s="195"/>
      <c r="EC330" s="195"/>
      <c r="ED330" s="195"/>
      <c r="EE330" s="195"/>
      <c r="EF330" s="195"/>
      <c r="EG330" s="195"/>
      <c r="EH330" s="195"/>
      <c r="EI330" s="195"/>
      <c r="EJ330" s="195"/>
      <c r="EK330" s="195"/>
      <c r="EL330" s="195"/>
      <c r="EM330" s="195"/>
      <c r="EN330" s="195"/>
      <c r="EO330" s="195"/>
      <c r="EP330" s="12">
        <v>251</v>
      </c>
      <c r="EQ330" s="195"/>
      <c r="ER330" s="195"/>
      <c r="ES330" s="195"/>
      <c r="ET330" s="195"/>
      <c r="EU330" s="195"/>
      <c r="EV330" s="195"/>
      <c r="EW330" s="195"/>
      <c r="EX330" s="195"/>
      <c r="EY330" s="195"/>
      <c r="EZ330" s="195"/>
      <c r="FA330" s="195"/>
      <c r="FB330" s="195"/>
      <c r="FC330" s="195"/>
      <c r="FD330" s="195"/>
      <c r="FE330" s="195"/>
      <c r="FF330" s="195"/>
      <c r="FG330" s="195"/>
      <c r="FH330" s="12">
        <v>251</v>
      </c>
      <c r="FI330" s="195"/>
      <c r="FJ330" s="195"/>
      <c r="FK330" s="195"/>
      <c r="FL330" s="195"/>
      <c r="FM330" s="195"/>
      <c r="FN330" s="195"/>
      <c r="FO330" s="195"/>
      <c r="FP330" s="195"/>
      <c r="FQ330" s="195"/>
      <c r="FR330" s="195"/>
      <c r="FS330" s="195"/>
      <c r="FT330" s="195"/>
      <c r="FU330" s="195"/>
      <c r="FV330" s="195"/>
      <c r="FW330" s="195"/>
      <c r="FX330" s="195"/>
      <c r="FY330" s="195"/>
    </row>
    <row r="331" spans="2:181" x14ac:dyDescent="0.25">
      <c r="B331" s="197">
        <v>252</v>
      </c>
      <c r="C331" s="195"/>
      <c r="D331" s="195"/>
      <c r="E331" s="195"/>
      <c r="F331" s="195"/>
      <c r="G331" s="195"/>
      <c r="H331" s="195"/>
      <c r="I331" s="195"/>
      <c r="J331" s="195"/>
      <c r="K331" s="195"/>
      <c r="L331" s="195"/>
      <c r="M331" s="195"/>
      <c r="N331" s="195"/>
      <c r="O331" s="195"/>
      <c r="P331" s="195"/>
      <c r="Q331" s="195"/>
      <c r="R331" s="195"/>
      <c r="S331" s="195"/>
      <c r="T331" s="197">
        <v>252</v>
      </c>
      <c r="U331" s="195"/>
      <c r="V331" s="195"/>
      <c r="W331" s="195"/>
      <c r="X331" s="195"/>
      <c r="Y331" s="195"/>
      <c r="Z331" s="195"/>
      <c r="AA331" s="195"/>
      <c r="AB331" s="195"/>
      <c r="AC331" s="195"/>
      <c r="AD331" s="195"/>
      <c r="AE331" s="195"/>
      <c r="AF331" s="195"/>
      <c r="AG331" s="195"/>
      <c r="AH331" s="195"/>
      <c r="AI331" s="195"/>
      <c r="AJ331" s="195"/>
      <c r="AK331" s="195"/>
      <c r="AL331" s="197">
        <v>252</v>
      </c>
      <c r="AM331" s="195"/>
      <c r="AN331" s="195"/>
      <c r="AO331" s="195"/>
      <c r="AP331" s="195"/>
      <c r="AQ331" s="195"/>
      <c r="AR331" s="195"/>
      <c r="AS331" s="195"/>
      <c r="AT331" s="195"/>
      <c r="AU331" s="195"/>
      <c r="AV331" s="195"/>
      <c r="AW331" s="195"/>
      <c r="AX331" s="195"/>
      <c r="AY331" s="195"/>
      <c r="AZ331" s="195"/>
      <c r="BA331" s="195"/>
      <c r="BB331" s="195"/>
      <c r="BC331" s="195"/>
      <c r="BD331" s="197">
        <v>252</v>
      </c>
      <c r="BE331" s="195"/>
      <c r="BF331" s="195"/>
      <c r="BG331" s="195"/>
      <c r="BH331" s="195"/>
      <c r="BI331" s="195"/>
      <c r="BJ331" s="195"/>
      <c r="BK331" s="195"/>
      <c r="BL331" s="195"/>
      <c r="BM331" s="195"/>
      <c r="BN331" s="195"/>
      <c r="BO331" s="195"/>
      <c r="BP331" s="195"/>
      <c r="BQ331" s="195"/>
      <c r="BR331" s="195"/>
      <c r="BS331" s="195"/>
      <c r="BT331" s="195"/>
      <c r="BU331" s="195"/>
      <c r="BV331" s="197">
        <v>252</v>
      </c>
      <c r="BW331" s="195"/>
      <c r="BX331" s="195"/>
      <c r="BY331" s="195"/>
      <c r="BZ331" s="195"/>
      <c r="CA331" s="195"/>
      <c r="CB331" s="195"/>
      <c r="CC331" s="195"/>
      <c r="CD331" s="195"/>
      <c r="CE331" s="195"/>
      <c r="CF331" s="195"/>
      <c r="CG331" s="195"/>
      <c r="CH331" s="195"/>
      <c r="CI331" s="195"/>
      <c r="CJ331" s="195"/>
      <c r="CK331" s="195"/>
      <c r="CL331" s="195"/>
      <c r="CM331" s="195"/>
      <c r="CN331" s="197">
        <v>252</v>
      </c>
      <c r="CO331" s="195"/>
      <c r="CP331" s="195"/>
      <c r="CQ331" s="195"/>
      <c r="CR331" s="195"/>
      <c r="CS331" s="195"/>
      <c r="CT331" s="195"/>
      <c r="CU331" s="195"/>
      <c r="CV331" s="195"/>
      <c r="CW331" s="195"/>
      <c r="CX331" s="195"/>
      <c r="CY331" s="195"/>
      <c r="CZ331" s="195"/>
      <c r="DA331" s="195"/>
      <c r="DB331" s="195"/>
      <c r="DC331" s="195"/>
      <c r="DD331" s="195"/>
      <c r="DE331" s="195"/>
      <c r="DF331" s="197">
        <v>252</v>
      </c>
      <c r="DG331" s="195"/>
      <c r="DH331" s="195"/>
      <c r="DI331" s="195"/>
      <c r="DJ331" s="195"/>
      <c r="DK331" s="195"/>
      <c r="DL331" s="195"/>
      <c r="DM331" s="195"/>
      <c r="DN331" s="195"/>
      <c r="DO331" s="195"/>
      <c r="DP331" s="195"/>
      <c r="DQ331" s="195"/>
      <c r="DR331" s="195"/>
      <c r="DS331" s="195"/>
      <c r="DT331" s="195"/>
      <c r="DU331" s="195"/>
      <c r="DV331" s="195"/>
      <c r="DW331" s="195"/>
      <c r="DX331" s="197">
        <v>252</v>
      </c>
      <c r="DY331" s="195"/>
      <c r="DZ331" s="195"/>
      <c r="EA331" s="195"/>
      <c r="EB331" s="195"/>
      <c r="EC331" s="195"/>
      <c r="ED331" s="195"/>
      <c r="EE331" s="195"/>
      <c r="EF331" s="195"/>
      <c r="EG331" s="195"/>
      <c r="EH331" s="195"/>
      <c r="EI331" s="195"/>
      <c r="EJ331" s="195"/>
      <c r="EK331" s="195"/>
      <c r="EL331" s="195"/>
      <c r="EM331" s="195"/>
      <c r="EN331" s="195"/>
      <c r="EO331" s="195"/>
      <c r="EP331" s="197">
        <v>252</v>
      </c>
      <c r="EQ331" s="195"/>
      <c r="ER331" s="195"/>
      <c r="ES331" s="195"/>
      <c r="ET331" s="195"/>
      <c r="EU331" s="195"/>
      <c r="EV331" s="195"/>
      <c r="EW331" s="195"/>
      <c r="EX331" s="195"/>
      <c r="EY331" s="195"/>
      <c r="EZ331" s="195"/>
      <c r="FA331" s="195"/>
      <c r="FB331" s="195"/>
      <c r="FC331" s="195"/>
      <c r="FD331" s="195"/>
      <c r="FE331" s="195"/>
      <c r="FF331" s="195"/>
      <c r="FG331" s="195"/>
      <c r="FH331" s="197">
        <v>252</v>
      </c>
      <c r="FI331" s="195"/>
      <c r="FJ331" s="195"/>
      <c r="FK331" s="195"/>
      <c r="FL331" s="195"/>
      <c r="FM331" s="195"/>
      <c r="FN331" s="195"/>
      <c r="FO331" s="195"/>
      <c r="FP331" s="195"/>
      <c r="FQ331" s="195"/>
      <c r="FR331" s="195"/>
      <c r="FS331" s="195"/>
      <c r="FT331" s="195"/>
      <c r="FU331" s="195"/>
      <c r="FV331" s="195"/>
      <c r="FW331" s="195"/>
      <c r="FX331" s="195"/>
      <c r="FY331" s="195"/>
    </row>
    <row r="332" spans="2:181" x14ac:dyDescent="0.25">
      <c r="B332" s="12">
        <v>253</v>
      </c>
      <c r="C332" s="195"/>
      <c r="D332" s="195"/>
      <c r="E332" s="195"/>
      <c r="F332" s="195"/>
      <c r="G332" s="195"/>
      <c r="H332" s="195"/>
      <c r="I332" s="195"/>
      <c r="J332" s="195"/>
      <c r="K332" s="195"/>
      <c r="L332" s="195"/>
      <c r="M332" s="195"/>
      <c r="N332" s="195"/>
      <c r="O332" s="195"/>
      <c r="P332" s="195"/>
      <c r="Q332" s="195"/>
      <c r="R332" s="195"/>
      <c r="S332" s="195"/>
      <c r="T332" s="12">
        <v>253</v>
      </c>
      <c r="U332" s="195"/>
      <c r="V332" s="195"/>
      <c r="W332" s="195"/>
      <c r="X332" s="195"/>
      <c r="Y332" s="195"/>
      <c r="Z332" s="195"/>
      <c r="AA332" s="195"/>
      <c r="AB332" s="195"/>
      <c r="AC332" s="195"/>
      <c r="AD332" s="195"/>
      <c r="AE332" s="195"/>
      <c r="AF332" s="195"/>
      <c r="AG332" s="195"/>
      <c r="AH332" s="195"/>
      <c r="AI332" s="195"/>
      <c r="AJ332" s="195"/>
      <c r="AK332" s="195"/>
      <c r="AL332" s="12">
        <v>253</v>
      </c>
      <c r="AM332" s="195"/>
      <c r="AN332" s="195"/>
      <c r="AO332" s="195"/>
      <c r="AP332" s="195"/>
      <c r="AQ332" s="195"/>
      <c r="AR332" s="195"/>
      <c r="AS332" s="195"/>
      <c r="AT332" s="195"/>
      <c r="AU332" s="195"/>
      <c r="AV332" s="195"/>
      <c r="AW332" s="195"/>
      <c r="AX332" s="195"/>
      <c r="AY332" s="195"/>
      <c r="AZ332" s="195"/>
      <c r="BA332" s="195"/>
      <c r="BB332" s="195"/>
      <c r="BC332" s="195"/>
      <c r="BD332" s="12">
        <v>253</v>
      </c>
      <c r="BE332" s="195"/>
      <c r="BF332" s="195"/>
      <c r="BG332" s="195"/>
      <c r="BH332" s="195"/>
      <c r="BI332" s="195"/>
      <c r="BJ332" s="195"/>
      <c r="BK332" s="195"/>
      <c r="BL332" s="195"/>
      <c r="BM332" s="195"/>
      <c r="BN332" s="195"/>
      <c r="BO332" s="195"/>
      <c r="BP332" s="195"/>
      <c r="BQ332" s="195"/>
      <c r="BR332" s="195"/>
      <c r="BS332" s="195"/>
      <c r="BT332" s="195"/>
      <c r="BU332" s="195"/>
      <c r="BV332" s="12">
        <v>253</v>
      </c>
      <c r="BW332" s="195"/>
      <c r="BX332" s="195"/>
      <c r="BY332" s="195"/>
      <c r="BZ332" s="195"/>
      <c r="CA332" s="195"/>
      <c r="CB332" s="195"/>
      <c r="CC332" s="195"/>
      <c r="CD332" s="195"/>
      <c r="CE332" s="195"/>
      <c r="CF332" s="195"/>
      <c r="CG332" s="195"/>
      <c r="CH332" s="195"/>
      <c r="CI332" s="195"/>
      <c r="CJ332" s="195"/>
      <c r="CK332" s="195"/>
      <c r="CL332" s="195"/>
      <c r="CM332" s="195"/>
      <c r="CN332" s="12">
        <v>253</v>
      </c>
      <c r="CO332" s="195"/>
      <c r="CP332" s="195"/>
      <c r="CQ332" s="195"/>
      <c r="CR332" s="195"/>
      <c r="CS332" s="195"/>
      <c r="CT332" s="195"/>
      <c r="CU332" s="195"/>
      <c r="CV332" s="195"/>
      <c r="CW332" s="195"/>
      <c r="CX332" s="195"/>
      <c r="CY332" s="195"/>
      <c r="CZ332" s="195"/>
      <c r="DA332" s="195"/>
      <c r="DB332" s="195"/>
      <c r="DC332" s="195"/>
      <c r="DD332" s="195"/>
      <c r="DE332" s="195"/>
      <c r="DF332" s="12">
        <v>253</v>
      </c>
      <c r="DG332" s="195"/>
      <c r="DH332" s="195"/>
      <c r="DI332" s="195"/>
      <c r="DJ332" s="195"/>
      <c r="DK332" s="195"/>
      <c r="DL332" s="195"/>
      <c r="DM332" s="195"/>
      <c r="DN332" s="195"/>
      <c r="DO332" s="195"/>
      <c r="DP332" s="195"/>
      <c r="DQ332" s="195"/>
      <c r="DR332" s="195"/>
      <c r="DS332" s="195"/>
      <c r="DT332" s="195"/>
      <c r="DU332" s="195"/>
      <c r="DV332" s="195"/>
      <c r="DW332" s="195"/>
      <c r="DX332" s="12">
        <v>253</v>
      </c>
      <c r="DY332" s="195"/>
      <c r="DZ332" s="195"/>
      <c r="EA332" s="195"/>
      <c r="EB332" s="195"/>
      <c r="EC332" s="195"/>
      <c r="ED332" s="195"/>
      <c r="EE332" s="195"/>
      <c r="EF332" s="195"/>
      <c r="EG332" s="195"/>
      <c r="EH332" s="195"/>
      <c r="EI332" s="195"/>
      <c r="EJ332" s="195"/>
      <c r="EK332" s="195"/>
      <c r="EL332" s="195"/>
      <c r="EM332" s="195"/>
      <c r="EN332" s="195"/>
      <c r="EO332" s="195"/>
      <c r="EP332" s="12">
        <v>253</v>
      </c>
      <c r="EQ332" s="195"/>
      <c r="ER332" s="195"/>
      <c r="ES332" s="195"/>
      <c r="ET332" s="195"/>
      <c r="EU332" s="195"/>
      <c r="EV332" s="195"/>
      <c r="EW332" s="195"/>
      <c r="EX332" s="195"/>
      <c r="EY332" s="195"/>
      <c r="EZ332" s="195"/>
      <c r="FA332" s="195"/>
      <c r="FB332" s="195"/>
      <c r="FC332" s="195"/>
      <c r="FD332" s="195"/>
      <c r="FE332" s="195"/>
      <c r="FF332" s="195"/>
      <c r="FG332" s="195"/>
      <c r="FH332" s="12">
        <v>253</v>
      </c>
      <c r="FI332" s="195"/>
      <c r="FJ332" s="195"/>
      <c r="FK332" s="195"/>
      <c r="FL332" s="195"/>
      <c r="FM332" s="195"/>
      <c r="FN332" s="195"/>
      <c r="FO332" s="195"/>
      <c r="FP332" s="195"/>
      <c r="FQ332" s="195"/>
      <c r="FR332" s="195"/>
      <c r="FS332" s="195"/>
      <c r="FT332" s="195"/>
      <c r="FU332" s="195"/>
      <c r="FV332" s="195"/>
      <c r="FW332" s="195"/>
      <c r="FX332" s="195"/>
      <c r="FY332" s="195"/>
    </row>
    <row r="333" spans="2:181" x14ac:dyDescent="0.25">
      <c r="B333" s="197">
        <v>254</v>
      </c>
      <c r="C333" s="195"/>
      <c r="D333" s="195"/>
      <c r="E333" s="195"/>
      <c r="F333" s="195"/>
      <c r="G333" s="195"/>
      <c r="H333" s="195"/>
      <c r="I333" s="195"/>
      <c r="J333" s="195"/>
      <c r="K333" s="195"/>
      <c r="L333" s="195"/>
      <c r="M333" s="195"/>
      <c r="N333" s="195"/>
      <c r="O333" s="195"/>
      <c r="P333" s="195"/>
      <c r="Q333" s="195"/>
      <c r="R333" s="195"/>
      <c r="S333" s="195"/>
      <c r="T333" s="197">
        <v>254</v>
      </c>
      <c r="U333" s="195"/>
      <c r="V333" s="195"/>
      <c r="W333" s="195"/>
      <c r="X333" s="195"/>
      <c r="Y333" s="195"/>
      <c r="Z333" s="195"/>
      <c r="AA333" s="195"/>
      <c r="AB333" s="195"/>
      <c r="AC333" s="195"/>
      <c r="AD333" s="195"/>
      <c r="AE333" s="195"/>
      <c r="AF333" s="195"/>
      <c r="AG333" s="195"/>
      <c r="AH333" s="195"/>
      <c r="AI333" s="195"/>
      <c r="AJ333" s="195"/>
      <c r="AK333" s="195"/>
      <c r="AL333" s="197">
        <v>254</v>
      </c>
      <c r="AM333" s="195"/>
      <c r="AN333" s="195"/>
      <c r="AO333" s="195"/>
      <c r="AP333" s="195"/>
      <c r="AQ333" s="195"/>
      <c r="AR333" s="195"/>
      <c r="AS333" s="195"/>
      <c r="AT333" s="195"/>
      <c r="AU333" s="195"/>
      <c r="AV333" s="195"/>
      <c r="AW333" s="195"/>
      <c r="AX333" s="195"/>
      <c r="AY333" s="195"/>
      <c r="AZ333" s="195"/>
      <c r="BA333" s="195"/>
      <c r="BB333" s="195"/>
      <c r="BC333" s="195"/>
      <c r="BD333" s="197">
        <v>254</v>
      </c>
      <c r="BE333" s="195"/>
      <c r="BF333" s="195"/>
      <c r="BG333" s="195"/>
      <c r="BH333" s="195"/>
      <c r="BI333" s="195"/>
      <c r="BJ333" s="195"/>
      <c r="BK333" s="195"/>
      <c r="BL333" s="195"/>
      <c r="BM333" s="195"/>
      <c r="BN333" s="195"/>
      <c r="BO333" s="195"/>
      <c r="BP333" s="195"/>
      <c r="BQ333" s="195"/>
      <c r="BR333" s="195"/>
      <c r="BS333" s="195"/>
      <c r="BT333" s="195"/>
      <c r="BU333" s="195"/>
      <c r="BV333" s="197">
        <v>254</v>
      </c>
      <c r="BW333" s="195"/>
      <c r="BX333" s="195"/>
      <c r="BY333" s="195"/>
      <c r="BZ333" s="195"/>
      <c r="CA333" s="195"/>
      <c r="CB333" s="195"/>
      <c r="CC333" s="195"/>
      <c r="CD333" s="195"/>
      <c r="CE333" s="195"/>
      <c r="CF333" s="195"/>
      <c r="CG333" s="195"/>
      <c r="CH333" s="195"/>
      <c r="CI333" s="195"/>
      <c r="CJ333" s="195"/>
      <c r="CK333" s="195"/>
      <c r="CL333" s="195"/>
      <c r="CM333" s="195"/>
      <c r="CN333" s="197">
        <v>254</v>
      </c>
      <c r="CO333" s="195"/>
      <c r="CP333" s="195"/>
      <c r="CQ333" s="195"/>
      <c r="CR333" s="195"/>
      <c r="CS333" s="195"/>
      <c r="CT333" s="195"/>
      <c r="CU333" s="195"/>
      <c r="CV333" s="195"/>
      <c r="CW333" s="195"/>
      <c r="CX333" s="195"/>
      <c r="CY333" s="195"/>
      <c r="CZ333" s="195"/>
      <c r="DA333" s="195"/>
      <c r="DB333" s="195"/>
      <c r="DC333" s="195"/>
      <c r="DD333" s="195"/>
      <c r="DE333" s="195"/>
      <c r="DF333" s="197">
        <v>254</v>
      </c>
      <c r="DG333" s="195"/>
      <c r="DH333" s="195"/>
      <c r="DI333" s="195"/>
      <c r="DJ333" s="195"/>
      <c r="DK333" s="195"/>
      <c r="DL333" s="195"/>
      <c r="DM333" s="195"/>
      <c r="DN333" s="195"/>
      <c r="DO333" s="195"/>
      <c r="DP333" s="195"/>
      <c r="DQ333" s="195"/>
      <c r="DR333" s="195"/>
      <c r="DS333" s="195"/>
      <c r="DT333" s="195"/>
      <c r="DU333" s="195"/>
      <c r="DV333" s="195"/>
      <c r="DW333" s="195"/>
      <c r="DX333" s="197">
        <v>254</v>
      </c>
      <c r="DY333" s="195"/>
      <c r="DZ333" s="195"/>
      <c r="EA333" s="195"/>
      <c r="EB333" s="195"/>
      <c r="EC333" s="195"/>
      <c r="ED333" s="195"/>
      <c r="EE333" s="195"/>
      <c r="EF333" s="195"/>
      <c r="EG333" s="195"/>
      <c r="EH333" s="195"/>
      <c r="EI333" s="195"/>
      <c r="EJ333" s="195"/>
      <c r="EK333" s="195"/>
      <c r="EL333" s="195"/>
      <c r="EM333" s="195"/>
      <c r="EN333" s="195"/>
      <c r="EO333" s="195"/>
      <c r="EP333" s="197">
        <v>254</v>
      </c>
      <c r="EQ333" s="195"/>
      <c r="ER333" s="195"/>
      <c r="ES333" s="195"/>
      <c r="ET333" s="195"/>
      <c r="EU333" s="195"/>
      <c r="EV333" s="195"/>
      <c r="EW333" s="195"/>
      <c r="EX333" s="195"/>
      <c r="EY333" s="195"/>
      <c r="EZ333" s="195"/>
      <c r="FA333" s="195"/>
      <c r="FB333" s="195"/>
      <c r="FC333" s="195"/>
      <c r="FD333" s="195"/>
      <c r="FE333" s="195"/>
      <c r="FF333" s="195"/>
      <c r="FG333" s="195"/>
      <c r="FH333" s="197">
        <v>254</v>
      </c>
      <c r="FI333" s="195"/>
      <c r="FJ333" s="195"/>
      <c r="FK333" s="195"/>
      <c r="FL333" s="195"/>
      <c r="FM333" s="195"/>
      <c r="FN333" s="195"/>
      <c r="FO333" s="195"/>
      <c r="FP333" s="195"/>
      <c r="FQ333" s="195"/>
      <c r="FR333" s="195"/>
      <c r="FS333" s="195"/>
      <c r="FT333" s="195"/>
      <c r="FU333" s="195"/>
      <c r="FV333" s="195"/>
      <c r="FW333" s="195"/>
      <c r="FX333" s="195"/>
      <c r="FY333" s="195"/>
    </row>
    <row r="334" spans="2:181" x14ac:dyDescent="0.25">
      <c r="B334" s="12">
        <v>255</v>
      </c>
      <c r="C334" s="195"/>
      <c r="D334" s="195"/>
      <c r="E334" s="195"/>
      <c r="F334" s="195"/>
      <c r="G334" s="195"/>
      <c r="H334" s="195"/>
      <c r="I334" s="195"/>
      <c r="J334" s="195"/>
      <c r="K334" s="195"/>
      <c r="L334" s="195"/>
      <c r="M334" s="195"/>
      <c r="N334" s="195"/>
      <c r="O334" s="195"/>
      <c r="P334" s="195"/>
      <c r="Q334" s="195"/>
      <c r="R334" s="195"/>
      <c r="S334" s="195"/>
      <c r="T334" s="12">
        <v>255</v>
      </c>
      <c r="U334" s="195"/>
      <c r="V334" s="195"/>
      <c r="W334" s="195"/>
      <c r="X334" s="195"/>
      <c r="Y334" s="195"/>
      <c r="Z334" s="195"/>
      <c r="AA334" s="195"/>
      <c r="AB334" s="195"/>
      <c r="AC334" s="195"/>
      <c r="AD334" s="195"/>
      <c r="AE334" s="195"/>
      <c r="AF334" s="195"/>
      <c r="AG334" s="195"/>
      <c r="AH334" s="195"/>
      <c r="AI334" s="195"/>
      <c r="AJ334" s="195"/>
      <c r="AK334" s="195"/>
      <c r="AL334" s="12">
        <v>255</v>
      </c>
      <c r="AM334" s="195"/>
      <c r="AN334" s="195"/>
      <c r="AO334" s="195"/>
      <c r="AP334" s="195"/>
      <c r="AQ334" s="195"/>
      <c r="AR334" s="195"/>
      <c r="AS334" s="195"/>
      <c r="AT334" s="195"/>
      <c r="AU334" s="195"/>
      <c r="AV334" s="195"/>
      <c r="AW334" s="195"/>
      <c r="AX334" s="195"/>
      <c r="AY334" s="195"/>
      <c r="AZ334" s="195"/>
      <c r="BA334" s="195"/>
      <c r="BB334" s="195"/>
      <c r="BC334" s="195"/>
      <c r="BD334" s="12">
        <v>255</v>
      </c>
      <c r="BE334" s="195"/>
      <c r="BF334" s="195"/>
      <c r="BG334" s="195"/>
      <c r="BH334" s="195"/>
      <c r="BI334" s="195"/>
      <c r="BJ334" s="195"/>
      <c r="BK334" s="195"/>
      <c r="BL334" s="195"/>
      <c r="BM334" s="195"/>
      <c r="BN334" s="195"/>
      <c r="BO334" s="195"/>
      <c r="BP334" s="195"/>
      <c r="BQ334" s="195"/>
      <c r="BR334" s="195"/>
      <c r="BS334" s="195"/>
      <c r="BT334" s="195"/>
      <c r="BU334" s="195"/>
      <c r="BV334" s="12">
        <v>255</v>
      </c>
      <c r="BW334" s="195"/>
      <c r="BX334" s="195"/>
      <c r="BY334" s="195"/>
      <c r="BZ334" s="195"/>
      <c r="CA334" s="195"/>
      <c r="CB334" s="195"/>
      <c r="CC334" s="195"/>
      <c r="CD334" s="195"/>
      <c r="CE334" s="195"/>
      <c r="CF334" s="195"/>
      <c r="CG334" s="195"/>
      <c r="CH334" s="195"/>
      <c r="CI334" s="195"/>
      <c r="CJ334" s="195"/>
      <c r="CK334" s="195"/>
      <c r="CL334" s="195"/>
      <c r="CM334" s="195"/>
      <c r="CN334" s="12">
        <v>255</v>
      </c>
      <c r="CO334" s="195"/>
      <c r="CP334" s="195"/>
      <c r="CQ334" s="195"/>
      <c r="CR334" s="195"/>
      <c r="CS334" s="195"/>
      <c r="CT334" s="195"/>
      <c r="CU334" s="195"/>
      <c r="CV334" s="195"/>
      <c r="CW334" s="195"/>
      <c r="CX334" s="195"/>
      <c r="CY334" s="195"/>
      <c r="CZ334" s="195"/>
      <c r="DA334" s="195"/>
      <c r="DB334" s="195"/>
      <c r="DC334" s="195"/>
      <c r="DD334" s="195"/>
      <c r="DE334" s="195"/>
      <c r="DF334" s="12">
        <v>255</v>
      </c>
      <c r="DG334" s="195"/>
      <c r="DH334" s="195"/>
      <c r="DI334" s="195"/>
      <c r="DJ334" s="195"/>
      <c r="DK334" s="195"/>
      <c r="DL334" s="195"/>
      <c r="DM334" s="195"/>
      <c r="DN334" s="195"/>
      <c r="DO334" s="195"/>
      <c r="DP334" s="195"/>
      <c r="DQ334" s="195"/>
      <c r="DR334" s="195"/>
      <c r="DS334" s="195"/>
      <c r="DT334" s="195"/>
      <c r="DU334" s="195"/>
      <c r="DV334" s="195"/>
      <c r="DW334" s="195"/>
      <c r="DX334" s="12">
        <v>255</v>
      </c>
      <c r="DY334" s="195"/>
      <c r="DZ334" s="195"/>
      <c r="EA334" s="195"/>
      <c r="EB334" s="195"/>
      <c r="EC334" s="195"/>
      <c r="ED334" s="195"/>
      <c r="EE334" s="195"/>
      <c r="EF334" s="195"/>
      <c r="EG334" s="195"/>
      <c r="EH334" s="195"/>
      <c r="EI334" s="195"/>
      <c r="EJ334" s="195"/>
      <c r="EK334" s="195"/>
      <c r="EL334" s="195"/>
      <c r="EM334" s="195"/>
      <c r="EN334" s="195"/>
      <c r="EO334" s="195"/>
      <c r="EP334" s="12">
        <v>255</v>
      </c>
      <c r="EQ334" s="195"/>
      <c r="ER334" s="195"/>
      <c r="ES334" s="195"/>
      <c r="ET334" s="195"/>
      <c r="EU334" s="195"/>
      <c r="EV334" s="195"/>
      <c r="EW334" s="195"/>
      <c r="EX334" s="195"/>
      <c r="EY334" s="195"/>
      <c r="EZ334" s="195"/>
      <c r="FA334" s="195"/>
      <c r="FB334" s="195"/>
      <c r="FC334" s="195"/>
      <c r="FD334" s="195"/>
      <c r="FE334" s="195"/>
      <c r="FF334" s="195"/>
      <c r="FG334" s="195"/>
      <c r="FH334" s="12">
        <v>255</v>
      </c>
      <c r="FI334" s="195"/>
      <c r="FJ334" s="195"/>
      <c r="FK334" s="195"/>
      <c r="FL334" s="195"/>
      <c r="FM334" s="195"/>
      <c r="FN334" s="195"/>
      <c r="FO334" s="195"/>
      <c r="FP334" s="195"/>
      <c r="FQ334" s="195"/>
      <c r="FR334" s="195"/>
      <c r="FS334" s="195"/>
      <c r="FT334" s="195"/>
      <c r="FU334" s="195"/>
      <c r="FV334" s="195"/>
      <c r="FW334" s="195"/>
      <c r="FX334" s="195"/>
      <c r="FY334" s="195"/>
    </row>
    <row r="335" spans="2:181" x14ac:dyDescent="0.25">
      <c r="B335" s="197">
        <v>256</v>
      </c>
      <c r="C335" s="195"/>
      <c r="D335" s="195"/>
      <c r="E335" s="195"/>
      <c r="F335" s="195"/>
      <c r="G335" s="195"/>
      <c r="H335" s="195"/>
      <c r="I335" s="195"/>
      <c r="J335" s="195"/>
      <c r="K335" s="195"/>
      <c r="L335" s="195"/>
      <c r="M335" s="195"/>
      <c r="N335" s="195"/>
      <c r="O335" s="195"/>
      <c r="P335" s="195"/>
      <c r="Q335" s="195"/>
      <c r="R335" s="195"/>
      <c r="S335" s="195"/>
      <c r="T335" s="197">
        <v>256</v>
      </c>
      <c r="U335" s="195"/>
      <c r="V335" s="195"/>
      <c r="W335" s="195"/>
      <c r="X335" s="195"/>
      <c r="Y335" s="195"/>
      <c r="Z335" s="195"/>
      <c r="AA335" s="195"/>
      <c r="AB335" s="195"/>
      <c r="AC335" s="195"/>
      <c r="AD335" s="195"/>
      <c r="AE335" s="195"/>
      <c r="AF335" s="195"/>
      <c r="AG335" s="195"/>
      <c r="AH335" s="195"/>
      <c r="AI335" s="195"/>
      <c r="AJ335" s="195"/>
      <c r="AK335" s="195"/>
      <c r="AL335" s="197">
        <v>256</v>
      </c>
      <c r="AM335" s="195"/>
      <c r="AN335" s="195"/>
      <c r="AO335" s="195"/>
      <c r="AP335" s="195"/>
      <c r="AQ335" s="195"/>
      <c r="AR335" s="195"/>
      <c r="AS335" s="195"/>
      <c r="AT335" s="195"/>
      <c r="AU335" s="195"/>
      <c r="AV335" s="195"/>
      <c r="AW335" s="195"/>
      <c r="AX335" s="195"/>
      <c r="AY335" s="195"/>
      <c r="AZ335" s="195"/>
      <c r="BA335" s="195"/>
      <c r="BB335" s="195"/>
      <c r="BC335" s="195"/>
      <c r="BD335" s="197">
        <v>256</v>
      </c>
      <c r="BE335" s="195"/>
      <c r="BF335" s="195"/>
      <c r="BG335" s="195"/>
      <c r="BH335" s="195"/>
      <c r="BI335" s="195"/>
      <c r="BJ335" s="195"/>
      <c r="BK335" s="195"/>
      <c r="BL335" s="195"/>
      <c r="BM335" s="195"/>
      <c r="BN335" s="195"/>
      <c r="BO335" s="195"/>
      <c r="BP335" s="195"/>
      <c r="BQ335" s="195"/>
      <c r="BR335" s="195"/>
      <c r="BS335" s="195"/>
      <c r="BT335" s="195"/>
      <c r="BU335" s="195"/>
      <c r="BV335" s="197">
        <v>256</v>
      </c>
      <c r="BW335" s="195"/>
      <c r="BX335" s="195"/>
      <c r="BY335" s="195"/>
      <c r="BZ335" s="195"/>
      <c r="CA335" s="195"/>
      <c r="CB335" s="195"/>
      <c r="CC335" s="195"/>
      <c r="CD335" s="195"/>
      <c r="CE335" s="195"/>
      <c r="CF335" s="195"/>
      <c r="CG335" s="195"/>
      <c r="CH335" s="195"/>
      <c r="CI335" s="195"/>
      <c r="CJ335" s="195"/>
      <c r="CK335" s="195"/>
      <c r="CL335" s="195"/>
      <c r="CM335" s="195"/>
      <c r="CN335" s="197">
        <v>256</v>
      </c>
      <c r="CO335" s="195"/>
      <c r="CP335" s="195"/>
      <c r="CQ335" s="195"/>
      <c r="CR335" s="195"/>
      <c r="CS335" s="195"/>
      <c r="CT335" s="195"/>
      <c r="CU335" s="195"/>
      <c r="CV335" s="195"/>
      <c r="CW335" s="195"/>
      <c r="CX335" s="195"/>
      <c r="CY335" s="195"/>
      <c r="CZ335" s="195"/>
      <c r="DA335" s="195"/>
      <c r="DB335" s="195"/>
      <c r="DC335" s="195"/>
      <c r="DD335" s="195"/>
      <c r="DE335" s="195"/>
      <c r="DF335" s="197">
        <v>256</v>
      </c>
      <c r="DG335" s="195"/>
      <c r="DH335" s="195"/>
      <c r="DI335" s="195"/>
      <c r="DJ335" s="195"/>
      <c r="DK335" s="195"/>
      <c r="DL335" s="195"/>
      <c r="DM335" s="195"/>
      <c r="DN335" s="195"/>
      <c r="DO335" s="195"/>
      <c r="DP335" s="195"/>
      <c r="DQ335" s="195"/>
      <c r="DR335" s="195"/>
      <c r="DS335" s="195"/>
      <c r="DT335" s="195"/>
      <c r="DU335" s="195"/>
      <c r="DV335" s="195"/>
      <c r="DW335" s="195"/>
      <c r="DX335" s="197">
        <v>256</v>
      </c>
      <c r="DY335" s="195"/>
      <c r="DZ335" s="195"/>
      <c r="EA335" s="195"/>
      <c r="EB335" s="195"/>
      <c r="EC335" s="195"/>
      <c r="ED335" s="195"/>
      <c r="EE335" s="195"/>
      <c r="EF335" s="195"/>
      <c r="EG335" s="195"/>
      <c r="EH335" s="195"/>
      <c r="EI335" s="195"/>
      <c r="EJ335" s="195"/>
      <c r="EK335" s="195"/>
      <c r="EL335" s="195"/>
      <c r="EM335" s="195"/>
      <c r="EN335" s="195"/>
      <c r="EO335" s="195"/>
      <c r="EP335" s="197">
        <v>256</v>
      </c>
      <c r="EQ335" s="195"/>
      <c r="ER335" s="195"/>
      <c r="ES335" s="195"/>
      <c r="ET335" s="195"/>
      <c r="EU335" s="195"/>
      <c r="EV335" s="195"/>
      <c r="EW335" s="195"/>
      <c r="EX335" s="195"/>
      <c r="EY335" s="195"/>
      <c r="EZ335" s="195"/>
      <c r="FA335" s="195"/>
      <c r="FB335" s="195"/>
      <c r="FC335" s="195"/>
      <c r="FD335" s="195"/>
      <c r="FE335" s="195"/>
      <c r="FF335" s="195"/>
      <c r="FG335" s="195"/>
      <c r="FH335" s="197">
        <v>256</v>
      </c>
      <c r="FI335" s="195"/>
      <c r="FJ335" s="195"/>
      <c r="FK335" s="195"/>
      <c r="FL335" s="195"/>
      <c r="FM335" s="195"/>
      <c r="FN335" s="195"/>
      <c r="FO335" s="195"/>
      <c r="FP335" s="195"/>
      <c r="FQ335" s="195"/>
      <c r="FR335" s="195"/>
      <c r="FS335" s="195"/>
      <c r="FT335" s="195"/>
      <c r="FU335" s="195"/>
      <c r="FV335" s="195"/>
      <c r="FW335" s="195"/>
      <c r="FX335" s="195"/>
      <c r="FY335" s="195"/>
    </row>
    <row r="336" spans="2:181" x14ac:dyDescent="0.25">
      <c r="B336" s="12">
        <v>257</v>
      </c>
      <c r="C336" s="195"/>
      <c r="D336" s="195"/>
      <c r="E336" s="195"/>
      <c r="F336" s="195"/>
      <c r="G336" s="195"/>
      <c r="H336" s="195"/>
      <c r="I336" s="195"/>
      <c r="J336" s="195"/>
      <c r="K336" s="195"/>
      <c r="L336" s="195"/>
      <c r="M336" s="195"/>
      <c r="N336" s="195"/>
      <c r="O336" s="195"/>
      <c r="P336" s="195"/>
      <c r="Q336" s="195"/>
      <c r="R336" s="195"/>
      <c r="S336" s="195"/>
      <c r="T336" s="12">
        <v>257</v>
      </c>
      <c r="U336" s="195"/>
      <c r="V336" s="195"/>
      <c r="W336" s="195"/>
      <c r="X336" s="195"/>
      <c r="Y336" s="195"/>
      <c r="Z336" s="195"/>
      <c r="AA336" s="195"/>
      <c r="AB336" s="195"/>
      <c r="AC336" s="195"/>
      <c r="AD336" s="195"/>
      <c r="AE336" s="195"/>
      <c r="AF336" s="195"/>
      <c r="AG336" s="195"/>
      <c r="AH336" s="195"/>
      <c r="AI336" s="195"/>
      <c r="AJ336" s="195"/>
      <c r="AK336" s="195"/>
      <c r="AL336" s="12">
        <v>257</v>
      </c>
      <c r="AM336" s="195"/>
      <c r="AN336" s="195"/>
      <c r="AO336" s="195"/>
      <c r="AP336" s="195"/>
      <c r="AQ336" s="195"/>
      <c r="AR336" s="195"/>
      <c r="AS336" s="195"/>
      <c r="AT336" s="195"/>
      <c r="AU336" s="195"/>
      <c r="AV336" s="195"/>
      <c r="AW336" s="195"/>
      <c r="AX336" s="195"/>
      <c r="AY336" s="195"/>
      <c r="AZ336" s="195"/>
      <c r="BA336" s="195"/>
      <c r="BB336" s="195"/>
      <c r="BC336" s="195"/>
      <c r="BD336" s="12">
        <v>257</v>
      </c>
      <c r="BE336" s="195"/>
      <c r="BF336" s="195"/>
      <c r="BG336" s="195"/>
      <c r="BH336" s="195"/>
      <c r="BI336" s="195"/>
      <c r="BJ336" s="195"/>
      <c r="BK336" s="195"/>
      <c r="BL336" s="195"/>
      <c r="BM336" s="195"/>
      <c r="BN336" s="195"/>
      <c r="BO336" s="195"/>
      <c r="BP336" s="195"/>
      <c r="BQ336" s="195"/>
      <c r="BR336" s="195"/>
      <c r="BS336" s="195"/>
      <c r="BT336" s="195"/>
      <c r="BU336" s="195"/>
      <c r="BV336" s="12">
        <v>257</v>
      </c>
      <c r="BW336" s="195"/>
      <c r="BX336" s="195"/>
      <c r="BY336" s="195"/>
      <c r="BZ336" s="195"/>
      <c r="CA336" s="195"/>
      <c r="CB336" s="195"/>
      <c r="CC336" s="195"/>
      <c r="CD336" s="195"/>
      <c r="CE336" s="195"/>
      <c r="CF336" s="195"/>
      <c r="CG336" s="195"/>
      <c r="CH336" s="195"/>
      <c r="CI336" s="195"/>
      <c r="CJ336" s="195"/>
      <c r="CK336" s="195"/>
      <c r="CL336" s="195"/>
      <c r="CM336" s="195"/>
      <c r="CN336" s="12">
        <v>257</v>
      </c>
      <c r="CO336" s="195"/>
      <c r="CP336" s="195"/>
      <c r="CQ336" s="195"/>
      <c r="CR336" s="195"/>
      <c r="CS336" s="195"/>
      <c r="CT336" s="195"/>
      <c r="CU336" s="195"/>
      <c r="CV336" s="195"/>
      <c r="CW336" s="195"/>
      <c r="CX336" s="195"/>
      <c r="CY336" s="195"/>
      <c r="CZ336" s="195"/>
      <c r="DA336" s="195"/>
      <c r="DB336" s="195"/>
      <c r="DC336" s="195"/>
      <c r="DD336" s="195"/>
      <c r="DE336" s="195"/>
      <c r="DF336" s="12">
        <v>257</v>
      </c>
      <c r="DG336" s="195"/>
      <c r="DH336" s="195"/>
      <c r="DI336" s="195"/>
      <c r="DJ336" s="195"/>
      <c r="DK336" s="195"/>
      <c r="DL336" s="195"/>
      <c r="DM336" s="195"/>
      <c r="DN336" s="195"/>
      <c r="DO336" s="195"/>
      <c r="DP336" s="195"/>
      <c r="DQ336" s="195"/>
      <c r="DR336" s="195"/>
      <c r="DS336" s="195"/>
      <c r="DT336" s="195"/>
      <c r="DU336" s="195"/>
      <c r="DV336" s="195"/>
      <c r="DW336" s="195"/>
      <c r="DX336" s="12">
        <v>257</v>
      </c>
      <c r="DY336" s="195"/>
      <c r="DZ336" s="195"/>
      <c r="EA336" s="195"/>
      <c r="EB336" s="195"/>
      <c r="EC336" s="195"/>
      <c r="ED336" s="195"/>
      <c r="EE336" s="195"/>
      <c r="EF336" s="195"/>
      <c r="EG336" s="195"/>
      <c r="EH336" s="195"/>
      <c r="EI336" s="195"/>
      <c r="EJ336" s="195"/>
      <c r="EK336" s="195"/>
      <c r="EL336" s="195"/>
      <c r="EM336" s="195"/>
      <c r="EN336" s="195"/>
      <c r="EO336" s="195"/>
      <c r="EP336" s="12">
        <v>257</v>
      </c>
      <c r="EQ336" s="195"/>
      <c r="ER336" s="195"/>
      <c r="ES336" s="195"/>
      <c r="ET336" s="195"/>
      <c r="EU336" s="195"/>
      <c r="EV336" s="195"/>
      <c r="EW336" s="195"/>
      <c r="EX336" s="195"/>
      <c r="EY336" s="195"/>
      <c r="EZ336" s="195"/>
      <c r="FA336" s="195"/>
      <c r="FB336" s="195"/>
      <c r="FC336" s="195"/>
      <c r="FD336" s="195"/>
      <c r="FE336" s="195"/>
      <c r="FF336" s="195"/>
      <c r="FG336" s="195"/>
      <c r="FH336" s="12">
        <v>257</v>
      </c>
      <c r="FI336" s="195"/>
      <c r="FJ336" s="195"/>
      <c r="FK336" s="195"/>
      <c r="FL336" s="195"/>
      <c r="FM336" s="195"/>
      <c r="FN336" s="195"/>
      <c r="FO336" s="195"/>
      <c r="FP336" s="195"/>
      <c r="FQ336" s="195"/>
      <c r="FR336" s="195"/>
      <c r="FS336" s="195"/>
      <c r="FT336" s="195"/>
      <c r="FU336" s="195"/>
      <c r="FV336" s="195"/>
      <c r="FW336" s="195"/>
      <c r="FX336" s="195"/>
      <c r="FY336" s="195"/>
    </row>
    <row r="337" spans="2:181" x14ac:dyDescent="0.25">
      <c r="B337" s="197">
        <v>258</v>
      </c>
      <c r="C337" s="195"/>
      <c r="D337" s="195"/>
      <c r="E337" s="195"/>
      <c r="F337" s="195"/>
      <c r="G337" s="195"/>
      <c r="H337" s="195"/>
      <c r="I337" s="195"/>
      <c r="J337" s="195"/>
      <c r="K337" s="195"/>
      <c r="L337" s="195"/>
      <c r="M337" s="195"/>
      <c r="N337" s="195"/>
      <c r="O337" s="195"/>
      <c r="P337" s="195"/>
      <c r="Q337" s="195"/>
      <c r="R337" s="195"/>
      <c r="S337" s="195"/>
      <c r="T337" s="197">
        <v>258</v>
      </c>
      <c r="U337" s="195"/>
      <c r="V337" s="195"/>
      <c r="W337" s="195"/>
      <c r="X337" s="195"/>
      <c r="Y337" s="195"/>
      <c r="Z337" s="195"/>
      <c r="AA337" s="195"/>
      <c r="AB337" s="195"/>
      <c r="AC337" s="195"/>
      <c r="AD337" s="195"/>
      <c r="AE337" s="195"/>
      <c r="AF337" s="195"/>
      <c r="AG337" s="195"/>
      <c r="AH337" s="195"/>
      <c r="AI337" s="195"/>
      <c r="AJ337" s="195"/>
      <c r="AK337" s="195"/>
      <c r="AL337" s="197">
        <v>258</v>
      </c>
      <c r="AM337" s="195"/>
      <c r="AN337" s="195"/>
      <c r="AO337" s="195"/>
      <c r="AP337" s="195"/>
      <c r="AQ337" s="195"/>
      <c r="AR337" s="195"/>
      <c r="AS337" s="195"/>
      <c r="AT337" s="195"/>
      <c r="AU337" s="195"/>
      <c r="AV337" s="195"/>
      <c r="AW337" s="195"/>
      <c r="AX337" s="195"/>
      <c r="AY337" s="195"/>
      <c r="AZ337" s="195"/>
      <c r="BA337" s="195"/>
      <c r="BB337" s="195"/>
      <c r="BC337" s="195"/>
      <c r="BD337" s="197">
        <v>258</v>
      </c>
      <c r="BE337" s="195"/>
      <c r="BF337" s="195"/>
      <c r="BG337" s="195"/>
      <c r="BH337" s="195"/>
      <c r="BI337" s="195"/>
      <c r="BJ337" s="195"/>
      <c r="BK337" s="195"/>
      <c r="BL337" s="195"/>
      <c r="BM337" s="195"/>
      <c r="BN337" s="195"/>
      <c r="BO337" s="195"/>
      <c r="BP337" s="195"/>
      <c r="BQ337" s="195"/>
      <c r="BR337" s="195"/>
      <c r="BS337" s="195"/>
      <c r="BT337" s="195"/>
      <c r="BU337" s="195"/>
      <c r="BV337" s="197">
        <v>258</v>
      </c>
      <c r="BW337" s="195"/>
      <c r="BX337" s="195"/>
      <c r="BY337" s="195"/>
      <c r="BZ337" s="195"/>
      <c r="CA337" s="195"/>
      <c r="CB337" s="195"/>
      <c r="CC337" s="195"/>
      <c r="CD337" s="195"/>
      <c r="CE337" s="195"/>
      <c r="CF337" s="195"/>
      <c r="CG337" s="195"/>
      <c r="CH337" s="195"/>
      <c r="CI337" s="195"/>
      <c r="CJ337" s="195"/>
      <c r="CK337" s="195"/>
      <c r="CL337" s="195"/>
      <c r="CM337" s="195"/>
      <c r="CN337" s="197">
        <v>258</v>
      </c>
      <c r="CO337" s="195"/>
      <c r="CP337" s="195"/>
      <c r="CQ337" s="195"/>
      <c r="CR337" s="195"/>
      <c r="CS337" s="195"/>
      <c r="CT337" s="195"/>
      <c r="CU337" s="195"/>
      <c r="CV337" s="195"/>
      <c r="CW337" s="195"/>
      <c r="CX337" s="195"/>
      <c r="CY337" s="195"/>
      <c r="CZ337" s="195"/>
      <c r="DA337" s="195"/>
      <c r="DB337" s="195"/>
      <c r="DC337" s="195"/>
      <c r="DD337" s="195"/>
      <c r="DE337" s="195"/>
      <c r="DF337" s="197">
        <v>258</v>
      </c>
      <c r="DG337" s="195"/>
      <c r="DH337" s="195"/>
      <c r="DI337" s="195"/>
      <c r="DJ337" s="195"/>
      <c r="DK337" s="195"/>
      <c r="DL337" s="195"/>
      <c r="DM337" s="195"/>
      <c r="DN337" s="195"/>
      <c r="DO337" s="195"/>
      <c r="DP337" s="195"/>
      <c r="DQ337" s="195"/>
      <c r="DR337" s="195"/>
      <c r="DS337" s="195"/>
      <c r="DT337" s="195"/>
      <c r="DU337" s="195"/>
      <c r="DV337" s="195"/>
      <c r="DW337" s="195"/>
      <c r="DX337" s="197">
        <v>258</v>
      </c>
      <c r="DY337" s="195"/>
      <c r="DZ337" s="195"/>
      <c r="EA337" s="195"/>
      <c r="EB337" s="195"/>
      <c r="EC337" s="195"/>
      <c r="ED337" s="195"/>
      <c r="EE337" s="195"/>
      <c r="EF337" s="195"/>
      <c r="EG337" s="195"/>
      <c r="EH337" s="195"/>
      <c r="EI337" s="195"/>
      <c r="EJ337" s="195"/>
      <c r="EK337" s="195"/>
      <c r="EL337" s="195"/>
      <c r="EM337" s="195"/>
      <c r="EN337" s="195"/>
      <c r="EO337" s="195"/>
      <c r="EP337" s="197">
        <v>258</v>
      </c>
      <c r="EQ337" s="195"/>
      <c r="ER337" s="195"/>
      <c r="ES337" s="195"/>
      <c r="ET337" s="195"/>
      <c r="EU337" s="195"/>
      <c r="EV337" s="195"/>
      <c r="EW337" s="195"/>
      <c r="EX337" s="195"/>
      <c r="EY337" s="195"/>
      <c r="EZ337" s="195"/>
      <c r="FA337" s="195"/>
      <c r="FB337" s="195"/>
      <c r="FC337" s="195"/>
      <c r="FD337" s="195"/>
      <c r="FE337" s="195"/>
      <c r="FF337" s="195"/>
      <c r="FG337" s="195"/>
      <c r="FH337" s="197">
        <v>258</v>
      </c>
      <c r="FI337" s="195"/>
      <c r="FJ337" s="195"/>
      <c r="FK337" s="195"/>
      <c r="FL337" s="195"/>
      <c r="FM337" s="195"/>
      <c r="FN337" s="195"/>
      <c r="FO337" s="195"/>
      <c r="FP337" s="195"/>
      <c r="FQ337" s="195"/>
      <c r="FR337" s="195"/>
      <c r="FS337" s="195"/>
      <c r="FT337" s="195"/>
      <c r="FU337" s="195"/>
      <c r="FV337" s="195"/>
      <c r="FW337" s="195"/>
      <c r="FX337" s="195"/>
      <c r="FY337" s="195"/>
    </row>
    <row r="338" spans="2:181" x14ac:dyDescent="0.25">
      <c r="B338" s="12">
        <v>259</v>
      </c>
      <c r="C338" s="195"/>
      <c r="D338" s="195"/>
      <c r="E338" s="195"/>
      <c r="F338" s="195"/>
      <c r="G338" s="195"/>
      <c r="H338" s="195"/>
      <c r="I338" s="195"/>
      <c r="J338" s="195"/>
      <c r="K338" s="195"/>
      <c r="L338" s="195"/>
      <c r="M338" s="195"/>
      <c r="N338" s="195"/>
      <c r="O338" s="195"/>
      <c r="P338" s="195"/>
      <c r="Q338" s="195"/>
      <c r="R338" s="195"/>
      <c r="S338" s="195"/>
      <c r="T338" s="12">
        <v>259</v>
      </c>
      <c r="U338" s="195"/>
      <c r="V338" s="195"/>
      <c r="W338" s="195"/>
      <c r="X338" s="195"/>
      <c r="Y338" s="195"/>
      <c r="Z338" s="195"/>
      <c r="AA338" s="195"/>
      <c r="AB338" s="195"/>
      <c r="AC338" s="195"/>
      <c r="AD338" s="195"/>
      <c r="AE338" s="195"/>
      <c r="AF338" s="195"/>
      <c r="AG338" s="195"/>
      <c r="AH338" s="195"/>
      <c r="AI338" s="195"/>
      <c r="AJ338" s="195"/>
      <c r="AK338" s="195"/>
      <c r="AL338" s="12">
        <v>259</v>
      </c>
      <c r="AM338" s="195"/>
      <c r="AN338" s="195"/>
      <c r="AO338" s="195"/>
      <c r="AP338" s="195"/>
      <c r="AQ338" s="195"/>
      <c r="AR338" s="195"/>
      <c r="AS338" s="195"/>
      <c r="AT338" s="195"/>
      <c r="AU338" s="195"/>
      <c r="AV338" s="195"/>
      <c r="AW338" s="195"/>
      <c r="AX338" s="195"/>
      <c r="AY338" s="195"/>
      <c r="AZ338" s="195"/>
      <c r="BA338" s="195"/>
      <c r="BB338" s="195"/>
      <c r="BC338" s="195"/>
      <c r="BD338" s="12">
        <v>259</v>
      </c>
      <c r="BE338" s="195"/>
      <c r="BF338" s="195"/>
      <c r="BG338" s="195"/>
      <c r="BH338" s="195"/>
      <c r="BI338" s="195"/>
      <c r="BJ338" s="195"/>
      <c r="BK338" s="195"/>
      <c r="BL338" s="195"/>
      <c r="BM338" s="195"/>
      <c r="BN338" s="195"/>
      <c r="BO338" s="195"/>
      <c r="BP338" s="195"/>
      <c r="BQ338" s="195"/>
      <c r="BR338" s="195"/>
      <c r="BS338" s="195"/>
      <c r="BT338" s="195"/>
      <c r="BU338" s="195"/>
      <c r="BV338" s="12">
        <v>259</v>
      </c>
      <c r="BW338" s="195"/>
      <c r="BX338" s="195"/>
      <c r="BY338" s="195"/>
      <c r="BZ338" s="195"/>
      <c r="CA338" s="195"/>
      <c r="CB338" s="195"/>
      <c r="CC338" s="195"/>
      <c r="CD338" s="195"/>
      <c r="CE338" s="195"/>
      <c r="CF338" s="195"/>
      <c r="CG338" s="195"/>
      <c r="CH338" s="195"/>
      <c r="CI338" s="195"/>
      <c r="CJ338" s="195"/>
      <c r="CK338" s="195"/>
      <c r="CL338" s="195"/>
      <c r="CM338" s="195"/>
      <c r="CN338" s="12">
        <v>259</v>
      </c>
      <c r="CO338" s="195"/>
      <c r="CP338" s="195"/>
      <c r="CQ338" s="195"/>
      <c r="CR338" s="195"/>
      <c r="CS338" s="195"/>
      <c r="CT338" s="195"/>
      <c r="CU338" s="195"/>
      <c r="CV338" s="195"/>
      <c r="CW338" s="195"/>
      <c r="CX338" s="195"/>
      <c r="CY338" s="195"/>
      <c r="CZ338" s="195"/>
      <c r="DA338" s="195"/>
      <c r="DB338" s="195"/>
      <c r="DC338" s="195"/>
      <c r="DD338" s="195"/>
      <c r="DE338" s="195"/>
      <c r="DF338" s="12">
        <v>259</v>
      </c>
      <c r="DG338" s="195"/>
      <c r="DH338" s="195"/>
      <c r="DI338" s="195"/>
      <c r="DJ338" s="195"/>
      <c r="DK338" s="195"/>
      <c r="DL338" s="195"/>
      <c r="DM338" s="195"/>
      <c r="DN338" s="195"/>
      <c r="DO338" s="195"/>
      <c r="DP338" s="195"/>
      <c r="DQ338" s="195"/>
      <c r="DR338" s="195"/>
      <c r="DS338" s="195"/>
      <c r="DT338" s="195"/>
      <c r="DU338" s="195"/>
      <c r="DV338" s="195"/>
      <c r="DW338" s="195"/>
      <c r="DX338" s="12">
        <v>259</v>
      </c>
      <c r="DY338" s="195"/>
      <c r="DZ338" s="195"/>
      <c r="EA338" s="195"/>
      <c r="EB338" s="195"/>
      <c r="EC338" s="195"/>
      <c r="ED338" s="195"/>
      <c r="EE338" s="195"/>
      <c r="EF338" s="195"/>
      <c r="EG338" s="195"/>
      <c r="EH338" s="195"/>
      <c r="EI338" s="195"/>
      <c r="EJ338" s="195"/>
      <c r="EK338" s="195"/>
      <c r="EL338" s="195"/>
      <c r="EM338" s="195"/>
      <c r="EN338" s="195"/>
      <c r="EO338" s="195"/>
      <c r="EP338" s="12">
        <v>259</v>
      </c>
      <c r="EQ338" s="195"/>
      <c r="ER338" s="195"/>
      <c r="ES338" s="195"/>
      <c r="ET338" s="195"/>
      <c r="EU338" s="195"/>
      <c r="EV338" s="195"/>
      <c r="EW338" s="195"/>
      <c r="EX338" s="195"/>
      <c r="EY338" s="195"/>
      <c r="EZ338" s="195"/>
      <c r="FA338" s="195"/>
      <c r="FB338" s="195"/>
      <c r="FC338" s="195"/>
      <c r="FD338" s="195"/>
      <c r="FE338" s="195"/>
      <c r="FF338" s="195"/>
      <c r="FG338" s="195"/>
      <c r="FH338" s="12">
        <v>259</v>
      </c>
      <c r="FI338" s="195"/>
      <c r="FJ338" s="195"/>
      <c r="FK338" s="195"/>
      <c r="FL338" s="195"/>
      <c r="FM338" s="195"/>
      <c r="FN338" s="195"/>
      <c r="FO338" s="195"/>
      <c r="FP338" s="195"/>
      <c r="FQ338" s="195"/>
      <c r="FR338" s="195"/>
      <c r="FS338" s="195"/>
      <c r="FT338" s="195"/>
      <c r="FU338" s="195"/>
      <c r="FV338" s="195"/>
      <c r="FW338" s="195"/>
      <c r="FX338" s="195"/>
      <c r="FY338" s="195"/>
    </row>
    <row r="339" spans="2:181" x14ac:dyDescent="0.25">
      <c r="B339" s="197">
        <v>260</v>
      </c>
      <c r="C339" s="195"/>
      <c r="D339" s="195"/>
      <c r="E339" s="195"/>
      <c r="F339" s="195"/>
      <c r="G339" s="195"/>
      <c r="H339" s="195"/>
      <c r="I339" s="195"/>
      <c r="J339" s="195"/>
      <c r="K339" s="195"/>
      <c r="L339" s="195"/>
      <c r="M339" s="195"/>
      <c r="N339" s="195"/>
      <c r="O339" s="195"/>
      <c r="P339" s="195"/>
      <c r="Q339" s="195"/>
      <c r="R339" s="195"/>
      <c r="S339" s="195"/>
      <c r="T339" s="197">
        <v>260</v>
      </c>
      <c r="U339" s="195"/>
      <c r="V339" s="195"/>
      <c r="W339" s="195"/>
      <c r="X339" s="195"/>
      <c r="Y339" s="195"/>
      <c r="Z339" s="195"/>
      <c r="AA339" s="195"/>
      <c r="AB339" s="195"/>
      <c r="AC339" s="195"/>
      <c r="AD339" s="195"/>
      <c r="AE339" s="195"/>
      <c r="AF339" s="195"/>
      <c r="AG339" s="195"/>
      <c r="AH339" s="195"/>
      <c r="AI339" s="195"/>
      <c r="AJ339" s="195"/>
      <c r="AK339" s="195"/>
      <c r="AL339" s="197">
        <v>260</v>
      </c>
      <c r="AM339" s="195"/>
      <c r="AN339" s="195"/>
      <c r="AO339" s="195"/>
      <c r="AP339" s="195"/>
      <c r="AQ339" s="195"/>
      <c r="AR339" s="195"/>
      <c r="AS339" s="195"/>
      <c r="AT339" s="195"/>
      <c r="AU339" s="195"/>
      <c r="AV339" s="195"/>
      <c r="AW339" s="195"/>
      <c r="AX339" s="195"/>
      <c r="AY339" s="195"/>
      <c r="AZ339" s="195"/>
      <c r="BA339" s="195"/>
      <c r="BB339" s="195"/>
      <c r="BC339" s="195"/>
      <c r="BD339" s="197">
        <v>260</v>
      </c>
      <c r="BE339" s="195"/>
      <c r="BF339" s="195"/>
      <c r="BG339" s="195"/>
      <c r="BH339" s="195"/>
      <c r="BI339" s="195"/>
      <c r="BJ339" s="195"/>
      <c r="BK339" s="195"/>
      <c r="BL339" s="195"/>
      <c r="BM339" s="195"/>
      <c r="BN339" s="195"/>
      <c r="BO339" s="195"/>
      <c r="BP339" s="195"/>
      <c r="BQ339" s="195"/>
      <c r="BR339" s="195"/>
      <c r="BS339" s="195"/>
      <c r="BT339" s="195"/>
      <c r="BU339" s="195"/>
      <c r="BV339" s="197">
        <v>260</v>
      </c>
      <c r="BW339" s="195"/>
      <c r="BX339" s="195"/>
      <c r="BY339" s="195"/>
      <c r="BZ339" s="195"/>
      <c r="CA339" s="195"/>
      <c r="CB339" s="195"/>
      <c r="CC339" s="195"/>
      <c r="CD339" s="195"/>
      <c r="CE339" s="195"/>
      <c r="CF339" s="195"/>
      <c r="CG339" s="195"/>
      <c r="CH339" s="195"/>
      <c r="CI339" s="195"/>
      <c r="CJ339" s="195"/>
      <c r="CK339" s="195"/>
      <c r="CL339" s="195"/>
      <c r="CM339" s="195"/>
      <c r="CN339" s="197">
        <v>260</v>
      </c>
      <c r="CO339" s="195"/>
      <c r="CP339" s="195"/>
      <c r="CQ339" s="195"/>
      <c r="CR339" s="195"/>
      <c r="CS339" s="195"/>
      <c r="CT339" s="195"/>
      <c r="CU339" s="195"/>
      <c r="CV339" s="195"/>
      <c r="CW339" s="195"/>
      <c r="CX339" s="195"/>
      <c r="CY339" s="195"/>
      <c r="CZ339" s="195"/>
      <c r="DA339" s="195"/>
      <c r="DB339" s="195"/>
      <c r="DC339" s="195"/>
      <c r="DD339" s="195"/>
      <c r="DE339" s="195"/>
      <c r="DF339" s="197">
        <v>260</v>
      </c>
      <c r="DG339" s="195"/>
      <c r="DH339" s="195"/>
      <c r="DI339" s="195"/>
      <c r="DJ339" s="195"/>
      <c r="DK339" s="195"/>
      <c r="DL339" s="195"/>
      <c r="DM339" s="195"/>
      <c r="DN339" s="195"/>
      <c r="DO339" s="195"/>
      <c r="DP339" s="195"/>
      <c r="DQ339" s="195"/>
      <c r="DR339" s="195"/>
      <c r="DS339" s="195"/>
      <c r="DT339" s="195"/>
      <c r="DU339" s="195"/>
      <c r="DV339" s="195"/>
      <c r="DW339" s="195"/>
      <c r="DX339" s="197">
        <v>260</v>
      </c>
      <c r="DY339" s="195"/>
      <c r="DZ339" s="195"/>
      <c r="EA339" s="195"/>
      <c r="EB339" s="195"/>
      <c r="EC339" s="195"/>
      <c r="ED339" s="195"/>
      <c r="EE339" s="195"/>
      <c r="EF339" s="195"/>
      <c r="EG339" s="195"/>
      <c r="EH339" s="195"/>
      <c r="EI339" s="195"/>
      <c r="EJ339" s="195"/>
      <c r="EK339" s="195"/>
      <c r="EL339" s="195"/>
      <c r="EM339" s="195"/>
      <c r="EN339" s="195"/>
      <c r="EO339" s="195"/>
      <c r="EP339" s="197">
        <v>260</v>
      </c>
      <c r="EQ339" s="195"/>
      <c r="ER339" s="195"/>
      <c r="ES339" s="195"/>
      <c r="ET339" s="195"/>
      <c r="EU339" s="195"/>
      <c r="EV339" s="195"/>
      <c r="EW339" s="195"/>
      <c r="EX339" s="195"/>
      <c r="EY339" s="195"/>
      <c r="EZ339" s="195"/>
      <c r="FA339" s="195"/>
      <c r="FB339" s="195"/>
      <c r="FC339" s="195"/>
      <c r="FD339" s="195"/>
      <c r="FE339" s="195"/>
      <c r="FF339" s="195"/>
      <c r="FG339" s="195"/>
      <c r="FH339" s="197">
        <v>260</v>
      </c>
      <c r="FI339" s="195"/>
      <c r="FJ339" s="195"/>
      <c r="FK339" s="195"/>
      <c r="FL339" s="195"/>
      <c r="FM339" s="195"/>
      <c r="FN339" s="195"/>
      <c r="FO339" s="195"/>
      <c r="FP339" s="195"/>
      <c r="FQ339" s="195"/>
      <c r="FR339" s="195"/>
      <c r="FS339" s="195"/>
      <c r="FT339" s="195"/>
      <c r="FU339" s="195"/>
      <c r="FV339" s="195"/>
      <c r="FW339" s="195"/>
      <c r="FX339" s="195"/>
      <c r="FY339" s="195"/>
    </row>
    <row r="340" spans="2:181" x14ac:dyDescent="0.25">
      <c r="B340" s="12">
        <v>261</v>
      </c>
      <c r="C340" s="195"/>
      <c r="D340" s="195"/>
      <c r="E340" s="195"/>
      <c r="F340" s="195"/>
      <c r="G340" s="195"/>
      <c r="H340" s="195"/>
      <c r="I340" s="195"/>
      <c r="J340" s="195"/>
      <c r="K340" s="195"/>
      <c r="L340" s="195"/>
      <c r="M340" s="195"/>
      <c r="N340" s="195"/>
      <c r="O340" s="195"/>
      <c r="P340" s="195"/>
      <c r="Q340" s="195"/>
      <c r="R340" s="195"/>
      <c r="S340" s="195"/>
      <c r="T340" s="12">
        <v>261</v>
      </c>
      <c r="U340" s="195"/>
      <c r="V340" s="195"/>
      <c r="W340" s="195"/>
      <c r="X340" s="195"/>
      <c r="Y340" s="195"/>
      <c r="Z340" s="195"/>
      <c r="AA340" s="195"/>
      <c r="AB340" s="195"/>
      <c r="AC340" s="195"/>
      <c r="AD340" s="195"/>
      <c r="AE340" s="195"/>
      <c r="AF340" s="195"/>
      <c r="AG340" s="195"/>
      <c r="AH340" s="195"/>
      <c r="AI340" s="195"/>
      <c r="AJ340" s="195"/>
      <c r="AK340" s="195"/>
      <c r="AL340" s="12">
        <v>261</v>
      </c>
      <c r="AM340" s="195"/>
      <c r="AN340" s="195"/>
      <c r="AO340" s="195"/>
      <c r="AP340" s="195"/>
      <c r="AQ340" s="195"/>
      <c r="AR340" s="195"/>
      <c r="AS340" s="195"/>
      <c r="AT340" s="195"/>
      <c r="AU340" s="195"/>
      <c r="AV340" s="195"/>
      <c r="AW340" s="195"/>
      <c r="AX340" s="195"/>
      <c r="AY340" s="195"/>
      <c r="AZ340" s="195"/>
      <c r="BA340" s="195"/>
      <c r="BB340" s="195"/>
      <c r="BC340" s="195"/>
      <c r="BD340" s="12">
        <v>261</v>
      </c>
      <c r="BE340" s="195"/>
      <c r="BF340" s="195"/>
      <c r="BG340" s="195"/>
      <c r="BH340" s="195"/>
      <c r="BI340" s="195"/>
      <c r="BJ340" s="195"/>
      <c r="BK340" s="195"/>
      <c r="BL340" s="195"/>
      <c r="BM340" s="195"/>
      <c r="BN340" s="195"/>
      <c r="BO340" s="195"/>
      <c r="BP340" s="195"/>
      <c r="BQ340" s="195"/>
      <c r="BR340" s="195"/>
      <c r="BS340" s="195"/>
      <c r="BT340" s="195"/>
      <c r="BU340" s="195"/>
      <c r="BV340" s="12">
        <v>261</v>
      </c>
      <c r="BW340" s="195"/>
      <c r="BX340" s="195"/>
      <c r="BY340" s="195"/>
      <c r="BZ340" s="195"/>
      <c r="CA340" s="195"/>
      <c r="CB340" s="195"/>
      <c r="CC340" s="195"/>
      <c r="CD340" s="195"/>
      <c r="CE340" s="195"/>
      <c r="CF340" s="195"/>
      <c r="CG340" s="195"/>
      <c r="CH340" s="195"/>
      <c r="CI340" s="195"/>
      <c r="CJ340" s="195"/>
      <c r="CK340" s="195"/>
      <c r="CL340" s="195"/>
      <c r="CM340" s="195"/>
      <c r="CN340" s="12">
        <v>261</v>
      </c>
      <c r="CO340" s="195"/>
      <c r="CP340" s="195"/>
      <c r="CQ340" s="195"/>
      <c r="CR340" s="195"/>
      <c r="CS340" s="195"/>
      <c r="CT340" s="195"/>
      <c r="CU340" s="195"/>
      <c r="CV340" s="195"/>
      <c r="CW340" s="195"/>
      <c r="CX340" s="195"/>
      <c r="CY340" s="195"/>
      <c r="CZ340" s="195"/>
      <c r="DA340" s="195"/>
      <c r="DB340" s="195"/>
      <c r="DC340" s="195"/>
      <c r="DD340" s="195"/>
      <c r="DE340" s="195"/>
      <c r="DF340" s="12">
        <v>261</v>
      </c>
      <c r="DG340" s="195"/>
      <c r="DH340" s="195"/>
      <c r="DI340" s="195"/>
      <c r="DJ340" s="195"/>
      <c r="DK340" s="195"/>
      <c r="DL340" s="195"/>
      <c r="DM340" s="195"/>
      <c r="DN340" s="195"/>
      <c r="DO340" s="195"/>
      <c r="DP340" s="195"/>
      <c r="DQ340" s="195"/>
      <c r="DR340" s="195"/>
      <c r="DS340" s="195"/>
      <c r="DT340" s="195"/>
      <c r="DU340" s="195"/>
      <c r="DV340" s="195"/>
      <c r="DW340" s="195"/>
      <c r="DX340" s="12">
        <v>261</v>
      </c>
      <c r="DY340" s="195"/>
      <c r="DZ340" s="195"/>
      <c r="EA340" s="195"/>
      <c r="EB340" s="195"/>
      <c r="EC340" s="195"/>
      <c r="ED340" s="195"/>
      <c r="EE340" s="195"/>
      <c r="EF340" s="195"/>
      <c r="EG340" s="195"/>
      <c r="EH340" s="195"/>
      <c r="EI340" s="195"/>
      <c r="EJ340" s="195"/>
      <c r="EK340" s="195"/>
      <c r="EL340" s="195"/>
      <c r="EM340" s="195"/>
      <c r="EN340" s="195"/>
      <c r="EO340" s="195"/>
      <c r="EP340" s="12">
        <v>261</v>
      </c>
      <c r="EQ340" s="195"/>
      <c r="ER340" s="195"/>
      <c r="ES340" s="195"/>
      <c r="ET340" s="195"/>
      <c r="EU340" s="195"/>
      <c r="EV340" s="195"/>
      <c r="EW340" s="195"/>
      <c r="EX340" s="195"/>
      <c r="EY340" s="195"/>
      <c r="EZ340" s="195"/>
      <c r="FA340" s="195"/>
      <c r="FB340" s="195"/>
      <c r="FC340" s="195"/>
      <c r="FD340" s="195"/>
      <c r="FE340" s="195"/>
      <c r="FF340" s="195"/>
      <c r="FG340" s="195"/>
      <c r="FH340" s="12">
        <v>261</v>
      </c>
      <c r="FI340" s="195"/>
      <c r="FJ340" s="195"/>
      <c r="FK340" s="195"/>
      <c r="FL340" s="195"/>
      <c r="FM340" s="195"/>
      <c r="FN340" s="195"/>
      <c r="FO340" s="195"/>
      <c r="FP340" s="195"/>
      <c r="FQ340" s="195"/>
      <c r="FR340" s="195"/>
      <c r="FS340" s="195"/>
      <c r="FT340" s="195"/>
      <c r="FU340" s="195"/>
      <c r="FV340" s="195"/>
      <c r="FW340" s="195"/>
      <c r="FX340" s="195"/>
      <c r="FY340" s="195"/>
    </row>
    <row r="341" spans="2:181" x14ac:dyDescent="0.25">
      <c r="B341" s="197">
        <v>262</v>
      </c>
      <c r="C341" s="195"/>
      <c r="D341" s="195"/>
      <c r="E341" s="195"/>
      <c r="F341" s="195"/>
      <c r="G341" s="195"/>
      <c r="H341" s="195"/>
      <c r="I341" s="195"/>
      <c r="J341" s="195"/>
      <c r="K341" s="195"/>
      <c r="L341" s="195"/>
      <c r="M341" s="195"/>
      <c r="N341" s="195"/>
      <c r="O341" s="195"/>
      <c r="P341" s="195"/>
      <c r="Q341" s="195"/>
      <c r="R341" s="195"/>
      <c r="S341" s="195"/>
      <c r="T341" s="197">
        <v>262</v>
      </c>
      <c r="U341" s="195"/>
      <c r="V341" s="195"/>
      <c r="W341" s="195"/>
      <c r="X341" s="195"/>
      <c r="Y341" s="195"/>
      <c r="Z341" s="195"/>
      <c r="AA341" s="195"/>
      <c r="AB341" s="195"/>
      <c r="AC341" s="195"/>
      <c r="AD341" s="195"/>
      <c r="AE341" s="195"/>
      <c r="AF341" s="195"/>
      <c r="AG341" s="195"/>
      <c r="AH341" s="195"/>
      <c r="AI341" s="195"/>
      <c r="AJ341" s="195"/>
      <c r="AK341" s="195"/>
      <c r="AL341" s="197">
        <v>262</v>
      </c>
      <c r="AM341" s="195"/>
      <c r="AN341" s="195"/>
      <c r="AO341" s="195"/>
      <c r="AP341" s="195"/>
      <c r="AQ341" s="195"/>
      <c r="AR341" s="195"/>
      <c r="AS341" s="195"/>
      <c r="AT341" s="195"/>
      <c r="AU341" s="195"/>
      <c r="AV341" s="195"/>
      <c r="AW341" s="195"/>
      <c r="AX341" s="195"/>
      <c r="AY341" s="195"/>
      <c r="AZ341" s="195"/>
      <c r="BA341" s="195"/>
      <c r="BB341" s="195"/>
      <c r="BC341" s="195"/>
      <c r="BD341" s="197">
        <v>262</v>
      </c>
      <c r="BE341" s="195"/>
      <c r="BF341" s="195"/>
      <c r="BG341" s="195"/>
      <c r="BH341" s="195"/>
      <c r="BI341" s="195"/>
      <c r="BJ341" s="195"/>
      <c r="BK341" s="195"/>
      <c r="BL341" s="195"/>
      <c r="BM341" s="195"/>
      <c r="BN341" s="195"/>
      <c r="BO341" s="195"/>
      <c r="BP341" s="195"/>
      <c r="BQ341" s="195"/>
      <c r="BR341" s="195"/>
      <c r="BS341" s="195"/>
      <c r="BT341" s="195"/>
      <c r="BU341" s="195"/>
      <c r="BV341" s="197">
        <v>262</v>
      </c>
      <c r="BW341" s="195"/>
      <c r="BX341" s="195"/>
      <c r="BY341" s="195"/>
      <c r="BZ341" s="195"/>
      <c r="CA341" s="195"/>
      <c r="CB341" s="195"/>
      <c r="CC341" s="195"/>
      <c r="CD341" s="195"/>
      <c r="CE341" s="195"/>
      <c r="CF341" s="195"/>
      <c r="CG341" s="195"/>
      <c r="CH341" s="195"/>
      <c r="CI341" s="195"/>
      <c r="CJ341" s="195"/>
      <c r="CK341" s="195"/>
      <c r="CL341" s="195"/>
      <c r="CM341" s="195"/>
      <c r="CN341" s="197">
        <v>262</v>
      </c>
      <c r="CO341" s="195"/>
      <c r="CP341" s="195"/>
      <c r="CQ341" s="195"/>
      <c r="CR341" s="195"/>
      <c r="CS341" s="195"/>
      <c r="CT341" s="195"/>
      <c r="CU341" s="195"/>
      <c r="CV341" s="195"/>
      <c r="CW341" s="195"/>
      <c r="CX341" s="195"/>
      <c r="CY341" s="195"/>
      <c r="CZ341" s="195"/>
      <c r="DA341" s="195"/>
      <c r="DB341" s="195"/>
      <c r="DC341" s="195"/>
      <c r="DD341" s="195"/>
      <c r="DE341" s="195"/>
      <c r="DF341" s="197">
        <v>262</v>
      </c>
      <c r="DG341" s="195"/>
      <c r="DH341" s="195"/>
      <c r="DI341" s="195"/>
      <c r="DJ341" s="195"/>
      <c r="DK341" s="195"/>
      <c r="DL341" s="195"/>
      <c r="DM341" s="195"/>
      <c r="DN341" s="195"/>
      <c r="DO341" s="195"/>
      <c r="DP341" s="195"/>
      <c r="DQ341" s="195"/>
      <c r="DR341" s="195"/>
      <c r="DS341" s="195"/>
      <c r="DT341" s="195"/>
      <c r="DU341" s="195"/>
      <c r="DV341" s="195"/>
      <c r="DW341" s="195"/>
      <c r="DX341" s="197">
        <v>262</v>
      </c>
      <c r="DY341" s="195"/>
      <c r="DZ341" s="195"/>
      <c r="EA341" s="195"/>
      <c r="EB341" s="195"/>
      <c r="EC341" s="195"/>
      <c r="ED341" s="195"/>
      <c r="EE341" s="195"/>
      <c r="EF341" s="195"/>
      <c r="EG341" s="195"/>
      <c r="EH341" s="195"/>
      <c r="EI341" s="195"/>
      <c r="EJ341" s="195"/>
      <c r="EK341" s="195"/>
      <c r="EL341" s="195"/>
      <c r="EM341" s="195"/>
      <c r="EN341" s="195"/>
      <c r="EO341" s="195"/>
      <c r="EP341" s="197">
        <v>262</v>
      </c>
      <c r="EQ341" s="195"/>
      <c r="ER341" s="195"/>
      <c r="ES341" s="195"/>
      <c r="ET341" s="195"/>
      <c r="EU341" s="195"/>
      <c r="EV341" s="195"/>
      <c r="EW341" s="195"/>
      <c r="EX341" s="195"/>
      <c r="EY341" s="195"/>
      <c r="EZ341" s="195"/>
      <c r="FA341" s="195"/>
      <c r="FB341" s="195"/>
      <c r="FC341" s="195"/>
      <c r="FD341" s="195"/>
      <c r="FE341" s="195"/>
      <c r="FF341" s="195"/>
      <c r="FG341" s="195"/>
      <c r="FH341" s="197">
        <v>262</v>
      </c>
      <c r="FI341" s="195"/>
      <c r="FJ341" s="195"/>
      <c r="FK341" s="195"/>
      <c r="FL341" s="195"/>
      <c r="FM341" s="195"/>
      <c r="FN341" s="195"/>
      <c r="FO341" s="195"/>
      <c r="FP341" s="195"/>
      <c r="FQ341" s="195"/>
      <c r="FR341" s="195"/>
      <c r="FS341" s="195"/>
      <c r="FT341" s="195"/>
      <c r="FU341" s="195"/>
      <c r="FV341" s="195"/>
      <c r="FW341" s="195"/>
      <c r="FX341" s="195"/>
      <c r="FY341" s="195"/>
    </row>
    <row r="342" spans="2:181" x14ac:dyDescent="0.25">
      <c r="B342" s="12">
        <v>263</v>
      </c>
      <c r="C342" s="195"/>
      <c r="D342" s="195"/>
      <c r="E342" s="195"/>
      <c r="F342" s="195"/>
      <c r="G342" s="195"/>
      <c r="H342" s="195"/>
      <c r="I342" s="195"/>
      <c r="J342" s="195"/>
      <c r="K342" s="195"/>
      <c r="L342" s="195"/>
      <c r="M342" s="195"/>
      <c r="N342" s="195"/>
      <c r="O342" s="195"/>
      <c r="P342" s="195"/>
      <c r="Q342" s="195"/>
      <c r="R342" s="195"/>
      <c r="S342" s="195"/>
      <c r="T342" s="12">
        <v>263</v>
      </c>
      <c r="U342" s="195"/>
      <c r="V342" s="195"/>
      <c r="W342" s="195"/>
      <c r="X342" s="195"/>
      <c r="Y342" s="195"/>
      <c r="Z342" s="195"/>
      <c r="AA342" s="195"/>
      <c r="AB342" s="195"/>
      <c r="AC342" s="195"/>
      <c r="AD342" s="195"/>
      <c r="AE342" s="195"/>
      <c r="AF342" s="195"/>
      <c r="AG342" s="195"/>
      <c r="AH342" s="195"/>
      <c r="AI342" s="195"/>
      <c r="AJ342" s="195"/>
      <c r="AK342" s="195"/>
      <c r="AL342" s="12">
        <v>263</v>
      </c>
      <c r="AM342" s="195"/>
      <c r="AN342" s="195"/>
      <c r="AO342" s="195"/>
      <c r="AP342" s="195"/>
      <c r="AQ342" s="195"/>
      <c r="AR342" s="195"/>
      <c r="AS342" s="195"/>
      <c r="AT342" s="195"/>
      <c r="AU342" s="195"/>
      <c r="AV342" s="195"/>
      <c r="AW342" s="195"/>
      <c r="AX342" s="195"/>
      <c r="AY342" s="195"/>
      <c r="AZ342" s="195"/>
      <c r="BA342" s="195"/>
      <c r="BB342" s="195"/>
      <c r="BC342" s="195"/>
      <c r="BD342" s="12">
        <v>263</v>
      </c>
      <c r="BE342" s="195"/>
      <c r="BF342" s="195"/>
      <c r="BG342" s="195"/>
      <c r="BH342" s="195"/>
      <c r="BI342" s="195"/>
      <c r="BJ342" s="195"/>
      <c r="BK342" s="195"/>
      <c r="BL342" s="195"/>
      <c r="BM342" s="195"/>
      <c r="BN342" s="195"/>
      <c r="BO342" s="195"/>
      <c r="BP342" s="195"/>
      <c r="BQ342" s="195"/>
      <c r="BR342" s="195"/>
      <c r="BS342" s="195"/>
      <c r="BT342" s="195"/>
      <c r="BU342" s="195"/>
      <c r="BV342" s="12">
        <v>263</v>
      </c>
      <c r="BW342" s="195"/>
      <c r="BX342" s="195"/>
      <c r="BY342" s="195"/>
      <c r="BZ342" s="195"/>
      <c r="CA342" s="195"/>
      <c r="CB342" s="195"/>
      <c r="CC342" s="195"/>
      <c r="CD342" s="195"/>
      <c r="CE342" s="195"/>
      <c r="CF342" s="195"/>
      <c r="CG342" s="195"/>
      <c r="CH342" s="195"/>
      <c r="CI342" s="195"/>
      <c r="CJ342" s="195"/>
      <c r="CK342" s="195"/>
      <c r="CL342" s="195"/>
      <c r="CM342" s="195"/>
      <c r="CN342" s="12">
        <v>263</v>
      </c>
      <c r="CO342" s="195"/>
      <c r="CP342" s="195"/>
      <c r="CQ342" s="195"/>
      <c r="CR342" s="195"/>
      <c r="CS342" s="195"/>
      <c r="CT342" s="195"/>
      <c r="CU342" s="195"/>
      <c r="CV342" s="195"/>
      <c r="CW342" s="195"/>
      <c r="CX342" s="195"/>
      <c r="CY342" s="195"/>
      <c r="CZ342" s="195"/>
      <c r="DA342" s="195"/>
      <c r="DB342" s="195"/>
      <c r="DC342" s="195"/>
      <c r="DD342" s="195"/>
      <c r="DE342" s="195"/>
      <c r="DF342" s="12">
        <v>263</v>
      </c>
      <c r="DG342" s="195"/>
      <c r="DH342" s="195"/>
      <c r="DI342" s="195"/>
      <c r="DJ342" s="195"/>
      <c r="DK342" s="195"/>
      <c r="DL342" s="195"/>
      <c r="DM342" s="195"/>
      <c r="DN342" s="195"/>
      <c r="DO342" s="195"/>
      <c r="DP342" s="195"/>
      <c r="DQ342" s="195"/>
      <c r="DR342" s="195"/>
      <c r="DS342" s="195"/>
      <c r="DT342" s="195"/>
      <c r="DU342" s="195"/>
      <c r="DV342" s="195"/>
      <c r="DW342" s="195"/>
      <c r="DX342" s="12">
        <v>263</v>
      </c>
      <c r="DY342" s="195"/>
      <c r="DZ342" s="195"/>
      <c r="EA342" s="195"/>
      <c r="EB342" s="195"/>
      <c r="EC342" s="195"/>
      <c r="ED342" s="195"/>
      <c r="EE342" s="195"/>
      <c r="EF342" s="195"/>
      <c r="EG342" s="195"/>
      <c r="EH342" s="195"/>
      <c r="EI342" s="195"/>
      <c r="EJ342" s="195"/>
      <c r="EK342" s="195"/>
      <c r="EL342" s="195"/>
      <c r="EM342" s="195"/>
      <c r="EN342" s="195"/>
      <c r="EO342" s="195"/>
      <c r="EP342" s="12">
        <v>263</v>
      </c>
      <c r="EQ342" s="195"/>
      <c r="ER342" s="195"/>
      <c r="ES342" s="195"/>
      <c r="ET342" s="195"/>
      <c r="EU342" s="195"/>
      <c r="EV342" s="195"/>
      <c r="EW342" s="195"/>
      <c r="EX342" s="195"/>
      <c r="EY342" s="195"/>
      <c r="EZ342" s="195"/>
      <c r="FA342" s="195"/>
      <c r="FB342" s="195"/>
      <c r="FC342" s="195"/>
      <c r="FD342" s="195"/>
      <c r="FE342" s="195"/>
      <c r="FF342" s="195"/>
      <c r="FG342" s="195"/>
      <c r="FH342" s="12">
        <v>263</v>
      </c>
      <c r="FI342" s="195"/>
      <c r="FJ342" s="195"/>
      <c r="FK342" s="195"/>
      <c r="FL342" s="195"/>
      <c r="FM342" s="195"/>
      <c r="FN342" s="195"/>
      <c r="FO342" s="195"/>
      <c r="FP342" s="195"/>
      <c r="FQ342" s="195"/>
      <c r="FR342" s="195"/>
      <c r="FS342" s="195"/>
      <c r="FT342" s="195"/>
      <c r="FU342" s="195"/>
      <c r="FV342" s="195"/>
      <c r="FW342" s="195"/>
      <c r="FX342" s="195"/>
      <c r="FY342" s="195"/>
    </row>
    <row r="343" spans="2:181" x14ac:dyDescent="0.25">
      <c r="B343" s="197">
        <v>264</v>
      </c>
      <c r="C343" s="195"/>
      <c r="D343" s="195"/>
      <c r="E343" s="195"/>
      <c r="F343" s="195"/>
      <c r="G343" s="195"/>
      <c r="H343" s="195"/>
      <c r="I343" s="195"/>
      <c r="J343" s="195"/>
      <c r="K343" s="195"/>
      <c r="L343" s="195"/>
      <c r="M343" s="195"/>
      <c r="N343" s="195"/>
      <c r="O343" s="195"/>
      <c r="P343" s="195"/>
      <c r="Q343" s="195"/>
      <c r="R343" s="195"/>
      <c r="S343" s="195"/>
      <c r="T343" s="197">
        <v>264</v>
      </c>
      <c r="U343" s="195"/>
      <c r="V343" s="195"/>
      <c r="W343" s="195"/>
      <c r="X343" s="195"/>
      <c r="Y343" s="195"/>
      <c r="Z343" s="195"/>
      <c r="AA343" s="195"/>
      <c r="AB343" s="195"/>
      <c r="AC343" s="195"/>
      <c r="AD343" s="195"/>
      <c r="AE343" s="195"/>
      <c r="AF343" s="195"/>
      <c r="AG343" s="195"/>
      <c r="AH343" s="195"/>
      <c r="AI343" s="195"/>
      <c r="AJ343" s="195"/>
      <c r="AK343" s="195"/>
      <c r="AL343" s="197">
        <v>264</v>
      </c>
      <c r="AM343" s="195"/>
      <c r="AN343" s="195"/>
      <c r="AO343" s="195"/>
      <c r="AP343" s="195"/>
      <c r="AQ343" s="195"/>
      <c r="AR343" s="195"/>
      <c r="AS343" s="195"/>
      <c r="AT343" s="195"/>
      <c r="AU343" s="195"/>
      <c r="AV343" s="195"/>
      <c r="AW343" s="195"/>
      <c r="AX343" s="195"/>
      <c r="AY343" s="195"/>
      <c r="AZ343" s="195"/>
      <c r="BA343" s="195"/>
      <c r="BB343" s="195"/>
      <c r="BC343" s="195"/>
      <c r="BD343" s="197">
        <v>264</v>
      </c>
      <c r="BE343" s="195"/>
      <c r="BF343" s="195"/>
      <c r="BG343" s="195"/>
      <c r="BH343" s="195"/>
      <c r="BI343" s="195"/>
      <c r="BJ343" s="195"/>
      <c r="BK343" s="195"/>
      <c r="BL343" s="195"/>
      <c r="BM343" s="195"/>
      <c r="BN343" s="195"/>
      <c r="BO343" s="195"/>
      <c r="BP343" s="195"/>
      <c r="BQ343" s="195"/>
      <c r="BR343" s="195"/>
      <c r="BS343" s="195"/>
      <c r="BT343" s="195"/>
      <c r="BU343" s="195"/>
      <c r="BV343" s="197">
        <v>264</v>
      </c>
      <c r="BW343" s="195"/>
      <c r="BX343" s="195"/>
      <c r="BY343" s="195"/>
      <c r="BZ343" s="195"/>
      <c r="CA343" s="195"/>
      <c r="CB343" s="195"/>
      <c r="CC343" s="195"/>
      <c r="CD343" s="195"/>
      <c r="CE343" s="195"/>
      <c r="CF343" s="195"/>
      <c r="CG343" s="195"/>
      <c r="CH343" s="195"/>
      <c r="CI343" s="195"/>
      <c r="CJ343" s="195"/>
      <c r="CK343" s="195"/>
      <c r="CL343" s="195"/>
      <c r="CM343" s="195"/>
      <c r="CN343" s="197">
        <v>264</v>
      </c>
      <c r="CO343" s="195"/>
      <c r="CP343" s="195"/>
      <c r="CQ343" s="195"/>
      <c r="CR343" s="195"/>
      <c r="CS343" s="195"/>
      <c r="CT343" s="195"/>
      <c r="CU343" s="195"/>
      <c r="CV343" s="195"/>
      <c r="CW343" s="195"/>
      <c r="CX343" s="195"/>
      <c r="CY343" s="195"/>
      <c r="CZ343" s="195"/>
      <c r="DA343" s="195"/>
      <c r="DB343" s="195"/>
      <c r="DC343" s="195"/>
      <c r="DD343" s="195"/>
      <c r="DE343" s="195"/>
      <c r="DF343" s="197">
        <v>264</v>
      </c>
      <c r="DG343" s="195"/>
      <c r="DH343" s="195"/>
      <c r="DI343" s="195"/>
      <c r="DJ343" s="195"/>
      <c r="DK343" s="195"/>
      <c r="DL343" s="195"/>
      <c r="DM343" s="195"/>
      <c r="DN343" s="195"/>
      <c r="DO343" s="195"/>
      <c r="DP343" s="195"/>
      <c r="DQ343" s="195"/>
      <c r="DR343" s="195"/>
      <c r="DS343" s="195"/>
      <c r="DT343" s="195"/>
      <c r="DU343" s="195"/>
      <c r="DV343" s="195"/>
      <c r="DW343" s="195"/>
      <c r="DX343" s="197">
        <v>264</v>
      </c>
      <c r="DY343" s="195"/>
      <c r="DZ343" s="195"/>
      <c r="EA343" s="195"/>
      <c r="EB343" s="195"/>
      <c r="EC343" s="195"/>
      <c r="ED343" s="195"/>
      <c r="EE343" s="195"/>
      <c r="EF343" s="195"/>
      <c r="EG343" s="195"/>
      <c r="EH343" s="195"/>
      <c r="EI343" s="195"/>
      <c r="EJ343" s="195"/>
      <c r="EK343" s="195"/>
      <c r="EL343" s="195"/>
      <c r="EM343" s="195"/>
      <c r="EN343" s="195"/>
      <c r="EO343" s="195"/>
      <c r="EP343" s="197">
        <v>264</v>
      </c>
      <c r="EQ343" s="195"/>
      <c r="ER343" s="195"/>
      <c r="ES343" s="195"/>
      <c r="ET343" s="195"/>
      <c r="EU343" s="195"/>
      <c r="EV343" s="195"/>
      <c r="EW343" s="195"/>
      <c r="EX343" s="195"/>
      <c r="EY343" s="195"/>
      <c r="EZ343" s="195"/>
      <c r="FA343" s="195"/>
      <c r="FB343" s="195"/>
      <c r="FC343" s="195"/>
      <c r="FD343" s="195"/>
      <c r="FE343" s="195"/>
      <c r="FF343" s="195"/>
      <c r="FG343" s="195"/>
      <c r="FH343" s="197">
        <v>264</v>
      </c>
      <c r="FI343" s="195"/>
      <c r="FJ343" s="195"/>
      <c r="FK343" s="195"/>
      <c r="FL343" s="195"/>
      <c r="FM343" s="195"/>
      <c r="FN343" s="195"/>
      <c r="FO343" s="195"/>
      <c r="FP343" s="195"/>
      <c r="FQ343" s="195"/>
      <c r="FR343" s="195"/>
      <c r="FS343" s="195"/>
      <c r="FT343" s="195"/>
      <c r="FU343" s="195"/>
      <c r="FV343" s="195"/>
      <c r="FW343" s="195"/>
      <c r="FX343" s="195"/>
      <c r="FY343" s="195"/>
    </row>
    <row r="344" spans="2:181" x14ac:dyDescent="0.25">
      <c r="B344" s="12">
        <v>265</v>
      </c>
      <c r="C344" s="195"/>
      <c r="D344" s="195"/>
      <c r="E344" s="195"/>
      <c r="F344" s="195"/>
      <c r="G344" s="195"/>
      <c r="H344" s="195"/>
      <c r="I344" s="195"/>
      <c r="J344" s="195"/>
      <c r="K344" s="195"/>
      <c r="L344" s="195"/>
      <c r="M344" s="195"/>
      <c r="N344" s="195"/>
      <c r="O344" s="195"/>
      <c r="P344" s="195"/>
      <c r="Q344" s="195"/>
      <c r="R344" s="195"/>
      <c r="S344" s="195"/>
      <c r="T344" s="12">
        <v>265</v>
      </c>
      <c r="U344" s="195"/>
      <c r="V344" s="195"/>
      <c r="W344" s="195"/>
      <c r="X344" s="195"/>
      <c r="Y344" s="195"/>
      <c r="Z344" s="195"/>
      <c r="AA344" s="195"/>
      <c r="AB344" s="195"/>
      <c r="AC344" s="195"/>
      <c r="AD344" s="195"/>
      <c r="AE344" s="195"/>
      <c r="AF344" s="195"/>
      <c r="AG344" s="195"/>
      <c r="AH344" s="195"/>
      <c r="AI344" s="195"/>
      <c r="AJ344" s="195"/>
      <c r="AK344" s="195"/>
      <c r="AL344" s="12">
        <v>265</v>
      </c>
      <c r="AM344" s="195"/>
      <c r="AN344" s="195"/>
      <c r="AO344" s="195"/>
      <c r="AP344" s="195"/>
      <c r="AQ344" s="195"/>
      <c r="AR344" s="195"/>
      <c r="AS344" s="195"/>
      <c r="AT344" s="195"/>
      <c r="AU344" s="195"/>
      <c r="AV344" s="195"/>
      <c r="AW344" s="195"/>
      <c r="AX344" s="195"/>
      <c r="AY344" s="195"/>
      <c r="AZ344" s="195"/>
      <c r="BA344" s="195"/>
      <c r="BB344" s="195"/>
      <c r="BC344" s="195"/>
      <c r="BD344" s="12">
        <v>265</v>
      </c>
      <c r="BE344" s="195"/>
      <c r="BF344" s="195"/>
      <c r="BG344" s="195"/>
      <c r="BH344" s="195"/>
      <c r="BI344" s="195"/>
      <c r="BJ344" s="195"/>
      <c r="BK344" s="195"/>
      <c r="BL344" s="195"/>
      <c r="BM344" s="195"/>
      <c r="BN344" s="195"/>
      <c r="BO344" s="195"/>
      <c r="BP344" s="195"/>
      <c r="BQ344" s="195"/>
      <c r="BR344" s="195"/>
      <c r="BS344" s="195"/>
      <c r="BT344" s="195"/>
      <c r="BU344" s="195"/>
      <c r="BV344" s="12">
        <v>265</v>
      </c>
      <c r="BW344" s="195"/>
      <c r="BX344" s="195"/>
      <c r="BY344" s="195"/>
      <c r="BZ344" s="195"/>
      <c r="CA344" s="195"/>
      <c r="CB344" s="195"/>
      <c r="CC344" s="195"/>
      <c r="CD344" s="195"/>
      <c r="CE344" s="195"/>
      <c r="CF344" s="195"/>
      <c r="CG344" s="195"/>
      <c r="CH344" s="195"/>
      <c r="CI344" s="195"/>
      <c r="CJ344" s="195"/>
      <c r="CK344" s="195"/>
      <c r="CL344" s="195"/>
      <c r="CM344" s="195"/>
      <c r="CN344" s="12">
        <v>265</v>
      </c>
      <c r="CO344" s="195"/>
      <c r="CP344" s="195"/>
      <c r="CQ344" s="195"/>
      <c r="CR344" s="195"/>
      <c r="CS344" s="195"/>
      <c r="CT344" s="195"/>
      <c r="CU344" s="195"/>
      <c r="CV344" s="195"/>
      <c r="CW344" s="195"/>
      <c r="CX344" s="195"/>
      <c r="CY344" s="195"/>
      <c r="CZ344" s="195"/>
      <c r="DA344" s="195"/>
      <c r="DB344" s="195"/>
      <c r="DC344" s="195"/>
      <c r="DD344" s="195"/>
      <c r="DE344" s="195"/>
      <c r="DF344" s="12">
        <v>265</v>
      </c>
      <c r="DG344" s="195"/>
      <c r="DH344" s="195"/>
      <c r="DI344" s="195"/>
      <c r="DJ344" s="195"/>
      <c r="DK344" s="195"/>
      <c r="DL344" s="195"/>
      <c r="DM344" s="195"/>
      <c r="DN344" s="195"/>
      <c r="DO344" s="195"/>
      <c r="DP344" s="195"/>
      <c r="DQ344" s="195"/>
      <c r="DR344" s="195"/>
      <c r="DS344" s="195"/>
      <c r="DT344" s="195"/>
      <c r="DU344" s="195"/>
      <c r="DV344" s="195"/>
      <c r="DW344" s="195"/>
      <c r="DX344" s="12">
        <v>265</v>
      </c>
      <c r="DY344" s="195"/>
      <c r="DZ344" s="195"/>
      <c r="EA344" s="195"/>
      <c r="EB344" s="195"/>
      <c r="EC344" s="195"/>
      <c r="ED344" s="195"/>
      <c r="EE344" s="195"/>
      <c r="EF344" s="195"/>
      <c r="EG344" s="195"/>
      <c r="EH344" s="195"/>
      <c r="EI344" s="195"/>
      <c r="EJ344" s="195"/>
      <c r="EK344" s="195"/>
      <c r="EL344" s="195"/>
      <c r="EM344" s="195"/>
      <c r="EN344" s="195"/>
      <c r="EO344" s="195"/>
      <c r="EP344" s="12">
        <v>265</v>
      </c>
      <c r="EQ344" s="195"/>
      <c r="ER344" s="195"/>
      <c r="ES344" s="195"/>
      <c r="ET344" s="195"/>
      <c r="EU344" s="195"/>
      <c r="EV344" s="195"/>
      <c r="EW344" s="195"/>
      <c r="EX344" s="195"/>
      <c r="EY344" s="195"/>
      <c r="EZ344" s="195"/>
      <c r="FA344" s="195"/>
      <c r="FB344" s="195"/>
      <c r="FC344" s="195"/>
      <c r="FD344" s="195"/>
      <c r="FE344" s="195"/>
      <c r="FF344" s="195"/>
      <c r="FG344" s="195"/>
      <c r="FH344" s="12">
        <v>265</v>
      </c>
      <c r="FI344" s="195"/>
      <c r="FJ344" s="195"/>
      <c r="FK344" s="195"/>
      <c r="FL344" s="195"/>
      <c r="FM344" s="195"/>
      <c r="FN344" s="195"/>
      <c r="FO344" s="195"/>
      <c r="FP344" s="195"/>
      <c r="FQ344" s="195"/>
      <c r="FR344" s="195"/>
      <c r="FS344" s="195"/>
      <c r="FT344" s="195"/>
      <c r="FU344" s="195"/>
      <c r="FV344" s="195"/>
      <c r="FW344" s="195"/>
      <c r="FX344" s="195"/>
      <c r="FY344" s="195"/>
    </row>
    <row r="345" spans="2:181" x14ac:dyDescent="0.25">
      <c r="B345" s="197">
        <v>266</v>
      </c>
      <c r="C345" s="195"/>
      <c r="D345" s="195"/>
      <c r="E345" s="195"/>
      <c r="F345" s="195"/>
      <c r="G345" s="195"/>
      <c r="H345" s="195"/>
      <c r="I345" s="195"/>
      <c r="J345" s="195"/>
      <c r="K345" s="195"/>
      <c r="L345" s="195"/>
      <c r="M345" s="195"/>
      <c r="N345" s="195"/>
      <c r="O345" s="195"/>
      <c r="P345" s="195"/>
      <c r="Q345" s="195"/>
      <c r="R345" s="195"/>
      <c r="S345" s="195"/>
      <c r="T345" s="197">
        <v>266</v>
      </c>
      <c r="U345" s="195"/>
      <c r="V345" s="195"/>
      <c r="W345" s="195"/>
      <c r="X345" s="195"/>
      <c r="Y345" s="195"/>
      <c r="Z345" s="195"/>
      <c r="AA345" s="195"/>
      <c r="AB345" s="195"/>
      <c r="AC345" s="195"/>
      <c r="AD345" s="195"/>
      <c r="AE345" s="195"/>
      <c r="AF345" s="195"/>
      <c r="AG345" s="195"/>
      <c r="AH345" s="195"/>
      <c r="AI345" s="195"/>
      <c r="AJ345" s="195"/>
      <c r="AK345" s="195"/>
      <c r="AL345" s="197">
        <v>266</v>
      </c>
      <c r="AM345" s="195"/>
      <c r="AN345" s="195"/>
      <c r="AO345" s="195"/>
      <c r="AP345" s="195"/>
      <c r="AQ345" s="195"/>
      <c r="AR345" s="195"/>
      <c r="AS345" s="195"/>
      <c r="AT345" s="195"/>
      <c r="AU345" s="195"/>
      <c r="AV345" s="195"/>
      <c r="AW345" s="195"/>
      <c r="AX345" s="195"/>
      <c r="AY345" s="195"/>
      <c r="AZ345" s="195"/>
      <c r="BA345" s="195"/>
      <c r="BB345" s="195"/>
      <c r="BC345" s="195"/>
      <c r="BD345" s="197">
        <v>266</v>
      </c>
      <c r="BE345" s="195"/>
      <c r="BF345" s="195"/>
      <c r="BG345" s="195"/>
      <c r="BH345" s="195"/>
      <c r="BI345" s="195"/>
      <c r="BJ345" s="195"/>
      <c r="BK345" s="195"/>
      <c r="BL345" s="195"/>
      <c r="BM345" s="195"/>
      <c r="BN345" s="195"/>
      <c r="BO345" s="195"/>
      <c r="BP345" s="195"/>
      <c r="BQ345" s="195"/>
      <c r="BR345" s="195"/>
      <c r="BS345" s="195"/>
      <c r="BT345" s="195"/>
      <c r="BU345" s="195"/>
      <c r="BV345" s="197">
        <v>266</v>
      </c>
      <c r="BW345" s="195"/>
      <c r="BX345" s="195"/>
      <c r="BY345" s="195"/>
      <c r="BZ345" s="195"/>
      <c r="CA345" s="195"/>
      <c r="CB345" s="195"/>
      <c r="CC345" s="195"/>
      <c r="CD345" s="195"/>
      <c r="CE345" s="195"/>
      <c r="CF345" s="195"/>
      <c r="CG345" s="195"/>
      <c r="CH345" s="195"/>
      <c r="CI345" s="195"/>
      <c r="CJ345" s="195"/>
      <c r="CK345" s="195"/>
      <c r="CL345" s="195"/>
      <c r="CM345" s="195"/>
      <c r="CN345" s="197">
        <v>266</v>
      </c>
      <c r="CO345" s="195"/>
      <c r="CP345" s="195"/>
      <c r="CQ345" s="195"/>
      <c r="CR345" s="195"/>
      <c r="CS345" s="195"/>
      <c r="CT345" s="195"/>
      <c r="CU345" s="195"/>
      <c r="CV345" s="195"/>
      <c r="CW345" s="195"/>
      <c r="CX345" s="195"/>
      <c r="CY345" s="195"/>
      <c r="CZ345" s="195"/>
      <c r="DA345" s="195"/>
      <c r="DB345" s="195"/>
      <c r="DC345" s="195"/>
      <c r="DD345" s="195"/>
      <c r="DE345" s="195"/>
      <c r="DF345" s="197">
        <v>266</v>
      </c>
      <c r="DG345" s="195"/>
      <c r="DH345" s="195"/>
      <c r="DI345" s="195"/>
      <c r="DJ345" s="195"/>
      <c r="DK345" s="195"/>
      <c r="DL345" s="195"/>
      <c r="DM345" s="195"/>
      <c r="DN345" s="195"/>
      <c r="DO345" s="195"/>
      <c r="DP345" s="195"/>
      <c r="DQ345" s="195"/>
      <c r="DR345" s="195"/>
      <c r="DS345" s="195"/>
      <c r="DT345" s="195"/>
      <c r="DU345" s="195"/>
      <c r="DV345" s="195"/>
      <c r="DW345" s="195"/>
      <c r="DX345" s="197">
        <v>266</v>
      </c>
      <c r="DY345" s="195"/>
      <c r="DZ345" s="195"/>
      <c r="EA345" s="195"/>
      <c r="EB345" s="195"/>
      <c r="EC345" s="195"/>
      <c r="ED345" s="195"/>
      <c r="EE345" s="195"/>
      <c r="EF345" s="195"/>
      <c r="EG345" s="195"/>
      <c r="EH345" s="195"/>
      <c r="EI345" s="195"/>
      <c r="EJ345" s="195"/>
      <c r="EK345" s="195"/>
      <c r="EL345" s="195"/>
      <c r="EM345" s="195"/>
      <c r="EN345" s="195"/>
      <c r="EO345" s="195"/>
      <c r="EP345" s="197">
        <v>266</v>
      </c>
      <c r="EQ345" s="195"/>
      <c r="ER345" s="195"/>
      <c r="ES345" s="195"/>
      <c r="ET345" s="195"/>
      <c r="EU345" s="195"/>
      <c r="EV345" s="195"/>
      <c r="EW345" s="195"/>
      <c r="EX345" s="195"/>
      <c r="EY345" s="195"/>
      <c r="EZ345" s="195"/>
      <c r="FA345" s="195"/>
      <c r="FB345" s="195"/>
      <c r="FC345" s="195"/>
      <c r="FD345" s="195"/>
      <c r="FE345" s="195"/>
      <c r="FF345" s="195"/>
      <c r="FG345" s="195"/>
      <c r="FH345" s="197">
        <v>266</v>
      </c>
      <c r="FI345" s="195"/>
      <c r="FJ345" s="195"/>
      <c r="FK345" s="195"/>
      <c r="FL345" s="195"/>
      <c r="FM345" s="195"/>
      <c r="FN345" s="195"/>
      <c r="FO345" s="195"/>
      <c r="FP345" s="195"/>
      <c r="FQ345" s="195"/>
      <c r="FR345" s="195"/>
      <c r="FS345" s="195"/>
      <c r="FT345" s="195"/>
      <c r="FU345" s="195"/>
      <c r="FV345" s="195"/>
      <c r="FW345" s="195"/>
      <c r="FX345" s="195"/>
      <c r="FY345" s="195"/>
    </row>
    <row r="346" spans="2:181" x14ac:dyDescent="0.25">
      <c r="B346" s="12">
        <v>267</v>
      </c>
      <c r="C346" s="195"/>
      <c r="D346" s="195"/>
      <c r="E346" s="195"/>
      <c r="F346" s="195"/>
      <c r="G346" s="195"/>
      <c r="H346" s="195"/>
      <c r="I346" s="195"/>
      <c r="J346" s="195"/>
      <c r="K346" s="195"/>
      <c r="L346" s="195"/>
      <c r="M346" s="195"/>
      <c r="N346" s="195"/>
      <c r="O346" s="195"/>
      <c r="P346" s="195"/>
      <c r="Q346" s="195"/>
      <c r="R346" s="195"/>
      <c r="S346" s="195"/>
      <c r="T346" s="12">
        <v>267</v>
      </c>
      <c r="U346" s="195"/>
      <c r="V346" s="195"/>
      <c r="W346" s="195"/>
      <c r="X346" s="195"/>
      <c r="Y346" s="195"/>
      <c r="Z346" s="195"/>
      <c r="AA346" s="195"/>
      <c r="AB346" s="195"/>
      <c r="AC346" s="195"/>
      <c r="AD346" s="195"/>
      <c r="AE346" s="195"/>
      <c r="AF346" s="195"/>
      <c r="AG346" s="195"/>
      <c r="AH346" s="195"/>
      <c r="AI346" s="195"/>
      <c r="AJ346" s="195"/>
      <c r="AK346" s="195"/>
      <c r="AL346" s="12">
        <v>267</v>
      </c>
      <c r="AM346" s="195"/>
      <c r="AN346" s="195"/>
      <c r="AO346" s="195"/>
      <c r="AP346" s="195"/>
      <c r="AQ346" s="195"/>
      <c r="AR346" s="195"/>
      <c r="AS346" s="195"/>
      <c r="AT346" s="195"/>
      <c r="AU346" s="195"/>
      <c r="AV346" s="195"/>
      <c r="AW346" s="195"/>
      <c r="AX346" s="195"/>
      <c r="AY346" s="195"/>
      <c r="AZ346" s="195"/>
      <c r="BA346" s="195"/>
      <c r="BB346" s="195"/>
      <c r="BC346" s="195"/>
      <c r="BD346" s="12">
        <v>267</v>
      </c>
      <c r="BE346" s="195"/>
      <c r="BF346" s="195"/>
      <c r="BG346" s="195"/>
      <c r="BH346" s="195"/>
      <c r="BI346" s="195"/>
      <c r="BJ346" s="195"/>
      <c r="BK346" s="195"/>
      <c r="BL346" s="195"/>
      <c r="BM346" s="195"/>
      <c r="BN346" s="195"/>
      <c r="BO346" s="195"/>
      <c r="BP346" s="195"/>
      <c r="BQ346" s="195"/>
      <c r="BR346" s="195"/>
      <c r="BS346" s="195"/>
      <c r="BT346" s="195"/>
      <c r="BU346" s="195"/>
      <c r="BV346" s="12">
        <v>267</v>
      </c>
      <c r="BW346" s="195"/>
      <c r="BX346" s="195"/>
      <c r="BY346" s="195"/>
      <c r="BZ346" s="195"/>
      <c r="CA346" s="195"/>
      <c r="CB346" s="195"/>
      <c r="CC346" s="195"/>
      <c r="CD346" s="195"/>
      <c r="CE346" s="195"/>
      <c r="CF346" s="195"/>
      <c r="CG346" s="195"/>
      <c r="CH346" s="195"/>
      <c r="CI346" s="195"/>
      <c r="CJ346" s="195"/>
      <c r="CK346" s="195"/>
      <c r="CL346" s="195"/>
      <c r="CM346" s="195"/>
      <c r="CN346" s="12">
        <v>267</v>
      </c>
      <c r="CO346" s="195"/>
      <c r="CP346" s="195"/>
      <c r="CQ346" s="195"/>
      <c r="CR346" s="195"/>
      <c r="CS346" s="195"/>
      <c r="CT346" s="195"/>
      <c r="CU346" s="195"/>
      <c r="CV346" s="195"/>
      <c r="CW346" s="195"/>
      <c r="CX346" s="195"/>
      <c r="CY346" s="195"/>
      <c r="CZ346" s="195"/>
      <c r="DA346" s="195"/>
      <c r="DB346" s="195"/>
      <c r="DC346" s="195"/>
      <c r="DD346" s="195"/>
      <c r="DE346" s="195"/>
      <c r="DF346" s="12">
        <v>267</v>
      </c>
      <c r="DG346" s="195"/>
      <c r="DH346" s="195"/>
      <c r="DI346" s="195"/>
      <c r="DJ346" s="195"/>
      <c r="DK346" s="195"/>
      <c r="DL346" s="195"/>
      <c r="DM346" s="195"/>
      <c r="DN346" s="195"/>
      <c r="DO346" s="195"/>
      <c r="DP346" s="195"/>
      <c r="DQ346" s="195"/>
      <c r="DR346" s="195"/>
      <c r="DS346" s="195"/>
      <c r="DT346" s="195"/>
      <c r="DU346" s="195"/>
      <c r="DV346" s="195"/>
      <c r="DW346" s="195"/>
      <c r="DX346" s="12">
        <v>267</v>
      </c>
      <c r="DY346" s="195"/>
      <c r="DZ346" s="195"/>
      <c r="EA346" s="195"/>
      <c r="EB346" s="195"/>
      <c r="EC346" s="195"/>
      <c r="ED346" s="195"/>
      <c r="EE346" s="195"/>
      <c r="EF346" s="195"/>
      <c r="EG346" s="195"/>
      <c r="EH346" s="195"/>
      <c r="EI346" s="195"/>
      <c r="EJ346" s="195"/>
      <c r="EK346" s="195"/>
      <c r="EL346" s="195"/>
      <c r="EM346" s="195"/>
      <c r="EN346" s="195"/>
      <c r="EO346" s="195"/>
      <c r="EP346" s="12">
        <v>267</v>
      </c>
      <c r="EQ346" s="195"/>
      <c r="ER346" s="195"/>
      <c r="ES346" s="195"/>
      <c r="ET346" s="195"/>
      <c r="EU346" s="195"/>
      <c r="EV346" s="195"/>
      <c r="EW346" s="195"/>
      <c r="EX346" s="195"/>
      <c r="EY346" s="195"/>
      <c r="EZ346" s="195"/>
      <c r="FA346" s="195"/>
      <c r="FB346" s="195"/>
      <c r="FC346" s="195"/>
      <c r="FD346" s="195"/>
      <c r="FE346" s="195"/>
      <c r="FF346" s="195"/>
      <c r="FG346" s="195"/>
      <c r="FH346" s="12">
        <v>267</v>
      </c>
      <c r="FI346" s="195"/>
      <c r="FJ346" s="195"/>
      <c r="FK346" s="195"/>
      <c r="FL346" s="195"/>
      <c r="FM346" s="195"/>
      <c r="FN346" s="195"/>
      <c r="FO346" s="195"/>
      <c r="FP346" s="195"/>
      <c r="FQ346" s="195"/>
      <c r="FR346" s="195"/>
      <c r="FS346" s="195"/>
      <c r="FT346" s="195"/>
      <c r="FU346" s="195"/>
      <c r="FV346" s="195"/>
      <c r="FW346" s="195"/>
      <c r="FX346" s="195"/>
      <c r="FY346" s="195"/>
    </row>
    <row r="347" spans="2:181" x14ac:dyDescent="0.25">
      <c r="B347" s="197">
        <v>268</v>
      </c>
      <c r="C347" s="195"/>
      <c r="D347" s="195"/>
      <c r="E347" s="195"/>
      <c r="F347" s="195"/>
      <c r="G347" s="195"/>
      <c r="H347" s="195"/>
      <c r="I347" s="195"/>
      <c r="J347" s="195"/>
      <c r="K347" s="195"/>
      <c r="L347" s="195"/>
      <c r="M347" s="195"/>
      <c r="N347" s="195"/>
      <c r="O347" s="195"/>
      <c r="P347" s="195"/>
      <c r="Q347" s="195"/>
      <c r="R347" s="195"/>
      <c r="S347" s="195"/>
      <c r="T347" s="197">
        <v>268</v>
      </c>
      <c r="U347" s="195"/>
      <c r="V347" s="195"/>
      <c r="W347" s="195"/>
      <c r="X347" s="195"/>
      <c r="Y347" s="195"/>
      <c r="Z347" s="195"/>
      <c r="AA347" s="195"/>
      <c r="AB347" s="195"/>
      <c r="AC347" s="195"/>
      <c r="AD347" s="195"/>
      <c r="AE347" s="195"/>
      <c r="AF347" s="195"/>
      <c r="AG347" s="195"/>
      <c r="AH347" s="195"/>
      <c r="AI347" s="195"/>
      <c r="AJ347" s="195"/>
      <c r="AK347" s="195"/>
      <c r="AL347" s="197">
        <v>268</v>
      </c>
      <c r="AM347" s="195"/>
      <c r="AN347" s="195"/>
      <c r="AO347" s="195"/>
      <c r="AP347" s="195"/>
      <c r="AQ347" s="195"/>
      <c r="AR347" s="195"/>
      <c r="AS347" s="195"/>
      <c r="AT347" s="195"/>
      <c r="AU347" s="195"/>
      <c r="AV347" s="195"/>
      <c r="AW347" s="195"/>
      <c r="AX347" s="195"/>
      <c r="AY347" s="195"/>
      <c r="AZ347" s="195"/>
      <c r="BA347" s="195"/>
      <c r="BB347" s="195"/>
      <c r="BC347" s="195"/>
      <c r="BD347" s="197">
        <v>268</v>
      </c>
      <c r="BE347" s="195"/>
      <c r="BF347" s="195"/>
      <c r="BG347" s="195"/>
      <c r="BH347" s="195"/>
      <c r="BI347" s="195"/>
      <c r="BJ347" s="195"/>
      <c r="BK347" s="195"/>
      <c r="BL347" s="195"/>
      <c r="BM347" s="195"/>
      <c r="BN347" s="195"/>
      <c r="BO347" s="195"/>
      <c r="BP347" s="195"/>
      <c r="BQ347" s="195"/>
      <c r="BR347" s="195"/>
      <c r="BS347" s="195"/>
      <c r="BT347" s="195"/>
      <c r="BU347" s="195"/>
      <c r="BV347" s="197">
        <v>268</v>
      </c>
      <c r="BW347" s="195"/>
      <c r="BX347" s="195"/>
      <c r="BY347" s="195"/>
      <c r="BZ347" s="195"/>
      <c r="CA347" s="195"/>
      <c r="CB347" s="195"/>
      <c r="CC347" s="195"/>
      <c r="CD347" s="195"/>
      <c r="CE347" s="195"/>
      <c r="CF347" s="195"/>
      <c r="CG347" s="195"/>
      <c r="CH347" s="195"/>
      <c r="CI347" s="195"/>
      <c r="CJ347" s="195"/>
      <c r="CK347" s="195"/>
      <c r="CL347" s="195"/>
      <c r="CM347" s="195"/>
      <c r="CN347" s="197">
        <v>268</v>
      </c>
      <c r="CO347" s="195"/>
      <c r="CP347" s="195"/>
      <c r="CQ347" s="195"/>
      <c r="CR347" s="195"/>
      <c r="CS347" s="195"/>
      <c r="CT347" s="195"/>
      <c r="CU347" s="195"/>
      <c r="CV347" s="195"/>
      <c r="CW347" s="195"/>
      <c r="CX347" s="195"/>
      <c r="CY347" s="195"/>
      <c r="CZ347" s="195"/>
      <c r="DA347" s="195"/>
      <c r="DB347" s="195"/>
      <c r="DC347" s="195"/>
      <c r="DD347" s="195"/>
      <c r="DE347" s="195"/>
      <c r="DF347" s="197">
        <v>268</v>
      </c>
      <c r="DG347" s="195"/>
      <c r="DH347" s="195"/>
      <c r="DI347" s="195"/>
      <c r="DJ347" s="195"/>
      <c r="DK347" s="195"/>
      <c r="DL347" s="195"/>
      <c r="DM347" s="195"/>
      <c r="DN347" s="195"/>
      <c r="DO347" s="195"/>
      <c r="DP347" s="195"/>
      <c r="DQ347" s="195"/>
      <c r="DR347" s="195"/>
      <c r="DS347" s="195"/>
      <c r="DT347" s="195"/>
      <c r="DU347" s="195"/>
      <c r="DV347" s="195"/>
      <c r="DW347" s="195"/>
      <c r="DX347" s="197">
        <v>268</v>
      </c>
      <c r="DY347" s="195"/>
      <c r="DZ347" s="195"/>
      <c r="EA347" s="195"/>
      <c r="EB347" s="195"/>
      <c r="EC347" s="195"/>
      <c r="ED347" s="195"/>
      <c r="EE347" s="195"/>
      <c r="EF347" s="195"/>
      <c r="EG347" s="195"/>
      <c r="EH347" s="195"/>
      <c r="EI347" s="195"/>
      <c r="EJ347" s="195"/>
      <c r="EK347" s="195"/>
      <c r="EL347" s="195"/>
      <c r="EM347" s="195"/>
      <c r="EN347" s="195"/>
      <c r="EO347" s="195"/>
      <c r="EP347" s="197">
        <v>268</v>
      </c>
      <c r="EQ347" s="195"/>
      <c r="ER347" s="195"/>
      <c r="ES347" s="195"/>
      <c r="ET347" s="195"/>
      <c r="EU347" s="195"/>
      <c r="EV347" s="195"/>
      <c r="EW347" s="195"/>
      <c r="EX347" s="195"/>
      <c r="EY347" s="195"/>
      <c r="EZ347" s="195"/>
      <c r="FA347" s="195"/>
      <c r="FB347" s="195"/>
      <c r="FC347" s="195"/>
      <c r="FD347" s="195"/>
      <c r="FE347" s="195"/>
      <c r="FF347" s="195"/>
      <c r="FG347" s="195"/>
      <c r="FH347" s="197">
        <v>268</v>
      </c>
      <c r="FI347" s="195"/>
      <c r="FJ347" s="195"/>
      <c r="FK347" s="195"/>
      <c r="FL347" s="195"/>
      <c r="FM347" s="195"/>
      <c r="FN347" s="195"/>
      <c r="FO347" s="195"/>
      <c r="FP347" s="195"/>
      <c r="FQ347" s="195"/>
      <c r="FR347" s="195"/>
      <c r="FS347" s="195"/>
      <c r="FT347" s="195"/>
      <c r="FU347" s="195"/>
      <c r="FV347" s="195"/>
      <c r="FW347" s="195"/>
      <c r="FX347" s="195"/>
      <c r="FY347" s="195"/>
    </row>
    <row r="348" spans="2:181" x14ac:dyDescent="0.25">
      <c r="B348" s="12">
        <v>269</v>
      </c>
      <c r="C348" s="195"/>
      <c r="D348" s="195"/>
      <c r="E348" s="195"/>
      <c r="F348" s="195"/>
      <c r="G348" s="195"/>
      <c r="H348" s="195"/>
      <c r="I348" s="195"/>
      <c r="J348" s="195"/>
      <c r="K348" s="195"/>
      <c r="L348" s="195"/>
      <c r="M348" s="195"/>
      <c r="N348" s="195"/>
      <c r="O348" s="195"/>
      <c r="P348" s="195"/>
      <c r="Q348" s="195"/>
      <c r="R348" s="195"/>
      <c r="S348" s="195"/>
      <c r="T348" s="12">
        <v>269</v>
      </c>
      <c r="U348" s="195"/>
      <c r="V348" s="195"/>
      <c r="W348" s="195"/>
      <c r="X348" s="195"/>
      <c r="Y348" s="195"/>
      <c r="Z348" s="195"/>
      <c r="AA348" s="195"/>
      <c r="AB348" s="195"/>
      <c r="AC348" s="195"/>
      <c r="AD348" s="195"/>
      <c r="AE348" s="195"/>
      <c r="AF348" s="195"/>
      <c r="AG348" s="195"/>
      <c r="AH348" s="195"/>
      <c r="AI348" s="195"/>
      <c r="AJ348" s="195"/>
      <c r="AK348" s="195"/>
      <c r="AL348" s="12">
        <v>269</v>
      </c>
      <c r="AM348" s="195"/>
      <c r="AN348" s="195"/>
      <c r="AO348" s="195"/>
      <c r="AP348" s="195"/>
      <c r="AQ348" s="195"/>
      <c r="AR348" s="195"/>
      <c r="AS348" s="195"/>
      <c r="AT348" s="195"/>
      <c r="AU348" s="195"/>
      <c r="AV348" s="195"/>
      <c r="AW348" s="195"/>
      <c r="AX348" s="195"/>
      <c r="AY348" s="195"/>
      <c r="AZ348" s="195"/>
      <c r="BA348" s="195"/>
      <c r="BB348" s="195"/>
      <c r="BC348" s="195"/>
      <c r="BD348" s="12">
        <v>269</v>
      </c>
      <c r="BE348" s="195"/>
      <c r="BF348" s="195"/>
      <c r="BG348" s="195"/>
      <c r="BH348" s="195"/>
      <c r="BI348" s="195"/>
      <c r="BJ348" s="195"/>
      <c r="BK348" s="195"/>
      <c r="BL348" s="195"/>
      <c r="BM348" s="195"/>
      <c r="BN348" s="195"/>
      <c r="BO348" s="195"/>
      <c r="BP348" s="195"/>
      <c r="BQ348" s="195"/>
      <c r="BR348" s="195"/>
      <c r="BS348" s="195"/>
      <c r="BT348" s="195"/>
      <c r="BU348" s="195"/>
      <c r="BV348" s="12">
        <v>269</v>
      </c>
      <c r="BW348" s="195"/>
      <c r="BX348" s="195"/>
      <c r="BY348" s="195"/>
      <c r="BZ348" s="195"/>
      <c r="CA348" s="195"/>
      <c r="CB348" s="195"/>
      <c r="CC348" s="195"/>
      <c r="CD348" s="195"/>
      <c r="CE348" s="195"/>
      <c r="CF348" s="195"/>
      <c r="CG348" s="195"/>
      <c r="CH348" s="195"/>
      <c r="CI348" s="195"/>
      <c r="CJ348" s="195"/>
      <c r="CK348" s="195"/>
      <c r="CL348" s="195"/>
      <c r="CM348" s="195"/>
      <c r="CN348" s="12">
        <v>269</v>
      </c>
      <c r="CO348" s="195"/>
      <c r="CP348" s="195"/>
      <c r="CQ348" s="195"/>
      <c r="CR348" s="195"/>
      <c r="CS348" s="195"/>
      <c r="CT348" s="195"/>
      <c r="CU348" s="195"/>
      <c r="CV348" s="195"/>
      <c r="CW348" s="195"/>
      <c r="CX348" s="195"/>
      <c r="CY348" s="195"/>
      <c r="CZ348" s="195"/>
      <c r="DA348" s="195"/>
      <c r="DB348" s="195"/>
      <c r="DC348" s="195"/>
      <c r="DD348" s="195"/>
      <c r="DE348" s="195"/>
      <c r="DF348" s="12">
        <v>269</v>
      </c>
      <c r="DG348" s="195"/>
      <c r="DH348" s="195"/>
      <c r="DI348" s="195"/>
      <c r="DJ348" s="195"/>
      <c r="DK348" s="195"/>
      <c r="DL348" s="195"/>
      <c r="DM348" s="195"/>
      <c r="DN348" s="195"/>
      <c r="DO348" s="195"/>
      <c r="DP348" s="195"/>
      <c r="DQ348" s="195"/>
      <c r="DR348" s="195"/>
      <c r="DS348" s="195"/>
      <c r="DT348" s="195"/>
      <c r="DU348" s="195"/>
      <c r="DV348" s="195"/>
      <c r="DW348" s="195"/>
      <c r="DX348" s="12">
        <v>269</v>
      </c>
      <c r="DY348" s="195"/>
      <c r="DZ348" s="195"/>
      <c r="EA348" s="195"/>
      <c r="EB348" s="195"/>
      <c r="EC348" s="195"/>
      <c r="ED348" s="195"/>
      <c r="EE348" s="195"/>
      <c r="EF348" s="195"/>
      <c r="EG348" s="195"/>
      <c r="EH348" s="195"/>
      <c r="EI348" s="195"/>
      <c r="EJ348" s="195"/>
      <c r="EK348" s="195"/>
      <c r="EL348" s="195"/>
      <c r="EM348" s="195"/>
      <c r="EN348" s="195"/>
      <c r="EO348" s="195"/>
      <c r="EP348" s="12">
        <v>269</v>
      </c>
      <c r="EQ348" s="195"/>
      <c r="ER348" s="195"/>
      <c r="ES348" s="195"/>
      <c r="ET348" s="195"/>
      <c r="EU348" s="195"/>
      <c r="EV348" s="195"/>
      <c r="EW348" s="195"/>
      <c r="EX348" s="195"/>
      <c r="EY348" s="195"/>
      <c r="EZ348" s="195"/>
      <c r="FA348" s="195"/>
      <c r="FB348" s="195"/>
      <c r="FC348" s="195"/>
      <c r="FD348" s="195"/>
      <c r="FE348" s="195"/>
      <c r="FF348" s="195"/>
      <c r="FG348" s="195"/>
      <c r="FH348" s="12">
        <v>269</v>
      </c>
      <c r="FI348" s="195"/>
      <c r="FJ348" s="195"/>
      <c r="FK348" s="195"/>
      <c r="FL348" s="195"/>
      <c r="FM348" s="195"/>
      <c r="FN348" s="195"/>
      <c r="FO348" s="195"/>
      <c r="FP348" s="195"/>
      <c r="FQ348" s="195"/>
      <c r="FR348" s="195"/>
      <c r="FS348" s="195"/>
      <c r="FT348" s="195"/>
      <c r="FU348" s="195"/>
      <c r="FV348" s="195"/>
      <c r="FW348" s="195"/>
      <c r="FX348" s="195"/>
      <c r="FY348" s="195"/>
    </row>
    <row r="349" spans="2:181" x14ac:dyDescent="0.25">
      <c r="B349" s="197">
        <v>270</v>
      </c>
      <c r="C349" s="195"/>
      <c r="D349" s="195"/>
      <c r="E349" s="195"/>
      <c r="F349" s="195"/>
      <c r="G349" s="195"/>
      <c r="H349" s="195"/>
      <c r="I349" s="195"/>
      <c r="J349" s="195"/>
      <c r="K349" s="195"/>
      <c r="L349" s="195"/>
      <c r="M349" s="195"/>
      <c r="N349" s="195"/>
      <c r="O349" s="195"/>
      <c r="P349" s="195"/>
      <c r="Q349" s="195"/>
      <c r="R349" s="195"/>
      <c r="S349" s="195"/>
      <c r="T349" s="197">
        <v>270</v>
      </c>
      <c r="U349" s="195"/>
      <c r="V349" s="195"/>
      <c r="W349" s="195"/>
      <c r="X349" s="195"/>
      <c r="Y349" s="195"/>
      <c r="Z349" s="195"/>
      <c r="AA349" s="195"/>
      <c r="AB349" s="195"/>
      <c r="AC349" s="195"/>
      <c r="AD349" s="195"/>
      <c r="AE349" s="195"/>
      <c r="AF349" s="195"/>
      <c r="AG349" s="195"/>
      <c r="AH349" s="195"/>
      <c r="AI349" s="195"/>
      <c r="AJ349" s="195"/>
      <c r="AK349" s="195"/>
      <c r="AL349" s="197">
        <v>270</v>
      </c>
      <c r="AM349" s="195"/>
      <c r="AN349" s="195"/>
      <c r="AO349" s="195"/>
      <c r="AP349" s="195"/>
      <c r="AQ349" s="195"/>
      <c r="AR349" s="195"/>
      <c r="AS349" s="195"/>
      <c r="AT349" s="195"/>
      <c r="AU349" s="195"/>
      <c r="AV349" s="195"/>
      <c r="AW349" s="195"/>
      <c r="AX349" s="195"/>
      <c r="AY349" s="195"/>
      <c r="AZ349" s="195"/>
      <c r="BA349" s="195"/>
      <c r="BB349" s="195"/>
      <c r="BC349" s="195"/>
      <c r="BD349" s="197">
        <v>270</v>
      </c>
      <c r="BE349" s="195"/>
      <c r="BF349" s="195"/>
      <c r="BG349" s="195"/>
      <c r="BH349" s="195"/>
      <c r="BI349" s="195"/>
      <c r="BJ349" s="195"/>
      <c r="BK349" s="195"/>
      <c r="BL349" s="195"/>
      <c r="BM349" s="195"/>
      <c r="BN349" s="195"/>
      <c r="BO349" s="195"/>
      <c r="BP349" s="195"/>
      <c r="BQ349" s="195"/>
      <c r="BR349" s="195"/>
      <c r="BS349" s="195"/>
      <c r="BT349" s="195"/>
      <c r="BU349" s="195"/>
      <c r="BV349" s="197">
        <v>270</v>
      </c>
      <c r="BW349" s="195"/>
      <c r="BX349" s="195"/>
      <c r="BY349" s="195"/>
      <c r="BZ349" s="195"/>
      <c r="CA349" s="195"/>
      <c r="CB349" s="195"/>
      <c r="CC349" s="195"/>
      <c r="CD349" s="195"/>
      <c r="CE349" s="195"/>
      <c r="CF349" s="195"/>
      <c r="CG349" s="195"/>
      <c r="CH349" s="195"/>
      <c r="CI349" s="195"/>
      <c r="CJ349" s="195"/>
      <c r="CK349" s="195"/>
      <c r="CL349" s="195"/>
      <c r="CM349" s="195"/>
      <c r="CN349" s="197">
        <v>270</v>
      </c>
      <c r="CO349" s="195"/>
      <c r="CP349" s="195"/>
      <c r="CQ349" s="195"/>
      <c r="CR349" s="195"/>
      <c r="CS349" s="195"/>
      <c r="CT349" s="195"/>
      <c r="CU349" s="195"/>
      <c r="CV349" s="195"/>
      <c r="CW349" s="195"/>
      <c r="CX349" s="195"/>
      <c r="CY349" s="195"/>
      <c r="CZ349" s="195"/>
      <c r="DA349" s="195"/>
      <c r="DB349" s="195"/>
      <c r="DC349" s="195"/>
      <c r="DD349" s="195"/>
      <c r="DE349" s="195"/>
      <c r="DF349" s="197">
        <v>270</v>
      </c>
      <c r="DG349" s="195"/>
      <c r="DH349" s="195"/>
      <c r="DI349" s="195"/>
      <c r="DJ349" s="195"/>
      <c r="DK349" s="195"/>
      <c r="DL349" s="195"/>
      <c r="DM349" s="195"/>
      <c r="DN349" s="195"/>
      <c r="DO349" s="195"/>
      <c r="DP349" s="195"/>
      <c r="DQ349" s="195"/>
      <c r="DR349" s="195"/>
      <c r="DS349" s="195"/>
      <c r="DT349" s="195"/>
      <c r="DU349" s="195"/>
      <c r="DV349" s="195"/>
      <c r="DW349" s="195"/>
      <c r="DX349" s="197">
        <v>270</v>
      </c>
      <c r="DY349" s="195"/>
      <c r="DZ349" s="195"/>
      <c r="EA349" s="195"/>
      <c r="EB349" s="195"/>
      <c r="EC349" s="195"/>
      <c r="ED349" s="195"/>
      <c r="EE349" s="195"/>
      <c r="EF349" s="195"/>
      <c r="EG349" s="195"/>
      <c r="EH349" s="195"/>
      <c r="EI349" s="195"/>
      <c r="EJ349" s="195"/>
      <c r="EK349" s="195"/>
      <c r="EL349" s="195"/>
      <c r="EM349" s="195"/>
      <c r="EN349" s="195"/>
      <c r="EO349" s="195"/>
      <c r="EP349" s="197">
        <v>270</v>
      </c>
      <c r="EQ349" s="195"/>
      <c r="ER349" s="195"/>
      <c r="ES349" s="195"/>
      <c r="ET349" s="195"/>
      <c r="EU349" s="195"/>
      <c r="EV349" s="195"/>
      <c r="EW349" s="195"/>
      <c r="EX349" s="195"/>
      <c r="EY349" s="195"/>
      <c r="EZ349" s="195"/>
      <c r="FA349" s="195"/>
      <c r="FB349" s="195"/>
      <c r="FC349" s="195"/>
      <c r="FD349" s="195"/>
      <c r="FE349" s="195"/>
      <c r="FF349" s="195"/>
      <c r="FG349" s="195"/>
      <c r="FH349" s="197">
        <v>270</v>
      </c>
      <c r="FI349" s="195"/>
      <c r="FJ349" s="195"/>
      <c r="FK349" s="195"/>
      <c r="FL349" s="195"/>
      <c r="FM349" s="195"/>
      <c r="FN349" s="195"/>
      <c r="FO349" s="195"/>
      <c r="FP349" s="195"/>
      <c r="FQ349" s="195"/>
      <c r="FR349" s="195"/>
      <c r="FS349" s="195"/>
      <c r="FT349" s="195"/>
      <c r="FU349" s="195"/>
      <c r="FV349" s="195"/>
      <c r="FW349" s="195"/>
      <c r="FX349" s="195"/>
      <c r="FY349" s="195"/>
    </row>
    <row r="350" spans="2:181" x14ac:dyDescent="0.25">
      <c r="B350" s="176"/>
      <c r="C350" s="198"/>
      <c r="D350" s="198"/>
      <c r="E350" s="198"/>
      <c r="F350" s="198"/>
      <c r="G350" s="198"/>
      <c r="H350" s="198"/>
      <c r="I350" s="198"/>
      <c r="J350" s="198"/>
      <c r="K350" s="198"/>
      <c r="L350" s="198"/>
      <c r="M350" s="198"/>
      <c r="N350" s="198"/>
      <c r="O350" s="198"/>
      <c r="P350" s="198"/>
      <c r="Q350" s="198"/>
      <c r="R350" s="198"/>
      <c r="S350" s="198"/>
      <c r="T350" s="176"/>
      <c r="U350" s="198"/>
      <c r="V350" s="198"/>
      <c r="W350" s="198"/>
      <c r="X350" s="198"/>
      <c r="Y350" s="198"/>
      <c r="Z350" s="198"/>
      <c r="AA350" s="198"/>
      <c r="AB350" s="198"/>
      <c r="AC350" s="198"/>
      <c r="AD350" s="198"/>
      <c r="AE350" s="198"/>
      <c r="AF350" s="198"/>
      <c r="AG350" s="198"/>
      <c r="AH350" s="198"/>
      <c r="AI350" s="198"/>
      <c r="AJ350" s="198"/>
      <c r="AK350" s="198"/>
      <c r="AL350" s="176"/>
      <c r="AM350" s="198"/>
      <c r="AN350" s="198"/>
      <c r="AO350" s="198"/>
      <c r="AP350" s="198"/>
      <c r="AQ350" s="198"/>
      <c r="AR350" s="198"/>
      <c r="AS350" s="198"/>
      <c r="AT350" s="198"/>
      <c r="AU350" s="198"/>
      <c r="AV350" s="198"/>
      <c r="AW350" s="198"/>
      <c r="AX350" s="198"/>
      <c r="AY350" s="198"/>
      <c r="AZ350" s="198"/>
      <c r="BA350" s="198"/>
      <c r="BB350" s="198"/>
      <c r="BC350" s="198"/>
      <c r="BD350" s="176"/>
      <c r="BE350" s="198"/>
      <c r="BF350" s="198"/>
      <c r="BG350" s="198"/>
      <c r="BH350" s="198"/>
      <c r="BI350" s="198"/>
      <c r="BJ350" s="198"/>
      <c r="BK350" s="198"/>
      <c r="BL350" s="198"/>
      <c r="BM350" s="198"/>
      <c r="BN350" s="198"/>
      <c r="BO350" s="198"/>
      <c r="BP350" s="198"/>
      <c r="BQ350" s="198"/>
      <c r="BR350" s="198"/>
      <c r="BS350" s="198"/>
      <c r="BT350" s="198"/>
      <c r="BU350" s="198"/>
      <c r="BV350" s="176"/>
      <c r="BW350" s="198"/>
      <c r="BX350" s="198"/>
      <c r="BY350" s="198"/>
      <c r="BZ350" s="198"/>
      <c r="CA350" s="198"/>
      <c r="CB350" s="198"/>
      <c r="CC350" s="198"/>
      <c r="CD350" s="198"/>
      <c r="CE350" s="198"/>
      <c r="CF350" s="198"/>
      <c r="CG350" s="198"/>
      <c r="CH350" s="198"/>
      <c r="CI350" s="198"/>
      <c r="CJ350" s="198"/>
      <c r="CK350" s="198"/>
      <c r="CL350" s="198"/>
      <c r="CM350" s="198"/>
      <c r="CN350" s="176"/>
      <c r="CO350" s="198"/>
      <c r="CP350" s="198"/>
      <c r="CQ350" s="198"/>
      <c r="CR350" s="198"/>
      <c r="CS350" s="198"/>
      <c r="CT350" s="198"/>
      <c r="CU350" s="198"/>
      <c r="CV350" s="198"/>
      <c r="CW350" s="198"/>
      <c r="CX350" s="198"/>
      <c r="CY350" s="198"/>
      <c r="CZ350" s="198"/>
      <c r="DA350" s="198"/>
      <c r="DB350" s="198"/>
      <c r="DC350" s="198"/>
      <c r="DD350" s="198"/>
      <c r="DE350" s="198"/>
      <c r="DF350" s="176"/>
      <c r="DG350" s="198"/>
      <c r="DH350" s="198"/>
      <c r="DI350" s="198"/>
      <c r="DJ350" s="198"/>
      <c r="DK350" s="198"/>
      <c r="DL350" s="198"/>
      <c r="DM350" s="198"/>
      <c r="DN350" s="198"/>
      <c r="DO350" s="198"/>
      <c r="DP350" s="198"/>
      <c r="DQ350" s="198"/>
      <c r="DR350" s="198"/>
      <c r="DS350" s="198"/>
      <c r="DT350" s="198"/>
      <c r="DU350" s="198"/>
      <c r="DV350" s="198"/>
      <c r="DW350" s="198"/>
      <c r="DX350" s="176"/>
      <c r="DY350" s="198"/>
      <c r="DZ350" s="198"/>
      <c r="EA350" s="198"/>
      <c r="EB350" s="198"/>
      <c r="EC350" s="198"/>
      <c r="ED350" s="198"/>
      <c r="EE350" s="198"/>
      <c r="EF350" s="198"/>
      <c r="EG350" s="198"/>
      <c r="EH350" s="198"/>
      <c r="EI350" s="198"/>
      <c r="EJ350" s="198"/>
      <c r="EK350" s="198"/>
      <c r="EL350" s="198"/>
      <c r="EM350" s="198"/>
      <c r="EN350" s="198"/>
      <c r="EO350" s="198"/>
      <c r="EP350" s="176"/>
      <c r="EQ350" s="198"/>
      <c r="ER350" s="198"/>
      <c r="ES350" s="198"/>
      <c r="ET350" s="198"/>
      <c r="EU350" s="198"/>
      <c r="EV350" s="198"/>
      <c r="EW350" s="198"/>
      <c r="EX350" s="198"/>
      <c r="EY350" s="198"/>
      <c r="EZ350" s="198"/>
      <c r="FA350" s="198"/>
      <c r="FB350" s="198"/>
      <c r="FC350" s="198"/>
      <c r="FD350" s="198"/>
      <c r="FE350" s="198"/>
      <c r="FF350" s="198"/>
      <c r="FG350" s="198"/>
      <c r="FH350" s="176"/>
      <c r="FI350" s="198"/>
      <c r="FJ350" s="198"/>
      <c r="FK350" s="198"/>
      <c r="FL350" s="198"/>
      <c r="FM350" s="198"/>
      <c r="FN350" s="198"/>
      <c r="FO350" s="198"/>
      <c r="FP350" s="198"/>
      <c r="FQ350" s="198"/>
      <c r="FR350" s="198"/>
      <c r="FS350" s="198"/>
      <c r="FT350" s="198"/>
      <c r="FU350" s="198"/>
      <c r="FV350" s="198"/>
      <c r="FW350" s="198"/>
      <c r="FX350" s="198"/>
      <c r="FY350" s="198"/>
    </row>
    <row r="351" spans="2:181" x14ac:dyDescent="0.25">
      <c r="B351" s="977" t="s">
        <v>543</v>
      </c>
      <c r="C351" s="977"/>
      <c r="D351" s="977"/>
      <c r="E351" s="977"/>
      <c r="F351" s="977"/>
      <c r="G351" s="199">
        <f>COUNTA(C320:S349)</f>
        <v>0</v>
      </c>
      <c r="H351" s="198" t="s">
        <v>544</v>
      </c>
      <c r="I351" s="198"/>
      <c r="J351" s="198"/>
      <c r="K351" s="198"/>
      <c r="L351" s="198"/>
      <c r="M351" s="200" t="s">
        <v>545</v>
      </c>
      <c r="N351" s="201">
        <f>MAX(C320:S349,U320:AK349)</f>
        <v>0</v>
      </c>
      <c r="O351" s="198"/>
      <c r="P351" s="198"/>
      <c r="Q351" s="198"/>
      <c r="R351" s="198"/>
      <c r="S351" s="198"/>
      <c r="T351" s="977" t="s">
        <v>543</v>
      </c>
      <c r="U351" s="977"/>
      <c r="V351" s="977"/>
      <c r="W351" s="977"/>
      <c r="X351" s="977"/>
      <c r="Y351" s="199">
        <f>COUNTA(U320:AK349)</f>
        <v>0</v>
      </c>
      <c r="Z351" s="198" t="s">
        <v>544</v>
      </c>
      <c r="AA351" s="198"/>
      <c r="AB351" s="198"/>
      <c r="AC351" s="198"/>
      <c r="AD351" s="198"/>
      <c r="AE351" s="198"/>
      <c r="AF351" s="198"/>
      <c r="AG351" s="198"/>
      <c r="AH351" s="198"/>
      <c r="AI351" s="198"/>
      <c r="AJ351" s="198"/>
      <c r="AK351" s="198"/>
      <c r="AL351" s="977" t="s">
        <v>543</v>
      </c>
      <c r="AM351" s="977"/>
      <c r="AN351" s="977"/>
      <c r="AO351" s="977"/>
      <c r="AP351" s="977"/>
      <c r="AQ351" s="199">
        <f>COUNTA(AM320:BC349)</f>
        <v>0</v>
      </c>
      <c r="AR351" s="198" t="s">
        <v>544</v>
      </c>
      <c r="AS351" s="198"/>
      <c r="AT351" s="198"/>
      <c r="AU351" s="198"/>
      <c r="AV351" s="198"/>
      <c r="AW351" s="198"/>
      <c r="AX351" s="198"/>
      <c r="AY351" s="198"/>
      <c r="AZ351" s="198"/>
      <c r="BA351" s="198"/>
      <c r="BB351" s="198"/>
      <c r="BC351" s="198"/>
      <c r="BD351" s="977" t="s">
        <v>543</v>
      </c>
      <c r="BE351" s="977"/>
      <c r="BF351" s="977"/>
      <c r="BG351" s="977"/>
      <c r="BH351" s="977"/>
      <c r="BI351" s="199">
        <f>COUNTA(BE320:BU349)</f>
        <v>0</v>
      </c>
      <c r="BJ351" s="198" t="s">
        <v>544</v>
      </c>
      <c r="BK351" s="198"/>
      <c r="BL351" s="198"/>
      <c r="BM351" s="198"/>
      <c r="BN351" s="198"/>
      <c r="BO351" s="198"/>
      <c r="BP351" s="198"/>
      <c r="BQ351" s="198"/>
      <c r="BR351" s="198"/>
      <c r="BS351" s="198"/>
      <c r="BT351" s="198"/>
      <c r="BU351" s="198"/>
      <c r="BV351" s="977" t="s">
        <v>543</v>
      </c>
      <c r="BW351" s="977"/>
      <c r="BX351" s="977"/>
      <c r="BY351" s="977"/>
      <c r="BZ351" s="977"/>
      <c r="CA351" s="199">
        <f>COUNTA(BW320:CM349)</f>
        <v>0</v>
      </c>
      <c r="CB351" s="198" t="s">
        <v>544</v>
      </c>
      <c r="CC351" s="198"/>
      <c r="CD351" s="198"/>
      <c r="CE351" s="198"/>
      <c r="CF351" s="198"/>
      <c r="CG351" s="198"/>
      <c r="CH351" s="198"/>
      <c r="CI351" s="198"/>
      <c r="CJ351" s="198"/>
      <c r="CK351" s="198"/>
      <c r="CL351" s="198"/>
      <c r="CM351" s="198"/>
      <c r="CN351" s="977" t="s">
        <v>543</v>
      </c>
      <c r="CO351" s="977"/>
      <c r="CP351" s="977"/>
      <c r="CQ351" s="977"/>
      <c r="CR351" s="977"/>
      <c r="CS351" s="199">
        <f>COUNTA(CO320:DE349)</f>
        <v>0</v>
      </c>
      <c r="CT351" s="198" t="s">
        <v>544</v>
      </c>
      <c r="CU351" s="198"/>
      <c r="CV351" s="198"/>
      <c r="CW351" s="198"/>
      <c r="CX351" s="198"/>
      <c r="CY351" s="198"/>
      <c r="CZ351" s="198"/>
      <c r="DA351" s="198"/>
      <c r="DB351" s="198"/>
      <c r="DC351" s="198"/>
      <c r="DD351" s="198"/>
      <c r="DE351" s="198"/>
      <c r="DF351" s="977" t="s">
        <v>543</v>
      </c>
      <c r="DG351" s="977"/>
      <c r="DH351" s="977"/>
      <c r="DI351" s="977"/>
      <c r="DJ351" s="977"/>
      <c r="DK351" s="199">
        <f>COUNTA(DG320:DW349)</f>
        <v>0</v>
      </c>
      <c r="DL351" s="198" t="s">
        <v>544</v>
      </c>
      <c r="DM351" s="198"/>
      <c r="DN351" s="198"/>
      <c r="DO351" s="198"/>
      <c r="DP351" s="198"/>
      <c r="DQ351" s="198"/>
      <c r="DR351" s="198"/>
      <c r="DS351" s="198"/>
      <c r="DT351" s="198"/>
      <c r="DU351" s="198"/>
      <c r="DV351" s="198"/>
      <c r="DW351" s="198"/>
      <c r="DX351" s="977" t="s">
        <v>543</v>
      </c>
      <c r="DY351" s="977"/>
      <c r="DZ351" s="977"/>
      <c r="EA351" s="977"/>
      <c r="EB351" s="977"/>
      <c r="EC351" s="199">
        <f>COUNTA(DY320:EO349)</f>
        <v>0</v>
      </c>
      <c r="ED351" s="198" t="s">
        <v>544</v>
      </c>
      <c r="EE351" s="198"/>
      <c r="EF351" s="198"/>
      <c r="EG351" s="198"/>
      <c r="EH351" s="198"/>
      <c r="EI351" s="198"/>
      <c r="EJ351" s="198"/>
      <c r="EK351" s="198"/>
      <c r="EL351" s="198"/>
      <c r="EM351" s="198"/>
      <c r="EN351" s="198"/>
      <c r="EO351" s="198"/>
      <c r="EP351" s="977" t="s">
        <v>543</v>
      </c>
      <c r="EQ351" s="977"/>
      <c r="ER351" s="977"/>
      <c r="ES351" s="977"/>
      <c r="ET351" s="977"/>
      <c r="EU351" s="199">
        <f>COUNTA(EQ320:FG349)</f>
        <v>0</v>
      </c>
      <c r="EV351" s="198" t="s">
        <v>544</v>
      </c>
      <c r="EW351" s="198"/>
      <c r="EX351" s="198"/>
      <c r="EY351" s="198"/>
      <c r="EZ351" s="198"/>
      <c r="FA351" s="198"/>
      <c r="FB351" s="198"/>
      <c r="FC351" s="198"/>
      <c r="FD351" s="198"/>
      <c r="FE351" s="198"/>
      <c r="FF351" s="198"/>
      <c r="FG351" s="198"/>
      <c r="FH351" s="977" t="s">
        <v>543</v>
      </c>
      <c r="FI351" s="977"/>
      <c r="FJ351" s="977"/>
      <c r="FK351" s="977"/>
      <c r="FL351" s="977"/>
      <c r="FM351" s="199">
        <f>COUNTA(FI320:FY349)</f>
        <v>0</v>
      </c>
      <c r="FN351" s="198" t="s">
        <v>544</v>
      </c>
      <c r="FO351" s="198"/>
      <c r="FP351" s="198"/>
      <c r="FQ351" s="198"/>
      <c r="FR351" s="198"/>
      <c r="FS351" s="198"/>
      <c r="FT351" s="198"/>
      <c r="FU351" s="198"/>
      <c r="FV351" s="198"/>
      <c r="FW351" s="198"/>
      <c r="FX351" s="198"/>
      <c r="FY351" s="198"/>
    </row>
    <row r="352" spans="2:181" x14ac:dyDescent="0.25">
      <c r="M352" s="203" t="s">
        <v>548</v>
      </c>
      <c r="N352" s="204">
        <f>MIN(C320:S349,U320:AK349)</f>
        <v>0</v>
      </c>
    </row>
    <row r="353" spans="2:181" x14ac:dyDescent="0.25">
      <c r="B353" s="205" t="s">
        <v>549</v>
      </c>
      <c r="C353" s="205"/>
      <c r="D353" s="205"/>
      <c r="E353" s="205"/>
      <c r="F353" s="205"/>
      <c r="G353" s="205"/>
      <c r="H353" s="990" t="e">
        <f>#REF!</f>
        <v>#REF!</v>
      </c>
      <c r="I353" s="990"/>
      <c r="J353" s="990"/>
      <c r="K353" s="990"/>
      <c r="L353" s="990"/>
      <c r="M353" s="198"/>
      <c r="N353" s="198"/>
      <c r="O353" s="198"/>
      <c r="P353" s="198"/>
      <c r="Q353" s="198"/>
      <c r="R353" s="198"/>
      <c r="S353" s="198"/>
      <c r="T353" s="205"/>
      <c r="U353" s="205"/>
      <c r="V353" s="205"/>
      <c r="W353" s="205"/>
      <c r="X353" s="205"/>
      <c r="Y353" s="205"/>
      <c r="Z353" s="205"/>
      <c r="AA353" s="198"/>
      <c r="AB353" s="198"/>
      <c r="AC353" s="205"/>
      <c r="AD353" s="198"/>
      <c r="AE353" s="198"/>
      <c r="AF353" s="198"/>
      <c r="AG353" s="198"/>
      <c r="AH353" s="198"/>
      <c r="AI353" s="198"/>
      <c r="AJ353" s="198"/>
      <c r="AK353" s="198"/>
      <c r="AL353" s="205"/>
      <c r="AM353" s="205"/>
      <c r="AN353" s="205"/>
      <c r="AO353" s="205"/>
      <c r="AP353" s="205"/>
      <c r="AQ353" s="205"/>
      <c r="AR353" s="205"/>
      <c r="AS353" s="198"/>
      <c r="AT353" s="198"/>
      <c r="AU353" s="205"/>
      <c r="AV353" s="198"/>
      <c r="AW353" s="198"/>
      <c r="AX353" s="198"/>
      <c r="AY353" s="198"/>
      <c r="AZ353" s="198"/>
      <c r="BA353" s="198"/>
      <c r="BB353" s="198"/>
      <c r="BC353" s="198"/>
      <c r="BD353" s="205"/>
      <c r="BE353" s="205"/>
      <c r="BF353" s="205"/>
      <c r="BG353" s="205"/>
      <c r="BH353" s="205"/>
      <c r="BI353" s="205"/>
      <c r="BJ353" s="205"/>
      <c r="BK353" s="198"/>
      <c r="BL353" s="198"/>
      <c r="BM353" s="205"/>
      <c r="BN353" s="198"/>
      <c r="BO353" s="198"/>
      <c r="BP353" s="198"/>
      <c r="BQ353" s="198"/>
      <c r="BR353" s="198"/>
      <c r="BS353" s="198"/>
      <c r="BT353" s="198"/>
      <c r="BU353" s="198"/>
      <c r="BV353" s="205"/>
      <c r="BW353" s="205"/>
      <c r="BX353" s="205"/>
      <c r="BY353" s="205"/>
      <c r="BZ353" s="205"/>
      <c r="CA353" s="205"/>
      <c r="CB353" s="205"/>
      <c r="CC353" s="198"/>
      <c r="CD353" s="198"/>
      <c r="CE353" s="205"/>
      <c r="CF353" s="198"/>
      <c r="CG353" s="198"/>
      <c r="CH353" s="198"/>
      <c r="CI353" s="198"/>
      <c r="CJ353" s="198"/>
      <c r="CK353" s="198"/>
      <c r="CL353" s="198"/>
      <c r="CM353" s="198"/>
      <c r="CN353" s="205"/>
      <c r="CO353" s="205"/>
      <c r="CP353" s="205"/>
      <c r="CQ353" s="205"/>
      <c r="CR353" s="205"/>
      <c r="CS353" s="205"/>
      <c r="CT353" s="205"/>
      <c r="CU353" s="198"/>
      <c r="CV353" s="198"/>
      <c r="CW353" s="205"/>
      <c r="CX353" s="198"/>
      <c r="CY353" s="198"/>
      <c r="CZ353" s="198"/>
      <c r="DA353" s="198"/>
      <c r="DB353" s="198"/>
      <c r="DC353" s="198"/>
      <c r="DD353" s="198"/>
      <c r="DE353" s="198"/>
      <c r="DF353" s="205"/>
      <c r="DG353" s="205"/>
      <c r="DH353" s="205"/>
      <c r="DI353" s="205"/>
      <c r="DJ353" s="205"/>
      <c r="DK353" s="205"/>
      <c r="DL353" s="205"/>
      <c r="DM353" s="198"/>
      <c r="DN353" s="198"/>
      <c r="DO353" s="205"/>
      <c r="DP353" s="198"/>
      <c r="DQ353" s="198"/>
      <c r="DR353" s="198"/>
      <c r="DS353" s="198"/>
      <c r="DT353" s="198"/>
      <c r="DU353" s="198"/>
      <c r="DV353" s="198"/>
      <c r="DW353" s="198"/>
      <c r="DX353" s="205"/>
      <c r="DY353" s="205"/>
      <c r="DZ353" s="205"/>
      <c r="EA353" s="205"/>
      <c r="EB353" s="205"/>
      <c r="EC353" s="205"/>
      <c r="ED353" s="205"/>
      <c r="EE353" s="198"/>
      <c r="EF353" s="198"/>
      <c r="EG353" s="205"/>
      <c r="EH353" s="198"/>
      <c r="EI353" s="198"/>
      <c r="EJ353" s="198"/>
      <c r="EK353" s="198"/>
      <c r="EL353" s="198"/>
      <c r="EM353" s="198"/>
      <c r="EN353" s="198"/>
      <c r="EO353" s="198"/>
      <c r="EP353" s="205"/>
      <c r="EQ353" s="205"/>
      <c r="ER353" s="205"/>
      <c r="ES353" s="205"/>
      <c r="ET353" s="205"/>
      <c r="EU353" s="205"/>
      <c r="EV353" s="205"/>
      <c r="EW353" s="198"/>
      <c r="EX353" s="198"/>
      <c r="EY353" s="205"/>
      <c r="EZ353" s="198"/>
      <c r="FA353" s="198"/>
      <c r="FB353" s="198"/>
      <c r="FC353" s="198"/>
      <c r="FD353" s="198"/>
      <c r="FE353" s="198"/>
      <c r="FF353" s="198"/>
      <c r="FG353" s="198"/>
      <c r="FH353" s="205"/>
      <c r="FI353" s="205"/>
      <c r="FJ353" s="205"/>
      <c r="FK353" s="205"/>
      <c r="FL353" s="205"/>
      <c r="FM353" s="205"/>
      <c r="FN353" s="205"/>
      <c r="FO353" s="198"/>
      <c r="FP353" s="198"/>
      <c r="FQ353" s="205"/>
      <c r="FR353" s="198"/>
      <c r="FS353" s="198"/>
      <c r="FT353" s="198"/>
      <c r="FU353" s="198"/>
      <c r="FV353" s="198"/>
      <c r="FW353" s="198"/>
      <c r="FX353" s="198"/>
      <c r="FY353" s="198"/>
    </row>
    <row r="354" spans="2:181" x14ac:dyDescent="0.25">
      <c r="B354" s="208"/>
      <c r="C354" s="205"/>
      <c r="D354" s="205"/>
      <c r="E354" s="205"/>
      <c r="F354" s="205"/>
      <c r="G354" s="205"/>
      <c r="H354" s="205"/>
      <c r="I354" s="198"/>
      <c r="J354" s="209"/>
      <c r="K354" s="208"/>
      <c r="L354" s="198"/>
      <c r="M354" s="198"/>
      <c r="N354" s="198"/>
      <c r="O354" s="198"/>
      <c r="P354" s="198"/>
      <c r="Q354" s="198"/>
      <c r="R354" s="198"/>
      <c r="S354" s="209"/>
      <c r="T354" s="208"/>
      <c r="U354" s="205"/>
      <c r="V354" s="205"/>
      <c r="W354" s="205"/>
      <c r="X354" s="205"/>
      <c r="Y354" s="205"/>
      <c r="Z354" s="205"/>
      <c r="AA354" s="198"/>
      <c r="AB354" s="209"/>
      <c r="AC354" s="208"/>
      <c r="AD354" s="198"/>
      <c r="AE354" s="198"/>
      <c r="AF354" s="198"/>
      <c r="AG354" s="198"/>
      <c r="AH354" s="198"/>
      <c r="AI354" s="198"/>
      <c r="AJ354" s="198"/>
      <c r="AK354" s="209"/>
      <c r="AL354" s="208"/>
      <c r="AM354" s="205"/>
      <c r="AN354" s="205"/>
      <c r="AO354" s="205"/>
      <c r="AP354" s="205"/>
      <c r="AQ354" s="205"/>
      <c r="AR354" s="205"/>
      <c r="AS354" s="198"/>
      <c r="AT354" s="209"/>
      <c r="AU354" s="208"/>
      <c r="AV354" s="198"/>
      <c r="AW354" s="198"/>
      <c r="AX354" s="198"/>
      <c r="AY354" s="198"/>
      <c r="AZ354" s="198"/>
      <c r="BA354" s="198"/>
      <c r="BB354" s="198"/>
      <c r="BC354" s="209"/>
      <c r="BD354" s="208"/>
      <c r="BE354" s="205"/>
      <c r="BF354" s="205"/>
      <c r="BG354" s="205"/>
      <c r="BH354" s="205"/>
      <c r="BI354" s="205"/>
      <c r="BJ354" s="205"/>
      <c r="BK354" s="198"/>
      <c r="BL354" s="209"/>
      <c r="BM354" s="208"/>
      <c r="BN354" s="198"/>
      <c r="BO354" s="198"/>
      <c r="BP354" s="198"/>
      <c r="BQ354" s="198"/>
      <c r="BR354" s="198"/>
      <c r="BS354" s="198"/>
      <c r="BT354" s="198"/>
      <c r="BU354" s="209"/>
      <c r="BV354" s="208"/>
      <c r="BW354" s="205"/>
      <c r="BX354" s="205"/>
      <c r="BY354" s="205"/>
      <c r="BZ354" s="205"/>
      <c r="CA354" s="205"/>
      <c r="CB354" s="205"/>
      <c r="CC354" s="198"/>
      <c r="CD354" s="209"/>
      <c r="CE354" s="208"/>
      <c r="CF354" s="198"/>
      <c r="CG354" s="198"/>
      <c r="CH354" s="198"/>
      <c r="CI354" s="198"/>
      <c r="CJ354" s="198"/>
      <c r="CK354" s="198"/>
      <c r="CL354" s="198"/>
      <c r="CM354" s="209"/>
      <c r="CN354" s="208"/>
      <c r="CO354" s="205"/>
      <c r="CP354" s="205"/>
      <c r="CQ354" s="205"/>
      <c r="CR354" s="205"/>
      <c r="CS354" s="205"/>
      <c r="CT354" s="205"/>
      <c r="CU354" s="198"/>
      <c r="CV354" s="209"/>
      <c r="CW354" s="208"/>
      <c r="CX354" s="198"/>
      <c r="CY354" s="198"/>
      <c r="CZ354" s="198"/>
      <c r="DA354" s="198"/>
      <c r="DB354" s="198"/>
      <c r="DC354" s="198"/>
      <c r="DD354" s="198"/>
      <c r="DE354" s="209"/>
      <c r="DF354" s="208"/>
      <c r="DG354" s="205"/>
      <c r="DH354" s="205"/>
      <c r="DI354" s="205"/>
      <c r="DJ354" s="205"/>
      <c r="DK354" s="205"/>
      <c r="DL354" s="205"/>
      <c r="DM354" s="198"/>
      <c r="DN354" s="209"/>
      <c r="DO354" s="208"/>
      <c r="DP354" s="198"/>
      <c r="DQ354" s="198"/>
      <c r="DR354" s="198"/>
      <c r="DS354" s="198"/>
      <c r="DT354" s="198"/>
      <c r="DU354" s="198"/>
      <c r="DV354" s="198"/>
      <c r="DW354" s="209"/>
      <c r="DX354" s="208"/>
      <c r="DY354" s="205"/>
      <c r="DZ354" s="205"/>
      <c r="EA354" s="205"/>
      <c r="EB354" s="205"/>
      <c r="EC354" s="205"/>
      <c r="ED354" s="205"/>
      <c r="EE354" s="198"/>
      <c r="EF354" s="209"/>
      <c r="EG354" s="208"/>
      <c r="EH354" s="198"/>
      <c r="EI354" s="198"/>
      <c r="EJ354" s="198"/>
      <c r="EK354" s="198"/>
      <c r="EL354" s="198"/>
      <c r="EM354" s="198"/>
      <c r="EN354" s="198"/>
      <c r="EO354" s="209"/>
      <c r="EP354" s="208"/>
      <c r="EQ354" s="205"/>
      <c r="ER354" s="205"/>
      <c r="ES354" s="205"/>
      <c r="ET354" s="205"/>
      <c r="EU354" s="205"/>
      <c r="EV354" s="205"/>
      <c r="EW354" s="198"/>
      <c r="EX354" s="209"/>
      <c r="EY354" s="208"/>
      <c r="EZ354" s="198"/>
      <c r="FA354" s="198"/>
      <c r="FB354" s="198"/>
      <c r="FC354" s="198"/>
      <c r="FD354" s="198"/>
      <c r="FE354" s="198"/>
      <c r="FF354" s="198"/>
      <c r="FG354" s="209"/>
      <c r="FH354" s="208"/>
      <c r="FI354" s="205"/>
      <c r="FJ354" s="205"/>
      <c r="FK354" s="205"/>
      <c r="FL354" s="205"/>
      <c r="FM354" s="205"/>
      <c r="FN354" s="205"/>
      <c r="FO354" s="198"/>
      <c r="FP354" s="209"/>
      <c r="FQ354" s="208"/>
      <c r="FR354" s="198"/>
      <c r="FS354" s="198"/>
      <c r="FT354" s="198"/>
      <c r="FU354" s="198"/>
      <c r="FV354" s="198"/>
      <c r="FW354" s="198"/>
      <c r="FX354" s="198"/>
      <c r="FY354" s="209"/>
    </row>
    <row r="355" spans="2:181" x14ac:dyDescent="0.25">
      <c r="B355" s="210"/>
      <c r="C355" s="206"/>
      <c r="D355" s="206"/>
      <c r="E355" s="206"/>
      <c r="F355" s="206"/>
      <c r="G355" s="206"/>
      <c r="H355" s="206"/>
      <c r="I355" s="206"/>
      <c r="J355" s="211"/>
      <c r="K355" s="210"/>
      <c r="L355" s="206"/>
      <c r="M355" s="206"/>
      <c r="N355" s="206"/>
      <c r="O355" s="206"/>
      <c r="P355" s="206"/>
      <c r="Q355" s="206"/>
      <c r="R355" s="206"/>
      <c r="S355" s="211"/>
      <c r="T355" s="210"/>
      <c r="U355" s="206"/>
      <c r="V355" s="206"/>
      <c r="W355" s="206"/>
      <c r="X355" s="206"/>
      <c r="Y355" s="206"/>
      <c r="Z355" s="206"/>
      <c r="AA355" s="206"/>
      <c r="AB355" s="211"/>
      <c r="AC355" s="210"/>
      <c r="AD355" s="206"/>
      <c r="AE355" s="206"/>
      <c r="AF355" s="206"/>
      <c r="AG355" s="206"/>
      <c r="AH355" s="206"/>
      <c r="AI355" s="206"/>
      <c r="AJ355" s="206"/>
      <c r="AK355" s="211"/>
      <c r="AL355" s="210"/>
      <c r="AM355" s="206"/>
      <c r="AN355" s="206"/>
      <c r="AO355" s="206"/>
      <c r="AP355" s="206"/>
      <c r="AQ355" s="206"/>
      <c r="AR355" s="206"/>
      <c r="AS355" s="206"/>
      <c r="AT355" s="211"/>
      <c r="AU355" s="210"/>
      <c r="AV355" s="206"/>
      <c r="AW355" s="206"/>
      <c r="AX355" s="206"/>
      <c r="AY355" s="206"/>
      <c r="AZ355" s="206"/>
      <c r="BA355" s="206"/>
      <c r="BB355" s="206"/>
      <c r="BC355" s="211"/>
      <c r="BD355" s="210"/>
      <c r="BE355" s="206"/>
      <c r="BF355" s="206"/>
      <c r="BG355" s="206"/>
      <c r="BH355" s="206"/>
      <c r="BI355" s="206"/>
      <c r="BJ355" s="206"/>
      <c r="BK355" s="206"/>
      <c r="BL355" s="211"/>
      <c r="BM355" s="210"/>
      <c r="BN355" s="206"/>
      <c r="BO355" s="206"/>
      <c r="BP355" s="206"/>
      <c r="BQ355" s="206"/>
      <c r="BR355" s="206"/>
      <c r="BS355" s="206"/>
      <c r="BT355" s="206"/>
      <c r="BU355" s="211"/>
      <c r="BV355" s="210"/>
      <c r="BW355" s="206"/>
      <c r="BX355" s="206"/>
      <c r="BY355" s="206"/>
      <c r="BZ355" s="206"/>
      <c r="CA355" s="206"/>
      <c r="CB355" s="206"/>
      <c r="CC355" s="206"/>
      <c r="CD355" s="211"/>
      <c r="CE355" s="210"/>
      <c r="CF355" s="206"/>
      <c r="CG355" s="206"/>
      <c r="CH355" s="206"/>
      <c r="CI355" s="206"/>
      <c r="CJ355" s="206"/>
      <c r="CK355" s="206"/>
      <c r="CL355" s="206"/>
      <c r="CM355" s="211"/>
      <c r="CN355" s="210"/>
      <c r="CO355" s="206"/>
      <c r="CP355" s="206"/>
      <c r="CQ355" s="206"/>
      <c r="CR355" s="206"/>
      <c r="CS355" s="206"/>
      <c r="CT355" s="206"/>
      <c r="CU355" s="206"/>
      <c r="CV355" s="211"/>
      <c r="CW355" s="210"/>
      <c r="CX355" s="206"/>
      <c r="CY355" s="206"/>
      <c r="CZ355" s="206"/>
      <c r="DA355" s="206"/>
      <c r="DB355" s="206"/>
      <c r="DC355" s="206"/>
      <c r="DD355" s="206"/>
      <c r="DE355" s="211"/>
      <c r="DF355" s="210"/>
      <c r="DG355" s="206"/>
      <c r="DH355" s="206"/>
      <c r="DI355" s="206"/>
      <c r="DJ355" s="206"/>
      <c r="DK355" s="206"/>
      <c r="DL355" s="206"/>
      <c r="DM355" s="206"/>
      <c r="DN355" s="211"/>
      <c r="DO355" s="210"/>
      <c r="DP355" s="206"/>
      <c r="DQ355" s="206"/>
      <c r="DR355" s="206"/>
      <c r="DS355" s="206"/>
      <c r="DT355" s="206"/>
      <c r="DU355" s="206"/>
      <c r="DV355" s="206"/>
      <c r="DW355" s="211"/>
      <c r="DX355" s="210"/>
      <c r="DY355" s="206"/>
      <c r="DZ355" s="206"/>
      <c r="EA355" s="206"/>
      <c r="EB355" s="206"/>
      <c r="EC355" s="206"/>
      <c r="ED355" s="206"/>
      <c r="EE355" s="206"/>
      <c r="EF355" s="211"/>
      <c r="EG355" s="210"/>
      <c r="EH355" s="206"/>
      <c r="EI355" s="206"/>
      <c r="EJ355" s="206"/>
      <c r="EK355" s="206"/>
      <c r="EL355" s="206"/>
      <c r="EM355" s="206"/>
      <c r="EN355" s="206"/>
      <c r="EO355" s="211"/>
      <c r="EP355" s="210"/>
      <c r="EQ355" s="206"/>
      <c r="ER355" s="206"/>
      <c r="ES355" s="206"/>
      <c r="ET355" s="206"/>
      <c r="EU355" s="206"/>
      <c r="EV355" s="206"/>
      <c r="EW355" s="206"/>
      <c r="EX355" s="211"/>
      <c r="EY355" s="210"/>
      <c r="EZ355" s="206"/>
      <c r="FA355" s="206"/>
      <c r="FB355" s="206"/>
      <c r="FC355" s="206"/>
      <c r="FD355" s="206"/>
      <c r="FE355" s="206"/>
      <c r="FF355" s="206"/>
      <c r="FG355" s="211"/>
      <c r="FH355" s="210"/>
      <c r="FI355" s="206"/>
      <c r="FJ355" s="206"/>
      <c r="FK355" s="206"/>
      <c r="FL355" s="206"/>
      <c r="FM355" s="206"/>
      <c r="FN355" s="206"/>
      <c r="FO355" s="206"/>
      <c r="FP355" s="211"/>
      <c r="FQ355" s="210"/>
      <c r="FR355" s="206"/>
      <c r="FS355" s="206"/>
      <c r="FT355" s="206"/>
      <c r="FU355" s="206"/>
      <c r="FV355" s="206"/>
      <c r="FW355" s="206"/>
      <c r="FX355" s="206"/>
      <c r="FY355" s="211"/>
    </row>
    <row r="357" spans="2:181" ht="30" customHeight="1" x14ac:dyDescent="0.25">
      <c r="B357" s="193" t="s">
        <v>372</v>
      </c>
      <c r="C357" s="194" t="s">
        <v>373</v>
      </c>
      <c r="D357" s="194" t="s">
        <v>374</v>
      </c>
      <c r="E357" s="195" t="s">
        <v>375</v>
      </c>
      <c r="F357" s="195" t="s">
        <v>376</v>
      </c>
      <c r="G357" s="195" t="s">
        <v>377</v>
      </c>
      <c r="H357" s="195" t="s">
        <v>378</v>
      </c>
      <c r="I357" s="195" t="s">
        <v>379</v>
      </c>
      <c r="J357" s="195" t="s">
        <v>380</v>
      </c>
      <c r="K357" s="195" t="s">
        <v>381</v>
      </c>
      <c r="L357" s="196" t="s">
        <v>382</v>
      </c>
      <c r="M357" s="196" t="s">
        <v>383</v>
      </c>
      <c r="N357" s="196" t="s">
        <v>384</v>
      </c>
      <c r="O357" s="196" t="s">
        <v>385</v>
      </c>
      <c r="P357" s="196" t="s">
        <v>386</v>
      </c>
      <c r="Q357" s="196" t="s">
        <v>387</v>
      </c>
      <c r="R357" s="196" t="s">
        <v>388</v>
      </c>
      <c r="S357" s="196" t="s">
        <v>389</v>
      </c>
      <c r="T357" s="193" t="s">
        <v>372</v>
      </c>
      <c r="U357" s="194" t="s">
        <v>390</v>
      </c>
      <c r="V357" s="194" t="s">
        <v>391</v>
      </c>
      <c r="W357" s="195" t="s">
        <v>392</v>
      </c>
      <c r="X357" s="195" t="s">
        <v>393</v>
      </c>
      <c r="Y357" s="195" t="s">
        <v>394</v>
      </c>
      <c r="Z357" s="195" t="s">
        <v>395</v>
      </c>
      <c r="AA357" s="195" t="s">
        <v>396</v>
      </c>
      <c r="AB357" s="195" t="s">
        <v>397</v>
      </c>
      <c r="AC357" s="195" t="s">
        <v>398</v>
      </c>
      <c r="AD357" s="196" t="s">
        <v>399</v>
      </c>
      <c r="AE357" s="196" t="s">
        <v>400</v>
      </c>
      <c r="AF357" s="196" t="s">
        <v>401</v>
      </c>
      <c r="AG357" s="196" t="s">
        <v>402</v>
      </c>
      <c r="AH357" s="196" t="s">
        <v>403</v>
      </c>
      <c r="AI357" s="196" t="s">
        <v>404</v>
      </c>
      <c r="AJ357" s="196" t="s">
        <v>405</v>
      </c>
      <c r="AK357" s="196" t="s">
        <v>406</v>
      </c>
      <c r="AL357" s="193" t="s">
        <v>372</v>
      </c>
      <c r="AM357" s="194" t="s">
        <v>407</v>
      </c>
      <c r="AN357" s="194" t="s">
        <v>408</v>
      </c>
      <c r="AO357" s="195" t="s">
        <v>409</v>
      </c>
      <c r="AP357" s="195" t="s">
        <v>410</v>
      </c>
      <c r="AQ357" s="195" t="s">
        <v>411</v>
      </c>
      <c r="AR357" s="195" t="s">
        <v>412</v>
      </c>
      <c r="AS357" s="195" t="s">
        <v>413</v>
      </c>
      <c r="AT357" s="195" t="s">
        <v>414</v>
      </c>
      <c r="AU357" s="195" t="s">
        <v>415</v>
      </c>
      <c r="AV357" s="196" t="s">
        <v>416</v>
      </c>
      <c r="AW357" s="196" t="s">
        <v>417</v>
      </c>
      <c r="AX357" s="196" t="s">
        <v>418</v>
      </c>
      <c r="AY357" s="196" t="s">
        <v>419</v>
      </c>
      <c r="AZ357" s="196" t="s">
        <v>420</v>
      </c>
      <c r="BA357" s="196" t="s">
        <v>421</v>
      </c>
      <c r="BB357" s="196" t="s">
        <v>422</v>
      </c>
      <c r="BC357" s="196" t="s">
        <v>423</v>
      </c>
      <c r="BD357" s="193" t="s">
        <v>372</v>
      </c>
      <c r="BE357" s="194" t="s">
        <v>424</v>
      </c>
      <c r="BF357" s="194" t="s">
        <v>425</v>
      </c>
      <c r="BG357" s="195" t="s">
        <v>426</v>
      </c>
      <c r="BH357" s="195" t="s">
        <v>427</v>
      </c>
      <c r="BI357" s="195" t="s">
        <v>428</v>
      </c>
      <c r="BJ357" s="195" t="s">
        <v>429</v>
      </c>
      <c r="BK357" s="195" t="s">
        <v>430</v>
      </c>
      <c r="BL357" s="195" t="s">
        <v>431</v>
      </c>
      <c r="BM357" s="195" t="s">
        <v>432</v>
      </c>
      <c r="BN357" s="196" t="s">
        <v>433</v>
      </c>
      <c r="BO357" s="196" t="s">
        <v>434</v>
      </c>
      <c r="BP357" s="196" t="s">
        <v>435</v>
      </c>
      <c r="BQ357" s="196" t="s">
        <v>436</v>
      </c>
      <c r="BR357" s="196" t="s">
        <v>437</v>
      </c>
      <c r="BS357" s="196" t="s">
        <v>438</v>
      </c>
      <c r="BT357" s="196" t="s">
        <v>439</v>
      </c>
      <c r="BU357" s="196" t="s">
        <v>440</v>
      </c>
      <c r="BV357" s="193" t="s">
        <v>372</v>
      </c>
      <c r="BW357" s="194" t="s">
        <v>441</v>
      </c>
      <c r="BX357" s="194" t="s">
        <v>442</v>
      </c>
      <c r="BY357" s="195" t="s">
        <v>443</v>
      </c>
      <c r="BZ357" s="195" t="s">
        <v>444</v>
      </c>
      <c r="CA357" s="195" t="s">
        <v>445</v>
      </c>
      <c r="CB357" s="195" t="s">
        <v>446</v>
      </c>
      <c r="CC357" s="195" t="s">
        <v>447</v>
      </c>
      <c r="CD357" s="195" t="s">
        <v>448</v>
      </c>
      <c r="CE357" s="195" t="s">
        <v>449</v>
      </c>
      <c r="CF357" s="196" t="s">
        <v>450</v>
      </c>
      <c r="CG357" s="196" t="s">
        <v>451</v>
      </c>
      <c r="CH357" s="196" t="s">
        <v>452</v>
      </c>
      <c r="CI357" s="196" t="s">
        <v>453</v>
      </c>
      <c r="CJ357" s="196" t="s">
        <v>454</v>
      </c>
      <c r="CK357" s="196" t="s">
        <v>455</v>
      </c>
      <c r="CL357" s="196" t="s">
        <v>456</v>
      </c>
      <c r="CM357" s="196" t="s">
        <v>457</v>
      </c>
      <c r="CN357" s="193" t="s">
        <v>372</v>
      </c>
      <c r="CO357" s="194" t="s">
        <v>458</v>
      </c>
      <c r="CP357" s="194" t="s">
        <v>459</v>
      </c>
      <c r="CQ357" s="195" t="s">
        <v>460</v>
      </c>
      <c r="CR357" s="195" t="s">
        <v>461</v>
      </c>
      <c r="CS357" s="195" t="s">
        <v>462</v>
      </c>
      <c r="CT357" s="195" t="s">
        <v>463</v>
      </c>
      <c r="CU357" s="195" t="s">
        <v>464</v>
      </c>
      <c r="CV357" s="195" t="s">
        <v>465</v>
      </c>
      <c r="CW357" s="195" t="s">
        <v>466</v>
      </c>
      <c r="CX357" s="196" t="s">
        <v>467</v>
      </c>
      <c r="CY357" s="196" t="s">
        <v>468</v>
      </c>
      <c r="CZ357" s="196" t="s">
        <v>469</v>
      </c>
      <c r="DA357" s="196" t="s">
        <v>470</v>
      </c>
      <c r="DB357" s="196" t="s">
        <v>471</v>
      </c>
      <c r="DC357" s="196" t="s">
        <v>472</v>
      </c>
      <c r="DD357" s="196" t="s">
        <v>473</v>
      </c>
      <c r="DE357" s="196" t="s">
        <v>474</v>
      </c>
      <c r="DF357" s="193" t="s">
        <v>372</v>
      </c>
      <c r="DG357" s="194" t="s">
        <v>526</v>
      </c>
      <c r="DH357" s="194" t="s">
        <v>527</v>
      </c>
      <c r="DI357" s="195" t="s">
        <v>528</v>
      </c>
      <c r="DJ357" s="195" t="s">
        <v>529</v>
      </c>
      <c r="DK357" s="195" t="s">
        <v>530</v>
      </c>
      <c r="DL357" s="195" t="s">
        <v>531</v>
      </c>
      <c r="DM357" s="195" t="s">
        <v>532</v>
      </c>
      <c r="DN357" s="195" t="s">
        <v>533</v>
      </c>
      <c r="DO357" s="195" t="s">
        <v>534</v>
      </c>
      <c r="DP357" s="196" t="s">
        <v>535</v>
      </c>
      <c r="DQ357" s="196" t="s">
        <v>536</v>
      </c>
      <c r="DR357" s="196" t="s">
        <v>537</v>
      </c>
      <c r="DS357" s="196" t="s">
        <v>538</v>
      </c>
      <c r="DT357" s="196" t="s">
        <v>539</v>
      </c>
      <c r="DU357" s="196" t="s">
        <v>540</v>
      </c>
      <c r="DV357" s="196" t="s">
        <v>541</v>
      </c>
      <c r="DW357" s="196" t="s">
        <v>542</v>
      </c>
      <c r="DX357" s="193" t="s">
        <v>372</v>
      </c>
      <c r="DY357" s="194" t="s">
        <v>492</v>
      </c>
      <c r="DZ357" s="194" t="s">
        <v>493</v>
      </c>
      <c r="EA357" s="195" t="s">
        <v>494</v>
      </c>
      <c r="EB357" s="195" t="s">
        <v>495</v>
      </c>
      <c r="EC357" s="195" t="s">
        <v>496</v>
      </c>
      <c r="ED357" s="195" t="s">
        <v>497</v>
      </c>
      <c r="EE357" s="195" t="s">
        <v>498</v>
      </c>
      <c r="EF357" s="195" t="s">
        <v>499</v>
      </c>
      <c r="EG357" s="195" t="s">
        <v>500</v>
      </c>
      <c r="EH357" s="196" t="s">
        <v>501</v>
      </c>
      <c r="EI357" s="196" t="s">
        <v>502</v>
      </c>
      <c r="EJ357" s="196" t="s">
        <v>503</v>
      </c>
      <c r="EK357" s="196" t="s">
        <v>504</v>
      </c>
      <c r="EL357" s="196" t="s">
        <v>505</v>
      </c>
      <c r="EM357" s="196" t="s">
        <v>506</v>
      </c>
      <c r="EN357" s="196" t="s">
        <v>507</v>
      </c>
      <c r="EO357" s="196" t="s">
        <v>508</v>
      </c>
      <c r="EP357" s="193" t="s">
        <v>372</v>
      </c>
      <c r="EQ357" s="194" t="s">
        <v>509</v>
      </c>
      <c r="ER357" s="194" t="s">
        <v>510</v>
      </c>
      <c r="ES357" s="195" t="s">
        <v>511</v>
      </c>
      <c r="ET357" s="195" t="s">
        <v>512</v>
      </c>
      <c r="EU357" s="195" t="s">
        <v>513</v>
      </c>
      <c r="EV357" s="195" t="s">
        <v>514</v>
      </c>
      <c r="EW357" s="195" t="s">
        <v>515</v>
      </c>
      <c r="EX357" s="195" t="s">
        <v>516</v>
      </c>
      <c r="EY357" s="195" t="s">
        <v>517</v>
      </c>
      <c r="EZ357" s="196" t="s">
        <v>518</v>
      </c>
      <c r="FA357" s="196" t="s">
        <v>519</v>
      </c>
      <c r="FB357" s="196" t="s">
        <v>520</v>
      </c>
      <c r="FC357" s="196" t="s">
        <v>521</v>
      </c>
      <c r="FD357" s="196" t="s">
        <v>522</v>
      </c>
      <c r="FE357" s="196" t="s">
        <v>523</v>
      </c>
      <c r="FF357" s="196" t="s">
        <v>524</v>
      </c>
      <c r="FG357" s="196" t="s">
        <v>525</v>
      </c>
      <c r="FH357" s="193" t="s">
        <v>372</v>
      </c>
      <c r="FI357" s="194" t="s">
        <v>526</v>
      </c>
      <c r="FJ357" s="194" t="s">
        <v>527</v>
      </c>
      <c r="FK357" s="195" t="s">
        <v>528</v>
      </c>
      <c r="FL357" s="195" t="s">
        <v>529</v>
      </c>
      <c r="FM357" s="195" t="s">
        <v>530</v>
      </c>
      <c r="FN357" s="195" t="s">
        <v>531</v>
      </c>
      <c r="FO357" s="195" t="s">
        <v>532</v>
      </c>
      <c r="FP357" s="195" t="s">
        <v>533</v>
      </c>
      <c r="FQ357" s="195" t="s">
        <v>534</v>
      </c>
      <c r="FR357" s="196" t="s">
        <v>535</v>
      </c>
      <c r="FS357" s="196" t="s">
        <v>536</v>
      </c>
      <c r="FT357" s="196" t="s">
        <v>537</v>
      </c>
      <c r="FU357" s="196" t="s">
        <v>538</v>
      </c>
      <c r="FV357" s="196" t="s">
        <v>539</v>
      </c>
      <c r="FW357" s="196" t="s">
        <v>540</v>
      </c>
      <c r="FX357" s="196" t="s">
        <v>541</v>
      </c>
      <c r="FY357" s="196" t="s">
        <v>542</v>
      </c>
    </row>
    <row r="358" spans="2:181" x14ac:dyDescent="0.25">
      <c r="B358" s="12">
        <v>271</v>
      </c>
      <c r="C358" s="195"/>
      <c r="D358" s="195"/>
      <c r="E358" s="195"/>
      <c r="F358" s="195"/>
      <c r="G358" s="195"/>
      <c r="H358" s="195"/>
      <c r="I358" s="195"/>
      <c r="J358" s="195"/>
      <c r="K358" s="195"/>
      <c r="L358" s="195"/>
      <c r="M358" s="195"/>
      <c r="N358" s="195"/>
      <c r="O358" s="195"/>
      <c r="P358" s="195"/>
      <c r="Q358" s="195"/>
      <c r="R358" s="195"/>
      <c r="S358" s="195"/>
      <c r="T358" s="12">
        <v>271</v>
      </c>
      <c r="U358" s="195"/>
      <c r="V358" s="195"/>
      <c r="W358" s="195"/>
      <c r="X358" s="195"/>
      <c r="Y358" s="195"/>
      <c r="Z358" s="195"/>
      <c r="AA358" s="195"/>
      <c r="AB358" s="195"/>
      <c r="AC358" s="195"/>
      <c r="AD358" s="195"/>
      <c r="AE358" s="195"/>
      <c r="AF358" s="195"/>
      <c r="AG358" s="195"/>
      <c r="AH358" s="195"/>
      <c r="AI358" s="195"/>
      <c r="AJ358" s="195"/>
      <c r="AK358" s="195"/>
      <c r="AL358" s="12">
        <v>271</v>
      </c>
      <c r="AM358" s="195"/>
      <c r="AN358" s="195"/>
      <c r="AO358" s="195"/>
      <c r="AP358" s="195"/>
      <c r="AQ358" s="195"/>
      <c r="AR358" s="195"/>
      <c r="AS358" s="195"/>
      <c r="AT358" s="195"/>
      <c r="AU358" s="195"/>
      <c r="AV358" s="195"/>
      <c r="AW358" s="195"/>
      <c r="AX358" s="195"/>
      <c r="AY358" s="195"/>
      <c r="AZ358" s="195"/>
      <c r="BA358" s="195"/>
      <c r="BB358" s="195"/>
      <c r="BC358" s="195"/>
      <c r="BD358" s="12">
        <v>271</v>
      </c>
      <c r="BE358" s="195"/>
      <c r="BF358" s="195"/>
      <c r="BG358" s="195"/>
      <c r="BH358" s="195"/>
      <c r="BI358" s="195"/>
      <c r="BJ358" s="195"/>
      <c r="BK358" s="195"/>
      <c r="BL358" s="195"/>
      <c r="BM358" s="195"/>
      <c r="BN358" s="195"/>
      <c r="BO358" s="195"/>
      <c r="BP358" s="195"/>
      <c r="BQ358" s="195"/>
      <c r="BR358" s="195"/>
      <c r="BS358" s="195"/>
      <c r="BT358" s="195"/>
      <c r="BU358" s="195"/>
      <c r="BV358" s="12">
        <v>271</v>
      </c>
      <c r="BW358" s="195"/>
      <c r="BX358" s="195"/>
      <c r="BY358" s="195"/>
      <c r="BZ358" s="195"/>
      <c r="CA358" s="195"/>
      <c r="CB358" s="195"/>
      <c r="CC358" s="195"/>
      <c r="CD358" s="195"/>
      <c r="CE358" s="195"/>
      <c r="CF358" s="195"/>
      <c r="CG358" s="195"/>
      <c r="CH358" s="195"/>
      <c r="CI358" s="195"/>
      <c r="CJ358" s="195"/>
      <c r="CK358" s="195"/>
      <c r="CL358" s="195"/>
      <c r="CM358" s="195"/>
      <c r="CN358" s="12">
        <v>271</v>
      </c>
      <c r="CO358" s="195"/>
      <c r="CP358" s="195"/>
      <c r="CQ358" s="195"/>
      <c r="CR358" s="195"/>
      <c r="CS358" s="195"/>
      <c r="CT358" s="195"/>
      <c r="CU358" s="195"/>
      <c r="CV358" s="195"/>
      <c r="CW358" s="195"/>
      <c r="CX358" s="195"/>
      <c r="CY358" s="195"/>
      <c r="CZ358" s="195"/>
      <c r="DA358" s="195"/>
      <c r="DB358" s="195"/>
      <c r="DC358" s="195"/>
      <c r="DD358" s="195"/>
      <c r="DE358" s="195"/>
      <c r="DF358" s="12">
        <v>271</v>
      </c>
      <c r="DG358" s="195"/>
      <c r="DH358" s="195"/>
      <c r="DI358" s="195"/>
      <c r="DJ358" s="195"/>
      <c r="DK358" s="195"/>
      <c r="DL358" s="195"/>
      <c r="DM358" s="195"/>
      <c r="DN358" s="195"/>
      <c r="DO358" s="195"/>
      <c r="DP358" s="195"/>
      <c r="DQ358" s="195"/>
      <c r="DR358" s="195"/>
      <c r="DS358" s="195"/>
      <c r="DT358" s="195"/>
      <c r="DU358" s="195"/>
      <c r="DV358" s="195"/>
      <c r="DW358" s="195"/>
      <c r="DX358" s="12">
        <v>271</v>
      </c>
      <c r="DY358" s="195"/>
      <c r="DZ358" s="195"/>
      <c r="EA358" s="195"/>
      <c r="EB358" s="195"/>
      <c r="EC358" s="195"/>
      <c r="ED358" s="195"/>
      <c r="EE358" s="195"/>
      <c r="EF358" s="195"/>
      <c r="EG358" s="195"/>
      <c r="EH358" s="195"/>
      <c r="EI358" s="195"/>
      <c r="EJ358" s="195"/>
      <c r="EK358" s="195"/>
      <c r="EL358" s="195"/>
      <c r="EM358" s="195"/>
      <c r="EN358" s="195"/>
      <c r="EO358" s="195"/>
      <c r="EP358" s="12">
        <v>271</v>
      </c>
      <c r="EQ358" s="195"/>
      <c r="ER358" s="195"/>
      <c r="ES358" s="195"/>
      <c r="ET358" s="195"/>
      <c r="EU358" s="195"/>
      <c r="EV358" s="195"/>
      <c r="EW358" s="195"/>
      <c r="EX358" s="195"/>
      <c r="EY358" s="195"/>
      <c r="EZ358" s="195"/>
      <c r="FA358" s="195"/>
      <c r="FB358" s="195"/>
      <c r="FC358" s="195"/>
      <c r="FD358" s="195"/>
      <c r="FE358" s="195"/>
      <c r="FF358" s="195"/>
      <c r="FG358" s="195"/>
      <c r="FH358" s="12">
        <v>271</v>
      </c>
      <c r="FI358" s="195"/>
      <c r="FJ358" s="195"/>
      <c r="FK358" s="195"/>
      <c r="FL358" s="195"/>
      <c r="FM358" s="195"/>
      <c r="FN358" s="195"/>
      <c r="FO358" s="195"/>
      <c r="FP358" s="195"/>
      <c r="FQ358" s="195"/>
      <c r="FR358" s="195"/>
      <c r="FS358" s="195"/>
      <c r="FT358" s="195"/>
      <c r="FU358" s="195"/>
      <c r="FV358" s="195"/>
      <c r="FW358" s="195"/>
      <c r="FX358" s="195"/>
      <c r="FY358" s="195"/>
    </row>
    <row r="359" spans="2:181" x14ac:dyDescent="0.25">
      <c r="B359" s="197">
        <v>272</v>
      </c>
      <c r="C359" s="195"/>
      <c r="D359" s="195"/>
      <c r="E359" s="195"/>
      <c r="F359" s="195"/>
      <c r="G359" s="195"/>
      <c r="H359" s="195"/>
      <c r="I359" s="195"/>
      <c r="J359" s="195"/>
      <c r="K359" s="195"/>
      <c r="L359" s="195"/>
      <c r="M359" s="195"/>
      <c r="N359" s="195"/>
      <c r="O359" s="195"/>
      <c r="P359" s="195"/>
      <c r="Q359" s="195"/>
      <c r="R359" s="195"/>
      <c r="S359" s="195"/>
      <c r="T359" s="197">
        <v>272</v>
      </c>
      <c r="U359" s="195"/>
      <c r="V359" s="195"/>
      <c r="W359" s="195"/>
      <c r="X359" s="195"/>
      <c r="Y359" s="195"/>
      <c r="Z359" s="195"/>
      <c r="AA359" s="195"/>
      <c r="AB359" s="195"/>
      <c r="AC359" s="195"/>
      <c r="AD359" s="195"/>
      <c r="AE359" s="195"/>
      <c r="AF359" s="195"/>
      <c r="AG359" s="195"/>
      <c r="AH359" s="195"/>
      <c r="AI359" s="195"/>
      <c r="AJ359" s="195"/>
      <c r="AK359" s="195"/>
      <c r="AL359" s="197">
        <v>272</v>
      </c>
      <c r="AM359" s="195"/>
      <c r="AN359" s="195"/>
      <c r="AO359" s="195"/>
      <c r="AP359" s="195"/>
      <c r="AQ359" s="195"/>
      <c r="AR359" s="195"/>
      <c r="AS359" s="195"/>
      <c r="AT359" s="195"/>
      <c r="AU359" s="195"/>
      <c r="AV359" s="195"/>
      <c r="AW359" s="195"/>
      <c r="AX359" s="195"/>
      <c r="AY359" s="195"/>
      <c r="AZ359" s="195"/>
      <c r="BA359" s="195"/>
      <c r="BB359" s="195"/>
      <c r="BC359" s="195"/>
      <c r="BD359" s="197">
        <v>272</v>
      </c>
      <c r="BE359" s="195"/>
      <c r="BF359" s="195"/>
      <c r="BG359" s="195"/>
      <c r="BH359" s="195"/>
      <c r="BI359" s="195"/>
      <c r="BJ359" s="195"/>
      <c r="BK359" s="195"/>
      <c r="BL359" s="195"/>
      <c r="BM359" s="195"/>
      <c r="BN359" s="195"/>
      <c r="BO359" s="195"/>
      <c r="BP359" s="195"/>
      <c r="BQ359" s="195"/>
      <c r="BR359" s="195"/>
      <c r="BS359" s="195"/>
      <c r="BT359" s="195"/>
      <c r="BU359" s="195"/>
      <c r="BV359" s="197">
        <v>272</v>
      </c>
      <c r="BW359" s="195"/>
      <c r="BX359" s="195"/>
      <c r="BY359" s="195"/>
      <c r="BZ359" s="195"/>
      <c r="CA359" s="195"/>
      <c r="CB359" s="195"/>
      <c r="CC359" s="195"/>
      <c r="CD359" s="195"/>
      <c r="CE359" s="195"/>
      <c r="CF359" s="195"/>
      <c r="CG359" s="195"/>
      <c r="CH359" s="195"/>
      <c r="CI359" s="195"/>
      <c r="CJ359" s="195"/>
      <c r="CK359" s="195"/>
      <c r="CL359" s="195"/>
      <c r="CM359" s="195"/>
      <c r="CN359" s="197">
        <v>272</v>
      </c>
      <c r="CO359" s="195"/>
      <c r="CP359" s="195"/>
      <c r="CQ359" s="195"/>
      <c r="CR359" s="195"/>
      <c r="CS359" s="195"/>
      <c r="CT359" s="195"/>
      <c r="CU359" s="195"/>
      <c r="CV359" s="195"/>
      <c r="CW359" s="195"/>
      <c r="CX359" s="195"/>
      <c r="CY359" s="195"/>
      <c r="CZ359" s="195"/>
      <c r="DA359" s="195"/>
      <c r="DB359" s="195"/>
      <c r="DC359" s="195"/>
      <c r="DD359" s="195"/>
      <c r="DE359" s="195"/>
      <c r="DF359" s="197">
        <v>272</v>
      </c>
      <c r="DG359" s="195"/>
      <c r="DH359" s="195"/>
      <c r="DI359" s="195"/>
      <c r="DJ359" s="195"/>
      <c r="DK359" s="195"/>
      <c r="DL359" s="195"/>
      <c r="DM359" s="195"/>
      <c r="DN359" s="195"/>
      <c r="DO359" s="195"/>
      <c r="DP359" s="195"/>
      <c r="DQ359" s="195"/>
      <c r="DR359" s="195"/>
      <c r="DS359" s="195"/>
      <c r="DT359" s="195"/>
      <c r="DU359" s="195"/>
      <c r="DV359" s="195"/>
      <c r="DW359" s="195"/>
      <c r="DX359" s="197">
        <v>272</v>
      </c>
      <c r="DY359" s="195"/>
      <c r="DZ359" s="195"/>
      <c r="EA359" s="195"/>
      <c r="EB359" s="195"/>
      <c r="EC359" s="195"/>
      <c r="ED359" s="195"/>
      <c r="EE359" s="195"/>
      <c r="EF359" s="195"/>
      <c r="EG359" s="195"/>
      <c r="EH359" s="195"/>
      <c r="EI359" s="195"/>
      <c r="EJ359" s="195"/>
      <c r="EK359" s="195"/>
      <c r="EL359" s="195"/>
      <c r="EM359" s="195"/>
      <c r="EN359" s="195"/>
      <c r="EO359" s="195"/>
      <c r="EP359" s="197">
        <v>272</v>
      </c>
      <c r="EQ359" s="195"/>
      <c r="ER359" s="195"/>
      <c r="ES359" s="195"/>
      <c r="ET359" s="195"/>
      <c r="EU359" s="195"/>
      <c r="EV359" s="195"/>
      <c r="EW359" s="195"/>
      <c r="EX359" s="195"/>
      <c r="EY359" s="195"/>
      <c r="EZ359" s="195"/>
      <c r="FA359" s="195"/>
      <c r="FB359" s="195"/>
      <c r="FC359" s="195"/>
      <c r="FD359" s="195"/>
      <c r="FE359" s="195"/>
      <c r="FF359" s="195"/>
      <c r="FG359" s="195"/>
      <c r="FH359" s="197">
        <v>272</v>
      </c>
      <c r="FI359" s="195"/>
      <c r="FJ359" s="195"/>
      <c r="FK359" s="195"/>
      <c r="FL359" s="195"/>
      <c r="FM359" s="195"/>
      <c r="FN359" s="195"/>
      <c r="FO359" s="195"/>
      <c r="FP359" s="195"/>
      <c r="FQ359" s="195"/>
      <c r="FR359" s="195"/>
      <c r="FS359" s="195"/>
      <c r="FT359" s="195"/>
      <c r="FU359" s="195"/>
      <c r="FV359" s="195"/>
      <c r="FW359" s="195"/>
      <c r="FX359" s="195"/>
      <c r="FY359" s="195"/>
    </row>
    <row r="360" spans="2:181" x14ac:dyDescent="0.25">
      <c r="B360" s="12">
        <v>273</v>
      </c>
      <c r="C360" s="195"/>
      <c r="D360" s="195"/>
      <c r="E360" s="195"/>
      <c r="F360" s="195"/>
      <c r="G360" s="195"/>
      <c r="H360" s="195"/>
      <c r="I360" s="195"/>
      <c r="J360" s="195"/>
      <c r="K360" s="195"/>
      <c r="L360" s="195"/>
      <c r="M360" s="195"/>
      <c r="N360" s="195"/>
      <c r="O360" s="195"/>
      <c r="P360" s="195"/>
      <c r="Q360" s="195"/>
      <c r="R360" s="195"/>
      <c r="S360" s="195"/>
      <c r="T360" s="12">
        <v>273</v>
      </c>
      <c r="U360" s="195"/>
      <c r="V360" s="195"/>
      <c r="W360" s="195"/>
      <c r="X360" s="195"/>
      <c r="Y360" s="195"/>
      <c r="Z360" s="195"/>
      <c r="AA360" s="195"/>
      <c r="AB360" s="195"/>
      <c r="AC360" s="195"/>
      <c r="AD360" s="195"/>
      <c r="AE360" s="195"/>
      <c r="AF360" s="195"/>
      <c r="AG360" s="195"/>
      <c r="AH360" s="195"/>
      <c r="AI360" s="195"/>
      <c r="AJ360" s="195"/>
      <c r="AK360" s="195"/>
      <c r="AL360" s="12">
        <v>273</v>
      </c>
      <c r="AM360" s="195"/>
      <c r="AN360" s="195"/>
      <c r="AO360" s="195"/>
      <c r="AP360" s="195"/>
      <c r="AQ360" s="195"/>
      <c r="AR360" s="195"/>
      <c r="AS360" s="195"/>
      <c r="AT360" s="195"/>
      <c r="AU360" s="195"/>
      <c r="AV360" s="195"/>
      <c r="AW360" s="195"/>
      <c r="AX360" s="195"/>
      <c r="AY360" s="195"/>
      <c r="AZ360" s="195"/>
      <c r="BA360" s="195"/>
      <c r="BB360" s="195"/>
      <c r="BC360" s="195"/>
      <c r="BD360" s="12">
        <v>273</v>
      </c>
      <c r="BE360" s="195"/>
      <c r="BF360" s="195"/>
      <c r="BG360" s="195"/>
      <c r="BH360" s="195"/>
      <c r="BI360" s="195"/>
      <c r="BJ360" s="195"/>
      <c r="BK360" s="195"/>
      <c r="BL360" s="195"/>
      <c r="BM360" s="195"/>
      <c r="BN360" s="195"/>
      <c r="BO360" s="195"/>
      <c r="BP360" s="195"/>
      <c r="BQ360" s="195"/>
      <c r="BR360" s="195"/>
      <c r="BS360" s="195"/>
      <c r="BT360" s="195"/>
      <c r="BU360" s="195"/>
      <c r="BV360" s="12">
        <v>273</v>
      </c>
      <c r="BW360" s="195"/>
      <c r="BX360" s="195"/>
      <c r="BY360" s="195"/>
      <c r="BZ360" s="195"/>
      <c r="CA360" s="195"/>
      <c r="CB360" s="195"/>
      <c r="CC360" s="195"/>
      <c r="CD360" s="195"/>
      <c r="CE360" s="195"/>
      <c r="CF360" s="195"/>
      <c r="CG360" s="195"/>
      <c r="CH360" s="195"/>
      <c r="CI360" s="195"/>
      <c r="CJ360" s="195"/>
      <c r="CK360" s="195"/>
      <c r="CL360" s="195"/>
      <c r="CM360" s="195"/>
      <c r="CN360" s="12">
        <v>273</v>
      </c>
      <c r="CO360" s="195"/>
      <c r="CP360" s="195"/>
      <c r="CQ360" s="195"/>
      <c r="CR360" s="195"/>
      <c r="CS360" s="195"/>
      <c r="CT360" s="195"/>
      <c r="CU360" s="195"/>
      <c r="CV360" s="195"/>
      <c r="CW360" s="195"/>
      <c r="CX360" s="195"/>
      <c r="CY360" s="195"/>
      <c r="CZ360" s="195"/>
      <c r="DA360" s="195"/>
      <c r="DB360" s="195"/>
      <c r="DC360" s="195"/>
      <c r="DD360" s="195"/>
      <c r="DE360" s="195"/>
      <c r="DF360" s="12">
        <v>273</v>
      </c>
      <c r="DG360" s="195"/>
      <c r="DH360" s="195"/>
      <c r="DI360" s="195"/>
      <c r="DJ360" s="195"/>
      <c r="DK360" s="195"/>
      <c r="DL360" s="195"/>
      <c r="DM360" s="195"/>
      <c r="DN360" s="195"/>
      <c r="DO360" s="195"/>
      <c r="DP360" s="195"/>
      <c r="DQ360" s="195"/>
      <c r="DR360" s="195"/>
      <c r="DS360" s="195"/>
      <c r="DT360" s="195"/>
      <c r="DU360" s="195"/>
      <c r="DV360" s="195"/>
      <c r="DW360" s="195"/>
      <c r="DX360" s="12">
        <v>273</v>
      </c>
      <c r="DY360" s="195"/>
      <c r="DZ360" s="195"/>
      <c r="EA360" s="195"/>
      <c r="EB360" s="195"/>
      <c r="EC360" s="195"/>
      <c r="ED360" s="195"/>
      <c r="EE360" s="195"/>
      <c r="EF360" s="195"/>
      <c r="EG360" s="195"/>
      <c r="EH360" s="195"/>
      <c r="EI360" s="195"/>
      <c r="EJ360" s="195"/>
      <c r="EK360" s="195"/>
      <c r="EL360" s="195"/>
      <c r="EM360" s="195"/>
      <c r="EN360" s="195"/>
      <c r="EO360" s="195"/>
      <c r="EP360" s="12">
        <v>273</v>
      </c>
      <c r="EQ360" s="195"/>
      <c r="ER360" s="195"/>
      <c r="ES360" s="195"/>
      <c r="ET360" s="195"/>
      <c r="EU360" s="195"/>
      <c r="EV360" s="195"/>
      <c r="EW360" s="195"/>
      <c r="EX360" s="195"/>
      <c r="EY360" s="195"/>
      <c r="EZ360" s="195"/>
      <c r="FA360" s="195"/>
      <c r="FB360" s="195"/>
      <c r="FC360" s="195"/>
      <c r="FD360" s="195"/>
      <c r="FE360" s="195"/>
      <c r="FF360" s="195"/>
      <c r="FG360" s="195"/>
      <c r="FH360" s="12">
        <v>273</v>
      </c>
      <c r="FI360" s="195"/>
      <c r="FJ360" s="195"/>
      <c r="FK360" s="195"/>
      <c r="FL360" s="195"/>
      <c r="FM360" s="195"/>
      <c r="FN360" s="195"/>
      <c r="FO360" s="195"/>
      <c r="FP360" s="195"/>
      <c r="FQ360" s="195"/>
      <c r="FR360" s="195"/>
      <c r="FS360" s="195"/>
      <c r="FT360" s="195"/>
      <c r="FU360" s="195"/>
      <c r="FV360" s="195"/>
      <c r="FW360" s="195"/>
      <c r="FX360" s="195"/>
      <c r="FY360" s="195"/>
    </row>
    <row r="361" spans="2:181" x14ac:dyDescent="0.25">
      <c r="B361" s="197">
        <v>274</v>
      </c>
      <c r="C361" s="195"/>
      <c r="D361" s="195"/>
      <c r="E361" s="195"/>
      <c r="F361" s="195"/>
      <c r="G361" s="195"/>
      <c r="H361" s="195"/>
      <c r="I361" s="195"/>
      <c r="J361" s="195"/>
      <c r="K361" s="195"/>
      <c r="L361" s="195"/>
      <c r="M361" s="195"/>
      <c r="N361" s="195"/>
      <c r="O361" s="195"/>
      <c r="P361" s="195"/>
      <c r="Q361" s="195"/>
      <c r="R361" s="195"/>
      <c r="S361" s="195"/>
      <c r="T361" s="197">
        <v>274</v>
      </c>
      <c r="U361" s="195"/>
      <c r="V361" s="195"/>
      <c r="W361" s="195"/>
      <c r="X361" s="195"/>
      <c r="Y361" s="195"/>
      <c r="Z361" s="195"/>
      <c r="AA361" s="195"/>
      <c r="AB361" s="195"/>
      <c r="AC361" s="195"/>
      <c r="AD361" s="195"/>
      <c r="AE361" s="195"/>
      <c r="AF361" s="195"/>
      <c r="AG361" s="195"/>
      <c r="AH361" s="195"/>
      <c r="AI361" s="195"/>
      <c r="AJ361" s="195"/>
      <c r="AK361" s="195"/>
      <c r="AL361" s="197">
        <v>274</v>
      </c>
      <c r="AM361" s="195"/>
      <c r="AN361" s="195"/>
      <c r="AO361" s="195"/>
      <c r="AP361" s="195"/>
      <c r="AQ361" s="195"/>
      <c r="AR361" s="195"/>
      <c r="AS361" s="195"/>
      <c r="AT361" s="195"/>
      <c r="AU361" s="195"/>
      <c r="AV361" s="195"/>
      <c r="AW361" s="195"/>
      <c r="AX361" s="195"/>
      <c r="AY361" s="195"/>
      <c r="AZ361" s="195"/>
      <c r="BA361" s="195"/>
      <c r="BB361" s="195"/>
      <c r="BC361" s="195"/>
      <c r="BD361" s="197">
        <v>274</v>
      </c>
      <c r="BE361" s="195"/>
      <c r="BF361" s="195"/>
      <c r="BG361" s="195"/>
      <c r="BH361" s="195"/>
      <c r="BI361" s="195"/>
      <c r="BJ361" s="195"/>
      <c r="BK361" s="195"/>
      <c r="BL361" s="195"/>
      <c r="BM361" s="195"/>
      <c r="BN361" s="195"/>
      <c r="BO361" s="195"/>
      <c r="BP361" s="195"/>
      <c r="BQ361" s="195"/>
      <c r="BR361" s="195"/>
      <c r="BS361" s="195"/>
      <c r="BT361" s="195"/>
      <c r="BU361" s="195"/>
      <c r="BV361" s="197">
        <v>274</v>
      </c>
      <c r="BW361" s="195"/>
      <c r="BX361" s="195"/>
      <c r="BY361" s="195"/>
      <c r="BZ361" s="195"/>
      <c r="CA361" s="195"/>
      <c r="CB361" s="195"/>
      <c r="CC361" s="195"/>
      <c r="CD361" s="195"/>
      <c r="CE361" s="195"/>
      <c r="CF361" s="195"/>
      <c r="CG361" s="195"/>
      <c r="CH361" s="195"/>
      <c r="CI361" s="195"/>
      <c r="CJ361" s="195"/>
      <c r="CK361" s="195"/>
      <c r="CL361" s="195"/>
      <c r="CM361" s="195"/>
      <c r="CN361" s="197">
        <v>274</v>
      </c>
      <c r="CO361" s="195"/>
      <c r="CP361" s="195"/>
      <c r="CQ361" s="195"/>
      <c r="CR361" s="195"/>
      <c r="CS361" s="195"/>
      <c r="CT361" s="195"/>
      <c r="CU361" s="195"/>
      <c r="CV361" s="195"/>
      <c r="CW361" s="195"/>
      <c r="CX361" s="195"/>
      <c r="CY361" s="195"/>
      <c r="CZ361" s="195"/>
      <c r="DA361" s="195"/>
      <c r="DB361" s="195"/>
      <c r="DC361" s="195"/>
      <c r="DD361" s="195"/>
      <c r="DE361" s="195"/>
      <c r="DF361" s="197">
        <v>274</v>
      </c>
      <c r="DG361" s="195"/>
      <c r="DH361" s="195"/>
      <c r="DI361" s="195"/>
      <c r="DJ361" s="195"/>
      <c r="DK361" s="195"/>
      <c r="DL361" s="195"/>
      <c r="DM361" s="195"/>
      <c r="DN361" s="195"/>
      <c r="DO361" s="195"/>
      <c r="DP361" s="195"/>
      <c r="DQ361" s="195"/>
      <c r="DR361" s="195"/>
      <c r="DS361" s="195"/>
      <c r="DT361" s="195"/>
      <c r="DU361" s="195"/>
      <c r="DV361" s="195"/>
      <c r="DW361" s="195"/>
      <c r="DX361" s="197">
        <v>274</v>
      </c>
      <c r="DY361" s="195"/>
      <c r="DZ361" s="195"/>
      <c r="EA361" s="195"/>
      <c r="EB361" s="195"/>
      <c r="EC361" s="195"/>
      <c r="ED361" s="195"/>
      <c r="EE361" s="195"/>
      <c r="EF361" s="195"/>
      <c r="EG361" s="195"/>
      <c r="EH361" s="195"/>
      <c r="EI361" s="195"/>
      <c r="EJ361" s="195"/>
      <c r="EK361" s="195"/>
      <c r="EL361" s="195"/>
      <c r="EM361" s="195"/>
      <c r="EN361" s="195"/>
      <c r="EO361" s="195"/>
      <c r="EP361" s="197">
        <v>274</v>
      </c>
      <c r="EQ361" s="195"/>
      <c r="ER361" s="195"/>
      <c r="ES361" s="195"/>
      <c r="ET361" s="195"/>
      <c r="EU361" s="195"/>
      <c r="EV361" s="195"/>
      <c r="EW361" s="195"/>
      <c r="EX361" s="195"/>
      <c r="EY361" s="195"/>
      <c r="EZ361" s="195"/>
      <c r="FA361" s="195"/>
      <c r="FB361" s="195"/>
      <c r="FC361" s="195"/>
      <c r="FD361" s="195"/>
      <c r="FE361" s="195"/>
      <c r="FF361" s="195"/>
      <c r="FG361" s="195"/>
      <c r="FH361" s="197">
        <v>274</v>
      </c>
      <c r="FI361" s="195"/>
      <c r="FJ361" s="195"/>
      <c r="FK361" s="195"/>
      <c r="FL361" s="195"/>
      <c r="FM361" s="195"/>
      <c r="FN361" s="195"/>
      <c r="FO361" s="195"/>
      <c r="FP361" s="195"/>
      <c r="FQ361" s="195"/>
      <c r="FR361" s="195"/>
      <c r="FS361" s="195"/>
      <c r="FT361" s="195"/>
      <c r="FU361" s="195"/>
      <c r="FV361" s="195"/>
      <c r="FW361" s="195"/>
      <c r="FX361" s="195"/>
      <c r="FY361" s="195"/>
    </row>
    <row r="362" spans="2:181" x14ac:dyDescent="0.25">
      <c r="B362" s="12">
        <v>275</v>
      </c>
      <c r="C362" s="195"/>
      <c r="D362" s="195"/>
      <c r="E362" s="195"/>
      <c r="F362" s="195"/>
      <c r="G362" s="195"/>
      <c r="H362" s="195"/>
      <c r="I362" s="195"/>
      <c r="J362" s="195"/>
      <c r="K362" s="195"/>
      <c r="L362" s="195"/>
      <c r="M362" s="195"/>
      <c r="N362" s="195"/>
      <c r="O362" s="195"/>
      <c r="P362" s="195"/>
      <c r="Q362" s="195"/>
      <c r="R362" s="195"/>
      <c r="S362" s="195"/>
      <c r="T362" s="12">
        <v>275</v>
      </c>
      <c r="U362" s="195"/>
      <c r="V362" s="195"/>
      <c r="W362" s="195"/>
      <c r="X362" s="195"/>
      <c r="Y362" s="195"/>
      <c r="Z362" s="195"/>
      <c r="AA362" s="195"/>
      <c r="AB362" s="195"/>
      <c r="AC362" s="195"/>
      <c r="AD362" s="195"/>
      <c r="AE362" s="195"/>
      <c r="AF362" s="195"/>
      <c r="AG362" s="195"/>
      <c r="AH362" s="195"/>
      <c r="AI362" s="195"/>
      <c r="AJ362" s="195"/>
      <c r="AK362" s="195"/>
      <c r="AL362" s="12">
        <v>275</v>
      </c>
      <c r="AM362" s="195"/>
      <c r="AN362" s="195"/>
      <c r="AO362" s="195"/>
      <c r="AP362" s="195"/>
      <c r="AQ362" s="195"/>
      <c r="AR362" s="195"/>
      <c r="AS362" s="195"/>
      <c r="AT362" s="195"/>
      <c r="AU362" s="195"/>
      <c r="AV362" s="195"/>
      <c r="AW362" s="195"/>
      <c r="AX362" s="195"/>
      <c r="AY362" s="195"/>
      <c r="AZ362" s="195"/>
      <c r="BA362" s="195"/>
      <c r="BB362" s="195"/>
      <c r="BC362" s="195"/>
      <c r="BD362" s="12">
        <v>275</v>
      </c>
      <c r="BE362" s="195"/>
      <c r="BF362" s="195"/>
      <c r="BG362" s="195"/>
      <c r="BH362" s="195"/>
      <c r="BI362" s="195"/>
      <c r="BJ362" s="195"/>
      <c r="BK362" s="195"/>
      <c r="BL362" s="195"/>
      <c r="BM362" s="195"/>
      <c r="BN362" s="195"/>
      <c r="BO362" s="195"/>
      <c r="BP362" s="195"/>
      <c r="BQ362" s="195"/>
      <c r="BR362" s="195"/>
      <c r="BS362" s="195"/>
      <c r="BT362" s="195"/>
      <c r="BU362" s="195"/>
      <c r="BV362" s="12">
        <v>275</v>
      </c>
      <c r="BW362" s="195"/>
      <c r="BX362" s="195"/>
      <c r="BY362" s="195"/>
      <c r="BZ362" s="195"/>
      <c r="CA362" s="195"/>
      <c r="CB362" s="195"/>
      <c r="CC362" s="195"/>
      <c r="CD362" s="195"/>
      <c r="CE362" s="195"/>
      <c r="CF362" s="195"/>
      <c r="CG362" s="195"/>
      <c r="CH362" s="195"/>
      <c r="CI362" s="195"/>
      <c r="CJ362" s="195"/>
      <c r="CK362" s="195"/>
      <c r="CL362" s="195"/>
      <c r="CM362" s="195"/>
      <c r="CN362" s="12">
        <v>275</v>
      </c>
      <c r="CO362" s="195"/>
      <c r="CP362" s="195"/>
      <c r="CQ362" s="195"/>
      <c r="CR362" s="195"/>
      <c r="CS362" s="195"/>
      <c r="CT362" s="195"/>
      <c r="CU362" s="195"/>
      <c r="CV362" s="195"/>
      <c r="CW362" s="195"/>
      <c r="CX362" s="195"/>
      <c r="CY362" s="195"/>
      <c r="CZ362" s="195"/>
      <c r="DA362" s="195"/>
      <c r="DB362" s="195"/>
      <c r="DC362" s="195"/>
      <c r="DD362" s="195"/>
      <c r="DE362" s="195"/>
      <c r="DF362" s="12">
        <v>275</v>
      </c>
      <c r="DG362" s="195"/>
      <c r="DH362" s="195"/>
      <c r="DI362" s="195"/>
      <c r="DJ362" s="195"/>
      <c r="DK362" s="195"/>
      <c r="DL362" s="195"/>
      <c r="DM362" s="195"/>
      <c r="DN362" s="195"/>
      <c r="DO362" s="195"/>
      <c r="DP362" s="195"/>
      <c r="DQ362" s="195"/>
      <c r="DR362" s="195"/>
      <c r="DS362" s="195"/>
      <c r="DT362" s="195"/>
      <c r="DU362" s="195"/>
      <c r="DV362" s="195"/>
      <c r="DW362" s="195"/>
      <c r="DX362" s="12">
        <v>275</v>
      </c>
      <c r="DY362" s="195"/>
      <c r="DZ362" s="195"/>
      <c r="EA362" s="195"/>
      <c r="EB362" s="195"/>
      <c r="EC362" s="195"/>
      <c r="ED362" s="195"/>
      <c r="EE362" s="195"/>
      <c r="EF362" s="195"/>
      <c r="EG362" s="195"/>
      <c r="EH362" s="195"/>
      <c r="EI362" s="195"/>
      <c r="EJ362" s="195"/>
      <c r="EK362" s="195"/>
      <c r="EL362" s="195"/>
      <c r="EM362" s="195"/>
      <c r="EN362" s="195"/>
      <c r="EO362" s="195"/>
      <c r="EP362" s="12">
        <v>275</v>
      </c>
      <c r="EQ362" s="195"/>
      <c r="ER362" s="195"/>
      <c r="ES362" s="195"/>
      <c r="ET362" s="195"/>
      <c r="EU362" s="195"/>
      <c r="EV362" s="195"/>
      <c r="EW362" s="195"/>
      <c r="EX362" s="195"/>
      <c r="EY362" s="195"/>
      <c r="EZ362" s="195"/>
      <c r="FA362" s="195"/>
      <c r="FB362" s="195"/>
      <c r="FC362" s="195"/>
      <c r="FD362" s="195"/>
      <c r="FE362" s="195"/>
      <c r="FF362" s="195"/>
      <c r="FG362" s="195"/>
      <c r="FH362" s="12">
        <v>275</v>
      </c>
      <c r="FI362" s="195"/>
      <c r="FJ362" s="195"/>
      <c r="FK362" s="195"/>
      <c r="FL362" s="195"/>
      <c r="FM362" s="195"/>
      <c r="FN362" s="195"/>
      <c r="FO362" s="195"/>
      <c r="FP362" s="195"/>
      <c r="FQ362" s="195"/>
      <c r="FR362" s="195"/>
      <c r="FS362" s="195"/>
      <c r="FT362" s="195"/>
      <c r="FU362" s="195"/>
      <c r="FV362" s="195"/>
      <c r="FW362" s="195"/>
      <c r="FX362" s="195"/>
      <c r="FY362" s="195"/>
    </row>
    <row r="363" spans="2:181" x14ac:dyDescent="0.25">
      <c r="B363" s="197">
        <v>276</v>
      </c>
      <c r="C363" s="195"/>
      <c r="D363" s="195"/>
      <c r="E363" s="195"/>
      <c r="F363" s="195"/>
      <c r="G363" s="195"/>
      <c r="H363" s="195"/>
      <c r="I363" s="195"/>
      <c r="J363" s="195"/>
      <c r="K363" s="195"/>
      <c r="L363" s="195"/>
      <c r="M363" s="195"/>
      <c r="N363" s="195"/>
      <c r="O363" s="195"/>
      <c r="P363" s="195"/>
      <c r="Q363" s="195"/>
      <c r="R363" s="195"/>
      <c r="S363" s="195"/>
      <c r="T363" s="197">
        <v>276</v>
      </c>
      <c r="U363" s="195"/>
      <c r="V363" s="195"/>
      <c r="W363" s="195"/>
      <c r="X363" s="195"/>
      <c r="Y363" s="195"/>
      <c r="Z363" s="195"/>
      <c r="AA363" s="195"/>
      <c r="AB363" s="195"/>
      <c r="AC363" s="195"/>
      <c r="AD363" s="195"/>
      <c r="AE363" s="195"/>
      <c r="AF363" s="195"/>
      <c r="AG363" s="195"/>
      <c r="AH363" s="195"/>
      <c r="AI363" s="195"/>
      <c r="AJ363" s="195"/>
      <c r="AK363" s="195"/>
      <c r="AL363" s="197">
        <v>276</v>
      </c>
      <c r="AM363" s="195"/>
      <c r="AN363" s="195"/>
      <c r="AO363" s="195"/>
      <c r="AP363" s="195"/>
      <c r="AQ363" s="195"/>
      <c r="AR363" s="195"/>
      <c r="AS363" s="195"/>
      <c r="AT363" s="195"/>
      <c r="AU363" s="195"/>
      <c r="AV363" s="195"/>
      <c r="AW363" s="195"/>
      <c r="AX363" s="195"/>
      <c r="AY363" s="195"/>
      <c r="AZ363" s="195"/>
      <c r="BA363" s="195"/>
      <c r="BB363" s="195"/>
      <c r="BC363" s="195"/>
      <c r="BD363" s="197">
        <v>276</v>
      </c>
      <c r="BE363" s="195"/>
      <c r="BF363" s="195"/>
      <c r="BG363" s="195"/>
      <c r="BH363" s="195"/>
      <c r="BI363" s="195"/>
      <c r="BJ363" s="195"/>
      <c r="BK363" s="195"/>
      <c r="BL363" s="195"/>
      <c r="BM363" s="195"/>
      <c r="BN363" s="195"/>
      <c r="BO363" s="195"/>
      <c r="BP363" s="195"/>
      <c r="BQ363" s="195"/>
      <c r="BR363" s="195"/>
      <c r="BS363" s="195"/>
      <c r="BT363" s="195"/>
      <c r="BU363" s="195"/>
      <c r="BV363" s="197">
        <v>276</v>
      </c>
      <c r="BW363" s="195"/>
      <c r="BX363" s="195"/>
      <c r="BY363" s="195"/>
      <c r="BZ363" s="195"/>
      <c r="CA363" s="195"/>
      <c r="CB363" s="195"/>
      <c r="CC363" s="195"/>
      <c r="CD363" s="195"/>
      <c r="CE363" s="195"/>
      <c r="CF363" s="195"/>
      <c r="CG363" s="195"/>
      <c r="CH363" s="195"/>
      <c r="CI363" s="195"/>
      <c r="CJ363" s="195"/>
      <c r="CK363" s="195"/>
      <c r="CL363" s="195"/>
      <c r="CM363" s="195"/>
      <c r="CN363" s="197">
        <v>276</v>
      </c>
      <c r="CO363" s="195"/>
      <c r="CP363" s="195"/>
      <c r="CQ363" s="195"/>
      <c r="CR363" s="195"/>
      <c r="CS363" s="195"/>
      <c r="CT363" s="195"/>
      <c r="CU363" s="195"/>
      <c r="CV363" s="195"/>
      <c r="CW363" s="195"/>
      <c r="CX363" s="195"/>
      <c r="CY363" s="195"/>
      <c r="CZ363" s="195"/>
      <c r="DA363" s="195"/>
      <c r="DB363" s="195"/>
      <c r="DC363" s="195"/>
      <c r="DD363" s="195"/>
      <c r="DE363" s="195"/>
      <c r="DF363" s="197">
        <v>276</v>
      </c>
      <c r="DG363" s="195"/>
      <c r="DH363" s="195"/>
      <c r="DI363" s="195"/>
      <c r="DJ363" s="195"/>
      <c r="DK363" s="195"/>
      <c r="DL363" s="195"/>
      <c r="DM363" s="195"/>
      <c r="DN363" s="195"/>
      <c r="DO363" s="195"/>
      <c r="DP363" s="195"/>
      <c r="DQ363" s="195"/>
      <c r="DR363" s="195"/>
      <c r="DS363" s="195"/>
      <c r="DT363" s="195"/>
      <c r="DU363" s="195"/>
      <c r="DV363" s="195"/>
      <c r="DW363" s="195"/>
      <c r="DX363" s="197">
        <v>276</v>
      </c>
      <c r="DY363" s="195"/>
      <c r="DZ363" s="195"/>
      <c r="EA363" s="195"/>
      <c r="EB363" s="195"/>
      <c r="EC363" s="195"/>
      <c r="ED363" s="195"/>
      <c r="EE363" s="195"/>
      <c r="EF363" s="195"/>
      <c r="EG363" s="195"/>
      <c r="EH363" s="195"/>
      <c r="EI363" s="195"/>
      <c r="EJ363" s="195"/>
      <c r="EK363" s="195"/>
      <c r="EL363" s="195"/>
      <c r="EM363" s="195"/>
      <c r="EN363" s="195"/>
      <c r="EO363" s="195"/>
      <c r="EP363" s="197">
        <v>276</v>
      </c>
      <c r="EQ363" s="195"/>
      <c r="ER363" s="195"/>
      <c r="ES363" s="195"/>
      <c r="ET363" s="195"/>
      <c r="EU363" s="195"/>
      <c r="EV363" s="195"/>
      <c r="EW363" s="195"/>
      <c r="EX363" s="195"/>
      <c r="EY363" s="195"/>
      <c r="EZ363" s="195"/>
      <c r="FA363" s="195"/>
      <c r="FB363" s="195"/>
      <c r="FC363" s="195"/>
      <c r="FD363" s="195"/>
      <c r="FE363" s="195"/>
      <c r="FF363" s="195"/>
      <c r="FG363" s="195"/>
      <c r="FH363" s="197">
        <v>276</v>
      </c>
      <c r="FI363" s="195"/>
      <c r="FJ363" s="195"/>
      <c r="FK363" s="195"/>
      <c r="FL363" s="195"/>
      <c r="FM363" s="195"/>
      <c r="FN363" s="195"/>
      <c r="FO363" s="195"/>
      <c r="FP363" s="195"/>
      <c r="FQ363" s="195"/>
      <c r="FR363" s="195"/>
      <c r="FS363" s="195"/>
      <c r="FT363" s="195"/>
      <c r="FU363" s="195"/>
      <c r="FV363" s="195"/>
      <c r="FW363" s="195"/>
      <c r="FX363" s="195"/>
      <c r="FY363" s="195"/>
    </row>
    <row r="364" spans="2:181" x14ac:dyDescent="0.25">
      <c r="B364" s="12">
        <v>277</v>
      </c>
      <c r="C364" s="195"/>
      <c r="D364" s="195"/>
      <c r="E364" s="195"/>
      <c r="F364" s="195"/>
      <c r="G364" s="195"/>
      <c r="H364" s="195"/>
      <c r="I364" s="195"/>
      <c r="J364" s="195"/>
      <c r="K364" s="195"/>
      <c r="L364" s="195"/>
      <c r="M364" s="195"/>
      <c r="N364" s="195"/>
      <c r="O364" s="195"/>
      <c r="P364" s="195"/>
      <c r="Q364" s="195"/>
      <c r="R364" s="195"/>
      <c r="S364" s="195"/>
      <c r="T364" s="12">
        <v>277</v>
      </c>
      <c r="U364" s="195"/>
      <c r="V364" s="195"/>
      <c r="W364" s="195"/>
      <c r="X364" s="195"/>
      <c r="Y364" s="195"/>
      <c r="Z364" s="195"/>
      <c r="AA364" s="195"/>
      <c r="AB364" s="195"/>
      <c r="AC364" s="195"/>
      <c r="AD364" s="195"/>
      <c r="AE364" s="195"/>
      <c r="AF364" s="195"/>
      <c r="AG364" s="195"/>
      <c r="AH364" s="195"/>
      <c r="AI364" s="195"/>
      <c r="AJ364" s="195"/>
      <c r="AK364" s="195"/>
      <c r="AL364" s="12">
        <v>277</v>
      </c>
      <c r="AM364" s="195"/>
      <c r="AN364" s="195"/>
      <c r="AO364" s="195"/>
      <c r="AP364" s="195"/>
      <c r="AQ364" s="195"/>
      <c r="AR364" s="195"/>
      <c r="AS364" s="195"/>
      <c r="AT364" s="195"/>
      <c r="AU364" s="195"/>
      <c r="AV364" s="195"/>
      <c r="AW364" s="195"/>
      <c r="AX364" s="195"/>
      <c r="AY364" s="195"/>
      <c r="AZ364" s="195"/>
      <c r="BA364" s="195"/>
      <c r="BB364" s="195"/>
      <c r="BC364" s="195"/>
      <c r="BD364" s="12">
        <v>277</v>
      </c>
      <c r="BE364" s="195"/>
      <c r="BF364" s="195"/>
      <c r="BG364" s="195"/>
      <c r="BH364" s="195"/>
      <c r="BI364" s="195"/>
      <c r="BJ364" s="195"/>
      <c r="BK364" s="195"/>
      <c r="BL364" s="195"/>
      <c r="BM364" s="195"/>
      <c r="BN364" s="195"/>
      <c r="BO364" s="195"/>
      <c r="BP364" s="195"/>
      <c r="BQ364" s="195"/>
      <c r="BR364" s="195"/>
      <c r="BS364" s="195"/>
      <c r="BT364" s="195"/>
      <c r="BU364" s="195"/>
      <c r="BV364" s="12">
        <v>277</v>
      </c>
      <c r="BW364" s="195"/>
      <c r="BX364" s="195"/>
      <c r="BY364" s="195"/>
      <c r="BZ364" s="195"/>
      <c r="CA364" s="195"/>
      <c r="CB364" s="195"/>
      <c r="CC364" s="195"/>
      <c r="CD364" s="195"/>
      <c r="CE364" s="195"/>
      <c r="CF364" s="195"/>
      <c r="CG364" s="195"/>
      <c r="CH364" s="195"/>
      <c r="CI364" s="195"/>
      <c r="CJ364" s="195"/>
      <c r="CK364" s="195"/>
      <c r="CL364" s="195"/>
      <c r="CM364" s="195"/>
      <c r="CN364" s="12">
        <v>277</v>
      </c>
      <c r="CO364" s="195"/>
      <c r="CP364" s="195"/>
      <c r="CQ364" s="195"/>
      <c r="CR364" s="195"/>
      <c r="CS364" s="195"/>
      <c r="CT364" s="195"/>
      <c r="CU364" s="195"/>
      <c r="CV364" s="195"/>
      <c r="CW364" s="195"/>
      <c r="CX364" s="195"/>
      <c r="CY364" s="195"/>
      <c r="CZ364" s="195"/>
      <c r="DA364" s="195"/>
      <c r="DB364" s="195"/>
      <c r="DC364" s="195"/>
      <c r="DD364" s="195"/>
      <c r="DE364" s="195"/>
      <c r="DF364" s="12">
        <v>277</v>
      </c>
      <c r="DG364" s="195"/>
      <c r="DH364" s="195"/>
      <c r="DI364" s="195"/>
      <c r="DJ364" s="195"/>
      <c r="DK364" s="195"/>
      <c r="DL364" s="195"/>
      <c r="DM364" s="195"/>
      <c r="DN364" s="195"/>
      <c r="DO364" s="195"/>
      <c r="DP364" s="195"/>
      <c r="DQ364" s="195"/>
      <c r="DR364" s="195"/>
      <c r="DS364" s="195"/>
      <c r="DT364" s="195"/>
      <c r="DU364" s="195"/>
      <c r="DV364" s="195"/>
      <c r="DW364" s="195"/>
      <c r="DX364" s="12">
        <v>277</v>
      </c>
      <c r="DY364" s="195"/>
      <c r="DZ364" s="195"/>
      <c r="EA364" s="195"/>
      <c r="EB364" s="195"/>
      <c r="EC364" s="195"/>
      <c r="ED364" s="195"/>
      <c r="EE364" s="195"/>
      <c r="EF364" s="195"/>
      <c r="EG364" s="195"/>
      <c r="EH364" s="195"/>
      <c r="EI364" s="195"/>
      <c r="EJ364" s="195"/>
      <c r="EK364" s="195"/>
      <c r="EL364" s="195"/>
      <c r="EM364" s="195"/>
      <c r="EN364" s="195"/>
      <c r="EO364" s="195"/>
      <c r="EP364" s="12">
        <v>277</v>
      </c>
      <c r="EQ364" s="195"/>
      <c r="ER364" s="195"/>
      <c r="ES364" s="195"/>
      <c r="ET364" s="195"/>
      <c r="EU364" s="195"/>
      <c r="EV364" s="195"/>
      <c r="EW364" s="195"/>
      <c r="EX364" s="195"/>
      <c r="EY364" s="195"/>
      <c r="EZ364" s="195"/>
      <c r="FA364" s="195"/>
      <c r="FB364" s="195"/>
      <c r="FC364" s="195"/>
      <c r="FD364" s="195"/>
      <c r="FE364" s="195"/>
      <c r="FF364" s="195"/>
      <c r="FG364" s="195"/>
      <c r="FH364" s="12">
        <v>277</v>
      </c>
      <c r="FI364" s="195"/>
      <c r="FJ364" s="195"/>
      <c r="FK364" s="195"/>
      <c r="FL364" s="195"/>
      <c r="FM364" s="195"/>
      <c r="FN364" s="195"/>
      <c r="FO364" s="195"/>
      <c r="FP364" s="195"/>
      <c r="FQ364" s="195"/>
      <c r="FR364" s="195"/>
      <c r="FS364" s="195"/>
      <c r="FT364" s="195"/>
      <c r="FU364" s="195"/>
      <c r="FV364" s="195"/>
      <c r="FW364" s="195"/>
      <c r="FX364" s="195"/>
      <c r="FY364" s="195"/>
    </row>
    <row r="365" spans="2:181" x14ac:dyDescent="0.25">
      <c r="B365" s="197">
        <v>278</v>
      </c>
      <c r="C365" s="195"/>
      <c r="D365" s="195"/>
      <c r="E365" s="195"/>
      <c r="F365" s="195"/>
      <c r="G365" s="195"/>
      <c r="H365" s="195"/>
      <c r="I365" s="195"/>
      <c r="J365" s="195"/>
      <c r="K365" s="195"/>
      <c r="L365" s="195"/>
      <c r="M365" s="195"/>
      <c r="N365" s="195"/>
      <c r="O365" s="195"/>
      <c r="P365" s="195"/>
      <c r="Q365" s="195"/>
      <c r="R365" s="195"/>
      <c r="S365" s="195"/>
      <c r="T365" s="197">
        <v>278</v>
      </c>
      <c r="U365" s="195"/>
      <c r="V365" s="195"/>
      <c r="W365" s="195"/>
      <c r="X365" s="195"/>
      <c r="Y365" s="195"/>
      <c r="Z365" s="195"/>
      <c r="AA365" s="195"/>
      <c r="AB365" s="195"/>
      <c r="AC365" s="195"/>
      <c r="AD365" s="195"/>
      <c r="AE365" s="195"/>
      <c r="AF365" s="195"/>
      <c r="AG365" s="195"/>
      <c r="AH365" s="195"/>
      <c r="AI365" s="195"/>
      <c r="AJ365" s="195"/>
      <c r="AK365" s="195"/>
      <c r="AL365" s="197">
        <v>278</v>
      </c>
      <c r="AM365" s="195"/>
      <c r="AN365" s="195"/>
      <c r="AO365" s="195"/>
      <c r="AP365" s="195"/>
      <c r="AQ365" s="195"/>
      <c r="AR365" s="195"/>
      <c r="AS365" s="195"/>
      <c r="AT365" s="195"/>
      <c r="AU365" s="195"/>
      <c r="AV365" s="195"/>
      <c r="AW365" s="195"/>
      <c r="AX365" s="195"/>
      <c r="AY365" s="195"/>
      <c r="AZ365" s="195"/>
      <c r="BA365" s="195"/>
      <c r="BB365" s="195"/>
      <c r="BC365" s="195"/>
      <c r="BD365" s="197">
        <v>278</v>
      </c>
      <c r="BE365" s="195"/>
      <c r="BF365" s="195"/>
      <c r="BG365" s="195"/>
      <c r="BH365" s="195"/>
      <c r="BI365" s="195"/>
      <c r="BJ365" s="195"/>
      <c r="BK365" s="195"/>
      <c r="BL365" s="195"/>
      <c r="BM365" s="195"/>
      <c r="BN365" s="195"/>
      <c r="BO365" s="195"/>
      <c r="BP365" s="195"/>
      <c r="BQ365" s="195"/>
      <c r="BR365" s="195"/>
      <c r="BS365" s="195"/>
      <c r="BT365" s="195"/>
      <c r="BU365" s="195"/>
      <c r="BV365" s="197">
        <v>278</v>
      </c>
      <c r="BW365" s="195"/>
      <c r="BX365" s="195"/>
      <c r="BY365" s="195"/>
      <c r="BZ365" s="195"/>
      <c r="CA365" s="195"/>
      <c r="CB365" s="195"/>
      <c r="CC365" s="195"/>
      <c r="CD365" s="195"/>
      <c r="CE365" s="195"/>
      <c r="CF365" s="195"/>
      <c r="CG365" s="195"/>
      <c r="CH365" s="195"/>
      <c r="CI365" s="195"/>
      <c r="CJ365" s="195"/>
      <c r="CK365" s="195"/>
      <c r="CL365" s="195"/>
      <c r="CM365" s="195"/>
      <c r="CN365" s="197">
        <v>278</v>
      </c>
      <c r="CO365" s="195"/>
      <c r="CP365" s="195"/>
      <c r="CQ365" s="195"/>
      <c r="CR365" s="195"/>
      <c r="CS365" s="195"/>
      <c r="CT365" s="195"/>
      <c r="CU365" s="195"/>
      <c r="CV365" s="195"/>
      <c r="CW365" s="195"/>
      <c r="CX365" s="195"/>
      <c r="CY365" s="195"/>
      <c r="CZ365" s="195"/>
      <c r="DA365" s="195"/>
      <c r="DB365" s="195"/>
      <c r="DC365" s="195"/>
      <c r="DD365" s="195"/>
      <c r="DE365" s="195"/>
      <c r="DF365" s="197">
        <v>278</v>
      </c>
      <c r="DG365" s="195"/>
      <c r="DH365" s="195"/>
      <c r="DI365" s="195"/>
      <c r="DJ365" s="195"/>
      <c r="DK365" s="195"/>
      <c r="DL365" s="195"/>
      <c r="DM365" s="195"/>
      <c r="DN365" s="195"/>
      <c r="DO365" s="195"/>
      <c r="DP365" s="195"/>
      <c r="DQ365" s="195"/>
      <c r="DR365" s="195"/>
      <c r="DS365" s="195"/>
      <c r="DT365" s="195"/>
      <c r="DU365" s="195"/>
      <c r="DV365" s="195"/>
      <c r="DW365" s="195"/>
      <c r="DX365" s="197">
        <v>278</v>
      </c>
      <c r="DY365" s="195"/>
      <c r="DZ365" s="195"/>
      <c r="EA365" s="195"/>
      <c r="EB365" s="195"/>
      <c r="EC365" s="195"/>
      <c r="ED365" s="195"/>
      <c r="EE365" s="195"/>
      <c r="EF365" s="195"/>
      <c r="EG365" s="195"/>
      <c r="EH365" s="195"/>
      <c r="EI365" s="195"/>
      <c r="EJ365" s="195"/>
      <c r="EK365" s="195"/>
      <c r="EL365" s="195"/>
      <c r="EM365" s="195"/>
      <c r="EN365" s="195"/>
      <c r="EO365" s="195"/>
      <c r="EP365" s="197">
        <v>278</v>
      </c>
      <c r="EQ365" s="195"/>
      <c r="ER365" s="195"/>
      <c r="ES365" s="195"/>
      <c r="ET365" s="195"/>
      <c r="EU365" s="195"/>
      <c r="EV365" s="195"/>
      <c r="EW365" s="195"/>
      <c r="EX365" s="195"/>
      <c r="EY365" s="195"/>
      <c r="EZ365" s="195"/>
      <c r="FA365" s="195"/>
      <c r="FB365" s="195"/>
      <c r="FC365" s="195"/>
      <c r="FD365" s="195"/>
      <c r="FE365" s="195"/>
      <c r="FF365" s="195"/>
      <c r="FG365" s="195"/>
      <c r="FH365" s="197">
        <v>278</v>
      </c>
      <c r="FI365" s="195"/>
      <c r="FJ365" s="195"/>
      <c r="FK365" s="195"/>
      <c r="FL365" s="195"/>
      <c r="FM365" s="195"/>
      <c r="FN365" s="195"/>
      <c r="FO365" s="195"/>
      <c r="FP365" s="195"/>
      <c r="FQ365" s="195"/>
      <c r="FR365" s="195"/>
      <c r="FS365" s="195"/>
      <c r="FT365" s="195"/>
      <c r="FU365" s="195"/>
      <c r="FV365" s="195"/>
      <c r="FW365" s="195"/>
      <c r="FX365" s="195"/>
      <c r="FY365" s="195"/>
    </row>
    <row r="366" spans="2:181" x14ac:dyDescent="0.25">
      <c r="B366" s="12">
        <v>279</v>
      </c>
      <c r="C366" s="195"/>
      <c r="D366" s="195"/>
      <c r="E366" s="195"/>
      <c r="F366" s="195"/>
      <c r="G366" s="195"/>
      <c r="H366" s="195"/>
      <c r="I366" s="195"/>
      <c r="J366" s="195"/>
      <c r="K366" s="195"/>
      <c r="L366" s="195"/>
      <c r="M366" s="195"/>
      <c r="N366" s="195"/>
      <c r="O366" s="195"/>
      <c r="P366" s="195"/>
      <c r="Q366" s="195"/>
      <c r="R366" s="195"/>
      <c r="S366" s="195"/>
      <c r="T366" s="12">
        <v>279</v>
      </c>
      <c r="U366" s="195"/>
      <c r="V366" s="195"/>
      <c r="W366" s="195"/>
      <c r="X366" s="195"/>
      <c r="Y366" s="195"/>
      <c r="Z366" s="195"/>
      <c r="AA366" s="195"/>
      <c r="AB366" s="195"/>
      <c r="AC366" s="195"/>
      <c r="AD366" s="195"/>
      <c r="AE366" s="195"/>
      <c r="AF366" s="195"/>
      <c r="AG366" s="195"/>
      <c r="AH366" s="195"/>
      <c r="AI366" s="195"/>
      <c r="AJ366" s="195"/>
      <c r="AK366" s="195"/>
      <c r="AL366" s="12">
        <v>279</v>
      </c>
      <c r="AM366" s="195"/>
      <c r="AN366" s="195"/>
      <c r="AO366" s="195"/>
      <c r="AP366" s="195"/>
      <c r="AQ366" s="195"/>
      <c r="AR366" s="195"/>
      <c r="AS366" s="195"/>
      <c r="AT366" s="195"/>
      <c r="AU366" s="195"/>
      <c r="AV366" s="195"/>
      <c r="AW366" s="195"/>
      <c r="AX366" s="195"/>
      <c r="AY366" s="195"/>
      <c r="AZ366" s="195"/>
      <c r="BA366" s="195"/>
      <c r="BB366" s="195"/>
      <c r="BC366" s="195"/>
      <c r="BD366" s="12">
        <v>279</v>
      </c>
      <c r="BE366" s="195"/>
      <c r="BF366" s="195"/>
      <c r="BG366" s="195"/>
      <c r="BH366" s="195"/>
      <c r="BI366" s="195"/>
      <c r="BJ366" s="195"/>
      <c r="BK366" s="195"/>
      <c r="BL366" s="195"/>
      <c r="BM366" s="195"/>
      <c r="BN366" s="195"/>
      <c r="BO366" s="195"/>
      <c r="BP366" s="195"/>
      <c r="BQ366" s="195"/>
      <c r="BR366" s="195"/>
      <c r="BS366" s="195"/>
      <c r="BT366" s="195"/>
      <c r="BU366" s="195"/>
      <c r="BV366" s="12">
        <v>279</v>
      </c>
      <c r="BW366" s="195"/>
      <c r="BX366" s="195"/>
      <c r="BY366" s="195"/>
      <c r="BZ366" s="195"/>
      <c r="CA366" s="195"/>
      <c r="CB366" s="195"/>
      <c r="CC366" s="195"/>
      <c r="CD366" s="195"/>
      <c r="CE366" s="195"/>
      <c r="CF366" s="195"/>
      <c r="CG366" s="195"/>
      <c r="CH366" s="195"/>
      <c r="CI366" s="195"/>
      <c r="CJ366" s="195"/>
      <c r="CK366" s="195"/>
      <c r="CL366" s="195"/>
      <c r="CM366" s="195"/>
      <c r="CN366" s="12">
        <v>279</v>
      </c>
      <c r="CO366" s="195"/>
      <c r="CP366" s="195"/>
      <c r="CQ366" s="195"/>
      <c r="CR366" s="195"/>
      <c r="CS366" s="195"/>
      <c r="CT366" s="195"/>
      <c r="CU366" s="195"/>
      <c r="CV366" s="195"/>
      <c r="CW366" s="195"/>
      <c r="CX366" s="195"/>
      <c r="CY366" s="195"/>
      <c r="CZ366" s="195"/>
      <c r="DA366" s="195"/>
      <c r="DB366" s="195"/>
      <c r="DC366" s="195"/>
      <c r="DD366" s="195"/>
      <c r="DE366" s="195"/>
      <c r="DF366" s="12">
        <v>279</v>
      </c>
      <c r="DG366" s="195"/>
      <c r="DH366" s="195"/>
      <c r="DI366" s="195"/>
      <c r="DJ366" s="195"/>
      <c r="DK366" s="195"/>
      <c r="DL366" s="195"/>
      <c r="DM366" s="195"/>
      <c r="DN366" s="195"/>
      <c r="DO366" s="195"/>
      <c r="DP366" s="195"/>
      <c r="DQ366" s="195"/>
      <c r="DR366" s="195"/>
      <c r="DS366" s="195"/>
      <c r="DT366" s="195"/>
      <c r="DU366" s="195"/>
      <c r="DV366" s="195"/>
      <c r="DW366" s="195"/>
      <c r="DX366" s="12">
        <v>279</v>
      </c>
      <c r="DY366" s="195"/>
      <c r="DZ366" s="195"/>
      <c r="EA366" s="195"/>
      <c r="EB366" s="195"/>
      <c r="EC366" s="195"/>
      <c r="ED366" s="195"/>
      <c r="EE366" s="195"/>
      <c r="EF366" s="195"/>
      <c r="EG366" s="195"/>
      <c r="EH366" s="195"/>
      <c r="EI366" s="195"/>
      <c r="EJ366" s="195"/>
      <c r="EK366" s="195"/>
      <c r="EL366" s="195"/>
      <c r="EM366" s="195"/>
      <c r="EN366" s="195"/>
      <c r="EO366" s="195"/>
      <c r="EP366" s="12">
        <v>279</v>
      </c>
      <c r="EQ366" s="195"/>
      <c r="ER366" s="195"/>
      <c r="ES366" s="195"/>
      <c r="ET366" s="195"/>
      <c r="EU366" s="195"/>
      <c r="EV366" s="195"/>
      <c r="EW366" s="195"/>
      <c r="EX366" s="195"/>
      <c r="EY366" s="195"/>
      <c r="EZ366" s="195"/>
      <c r="FA366" s="195"/>
      <c r="FB366" s="195"/>
      <c r="FC366" s="195"/>
      <c r="FD366" s="195"/>
      <c r="FE366" s="195"/>
      <c r="FF366" s="195"/>
      <c r="FG366" s="195"/>
      <c r="FH366" s="12">
        <v>279</v>
      </c>
      <c r="FI366" s="195"/>
      <c r="FJ366" s="195"/>
      <c r="FK366" s="195"/>
      <c r="FL366" s="195"/>
      <c r="FM366" s="195"/>
      <c r="FN366" s="195"/>
      <c r="FO366" s="195"/>
      <c r="FP366" s="195"/>
      <c r="FQ366" s="195"/>
      <c r="FR366" s="195"/>
      <c r="FS366" s="195"/>
      <c r="FT366" s="195"/>
      <c r="FU366" s="195"/>
      <c r="FV366" s="195"/>
      <c r="FW366" s="195"/>
      <c r="FX366" s="195"/>
      <c r="FY366" s="195"/>
    </row>
    <row r="367" spans="2:181" x14ac:dyDescent="0.25">
      <c r="B367" s="197">
        <v>280</v>
      </c>
      <c r="C367" s="195"/>
      <c r="D367" s="195"/>
      <c r="E367" s="195"/>
      <c r="F367" s="195"/>
      <c r="G367" s="195"/>
      <c r="H367" s="195"/>
      <c r="I367" s="195"/>
      <c r="J367" s="195"/>
      <c r="K367" s="195"/>
      <c r="L367" s="195"/>
      <c r="M367" s="195"/>
      <c r="N367" s="195"/>
      <c r="O367" s="195"/>
      <c r="P367" s="195"/>
      <c r="Q367" s="195"/>
      <c r="R367" s="195"/>
      <c r="S367" s="195"/>
      <c r="T367" s="197">
        <v>280</v>
      </c>
      <c r="U367" s="195"/>
      <c r="V367" s="195"/>
      <c r="W367" s="195"/>
      <c r="X367" s="195"/>
      <c r="Y367" s="195"/>
      <c r="Z367" s="195"/>
      <c r="AA367" s="195"/>
      <c r="AB367" s="195"/>
      <c r="AC367" s="195"/>
      <c r="AD367" s="195"/>
      <c r="AE367" s="195"/>
      <c r="AF367" s="195"/>
      <c r="AG367" s="195"/>
      <c r="AH367" s="195"/>
      <c r="AI367" s="195"/>
      <c r="AJ367" s="195"/>
      <c r="AK367" s="195"/>
      <c r="AL367" s="197">
        <v>280</v>
      </c>
      <c r="AM367" s="195"/>
      <c r="AN367" s="195"/>
      <c r="AO367" s="195"/>
      <c r="AP367" s="195"/>
      <c r="AQ367" s="195"/>
      <c r="AR367" s="195"/>
      <c r="AS367" s="195"/>
      <c r="AT367" s="195"/>
      <c r="AU367" s="195"/>
      <c r="AV367" s="195"/>
      <c r="AW367" s="195"/>
      <c r="AX367" s="195"/>
      <c r="AY367" s="195"/>
      <c r="AZ367" s="195"/>
      <c r="BA367" s="195"/>
      <c r="BB367" s="195"/>
      <c r="BC367" s="195"/>
      <c r="BD367" s="197">
        <v>280</v>
      </c>
      <c r="BE367" s="195"/>
      <c r="BF367" s="195"/>
      <c r="BG367" s="195"/>
      <c r="BH367" s="195"/>
      <c r="BI367" s="195"/>
      <c r="BJ367" s="195"/>
      <c r="BK367" s="195"/>
      <c r="BL367" s="195"/>
      <c r="BM367" s="195"/>
      <c r="BN367" s="195"/>
      <c r="BO367" s="195"/>
      <c r="BP367" s="195"/>
      <c r="BQ367" s="195"/>
      <c r="BR367" s="195"/>
      <c r="BS367" s="195"/>
      <c r="BT367" s="195"/>
      <c r="BU367" s="195"/>
      <c r="BV367" s="197">
        <v>280</v>
      </c>
      <c r="BW367" s="195"/>
      <c r="BX367" s="195"/>
      <c r="BY367" s="195"/>
      <c r="BZ367" s="195"/>
      <c r="CA367" s="195"/>
      <c r="CB367" s="195"/>
      <c r="CC367" s="195"/>
      <c r="CD367" s="195"/>
      <c r="CE367" s="195"/>
      <c r="CF367" s="195"/>
      <c r="CG367" s="195"/>
      <c r="CH367" s="195"/>
      <c r="CI367" s="195"/>
      <c r="CJ367" s="195"/>
      <c r="CK367" s="195"/>
      <c r="CL367" s="195"/>
      <c r="CM367" s="195"/>
      <c r="CN367" s="197">
        <v>280</v>
      </c>
      <c r="CO367" s="195"/>
      <c r="CP367" s="195"/>
      <c r="CQ367" s="195"/>
      <c r="CR367" s="195"/>
      <c r="CS367" s="195"/>
      <c r="CT367" s="195"/>
      <c r="CU367" s="195"/>
      <c r="CV367" s="195"/>
      <c r="CW367" s="195"/>
      <c r="CX367" s="195"/>
      <c r="CY367" s="195"/>
      <c r="CZ367" s="195"/>
      <c r="DA367" s="195"/>
      <c r="DB367" s="195"/>
      <c r="DC367" s="195"/>
      <c r="DD367" s="195"/>
      <c r="DE367" s="195"/>
      <c r="DF367" s="197">
        <v>280</v>
      </c>
      <c r="DG367" s="195"/>
      <c r="DH367" s="195"/>
      <c r="DI367" s="195"/>
      <c r="DJ367" s="195"/>
      <c r="DK367" s="195"/>
      <c r="DL367" s="195"/>
      <c r="DM367" s="195"/>
      <c r="DN367" s="195"/>
      <c r="DO367" s="195"/>
      <c r="DP367" s="195"/>
      <c r="DQ367" s="195"/>
      <c r="DR367" s="195"/>
      <c r="DS367" s="195"/>
      <c r="DT367" s="195"/>
      <c r="DU367" s="195"/>
      <c r="DV367" s="195"/>
      <c r="DW367" s="195"/>
      <c r="DX367" s="197">
        <v>280</v>
      </c>
      <c r="DY367" s="195"/>
      <c r="DZ367" s="195"/>
      <c r="EA367" s="195"/>
      <c r="EB367" s="195"/>
      <c r="EC367" s="195"/>
      <c r="ED367" s="195"/>
      <c r="EE367" s="195"/>
      <c r="EF367" s="195"/>
      <c r="EG367" s="195"/>
      <c r="EH367" s="195"/>
      <c r="EI367" s="195"/>
      <c r="EJ367" s="195"/>
      <c r="EK367" s="195"/>
      <c r="EL367" s="195"/>
      <c r="EM367" s="195"/>
      <c r="EN367" s="195"/>
      <c r="EO367" s="195"/>
      <c r="EP367" s="197">
        <v>280</v>
      </c>
      <c r="EQ367" s="195"/>
      <c r="ER367" s="195"/>
      <c r="ES367" s="195"/>
      <c r="ET367" s="195"/>
      <c r="EU367" s="195"/>
      <c r="EV367" s="195"/>
      <c r="EW367" s="195"/>
      <c r="EX367" s="195"/>
      <c r="EY367" s="195"/>
      <c r="EZ367" s="195"/>
      <c r="FA367" s="195"/>
      <c r="FB367" s="195"/>
      <c r="FC367" s="195"/>
      <c r="FD367" s="195"/>
      <c r="FE367" s="195"/>
      <c r="FF367" s="195"/>
      <c r="FG367" s="195"/>
      <c r="FH367" s="197">
        <v>280</v>
      </c>
      <c r="FI367" s="195"/>
      <c r="FJ367" s="195"/>
      <c r="FK367" s="195"/>
      <c r="FL367" s="195"/>
      <c r="FM367" s="195"/>
      <c r="FN367" s="195"/>
      <c r="FO367" s="195"/>
      <c r="FP367" s="195"/>
      <c r="FQ367" s="195"/>
      <c r="FR367" s="195"/>
      <c r="FS367" s="195"/>
      <c r="FT367" s="195"/>
      <c r="FU367" s="195"/>
      <c r="FV367" s="195"/>
      <c r="FW367" s="195"/>
      <c r="FX367" s="195"/>
      <c r="FY367" s="195"/>
    </row>
    <row r="368" spans="2:181" x14ac:dyDescent="0.25">
      <c r="B368" s="12">
        <v>281</v>
      </c>
      <c r="C368" s="195"/>
      <c r="D368" s="195"/>
      <c r="E368" s="195"/>
      <c r="F368" s="195"/>
      <c r="G368" s="195"/>
      <c r="H368" s="195"/>
      <c r="I368" s="195"/>
      <c r="J368" s="195"/>
      <c r="K368" s="195"/>
      <c r="L368" s="195"/>
      <c r="M368" s="195"/>
      <c r="N368" s="195"/>
      <c r="O368" s="195"/>
      <c r="P368" s="195"/>
      <c r="Q368" s="195"/>
      <c r="R368" s="195"/>
      <c r="S368" s="195"/>
      <c r="T368" s="12">
        <v>281</v>
      </c>
      <c r="U368" s="195"/>
      <c r="V368" s="195"/>
      <c r="W368" s="195"/>
      <c r="X368" s="195"/>
      <c r="Y368" s="195"/>
      <c r="Z368" s="195"/>
      <c r="AA368" s="195"/>
      <c r="AB368" s="195"/>
      <c r="AC368" s="195"/>
      <c r="AD368" s="195"/>
      <c r="AE368" s="195"/>
      <c r="AF368" s="195"/>
      <c r="AG368" s="195"/>
      <c r="AH368" s="195"/>
      <c r="AI368" s="195"/>
      <c r="AJ368" s="195"/>
      <c r="AK368" s="195"/>
      <c r="AL368" s="12">
        <v>281</v>
      </c>
      <c r="AM368" s="195"/>
      <c r="AN368" s="195"/>
      <c r="AO368" s="195"/>
      <c r="AP368" s="195"/>
      <c r="AQ368" s="195"/>
      <c r="AR368" s="195"/>
      <c r="AS368" s="195"/>
      <c r="AT368" s="195"/>
      <c r="AU368" s="195"/>
      <c r="AV368" s="195"/>
      <c r="AW368" s="195"/>
      <c r="AX368" s="195"/>
      <c r="AY368" s="195"/>
      <c r="AZ368" s="195"/>
      <c r="BA368" s="195"/>
      <c r="BB368" s="195"/>
      <c r="BC368" s="195"/>
      <c r="BD368" s="12">
        <v>281</v>
      </c>
      <c r="BE368" s="195"/>
      <c r="BF368" s="195"/>
      <c r="BG368" s="195"/>
      <c r="BH368" s="195"/>
      <c r="BI368" s="195"/>
      <c r="BJ368" s="195"/>
      <c r="BK368" s="195"/>
      <c r="BL368" s="195"/>
      <c r="BM368" s="195"/>
      <c r="BN368" s="195"/>
      <c r="BO368" s="195"/>
      <c r="BP368" s="195"/>
      <c r="BQ368" s="195"/>
      <c r="BR368" s="195"/>
      <c r="BS368" s="195"/>
      <c r="BT368" s="195"/>
      <c r="BU368" s="195"/>
      <c r="BV368" s="12">
        <v>281</v>
      </c>
      <c r="BW368" s="195"/>
      <c r="BX368" s="195"/>
      <c r="BY368" s="195"/>
      <c r="BZ368" s="195"/>
      <c r="CA368" s="195"/>
      <c r="CB368" s="195"/>
      <c r="CC368" s="195"/>
      <c r="CD368" s="195"/>
      <c r="CE368" s="195"/>
      <c r="CF368" s="195"/>
      <c r="CG368" s="195"/>
      <c r="CH368" s="195"/>
      <c r="CI368" s="195"/>
      <c r="CJ368" s="195"/>
      <c r="CK368" s="195"/>
      <c r="CL368" s="195"/>
      <c r="CM368" s="195"/>
      <c r="CN368" s="12">
        <v>281</v>
      </c>
      <c r="CO368" s="195"/>
      <c r="CP368" s="195"/>
      <c r="CQ368" s="195"/>
      <c r="CR368" s="195"/>
      <c r="CS368" s="195"/>
      <c r="CT368" s="195"/>
      <c r="CU368" s="195"/>
      <c r="CV368" s="195"/>
      <c r="CW368" s="195"/>
      <c r="CX368" s="195"/>
      <c r="CY368" s="195"/>
      <c r="CZ368" s="195"/>
      <c r="DA368" s="195"/>
      <c r="DB368" s="195"/>
      <c r="DC368" s="195"/>
      <c r="DD368" s="195"/>
      <c r="DE368" s="195"/>
      <c r="DF368" s="12">
        <v>281</v>
      </c>
      <c r="DG368" s="195"/>
      <c r="DH368" s="195"/>
      <c r="DI368" s="195"/>
      <c r="DJ368" s="195"/>
      <c r="DK368" s="195"/>
      <c r="DL368" s="195"/>
      <c r="DM368" s="195"/>
      <c r="DN368" s="195"/>
      <c r="DO368" s="195"/>
      <c r="DP368" s="195"/>
      <c r="DQ368" s="195"/>
      <c r="DR368" s="195"/>
      <c r="DS368" s="195"/>
      <c r="DT368" s="195"/>
      <c r="DU368" s="195"/>
      <c r="DV368" s="195"/>
      <c r="DW368" s="195"/>
      <c r="DX368" s="12">
        <v>281</v>
      </c>
      <c r="DY368" s="195"/>
      <c r="DZ368" s="195"/>
      <c r="EA368" s="195"/>
      <c r="EB368" s="195"/>
      <c r="EC368" s="195"/>
      <c r="ED368" s="195"/>
      <c r="EE368" s="195"/>
      <c r="EF368" s="195"/>
      <c r="EG368" s="195"/>
      <c r="EH368" s="195"/>
      <c r="EI368" s="195"/>
      <c r="EJ368" s="195"/>
      <c r="EK368" s="195"/>
      <c r="EL368" s="195"/>
      <c r="EM368" s="195"/>
      <c r="EN368" s="195"/>
      <c r="EO368" s="195"/>
      <c r="EP368" s="12">
        <v>281</v>
      </c>
      <c r="EQ368" s="195"/>
      <c r="ER368" s="195"/>
      <c r="ES368" s="195"/>
      <c r="ET368" s="195"/>
      <c r="EU368" s="195"/>
      <c r="EV368" s="195"/>
      <c r="EW368" s="195"/>
      <c r="EX368" s="195"/>
      <c r="EY368" s="195"/>
      <c r="EZ368" s="195"/>
      <c r="FA368" s="195"/>
      <c r="FB368" s="195"/>
      <c r="FC368" s="195"/>
      <c r="FD368" s="195"/>
      <c r="FE368" s="195"/>
      <c r="FF368" s="195"/>
      <c r="FG368" s="195"/>
      <c r="FH368" s="12">
        <v>281</v>
      </c>
      <c r="FI368" s="195"/>
      <c r="FJ368" s="195"/>
      <c r="FK368" s="195"/>
      <c r="FL368" s="195"/>
      <c r="FM368" s="195"/>
      <c r="FN368" s="195"/>
      <c r="FO368" s="195"/>
      <c r="FP368" s="195"/>
      <c r="FQ368" s="195"/>
      <c r="FR368" s="195"/>
      <c r="FS368" s="195"/>
      <c r="FT368" s="195"/>
      <c r="FU368" s="195"/>
      <c r="FV368" s="195"/>
      <c r="FW368" s="195"/>
      <c r="FX368" s="195"/>
      <c r="FY368" s="195"/>
    </row>
    <row r="369" spans="2:181" x14ac:dyDescent="0.25">
      <c r="B369" s="197">
        <v>282</v>
      </c>
      <c r="C369" s="195"/>
      <c r="D369" s="195"/>
      <c r="E369" s="195"/>
      <c r="F369" s="195"/>
      <c r="G369" s="195"/>
      <c r="H369" s="195"/>
      <c r="I369" s="195"/>
      <c r="J369" s="195"/>
      <c r="K369" s="195"/>
      <c r="L369" s="195"/>
      <c r="M369" s="195"/>
      <c r="N369" s="195"/>
      <c r="O369" s="195"/>
      <c r="P369" s="195"/>
      <c r="Q369" s="195"/>
      <c r="R369" s="195"/>
      <c r="S369" s="195"/>
      <c r="T369" s="197">
        <v>282</v>
      </c>
      <c r="U369" s="195"/>
      <c r="V369" s="195"/>
      <c r="W369" s="195"/>
      <c r="X369" s="195"/>
      <c r="Y369" s="195"/>
      <c r="Z369" s="195"/>
      <c r="AA369" s="195"/>
      <c r="AB369" s="195"/>
      <c r="AC369" s="195"/>
      <c r="AD369" s="195"/>
      <c r="AE369" s="195"/>
      <c r="AF369" s="195"/>
      <c r="AG369" s="195"/>
      <c r="AH369" s="195"/>
      <c r="AI369" s="195"/>
      <c r="AJ369" s="195"/>
      <c r="AK369" s="195"/>
      <c r="AL369" s="197">
        <v>282</v>
      </c>
      <c r="AM369" s="195"/>
      <c r="AN369" s="195"/>
      <c r="AO369" s="195"/>
      <c r="AP369" s="195"/>
      <c r="AQ369" s="195"/>
      <c r="AR369" s="195"/>
      <c r="AS369" s="195"/>
      <c r="AT369" s="195"/>
      <c r="AU369" s="195"/>
      <c r="AV369" s="195"/>
      <c r="AW369" s="195"/>
      <c r="AX369" s="195"/>
      <c r="AY369" s="195"/>
      <c r="AZ369" s="195"/>
      <c r="BA369" s="195"/>
      <c r="BB369" s="195"/>
      <c r="BC369" s="195"/>
      <c r="BD369" s="197">
        <v>282</v>
      </c>
      <c r="BE369" s="195"/>
      <c r="BF369" s="195"/>
      <c r="BG369" s="195"/>
      <c r="BH369" s="195"/>
      <c r="BI369" s="195"/>
      <c r="BJ369" s="195"/>
      <c r="BK369" s="195"/>
      <c r="BL369" s="195"/>
      <c r="BM369" s="195"/>
      <c r="BN369" s="195"/>
      <c r="BO369" s="195"/>
      <c r="BP369" s="195"/>
      <c r="BQ369" s="195"/>
      <c r="BR369" s="195"/>
      <c r="BS369" s="195"/>
      <c r="BT369" s="195"/>
      <c r="BU369" s="195"/>
      <c r="BV369" s="197">
        <v>282</v>
      </c>
      <c r="BW369" s="195"/>
      <c r="BX369" s="195"/>
      <c r="BY369" s="195"/>
      <c r="BZ369" s="195"/>
      <c r="CA369" s="195"/>
      <c r="CB369" s="195"/>
      <c r="CC369" s="195"/>
      <c r="CD369" s="195"/>
      <c r="CE369" s="195"/>
      <c r="CF369" s="195"/>
      <c r="CG369" s="195"/>
      <c r="CH369" s="195"/>
      <c r="CI369" s="195"/>
      <c r="CJ369" s="195"/>
      <c r="CK369" s="195"/>
      <c r="CL369" s="195"/>
      <c r="CM369" s="195"/>
      <c r="CN369" s="197">
        <v>282</v>
      </c>
      <c r="CO369" s="195"/>
      <c r="CP369" s="195"/>
      <c r="CQ369" s="195"/>
      <c r="CR369" s="195"/>
      <c r="CS369" s="195"/>
      <c r="CT369" s="195"/>
      <c r="CU369" s="195"/>
      <c r="CV369" s="195"/>
      <c r="CW369" s="195"/>
      <c r="CX369" s="195"/>
      <c r="CY369" s="195"/>
      <c r="CZ369" s="195"/>
      <c r="DA369" s="195"/>
      <c r="DB369" s="195"/>
      <c r="DC369" s="195"/>
      <c r="DD369" s="195"/>
      <c r="DE369" s="195"/>
      <c r="DF369" s="197">
        <v>282</v>
      </c>
      <c r="DG369" s="195"/>
      <c r="DH369" s="195"/>
      <c r="DI369" s="195"/>
      <c r="DJ369" s="195"/>
      <c r="DK369" s="195"/>
      <c r="DL369" s="195"/>
      <c r="DM369" s="195"/>
      <c r="DN369" s="195"/>
      <c r="DO369" s="195"/>
      <c r="DP369" s="195"/>
      <c r="DQ369" s="195"/>
      <c r="DR369" s="195"/>
      <c r="DS369" s="195"/>
      <c r="DT369" s="195"/>
      <c r="DU369" s="195"/>
      <c r="DV369" s="195"/>
      <c r="DW369" s="195"/>
      <c r="DX369" s="197">
        <v>282</v>
      </c>
      <c r="DY369" s="195"/>
      <c r="DZ369" s="195"/>
      <c r="EA369" s="195"/>
      <c r="EB369" s="195"/>
      <c r="EC369" s="195"/>
      <c r="ED369" s="195"/>
      <c r="EE369" s="195"/>
      <c r="EF369" s="195"/>
      <c r="EG369" s="195"/>
      <c r="EH369" s="195"/>
      <c r="EI369" s="195"/>
      <c r="EJ369" s="195"/>
      <c r="EK369" s="195"/>
      <c r="EL369" s="195"/>
      <c r="EM369" s="195"/>
      <c r="EN369" s="195"/>
      <c r="EO369" s="195"/>
      <c r="EP369" s="197">
        <v>282</v>
      </c>
      <c r="EQ369" s="195"/>
      <c r="ER369" s="195"/>
      <c r="ES369" s="195"/>
      <c r="ET369" s="195"/>
      <c r="EU369" s="195"/>
      <c r="EV369" s="195"/>
      <c r="EW369" s="195"/>
      <c r="EX369" s="195"/>
      <c r="EY369" s="195"/>
      <c r="EZ369" s="195"/>
      <c r="FA369" s="195"/>
      <c r="FB369" s="195"/>
      <c r="FC369" s="195"/>
      <c r="FD369" s="195"/>
      <c r="FE369" s="195"/>
      <c r="FF369" s="195"/>
      <c r="FG369" s="195"/>
      <c r="FH369" s="197">
        <v>282</v>
      </c>
      <c r="FI369" s="195"/>
      <c r="FJ369" s="195"/>
      <c r="FK369" s="195"/>
      <c r="FL369" s="195"/>
      <c r="FM369" s="195"/>
      <c r="FN369" s="195"/>
      <c r="FO369" s="195"/>
      <c r="FP369" s="195"/>
      <c r="FQ369" s="195"/>
      <c r="FR369" s="195"/>
      <c r="FS369" s="195"/>
      <c r="FT369" s="195"/>
      <c r="FU369" s="195"/>
      <c r="FV369" s="195"/>
      <c r="FW369" s="195"/>
      <c r="FX369" s="195"/>
      <c r="FY369" s="195"/>
    </row>
    <row r="370" spans="2:181" x14ac:dyDescent="0.25">
      <c r="B370" s="12">
        <v>283</v>
      </c>
      <c r="C370" s="195"/>
      <c r="D370" s="195"/>
      <c r="E370" s="195"/>
      <c r="F370" s="195"/>
      <c r="G370" s="195"/>
      <c r="H370" s="195"/>
      <c r="I370" s="195"/>
      <c r="J370" s="195"/>
      <c r="K370" s="195"/>
      <c r="L370" s="195"/>
      <c r="M370" s="195"/>
      <c r="N370" s="195"/>
      <c r="O370" s="195"/>
      <c r="P370" s="195"/>
      <c r="Q370" s="195"/>
      <c r="R370" s="195"/>
      <c r="S370" s="195"/>
      <c r="T370" s="12">
        <v>283</v>
      </c>
      <c r="U370" s="195"/>
      <c r="V370" s="195"/>
      <c r="W370" s="195"/>
      <c r="X370" s="195"/>
      <c r="Y370" s="195"/>
      <c r="Z370" s="195"/>
      <c r="AA370" s="195"/>
      <c r="AB370" s="195"/>
      <c r="AC370" s="195"/>
      <c r="AD370" s="195"/>
      <c r="AE370" s="195"/>
      <c r="AF370" s="195"/>
      <c r="AG370" s="195"/>
      <c r="AH370" s="195"/>
      <c r="AI370" s="195"/>
      <c r="AJ370" s="195"/>
      <c r="AK370" s="195"/>
      <c r="AL370" s="12">
        <v>283</v>
      </c>
      <c r="AM370" s="195"/>
      <c r="AN370" s="195"/>
      <c r="AO370" s="195"/>
      <c r="AP370" s="195"/>
      <c r="AQ370" s="195"/>
      <c r="AR370" s="195"/>
      <c r="AS370" s="195"/>
      <c r="AT370" s="195"/>
      <c r="AU370" s="195"/>
      <c r="AV370" s="195"/>
      <c r="AW370" s="195"/>
      <c r="AX370" s="195"/>
      <c r="AY370" s="195"/>
      <c r="AZ370" s="195"/>
      <c r="BA370" s="195"/>
      <c r="BB370" s="195"/>
      <c r="BC370" s="195"/>
      <c r="BD370" s="12">
        <v>283</v>
      </c>
      <c r="BE370" s="195"/>
      <c r="BF370" s="195"/>
      <c r="BG370" s="195"/>
      <c r="BH370" s="195"/>
      <c r="BI370" s="195"/>
      <c r="BJ370" s="195"/>
      <c r="BK370" s="195"/>
      <c r="BL370" s="195"/>
      <c r="BM370" s="195"/>
      <c r="BN370" s="195"/>
      <c r="BO370" s="195"/>
      <c r="BP370" s="195"/>
      <c r="BQ370" s="195"/>
      <c r="BR370" s="195"/>
      <c r="BS370" s="195"/>
      <c r="BT370" s="195"/>
      <c r="BU370" s="195"/>
      <c r="BV370" s="12">
        <v>283</v>
      </c>
      <c r="BW370" s="195"/>
      <c r="BX370" s="195"/>
      <c r="BY370" s="195"/>
      <c r="BZ370" s="195"/>
      <c r="CA370" s="195"/>
      <c r="CB370" s="195"/>
      <c r="CC370" s="195"/>
      <c r="CD370" s="195"/>
      <c r="CE370" s="195"/>
      <c r="CF370" s="195"/>
      <c r="CG370" s="195"/>
      <c r="CH370" s="195"/>
      <c r="CI370" s="195"/>
      <c r="CJ370" s="195"/>
      <c r="CK370" s="195"/>
      <c r="CL370" s="195"/>
      <c r="CM370" s="195"/>
      <c r="CN370" s="12">
        <v>283</v>
      </c>
      <c r="CO370" s="195"/>
      <c r="CP370" s="195"/>
      <c r="CQ370" s="195"/>
      <c r="CR370" s="195"/>
      <c r="CS370" s="195"/>
      <c r="CT370" s="195"/>
      <c r="CU370" s="195"/>
      <c r="CV370" s="195"/>
      <c r="CW370" s="195"/>
      <c r="CX370" s="195"/>
      <c r="CY370" s="195"/>
      <c r="CZ370" s="195"/>
      <c r="DA370" s="195"/>
      <c r="DB370" s="195"/>
      <c r="DC370" s="195"/>
      <c r="DD370" s="195"/>
      <c r="DE370" s="195"/>
      <c r="DF370" s="12">
        <v>283</v>
      </c>
      <c r="DG370" s="195"/>
      <c r="DH370" s="195"/>
      <c r="DI370" s="195"/>
      <c r="DJ370" s="195"/>
      <c r="DK370" s="195"/>
      <c r="DL370" s="195"/>
      <c r="DM370" s="195"/>
      <c r="DN370" s="195"/>
      <c r="DO370" s="195"/>
      <c r="DP370" s="195"/>
      <c r="DQ370" s="195"/>
      <c r="DR370" s="195"/>
      <c r="DS370" s="195"/>
      <c r="DT370" s="195"/>
      <c r="DU370" s="195"/>
      <c r="DV370" s="195"/>
      <c r="DW370" s="195"/>
      <c r="DX370" s="12">
        <v>283</v>
      </c>
      <c r="DY370" s="195"/>
      <c r="DZ370" s="195"/>
      <c r="EA370" s="195"/>
      <c r="EB370" s="195"/>
      <c r="EC370" s="195"/>
      <c r="ED370" s="195"/>
      <c r="EE370" s="195"/>
      <c r="EF370" s="195"/>
      <c r="EG370" s="195"/>
      <c r="EH370" s="195"/>
      <c r="EI370" s="195"/>
      <c r="EJ370" s="195"/>
      <c r="EK370" s="195"/>
      <c r="EL370" s="195"/>
      <c r="EM370" s="195"/>
      <c r="EN370" s="195"/>
      <c r="EO370" s="195"/>
      <c r="EP370" s="12">
        <v>283</v>
      </c>
      <c r="EQ370" s="195"/>
      <c r="ER370" s="195"/>
      <c r="ES370" s="195"/>
      <c r="ET370" s="195"/>
      <c r="EU370" s="195"/>
      <c r="EV370" s="195"/>
      <c r="EW370" s="195"/>
      <c r="EX370" s="195"/>
      <c r="EY370" s="195"/>
      <c r="EZ370" s="195"/>
      <c r="FA370" s="195"/>
      <c r="FB370" s="195"/>
      <c r="FC370" s="195"/>
      <c r="FD370" s="195"/>
      <c r="FE370" s="195"/>
      <c r="FF370" s="195"/>
      <c r="FG370" s="195"/>
      <c r="FH370" s="12">
        <v>283</v>
      </c>
      <c r="FI370" s="195"/>
      <c r="FJ370" s="195"/>
      <c r="FK370" s="195"/>
      <c r="FL370" s="195"/>
      <c r="FM370" s="195"/>
      <c r="FN370" s="195"/>
      <c r="FO370" s="195"/>
      <c r="FP370" s="195"/>
      <c r="FQ370" s="195"/>
      <c r="FR370" s="195"/>
      <c r="FS370" s="195"/>
      <c r="FT370" s="195"/>
      <c r="FU370" s="195"/>
      <c r="FV370" s="195"/>
      <c r="FW370" s="195"/>
      <c r="FX370" s="195"/>
      <c r="FY370" s="195"/>
    </row>
    <row r="371" spans="2:181" x14ac:dyDescent="0.25">
      <c r="B371" s="197">
        <v>284</v>
      </c>
      <c r="C371" s="195"/>
      <c r="D371" s="195"/>
      <c r="E371" s="195"/>
      <c r="F371" s="195"/>
      <c r="G371" s="195"/>
      <c r="H371" s="195"/>
      <c r="I371" s="195"/>
      <c r="J371" s="195"/>
      <c r="K371" s="195"/>
      <c r="L371" s="195"/>
      <c r="M371" s="195"/>
      <c r="N371" s="195"/>
      <c r="O371" s="195"/>
      <c r="P371" s="195"/>
      <c r="Q371" s="195"/>
      <c r="R371" s="195"/>
      <c r="S371" s="195"/>
      <c r="T371" s="197">
        <v>284</v>
      </c>
      <c r="U371" s="195"/>
      <c r="V371" s="195"/>
      <c r="W371" s="195"/>
      <c r="X371" s="195"/>
      <c r="Y371" s="195"/>
      <c r="Z371" s="195"/>
      <c r="AA371" s="195"/>
      <c r="AB371" s="195"/>
      <c r="AC371" s="195"/>
      <c r="AD371" s="195"/>
      <c r="AE371" s="195"/>
      <c r="AF371" s="195"/>
      <c r="AG371" s="195"/>
      <c r="AH371" s="195"/>
      <c r="AI371" s="195"/>
      <c r="AJ371" s="195"/>
      <c r="AK371" s="195"/>
      <c r="AL371" s="197">
        <v>284</v>
      </c>
      <c r="AM371" s="195"/>
      <c r="AN371" s="195"/>
      <c r="AO371" s="195"/>
      <c r="AP371" s="195"/>
      <c r="AQ371" s="195"/>
      <c r="AR371" s="195"/>
      <c r="AS371" s="195"/>
      <c r="AT371" s="195"/>
      <c r="AU371" s="195"/>
      <c r="AV371" s="195"/>
      <c r="AW371" s="195"/>
      <c r="AX371" s="195"/>
      <c r="AY371" s="195"/>
      <c r="AZ371" s="195"/>
      <c r="BA371" s="195"/>
      <c r="BB371" s="195"/>
      <c r="BC371" s="195"/>
      <c r="BD371" s="197">
        <v>284</v>
      </c>
      <c r="BE371" s="195"/>
      <c r="BF371" s="195"/>
      <c r="BG371" s="195"/>
      <c r="BH371" s="195"/>
      <c r="BI371" s="195"/>
      <c r="BJ371" s="195"/>
      <c r="BK371" s="195"/>
      <c r="BL371" s="195"/>
      <c r="BM371" s="195"/>
      <c r="BN371" s="195"/>
      <c r="BO371" s="195"/>
      <c r="BP371" s="195"/>
      <c r="BQ371" s="195"/>
      <c r="BR371" s="195"/>
      <c r="BS371" s="195"/>
      <c r="BT371" s="195"/>
      <c r="BU371" s="195"/>
      <c r="BV371" s="197">
        <v>284</v>
      </c>
      <c r="BW371" s="195"/>
      <c r="BX371" s="195"/>
      <c r="BY371" s="195"/>
      <c r="BZ371" s="195"/>
      <c r="CA371" s="195"/>
      <c r="CB371" s="195"/>
      <c r="CC371" s="195"/>
      <c r="CD371" s="195"/>
      <c r="CE371" s="195"/>
      <c r="CF371" s="195"/>
      <c r="CG371" s="195"/>
      <c r="CH371" s="195"/>
      <c r="CI371" s="195"/>
      <c r="CJ371" s="195"/>
      <c r="CK371" s="195"/>
      <c r="CL371" s="195"/>
      <c r="CM371" s="195"/>
      <c r="CN371" s="197">
        <v>284</v>
      </c>
      <c r="CO371" s="195"/>
      <c r="CP371" s="195"/>
      <c r="CQ371" s="195"/>
      <c r="CR371" s="195"/>
      <c r="CS371" s="195"/>
      <c r="CT371" s="195"/>
      <c r="CU371" s="195"/>
      <c r="CV371" s="195"/>
      <c r="CW371" s="195"/>
      <c r="CX371" s="195"/>
      <c r="CY371" s="195"/>
      <c r="CZ371" s="195"/>
      <c r="DA371" s="195"/>
      <c r="DB371" s="195"/>
      <c r="DC371" s="195"/>
      <c r="DD371" s="195"/>
      <c r="DE371" s="195"/>
      <c r="DF371" s="197">
        <v>284</v>
      </c>
      <c r="DG371" s="195"/>
      <c r="DH371" s="195"/>
      <c r="DI371" s="195"/>
      <c r="DJ371" s="195"/>
      <c r="DK371" s="195"/>
      <c r="DL371" s="195"/>
      <c r="DM371" s="195"/>
      <c r="DN371" s="195"/>
      <c r="DO371" s="195"/>
      <c r="DP371" s="195"/>
      <c r="DQ371" s="195"/>
      <c r="DR371" s="195"/>
      <c r="DS371" s="195"/>
      <c r="DT371" s="195"/>
      <c r="DU371" s="195"/>
      <c r="DV371" s="195"/>
      <c r="DW371" s="195"/>
      <c r="DX371" s="197">
        <v>284</v>
      </c>
      <c r="DY371" s="195"/>
      <c r="DZ371" s="195"/>
      <c r="EA371" s="195"/>
      <c r="EB371" s="195"/>
      <c r="EC371" s="195"/>
      <c r="ED371" s="195"/>
      <c r="EE371" s="195"/>
      <c r="EF371" s="195"/>
      <c r="EG371" s="195"/>
      <c r="EH371" s="195"/>
      <c r="EI371" s="195"/>
      <c r="EJ371" s="195"/>
      <c r="EK371" s="195"/>
      <c r="EL371" s="195"/>
      <c r="EM371" s="195"/>
      <c r="EN371" s="195"/>
      <c r="EO371" s="195"/>
      <c r="EP371" s="197">
        <v>284</v>
      </c>
      <c r="EQ371" s="195"/>
      <c r="ER371" s="195"/>
      <c r="ES371" s="195"/>
      <c r="ET371" s="195"/>
      <c r="EU371" s="195"/>
      <c r="EV371" s="195"/>
      <c r="EW371" s="195"/>
      <c r="EX371" s="195"/>
      <c r="EY371" s="195"/>
      <c r="EZ371" s="195"/>
      <c r="FA371" s="195"/>
      <c r="FB371" s="195"/>
      <c r="FC371" s="195"/>
      <c r="FD371" s="195"/>
      <c r="FE371" s="195"/>
      <c r="FF371" s="195"/>
      <c r="FG371" s="195"/>
      <c r="FH371" s="197">
        <v>284</v>
      </c>
      <c r="FI371" s="195"/>
      <c r="FJ371" s="195"/>
      <c r="FK371" s="195"/>
      <c r="FL371" s="195"/>
      <c r="FM371" s="195"/>
      <c r="FN371" s="195"/>
      <c r="FO371" s="195"/>
      <c r="FP371" s="195"/>
      <c r="FQ371" s="195"/>
      <c r="FR371" s="195"/>
      <c r="FS371" s="195"/>
      <c r="FT371" s="195"/>
      <c r="FU371" s="195"/>
      <c r="FV371" s="195"/>
      <c r="FW371" s="195"/>
      <c r="FX371" s="195"/>
      <c r="FY371" s="195"/>
    </row>
    <row r="372" spans="2:181" x14ac:dyDescent="0.25">
      <c r="B372" s="12">
        <v>285</v>
      </c>
      <c r="C372" s="195"/>
      <c r="D372" s="195"/>
      <c r="E372" s="195"/>
      <c r="F372" s="195"/>
      <c r="G372" s="195"/>
      <c r="H372" s="195"/>
      <c r="I372" s="195"/>
      <c r="J372" s="195"/>
      <c r="K372" s="195"/>
      <c r="L372" s="195"/>
      <c r="M372" s="195"/>
      <c r="N372" s="195"/>
      <c r="O372" s="195"/>
      <c r="P372" s="195"/>
      <c r="Q372" s="195"/>
      <c r="R372" s="195"/>
      <c r="S372" s="195"/>
      <c r="T372" s="12">
        <v>285</v>
      </c>
      <c r="U372" s="195"/>
      <c r="V372" s="195"/>
      <c r="W372" s="195"/>
      <c r="X372" s="195"/>
      <c r="Y372" s="195"/>
      <c r="Z372" s="195"/>
      <c r="AA372" s="195"/>
      <c r="AB372" s="195"/>
      <c r="AC372" s="195"/>
      <c r="AD372" s="195"/>
      <c r="AE372" s="195"/>
      <c r="AF372" s="195"/>
      <c r="AG372" s="195"/>
      <c r="AH372" s="195"/>
      <c r="AI372" s="195"/>
      <c r="AJ372" s="195"/>
      <c r="AK372" s="195"/>
      <c r="AL372" s="12">
        <v>285</v>
      </c>
      <c r="AM372" s="195"/>
      <c r="AN372" s="195"/>
      <c r="AO372" s="195"/>
      <c r="AP372" s="195"/>
      <c r="AQ372" s="195"/>
      <c r="AR372" s="195"/>
      <c r="AS372" s="195"/>
      <c r="AT372" s="195"/>
      <c r="AU372" s="195"/>
      <c r="AV372" s="195"/>
      <c r="AW372" s="195"/>
      <c r="AX372" s="195"/>
      <c r="AY372" s="195"/>
      <c r="AZ372" s="195"/>
      <c r="BA372" s="195"/>
      <c r="BB372" s="195"/>
      <c r="BC372" s="195"/>
      <c r="BD372" s="12">
        <v>285</v>
      </c>
      <c r="BE372" s="195"/>
      <c r="BF372" s="195"/>
      <c r="BG372" s="195"/>
      <c r="BH372" s="195"/>
      <c r="BI372" s="195"/>
      <c r="BJ372" s="195"/>
      <c r="BK372" s="195"/>
      <c r="BL372" s="195"/>
      <c r="BM372" s="195"/>
      <c r="BN372" s="195"/>
      <c r="BO372" s="195"/>
      <c r="BP372" s="195"/>
      <c r="BQ372" s="195"/>
      <c r="BR372" s="195"/>
      <c r="BS372" s="195"/>
      <c r="BT372" s="195"/>
      <c r="BU372" s="195"/>
      <c r="BV372" s="12">
        <v>285</v>
      </c>
      <c r="BW372" s="195"/>
      <c r="BX372" s="195"/>
      <c r="BY372" s="195"/>
      <c r="BZ372" s="195"/>
      <c r="CA372" s="195"/>
      <c r="CB372" s="195"/>
      <c r="CC372" s="195"/>
      <c r="CD372" s="195"/>
      <c r="CE372" s="195"/>
      <c r="CF372" s="195"/>
      <c r="CG372" s="195"/>
      <c r="CH372" s="195"/>
      <c r="CI372" s="195"/>
      <c r="CJ372" s="195"/>
      <c r="CK372" s="195"/>
      <c r="CL372" s="195"/>
      <c r="CM372" s="195"/>
      <c r="CN372" s="12">
        <v>285</v>
      </c>
      <c r="CO372" s="195"/>
      <c r="CP372" s="195"/>
      <c r="CQ372" s="195"/>
      <c r="CR372" s="195"/>
      <c r="CS372" s="195"/>
      <c r="CT372" s="195"/>
      <c r="CU372" s="195"/>
      <c r="CV372" s="195"/>
      <c r="CW372" s="195"/>
      <c r="CX372" s="195"/>
      <c r="CY372" s="195"/>
      <c r="CZ372" s="195"/>
      <c r="DA372" s="195"/>
      <c r="DB372" s="195"/>
      <c r="DC372" s="195"/>
      <c r="DD372" s="195"/>
      <c r="DE372" s="195"/>
      <c r="DF372" s="12">
        <v>285</v>
      </c>
      <c r="DG372" s="195"/>
      <c r="DH372" s="195"/>
      <c r="DI372" s="195"/>
      <c r="DJ372" s="195"/>
      <c r="DK372" s="195"/>
      <c r="DL372" s="195"/>
      <c r="DM372" s="195"/>
      <c r="DN372" s="195"/>
      <c r="DO372" s="195"/>
      <c r="DP372" s="195"/>
      <c r="DQ372" s="195"/>
      <c r="DR372" s="195"/>
      <c r="DS372" s="195"/>
      <c r="DT372" s="195"/>
      <c r="DU372" s="195"/>
      <c r="DV372" s="195"/>
      <c r="DW372" s="195"/>
      <c r="DX372" s="12">
        <v>285</v>
      </c>
      <c r="DY372" s="195"/>
      <c r="DZ372" s="195"/>
      <c r="EA372" s="195"/>
      <c r="EB372" s="195"/>
      <c r="EC372" s="195"/>
      <c r="ED372" s="195"/>
      <c r="EE372" s="195"/>
      <c r="EF372" s="195"/>
      <c r="EG372" s="195"/>
      <c r="EH372" s="195"/>
      <c r="EI372" s="195"/>
      <c r="EJ372" s="195"/>
      <c r="EK372" s="195"/>
      <c r="EL372" s="195"/>
      <c r="EM372" s="195"/>
      <c r="EN372" s="195"/>
      <c r="EO372" s="195"/>
      <c r="EP372" s="12">
        <v>285</v>
      </c>
      <c r="EQ372" s="195"/>
      <c r="ER372" s="195"/>
      <c r="ES372" s="195"/>
      <c r="ET372" s="195"/>
      <c r="EU372" s="195"/>
      <c r="EV372" s="195"/>
      <c r="EW372" s="195"/>
      <c r="EX372" s="195"/>
      <c r="EY372" s="195"/>
      <c r="EZ372" s="195"/>
      <c r="FA372" s="195"/>
      <c r="FB372" s="195"/>
      <c r="FC372" s="195"/>
      <c r="FD372" s="195"/>
      <c r="FE372" s="195"/>
      <c r="FF372" s="195"/>
      <c r="FG372" s="195"/>
      <c r="FH372" s="12">
        <v>285</v>
      </c>
      <c r="FI372" s="195"/>
      <c r="FJ372" s="195"/>
      <c r="FK372" s="195"/>
      <c r="FL372" s="195"/>
      <c r="FM372" s="195"/>
      <c r="FN372" s="195"/>
      <c r="FO372" s="195"/>
      <c r="FP372" s="195"/>
      <c r="FQ372" s="195"/>
      <c r="FR372" s="195"/>
      <c r="FS372" s="195"/>
      <c r="FT372" s="195"/>
      <c r="FU372" s="195"/>
      <c r="FV372" s="195"/>
      <c r="FW372" s="195"/>
      <c r="FX372" s="195"/>
      <c r="FY372" s="195"/>
    </row>
    <row r="373" spans="2:181" x14ac:dyDescent="0.25">
      <c r="B373" s="197">
        <v>286</v>
      </c>
      <c r="C373" s="195"/>
      <c r="D373" s="195"/>
      <c r="E373" s="195"/>
      <c r="F373" s="195"/>
      <c r="G373" s="195"/>
      <c r="H373" s="195"/>
      <c r="I373" s="195"/>
      <c r="J373" s="195"/>
      <c r="K373" s="195"/>
      <c r="L373" s="195"/>
      <c r="M373" s="195"/>
      <c r="N373" s="195"/>
      <c r="O373" s="195"/>
      <c r="P373" s="195"/>
      <c r="Q373" s="195"/>
      <c r="R373" s="195"/>
      <c r="S373" s="195"/>
      <c r="T373" s="197">
        <v>286</v>
      </c>
      <c r="U373" s="195"/>
      <c r="V373" s="195"/>
      <c r="W373" s="195"/>
      <c r="X373" s="195"/>
      <c r="Y373" s="195"/>
      <c r="Z373" s="195"/>
      <c r="AA373" s="195"/>
      <c r="AB373" s="195"/>
      <c r="AC373" s="195"/>
      <c r="AD373" s="195"/>
      <c r="AE373" s="195"/>
      <c r="AF373" s="195"/>
      <c r="AG373" s="195"/>
      <c r="AH373" s="195"/>
      <c r="AI373" s="195"/>
      <c r="AJ373" s="195"/>
      <c r="AK373" s="195"/>
      <c r="AL373" s="197">
        <v>286</v>
      </c>
      <c r="AM373" s="195"/>
      <c r="AN373" s="195"/>
      <c r="AO373" s="195"/>
      <c r="AP373" s="195"/>
      <c r="AQ373" s="195"/>
      <c r="AR373" s="195"/>
      <c r="AS373" s="195"/>
      <c r="AT373" s="195"/>
      <c r="AU373" s="195"/>
      <c r="AV373" s="195"/>
      <c r="AW373" s="195"/>
      <c r="AX373" s="195"/>
      <c r="AY373" s="195"/>
      <c r="AZ373" s="195"/>
      <c r="BA373" s="195"/>
      <c r="BB373" s="195"/>
      <c r="BC373" s="195"/>
      <c r="BD373" s="197">
        <v>286</v>
      </c>
      <c r="BE373" s="195"/>
      <c r="BF373" s="195"/>
      <c r="BG373" s="195"/>
      <c r="BH373" s="195"/>
      <c r="BI373" s="195"/>
      <c r="BJ373" s="195"/>
      <c r="BK373" s="195"/>
      <c r="BL373" s="195"/>
      <c r="BM373" s="195"/>
      <c r="BN373" s="195"/>
      <c r="BO373" s="195"/>
      <c r="BP373" s="195"/>
      <c r="BQ373" s="195"/>
      <c r="BR373" s="195"/>
      <c r="BS373" s="195"/>
      <c r="BT373" s="195"/>
      <c r="BU373" s="195"/>
      <c r="BV373" s="197">
        <v>286</v>
      </c>
      <c r="BW373" s="195"/>
      <c r="BX373" s="195"/>
      <c r="BY373" s="195"/>
      <c r="BZ373" s="195"/>
      <c r="CA373" s="195"/>
      <c r="CB373" s="195"/>
      <c r="CC373" s="195"/>
      <c r="CD373" s="195"/>
      <c r="CE373" s="195"/>
      <c r="CF373" s="195"/>
      <c r="CG373" s="195"/>
      <c r="CH373" s="195"/>
      <c r="CI373" s="195"/>
      <c r="CJ373" s="195"/>
      <c r="CK373" s="195"/>
      <c r="CL373" s="195"/>
      <c r="CM373" s="195"/>
      <c r="CN373" s="197">
        <v>286</v>
      </c>
      <c r="CO373" s="195"/>
      <c r="CP373" s="195"/>
      <c r="CQ373" s="195"/>
      <c r="CR373" s="195"/>
      <c r="CS373" s="195"/>
      <c r="CT373" s="195"/>
      <c r="CU373" s="195"/>
      <c r="CV373" s="195"/>
      <c r="CW373" s="195"/>
      <c r="CX373" s="195"/>
      <c r="CY373" s="195"/>
      <c r="CZ373" s="195"/>
      <c r="DA373" s="195"/>
      <c r="DB373" s="195"/>
      <c r="DC373" s="195"/>
      <c r="DD373" s="195"/>
      <c r="DE373" s="195"/>
      <c r="DF373" s="197">
        <v>286</v>
      </c>
      <c r="DG373" s="195"/>
      <c r="DH373" s="195"/>
      <c r="DI373" s="195"/>
      <c r="DJ373" s="195"/>
      <c r="DK373" s="195"/>
      <c r="DL373" s="195"/>
      <c r="DM373" s="195"/>
      <c r="DN373" s="195"/>
      <c r="DO373" s="195"/>
      <c r="DP373" s="195"/>
      <c r="DQ373" s="195"/>
      <c r="DR373" s="195"/>
      <c r="DS373" s="195"/>
      <c r="DT373" s="195"/>
      <c r="DU373" s="195"/>
      <c r="DV373" s="195"/>
      <c r="DW373" s="195"/>
      <c r="DX373" s="197">
        <v>286</v>
      </c>
      <c r="DY373" s="195"/>
      <c r="DZ373" s="195"/>
      <c r="EA373" s="195"/>
      <c r="EB373" s="195"/>
      <c r="EC373" s="195"/>
      <c r="ED373" s="195"/>
      <c r="EE373" s="195"/>
      <c r="EF373" s="195"/>
      <c r="EG373" s="195"/>
      <c r="EH373" s="195"/>
      <c r="EI373" s="195"/>
      <c r="EJ373" s="195"/>
      <c r="EK373" s="195"/>
      <c r="EL373" s="195"/>
      <c r="EM373" s="195"/>
      <c r="EN373" s="195"/>
      <c r="EO373" s="195"/>
      <c r="EP373" s="197">
        <v>286</v>
      </c>
      <c r="EQ373" s="195"/>
      <c r="ER373" s="195"/>
      <c r="ES373" s="195"/>
      <c r="ET373" s="195"/>
      <c r="EU373" s="195"/>
      <c r="EV373" s="195"/>
      <c r="EW373" s="195"/>
      <c r="EX373" s="195"/>
      <c r="EY373" s="195"/>
      <c r="EZ373" s="195"/>
      <c r="FA373" s="195"/>
      <c r="FB373" s="195"/>
      <c r="FC373" s="195"/>
      <c r="FD373" s="195"/>
      <c r="FE373" s="195"/>
      <c r="FF373" s="195"/>
      <c r="FG373" s="195"/>
      <c r="FH373" s="197">
        <v>286</v>
      </c>
      <c r="FI373" s="195"/>
      <c r="FJ373" s="195"/>
      <c r="FK373" s="195"/>
      <c r="FL373" s="195"/>
      <c r="FM373" s="195"/>
      <c r="FN373" s="195"/>
      <c r="FO373" s="195"/>
      <c r="FP373" s="195"/>
      <c r="FQ373" s="195"/>
      <c r="FR373" s="195"/>
      <c r="FS373" s="195"/>
      <c r="FT373" s="195"/>
      <c r="FU373" s="195"/>
      <c r="FV373" s="195"/>
      <c r="FW373" s="195"/>
      <c r="FX373" s="195"/>
      <c r="FY373" s="195"/>
    </row>
    <row r="374" spans="2:181" x14ac:dyDescent="0.25">
      <c r="B374" s="12">
        <v>287</v>
      </c>
      <c r="C374" s="195"/>
      <c r="D374" s="195"/>
      <c r="E374" s="195"/>
      <c r="F374" s="195"/>
      <c r="G374" s="195"/>
      <c r="H374" s="195"/>
      <c r="I374" s="195"/>
      <c r="J374" s="195"/>
      <c r="K374" s="195"/>
      <c r="L374" s="195"/>
      <c r="M374" s="195"/>
      <c r="N374" s="195"/>
      <c r="O374" s="195"/>
      <c r="P374" s="195"/>
      <c r="Q374" s="195"/>
      <c r="R374" s="195"/>
      <c r="S374" s="195"/>
      <c r="T374" s="12">
        <v>287</v>
      </c>
      <c r="U374" s="195"/>
      <c r="V374" s="195"/>
      <c r="W374" s="195"/>
      <c r="X374" s="195"/>
      <c r="Y374" s="195"/>
      <c r="Z374" s="195"/>
      <c r="AA374" s="195"/>
      <c r="AB374" s="195"/>
      <c r="AC374" s="195"/>
      <c r="AD374" s="195"/>
      <c r="AE374" s="195"/>
      <c r="AF374" s="195"/>
      <c r="AG374" s="195"/>
      <c r="AH374" s="195"/>
      <c r="AI374" s="195"/>
      <c r="AJ374" s="195"/>
      <c r="AK374" s="195"/>
      <c r="AL374" s="12">
        <v>287</v>
      </c>
      <c r="AM374" s="195"/>
      <c r="AN374" s="195"/>
      <c r="AO374" s="195"/>
      <c r="AP374" s="195"/>
      <c r="AQ374" s="195"/>
      <c r="AR374" s="195"/>
      <c r="AS374" s="195"/>
      <c r="AT374" s="195"/>
      <c r="AU374" s="195"/>
      <c r="AV374" s="195"/>
      <c r="AW374" s="195"/>
      <c r="AX374" s="195"/>
      <c r="AY374" s="195"/>
      <c r="AZ374" s="195"/>
      <c r="BA374" s="195"/>
      <c r="BB374" s="195"/>
      <c r="BC374" s="195"/>
      <c r="BD374" s="12">
        <v>287</v>
      </c>
      <c r="BE374" s="195"/>
      <c r="BF374" s="195"/>
      <c r="BG374" s="195"/>
      <c r="BH374" s="195"/>
      <c r="BI374" s="195"/>
      <c r="BJ374" s="195"/>
      <c r="BK374" s="195"/>
      <c r="BL374" s="195"/>
      <c r="BM374" s="195"/>
      <c r="BN374" s="195"/>
      <c r="BO374" s="195"/>
      <c r="BP374" s="195"/>
      <c r="BQ374" s="195"/>
      <c r="BR374" s="195"/>
      <c r="BS374" s="195"/>
      <c r="BT374" s="195"/>
      <c r="BU374" s="195"/>
      <c r="BV374" s="12">
        <v>287</v>
      </c>
      <c r="BW374" s="195"/>
      <c r="BX374" s="195"/>
      <c r="BY374" s="195"/>
      <c r="BZ374" s="195"/>
      <c r="CA374" s="195"/>
      <c r="CB374" s="195"/>
      <c r="CC374" s="195"/>
      <c r="CD374" s="195"/>
      <c r="CE374" s="195"/>
      <c r="CF374" s="195"/>
      <c r="CG374" s="195"/>
      <c r="CH374" s="195"/>
      <c r="CI374" s="195"/>
      <c r="CJ374" s="195"/>
      <c r="CK374" s="195"/>
      <c r="CL374" s="195"/>
      <c r="CM374" s="195"/>
      <c r="CN374" s="12">
        <v>287</v>
      </c>
      <c r="CO374" s="195"/>
      <c r="CP374" s="195"/>
      <c r="CQ374" s="195"/>
      <c r="CR374" s="195"/>
      <c r="CS374" s="195"/>
      <c r="CT374" s="195"/>
      <c r="CU374" s="195"/>
      <c r="CV374" s="195"/>
      <c r="CW374" s="195"/>
      <c r="CX374" s="195"/>
      <c r="CY374" s="195"/>
      <c r="CZ374" s="195"/>
      <c r="DA374" s="195"/>
      <c r="DB374" s="195"/>
      <c r="DC374" s="195"/>
      <c r="DD374" s="195"/>
      <c r="DE374" s="195"/>
      <c r="DF374" s="12">
        <v>287</v>
      </c>
      <c r="DG374" s="195"/>
      <c r="DH374" s="195"/>
      <c r="DI374" s="195"/>
      <c r="DJ374" s="195"/>
      <c r="DK374" s="195"/>
      <c r="DL374" s="195"/>
      <c r="DM374" s="195"/>
      <c r="DN374" s="195"/>
      <c r="DO374" s="195"/>
      <c r="DP374" s="195"/>
      <c r="DQ374" s="195"/>
      <c r="DR374" s="195"/>
      <c r="DS374" s="195"/>
      <c r="DT374" s="195"/>
      <c r="DU374" s="195"/>
      <c r="DV374" s="195"/>
      <c r="DW374" s="195"/>
      <c r="DX374" s="12">
        <v>287</v>
      </c>
      <c r="DY374" s="195"/>
      <c r="DZ374" s="195"/>
      <c r="EA374" s="195"/>
      <c r="EB374" s="195"/>
      <c r="EC374" s="195"/>
      <c r="ED374" s="195"/>
      <c r="EE374" s="195"/>
      <c r="EF374" s="195"/>
      <c r="EG374" s="195"/>
      <c r="EH374" s="195"/>
      <c r="EI374" s="195"/>
      <c r="EJ374" s="195"/>
      <c r="EK374" s="195"/>
      <c r="EL374" s="195"/>
      <c r="EM374" s="195"/>
      <c r="EN374" s="195"/>
      <c r="EO374" s="195"/>
      <c r="EP374" s="12">
        <v>287</v>
      </c>
      <c r="EQ374" s="195"/>
      <c r="ER374" s="195"/>
      <c r="ES374" s="195"/>
      <c r="ET374" s="195"/>
      <c r="EU374" s="195"/>
      <c r="EV374" s="195"/>
      <c r="EW374" s="195"/>
      <c r="EX374" s="195"/>
      <c r="EY374" s="195"/>
      <c r="EZ374" s="195"/>
      <c r="FA374" s="195"/>
      <c r="FB374" s="195"/>
      <c r="FC374" s="195"/>
      <c r="FD374" s="195"/>
      <c r="FE374" s="195"/>
      <c r="FF374" s="195"/>
      <c r="FG374" s="195"/>
      <c r="FH374" s="12">
        <v>287</v>
      </c>
      <c r="FI374" s="195"/>
      <c r="FJ374" s="195"/>
      <c r="FK374" s="195"/>
      <c r="FL374" s="195"/>
      <c r="FM374" s="195"/>
      <c r="FN374" s="195"/>
      <c r="FO374" s="195"/>
      <c r="FP374" s="195"/>
      <c r="FQ374" s="195"/>
      <c r="FR374" s="195"/>
      <c r="FS374" s="195"/>
      <c r="FT374" s="195"/>
      <c r="FU374" s="195"/>
      <c r="FV374" s="195"/>
      <c r="FW374" s="195"/>
      <c r="FX374" s="195"/>
      <c r="FY374" s="195"/>
    </row>
    <row r="375" spans="2:181" x14ac:dyDescent="0.25">
      <c r="B375" s="197">
        <v>288</v>
      </c>
      <c r="C375" s="195"/>
      <c r="D375" s="195"/>
      <c r="E375" s="195"/>
      <c r="F375" s="195"/>
      <c r="G375" s="195"/>
      <c r="H375" s="195"/>
      <c r="I375" s="195"/>
      <c r="J375" s="195"/>
      <c r="K375" s="195"/>
      <c r="L375" s="195"/>
      <c r="M375" s="195"/>
      <c r="N375" s="195"/>
      <c r="O375" s="195"/>
      <c r="P375" s="195"/>
      <c r="Q375" s="195"/>
      <c r="R375" s="195"/>
      <c r="S375" s="195"/>
      <c r="T375" s="197">
        <v>288</v>
      </c>
      <c r="U375" s="195"/>
      <c r="V375" s="195"/>
      <c r="W375" s="195"/>
      <c r="X375" s="195"/>
      <c r="Y375" s="195"/>
      <c r="Z375" s="195"/>
      <c r="AA375" s="195"/>
      <c r="AB375" s="195"/>
      <c r="AC375" s="195"/>
      <c r="AD375" s="195"/>
      <c r="AE375" s="195"/>
      <c r="AF375" s="195"/>
      <c r="AG375" s="195"/>
      <c r="AH375" s="195"/>
      <c r="AI375" s="195"/>
      <c r="AJ375" s="195"/>
      <c r="AK375" s="195"/>
      <c r="AL375" s="197">
        <v>288</v>
      </c>
      <c r="AM375" s="195"/>
      <c r="AN375" s="195"/>
      <c r="AO375" s="195"/>
      <c r="AP375" s="195"/>
      <c r="AQ375" s="195"/>
      <c r="AR375" s="195"/>
      <c r="AS375" s="195"/>
      <c r="AT375" s="195"/>
      <c r="AU375" s="195"/>
      <c r="AV375" s="195"/>
      <c r="AW375" s="195"/>
      <c r="AX375" s="195"/>
      <c r="AY375" s="195"/>
      <c r="AZ375" s="195"/>
      <c r="BA375" s="195"/>
      <c r="BB375" s="195"/>
      <c r="BC375" s="195"/>
      <c r="BD375" s="197">
        <v>288</v>
      </c>
      <c r="BE375" s="195"/>
      <c r="BF375" s="195"/>
      <c r="BG375" s="195"/>
      <c r="BH375" s="195"/>
      <c r="BI375" s="195"/>
      <c r="BJ375" s="195"/>
      <c r="BK375" s="195"/>
      <c r="BL375" s="195"/>
      <c r="BM375" s="195"/>
      <c r="BN375" s="195"/>
      <c r="BO375" s="195"/>
      <c r="BP375" s="195"/>
      <c r="BQ375" s="195"/>
      <c r="BR375" s="195"/>
      <c r="BS375" s="195"/>
      <c r="BT375" s="195"/>
      <c r="BU375" s="195"/>
      <c r="BV375" s="197">
        <v>288</v>
      </c>
      <c r="BW375" s="195"/>
      <c r="BX375" s="195"/>
      <c r="BY375" s="195"/>
      <c r="BZ375" s="195"/>
      <c r="CA375" s="195"/>
      <c r="CB375" s="195"/>
      <c r="CC375" s="195"/>
      <c r="CD375" s="195"/>
      <c r="CE375" s="195"/>
      <c r="CF375" s="195"/>
      <c r="CG375" s="195"/>
      <c r="CH375" s="195"/>
      <c r="CI375" s="195"/>
      <c r="CJ375" s="195"/>
      <c r="CK375" s="195"/>
      <c r="CL375" s="195"/>
      <c r="CM375" s="195"/>
      <c r="CN375" s="197">
        <v>288</v>
      </c>
      <c r="CO375" s="195"/>
      <c r="CP375" s="195"/>
      <c r="CQ375" s="195"/>
      <c r="CR375" s="195"/>
      <c r="CS375" s="195"/>
      <c r="CT375" s="195"/>
      <c r="CU375" s="195"/>
      <c r="CV375" s="195"/>
      <c r="CW375" s="195"/>
      <c r="CX375" s="195"/>
      <c r="CY375" s="195"/>
      <c r="CZ375" s="195"/>
      <c r="DA375" s="195"/>
      <c r="DB375" s="195"/>
      <c r="DC375" s="195"/>
      <c r="DD375" s="195"/>
      <c r="DE375" s="195"/>
      <c r="DF375" s="197">
        <v>288</v>
      </c>
      <c r="DG375" s="195"/>
      <c r="DH375" s="195"/>
      <c r="DI375" s="195"/>
      <c r="DJ375" s="195"/>
      <c r="DK375" s="195"/>
      <c r="DL375" s="195"/>
      <c r="DM375" s="195"/>
      <c r="DN375" s="195"/>
      <c r="DO375" s="195"/>
      <c r="DP375" s="195"/>
      <c r="DQ375" s="195"/>
      <c r="DR375" s="195"/>
      <c r="DS375" s="195"/>
      <c r="DT375" s="195"/>
      <c r="DU375" s="195"/>
      <c r="DV375" s="195"/>
      <c r="DW375" s="195"/>
      <c r="DX375" s="197">
        <v>288</v>
      </c>
      <c r="DY375" s="195"/>
      <c r="DZ375" s="195"/>
      <c r="EA375" s="195"/>
      <c r="EB375" s="195"/>
      <c r="EC375" s="195"/>
      <c r="ED375" s="195"/>
      <c r="EE375" s="195"/>
      <c r="EF375" s="195"/>
      <c r="EG375" s="195"/>
      <c r="EH375" s="195"/>
      <c r="EI375" s="195"/>
      <c r="EJ375" s="195"/>
      <c r="EK375" s="195"/>
      <c r="EL375" s="195"/>
      <c r="EM375" s="195"/>
      <c r="EN375" s="195"/>
      <c r="EO375" s="195"/>
      <c r="EP375" s="197">
        <v>288</v>
      </c>
      <c r="EQ375" s="195"/>
      <c r="ER375" s="195"/>
      <c r="ES375" s="195"/>
      <c r="ET375" s="195"/>
      <c r="EU375" s="195"/>
      <c r="EV375" s="195"/>
      <c r="EW375" s="195"/>
      <c r="EX375" s="195"/>
      <c r="EY375" s="195"/>
      <c r="EZ375" s="195"/>
      <c r="FA375" s="195"/>
      <c r="FB375" s="195"/>
      <c r="FC375" s="195"/>
      <c r="FD375" s="195"/>
      <c r="FE375" s="195"/>
      <c r="FF375" s="195"/>
      <c r="FG375" s="195"/>
      <c r="FH375" s="197">
        <v>288</v>
      </c>
      <c r="FI375" s="195"/>
      <c r="FJ375" s="195"/>
      <c r="FK375" s="195"/>
      <c r="FL375" s="195"/>
      <c r="FM375" s="195"/>
      <c r="FN375" s="195"/>
      <c r="FO375" s="195"/>
      <c r="FP375" s="195"/>
      <c r="FQ375" s="195"/>
      <c r="FR375" s="195"/>
      <c r="FS375" s="195"/>
      <c r="FT375" s="195"/>
      <c r="FU375" s="195"/>
      <c r="FV375" s="195"/>
      <c r="FW375" s="195"/>
      <c r="FX375" s="195"/>
      <c r="FY375" s="195"/>
    </row>
    <row r="376" spans="2:181" x14ac:dyDescent="0.25">
      <c r="B376" s="12">
        <v>289</v>
      </c>
      <c r="C376" s="195"/>
      <c r="D376" s="195"/>
      <c r="E376" s="195"/>
      <c r="F376" s="195"/>
      <c r="G376" s="195"/>
      <c r="H376" s="195"/>
      <c r="I376" s="195"/>
      <c r="J376" s="195"/>
      <c r="K376" s="195"/>
      <c r="L376" s="195"/>
      <c r="M376" s="195"/>
      <c r="N376" s="195"/>
      <c r="O376" s="195"/>
      <c r="P376" s="195"/>
      <c r="Q376" s="195"/>
      <c r="R376" s="195"/>
      <c r="S376" s="195"/>
      <c r="T376" s="12">
        <v>289</v>
      </c>
      <c r="U376" s="195"/>
      <c r="V376" s="195"/>
      <c r="W376" s="195"/>
      <c r="X376" s="195"/>
      <c r="Y376" s="195"/>
      <c r="Z376" s="195"/>
      <c r="AA376" s="195"/>
      <c r="AB376" s="195"/>
      <c r="AC376" s="195"/>
      <c r="AD376" s="195"/>
      <c r="AE376" s="195"/>
      <c r="AF376" s="195"/>
      <c r="AG376" s="195"/>
      <c r="AH376" s="195"/>
      <c r="AI376" s="195"/>
      <c r="AJ376" s="195"/>
      <c r="AK376" s="195"/>
      <c r="AL376" s="12">
        <v>289</v>
      </c>
      <c r="AM376" s="195"/>
      <c r="AN376" s="195"/>
      <c r="AO376" s="195"/>
      <c r="AP376" s="195"/>
      <c r="AQ376" s="195"/>
      <c r="AR376" s="195"/>
      <c r="AS376" s="195"/>
      <c r="AT376" s="195"/>
      <c r="AU376" s="195"/>
      <c r="AV376" s="195"/>
      <c r="AW376" s="195"/>
      <c r="AX376" s="195"/>
      <c r="AY376" s="195"/>
      <c r="AZ376" s="195"/>
      <c r="BA376" s="195"/>
      <c r="BB376" s="195"/>
      <c r="BC376" s="195"/>
      <c r="BD376" s="12">
        <v>289</v>
      </c>
      <c r="BE376" s="195"/>
      <c r="BF376" s="195"/>
      <c r="BG376" s="195"/>
      <c r="BH376" s="195"/>
      <c r="BI376" s="195"/>
      <c r="BJ376" s="195"/>
      <c r="BK376" s="195"/>
      <c r="BL376" s="195"/>
      <c r="BM376" s="195"/>
      <c r="BN376" s="195"/>
      <c r="BO376" s="195"/>
      <c r="BP376" s="195"/>
      <c r="BQ376" s="195"/>
      <c r="BR376" s="195"/>
      <c r="BS376" s="195"/>
      <c r="BT376" s="195"/>
      <c r="BU376" s="195"/>
      <c r="BV376" s="12">
        <v>289</v>
      </c>
      <c r="BW376" s="195"/>
      <c r="BX376" s="195"/>
      <c r="BY376" s="195"/>
      <c r="BZ376" s="195"/>
      <c r="CA376" s="195"/>
      <c r="CB376" s="195"/>
      <c r="CC376" s="195"/>
      <c r="CD376" s="195"/>
      <c r="CE376" s="195"/>
      <c r="CF376" s="195"/>
      <c r="CG376" s="195"/>
      <c r="CH376" s="195"/>
      <c r="CI376" s="195"/>
      <c r="CJ376" s="195"/>
      <c r="CK376" s="195"/>
      <c r="CL376" s="195"/>
      <c r="CM376" s="195"/>
      <c r="CN376" s="12">
        <v>289</v>
      </c>
      <c r="CO376" s="195"/>
      <c r="CP376" s="195"/>
      <c r="CQ376" s="195"/>
      <c r="CR376" s="195"/>
      <c r="CS376" s="195"/>
      <c r="CT376" s="195"/>
      <c r="CU376" s="195"/>
      <c r="CV376" s="195"/>
      <c r="CW376" s="195"/>
      <c r="CX376" s="195"/>
      <c r="CY376" s="195"/>
      <c r="CZ376" s="195"/>
      <c r="DA376" s="195"/>
      <c r="DB376" s="195"/>
      <c r="DC376" s="195"/>
      <c r="DD376" s="195"/>
      <c r="DE376" s="195"/>
      <c r="DF376" s="12">
        <v>289</v>
      </c>
      <c r="DG376" s="195"/>
      <c r="DH376" s="195"/>
      <c r="DI376" s="195"/>
      <c r="DJ376" s="195"/>
      <c r="DK376" s="195"/>
      <c r="DL376" s="195"/>
      <c r="DM376" s="195"/>
      <c r="DN376" s="195"/>
      <c r="DO376" s="195"/>
      <c r="DP376" s="195"/>
      <c r="DQ376" s="195"/>
      <c r="DR376" s="195"/>
      <c r="DS376" s="195"/>
      <c r="DT376" s="195"/>
      <c r="DU376" s="195"/>
      <c r="DV376" s="195"/>
      <c r="DW376" s="195"/>
      <c r="DX376" s="12">
        <v>289</v>
      </c>
      <c r="DY376" s="195"/>
      <c r="DZ376" s="195"/>
      <c r="EA376" s="195"/>
      <c r="EB376" s="195"/>
      <c r="EC376" s="195"/>
      <c r="ED376" s="195"/>
      <c r="EE376" s="195"/>
      <c r="EF376" s="195"/>
      <c r="EG376" s="195"/>
      <c r="EH376" s="195"/>
      <c r="EI376" s="195"/>
      <c r="EJ376" s="195"/>
      <c r="EK376" s="195"/>
      <c r="EL376" s="195"/>
      <c r="EM376" s="195"/>
      <c r="EN376" s="195"/>
      <c r="EO376" s="195"/>
      <c r="EP376" s="12">
        <v>289</v>
      </c>
      <c r="EQ376" s="195"/>
      <c r="ER376" s="195"/>
      <c r="ES376" s="195"/>
      <c r="ET376" s="195"/>
      <c r="EU376" s="195"/>
      <c r="EV376" s="195"/>
      <c r="EW376" s="195"/>
      <c r="EX376" s="195"/>
      <c r="EY376" s="195"/>
      <c r="EZ376" s="195"/>
      <c r="FA376" s="195"/>
      <c r="FB376" s="195"/>
      <c r="FC376" s="195"/>
      <c r="FD376" s="195"/>
      <c r="FE376" s="195"/>
      <c r="FF376" s="195"/>
      <c r="FG376" s="195"/>
      <c r="FH376" s="12">
        <v>289</v>
      </c>
      <c r="FI376" s="195"/>
      <c r="FJ376" s="195"/>
      <c r="FK376" s="195"/>
      <c r="FL376" s="195"/>
      <c r="FM376" s="195"/>
      <c r="FN376" s="195"/>
      <c r="FO376" s="195"/>
      <c r="FP376" s="195"/>
      <c r="FQ376" s="195"/>
      <c r="FR376" s="195"/>
      <c r="FS376" s="195"/>
      <c r="FT376" s="195"/>
      <c r="FU376" s="195"/>
      <c r="FV376" s="195"/>
      <c r="FW376" s="195"/>
      <c r="FX376" s="195"/>
      <c r="FY376" s="195"/>
    </row>
    <row r="377" spans="2:181" x14ac:dyDescent="0.25">
      <c r="B377" s="197">
        <v>290</v>
      </c>
      <c r="C377" s="195"/>
      <c r="D377" s="195"/>
      <c r="E377" s="195"/>
      <c r="F377" s="195"/>
      <c r="G377" s="195"/>
      <c r="H377" s="195"/>
      <c r="I377" s="195"/>
      <c r="J377" s="195"/>
      <c r="K377" s="195"/>
      <c r="L377" s="195"/>
      <c r="M377" s="195"/>
      <c r="N377" s="195"/>
      <c r="O377" s="195"/>
      <c r="P377" s="195"/>
      <c r="Q377" s="195"/>
      <c r="R377" s="195"/>
      <c r="S377" s="195"/>
      <c r="T377" s="197">
        <v>290</v>
      </c>
      <c r="U377" s="195"/>
      <c r="V377" s="195"/>
      <c r="W377" s="195"/>
      <c r="X377" s="195"/>
      <c r="Y377" s="195"/>
      <c r="Z377" s="195"/>
      <c r="AA377" s="195"/>
      <c r="AB377" s="195"/>
      <c r="AC377" s="195"/>
      <c r="AD377" s="195"/>
      <c r="AE377" s="195"/>
      <c r="AF377" s="195"/>
      <c r="AG377" s="195"/>
      <c r="AH377" s="195"/>
      <c r="AI377" s="195"/>
      <c r="AJ377" s="195"/>
      <c r="AK377" s="195"/>
      <c r="AL377" s="197">
        <v>290</v>
      </c>
      <c r="AM377" s="195"/>
      <c r="AN377" s="195"/>
      <c r="AO377" s="195"/>
      <c r="AP377" s="195"/>
      <c r="AQ377" s="195"/>
      <c r="AR377" s="195"/>
      <c r="AS377" s="195"/>
      <c r="AT377" s="195"/>
      <c r="AU377" s="195"/>
      <c r="AV377" s="195"/>
      <c r="AW377" s="195"/>
      <c r="AX377" s="195"/>
      <c r="AY377" s="195"/>
      <c r="AZ377" s="195"/>
      <c r="BA377" s="195"/>
      <c r="BB377" s="195"/>
      <c r="BC377" s="195"/>
      <c r="BD377" s="197">
        <v>290</v>
      </c>
      <c r="BE377" s="195"/>
      <c r="BF377" s="195"/>
      <c r="BG377" s="195"/>
      <c r="BH377" s="195"/>
      <c r="BI377" s="195"/>
      <c r="BJ377" s="195"/>
      <c r="BK377" s="195"/>
      <c r="BL377" s="195"/>
      <c r="BM377" s="195"/>
      <c r="BN377" s="195"/>
      <c r="BO377" s="195"/>
      <c r="BP377" s="195"/>
      <c r="BQ377" s="195"/>
      <c r="BR377" s="195"/>
      <c r="BS377" s="195"/>
      <c r="BT377" s="195"/>
      <c r="BU377" s="195"/>
      <c r="BV377" s="197">
        <v>290</v>
      </c>
      <c r="BW377" s="195"/>
      <c r="BX377" s="195"/>
      <c r="BY377" s="195"/>
      <c r="BZ377" s="195"/>
      <c r="CA377" s="195"/>
      <c r="CB377" s="195"/>
      <c r="CC377" s="195"/>
      <c r="CD377" s="195"/>
      <c r="CE377" s="195"/>
      <c r="CF377" s="195"/>
      <c r="CG377" s="195"/>
      <c r="CH377" s="195"/>
      <c r="CI377" s="195"/>
      <c r="CJ377" s="195"/>
      <c r="CK377" s="195"/>
      <c r="CL377" s="195"/>
      <c r="CM377" s="195"/>
      <c r="CN377" s="197">
        <v>290</v>
      </c>
      <c r="CO377" s="195"/>
      <c r="CP377" s="195"/>
      <c r="CQ377" s="195"/>
      <c r="CR377" s="195"/>
      <c r="CS377" s="195"/>
      <c r="CT377" s="195"/>
      <c r="CU377" s="195"/>
      <c r="CV377" s="195"/>
      <c r="CW377" s="195"/>
      <c r="CX377" s="195"/>
      <c r="CY377" s="195"/>
      <c r="CZ377" s="195"/>
      <c r="DA377" s="195"/>
      <c r="DB377" s="195"/>
      <c r="DC377" s="195"/>
      <c r="DD377" s="195"/>
      <c r="DE377" s="195"/>
      <c r="DF377" s="197">
        <v>290</v>
      </c>
      <c r="DG377" s="195"/>
      <c r="DH377" s="195"/>
      <c r="DI377" s="195"/>
      <c r="DJ377" s="195"/>
      <c r="DK377" s="195"/>
      <c r="DL377" s="195"/>
      <c r="DM377" s="195"/>
      <c r="DN377" s="195"/>
      <c r="DO377" s="195"/>
      <c r="DP377" s="195"/>
      <c r="DQ377" s="195"/>
      <c r="DR377" s="195"/>
      <c r="DS377" s="195"/>
      <c r="DT377" s="195"/>
      <c r="DU377" s="195"/>
      <c r="DV377" s="195"/>
      <c r="DW377" s="195"/>
      <c r="DX377" s="197">
        <v>290</v>
      </c>
      <c r="DY377" s="195"/>
      <c r="DZ377" s="195"/>
      <c r="EA377" s="195"/>
      <c r="EB377" s="195"/>
      <c r="EC377" s="195"/>
      <c r="ED377" s="195"/>
      <c r="EE377" s="195"/>
      <c r="EF377" s="195"/>
      <c r="EG377" s="195"/>
      <c r="EH377" s="195"/>
      <c r="EI377" s="195"/>
      <c r="EJ377" s="195"/>
      <c r="EK377" s="195"/>
      <c r="EL377" s="195"/>
      <c r="EM377" s="195"/>
      <c r="EN377" s="195"/>
      <c r="EO377" s="195"/>
      <c r="EP377" s="197">
        <v>290</v>
      </c>
      <c r="EQ377" s="195"/>
      <c r="ER377" s="195"/>
      <c r="ES377" s="195"/>
      <c r="ET377" s="195"/>
      <c r="EU377" s="195"/>
      <c r="EV377" s="195"/>
      <c r="EW377" s="195"/>
      <c r="EX377" s="195"/>
      <c r="EY377" s="195"/>
      <c r="EZ377" s="195"/>
      <c r="FA377" s="195"/>
      <c r="FB377" s="195"/>
      <c r="FC377" s="195"/>
      <c r="FD377" s="195"/>
      <c r="FE377" s="195"/>
      <c r="FF377" s="195"/>
      <c r="FG377" s="195"/>
      <c r="FH377" s="197">
        <v>290</v>
      </c>
      <c r="FI377" s="195"/>
      <c r="FJ377" s="195"/>
      <c r="FK377" s="195"/>
      <c r="FL377" s="195"/>
      <c r="FM377" s="195"/>
      <c r="FN377" s="195"/>
      <c r="FO377" s="195"/>
      <c r="FP377" s="195"/>
      <c r="FQ377" s="195"/>
      <c r="FR377" s="195"/>
      <c r="FS377" s="195"/>
      <c r="FT377" s="195"/>
      <c r="FU377" s="195"/>
      <c r="FV377" s="195"/>
      <c r="FW377" s="195"/>
      <c r="FX377" s="195"/>
      <c r="FY377" s="195"/>
    </row>
    <row r="378" spans="2:181" x14ac:dyDescent="0.25">
      <c r="B378" s="12">
        <v>291</v>
      </c>
      <c r="C378" s="195"/>
      <c r="D378" s="195"/>
      <c r="E378" s="195"/>
      <c r="F378" s="195"/>
      <c r="G378" s="195"/>
      <c r="H378" s="195"/>
      <c r="I378" s="195"/>
      <c r="J378" s="195"/>
      <c r="K378" s="195"/>
      <c r="L378" s="195"/>
      <c r="M378" s="195"/>
      <c r="N378" s="195"/>
      <c r="O378" s="195"/>
      <c r="P378" s="195"/>
      <c r="Q378" s="195"/>
      <c r="R378" s="195"/>
      <c r="S378" s="195"/>
      <c r="T378" s="12">
        <v>291</v>
      </c>
      <c r="U378" s="195"/>
      <c r="V378" s="195"/>
      <c r="W378" s="195"/>
      <c r="X378" s="195"/>
      <c r="Y378" s="195"/>
      <c r="Z378" s="195"/>
      <c r="AA378" s="195"/>
      <c r="AB378" s="195"/>
      <c r="AC378" s="195"/>
      <c r="AD378" s="195"/>
      <c r="AE378" s="195"/>
      <c r="AF378" s="195"/>
      <c r="AG378" s="195"/>
      <c r="AH378" s="195"/>
      <c r="AI378" s="195"/>
      <c r="AJ378" s="195"/>
      <c r="AK378" s="195"/>
      <c r="AL378" s="12">
        <v>291</v>
      </c>
      <c r="AM378" s="195"/>
      <c r="AN378" s="195"/>
      <c r="AO378" s="195"/>
      <c r="AP378" s="195"/>
      <c r="AQ378" s="195"/>
      <c r="AR378" s="195"/>
      <c r="AS378" s="195"/>
      <c r="AT378" s="195"/>
      <c r="AU378" s="195"/>
      <c r="AV378" s="195"/>
      <c r="AW378" s="195"/>
      <c r="AX378" s="195"/>
      <c r="AY378" s="195"/>
      <c r="AZ378" s="195"/>
      <c r="BA378" s="195"/>
      <c r="BB378" s="195"/>
      <c r="BC378" s="195"/>
      <c r="BD378" s="12">
        <v>291</v>
      </c>
      <c r="BE378" s="195"/>
      <c r="BF378" s="195"/>
      <c r="BG378" s="195"/>
      <c r="BH378" s="195"/>
      <c r="BI378" s="195"/>
      <c r="BJ378" s="195"/>
      <c r="BK378" s="195"/>
      <c r="BL378" s="195"/>
      <c r="BM378" s="195"/>
      <c r="BN378" s="195"/>
      <c r="BO378" s="195"/>
      <c r="BP378" s="195"/>
      <c r="BQ378" s="195"/>
      <c r="BR378" s="195"/>
      <c r="BS378" s="195"/>
      <c r="BT378" s="195"/>
      <c r="BU378" s="195"/>
      <c r="BV378" s="12">
        <v>291</v>
      </c>
      <c r="BW378" s="195"/>
      <c r="BX378" s="195"/>
      <c r="BY378" s="195"/>
      <c r="BZ378" s="195"/>
      <c r="CA378" s="195"/>
      <c r="CB378" s="195"/>
      <c r="CC378" s="195"/>
      <c r="CD378" s="195"/>
      <c r="CE378" s="195"/>
      <c r="CF378" s="195"/>
      <c r="CG378" s="195"/>
      <c r="CH378" s="195"/>
      <c r="CI378" s="195"/>
      <c r="CJ378" s="195"/>
      <c r="CK378" s="195"/>
      <c r="CL378" s="195"/>
      <c r="CM378" s="195"/>
      <c r="CN378" s="12">
        <v>291</v>
      </c>
      <c r="CO378" s="195"/>
      <c r="CP378" s="195"/>
      <c r="CQ378" s="195"/>
      <c r="CR378" s="195"/>
      <c r="CS378" s="195"/>
      <c r="CT378" s="195"/>
      <c r="CU378" s="195"/>
      <c r="CV378" s="195"/>
      <c r="CW378" s="195"/>
      <c r="CX378" s="195"/>
      <c r="CY378" s="195"/>
      <c r="CZ378" s="195"/>
      <c r="DA378" s="195"/>
      <c r="DB378" s="195"/>
      <c r="DC378" s="195"/>
      <c r="DD378" s="195"/>
      <c r="DE378" s="195"/>
      <c r="DF378" s="12">
        <v>291</v>
      </c>
      <c r="DG378" s="195"/>
      <c r="DH378" s="195"/>
      <c r="DI378" s="195"/>
      <c r="DJ378" s="195"/>
      <c r="DK378" s="195"/>
      <c r="DL378" s="195"/>
      <c r="DM378" s="195"/>
      <c r="DN378" s="195"/>
      <c r="DO378" s="195"/>
      <c r="DP378" s="195"/>
      <c r="DQ378" s="195"/>
      <c r="DR378" s="195"/>
      <c r="DS378" s="195"/>
      <c r="DT378" s="195"/>
      <c r="DU378" s="195"/>
      <c r="DV378" s="195"/>
      <c r="DW378" s="195"/>
      <c r="DX378" s="12">
        <v>291</v>
      </c>
      <c r="DY378" s="195"/>
      <c r="DZ378" s="195"/>
      <c r="EA378" s="195"/>
      <c r="EB378" s="195"/>
      <c r="EC378" s="195"/>
      <c r="ED378" s="195"/>
      <c r="EE378" s="195"/>
      <c r="EF378" s="195"/>
      <c r="EG378" s="195"/>
      <c r="EH378" s="195"/>
      <c r="EI378" s="195"/>
      <c r="EJ378" s="195"/>
      <c r="EK378" s="195"/>
      <c r="EL378" s="195"/>
      <c r="EM378" s="195"/>
      <c r="EN378" s="195"/>
      <c r="EO378" s="195"/>
      <c r="EP378" s="12">
        <v>291</v>
      </c>
      <c r="EQ378" s="195"/>
      <c r="ER378" s="195"/>
      <c r="ES378" s="195"/>
      <c r="ET378" s="195"/>
      <c r="EU378" s="195"/>
      <c r="EV378" s="195"/>
      <c r="EW378" s="195"/>
      <c r="EX378" s="195"/>
      <c r="EY378" s="195"/>
      <c r="EZ378" s="195"/>
      <c r="FA378" s="195"/>
      <c r="FB378" s="195"/>
      <c r="FC378" s="195"/>
      <c r="FD378" s="195"/>
      <c r="FE378" s="195"/>
      <c r="FF378" s="195"/>
      <c r="FG378" s="195"/>
      <c r="FH378" s="12">
        <v>291</v>
      </c>
      <c r="FI378" s="195"/>
      <c r="FJ378" s="195"/>
      <c r="FK378" s="195"/>
      <c r="FL378" s="195"/>
      <c r="FM378" s="195"/>
      <c r="FN378" s="195"/>
      <c r="FO378" s="195"/>
      <c r="FP378" s="195"/>
      <c r="FQ378" s="195"/>
      <c r="FR378" s="195"/>
      <c r="FS378" s="195"/>
      <c r="FT378" s="195"/>
      <c r="FU378" s="195"/>
      <c r="FV378" s="195"/>
      <c r="FW378" s="195"/>
      <c r="FX378" s="195"/>
      <c r="FY378" s="195"/>
    </row>
    <row r="379" spans="2:181" x14ac:dyDescent="0.25">
      <c r="B379" s="197">
        <v>292</v>
      </c>
      <c r="C379" s="195"/>
      <c r="D379" s="195"/>
      <c r="E379" s="195"/>
      <c r="F379" s="195"/>
      <c r="G379" s="195"/>
      <c r="H379" s="195"/>
      <c r="I379" s="195"/>
      <c r="J379" s="195"/>
      <c r="K379" s="195"/>
      <c r="L379" s="195"/>
      <c r="M379" s="195"/>
      <c r="N379" s="195"/>
      <c r="O379" s="195"/>
      <c r="P379" s="195"/>
      <c r="Q379" s="195"/>
      <c r="R379" s="195"/>
      <c r="S379" s="195"/>
      <c r="T379" s="197">
        <v>292</v>
      </c>
      <c r="U379" s="195"/>
      <c r="V379" s="195"/>
      <c r="W379" s="195"/>
      <c r="X379" s="195"/>
      <c r="Y379" s="195"/>
      <c r="Z379" s="195"/>
      <c r="AA379" s="195"/>
      <c r="AB379" s="195"/>
      <c r="AC379" s="195"/>
      <c r="AD379" s="195"/>
      <c r="AE379" s="195"/>
      <c r="AF379" s="195"/>
      <c r="AG379" s="195"/>
      <c r="AH379" s="195"/>
      <c r="AI379" s="195"/>
      <c r="AJ379" s="195"/>
      <c r="AK379" s="195"/>
      <c r="AL379" s="197">
        <v>292</v>
      </c>
      <c r="AM379" s="195"/>
      <c r="AN379" s="195"/>
      <c r="AO379" s="195"/>
      <c r="AP379" s="195"/>
      <c r="AQ379" s="195"/>
      <c r="AR379" s="195"/>
      <c r="AS379" s="195"/>
      <c r="AT379" s="195"/>
      <c r="AU379" s="195"/>
      <c r="AV379" s="195"/>
      <c r="AW379" s="195"/>
      <c r="AX379" s="195"/>
      <c r="AY379" s="195"/>
      <c r="AZ379" s="195"/>
      <c r="BA379" s="195"/>
      <c r="BB379" s="195"/>
      <c r="BC379" s="195"/>
      <c r="BD379" s="197">
        <v>292</v>
      </c>
      <c r="BE379" s="195"/>
      <c r="BF379" s="195"/>
      <c r="BG379" s="195"/>
      <c r="BH379" s="195"/>
      <c r="BI379" s="195"/>
      <c r="BJ379" s="195"/>
      <c r="BK379" s="195"/>
      <c r="BL379" s="195"/>
      <c r="BM379" s="195"/>
      <c r="BN379" s="195"/>
      <c r="BO379" s="195"/>
      <c r="BP379" s="195"/>
      <c r="BQ379" s="195"/>
      <c r="BR379" s="195"/>
      <c r="BS379" s="195"/>
      <c r="BT379" s="195"/>
      <c r="BU379" s="195"/>
      <c r="BV379" s="197">
        <v>292</v>
      </c>
      <c r="BW379" s="195"/>
      <c r="BX379" s="195"/>
      <c r="BY379" s="195"/>
      <c r="BZ379" s="195"/>
      <c r="CA379" s="195"/>
      <c r="CB379" s="195"/>
      <c r="CC379" s="195"/>
      <c r="CD379" s="195"/>
      <c r="CE379" s="195"/>
      <c r="CF379" s="195"/>
      <c r="CG379" s="195"/>
      <c r="CH379" s="195"/>
      <c r="CI379" s="195"/>
      <c r="CJ379" s="195"/>
      <c r="CK379" s="195"/>
      <c r="CL379" s="195"/>
      <c r="CM379" s="195"/>
      <c r="CN379" s="197">
        <v>292</v>
      </c>
      <c r="CO379" s="195"/>
      <c r="CP379" s="195"/>
      <c r="CQ379" s="195"/>
      <c r="CR379" s="195"/>
      <c r="CS379" s="195"/>
      <c r="CT379" s="195"/>
      <c r="CU379" s="195"/>
      <c r="CV379" s="195"/>
      <c r="CW379" s="195"/>
      <c r="CX379" s="195"/>
      <c r="CY379" s="195"/>
      <c r="CZ379" s="195"/>
      <c r="DA379" s="195"/>
      <c r="DB379" s="195"/>
      <c r="DC379" s="195"/>
      <c r="DD379" s="195"/>
      <c r="DE379" s="195"/>
      <c r="DF379" s="197">
        <v>292</v>
      </c>
      <c r="DG379" s="195"/>
      <c r="DH379" s="195"/>
      <c r="DI379" s="195"/>
      <c r="DJ379" s="195"/>
      <c r="DK379" s="195"/>
      <c r="DL379" s="195"/>
      <c r="DM379" s="195"/>
      <c r="DN379" s="195"/>
      <c r="DO379" s="195"/>
      <c r="DP379" s="195"/>
      <c r="DQ379" s="195"/>
      <c r="DR379" s="195"/>
      <c r="DS379" s="195"/>
      <c r="DT379" s="195"/>
      <c r="DU379" s="195"/>
      <c r="DV379" s="195"/>
      <c r="DW379" s="195"/>
      <c r="DX379" s="197">
        <v>292</v>
      </c>
      <c r="DY379" s="195"/>
      <c r="DZ379" s="195"/>
      <c r="EA379" s="195"/>
      <c r="EB379" s="195"/>
      <c r="EC379" s="195"/>
      <c r="ED379" s="195"/>
      <c r="EE379" s="195"/>
      <c r="EF379" s="195"/>
      <c r="EG379" s="195"/>
      <c r="EH379" s="195"/>
      <c r="EI379" s="195"/>
      <c r="EJ379" s="195"/>
      <c r="EK379" s="195"/>
      <c r="EL379" s="195"/>
      <c r="EM379" s="195"/>
      <c r="EN379" s="195"/>
      <c r="EO379" s="195"/>
      <c r="EP379" s="197">
        <v>292</v>
      </c>
      <c r="EQ379" s="195"/>
      <c r="ER379" s="195"/>
      <c r="ES379" s="195"/>
      <c r="ET379" s="195"/>
      <c r="EU379" s="195"/>
      <c r="EV379" s="195"/>
      <c r="EW379" s="195"/>
      <c r="EX379" s="195"/>
      <c r="EY379" s="195"/>
      <c r="EZ379" s="195"/>
      <c r="FA379" s="195"/>
      <c r="FB379" s="195"/>
      <c r="FC379" s="195"/>
      <c r="FD379" s="195"/>
      <c r="FE379" s="195"/>
      <c r="FF379" s="195"/>
      <c r="FG379" s="195"/>
      <c r="FH379" s="197">
        <v>292</v>
      </c>
      <c r="FI379" s="195"/>
      <c r="FJ379" s="195"/>
      <c r="FK379" s="195"/>
      <c r="FL379" s="195"/>
      <c r="FM379" s="195"/>
      <c r="FN379" s="195"/>
      <c r="FO379" s="195"/>
      <c r="FP379" s="195"/>
      <c r="FQ379" s="195"/>
      <c r="FR379" s="195"/>
      <c r="FS379" s="195"/>
      <c r="FT379" s="195"/>
      <c r="FU379" s="195"/>
      <c r="FV379" s="195"/>
      <c r="FW379" s="195"/>
      <c r="FX379" s="195"/>
      <c r="FY379" s="195"/>
    </row>
    <row r="380" spans="2:181" x14ac:dyDescent="0.25">
      <c r="B380" s="12">
        <v>293</v>
      </c>
      <c r="C380" s="195"/>
      <c r="D380" s="195"/>
      <c r="E380" s="195"/>
      <c r="F380" s="195"/>
      <c r="G380" s="195"/>
      <c r="H380" s="195"/>
      <c r="I380" s="195"/>
      <c r="J380" s="195"/>
      <c r="K380" s="195"/>
      <c r="L380" s="195"/>
      <c r="M380" s="195"/>
      <c r="N380" s="195"/>
      <c r="O380" s="195"/>
      <c r="P380" s="195"/>
      <c r="Q380" s="195"/>
      <c r="R380" s="195"/>
      <c r="S380" s="195"/>
      <c r="T380" s="12">
        <v>293</v>
      </c>
      <c r="U380" s="195"/>
      <c r="V380" s="195"/>
      <c r="W380" s="195"/>
      <c r="X380" s="195"/>
      <c r="Y380" s="195"/>
      <c r="Z380" s="195"/>
      <c r="AA380" s="195"/>
      <c r="AB380" s="195"/>
      <c r="AC380" s="195"/>
      <c r="AD380" s="195"/>
      <c r="AE380" s="195"/>
      <c r="AF380" s="195"/>
      <c r="AG380" s="195"/>
      <c r="AH380" s="195"/>
      <c r="AI380" s="195"/>
      <c r="AJ380" s="195"/>
      <c r="AK380" s="195"/>
      <c r="AL380" s="12">
        <v>293</v>
      </c>
      <c r="AM380" s="195"/>
      <c r="AN380" s="195"/>
      <c r="AO380" s="195"/>
      <c r="AP380" s="195"/>
      <c r="AQ380" s="195"/>
      <c r="AR380" s="195"/>
      <c r="AS380" s="195"/>
      <c r="AT380" s="195"/>
      <c r="AU380" s="195"/>
      <c r="AV380" s="195"/>
      <c r="AW380" s="195"/>
      <c r="AX380" s="195"/>
      <c r="AY380" s="195"/>
      <c r="AZ380" s="195"/>
      <c r="BA380" s="195"/>
      <c r="BB380" s="195"/>
      <c r="BC380" s="195"/>
      <c r="BD380" s="12">
        <v>293</v>
      </c>
      <c r="BE380" s="195"/>
      <c r="BF380" s="195"/>
      <c r="BG380" s="195"/>
      <c r="BH380" s="195"/>
      <c r="BI380" s="195"/>
      <c r="BJ380" s="195"/>
      <c r="BK380" s="195"/>
      <c r="BL380" s="195"/>
      <c r="BM380" s="195"/>
      <c r="BN380" s="195"/>
      <c r="BO380" s="195"/>
      <c r="BP380" s="195"/>
      <c r="BQ380" s="195"/>
      <c r="BR380" s="195"/>
      <c r="BS380" s="195"/>
      <c r="BT380" s="195"/>
      <c r="BU380" s="195"/>
      <c r="BV380" s="12">
        <v>293</v>
      </c>
      <c r="BW380" s="195"/>
      <c r="BX380" s="195"/>
      <c r="BY380" s="195"/>
      <c r="BZ380" s="195"/>
      <c r="CA380" s="195"/>
      <c r="CB380" s="195"/>
      <c r="CC380" s="195"/>
      <c r="CD380" s="195"/>
      <c r="CE380" s="195"/>
      <c r="CF380" s="195"/>
      <c r="CG380" s="195"/>
      <c r="CH380" s="195"/>
      <c r="CI380" s="195"/>
      <c r="CJ380" s="195"/>
      <c r="CK380" s="195"/>
      <c r="CL380" s="195"/>
      <c r="CM380" s="195"/>
      <c r="CN380" s="12">
        <v>293</v>
      </c>
      <c r="CO380" s="195"/>
      <c r="CP380" s="195"/>
      <c r="CQ380" s="195"/>
      <c r="CR380" s="195"/>
      <c r="CS380" s="195"/>
      <c r="CT380" s="195"/>
      <c r="CU380" s="195"/>
      <c r="CV380" s="195"/>
      <c r="CW380" s="195"/>
      <c r="CX380" s="195"/>
      <c r="CY380" s="195"/>
      <c r="CZ380" s="195"/>
      <c r="DA380" s="195"/>
      <c r="DB380" s="195"/>
      <c r="DC380" s="195"/>
      <c r="DD380" s="195"/>
      <c r="DE380" s="195"/>
      <c r="DF380" s="12">
        <v>293</v>
      </c>
      <c r="DG380" s="195"/>
      <c r="DH380" s="195"/>
      <c r="DI380" s="195"/>
      <c r="DJ380" s="195"/>
      <c r="DK380" s="195"/>
      <c r="DL380" s="195"/>
      <c r="DM380" s="195"/>
      <c r="DN380" s="195"/>
      <c r="DO380" s="195"/>
      <c r="DP380" s="195"/>
      <c r="DQ380" s="195"/>
      <c r="DR380" s="195"/>
      <c r="DS380" s="195"/>
      <c r="DT380" s="195"/>
      <c r="DU380" s="195"/>
      <c r="DV380" s="195"/>
      <c r="DW380" s="195"/>
      <c r="DX380" s="12">
        <v>293</v>
      </c>
      <c r="DY380" s="195"/>
      <c r="DZ380" s="195"/>
      <c r="EA380" s="195"/>
      <c r="EB380" s="195"/>
      <c r="EC380" s="195"/>
      <c r="ED380" s="195"/>
      <c r="EE380" s="195"/>
      <c r="EF380" s="195"/>
      <c r="EG380" s="195"/>
      <c r="EH380" s="195"/>
      <c r="EI380" s="195"/>
      <c r="EJ380" s="195"/>
      <c r="EK380" s="195"/>
      <c r="EL380" s="195"/>
      <c r="EM380" s="195"/>
      <c r="EN380" s="195"/>
      <c r="EO380" s="195"/>
      <c r="EP380" s="12">
        <v>293</v>
      </c>
      <c r="EQ380" s="195"/>
      <c r="ER380" s="195"/>
      <c r="ES380" s="195"/>
      <c r="ET380" s="195"/>
      <c r="EU380" s="195"/>
      <c r="EV380" s="195"/>
      <c r="EW380" s="195"/>
      <c r="EX380" s="195"/>
      <c r="EY380" s="195"/>
      <c r="EZ380" s="195"/>
      <c r="FA380" s="195"/>
      <c r="FB380" s="195"/>
      <c r="FC380" s="195"/>
      <c r="FD380" s="195"/>
      <c r="FE380" s="195"/>
      <c r="FF380" s="195"/>
      <c r="FG380" s="195"/>
      <c r="FH380" s="12">
        <v>293</v>
      </c>
      <c r="FI380" s="195"/>
      <c r="FJ380" s="195"/>
      <c r="FK380" s="195"/>
      <c r="FL380" s="195"/>
      <c r="FM380" s="195"/>
      <c r="FN380" s="195"/>
      <c r="FO380" s="195"/>
      <c r="FP380" s="195"/>
      <c r="FQ380" s="195"/>
      <c r="FR380" s="195"/>
      <c r="FS380" s="195"/>
      <c r="FT380" s="195"/>
      <c r="FU380" s="195"/>
      <c r="FV380" s="195"/>
      <c r="FW380" s="195"/>
      <c r="FX380" s="195"/>
      <c r="FY380" s="195"/>
    </row>
    <row r="381" spans="2:181" x14ac:dyDescent="0.25">
      <c r="B381" s="197">
        <v>294</v>
      </c>
      <c r="C381" s="195"/>
      <c r="D381" s="195"/>
      <c r="E381" s="195"/>
      <c r="F381" s="195"/>
      <c r="G381" s="195"/>
      <c r="H381" s="195"/>
      <c r="I381" s="195"/>
      <c r="J381" s="195"/>
      <c r="K381" s="195"/>
      <c r="L381" s="195"/>
      <c r="M381" s="195"/>
      <c r="N381" s="195"/>
      <c r="O381" s="195"/>
      <c r="P381" s="195"/>
      <c r="Q381" s="195"/>
      <c r="R381" s="195"/>
      <c r="S381" s="195"/>
      <c r="T381" s="197">
        <v>294</v>
      </c>
      <c r="U381" s="195"/>
      <c r="V381" s="195"/>
      <c r="W381" s="195"/>
      <c r="X381" s="195"/>
      <c r="Y381" s="195"/>
      <c r="Z381" s="195"/>
      <c r="AA381" s="195"/>
      <c r="AB381" s="195"/>
      <c r="AC381" s="195"/>
      <c r="AD381" s="195"/>
      <c r="AE381" s="195"/>
      <c r="AF381" s="195"/>
      <c r="AG381" s="195"/>
      <c r="AH381" s="195"/>
      <c r="AI381" s="195"/>
      <c r="AJ381" s="195"/>
      <c r="AK381" s="195"/>
      <c r="AL381" s="197">
        <v>294</v>
      </c>
      <c r="AM381" s="195"/>
      <c r="AN381" s="195"/>
      <c r="AO381" s="195"/>
      <c r="AP381" s="195"/>
      <c r="AQ381" s="195"/>
      <c r="AR381" s="195"/>
      <c r="AS381" s="195"/>
      <c r="AT381" s="195"/>
      <c r="AU381" s="195"/>
      <c r="AV381" s="195"/>
      <c r="AW381" s="195"/>
      <c r="AX381" s="195"/>
      <c r="AY381" s="195"/>
      <c r="AZ381" s="195"/>
      <c r="BA381" s="195"/>
      <c r="BB381" s="195"/>
      <c r="BC381" s="195"/>
      <c r="BD381" s="197">
        <v>294</v>
      </c>
      <c r="BE381" s="195"/>
      <c r="BF381" s="195"/>
      <c r="BG381" s="195"/>
      <c r="BH381" s="195"/>
      <c r="BI381" s="195"/>
      <c r="BJ381" s="195"/>
      <c r="BK381" s="195"/>
      <c r="BL381" s="195"/>
      <c r="BM381" s="195"/>
      <c r="BN381" s="195"/>
      <c r="BO381" s="195"/>
      <c r="BP381" s="195"/>
      <c r="BQ381" s="195"/>
      <c r="BR381" s="195"/>
      <c r="BS381" s="195"/>
      <c r="BT381" s="195"/>
      <c r="BU381" s="195"/>
      <c r="BV381" s="197">
        <v>294</v>
      </c>
      <c r="BW381" s="195"/>
      <c r="BX381" s="195"/>
      <c r="BY381" s="195"/>
      <c r="BZ381" s="195"/>
      <c r="CA381" s="195"/>
      <c r="CB381" s="195"/>
      <c r="CC381" s="195"/>
      <c r="CD381" s="195"/>
      <c r="CE381" s="195"/>
      <c r="CF381" s="195"/>
      <c r="CG381" s="195"/>
      <c r="CH381" s="195"/>
      <c r="CI381" s="195"/>
      <c r="CJ381" s="195"/>
      <c r="CK381" s="195"/>
      <c r="CL381" s="195"/>
      <c r="CM381" s="195"/>
      <c r="CN381" s="197">
        <v>294</v>
      </c>
      <c r="CO381" s="195"/>
      <c r="CP381" s="195"/>
      <c r="CQ381" s="195"/>
      <c r="CR381" s="195"/>
      <c r="CS381" s="195"/>
      <c r="CT381" s="195"/>
      <c r="CU381" s="195"/>
      <c r="CV381" s="195"/>
      <c r="CW381" s="195"/>
      <c r="CX381" s="195"/>
      <c r="CY381" s="195"/>
      <c r="CZ381" s="195"/>
      <c r="DA381" s="195"/>
      <c r="DB381" s="195"/>
      <c r="DC381" s="195"/>
      <c r="DD381" s="195"/>
      <c r="DE381" s="195"/>
      <c r="DF381" s="197">
        <v>294</v>
      </c>
      <c r="DG381" s="195"/>
      <c r="DH381" s="195"/>
      <c r="DI381" s="195"/>
      <c r="DJ381" s="195"/>
      <c r="DK381" s="195"/>
      <c r="DL381" s="195"/>
      <c r="DM381" s="195"/>
      <c r="DN381" s="195"/>
      <c r="DO381" s="195"/>
      <c r="DP381" s="195"/>
      <c r="DQ381" s="195"/>
      <c r="DR381" s="195"/>
      <c r="DS381" s="195"/>
      <c r="DT381" s="195"/>
      <c r="DU381" s="195"/>
      <c r="DV381" s="195"/>
      <c r="DW381" s="195"/>
      <c r="DX381" s="197">
        <v>294</v>
      </c>
      <c r="DY381" s="195"/>
      <c r="DZ381" s="195"/>
      <c r="EA381" s="195"/>
      <c r="EB381" s="195"/>
      <c r="EC381" s="195"/>
      <c r="ED381" s="195"/>
      <c r="EE381" s="195"/>
      <c r="EF381" s="195"/>
      <c r="EG381" s="195"/>
      <c r="EH381" s="195"/>
      <c r="EI381" s="195"/>
      <c r="EJ381" s="195"/>
      <c r="EK381" s="195"/>
      <c r="EL381" s="195"/>
      <c r="EM381" s="195"/>
      <c r="EN381" s="195"/>
      <c r="EO381" s="195"/>
      <c r="EP381" s="197">
        <v>294</v>
      </c>
      <c r="EQ381" s="195"/>
      <c r="ER381" s="195"/>
      <c r="ES381" s="195"/>
      <c r="ET381" s="195"/>
      <c r="EU381" s="195"/>
      <c r="EV381" s="195"/>
      <c r="EW381" s="195"/>
      <c r="EX381" s="195"/>
      <c r="EY381" s="195"/>
      <c r="EZ381" s="195"/>
      <c r="FA381" s="195"/>
      <c r="FB381" s="195"/>
      <c r="FC381" s="195"/>
      <c r="FD381" s="195"/>
      <c r="FE381" s="195"/>
      <c r="FF381" s="195"/>
      <c r="FG381" s="195"/>
      <c r="FH381" s="197">
        <v>294</v>
      </c>
      <c r="FI381" s="195"/>
      <c r="FJ381" s="195"/>
      <c r="FK381" s="195"/>
      <c r="FL381" s="195"/>
      <c r="FM381" s="195"/>
      <c r="FN381" s="195"/>
      <c r="FO381" s="195"/>
      <c r="FP381" s="195"/>
      <c r="FQ381" s="195"/>
      <c r="FR381" s="195"/>
      <c r="FS381" s="195"/>
      <c r="FT381" s="195"/>
      <c r="FU381" s="195"/>
      <c r="FV381" s="195"/>
      <c r="FW381" s="195"/>
      <c r="FX381" s="195"/>
      <c r="FY381" s="195"/>
    </row>
    <row r="382" spans="2:181" x14ac:dyDescent="0.25">
      <c r="B382" s="12">
        <v>295</v>
      </c>
      <c r="C382" s="195"/>
      <c r="D382" s="195"/>
      <c r="E382" s="195"/>
      <c r="F382" s="195"/>
      <c r="G382" s="195"/>
      <c r="H382" s="195"/>
      <c r="I382" s="195"/>
      <c r="J382" s="195"/>
      <c r="K382" s="195"/>
      <c r="L382" s="195"/>
      <c r="M382" s="195"/>
      <c r="N382" s="195"/>
      <c r="O382" s="195"/>
      <c r="P382" s="195"/>
      <c r="Q382" s="195"/>
      <c r="R382" s="195"/>
      <c r="S382" s="195"/>
      <c r="T382" s="12">
        <v>295</v>
      </c>
      <c r="U382" s="195"/>
      <c r="V382" s="195"/>
      <c r="W382" s="195"/>
      <c r="X382" s="195"/>
      <c r="Y382" s="195"/>
      <c r="Z382" s="195"/>
      <c r="AA382" s="195"/>
      <c r="AB382" s="195"/>
      <c r="AC382" s="195"/>
      <c r="AD382" s="195"/>
      <c r="AE382" s="195"/>
      <c r="AF382" s="195"/>
      <c r="AG382" s="195"/>
      <c r="AH382" s="195"/>
      <c r="AI382" s="195"/>
      <c r="AJ382" s="195"/>
      <c r="AK382" s="195"/>
      <c r="AL382" s="12">
        <v>295</v>
      </c>
      <c r="AM382" s="195"/>
      <c r="AN382" s="195"/>
      <c r="AO382" s="195"/>
      <c r="AP382" s="195"/>
      <c r="AQ382" s="195"/>
      <c r="AR382" s="195"/>
      <c r="AS382" s="195"/>
      <c r="AT382" s="195"/>
      <c r="AU382" s="195"/>
      <c r="AV382" s="195"/>
      <c r="AW382" s="195"/>
      <c r="AX382" s="195"/>
      <c r="AY382" s="195"/>
      <c r="AZ382" s="195"/>
      <c r="BA382" s="195"/>
      <c r="BB382" s="195"/>
      <c r="BC382" s="195"/>
      <c r="BD382" s="12">
        <v>295</v>
      </c>
      <c r="BE382" s="195"/>
      <c r="BF382" s="195"/>
      <c r="BG382" s="195"/>
      <c r="BH382" s="195"/>
      <c r="BI382" s="195"/>
      <c r="BJ382" s="195"/>
      <c r="BK382" s="195"/>
      <c r="BL382" s="195"/>
      <c r="BM382" s="195"/>
      <c r="BN382" s="195"/>
      <c r="BO382" s="195"/>
      <c r="BP382" s="195"/>
      <c r="BQ382" s="195"/>
      <c r="BR382" s="195"/>
      <c r="BS382" s="195"/>
      <c r="BT382" s="195"/>
      <c r="BU382" s="195"/>
      <c r="BV382" s="12">
        <v>295</v>
      </c>
      <c r="BW382" s="195"/>
      <c r="BX382" s="195"/>
      <c r="BY382" s="195"/>
      <c r="BZ382" s="195"/>
      <c r="CA382" s="195"/>
      <c r="CB382" s="195"/>
      <c r="CC382" s="195"/>
      <c r="CD382" s="195"/>
      <c r="CE382" s="195"/>
      <c r="CF382" s="195"/>
      <c r="CG382" s="195"/>
      <c r="CH382" s="195"/>
      <c r="CI382" s="195"/>
      <c r="CJ382" s="195"/>
      <c r="CK382" s="195"/>
      <c r="CL382" s="195"/>
      <c r="CM382" s="195"/>
      <c r="CN382" s="12">
        <v>295</v>
      </c>
      <c r="CO382" s="195"/>
      <c r="CP382" s="195"/>
      <c r="CQ382" s="195"/>
      <c r="CR382" s="195"/>
      <c r="CS382" s="195"/>
      <c r="CT382" s="195"/>
      <c r="CU382" s="195"/>
      <c r="CV382" s="195"/>
      <c r="CW382" s="195"/>
      <c r="CX382" s="195"/>
      <c r="CY382" s="195"/>
      <c r="CZ382" s="195"/>
      <c r="DA382" s="195"/>
      <c r="DB382" s="195"/>
      <c r="DC382" s="195"/>
      <c r="DD382" s="195"/>
      <c r="DE382" s="195"/>
      <c r="DF382" s="12">
        <v>295</v>
      </c>
      <c r="DG382" s="195"/>
      <c r="DH382" s="195"/>
      <c r="DI382" s="195"/>
      <c r="DJ382" s="195"/>
      <c r="DK382" s="195"/>
      <c r="DL382" s="195"/>
      <c r="DM382" s="195"/>
      <c r="DN382" s="195"/>
      <c r="DO382" s="195"/>
      <c r="DP382" s="195"/>
      <c r="DQ382" s="195"/>
      <c r="DR382" s="195"/>
      <c r="DS382" s="195"/>
      <c r="DT382" s="195"/>
      <c r="DU382" s="195"/>
      <c r="DV382" s="195"/>
      <c r="DW382" s="195"/>
      <c r="DX382" s="12">
        <v>295</v>
      </c>
      <c r="DY382" s="195"/>
      <c r="DZ382" s="195"/>
      <c r="EA382" s="195"/>
      <c r="EB382" s="195"/>
      <c r="EC382" s="195"/>
      <c r="ED382" s="195"/>
      <c r="EE382" s="195"/>
      <c r="EF382" s="195"/>
      <c r="EG382" s="195"/>
      <c r="EH382" s="195"/>
      <c r="EI382" s="195"/>
      <c r="EJ382" s="195"/>
      <c r="EK382" s="195"/>
      <c r="EL382" s="195"/>
      <c r="EM382" s="195"/>
      <c r="EN382" s="195"/>
      <c r="EO382" s="195"/>
      <c r="EP382" s="12">
        <v>295</v>
      </c>
      <c r="EQ382" s="195"/>
      <c r="ER382" s="195"/>
      <c r="ES382" s="195"/>
      <c r="ET382" s="195"/>
      <c r="EU382" s="195"/>
      <c r="EV382" s="195"/>
      <c r="EW382" s="195"/>
      <c r="EX382" s="195"/>
      <c r="EY382" s="195"/>
      <c r="EZ382" s="195"/>
      <c r="FA382" s="195"/>
      <c r="FB382" s="195"/>
      <c r="FC382" s="195"/>
      <c r="FD382" s="195"/>
      <c r="FE382" s="195"/>
      <c r="FF382" s="195"/>
      <c r="FG382" s="195"/>
      <c r="FH382" s="12">
        <v>295</v>
      </c>
      <c r="FI382" s="195"/>
      <c r="FJ382" s="195"/>
      <c r="FK382" s="195"/>
      <c r="FL382" s="195"/>
      <c r="FM382" s="195"/>
      <c r="FN382" s="195"/>
      <c r="FO382" s="195"/>
      <c r="FP382" s="195"/>
      <c r="FQ382" s="195"/>
      <c r="FR382" s="195"/>
      <c r="FS382" s="195"/>
      <c r="FT382" s="195"/>
      <c r="FU382" s="195"/>
      <c r="FV382" s="195"/>
      <c r="FW382" s="195"/>
      <c r="FX382" s="195"/>
      <c r="FY382" s="195"/>
    </row>
    <row r="383" spans="2:181" x14ac:dyDescent="0.25">
      <c r="B383" s="197">
        <v>296</v>
      </c>
      <c r="C383" s="195"/>
      <c r="D383" s="195"/>
      <c r="E383" s="195"/>
      <c r="F383" s="195"/>
      <c r="G383" s="195"/>
      <c r="H383" s="195"/>
      <c r="I383" s="195"/>
      <c r="J383" s="195"/>
      <c r="K383" s="195"/>
      <c r="L383" s="195"/>
      <c r="M383" s="195"/>
      <c r="N383" s="195"/>
      <c r="O383" s="195"/>
      <c r="P383" s="195"/>
      <c r="Q383" s="195"/>
      <c r="R383" s="195"/>
      <c r="S383" s="195"/>
      <c r="T383" s="197">
        <v>296</v>
      </c>
      <c r="U383" s="195"/>
      <c r="V383" s="195"/>
      <c r="W383" s="195"/>
      <c r="X383" s="195"/>
      <c r="Y383" s="195"/>
      <c r="Z383" s="195"/>
      <c r="AA383" s="195"/>
      <c r="AB383" s="195"/>
      <c r="AC383" s="195"/>
      <c r="AD383" s="195"/>
      <c r="AE383" s="195"/>
      <c r="AF383" s="195"/>
      <c r="AG383" s="195"/>
      <c r="AH383" s="195"/>
      <c r="AI383" s="195"/>
      <c r="AJ383" s="195"/>
      <c r="AK383" s="195"/>
      <c r="AL383" s="197">
        <v>296</v>
      </c>
      <c r="AM383" s="195"/>
      <c r="AN383" s="195"/>
      <c r="AO383" s="195"/>
      <c r="AP383" s="195"/>
      <c r="AQ383" s="195"/>
      <c r="AR383" s="195"/>
      <c r="AS383" s="195"/>
      <c r="AT383" s="195"/>
      <c r="AU383" s="195"/>
      <c r="AV383" s="195"/>
      <c r="AW383" s="195"/>
      <c r="AX383" s="195"/>
      <c r="AY383" s="195"/>
      <c r="AZ383" s="195"/>
      <c r="BA383" s="195"/>
      <c r="BB383" s="195"/>
      <c r="BC383" s="195"/>
      <c r="BD383" s="197">
        <v>296</v>
      </c>
      <c r="BE383" s="195"/>
      <c r="BF383" s="195"/>
      <c r="BG383" s="195"/>
      <c r="BH383" s="195"/>
      <c r="BI383" s="195"/>
      <c r="BJ383" s="195"/>
      <c r="BK383" s="195"/>
      <c r="BL383" s="195"/>
      <c r="BM383" s="195"/>
      <c r="BN383" s="195"/>
      <c r="BO383" s="195"/>
      <c r="BP383" s="195"/>
      <c r="BQ383" s="195"/>
      <c r="BR383" s="195"/>
      <c r="BS383" s="195"/>
      <c r="BT383" s="195"/>
      <c r="BU383" s="195"/>
      <c r="BV383" s="197">
        <v>296</v>
      </c>
      <c r="BW383" s="195"/>
      <c r="BX383" s="195"/>
      <c r="BY383" s="195"/>
      <c r="BZ383" s="195"/>
      <c r="CA383" s="195"/>
      <c r="CB383" s="195"/>
      <c r="CC383" s="195"/>
      <c r="CD383" s="195"/>
      <c r="CE383" s="195"/>
      <c r="CF383" s="195"/>
      <c r="CG383" s="195"/>
      <c r="CH383" s="195"/>
      <c r="CI383" s="195"/>
      <c r="CJ383" s="195"/>
      <c r="CK383" s="195"/>
      <c r="CL383" s="195"/>
      <c r="CM383" s="195"/>
      <c r="CN383" s="197">
        <v>296</v>
      </c>
      <c r="CO383" s="195"/>
      <c r="CP383" s="195"/>
      <c r="CQ383" s="195"/>
      <c r="CR383" s="195"/>
      <c r="CS383" s="195"/>
      <c r="CT383" s="195"/>
      <c r="CU383" s="195"/>
      <c r="CV383" s="195"/>
      <c r="CW383" s="195"/>
      <c r="CX383" s="195"/>
      <c r="CY383" s="195"/>
      <c r="CZ383" s="195"/>
      <c r="DA383" s="195"/>
      <c r="DB383" s="195"/>
      <c r="DC383" s="195"/>
      <c r="DD383" s="195"/>
      <c r="DE383" s="195"/>
      <c r="DF383" s="197">
        <v>296</v>
      </c>
      <c r="DG383" s="195"/>
      <c r="DH383" s="195"/>
      <c r="DI383" s="195"/>
      <c r="DJ383" s="195"/>
      <c r="DK383" s="195"/>
      <c r="DL383" s="195"/>
      <c r="DM383" s="195"/>
      <c r="DN383" s="195"/>
      <c r="DO383" s="195"/>
      <c r="DP383" s="195"/>
      <c r="DQ383" s="195"/>
      <c r="DR383" s="195"/>
      <c r="DS383" s="195"/>
      <c r="DT383" s="195"/>
      <c r="DU383" s="195"/>
      <c r="DV383" s="195"/>
      <c r="DW383" s="195"/>
      <c r="DX383" s="197">
        <v>296</v>
      </c>
      <c r="DY383" s="195"/>
      <c r="DZ383" s="195"/>
      <c r="EA383" s="195"/>
      <c r="EB383" s="195"/>
      <c r="EC383" s="195"/>
      <c r="ED383" s="195"/>
      <c r="EE383" s="195"/>
      <c r="EF383" s="195"/>
      <c r="EG383" s="195"/>
      <c r="EH383" s="195"/>
      <c r="EI383" s="195"/>
      <c r="EJ383" s="195"/>
      <c r="EK383" s="195"/>
      <c r="EL383" s="195"/>
      <c r="EM383" s="195"/>
      <c r="EN383" s="195"/>
      <c r="EO383" s="195"/>
      <c r="EP383" s="197">
        <v>296</v>
      </c>
      <c r="EQ383" s="195"/>
      <c r="ER383" s="195"/>
      <c r="ES383" s="195"/>
      <c r="ET383" s="195"/>
      <c r="EU383" s="195"/>
      <c r="EV383" s="195"/>
      <c r="EW383" s="195"/>
      <c r="EX383" s="195"/>
      <c r="EY383" s="195"/>
      <c r="EZ383" s="195"/>
      <c r="FA383" s="195"/>
      <c r="FB383" s="195"/>
      <c r="FC383" s="195"/>
      <c r="FD383" s="195"/>
      <c r="FE383" s="195"/>
      <c r="FF383" s="195"/>
      <c r="FG383" s="195"/>
      <c r="FH383" s="197">
        <v>296</v>
      </c>
      <c r="FI383" s="195"/>
      <c r="FJ383" s="195"/>
      <c r="FK383" s="195"/>
      <c r="FL383" s="195"/>
      <c r="FM383" s="195"/>
      <c r="FN383" s="195"/>
      <c r="FO383" s="195"/>
      <c r="FP383" s="195"/>
      <c r="FQ383" s="195"/>
      <c r="FR383" s="195"/>
      <c r="FS383" s="195"/>
      <c r="FT383" s="195"/>
      <c r="FU383" s="195"/>
      <c r="FV383" s="195"/>
      <c r="FW383" s="195"/>
      <c r="FX383" s="195"/>
      <c r="FY383" s="195"/>
    </row>
    <row r="384" spans="2:181" x14ac:dyDescent="0.25">
      <c r="B384" s="12">
        <v>297</v>
      </c>
      <c r="C384" s="195"/>
      <c r="D384" s="195"/>
      <c r="E384" s="195"/>
      <c r="F384" s="195"/>
      <c r="G384" s="195"/>
      <c r="H384" s="195"/>
      <c r="I384" s="195"/>
      <c r="J384" s="195"/>
      <c r="K384" s="195"/>
      <c r="L384" s="195"/>
      <c r="M384" s="195"/>
      <c r="N384" s="195"/>
      <c r="O384" s="195"/>
      <c r="P384" s="195"/>
      <c r="Q384" s="195"/>
      <c r="R384" s="195"/>
      <c r="S384" s="195"/>
      <c r="T384" s="12">
        <v>297</v>
      </c>
      <c r="U384" s="195"/>
      <c r="V384" s="195"/>
      <c r="W384" s="195"/>
      <c r="X384" s="195"/>
      <c r="Y384" s="195"/>
      <c r="Z384" s="195"/>
      <c r="AA384" s="195"/>
      <c r="AB384" s="195"/>
      <c r="AC384" s="195"/>
      <c r="AD384" s="195"/>
      <c r="AE384" s="195"/>
      <c r="AF384" s="195"/>
      <c r="AG384" s="195"/>
      <c r="AH384" s="195"/>
      <c r="AI384" s="195"/>
      <c r="AJ384" s="195"/>
      <c r="AK384" s="195"/>
      <c r="AL384" s="12">
        <v>297</v>
      </c>
      <c r="AM384" s="195"/>
      <c r="AN384" s="195"/>
      <c r="AO384" s="195"/>
      <c r="AP384" s="195"/>
      <c r="AQ384" s="195"/>
      <c r="AR384" s="195"/>
      <c r="AS384" s="195"/>
      <c r="AT384" s="195"/>
      <c r="AU384" s="195"/>
      <c r="AV384" s="195"/>
      <c r="AW384" s="195"/>
      <c r="AX384" s="195"/>
      <c r="AY384" s="195"/>
      <c r="AZ384" s="195"/>
      <c r="BA384" s="195"/>
      <c r="BB384" s="195"/>
      <c r="BC384" s="195"/>
      <c r="BD384" s="12">
        <v>297</v>
      </c>
      <c r="BE384" s="195"/>
      <c r="BF384" s="195"/>
      <c r="BG384" s="195"/>
      <c r="BH384" s="195"/>
      <c r="BI384" s="195"/>
      <c r="BJ384" s="195"/>
      <c r="BK384" s="195"/>
      <c r="BL384" s="195"/>
      <c r="BM384" s="195"/>
      <c r="BN384" s="195"/>
      <c r="BO384" s="195"/>
      <c r="BP384" s="195"/>
      <c r="BQ384" s="195"/>
      <c r="BR384" s="195"/>
      <c r="BS384" s="195"/>
      <c r="BT384" s="195"/>
      <c r="BU384" s="195"/>
      <c r="BV384" s="12">
        <v>297</v>
      </c>
      <c r="BW384" s="195"/>
      <c r="BX384" s="195"/>
      <c r="BY384" s="195"/>
      <c r="BZ384" s="195"/>
      <c r="CA384" s="195"/>
      <c r="CB384" s="195"/>
      <c r="CC384" s="195"/>
      <c r="CD384" s="195"/>
      <c r="CE384" s="195"/>
      <c r="CF384" s="195"/>
      <c r="CG384" s="195"/>
      <c r="CH384" s="195"/>
      <c r="CI384" s="195"/>
      <c r="CJ384" s="195"/>
      <c r="CK384" s="195"/>
      <c r="CL384" s="195"/>
      <c r="CM384" s="195"/>
      <c r="CN384" s="12">
        <v>297</v>
      </c>
      <c r="CO384" s="195"/>
      <c r="CP384" s="195"/>
      <c r="CQ384" s="195"/>
      <c r="CR384" s="195"/>
      <c r="CS384" s="195"/>
      <c r="CT384" s="195"/>
      <c r="CU384" s="195"/>
      <c r="CV384" s="195"/>
      <c r="CW384" s="195"/>
      <c r="CX384" s="195"/>
      <c r="CY384" s="195"/>
      <c r="CZ384" s="195"/>
      <c r="DA384" s="195"/>
      <c r="DB384" s="195"/>
      <c r="DC384" s="195"/>
      <c r="DD384" s="195"/>
      <c r="DE384" s="195"/>
      <c r="DF384" s="12">
        <v>297</v>
      </c>
      <c r="DG384" s="195"/>
      <c r="DH384" s="195"/>
      <c r="DI384" s="195"/>
      <c r="DJ384" s="195"/>
      <c r="DK384" s="195"/>
      <c r="DL384" s="195"/>
      <c r="DM384" s="195"/>
      <c r="DN384" s="195"/>
      <c r="DO384" s="195"/>
      <c r="DP384" s="195"/>
      <c r="DQ384" s="195"/>
      <c r="DR384" s="195"/>
      <c r="DS384" s="195"/>
      <c r="DT384" s="195"/>
      <c r="DU384" s="195"/>
      <c r="DV384" s="195"/>
      <c r="DW384" s="195"/>
      <c r="DX384" s="12">
        <v>297</v>
      </c>
      <c r="DY384" s="195"/>
      <c r="DZ384" s="195"/>
      <c r="EA384" s="195"/>
      <c r="EB384" s="195"/>
      <c r="EC384" s="195"/>
      <c r="ED384" s="195"/>
      <c r="EE384" s="195"/>
      <c r="EF384" s="195"/>
      <c r="EG384" s="195"/>
      <c r="EH384" s="195"/>
      <c r="EI384" s="195"/>
      <c r="EJ384" s="195"/>
      <c r="EK384" s="195"/>
      <c r="EL384" s="195"/>
      <c r="EM384" s="195"/>
      <c r="EN384" s="195"/>
      <c r="EO384" s="195"/>
      <c r="EP384" s="12">
        <v>297</v>
      </c>
      <c r="EQ384" s="195"/>
      <c r="ER384" s="195"/>
      <c r="ES384" s="195"/>
      <c r="ET384" s="195"/>
      <c r="EU384" s="195"/>
      <c r="EV384" s="195"/>
      <c r="EW384" s="195"/>
      <c r="EX384" s="195"/>
      <c r="EY384" s="195"/>
      <c r="EZ384" s="195"/>
      <c r="FA384" s="195"/>
      <c r="FB384" s="195"/>
      <c r="FC384" s="195"/>
      <c r="FD384" s="195"/>
      <c r="FE384" s="195"/>
      <c r="FF384" s="195"/>
      <c r="FG384" s="195"/>
      <c r="FH384" s="12">
        <v>297</v>
      </c>
      <c r="FI384" s="195"/>
      <c r="FJ384" s="195"/>
      <c r="FK384" s="195"/>
      <c r="FL384" s="195"/>
      <c r="FM384" s="195"/>
      <c r="FN384" s="195"/>
      <c r="FO384" s="195"/>
      <c r="FP384" s="195"/>
      <c r="FQ384" s="195"/>
      <c r="FR384" s="195"/>
      <c r="FS384" s="195"/>
      <c r="FT384" s="195"/>
      <c r="FU384" s="195"/>
      <c r="FV384" s="195"/>
      <c r="FW384" s="195"/>
      <c r="FX384" s="195"/>
      <c r="FY384" s="195"/>
    </row>
    <row r="385" spans="2:181" x14ac:dyDescent="0.25">
      <c r="B385" s="197">
        <v>298</v>
      </c>
      <c r="C385" s="195"/>
      <c r="D385" s="195"/>
      <c r="E385" s="195"/>
      <c r="F385" s="195"/>
      <c r="G385" s="195"/>
      <c r="H385" s="195"/>
      <c r="I385" s="195"/>
      <c r="J385" s="195"/>
      <c r="K385" s="195"/>
      <c r="L385" s="195"/>
      <c r="M385" s="195"/>
      <c r="N385" s="195"/>
      <c r="O385" s="195"/>
      <c r="P385" s="195"/>
      <c r="Q385" s="195"/>
      <c r="R385" s="195"/>
      <c r="S385" s="195"/>
      <c r="T385" s="197">
        <v>298</v>
      </c>
      <c r="U385" s="195"/>
      <c r="V385" s="195"/>
      <c r="W385" s="195"/>
      <c r="X385" s="195"/>
      <c r="Y385" s="195"/>
      <c r="Z385" s="195"/>
      <c r="AA385" s="195"/>
      <c r="AB385" s="195"/>
      <c r="AC385" s="195"/>
      <c r="AD385" s="195"/>
      <c r="AE385" s="195"/>
      <c r="AF385" s="195"/>
      <c r="AG385" s="195"/>
      <c r="AH385" s="195"/>
      <c r="AI385" s="195"/>
      <c r="AJ385" s="195"/>
      <c r="AK385" s="195"/>
      <c r="AL385" s="197">
        <v>298</v>
      </c>
      <c r="AM385" s="195"/>
      <c r="AN385" s="195"/>
      <c r="AO385" s="195"/>
      <c r="AP385" s="195"/>
      <c r="AQ385" s="195"/>
      <c r="AR385" s="195"/>
      <c r="AS385" s="195"/>
      <c r="AT385" s="195"/>
      <c r="AU385" s="195"/>
      <c r="AV385" s="195"/>
      <c r="AW385" s="195"/>
      <c r="AX385" s="195"/>
      <c r="AY385" s="195"/>
      <c r="AZ385" s="195"/>
      <c r="BA385" s="195"/>
      <c r="BB385" s="195"/>
      <c r="BC385" s="195"/>
      <c r="BD385" s="197">
        <v>298</v>
      </c>
      <c r="BE385" s="195"/>
      <c r="BF385" s="195"/>
      <c r="BG385" s="195"/>
      <c r="BH385" s="195"/>
      <c r="BI385" s="195"/>
      <c r="BJ385" s="195"/>
      <c r="BK385" s="195"/>
      <c r="BL385" s="195"/>
      <c r="BM385" s="195"/>
      <c r="BN385" s="195"/>
      <c r="BO385" s="195"/>
      <c r="BP385" s="195"/>
      <c r="BQ385" s="195"/>
      <c r="BR385" s="195"/>
      <c r="BS385" s="195"/>
      <c r="BT385" s="195"/>
      <c r="BU385" s="195"/>
      <c r="BV385" s="197">
        <v>298</v>
      </c>
      <c r="BW385" s="195"/>
      <c r="BX385" s="195"/>
      <c r="BY385" s="195"/>
      <c r="BZ385" s="195"/>
      <c r="CA385" s="195"/>
      <c r="CB385" s="195"/>
      <c r="CC385" s="195"/>
      <c r="CD385" s="195"/>
      <c r="CE385" s="195"/>
      <c r="CF385" s="195"/>
      <c r="CG385" s="195"/>
      <c r="CH385" s="195"/>
      <c r="CI385" s="195"/>
      <c r="CJ385" s="195"/>
      <c r="CK385" s="195"/>
      <c r="CL385" s="195"/>
      <c r="CM385" s="195"/>
      <c r="CN385" s="197">
        <v>298</v>
      </c>
      <c r="CO385" s="195"/>
      <c r="CP385" s="195"/>
      <c r="CQ385" s="195"/>
      <c r="CR385" s="195"/>
      <c r="CS385" s="195"/>
      <c r="CT385" s="195"/>
      <c r="CU385" s="195"/>
      <c r="CV385" s="195"/>
      <c r="CW385" s="195"/>
      <c r="CX385" s="195"/>
      <c r="CY385" s="195"/>
      <c r="CZ385" s="195"/>
      <c r="DA385" s="195"/>
      <c r="DB385" s="195"/>
      <c r="DC385" s="195"/>
      <c r="DD385" s="195"/>
      <c r="DE385" s="195"/>
      <c r="DF385" s="197">
        <v>298</v>
      </c>
      <c r="DG385" s="195"/>
      <c r="DH385" s="195"/>
      <c r="DI385" s="195"/>
      <c r="DJ385" s="195"/>
      <c r="DK385" s="195"/>
      <c r="DL385" s="195"/>
      <c r="DM385" s="195"/>
      <c r="DN385" s="195"/>
      <c r="DO385" s="195"/>
      <c r="DP385" s="195"/>
      <c r="DQ385" s="195"/>
      <c r="DR385" s="195"/>
      <c r="DS385" s="195"/>
      <c r="DT385" s="195"/>
      <c r="DU385" s="195"/>
      <c r="DV385" s="195"/>
      <c r="DW385" s="195"/>
      <c r="DX385" s="197">
        <v>298</v>
      </c>
      <c r="DY385" s="195"/>
      <c r="DZ385" s="195"/>
      <c r="EA385" s="195"/>
      <c r="EB385" s="195"/>
      <c r="EC385" s="195"/>
      <c r="ED385" s="195"/>
      <c r="EE385" s="195"/>
      <c r="EF385" s="195"/>
      <c r="EG385" s="195"/>
      <c r="EH385" s="195"/>
      <c r="EI385" s="195"/>
      <c r="EJ385" s="195"/>
      <c r="EK385" s="195"/>
      <c r="EL385" s="195"/>
      <c r="EM385" s="195"/>
      <c r="EN385" s="195"/>
      <c r="EO385" s="195"/>
      <c r="EP385" s="197">
        <v>298</v>
      </c>
      <c r="EQ385" s="195"/>
      <c r="ER385" s="195"/>
      <c r="ES385" s="195"/>
      <c r="ET385" s="195"/>
      <c r="EU385" s="195"/>
      <c r="EV385" s="195"/>
      <c r="EW385" s="195"/>
      <c r="EX385" s="195"/>
      <c r="EY385" s="195"/>
      <c r="EZ385" s="195"/>
      <c r="FA385" s="195"/>
      <c r="FB385" s="195"/>
      <c r="FC385" s="195"/>
      <c r="FD385" s="195"/>
      <c r="FE385" s="195"/>
      <c r="FF385" s="195"/>
      <c r="FG385" s="195"/>
      <c r="FH385" s="197">
        <v>298</v>
      </c>
      <c r="FI385" s="195"/>
      <c r="FJ385" s="195"/>
      <c r="FK385" s="195"/>
      <c r="FL385" s="195"/>
      <c r="FM385" s="195"/>
      <c r="FN385" s="195"/>
      <c r="FO385" s="195"/>
      <c r="FP385" s="195"/>
      <c r="FQ385" s="195"/>
      <c r="FR385" s="195"/>
      <c r="FS385" s="195"/>
      <c r="FT385" s="195"/>
      <c r="FU385" s="195"/>
      <c r="FV385" s="195"/>
      <c r="FW385" s="195"/>
      <c r="FX385" s="195"/>
      <c r="FY385" s="195"/>
    </row>
    <row r="386" spans="2:181" x14ac:dyDescent="0.25">
      <c r="B386" s="12">
        <v>299</v>
      </c>
      <c r="C386" s="195"/>
      <c r="D386" s="195"/>
      <c r="E386" s="195"/>
      <c r="F386" s="195"/>
      <c r="G386" s="195"/>
      <c r="H386" s="195"/>
      <c r="I386" s="195"/>
      <c r="J386" s="195"/>
      <c r="K386" s="195"/>
      <c r="L386" s="195"/>
      <c r="M386" s="195"/>
      <c r="N386" s="195"/>
      <c r="O386" s="195"/>
      <c r="P386" s="195"/>
      <c r="Q386" s="195"/>
      <c r="R386" s="195"/>
      <c r="S386" s="195"/>
      <c r="T386" s="12">
        <v>299</v>
      </c>
      <c r="U386" s="195"/>
      <c r="V386" s="195"/>
      <c r="W386" s="195"/>
      <c r="X386" s="195"/>
      <c r="Y386" s="195"/>
      <c r="Z386" s="195"/>
      <c r="AA386" s="195"/>
      <c r="AB386" s="195"/>
      <c r="AC386" s="195"/>
      <c r="AD386" s="195"/>
      <c r="AE386" s="195"/>
      <c r="AF386" s="195"/>
      <c r="AG386" s="195"/>
      <c r="AH386" s="195"/>
      <c r="AI386" s="195"/>
      <c r="AJ386" s="195"/>
      <c r="AK386" s="195"/>
      <c r="AL386" s="12">
        <v>299</v>
      </c>
      <c r="AM386" s="195"/>
      <c r="AN386" s="195"/>
      <c r="AO386" s="195"/>
      <c r="AP386" s="195"/>
      <c r="AQ386" s="195"/>
      <c r="AR386" s="195"/>
      <c r="AS386" s="195"/>
      <c r="AT386" s="195"/>
      <c r="AU386" s="195"/>
      <c r="AV386" s="195"/>
      <c r="AW386" s="195"/>
      <c r="AX386" s="195"/>
      <c r="AY386" s="195"/>
      <c r="AZ386" s="195"/>
      <c r="BA386" s="195"/>
      <c r="BB386" s="195"/>
      <c r="BC386" s="195"/>
      <c r="BD386" s="12">
        <v>299</v>
      </c>
      <c r="BE386" s="195"/>
      <c r="BF386" s="195"/>
      <c r="BG386" s="195"/>
      <c r="BH386" s="195"/>
      <c r="BI386" s="195"/>
      <c r="BJ386" s="195"/>
      <c r="BK386" s="195"/>
      <c r="BL386" s="195"/>
      <c r="BM386" s="195"/>
      <c r="BN386" s="195"/>
      <c r="BO386" s="195"/>
      <c r="BP386" s="195"/>
      <c r="BQ386" s="195"/>
      <c r="BR386" s="195"/>
      <c r="BS386" s="195"/>
      <c r="BT386" s="195"/>
      <c r="BU386" s="195"/>
      <c r="BV386" s="12">
        <v>299</v>
      </c>
      <c r="BW386" s="195"/>
      <c r="BX386" s="195"/>
      <c r="BY386" s="195"/>
      <c r="BZ386" s="195"/>
      <c r="CA386" s="195"/>
      <c r="CB386" s="195"/>
      <c r="CC386" s="195"/>
      <c r="CD386" s="195"/>
      <c r="CE386" s="195"/>
      <c r="CF386" s="195"/>
      <c r="CG386" s="195"/>
      <c r="CH386" s="195"/>
      <c r="CI386" s="195"/>
      <c r="CJ386" s="195"/>
      <c r="CK386" s="195"/>
      <c r="CL386" s="195"/>
      <c r="CM386" s="195"/>
      <c r="CN386" s="12">
        <v>299</v>
      </c>
      <c r="CO386" s="195"/>
      <c r="CP386" s="195"/>
      <c r="CQ386" s="195"/>
      <c r="CR386" s="195"/>
      <c r="CS386" s="195"/>
      <c r="CT386" s="195"/>
      <c r="CU386" s="195"/>
      <c r="CV386" s="195"/>
      <c r="CW386" s="195"/>
      <c r="CX386" s="195"/>
      <c r="CY386" s="195"/>
      <c r="CZ386" s="195"/>
      <c r="DA386" s="195"/>
      <c r="DB386" s="195"/>
      <c r="DC386" s="195"/>
      <c r="DD386" s="195"/>
      <c r="DE386" s="195"/>
      <c r="DF386" s="12">
        <v>299</v>
      </c>
      <c r="DG386" s="195"/>
      <c r="DH386" s="195"/>
      <c r="DI386" s="195"/>
      <c r="DJ386" s="195"/>
      <c r="DK386" s="195"/>
      <c r="DL386" s="195"/>
      <c r="DM386" s="195"/>
      <c r="DN386" s="195"/>
      <c r="DO386" s="195"/>
      <c r="DP386" s="195"/>
      <c r="DQ386" s="195"/>
      <c r="DR386" s="195"/>
      <c r="DS386" s="195"/>
      <c r="DT386" s="195"/>
      <c r="DU386" s="195"/>
      <c r="DV386" s="195"/>
      <c r="DW386" s="195"/>
      <c r="DX386" s="12">
        <v>299</v>
      </c>
      <c r="DY386" s="195"/>
      <c r="DZ386" s="195"/>
      <c r="EA386" s="195"/>
      <c r="EB386" s="195"/>
      <c r="EC386" s="195"/>
      <c r="ED386" s="195"/>
      <c r="EE386" s="195"/>
      <c r="EF386" s="195"/>
      <c r="EG386" s="195"/>
      <c r="EH386" s="195"/>
      <c r="EI386" s="195"/>
      <c r="EJ386" s="195"/>
      <c r="EK386" s="195"/>
      <c r="EL386" s="195"/>
      <c r="EM386" s="195"/>
      <c r="EN386" s="195"/>
      <c r="EO386" s="195"/>
      <c r="EP386" s="12">
        <v>299</v>
      </c>
      <c r="EQ386" s="195"/>
      <c r="ER386" s="195"/>
      <c r="ES386" s="195"/>
      <c r="ET386" s="195"/>
      <c r="EU386" s="195"/>
      <c r="EV386" s="195"/>
      <c r="EW386" s="195"/>
      <c r="EX386" s="195"/>
      <c r="EY386" s="195"/>
      <c r="EZ386" s="195"/>
      <c r="FA386" s="195"/>
      <c r="FB386" s="195"/>
      <c r="FC386" s="195"/>
      <c r="FD386" s="195"/>
      <c r="FE386" s="195"/>
      <c r="FF386" s="195"/>
      <c r="FG386" s="195"/>
      <c r="FH386" s="12">
        <v>299</v>
      </c>
      <c r="FI386" s="195"/>
      <c r="FJ386" s="195"/>
      <c r="FK386" s="195"/>
      <c r="FL386" s="195"/>
      <c r="FM386" s="195"/>
      <c r="FN386" s="195"/>
      <c r="FO386" s="195"/>
      <c r="FP386" s="195"/>
      <c r="FQ386" s="195"/>
      <c r="FR386" s="195"/>
      <c r="FS386" s="195"/>
      <c r="FT386" s="195"/>
      <c r="FU386" s="195"/>
      <c r="FV386" s="195"/>
      <c r="FW386" s="195"/>
      <c r="FX386" s="195"/>
      <c r="FY386" s="195"/>
    </row>
    <row r="387" spans="2:181" x14ac:dyDescent="0.25">
      <c r="B387" s="197">
        <v>300</v>
      </c>
      <c r="C387" s="195"/>
      <c r="D387" s="195"/>
      <c r="E387" s="195"/>
      <c r="F387" s="195"/>
      <c r="G387" s="195"/>
      <c r="H387" s="195"/>
      <c r="I387" s="195"/>
      <c r="J387" s="195"/>
      <c r="K387" s="195"/>
      <c r="L387" s="195"/>
      <c r="M387" s="195"/>
      <c r="N387" s="195"/>
      <c r="O387" s="195"/>
      <c r="P387" s="195"/>
      <c r="Q387" s="195"/>
      <c r="R387" s="195"/>
      <c r="S387" s="195"/>
      <c r="T387" s="197">
        <v>300</v>
      </c>
      <c r="U387" s="195"/>
      <c r="V387" s="195"/>
      <c r="W387" s="195"/>
      <c r="X387" s="195"/>
      <c r="Y387" s="195"/>
      <c r="Z387" s="195"/>
      <c r="AA387" s="195"/>
      <c r="AB387" s="195"/>
      <c r="AC387" s="195"/>
      <c r="AD387" s="195"/>
      <c r="AE387" s="195"/>
      <c r="AF387" s="195"/>
      <c r="AG387" s="195"/>
      <c r="AH387" s="195"/>
      <c r="AI387" s="195"/>
      <c r="AJ387" s="195"/>
      <c r="AK387" s="195"/>
      <c r="AL387" s="197">
        <v>300</v>
      </c>
      <c r="AM387" s="195"/>
      <c r="AN387" s="195"/>
      <c r="AO387" s="195"/>
      <c r="AP387" s="195"/>
      <c r="AQ387" s="195"/>
      <c r="AR387" s="195"/>
      <c r="AS387" s="195"/>
      <c r="AT387" s="195"/>
      <c r="AU387" s="195"/>
      <c r="AV387" s="195"/>
      <c r="AW387" s="195"/>
      <c r="AX387" s="195"/>
      <c r="AY387" s="195"/>
      <c r="AZ387" s="195"/>
      <c r="BA387" s="195"/>
      <c r="BB387" s="195"/>
      <c r="BC387" s="195"/>
      <c r="BD387" s="197">
        <v>300</v>
      </c>
      <c r="BE387" s="195"/>
      <c r="BF387" s="195"/>
      <c r="BG387" s="195"/>
      <c r="BH387" s="195"/>
      <c r="BI387" s="195"/>
      <c r="BJ387" s="195"/>
      <c r="BK387" s="195"/>
      <c r="BL387" s="195"/>
      <c r="BM387" s="195"/>
      <c r="BN387" s="195"/>
      <c r="BO387" s="195"/>
      <c r="BP387" s="195"/>
      <c r="BQ387" s="195"/>
      <c r="BR387" s="195"/>
      <c r="BS387" s="195"/>
      <c r="BT387" s="195"/>
      <c r="BU387" s="195"/>
      <c r="BV387" s="197">
        <v>300</v>
      </c>
      <c r="BW387" s="195"/>
      <c r="BX387" s="195"/>
      <c r="BY387" s="195"/>
      <c r="BZ387" s="195"/>
      <c r="CA387" s="195"/>
      <c r="CB387" s="195"/>
      <c r="CC387" s="195"/>
      <c r="CD387" s="195"/>
      <c r="CE387" s="195"/>
      <c r="CF387" s="195"/>
      <c r="CG387" s="195"/>
      <c r="CH387" s="195"/>
      <c r="CI387" s="195"/>
      <c r="CJ387" s="195"/>
      <c r="CK387" s="195"/>
      <c r="CL387" s="195"/>
      <c r="CM387" s="195"/>
      <c r="CN387" s="197">
        <v>300</v>
      </c>
      <c r="CO387" s="195"/>
      <c r="CP387" s="195"/>
      <c r="CQ387" s="195"/>
      <c r="CR387" s="195"/>
      <c r="CS387" s="195"/>
      <c r="CT387" s="195"/>
      <c r="CU387" s="195"/>
      <c r="CV387" s="195"/>
      <c r="CW387" s="195"/>
      <c r="CX387" s="195"/>
      <c r="CY387" s="195"/>
      <c r="CZ387" s="195"/>
      <c r="DA387" s="195"/>
      <c r="DB387" s="195"/>
      <c r="DC387" s="195"/>
      <c r="DD387" s="195"/>
      <c r="DE387" s="195"/>
      <c r="DF387" s="197">
        <v>300</v>
      </c>
      <c r="DG387" s="195"/>
      <c r="DH387" s="195"/>
      <c r="DI387" s="195"/>
      <c r="DJ387" s="195"/>
      <c r="DK387" s="195"/>
      <c r="DL387" s="195"/>
      <c r="DM387" s="195"/>
      <c r="DN387" s="195"/>
      <c r="DO387" s="195"/>
      <c r="DP387" s="195"/>
      <c r="DQ387" s="195"/>
      <c r="DR387" s="195"/>
      <c r="DS387" s="195"/>
      <c r="DT387" s="195"/>
      <c r="DU387" s="195"/>
      <c r="DV387" s="195"/>
      <c r="DW387" s="195"/>
      <c r="DX387" s="197">
        <v>300</v>
      </c>
      <c r="DY387" s="195"/>
      <c r="DZ387" s="195"/>
      <c r="EA387" s="195"/>
      <c r="EB387" s="195"/>
      <c r="EC387" s="195"/>
      <c r="ED387" s="195"/>
      <c r="EE387" s="195"/>
      <c r="EF387" s="195"/>
      <c r="EG387" s="195"/>
      <c r="EH387" s="195"/>
      <c r="EI387" s="195"/>
      <c r="EJ387" s="195"/>
      <c r="EK387" s="195"/>
      <c r="EL387" s="195"/>
      <c r="EM387" s="195"/>
      <c r="EN387" s="195"/>
      <c r="EO387" s="195"/>
      <c r="EP387" s="197">
        <v>300</v>
      </c>
      <c r="EQ387" s="195"/>
      <c r="ER387" s="195"/>
      <c r="ES387" s="195"/>
      <c r="ET387" s="195"/>
      <c r="EU387" s="195"/>
      <c r="EV387" s="195"/>
      <c r="EW387" s="195"/>
      <c r="EX387" s="195"/>
      <c r="EY387" s="195"/>
      <c r="EZ387" s="195"/>
      <c r="FA387" s="195"/>
      <c r="FB387" s="195"/>
      <c r="FC387" s="195"/>
      <c r="FD387" s="195"/>
      <c r="FE387" s="195"/>
      <c r="FF387" s="195"/>
      <c r="FG387" s="195"/>
      <c r="FH387" s="197">
        <v>300</v>
      </c>
      <c r="FI387" s="195"/>
      <c r="FJ387" s="195"/>
      <c r="FK387" s="195"/>
      <c r="FL387" s="195"/>
      <c r="FM387" s="195"/>
      <c r="FN387" s="195"/>
      <c r="FO387" s="195"/>
      <c r="FP387" s="195"/>
      <c r="FQ387" s="195"/>
      <c r="FR387" s="195"/>
      <c r="FS387" s="195"/>
      <c r="FT387" s="195"/>
      <c r="FU387" s="195"/>
      <c r="FV387" s="195"/>
      <c r="FW387" s="195"/>
      <c r="FX387" s="195"/>
      <c r="FY387" s="195"/>
    </row>
    <row r="388" spans="2:181" x14ac:dyDescent="0.25">
      <c r="B388" s="176"/>
      <c r="C388" s="198"/>
      <c r="D388" s="198"/>
      <c r="E388" s="198"/>
      <c r="F388" s="198"/>
      <c r="G388" s="198"/>
      <c r="H388" s="198"/>
      <c r="I388" s="198"/>
      <c r="J388" s="198"/>
      <c r="K388" s="198"/>
      <c r="L388" s="198"/>
      <c r="M388" s="198"/>
      <c r="N388" s="198"/>
      <c r="O388" s="198"/>
      <c r="P388" s="198"/>
      <c r="Q388" s="198"/>
      <c r="R388" s="198"/>
      <c r="S388" s="198"/>
      <c r="T388" s="176"/>
      <c r="U388" s="198"/>
      <c r="V388" s="198"/>
      <c r="W388" s="198"/>
      <c r="X388" s="198"/>
      <c r="Y388" s="198"/>
      <c r="Z388" s="198"/>
      <c r="AA388" s="198"/>
      <c r="AB388" s="198"/>
      <c r="AC388" s="198"/>
      <c r="AD388" s="198"/>
      <c r="AE388" s="198"/>
      <c r="AF388" s="198"/>
      <c r="AG388" s="198"/>
      <c r="AH388" s="198"/>
      <c r="AI388" s="198"/>
      <c r="AJ388" s="198"/>
      <c r="AK388" s="198"/>
      <c r="AL388" s="176"/>
      <c r="AM388" s="198"/>
      <c r="AN388" s="198"/>
      <c r="AO388" s="198"/>
      <c r="AP388" s="198"/>
      <c r="AQ388" s="198"/>
      <c r="AR388" s="198"/>
      <c r="AS388" s="198"/>
      <c r="AT388" s="198"/>
      <c r="AU388" s="198"/>
      <c r="AV388" s="198"/>
      <c r="AW388" s="198"/>
      <c r="AX388" s="198"/>
      <c r="AY388" s="198"/>
      <c r="AZ388" s="198"/>
      <c r="BA388" s="198"/>
      <c r="BB388" s="198"/>
      <c r="BC388" s="198"/>
      <c r="BD388" s="176"/>
      <c r="BE388" s="198"/>
      <c r="BF388" s="198"/>
      <c r="BG388" s="198"/>
      <c r="BH388" s="198"/>
      <c r="BI388" s="198"/>
      <c r="BJ388" s="198"/>
      <c r="BK388" s="198"/>
      <c r="BL388" s="198"/>
      <c r="BM388" s="198"/>
      <c r="BN388" s="198"/>
      <c r="BO388" s="198"/>
      <c r="BP388" s="198"/>
      <c r="BQ388" s="198"/>
      <c r="BR388" s="198"/>
      <c r="BS388" s="198"/>
      <c r="BT388" s="198"/>
      <c r="BU388" s="198"/>
      <c r="BV388" s="176"/>
      <c r="BW388" s="198"/>
      <c r="BX388" s="198"/>
      <c r="BY388" s="198"/>
      <c r="BZ388" s="198"/>
      <c r="CA388" s="198"/>
      <c r="CB388" s="198"/>
      <c r="CC388" s="198"/>
      <c r="CD388" s="198"/>
      <c r="CE388" s="198"/>
      <c r="CF388" s="198"/>
      <c r="CG388" s="198"/>
      <c r="CH388" s="198"/>
      <c r="CI388" s="198"/>
      <c r="CJ388" s="198"/>
      <c r="CK388" s="198"/>
      <c r="CL388" s="198"/>
      <c r="CM388" s="198"/>
      <c r="CN388" s="176"/>
      <c r="CO388" s="198"/>
      <c r="CP388" s="198"/>
      <c r="CQ388" s="198"/>
      <c r="CR388" s="198"/>
      <c r="CS388" s="198"/>
      <c r="CT388" s="198"/>
      <c r="CU388" s="198"/>
      <c r="CV388" s="198"/>
      <c r="CW388" s="198"/>
      <c r="CX388" s="198"/>
      <c r="CY388" s="198"/>
      <c r="CZ388" s="198"/>
      <c r="DA388" s="198"/>
      <c r="DB388" s="198"/>
      <c r="DC388" s="198"/>
      <c r="DD388" s="198"/>
      <c r="DE388" s="198"/>
      <c r="DF388" s="176"/>
      <c r="DG388" s="198"/>
      <c r="DH388" s="198"/>
      <c r="DI388" s="198"/>
      <c r="DJ388" s="198"/>
      <c r="DK388" s="198"/>
      <c r="DL388" s="198"/>
      <c r="DM388" s="198"/>
      <c r="DN388" s="198"/>
      <c r="DO388" s="198"/>
      <c r="DP388" s="198"/>
      <c r="DQ388" s="198"/>
      <c r="DR388" s="198"/>
      <c r="DS388" s="198"/>
      <c r="DT388" s="198"/>
      <c r="DU388" s="198"/>
      <c r="DV388" s="198"/>
      <c r="DW388" s="198"/>
      <c r="DX388" s="176"/>
      <c r="DY388" s="198"/>
      <c r="DZ388" s="198"/>
      <c r="EA388" s="198"/>
      <c r="EB388" s="198"/>
      <c r="EC388" s="198"/>
      <c r="ED388" s="198"/>
      <c r="EE388" s="198"/>
      <c r="EF388" s="198"/>
      <c r="EG388" s="198"/>
      <c r="EH388" s="198"/>
      <c r="EI388" s="198"/>
      <c r="EJ388" s="198"/>
      <c r="EK388" s="198"/>
      <c r="EL388" s="198"/>
      <c r="EM388" s="198"/>
      <c r="EN388" s="198"/>
      <c r="EO388" s="198"/>
      <c r="EP388" s="176"/>
      <c r="EQ388" s="198"/>
      <c r="ER388" s="198"/>
      <c r="ES388" s="198"/>
      <c r="ET388" s="198"/>
      <c r="EU388" s="198"/>
      <c r="EV388" s="198"/>
      <c r="EW388" s="198"/>
      <c r="EX388" s="198"/>
      <c r="EY388" s="198"/>
      <c r="EZ388" s="198"/>
      <c r="FA388" s="198"/>
      <c r="FB388" s="198"/>
      <c r="FC388" s="198"/>
      <c r="FD388" s="198"/>
      <c r="FE388" s="198"/>
      <c r="FF388" s="198"/>
      <c r="FG388" s="198"/>
      <c r="FH388" s="176"/>
      <c r="FI388" s="198"/>
      <c r="FJ388" s="198"/>
      <c r="FK388" s="198"/>
      <c r="FL388" s="198"/>
      <c r="FM388" s="198"/>
      <c r="FN388" s="198"/>
      <c r="FO388" s="198"/>
      <c r="FP388" s="198"/>
      <c r="FQ388" s="198"/>
      <c r="FR388" s="198"/>
      <c r="FS388" s="198"/>
      <c r="FT388" s="198"/>
      <c r="FU388" s="198"/>
      <c r="FV388" s="198"/>
      <c r="FW388" s="198"/>
      <c r="FX388" s="198"/>
      <c r="FY388" s="198"/>
    </row>
    <row r="389" spans="2:181" x14ac:dyDescent="0.25">
      <c r="B389" s="977" t="s">
        <v>543</v>
      </c>
      <c r="C389" s="977"/>
      <c r="D389" s="977"/>
      <c r="E389" s="977"/>
      <c r="F389" s="977"/>
      <c r="G389" s="199">
        <f>COUNTA(C358:S387)</f>
        <v>0</v>
      </c>
      <c r="H389" s="198" t="s">
        <v>544</v>
      </c>
      <c r="I389" s="198"/>
      <c r="J389" s="198"/>
      <c r="K389" s="198"/>
      <c r="L389" s="198"/>
      <c r="M389" s="200" t="s">
        <v>545</v>
      </c>
      <c r="N389" s="201">
        <f>MAX(C358:S387,U358:AK387)</f>
        <v>0</v>
      </c>
      <c r="O389" s="198"/>
      <c r="P389" s="198"/>
      <c r="Q389" s="198"/>
      <c r="R389" s="198"/>
      <c r="S389" s="198"/>
      <c r="T389" s="977" t="s">
        <v>543</v>
      </c>
      <c r="U389" s="977"/>
      <c r="V389" s="977"/>
      <c r="W389" s="977"/>
      <c r="X389" s="977"/>
      <c r="Y389" s="199">
        <f>COUNTA(U358:AK387)</f>
        <v>0</v>
      </c>
      <c r="Z389" s="198" t="s">
        <v>544</v>
      </c>
      <c r="AA389" s="198"/>
      <c r="AB389" s="198"/>
      <c r="AC389" s="198"/>
      <c r="AD389" s="198"/>
      <c r="AE389" s="198"/>
      <c r="AF389" s="198"/>
      <c r="AG389" s="198"/>
      <c r="AH389" s="198"/>
      <c r="AI389" s="198"/>
      <c r="AJ389" s="198"/>
      <c r="AK389" s="198"/>
      <c r="AL389" s="977" t="s">
        <v>543</v>
      </c>
      <c r="AM389" s="977"/>
      <c r="AN389" s="977"/>
      <c r="AO389" s="977"/>
      <c r="AP389" s="977"/>
      <c r="AQ389" s="199">
        <f>COUNTA(AM358:BC387)</f>
        <v>0</v>
      </c>
      <c r="AR389" s="198" t="s">
        <v>544</v>
      </c>
      <c r="AS389" s="198"/>
      <c r="AT389" s="198"/>
      <c r="AU389" s="198"/>
      <c r="AV389" s="198"/>
      <c r="AW389" s="198"/>
      <c r="AX389" s="198"/>
      <c r="AY389" s="198"/>
      <c r="AZ389" s="198"/>
      <c r="BA389" s="198"/>
      <c r="BB389" s="198"/>
      <c r="BC389" s="198"/>
      <c r="BD389" s="977" t="s">
        <v>543</v>
      </c>
      <c r="BE389" s="977"/>
      <c r="BF389" s="977"/>
      <c r="BG389" s="977"/>
      <c r="BH389" s="977"/>
      <c r="BI389" s="199">
        <f>COUNTA(BE358:BU387)</f>
        <v>0</v>
      </c>
      <c r="BJ389" s="198" t="s">
        <v>544</v>
      </c>
      <c r="BK389" s="198"/>
      <c r="BL389" s="198"/>
      <c r="BM389" s="198"/>
      <c r="BN389" s="198"/>
      <c r="BO389" s="198"/>
      <c r="BP389" s="198"/>
      <c r="BQ389" s="198"/>
      <c r="BR389" s="198"/>
      <c r="BS389" s="198"/>
      <c r="BT389" s="198"/>
      <c r="BU389" s="198"/>
      <c r="BV389" s="977" t="s">
        <v>543</v>
      </c>
      <c r="BW389" s="977"/>
      <c r="BX389" s="977"/>
      <c r="BY389" s="977"/>
      <c r="BZ389" s="977"/>
      <c r="CA389" s="199">
        <f>COUNTA(BW358:CM387)</f>
        <v>0</v>
      </c>
      <c r="CB389" s="198" t="s">
        <v>544</v>
      </c>
      <c r="CC389" s="198"/>
      <c r="CD389" s="198"/>
      <c r="CE389" s="198"/>
      <c r="CF389" s="198"/>
      <c r="CG389" s="198"/>
      <c r="CH389" s="198"/>
      <c r="CI389" s="198"/>
      <c r="CJ389" s="198"/>
      <c r="CK389" s="198"/>
      <c r="CL389" s="198"/>
      <c r="CM389" s="198"/>
      <c r="CN389" s="977" t="s">
        <v>543</v>
      </c>
      <c r="CO389" s="977"/>
      <c r="CP389" s="977"/>
      <c r="CQ389" s="977"/>
      <c r="CR389" s="977"/>
      <c r="CS389" s="199">
        <f>COUNTA(CO358:DE387)</f>
        <v>0</v>
      </c>
      <c r="CT389" s="198" t="s">
        <v>544</v>
      </c>
      <c r="CU389" s="198"/>
      <c r="CV389" s="198"/>
      <c r="CW389" s="198"/>
      <c r="CX389" s="198"/>
      <c r="CY389" s="198"/>
      <c r="CZ389" s="198"/>
      <c r="DA389" s="198"/>
      <c r="DB389" s="198"/>
      <c r="DC389" s="198"/>
      <c r="DD389" s="198"/>
      <c r="DE389" s="198"/>
      <c r="DF389" s="977" t="s">
        <v>543</v>
      </c>
      <c r="DG389" s="977"/>
      <c r="DH389" s="977"/>
      <c r="DI389" s="977"/>
      <c r="DJ389" s="977"/>
      <c r="DK389" s="199">
        <f>COUNTA(DG358:DW387)</f>
        <v>0</v>
      </c>
      <c r="DL389" s="198" t="s">
        <v>544</v>
      </c>
      <c r="DM389" s="198"/>
      <c r="DN389" s="198"/>
      <c r="DO389" s="198"/>
      <c r="DP389" s="198"/>
      <c r="DQ389" s="198"/>
      <c r="DR389" s="198"/>
      <c r="DS389" s="198"/>
      <c r="DT389" s="198"/>
      <c r="DU389" s="198"/>
      <c r="DV389" s="198"/>
      <c r="DW389" s="198"/>
      <c r="DX389" s="977" t="s">
        <v>543</v>
      </c>
      <c r="DY389" s="977"/>
      <c r="DZ389" s="977"/>
      <c r="EA389" s="977"/>
      <c r="EB389" s="977"/>
      <c r="EC389" s="199">
        <f>COUNTA(DY358:EO387)</f>
        <v>0</v>
      </c>
      <c r="ED389" s="198" t="s">
        <v>544</v>
      </c>
      <c r="EE389" s="198"/>
      <c r="EF389" s="198"/>
      <c r="EG389" s="198"/>
      <c r="EH389" s="198"/>
      <c r="EI389" s="198"/>
      <c r="EJ389" s="198"/>
      <c r="EK389" s="198"/>
      <c r="EL389" s="198"/>
      <c r="EM389" s="198"/>
      <c r="EN389" s="198"/>
      <c r="EO389" s="198"/>
      <c r="EP389" s="977" t="s">
        <v>543</v>
      </c>
      <c r="EQ389" s="977"/>
      <c r="ER389" s="977"/>
      <c r="ES389" s="977"/>
      <c r="ET389" s="977"/>
      <c r="EU389" s="199">
        <f>COUNTA(EQ358:FG387)</f>
        <v>0</v>
      </c>
      <c r="EV389" s="198" t="s">
        <v>544</v>
      </c>
      <c r="EW389" s="198"/>
      <c r="EX389" s="198"/>
      <c r="EY389" s="198"/>
      <c r="EZ389" s="198"/>
      <c r="FA389" s="198"/>
      <c r="FB389" s="198"/>
      <c r="FC389" s="198"/>
      <c r="FD389" s="198"/>
      <c r="FE389" s="198"/>
      <c r="FF389" s="198"/>
      <c r="FG389" s="198"/>
      <c r="FH389" s="977" t="s">
        <v>543</v>
      </c>
      <c r="FI389" s="977"/>
      <c r="FJ389" s="977"/>
      <c r="FK389" s="977"/>
      <c r="FL389" s="977"/>
      <c r="FM389" s="199">
        <f>COUNTA(FI358:FY387)</f>
        <v>0</v>
      </c>
      <c r="FN389" s="198" t="s">
        <v>544</v>
      </c>
      <c r="FO389" s="198"/>
      <c r="FP389" s="198"/>
      <c r="FQ389" s="198"/>
      <c r="FR389" s="198"/>
      <c r="FS389" s="198"/>
      <c r="FT389" s="198"/>
      <c r="FU389" s="198"/>
      <c r="FV389" s="198"/>
      <c r="FW389" s="198"/>
      <c r="FX389" s="198"/>
      <c r="FY389" s="198"/>
    </row>
    <row r="390" spans="2:181" x14ac:dyDescent="0.25">
      <c r="M390" s="203" t="s">
        <v>548</v>
      </c>
      <c r="N390" s="204">
        <f>MIN(C358:S387,U358:AK387)</f>
        <v>0</v>
      </c>
    </row>
    <row r="391" spans="2:181" x14ac:dyDescent="0.25">
      <c r="B391" s="205" t="s">
        <v>549</v>
      </c>
      <c r="C391" s="205"/>
      <c r="D391" s="205"/>
      <c r="E391" s="205"/>
      <c r="F391" s="205"/>
      <c r="G391" s="205"/>
      <c r="H391" s="990" t="e">
        <f>#REF!</f>
        <v>#REF!</v>
      </c>
      <c r="I391" s="990"/>
      <c r="J391" s="990"/>
      <c r="K391" s="990"/>
      <c r="L391" s="990"/>
      <c r="M391" s="198"/>
      <c r="N391" s="198"/>
      <c r="O391" s="198"/>
      <c r="P391" s="198"/>
      <c r="Q391" s="198"/>
      <c r="R391" s="198"/>
      <c r="S391" s="198"/>
      <c r="T391" s="205"/>
      <c r="U391" s="205"/>
      <c r="V391" s="205"/>
      <c r="W391" s="205"/>
      <c r="X391" s="205"/>
      <c r="Y391" s="205"/>
      <c r="Z391" s="205"/>
      <c r="AA391" s="198"/>
      <c r="AB391" s="198"/>
      <c r="AC391" s="205"/>
      <c r="AD391" s="198"/>
      <c r="AE391" s="198"/>
      <c r="AF391" s="198"/>
      <c r="AG391" s="198"/>
      <c r="AH391" s="198"/>
      <c r="AI391" s="198"/>
      <c r="AJ391" s="198"/>
      <c r="AK391" s="198"/>
      <c r="AL391" s="205"/>
      <c r="AM391" s="205"/>
      <c r="AN391" s="205"/>
      <c r="AO391" s="205"/>
      <c r="AP391" s="205"/>
      <c r="AQ391" s="205"/>
      <c r="AR391" s="205"/>
      <c r="AS391" s="198"/>
      <c r="AT391" s="198"/>
      <c r="AU391" s="205"/>
      <c r="AV391" s="198"/>
      <c r="AW391" s="198"/>
      <c r="AX391" s="198"/>
      <c r="AY391" s="198"/>
      <c r="AZ391" s="198"/>
      <c r="BA391" s="198"/>
      <c r="BB391" s="198"/>
      <c r="BC391" s="198"/>
      <c r="BD391" s="205"/>
      <c r="BE391" s="205"/>
      <c r="BF391" s="205"/>
      <c r="BG391" s="205"/>
      <c r="BH391" s="205"/>
      <c r="BI391" s="205"/>
      <c r="BJ391" s="205"/>
      <c r="BK391" s="198"/>
      <c r="BL391" s="198"/>
      <c r="BM391" s="205"/>
      <c r="BN391" s="198"/>
      <c r="BO391" s="198"/>
      <c r="BP391" s="198"/>
      <c r="BQ391" s="198"/>
      <c r="BR391" s="198"/>
      <c r="BS391" s="198"/>
      <c r="BT391" s="198"/>
      <c r="BU391" s="198"/>
      <c r="BV391" s="205"/>
      <c r="BW391" s="205"/>
      <c r="BX391" s="205"/>
      <c r="BY391" s="205"/>
      <c r="BZ391" s="205"/>
      <c r="CA391" s="205"/>
      <c r="CB391" s="205"/>
      <c r="CC391" s="198"/>
      <c r="CD391" s="198"/>
      <c r="CE391" s="205"/>
      <c r="CF391" s="198"/>
      <c r="CG391" s="198"/>
      <c r="CH391" s="198"/>
      <c r="CI391" s="198"/>
      <c r="CJ391" s="198"/>
      <c r="CK391" s="198"/>
      <c r="CL391" s="198"/>
      <c r="CM391" s="198"/>
      <c r="CN391" s="205"/>
      <c r="CO391" s="205"/>
      <c r="CP391" s="205"/>
      <c r="CQ391" s="205"/>
      <c r="CR391" s="205"/>
      <c r="CS391" s="205"/>
      <c r="CT391" s="205"/>
      <c r="CU391" s="198"/>
      <c r="CV391" s="198"/>
      <c r="CW391" s="205"/>
      <c r="CX391" s="198"/>
      <c r="CY391" s="198"/>
      <c r="CZ391" s="198"/>
      <c r="DA391" s="198"/>
      <c r="DB391" s="198"/>
      <c r="DC391" s="198"/>
      <c r="DD391" s="198"/>
      <c r="DE391" s="198"/>
      <c r="DF391" s="205"/>
      <c r="DG391" s="205"/>
      <c r="DH391" s="205"/>
      <c r="DI391" s="205"/>
      <c r="DJ391" s="205"/>
      <c r="DK391" s="205"/>
      <c r="DL391" s="205"/>
      <c r="DM391" s="198"/>
      <c r="DN391" s="198"/>
      <c r="DO391" s="205"/>
      <c r="DP391" s="198"/>
      <c r="DQ391" s="198"/>
      <c r="DR391" s="198"/>
      <c r="DS391" s="198"/>
      <c r="DT391" s="198"/>
      <c r="DU391" s="198"/>
      <c r="DV391" s="198"/>
      <c r="DW391" s="198"/>
      <c r="DX391" s="205"/>
      <c r="DY391" s="205"/>
      <c r="DZ391" s="205"/>
      <c r="EA391" s="205"/>
      <c r="EB391" s="205"/>
      <c r="EC391" s="205"/>
      <c r="ED391" s="205"/>
      <c r="EE391" s="198"/>
      <c r="EF391" s="198"/>
      <c r="EG391" s="205"/>
      <c r="EH391" s="198"/>
      <c r="EI391" s="198"/>
      <c r="EJ391" s="198"/>
      <c r="EK391" s="198"/>
      <c r="EL391" s="198"/>
      <c r="EM391" s="198"/>
      <c r="EN391" s="198"/>
      <c r="EO391" s="198"/>
      <c r="EP391" s="205"/>
      <c r="EQ391" s="205"/>
      <c r="ER391" s="205"/>
      <c r="ES391" s="205"/>
      <c r="ET391" s="205"/>
      <c r="EU391" s="205"/>
      <c r="EV391" s="205"/>
      <c r="EW391" s="198"/>
      <c r="EX391" s="198"/>
      <c r="EY391" s="205"/>
      <c r="EZ391" s="198"/>
      <c r="FA391" s="198"/>
      <c r="FB391" s="198"/>
      <c r="FC391" s="198"/>
      <c r="FD391" s="198"/>
      <c r="FE391" s="198"/>
      <c r="FF391" s="198"/>
      <c r="FG391" s="198"/>
      <c r="FH391" s="205"/>
      <c r="FI391" s="205"/>
      <c r="FJ391" s="205"/>
      <c r="FK391" s="205"/>
      <c r="FL391" s="205"/>
      <c r="FM391" s="205"/>
      <c r="FN391" s="205"/>
      <c r="FO391" s="198"/>
      <c r="FP391" s="198"/>
      <c r="FQ391" s="205"/>
      <c r="FR391" s="198"/>
      <c r="FS391" s="198"/>
      <c r="FT391" s="198"/>
      <c r="FU391" s="198"/>
      <c r="FV391" s="198"/>
      <c r="FW391" s="198"/>
      <c r="FX391" s="198"/>
      <c r="FY391" s="198"/>
    </row>
    <row r="392" spans="2:181" x14ac:dyDescent="0.25">
      <c r="B392" s="208"/>
      <c r="C392" s="205"/>
      <c r="D392" s="205"/>
      <c r="E392" s="205"/>
      <c r="F392" s="205"/>
      <c r="G392" s="205"/>
      <c r="H392" s="205"/>
      <c r="I392" s="198"/>
      <c r="J392" s="209"/>
      <c r="K392" s="208"/>
      <c r="L392" s="198"/>
      <c r="M392" s="198"/>
      <c r="N392" s="198"/>
      <c r="O392" s="198"/>
      <c r="P392" s="198"/>
      <c r="Q392" s="198"/>
      <c r="R392" s="198"/>
      <c r="S392" s="209"/>
      <c r="T392" s="208"/>
      <c r="U392" s="205"/>
      <c r="V392" s="205"/>
      <c r="W392" s="205"/>
      <c r="X392" s="205"/>
      <c r="Y392" s="205"/>
      <c r="Z392" s="205"/>
      <c r="AA392" s="198"/>
      <c r="AB392" s="209"/>
      <c r="AC392" s="208"/>
      <c r="AD392" s="198"/>
      <c r="AE392" s="198"/>
      <c r="AF392" s="198"/>
      <c r="AG392" s="198"/>
      <c r="AH392" s="198"/>
      <c r="AI392" s="198"/>
      <c r="AJ392" s="198"/>
      <c r="AK392" s="209"/>
      <c r="AL392" s="208"/>
      <c r="AM392" s="205"/>
      <c r="AN392" s="205"/>
      <c r="AO392" s="205"/>
      <c r="AP392" s="205"/>
      <c r="AQ392" s="205"/>
      <c r="AR392" s="205"/>
      <c r="AS392" s="198"/>
      <c r="AT392" s="209"/>
      <c r="AU392" s="208"/>
      <c r="AV392" s="198"/>
      <c r="AW392" s="198"/>
      <c r="AX392" s="198"/>
      <c r="AY392" s="198"/>
      <c r="AZ392" s="198"/>
      <c r="BA392" s="198"/>
      <c r="BB392" s="198"/>
      <c r="BC392" s="209"/>
      <c r="BD392" s="208"/>
      <c r="BE392" s="205"/>
      <c r="BF392" s="205"/>
      <c r="BG392" s="205"/>
      <c r="BH392" s="205"/>
      <c r="BI392" s="205"/>
      <c r="BJ392" s="205"/>
      <c r="BK392" s="198"/>
      <c r="BL392" s="209"/>
      <c r="BM392" s="208"/>
      <c r="BN392" s="198"/>
      <c r="BO392" s="198"/>
      <c r="BP392" s="198"/>
      <c r="BQ392" s="198"/>
      <c r="BR392" s="198"/>
      <c r="BS392" s="198"/>
      <c r="BT392" s="198"/>
      <c r="BU392" s="209"/>
      <c r="BV392" s="208"/>
      <c r="BW392" s="205"/>
      <c r="BX392" s="205"/>
      <c r="BY392" s="205"/>
      <c r="BZ392" s="205"/>
      <c r="CA392" s="205"/>
      <c r="CB392" s="205"/>
      <c r="CC392" s="198"/>
      <c r="CD392" s="209"/>
      <c r="CE392" s="208"/>
      <c r="CF392" s="198"/>
      <c r="CG392" s="198"/>
      <c r="CH392" s="198"/>
      <c r="CI392" s="198"/>
      <c r="CJ392" s="198"/>
      <c r="CK392" s="198"/>
      <c r="CL392" s="198"/>
      <c r="CM392" s="209"/>
      <c r="CN392" s="208"/>
      <c r="CO392" s="205"/>
      <c r="CP392" s="205"/>
      <c r="CQ392" s="205"/>
      <c r="CR392" s="205"/>
      <c r="CS392" s="205"/>
      <c r="CT392" s="205"/>
      <c r="CU392" s="198"/>
      <c r="CV392" s="209"/>
      <c r="CW392" s="208"/>
      <c r="CX392" s="198"/>
      <c r="CY392" s="198"/>
      <c r="CZ392" s="198"/>
      <c r="DA392" s="198"/>
      <c r="DB392" s="198"/>
      <c r="DC392" s="198"/>
      <c r="DD392" s="198"/>
      <c r="DE392" s="209"/>
      <c r="DF392" s="208"/>
      <c r="DG392" s="205"/>
      <c r="DH392" s="205"/>
      <c r="DI392" s="205"/>
      <c r="DJ392" s="205"/>
      <c r="DK392" s="205"/>
      <c r="DL392" s="205"/>
      <c r="DM392" s="198"/>
      <c r="DN392" s="209"/>
      <c r="DO392" s="208"/>
      <c r="DP392" s="198"/>
      <c r="DQ392" s="198"/>
      <c r="DR392" s="198"/>
      <c r="DS392" s="198"/>
      <c r="DT392" s="198"/>
      <c r="DU392" s="198"/>
      <c r="DV392" s="198"/>
      <c r="DW392" s="209"/>
      <c r="DX392" s="208"/>
      <c r="DY392" s="205"/>
      <c r="DZ392" s="205"/>
      <c r="EA392" s="205"/>
      <c r="EB392" s="205"/>
      <c r="EC392" s="205"/>
      <c r="ED392" s="205"/>
      <c r="EE392" s="198"/>
      <c r="EF392" s="209"/>
      <c r="EG392" s="208"/>
      <c r="EH392" s="198"/>
      <c r="EI392" s="198"/>
      <c r="EJ392" s="198"/>
      <c r="EK392" s="198"/>
      <c r="EL392" s="198"/>
      <c r="EM392" s="198"/>
      <c r="EN392" s="198"/>
      <c r="EO392" s="209"/>
      <c r="EP392" s="208"/>
      <c r="EQ392" s="205"/>
      <c r="ER392" s="205"/>
      <c r="ES392" s="205"/>
      <c r="ET392" s="205"/>
      <c r="EU392" s="205"/>
      <c r="EV392" s="205"/>
      <c r="EW392" s="198"/>
      <c r="EX392" s="209"/>
      <c r="EY392" s="208"/>
      <c r="EZ392" s="198"/>
      <c r="FA392" s="198"/>
      <c r="FB392" s="198"/>
      <c r="FC392" s="198"/>
      <c r="FD392" s="198"/>
      <c r="FE392" s="198"/>
      <c r="FF392" s="198"/>
      <c r="FG392" s="209"/>
      <c r="FH392" s="208"/>
      <c r="FI392" s="205"/>
      <c r="FJ392" s="205"/>
      <c r="FK392" s="205"/>
      <c r="FL392" s="205"/>
      <c r="FM392" s="205"/>
      <c r="FN392" s="205"/>
      <c r="FO392" s="198"/>
      <c r="FP392" s="209"/>
      <c r="FQ392" s="208"/>
      <c r="FR392" s="198"/>
      <c r="FS392" s="198"/>
      <c r="FT392" s="198"/>
      <c r="FU392" s="198"/>
      <c r="FV392" s="198"/>
      <c r="FW392" s="198"/>
      <c r="FX392" s="198"/>
      <c r="FY392" s="209"/>
    </row>
    <row r="393" spans="2:181" x14ac:dyDescent="0.25">
      <c r="B393" s="210"/>
      <c r="C393" s="206"/>
      <c r="D393" s="206"/>
      <c r="E393" s="206"/>
      <c r="F393" s="206"/>
      <c r="G393" s="206"/>
      <c r="H393" s="206"/>
      <c r="I393" s="206"/>
      <c r="J393" s="211"/>
      <c r="K393" s="210"/>
      <c r="L393" s="206"/>
      <c r="M393" s="206"/>
      <c r="N393" s="206"/>
      <c r="O393" s="206"/>
      <c r="P393" s="206"/>
      <c r="Q393" s="206"/>
      <c r="R393" s="206"/>
      <c r="S393" s="211"/>
      <c r="T393" s="210"/>
      <c r="U393" s="206"/>
      <c r="V393" s="206"/>
      <c r="W393" s="206"/>
      <c r="X393" s="206"/>
      <c r="Y393" s="206"/>
      <c r="Z393" s="206"/>
      <c r="AA393" s="206"/>
      <c r="AB393" s="211"/>
      <c r="AC393" s="210"/>
      <c r="AD393" s="206"/>
      <c r="AE393" s="206"/>
      <c r="AF393" s="206"/>
      <c r="AG393" s="206"/>
      <c r="AH393" s="206"/>
      <c r="AI393" s="206"/>
      <c r="AJ393" s="206"/>
      <c r="AK393" s="211"/>
      <c r="AL393" s="210"/>
      <c r="AM393" s="206"/>
      <c r="AN393" s="206"/>
      <c r="AO393" s="206"/>
      <c r="AP393" s="206"/>
      <c r="AQ393" s="206"/>
      <c r="AR393" s="206"/>
      <c r="AS393" s="206"/>
      <c r="AT393" s="211"/>
      <c r="AU393" s="210"/>
      <c r="AV393" s="206"/>
      <c r="AW393" s="206"/>
      <c r="AX393" s="206"/>
      <c r="AY393" s="206"/>
      <c r="AZ393" s="206"/>
      <c r="BA393" s="206"/>
      <c r="BB393" s="206"/>
      <c r="BC393" s="211"/>
      <c r="BD393" s="210"/>
      <c r="BE393" s="206"/>
      <c r="BF393" s="206"/>
      <c r="BG393" s="206"/>
      <c r="BH393" s="206"/>
      <c r="BI393" s="206"/>
      <c r="BJ393" s="206"/>
      <c r="BK393" s="206"/>
      <c r="BL393" s="211"/>
      <c r="BM393" s="210"/>
      <c r="BN393" s="206"/>
      <c r="BO393" s="206"/>
      <c r="BP393" s="206"/>
      <c r="BQ393" s="206"/>
      <c r="BR393" s="206"/>
      <c r="BS393" s="206"/>
      <c r="BT393" s="206"/>
      <c r="BU393" s="211"/>
      <c r="BV393" s="210"/>
      <c r="BW393" s="206"/>
      <c r="BX393" s="206"/>
      <c r="BY393" s="206"/>
      <c r="BZ393" s="206"/>
      <c r="CA393" s="206"/>
      <c r="CB393" s="206"/>
      <c r="CC393" s="206"/>
      <c r="CD393" s="211"/>
      <c r="CE393" s="210"/>
      <c r="CF393" s="206"/>
      <c r="CG393" s="206"/>
      <c r="CH393" s="206"/>
      <c r="CI393" s="206"/>
      <c r="CJ393" s="206"/>
      <c r="CK393" s="206"/>
      <c r="CL393" s="206"/>
      <c r="CM393" s="211"/>
      <c r="CN393" s="210"/>
      <c r="CO393" s="206"/>
      <c r="CP393" s="206"/>
      <c r="CQ393" s="206"/>
      <c r="CR393" s="206"/>
      <c r="CS393" s="206"/>
      <c r="CT393" s="206"/>
      <c r="CU393" s="206"/>
      <c r="CV393" s="211"/>
      <c r="CW393" s="210"/>
      <c r="CX393" s="206"/>
      <c r="CY393" s="206"/>
      <c r="CZ393" s="206"/>
      <c r="DA393" s="206"/>
      <c r="DB393" s="206"/>
      <c r="DC393" s="206"/>
      <c r="DD393" s="206"/>
      <c r="DE393" s="211"/>
      <c r="DF393" s="210"/>
      <c r="DG393" s="206"/>
      <c r="DH393" s="206"/>
      <c r="DI393" s="206"/>
      <c r="DJ393" s="206"/>
      <c r="DK393" s="206"/>
      <c r="DL393" s="206"/>
      <c r="DM393" s="206"/>
      <c r="DN393" s="211"/>
      <c r="DO393" s="210"/>
      <c r="DP393" s="206"/>
      <c r="DQ393" s="206"/>
      <c r="DR393" s="206"/>
      <c r="DS393" s="206"/>
      <c r="DT393" s="206"/>
      <c r="DU393" s="206"/>
      <c r="DV393" s="206"/>
      <c r="DW393" s="211"/>
      <c r="DX393" s="210"/>
      <c r="DY393" s="206"/>
      <c r="DZ393" s="206"/>
      <c r="EA393" s="206"/>
      <c r="EB393" s="206"/>
      <c r="EC393" s="206"/>
      <c r="ED393" s="206"/>
      <c r="EE393" s="206"/>
      <c r="EF393" s="211"/>
      <c r="EG393" s="210"/>
      <c r="EH393" s="206"/>
      <c r="EI393" s="206"/>
      <c r="EJ393" s="206"/>
      <c r="EK393" s="206"/>
      <c r="EL393" s="206"/>
      <c r="EM393" s="206"/>
      <c r="EN393" s="206"/>
      <c r="EO393" s="211"/>
      <c r="EP393" s="210"/>
      <c r="EQ393" s="206"/>
      <c r="ER393" s="206"/>
      <c r="ES393" s="206"/>
      <c r="ET393" s="206"/>
      <c r="EU393" s="206"/>
      <c r="EV393" s="206"/>
      <c r="EW393" s="206"/>
      <c r="EX393" s="211"/>
      <c r="EY393" s="210"/>
      <c r="EZ393" s="206"/>
      <c r="FA393" s="206"/>
      <c r="FB393" s="206"/>
      <c r="FC393" s="206"/>
      <c r="FD393" s="206"/>
      <c r="FE393" s="206"/>
      <c r="FF393" s="206"/>
      <c r="FG393" s="211"/>
      <c r="FH393" s="210"/>
      <c r="FI393" s="206"/>
      <c r="FJ393" s="206"/>
      <c r="FK393" s="206"/>
      <c r="FL393" s="206"/>
      <c r="FM393" s="206"/>
      <c r="FN393" s="206"/>
      <c r="FO393" s="206"/>
      <c r="FP393" s="211"/>
      <c r="FQ393" s="210"/>
      <c r="FR393" s="206"/>
      <c r="FS393" s="206"/>
      <c r="FT393" s="206"/>
      <c r="FU393" s="206"/>
      <c r="FV393" s="206"/>
      <c r="FW393" s="206"/>
      <c r="FX393" s="206"/>
      <c r="FY393" s="211"/>
    </row>
    <row r="395" spans="2:181" ht="30" customHeight="1" x14ac:dyDescent="0.25">
      <c r="B395" s="193" t="s">
        <v>372</v>
      </c>
      <c r="C395" s="194" t="s">
        <v>373</v>
      </c>
      <c r="D395" s="194" t="s">
        <v>374</v>
      </c>
      <c r="E395" s="195" t="s">
        <v>375</v>
      </c>
      <c r="F395" s="195" t="s">
        <v>376</v>
      </c>
      <c r="G395" s="195" t="s">
        <v>377</v>
      </c>
      <c r="H395" s="195" t="s">
        <v>378</v>
      </c>
      <c r="I395" s="195" t="s">
        <v>379</v>
      </c>
      <c r="J395" s="195" t="s">
        <v>380</v>
      </c>
      <c r="K395" s="195" t="s">
        <v>381</v>
      </c>
      <c r="L395" s="196" t="s">
        <v>382</v>
      </c>
      <c r="M395" s="196" t="s">
        <v>383</v>
      </c>
      <c r="N395" s="196" t="s">
        <v>384</v>
      </c>
      <c r="O395" s="196" t="s">
        <v>385</v>
      </c>
      <c r="P395" s="196" t="s">
        <v>386</v>
      </c>
      <c r="Q395" s="196" t="s">
        <v>387</v>
      </c>
      <c r="R395" s="196" t="s">
        <v>388</v>
      </c>
      <c r="S395" s="196" t="s">
        <v>389</v>
      </c>
      <c r="T395" s="193" t="s">
        <v>372</v>
      </c>
      <c r="U395" s="194" t="s">
        <v>390</v>
      </c>
      <c r="V395" s="194" t="s">
        <v>391</v>
      </c>
      <c r="W395" s="195" t="s">
        <v>392</v>
      </c>
      <c r="X395" s="195" t="s">
        <v>393</v>
      </c>
      <c r="Y395" s="195" t="s">
        <v>394</v>
      </c>
      <c r="Z395" s="195" t="s">
        <v>395</v>
      </c>
      <c r="AA395" s="195" t="s">
        <v>396</v>
      </c>
      <c r="AB395" s="195" t="s">
        <v>397</v>
      </c>
      <c r="AC395" s="195" t="s">
        <v>398</v>
      </c>
      <c r="AD395" s="196" t="s">
        <v>399</v>
      </c>
      <c r="AE395" s="196" t="s">
        <v>400</v>
      </c>
      <c r="AF395" s="196" t="s">
        <v>401</v>
      </c>
      <c r="AG395" s="196" t="s">
        <v>402</v>
      </c>
      <c r="AH395" s="196" t="s">
        <v>403</v>
      </c>
      <c r="AI395" s="196" t="s">
        <v>404</v>
      </c>
      <c r="AJ395" s="196" t="s">
        <v>405</v>
      </c>
      <c r="AK395" s="196" t="s">
        <v>406</v>
      </c>
      <c r="AL395" s="193" t="s">
        <v>372</v>
      </c>
      <c r="AM395" s="194" t="s">
        <v>407</v>
      </c>
      <c r="AN395" s="194" t="s">
        <v>408</v>
      </c>
      <c r="AO395" s="195" t="s">
        <v>409</v>
      </c>
      <c r="AP395" s="195" t="s">
        <v>410</v>
      </c>
      <c r="AQ395" s="195" t="s">
        <v>411</v>
      </c>
      <c r="AR395" s="195" t="s">
        <v>412</v>
      </c>
      <c r="AS395" s="195" t="s">
        <v>413</v>
      </c>
      <c r="AT395" s="195" t="s">
        <v>414</v>
      </c>
      <c r="AU395" s="195" t="s">
        <v>415</v>
      </c>
      <c r="AV395" s="196" t="s">
        <v>416</v>
      </c>
      <c r="AW395" s="196" t="s">
        <v>417</v>
      </c>
      <c r="AX395" s="196" t="s">
        <v>418</v>
      </c>
      <c r="AY395" s="196" t="s">
        <v>419</v>
      </c>
      <c r="AZ395" s="196" t="s">
        <v>420</v>
      </c>
      <c r="BA395" s="196" t="s">
        <v>421</v>
      </c>
      <c r="BB395" s="196" t="s">
        <v>422</v>
      </c>
      <c r="BC395" s="196" t="s">
        <v>423</v>
      </c>
      <c r="BD395" s="193" t="s">
        <v>372</v>
      </c>
      <c r="BE395" s="194" t="s">
        <v>424</v>
      </c>
      <c r="BF395" s="194" t="s">
        <v>425</v>
      </c>
      <c r="BG395" s="195" t="s">
        <v>426</v>
      </c>
      <c r="BH395" s="195" t="s">
        <v>427</v>
      </c>
      <c r="BI395" s="195" t="s">
        <v>428</v>
      </c>
      <c r="BJ395" s="195" t="s">
        <v>429</v>
      </c>
      <c r="BK395" s="195" t="s">
        <v>430</v>
      </c>
      <c r="BL395" s="195" t="s">
        <v>431</v>
      </c>
      <c r="BM395" s="195" t="s">
        <v>432</v>
      </c>
      <c r="BN395" s="196" t="s">
        <v>433</v>
      </c>
      <c r="BO395" s="196" t="s">
        <v>434</v>
      </c>
      <c r="BP395" s="196" t="s">
        <v>435</v>
      </c>
      <c r="BQ395" s="196" t="s">
        <v>436</v>
      </c>
      <c r="BR395" s="196" t="s">
        <v>437</v>
      </c>
      <c r="BS395" s="196" t="s">
        <v>438</v>
      </c>
      <c r="BT395" s="196" t="s">
        <v>439</v>
      </c>
      <c r="BU395" s="196" t="s">
        <v>440</v>
      </c>
      <c r="BV395" s="193" t="s">
        <v>372</v>
      </c>
      <c r="BW395" s="194" t="s">
        <v>441</v>
      </c>
      <c r="BX395" s="194" t="s">
        <v>442</v>
      </c>
      <c r="BY395" s="195" t="s">
        <v>443</v>
      </c>
      <c r="BZ395" s="195" t="s">
        <v>444</v>
      </c>
      <c r="CA395" s="195" t="s">
        <v>445</v>
      </c>
      <c r="CB395" s="195" t="s">
        <v>446</v>
      </c>
      <c r="CC395" s="195" t="s">
        <v>447</v>
      </c>
      <c r="CD395" s="195" t="s">
        <v>448</v>
      </c>
      <c r="CE395" s="195" t="s">
        <v>449</v>
      </c>
      <c r="CF395" s="196" t="s">
        <v>450</v>
      </c>
      <c r="CG395" s="196" t="s">
        <v>451</v>
      </c>
      <c r="CH395" s="196" t="s">
        <v>452</v>
      </c>
      <c r="CI395" s="196" t="s">
        <v>453</v>
      </c>
      <c r="CJ395" s="196" t="s">
        <v>454</v>
      </c>
      <c r="CK395" s="196" t="s">
        <v>455</v>
      </c>
      <c r="CL395" s="196" t="s">
        <v>456</v>
      </c>
      <c r="CM395" s="196" t="s">
        <v>457</v>
      </c>
      <c r="CN395" s="193" t="s">
        <v>372</v>
      </c>
      <c r="CO395" s="194" t="s">
        <v>458</v>
      </c>
      <c r="CP395" s="194" t="s">
        <v>459</v>
      </c>
      <c r="CQ395" s="195" t="s">
        <v>460</v>
      </c>
      <c r="CR395" s="195" t="s">
        <v>461</v>
      </c>
      <c r="CS395" s="195" t="s">
        <v>462</v>
      </c>
      <c r="CT395" s="195" t="s">
        <v>463</v>
      </c>
      <c r="CU395" s="195" t="s">
        <v>464</v>
      </c>
      <c r="CV395" s="195" t="s">
        <v>465</v>
      </c>
      <c r="CW395" s="195" t="s">
        <v>466</v>
      </c>
      <c r="CX395" s="196" t="s">
        <v>467</v>
      </c>
      <c r="CY395" s="196" t="s">
        <v>468</v>
      </c>
      <c r="CZ395" s="196" t="s">
        <v>469</v>
      </c>
      <c r="DA395" s="196" t="s">
        <v>470</v>
      </c>
      <c r="DB395" s="196" t="s">
        <v>471</v>
      </c>
      <c r="DC395" s="196" t="s">
        <v>472</v>
      </c>
      <c r="DD395" s="196" t="s">
        <v>473</v>
      </c>
      <c r="DE395" s="196" t="s">
        <v>474</v>
      </c>
      <c r="DF395" s="193" t="s">
        <v>372</v>
      </c>
      <c r="DG395" s="194" t="s">
        <v>526</v>
      </c>
      <c r="DH395" s="194" t="s">
        <v>527</v>
      </c>
      <c r="DI395" s="195" t="s">
        <v>528</v>
      </c>
      <c r="DJ395" s="195" t="s">
        <v>529</v>
      </c>
      <c r="DK395" s="195" t="s">
        <v>530</v>
      </c>
      <c r="DL395" s="195" t="s">
        <v>531</v>
      </c>
      <c r="DM395" s="195" t="s">
        <v>532</v>
      </c>
      <c r="DN395" s="195" t="s">
        <v>533</v>
      </c>
      <c r="DO395" s="195" t="s">
        <v>534</v>
      </c>
      <c r="DP395" s="196" t="s">
        <v>535</v>
      </c>
      <c r="DQ395" s="196" t="s">
        <v>536</v>
      </c>
      <c r="DR395" s="196" t="s">
        <v>537</v>
      </c>
      <c r="DS395" s="196" t="s">
        <v>538</v>
      </c>
      <c r="DT395" s="196" t="s">
        <v>539</v>
      </c>
      <c r="DU395" s="196" t="s">
        <v>540</v>
      </c>
      <c r="DV395" s="196" t="s">
        <v>541</v>
      </c>
      <c r="DW395" s="196" t="s">
        <v>542</v>
      </c>
      <c r="DX395" s="193" t="s">
        <v>372</v>
      </c>
      <c r="DY395" s="194" t="s">
        <v>492</v>
      </c>
      <c r="DZ395" s="194" t="s">
        <v>493</v>
      </c>
      <c r="EA395" s="195" t="s">
        <v>494</v>
      </c>
      <c r="EB395" s="195" t="s">
        <v>495</v>
      </c>
      <c r="EC395" s="195" t="s">
        <v>496</v>
      </c>
      <c r="ED395" s="195" t="s">
        <v>497</v>
      </c>
      <c r="EE395" s="195" t="s">
        <v>498</v>
      </c>
      <c r="EF395" s="195" t="s">
        <v>499</v>
      </c>
      <c r="EG395" s="195" t="s">
        <v>500</v>
      </c>
      <c r="EH395" s="196" t="s">
        <v>501</v>
      </c>
      <c r="EI395" s="196" t="s">
        <v>502</v>
      </c>
      <c r="EJ395" s="196" t="s">
        <v>503</v>
      </c>
      <c r="EK395" s="196" t="s">
        <v>504</v>
      </c>
      <c r="EL395" s="196" t="s">
        <v>505</v>
      </c>
      <c r="EM395" s="196" t="s">
        <v>506</v>
      </c>
      <c r="EN395" s="196" t="s">
        <v>507</v>
      </c>
      <c r="EO395" s="196" t="s">
        <v>508</v>
      </c>
      <c r="EP395" s="193" t="s">
        <v>372</v>
      </c>
      <c r="EQ395" s="194" t="s">
        <v>509</v>
      </c>
      <c r="ER395" s="194" t="s">
        <v>510</v>
      </c>
      <c r="ES395" s="195" t="s">
        <v>511</v>
      </c>
      <c r="ET395" s="195" t="s">
        <v>512</v>
      </c>
      <c r="EU395" s="195" t="s">
        <v>513</v>
      </c>
      <c r="EV395" s="195" t="s">
        <v>514</v>
      </c>
      <c r="EW395" s="195" t="s">
        <v>515</v>
      </c>
      <c r="EX395" s="195" t="s">
        <v>516</v>
      </c>
      <c r="EY395" s="195" t="s">
        <v>517</v>
      </c>
      <c r="EZ395" s="196" t="s">
        <v>518</v>
      </c>
      <c r="FA395" s="196" t="s">
        <v>519</v>
      </c>
      <c r="FB395" s="196" t="s">
        <v>520</v>
      </c>
      <c r="FC395" s="196" t="s">
        <v>521</v>
      </c>
      <c r="FD395" s="196" t="s">
        <v>522</v>
      </c>
      <c r="FE395" s="196" t="s">
        <v>523</v>
      </c>
      <c r="FF395" s="196" t="s">
        <v>524</v>
      </c>
      <c r="FG395" s="196" t="s">
        <v>525</v>
      </c>
      <c r="FH395" s="193" t="s">
        <v>372</v>
      </c>
      <c r="FI395" s="194" t="s">
        <v>526</v>
      </c>
      <c r="FJ395" s="194" t="s">
        <v>527</v>
      </c>
      <c r="FK395" s="195" t="s">
        <v>528</v>
      </c>
      <c r="FL395" s="195" t="s">
        <v>529</v>
      </c>
      <c r="FM395" s="195" t="s">
        <v>530</v>
      </c>
      <c r="FN395" s="195" t="s">
        <v>531</v>
      </c>
      <c r="FO395" s="195" t="s">
        <v>532</v>
      </c>
      <c r="FP395" s="195" t="s">
        <v>533</v>
      </c>
      <c r="FQ395" s="195" t="s">
        <v>534</v>
      </c>
      <c r="FR395" s="196" t="s">
        <v>535</v>
      </c>
      <c r="FS395" s="196" t="s">
        <v>536</v>
      </c>
      <c r="FT395" s="196" t="s">
        <v>537</v>
      </c>
      <c r="FU395" s="196" t="s">
        <v>538</v>
      </c>
      <c r="FV395" s="196" t="s">
        <v>539</v>
      </c>
      <c r="FW395" s="196" t="s">
        <v>540</v>
      </c>
      <c r="FX395" s="196" t="s">
        <v>541</v>
      </c>
      <c r="FY395" s="196" t="s">
        <v>542</v>
      </c>
    </row>
    <row r="396" spans="2:181" x14ac:dyDescent="0.25">
      <c r="B396" s="12">
        <v>301</v>
      </c>
      <c r="C396" s="195"/>
      <c r="D396" s="195"/>
      <c r="E396" s="195"/>
      <c r="F396" s="195"/>
      <c r="G396" s="195"/>
      <c r="H396" s="195"/>
      <c r="I396" s="195"/>
      <c r="J396" s="195"/>
      <c r="K396" s="195"/>
      <c r="L396" s="195"/>
      <c r="M396" s="195"/>
      <c r="N396" s="195"/>
      <c r="O396" s="195"/>
      <c r="P396" s="195"/>
      <c r="Q396" s="195"/>
      <c r="R396" s="195"/>
      <c r="S396" s="195"/>
      <c r="T396" s="12">
        <v>301</v>
      </c>
      <c r="U396" s="195"/>
      <c r="V396" s="195"/>
      <c r="W396" s="195"/>
      <c r="X396" s="195"/>
      <c r="Y396" s="195"/>
      <c r="Z396" s="195"/>
      <c r="AA396" s="195"/>
      <c r="AB396" s="195"/>
      <c r="AC396" s="195"/>
      <c r="AD396" s="195"/>
      <c r="AE396" s="195"/>
      <c r="AF396" s="195"/>
      <c r="AG396" s="195"/>
      <c r="AH396" s="195"/>
      <c r="AI396" s="195"/>
      <c r="AJ396" s="195"/>
      <c r="AK396" s="195"/>
      <c r="AL396" s="12">
        <v>301</v>
      </c>
      <c r="AM396" s="195"/>
      <c r="AN396" s="195"/>
      <c r="AO396" s="195"/>
      <c r="AP396" s="195"/>
      <c r="AQ396" s="195"/>
      <c r="AR396" s="195"/>
      <c r="AS396" s="195"/>
      <c r="AT396" s="195"/>
      <c r="AU396" s="195"/>
      <c r="AV396" s="195"/>
      <c r="AW396" s="195"/>
      <c r="AX396" s="195"/>
      <c r="AY396" s="195"/>
      <c r="AZ396" s="195"/>
      <c r="BA396" s="195"/>
      <c r="BB396" s="195"/>
      <c r="BC396" s="195"/>
      <c r="BD396" s="12">
        <v>301</v>
      </c>
      <c r="BE396" s="195"/>
      <c r="BF396" s="195"/>
      <c r="BG396" s="195"/>
      <c r="BH396" s="195"/>
      <c r="BI396" s="195"/>
      <c r="BJ396" s="195"/>
      <c r="BK396" s="195"/>
      <c r="BL396" s="195"/>
      <c r="BM396" s="195"/>
      <c r="BN396" s="195"/>
      <c r="BO396" s="195"/>
      <c r="BP396" s="195"/>
      <c r="BQ396" s="195"/>
      <c r="BR396" s="195"/>
      <c r="BS396" s="195"/>
      <c r="BT396" s="195"/>
      <c r="BU396" s="195"/>
      <c r="BV396" s="12">
        <v>301</v>
      </c>
      <c r="BW396" s="195"/>
      <c r="BX396" s="195"/>
      <c r="BY396" s="195"/>
      <c r="BZ396" s="195"/>
      <c r="CA396" s="195"/>
      <c r="CB396" s="195"/>
      <c r="CC396" s="195"/>
      <c r="CD396" s="195"/>
      <c r="CE396" s="195"/>
      <c r="CF396" s="195"/>
      <c r="CG396" s="195"/>
      <c r="CH396" s="195"/>
      <c r="CI396" s="195"/>
      <c r="CJ396" s="195"/>
      <c r="CK396" s="195"/>
      <c r="CL396" s="195"/>
      <c r="CM396" s="195"/>
      <c r="CN396" s="12">
        <v>301</v>
      </c>
      <c r="CO396" s="195"/>
      <c r="CP396" s="195"/>
      <c r="CQ396" s="195"/>
      <c r="CR396" s="195"/>
      <c r="CS396" s="195"/>
      <c r="CT396" s="195"/>
      <c r="CU396" s="195"/>
      <c r="CV396" s="195"/>
      <c r="CW396" s="195"/>
      <c r="CX396" s="195"/>
      <c r="CY396" s="195"/>
      <c r="CZ396" s="195"/>
      <c r="DA396" s="195"/>
      <c r="DB396" s="195"/>
      <c r="DC396" s="195"/>
      <c r="DD396" s="195"/>
      <c r="DE396" s="195"/>
      <c r="DF396" s="12">
        <v>301</v>
      </c>
      <c r="DG396" s="195"/>
      <c r="DH396" s="195"/>
      <c r="DI396" s="195"/>
      <c r="DJ396" s="195"/>
      <c r="DK396" s="195"/>
      <c r="DL396" s="195"/>
      <c r="DM396" s="195"/>
      <c r="DN396" s="195"/>
      <c r="DO396" s="195"/>
      <c r="DP396" s="195"/>
      <c r="DQ396" s="195"/>
      <c r="DR396" s="195"/>
      <c r="DS396" s="195"/>
      <c r="DT396" s="195"/>
      <c r="DU396" s="195"/>
      <c r="DV396" s="195"/>
      <c r="DW396" s="195"/>
      <c r="DX396" s="12">
        <v>301</v>
      </c>
      <c r="DY396" s="195"/>
      <c r="DZ396" s="195"/>
      <c r="EA396" s="195"/>
      <c r="EB396" s="195"/>
      <c r="EC396" s="195"/>
      <c r="ED396" s="195"/>
      <c r="EE396" s="195"/>
      <c r="EF396" s="195"/>
      <c r="EG396" s="195"/>
      <c r="EH396" s="195"/>
      <c r="EI396" s="195"/>
      <c r="EJ396" s="195"/>
      <c r="EK396" s="195"/>
      <c r="EL396" s="195"/>
      <c r="EM396" s="195"/>
      <c r="EN396" s="195"/>
      <c r="EO396" s="195"/>
      <c r="EP396" s="12">
        <v>301</v>
      </c>
      <c r="EQ396" s="195"/>
      <c r="ER396" s="195"/>
      <c r="ES396" s="195"/>
      <c r="ET396" s="195"/>
      <c r="EU396" s="195"/>
      <c r="EV396" s="195"/>
      <c r="EW396" s="195"/>
      <c r="EX396" s="195"/>
      <c r="EY396" s="195"/>
      <c r="EZ396" s="195"/>
      <c r="FA396" s="195"/>
      <c r="FB396" s="195"/>
      <c r="FC396" s="195"/>
      <c r="FD396" s="195"/>
      <c r="FE396" s="195"/>
      <c r="FF396" s="195"/>
      <c r="FG396" s="195"/>
      <c r="FH396" s="12">
        <v>301</v>
      </c>
      <c r="FI396" s="195"/>
      <c r="FJ396" s="195"/>
      <c r="FK396" s="195"/>
      <c r="FL396" s="195"/>
      <c r="FM396" s="195"/>
      <c r="FN396" s="195"/>
      <c r="FO396" s="195"/>
      <c r="FP396" s="195"/>
      <c r="FQ396" s="195"/>
      <c r="FR396" s="195"/>
      <c r="FS396" s="195"/>
      <c r="FT396" s="195"/>
      <c r="FU396" s="195"/>
      <c r="FV396" s="195"/>
      <c r="FW396" s="195"/>
      <c r="FX396" s="195"/>
      <c r="FY396" s="195"/>
    </row>
    <row r="397" spans="2:181" x14ac:dyDescent="0.25">
      <c r="B397" s="197">
        <v>302</v>
      </c>
      <c r="C397" s="195"/>
      <c r="D397" s="195"/>
      <c r="E397" s="195"/>
      <c r="F397" s="195"/>
      <c r="G397" s="195"/>
      <c r="H397" s="195"/>
      <c r="I397" s="195"/>
      <c r="J397" s="195"/>
      <c r="K397" s="195"/>
      <c r="L397" s="195"/>
      <c r="M397" s="195"/>
      <c r="N397" s="195"/>
      <c r="O397" s="195"/>
      <c r="P397" s="195"/>
      <c r="Q397" s="195"/>
      <c r="R397" s="195"/>
      <c r="S397" s="195"/>
      <c r="T397" s="197">
        <v>302</v>
      </c>
      <c r="U397" s="195"/>
      <c r="V397" s="195"/>
      <c r="W397" s="195"/>
      <c r="X397" s="195"/>
      <c r="Y397" s="195"/>
      <c r="Z397" s="195"/>
      <c r="AA397" s="195"/>
      <c r="AB397" s="195"/>
      <c r="AC397" s="195"/>
      <c r="AD397" s="195"/>
      <c r="AE397" s="195"/>
      <c r="AF397" s="195"/>
      <c r="AG397" s="195"/>
      <c r="AH397" s="195"/>
      <c r="AI397" s="195"/>
      <c r="AJ397" s="195"/>
      <c r="AK397" s="195"/>
      <c r="AL397" s="197">
        <v>302</v>
      </c>
      <c r="AM397" s="195"/>
      <c r="AN397" s="195"/>
      <c r="AO397" s="195"/>
      <c r="AP397" s="195"/>
      <c r="AQ397" s="195"/>
      <c r="AR397" s="195"/>
      <c r="AS397" s="195"/>
      <c r="AT397" s="195"/>
      <c r="AU397" s="195"/>
      <c r="AV397" s="195"/>
      <c r="AW397" s="195"/>
      <c r="AX397" s="195"/>
      <c r="AY397" s="195"/>
      <c r="AZ397" s="195"/>
      <c r="BA397" s="195"/>
      <c r="BB397" s="195"/>
      <c r="BC397" s="195"/>
      <c r="BD397" s="197">
        <v>302</v>
      </c>
      <c r="BE397" s="195"/>
      <c r="BF397" s="195"/>
      <c r="BG397" s="195"/>
      <c r="BH397" s="195"/>
      <c r="BI397" s="195"/>
      <c r="BJ397" s="195"/>
      <c r="BK397" s="195"/>
      <c r="BL397" s="195"/>
      <c r="BM397" s="195"/>
      <c r="BN397" s="195"/>
      <c r="BO397" s="195"/>
      <c r="BP397" s="195"/>
      <c r="BQ397" s="195"/>
      <c r="BR397" s="195"/>
      <c r="BS397" s="195"/>
      <c r="BT397" s="195"/>
      <c r="BU397" s="195"/>
      <c r="BV397" s="197">
        <v>302</v>
      </c>
      <c r="BW397" s="195"/>
      <c r="BX397" s="195"/>
      <c r="BY397" s="195"/>
      <c r="BZ397" s="195"/>
      <c r="CA397" s="195"/>
      <c r="CB397" s="195"/>
      <c r="CC397" s="195"/>
      <c r="CD397" s="195"/>
      <c r="CE397" s="195"/>
      <c r="CF397" s="195"/>
      <c r="CG397" s="195"/>
      <c r="CH397" s="195"/>
      <c r="CI397" s="195"/>
      <c r="CJ397" s="195"/>
      <c r="CK397" s="195"/>
      <c r="CL397" s="195"/>
      <c r="CM397" s="195"/>
      <c r="CN397" s="197">
        <v>302</v>
      </c>
      <c r="CO397" s="195"/>
      <c r="CP397" s="195"/>
      <c r="CQ397" s="195"/>
      <c r="CR397" s="195"/>
      <c r="CS397" s="195"/>
      <c r="CT397" s="195"/>
      <c r="CU397" s="195"/>
      <c r="CV397" s="195"/>
      <c r="CW397" s="195"/>
      <c r="CX397" s="195"/>
      <c r="CY397" s="195"/>
      <c r="CZ397" s="195"/>
      <c r="DA397" s="195"/>
      <c r="DB397" s="195"/>
      <c r="DC397" s="195"/>
      <c r="DD397" s="195"/>
      <c r="DE397" s="195"/>
      <c r="DF397" s="197">
        <v>302</v>
      </c>
      <c r="DG397" s="195"/>
      <c r="DH397" s="195"/>
      <c r="DI397" s="195"/>
      <c r="DJ397" s="195"/>
      <c r="DK397" s="195"/>
      <c r="DL397" s="195"/>
      <c r="DM397" s="195"/>
      <c r="DN397" s="195"/>
      <c r="DO397" s="195"/>
      <c r="DP397" s="195"/>
      <c r="DQ397" s="195"/>
      <c r="DR397" s="195"/>
      <c r="DS397" s="195"/>
      <c r="DT397" s="195"/>
      <c r="DU397" s="195"/>
      <c r="DV397" s="195"/>
      <c r="DW397" s="195"/>
      <c r="DX397" s="197">
        <v>302</v>
      </c>
      <c r="DY397" s="195"/>
      <c r="DZ397" s="195"/>
      <c r="EA397" s="195"/>
      <c r="EB397" s="195"/>
      <c r="EC397" s="195"/>
      <c r="ED397" s="195"/>
      <c r="EE397" s="195"/>
      <c r="EF397" s="195"/>
      <c r="EG397" s="195"/>
      <c r="EH397" s="195"/>
      <c r="EI397" s="195"/>
      <c r="EJ397" s="195"/>
      <c r="EK397" s="195"/>
      <c r="EL397" s="195"/>
      <c r="EM397" s="195"/>
      <c r="EN397" s="195"/>
      <c r="EO397" s="195"/>
      <c r="EP397" s="197">
        <v>302</v>
      </c>
      <c r="EQ397" s="195"/>
      <c r="ER397" s="195"/>
      <c r="ES397" s="195"/>
      <c r="ET397" s="195"/>
      <c r="EU397" s="195"/>
      <c r="EV397" s="195"/>
      <c r="EW397" s="195"/>
      <c r="EX397" s="195"/>
      <c r="EY397" s="195"/>
      <c r="EZ397" s="195"/>
      <c r="FA397" s="195"/>
      <c r="FB397" s="195"/>
      <c r="FC397" s="195"/>
      <c r="FD397" s="195"/>
      <c r="FE397" s="195"/>
      <c r="FF397" s="195"/>
      <c r="FG397" s="195"/>
      <c r="FH397" s="197">
        <v>302</v>
      </c>
      <c r="FI397" s="195"/>
      <c r="FJ397" s="195"/>
      <c r="FK397" s="195"/>
      <c r="FL397" s="195"/>
      <c r="FM397" s="195"/>
      <c r="FN397" s="195"/>
      <c r="FO397" s="195"/>
      <c r="FP397" s="195"/>
      <c r="FQ397" s="195"/>
      <c r="FR397" s="195"/>
      <c r="FS397" s="195"/>
      <c r="FT397" s="195"/>
      <c r="FU397" s="195"/>
      <c r="FV397" s="195"/>
      <c r="FW397" s="195"/>
      <c r="FX397" s="195"/>
      <c r="FY397" s="195"/>
    </row>
    <row r="398" spans="2:181" x14ac:dyDescent="0.25">
      <c r="B398" s="12">
        <v>303</v>
      </c>
      <c r="C398" s="195"/>
      <c r="D398" s="195"/>
      <c r="E398" s="195"/>
      <c r="F398" s="195"/>
      <c r="G398" s="195"/>
      <c r="H398" s="195"/>
      <c r="I398" s="195"/>
      <c r="J398" s="195"/>
      <c r="K398" s="195"/>
      <c r="L398" s="195"/>
      <c r="M398" s="195"/>
      <c r="N398" s="195"/>
      <c r="O398" s="195"/>
      <c r="P398" s="195"/>
      <c r="Q398" s="195"/>
      <c r="R398" s="195"/>
      <c r="S398" s="195"/>
      <c r="T398" s="12">
        <v>303</v>
      </c>
      <c r="U398" s="195"/>
      <c r="V398" s="195"/>
      <c r="W398" s="195"/>
      <c r="X398" s="195"/>
      <c r="Y398" s="195"/>
      <c r="Z398" s="195"/>
      <c r="AA398" s="195"/>
      <c r="AB398" s="195"/>
      <c r="AC398" s="195"/>
      <c r="AD398" s="195"/>
      <c r="AE398" s="195"/>
      <c r="AF398" s="195"/>
      <c r="AG398" s="195"/>
      <c r="AH398" s="195"/>
      <c r="AI398" s="195"/>
      <c r="AJ398" s="195"/>
      <c r="AK398" s="195"/>
      <c r="AL398" s="12">
        <v>303</v>
      </c>
      <c r="AM398" s="195"/>
      <c r="AN398" s="195"/>
      <c r="AO398" s="195"/>
      <c r="AP398" s="195"/>
      <c r="AQ398" s="195"/>
      <c r="AR398" s="195"/>
      <c r="AS398" s="195"/>
      <c r="AT398" s="195"/>
      <c r="AU398" s="195"/>
      <c r="AV398" s="195"/>
      <c r="AW398" s="195"/>
      <c r="AX398" s="195"/>
      <c r="AY398" s="195"/>
      <c r="AZ398" s="195"/>
      <c r="BA398" s="195"/>
      <c r="BB398" s="195"/>
      <c r="BC398" s="195"/>
      <c r="BD398" s="12">
        <v>303</v>
      </c>
      <c r="BE398" s="195"/>
      <c r="BF398" s="195"/>
      <c r="BG398" s="195"/>
      <c r="BH398" s="195"/>
      <c r="BI398" s="195"/>
      <c r="BJ398" s="195"/>
      <c r="BK398" s="195"/>
      <c r="BL398" s="195"/>
      <c r="BM398" s="195"/>
      <c r="BN398" s="195"/>
      <c r="BO398" s="195"/>
      <c r="BP398" s="195"/>
      <c r="BQ398" s="195"/>
      <c r="BR398" s="195"/>
      <c r="BS398" s="195"/>
      <c r="BT398" s="195"/>
      <c r="BU398" s="195"/>
      <c r="BV398" s="12">
        <v>303</v>
      </c>
      <c r="BW398" s="195"/>
      <c r="BX398" s="195"/>
      <c r="BY398" s="195"/>
      <c r="BZ398" s="195"/>
      <c r="CA398" s="195"/>
      <c r="CB398" s="195"/>
      <c r="CC398" s="195"/>
      <c r="CD398" s="195"/>
      <c r="CE398" s="195"/>
      <c r="CF398" s="195"/>
      <c r="CG398" s="195"/>
      <c r="CH398" s="195"/>
      <c r="CI398" s="195"/>
      <c r="CJ398" s="195"/>
      <c r="CK398" s="195"/>
      <c r="CL398" s="195"/>
      <c r="CM398" s="195"/>
      <c r="CN398" s="12">
        <v>303</v>
      </c>
      <c r="CO398" s="195"/>
      <c r="CP398" s="195"/>
      <c r="CQ398" s="195"/>
      <c r="CR398" s="195"/>
      <c r="CS398" s="195"/>
      <c r="CT398" s="195"/>
      <c r="CU398" s="195"/>
      <c r="CV398" s="195"/>
      <c r="CW398" s="195"/>
      <c r="CX398" s="195"/>
      <c r="CY398" s="195"/>
      <c r="CZ398" s="195"/>
      <c r="DA398" s="195"/>
      <c r="DB398" s="195"/>
      <c r="DC398" s="195"/>
      <c r="DD398" s="195"/>
      <c r="DE398" s="195"/>
      <c r="DF398" s="12">
        <v>303</v>
      </c>
      <c r="DG398" s="195"/>
      <c r="DH398" s="195"/>
      <c r="DI398" s="195"/>
      <c r="DJ398" s="195"/>
      <c r="DK398" s="195"/>
      <c r="DL398" s="195"/>
      <c r="DM398" s="195"/>
      <c r="DN398" s="195"/>
      <c r="DO398" s="195"/>
      <c r="DP398" s="195"/>
      <c r="DQ398" s="195"/>
      <c r="DR398" s="195"/>
      <c r="DS398" s="195"/>
      <c r="DT398" s="195"/>
      <c r="DU398" s="195"/>
      <c r="DV398" s="195"/>
      <c r="DW398" s="195"/>
      <c r="DX398" s="12">
        <v>303</v>
      </c>
      <c r="DY398" s="195"/>
      <c r="DZ398" s="195"/>
      <c r="EA398" s="195"/>
      <c r="EB398" s="195"/>
      <c r="EC398" s="195"/>
      <c r="ED398" s="195"/>
      <c r="EE398" s="195"/>
      <c r="EF398" s="195"/>
      <c r="EG398" s="195"/>
      <c r="EH398" s="195"/>
      <c r="EI398" s="195"/>
      <c r="EJ398" s="195"/>
      <c r="EK398" s="195"/>
      <c r="EL398" s="195"/>
      <c r="EM398" s="195"/>
      <c r="EN398" s="195"/>
      <c r="EO398" s="195"/>
      <c r="EP398" s="12">
        <v>303</v>
      </c>
      <c r="EQ398" s="195"/>
      <c r="ER398" s="195"/>
      <c r="ES398" s="195"/>
      <c r="ET398" s="195"/>
      <c r="EU398" s="195"/>
      <c r="EV398" s="195"/>
      <c r="EW398" s="195"/>
      <c r="EX398" s="195"/>
      <c r="EY398" s="195"/>
      <c r="EZ398" s="195"/>
      <c r="FA398" s="195"/>
      <c r="FB398" s="195"/>
      <c r="FC398" s="195"/>
      <c r="FD398" s="195"/>
      <c r="FE398" s="195"/>
      <c r="FF398" s="195"/>
      <c r="FG398" s="195"/>
      <c r="FH398" s="12">
        <v>303</v>
      </c>
      <c r="FI398" s="195"/>
      <c r="FJ398" s="195"/>
      <c r="FK398" s="195"/>
      <c r="FL398" s="195"/>
      <c r="FM398" s="195"/>
      <c r="FN398" s="195"/>
      <c r="FO398" s="195"/>
      <c r="FP398" s="195"/>
      <c r="FQ398" s="195"/>
      <c r="FR398" s="195"/>
      <c r="FS398" s="195"/>
      <c r="FT398" s="195"/>
      <c r="FU398" s="195"/>
      <c r="FV398" s="195"/>
      <c r="FW398" s="195"/>
      <c r="FX398" s="195"/>
      <c r="FY398" s="195"/>
    </row>
    <row r="399" spans="2:181" x14ac:dyDescent="0.25">
      <c r="B399" s="197">
        <v>304</v>
      </c>
      <c r="C399" s="195"/>
      <c r="D399" s="195"/>
      <c r="E399" s="195"/>
      <c r="F399" s="195"/>
      <c r="G399" s="195"/>
      <c r="H399" s="195"/>
      <c r="I399" s="195"/>
      <c r="J399" s="195"/>
      <c r="K399" s="195"/>
      <c r="L399" s="195"/>
      <c r="M399" s="195"/>
      <c r="N399" s="195"/>
      <c r="O399" s="195"/>
      <c r="P399" s="195"/>
      <c r="Q399" s="195"/>
      <c r="R399" s="195"/>
      <c r="S399" s="195"/>
      <c r="T399" s="197">
        <v>304</v>
      </c>
      <c r="U399" s="195"/>
      <c r="V399" s="195"/>
      <c r="W399" s="195"/>
      <c r="X399" s="195"/>
      <c r="Y399" s="195"/>
      <c r="Z399" s="195"/>
      <c r="AA399" s="195"/>
      <c r="AB399" s="195"/>
      <c r="AC399" s="195"/>
      <c r="AD399" s="195"/>
      <c r="AE399" s="195"/>
      <c r="AF399" s="195"/>
      <c r="AG399" s="195"/>
      <c r="AH399" s="195"/>
      <c r="AI399" s="195"/>
      <c r="AJ399" s="195"/>
      <c r="AK399" s="195"/>
      <c r="AL399" s="197">
        <v>304</v>
      </c>
      <c r="AM399" s="195"/>
      <c r="AN399" s="195"/>
      <c r="AO399" s="195"/>
      <c r="AP399" s="195"/>
      <c r="AQ399" s="195"/>
      <c r="AR399" s="195"/>
      <c r="AS399" s="195"/>
      <c r="AT399" s="195"/>
      <c r="AU399" s="195"/>
      <c r="AV399" s="195"/>
      <c r="AW399" s="195"/>
      <c r="AX399" s="195"/>
      <c r="AY399" s="195"/>
      <c r="AZ399" s="195"/>
      <c r="BA399" s="195"/>
      <c r="BB399" s="195"/>
      <c r="BC399" s="195"/>
      <c r="BD399" s="197">
        <v>304</v>
      </c>
      <c r="BE399" s="195"/>
      <c r="BF399" s="195"/>
      <c r="BG399" s="195"/>
      <c r="BH399" s="195"/>
      <c r="BI399" s="195"/>
      <c r="BJ399" s="195"/>
      <c r="BK399" s="195"/>
      <c r="BL399" s="195"/>
      <c r="BM399" s="195"/>
      <c r="BN399" s="195"/>
      <c r="BO399" s="195"/>
      <c r="BP399" s="195"/>
      <c r="BQ399" s="195"/>
      <c r="BR399" s="195"/>
      <c r="BS399" s="195"/>
      <c r="BT399" s="195"/>
      <c r="BU399" s="195"/>
      <c r="BV399" s="197">
        <v>304</v>
      </c>
      <c r="BW399" s="195"/>
      <c r="BX399" s="195"/>
      <c r="BY399" s="195"/>
      <c r="BZ399" s="195"/>
      <c r="CA399" s="195"/>
      <c r="CB399" s="195"/>
      <c r="CC399" s="195"/>
      <c r="CD399" s="195"/>
      <c r="CE399" s="195"/>
      <c r="CF399" s="195"/>
      <c r="CG399" s="195"/>
      <c r="CH399" s="195"/>
      <c r="CI399" s="195"/>
      <c r="CJ399" s="195"/>
      <c r="CK399" s="195"/>
      <c r="CL399" s="195"/>
      <c r="CM399" s="195"/>
      <c r="CN399" s="197">
        <v>304</v>
      </c>
      <c r="CO399" s="195"/>
      <c r="CP399" s="195"/>
      <c r="CQ399" s="195"/>
      <c r="CR399" s="195"/>
      <c r="CS399" s="195"/>
      <c r="CT399" s="195"/>
      <c r="CU399" s="195"/>
      <c r="CV399" s="195"/>
      <c r="CW399" s="195"/>
      <c r="CX399" s="195"/>
      <c r="CY399" s="195"/>
      <c r="CZ399" s="195"/>
      <c r="DA399" s="195"/>
      <c r="DB399" s="195"/>
      <c r="DC399" s="195"/>
      <c r="DD399" s="195"/>
      <c r="DE399" s="195"/>
      <c r="DF399" s="197">
        <v>304</v>
      </c>
      <c r="DG399" s="195"/>
      <c r="DH399" s="195"/>
      <c r="DI399" s="195"/>
      <c r="DJ399" s="195"/>
      <c r="DK399" s="195"/>
      <c r="DL399" s="195"/>
      <c r="DM399" s="195"/>
      <c r="DN399" s="195"/>
      <c r="DO399" s="195"/>
      <c r="DP399" s="195"/>
      <c r="DQ399" s="195"/>
      <c r="DR399" s="195"/>
      <c r="DS399" s="195"/>
      <c r="DT399" s="195"/>
      <c r="DU399" s="195"/>
      <c r="DV399" s="195"/>
      <c r="DW399" s="195"/>
      <c r="DX399" s="197">
        <v>304</v>
      </c>
      <c r="DY399" s="195"/>
      <c r="DZ399" s="195"/>
      <c r="EA399" s="195"/>
      <c r="EB399" s="195"/>
      <c r="EC399" s="195"/>
      <c r="ED399" s="195"/>
      <c r="EE399" s="195"/>
      <c r="EF399" s="195"/>
      <c r="EG399" s="195"/>
      <c r="EH399" s="195"/>
      <c r="EI399" s="195"/>
      <c r="EJ399" s="195"/>
      <c r="EK399" s="195"/>
      <c r="EL399" s="195"/>
      <c r="EM399" s="195"/>
      <c r="EN399" s="195"/>
      <c r="EO399" s="195"/>
      <c r="EP399" s="197">
        <v>304</v>
      </c>
      <c r="EQ399" s="195"/>
      <c r="ER399" s="195"/>
      <c r="ES399" s="195"/>
      <c r="ET399" s="195"/>
      <c r="EU399" s="195"/>
      <c r="EV399" s="195"/>
      <c r="EW399" s="195"/>
      <c r="EX399" s="195"/>
      <c r="EY399" s="195"/>
      <c r="EZ399" s="195"/>
      <c r="FA399" s="195"/>
      <c r="FB399" s="195"/>
      <c r="FC399" s="195"/>
      <c r="FD399" s="195"/>
      <c r="FE399" s="195"/>
      <c r="FF399" s="195"/>
      <c r="FG399" s="195"/>
      <c r="FH399" s="197">
        <v>304</v>
      </c>
      <c r="FI399" s="195"/>
      <c r="FJ399" s="195"/>
      <c r="FK399" s="195"/>
      <c r="FL399" s="195"/>
      <c r="FM399" s="195"/>
      <c r="FN399" s="195"/>
      <c r="FO399" s="195"/>
      <c r="FP399" s="195"/>
      <c r="FQ399" s="195"/>
      <c r="FR399" s="195"/>
      <c r="FS399" s="195"/>
      <c r="FT399" s="195"/>
      <c r="FU399" s="195"/>
      <c r="FV399" s="195"/>
      <c r="FW399" s="195"/>
      <c r="FX399" s="195"/>
      <c r="FY399" s="195"/>
    </row>
    <row r="400" spans="2:181" x14ac:dyDescent="0.25">
      <c r="B400" s="12">
        <v>305</v>
      </c>
      <c r="C400" s="195"/>
      <c r="D400" s="195"/>
      <c r="E400" s="195"/>
      <c r="F400" s="195"/>
      <c r="G400" s="195"/>
      <c r="H400" s="195"/>
      <c r="I400" s="195"/>
      <c r="J400" s="195"/>
      <c r="K400" s="195"/>
      <c r="L400" s="195"/>
      <c r="M400" s="195"/>
      <c r="N400" s="195"/>
      <c r="O400" s="195"/>
      <c r="P400" s="195"/>
      <c r="Q400" s="195"/>
      <c r="R400" s="195"/>
      <c r="S400" s="195"/>
      <c r="T400" s="12">
        <v>305</v>
      </c>
      <c r="U400" s="195"/>
      <c r="V400" s="195"/>
      <c r="W400" s="195"/>
      <c r="X400" s="195"/>
      <c r="Y400" s="195"/>
      <c r="Z400" s="195"/>
      <c r="AA400" s="195"/>
      <c r="AB400" s="195"/>
      <c r="AC400" s="195"/>
      <c r="AD400" s="195"/>
      <c r="AE400" s="195"/>
      <c r="AF400" s="195"/>
      <c r="AG400" s="195"/>
      <c r="AH400" s="195"/>
      <c r="AI400" s="195"/>
      <c r="AJ400" s="195"/>
      <c r="AK400" s="195"/>
      <c r="AL400" s="12">
        <v>305</v>
      </c>
      <c r="AM400" s="195"/>
      <c r="AN400" s="195"/>
      <c r="AO400" s="195"/>
      <c r="AP400" s="195"/>
      <c r="AQ400" s="195"/>
      <c r="AR400" s="195"/>
      <c r="AS400" s="195"/>
      <c r="AT400" s="195"/>
      <c r="AU400" s="195"/>
      <c r="AV400" s="195"/>
      <c r="AW400" s="195"/>
      <c r="AX400" s="195"/>
      <c r="AY400" s="195"/>
      <c r="AZ400" s="195"/>
      <c r="BA400" s="195"/>
      <c r="BB400" s="195"/>
      <c r="BC400" s="195"/>
      <c r="BD400" s="12">
        <v>305</v>
      </c>
      <c r="BE400" s="195"/>
      <c r="BF400" s="195"/>
      <c r="BG400" s="195"/>
      <c r="BH400" s="195"/>
      <c r="BI400" s="195"/>
      <c r="BJ400" s="195"/>
      <c r="BK400" s="195"/>
      <c r="BL400" s="195"/>
      <c r="BM400" s="195"/>
      <c r="BN400" s="195"/>
      <c r="BO400" s="195"/>
      <c r="BP400" s="195"/>
      <c r="BQ400" s="195"/>
      <c r="BR400" s="195"/>
      <c r="BS400" s="195"/>
      <c r="BT400" s="195"/>
      <c r="BU400" s="195"/>
      <c r="BV400" s="12">
        <v>305</v>
      </c>
      <c r="BW400" s="195"/>
      <c r="BX400" s="195"/>
      <c r="BY400" s="195"/>
      <c r="BZ400" s="195"/>
      <c r="CA400" s="195"/>
      <c r="CB400" s="195"/>
      <c r="CC400" s="195"/>
      <c r="CD400" s="195"/>
      <c r="CE400" s="195"/>
      <c r="CF400" s="195"/>
      <c r="CG400" s="195"/>
      <c r="CH400" s="195"/>
      <c r="CI400" s="195"/>
      <c r="CJ400" s="195"/>
      <c r="CK400" s="195"/>
      <c r="CL400" s="195"/>
      <c r="CM400" s="195"/>
      <c r="CN400" s="12">
        <v>305</v>
      </c>
      <c r="CO400" s="195"/>
      <c r="CP400" s="195"/>
      <c r="CQ400" s="195"/>
      <c r="CR400" s="195"/>
      <c r="CS400" s="195"/>
      <c r="CT400" s="195"/>
      <c r="CU400" s="195"/>
      <c r="CV400" s="195"/>
      <c r="CW400" s="195"/>
      <c r="CX400" s="195"/>
      <c r="CY400" s="195"/>
      <c r="CZ400" s="195"/>
      <c r="DA400" s="195"/>
      <c r="DB400" s="195"/>
      <c r="DC400" s="195"/>
      <c r="DD400" s="195"/>
      <c r="DE400" s="195"/>
      <c r="DF400" s="12">
        <v>305</v>
      </c>
      <c r="DG400" s="195"/>
      <c r="DH400" s="195"/>
      <c r="DI400" s="195"/>
      <c r="DJ400" s="195"/>
      <c r="DK400" s="195"/>
      <c r="DL400" s="195"/>
      <c r="DM400" s="195"/>
      <c r="DN400" s="195"/>
      <c r="DO400" s="195"/>
      <c r="DP400" s="195"/>
      <c r="DQ400" s="195"/>
      <c r="DR400" s="195"/>
      <c r="DS400" s="195"/>
      <c r="DT400" s="195"/>
      <c r="DU400" s="195"/>
      <c r="DV400" s="195"/>
      <c r="DW400" s="195"/>
      <c r="DX400" s="12">
        <v>305</v>
      </c>
      <c r="DY400" s="195"/>
      <c r="DZ400" s="195"/>
      <c r="EA400" s="195"/>
      <c r="EB400" s="195"/>
      <c r="EC400" s="195"/>
      <c r="ED400" s="195"/>
      <c r="EE400" s="195"/>
      <c r="EF400" s="195"/>
      <c r="EG400" s="195"/>
      <c r="EH400" s="195"/>
      <c r="EI400" s="195"/>
      <c r="EJ400" s="195"/>
      <c r="EK400" s="195"/>
      <c r="EL400" s="195"/>
      <c r="EM400" s="195"/>
      <c r="EN400" s="195"/>
      <c r="EO400" s="195"/>
      <c r="EP400" s="12">
        <v>305</v>
      </c>
      <c r="EQ400" s="195"/>
      <c r="ER400" s="195"/>
      <c r="ES400" s="195"/>
      <c r="ET400" s="195"/>
      <c r="EU400" s="195"/>
      <c r="EV400" s="195"/>
      <c r="EW400" s="195"/>
      <c r="EX400" s="195"/>
      <c r="EY400" s="195"/>
      <c r="EZ400" s="195"/>
      <c r="FA400" s="195"/>
      <c r="FB400" s="195"/>
      <c r="FC400" s="195"/>
      <c r="FD400" s="195"/>
      <c r="FE400" s="195"/>
      <c r="FF400" s="195"/>
      <c r="FG400" s="195"/>
      <c r="FH400" s="12">
        <v>305</v>
      </c>
      <c r="FI400" s="195"/>
      <c r="FJ400" s="195"/>
      <c r="FK400" s="195"/>
      <c r="FL400" s="195"/>
      <c r="FM400" s="195"/>
      <c r="FN400" s="195"/>
      <c r="FO400" s="195"/>
      <c r="FP400" s="195"/>
      <c r="FQ400" s="195"/>
      <c r="FR400" s="195"/>
      <c r="FS400" s="195"/>
      <c r="FT400" s="195"/>
      <c r="FU400" s="195"/>
      <c r="FV400" s="195"/>
      <c r="FW400" s="195"/>
      <c r="FX400" s="195"/>
      <c r="FY400" s="195"/>
    </row>
    <row r="401" spans="2:181" x14ac:dyDescent="0.25">
      <c r="B401" s="197">
        <v>306</v>
      </c>
      <c r="C401" s="195"/>
      <c r="D401" s="195"/>
      <c r="E401" s="195"/>
      <c r="F401" s="195"/>
      <c r="G401" s="195"/>
      <c r="H401" s="195"/>
      <c r="I401" s="195"/>
      <c r="J401" s="195"/>
      <c r="K401" s="195"/>
      <c r="L401" s="195"/>
      <c r="M401" s="195"/>
      <c r="N401" s="195"/>
      <c r="O401" s="195"/>
      <c r="P401" s="195"/>
      <c r="Q401" s="195"/>
      <c r="R401" s="195"/>
      <c r="S401" s="195"/>
      <c r="T401" s="197">
        <v>306</v>
      </c>
      <c r="U401" s="195"/>
      <c r="V401" s="195"/>
      <c r="W401" s="195"/>
      <c r="X401" s="195"/>
      <c r="Y401" s="195"/>
      <c r="Z401" s="195"/>
      <c r="AA401" s="195"/>
      <c r="AB401" s="195"/>
      <c r="AC401" s="195"/>
      <c r="AD401" s="195"/>
      <c r="AE401" s="195"/>
      <c r="AF401" s="195"/>
      <c r="AG401" s="195"/>
      <c r="AH401" s="195"/>
      <c r="AI401" s="195"/>
      <c r="AJ401" s="195"/>
      <c r="AK401" s="195"/>
      <c r="AL401" s="197">
        <v>306</v>
      </c>
      <c r="AM401" s="195"/>
      <c r="AN401" s="195"/>
      <c r="AO401" s="195"/>
      <c r="AP401" s="195"/>
      <c r="AQ401" s="195"/>
      <c r="AR401" s="195"/>
      <c r="AS401" s="195"/>
      <c r="AT401" s="195"/>
      <c r="AU401" s="195"/>
      <c r="AV401" s="195"/>
      <c r="AW401" s="195"/>
      <c r="AX401" s="195"/>
      <c r="AY401" s="195"/>
      <c r="AZ401" s="195"/>
      <c r="BA401" s="195"/>
      <c r="BB401" s="195"/>
      <c r="BC401" s="195"/>
      <c r="BD401" s="197">
        <v>306</v>
      </c>
      <c r="BE401" s="195"/>
      <c r="BF401" s="195"/>
      <c r="BG401" s="195"/>
      <c r="BH401" s="195"/>
      <c r="BI401" s="195"/>
      <c r="BJ401" s="195"/>
      <c r="BK401" s="195"/>
      <c r="BL401" s="195"/>
      <c r="BM401" s="195"/>
      <c r="BN401" s="195"/>
      <c r="BO401" s="195"/>
      <c r="BP401" s="195"/>
      <c r="BQ401" s="195"/>
      <c r="BR401" s="195"/>
      <c r="BS401" s="195"/>
      <c r="BT401" s="195"/>
      <c r="BU401" s="195"/>
      <c r="BV401" s="197">
        <v>306</v>
      </c>
      <c r="BW401" s="195"/>
      <c r="BX401" s="195"/>
      <c r="BY401" s="195"/>
      <c r="BZ401" s="195"/>
      <c r="CA401" s="195"/>
      <c r="CB401" s="195"/>
      <c r="CC401" s="195"/>
      <c r="CD401" s="195"/>
      <c r="CE401" s="195"/>
      <c r="CF401" s="195"/>
      <c r="CG401" s="195"/>
      <c r="CH401" s="195"/>
      <c r="CI401" s="195"/>
      <c r="CJ401" s="195"/>
      <c r="CK401" s="195"/>
      <c r="CL401" s="195"/>
      <c r="CM401" s="195"/>
      <c r="CN401" s="197">
        <v>306</v>
      </c>
      <c r="CO401" s="195"/>
      <c r="CP401" s="195"/>
      <c r="CQ401" s="195"/>
      <c r="CR401" s="195"/>
      <c r="CS401" s="195"/>
      <c r="CT401" s="195"/>
      <c r="CU401" s="195"/>
      <c r="CV401" s="195"/>
      <c r="CW401" s="195"/>
      <c r="CX401" s="195"/>
      <c r="CY401" s="195"/>
      <c r="CZ401" s="195"/>
      <c r="DA401" s="195"/>
      <c r="DB401" s="195"/>
      <c r="DC401" s="195"/>
      <c r="DD401" s="195"/>
      <c r="DE401" s="195"/>
      <c r="DF401" s="197">
        <v>306</v>
      </c>
      <c r="DG401" s="195"/>
      <c r="DH401" s="195"/>
      <c r="DI401" s="195"/>
      <c r="DJ401" s="195"/>
      <c r="DK401" s="195"/>
      <c r="DL401" s="195"/>
      <c r="DM401" s="195"/>
      <c r="DN401" s="195"/>
      <c r="DO401" s="195"/>
      <c r="DP401" s="195"/>
      <c r="DQ401" s="195"/>
      <c r="DR401" s="195"/>
      <c r="DS401" s="195"/>
      <c r="DT401" s="195"/>
      <c r="DU401" s="195"/>
      <c r="DV401" s="195"/>
      <c r="DW401" s="195"/>
      <c r="DX401" s="197">
        <v>306</v>
      </c>
      <c r="DY401" s="195"/>
      <c r="DZ401" s="195"/>
      <c r="EA401" s="195"/>
      <c r="EB401" s="195"/>
      <c r="EC401" s="195"/>
      <c r="ED401" s="195"/>
      <c r="EE401" s="195"/>
      <c r="EF401" s="195"/>
      <c r="EG401" s="195"/>
      <c r="EH401" s="195"/>
      <c r="EI401" s="195"/>
      <c r="EJ401" s="195"/>
      <c r="EK401" s="195"/>
      <c r="EL401" s="195"/>
      <c r="EM401" s="195"/>
      <c r="EN401" s="195"/>
      <c r="EO401" s="195"/>
      <c r="EP401" s="197">
        <v>306</v>
      </c>
      <c r="EQ401" s="195"/>
      <c r="ER401" s="195"/>
      <c r="ES401" s="195"/>
      <c r="ET401" s="195"/>
      <c r="EU401" s="195"/>
      <c r="EV401" s="195"/>
      <c r="EW401" s="195"/>
      <c r="EX401" s="195"/>
      <c r="EY401" s="195"/>
      <c r="EZ401" s="195"/>
      <c r="FA401" s="195"/>
      <c r="FB401" s="195"/>
      <c r="FC401" s="195"/>
      <c r="FD401" s="195"/>
      <c r="FE401" s="195"/>
      <c r="FF401" s="195"/>
      <c r="FG401" s="195"/>
      <c r="FH401" s="197">
        <v>306</v>
      </c>
      <c r="FI401" s="195"/>
      <c r="FJ401" s="195"/>
      <c r="FK401" s="195"/>
      <c r="FL401" s="195"/>
      <c r="FM401" s="195"/>
      <c r="FN401" s="195"/>
      <c r="FO401" s="195"/>
      <c r="FP401" s="195"/>
      <c r="FQ401" s="195"/>
      <c r="FR401" s="195"/>
      <c r="FS401" s="195"/>
      <c r="FT401" s="195"/>
      <c r="FU401" s="195"/>
      <c r="FV401" s="195"/>
      <c r="FW401" s="195"/>
      <c r="FX401" s="195"/>
      <c r="FY401" s="195"/>
    </row>
    <row r="402" spans="2:181" x14ac:dyDescent="0.25">
      <c r="B402" s="12">
        <v>307</v>
      </c>
      <c r="C402" s="195"/>
      <c r="D402" s="195"/>
      <c r="E402" s="195"/>
      <c r="F402" s="195"/>
      <c r="G402" s="195"/>
      <c r="H402" s="195"/>
      <c r="I402" s="195"/>
      <c r="J402" s="195"/>
      <c r="K402" s="195"/>
      <c r="L402" s="195"/>
      <c r="M402" s="195"/>
      <c r="N402" s="195"/>
      <c r="O402" s="195"/>
      <c r="P402" s="195"/>
      <c r="Q402" s="195"/>
      <c r="R402" s="195"/>
      <c r="S402" s="195"/>
      <c r="T402" s="12">
        <v>307</v>
      </c>
      <c r="U402" s="195"/>
      <c r="V402" s="195"/>
      <c r="W402" s="195"/>
      <c r="X402" s="195"/>
      <c r="Y402" s="195"/>
      <c r="Z402" s="195"/>
      <c r="AA402" s="195"/>
      <c r="AB402" s="195"/>
      <c r="AC402" s="195"/>
      <c r="AD402" s="195"/>
      <c r="AE402" s="195"/>
      <c r="AF402" s="195"/>
      <c r="AG402" s="195"/>
      <c r="AH402" s="195"/>
      <c r="AI402" s="195"/>
      <c r="AJ402" s="195"/>
      <c r="AK402" s="195"/>
      <c r="AL402" s="12">
        <v>307</v>
      </c>
      <c r="AM402" s="195"/>
      <c r="AN402" s="195"/>
      <c r="AO402" s="195"/>
      <c r="AP402" s="195"/>
      <c r="AQ402" s="195"/>
      <c r="AR402" s="195"/>
      <c r="AS402" s="195"/>
      <c r="AT402" s="195"/>
      <c r="AU402" s="195"/>
      <c r="AV402" s="195"/>
      <c r="AW402" s="195"/>
      <c r="AX402" s="195"/>
      <c r="AY402" s="195"/>
      <c r="AZ402" s="195"/>
      <c r="BA402" s="195"/>
      <c r="BB402" s="195"/>
      <c r="BC402" s="195"/>
      <c r="BD402" s="12">
        <v>307</v>
      </c>
      <c r="BE402" s="195"/>
      <c r="BF402" s="195"/>
      <c r="BG402" s="195"/>
      <c r="BH402" s="195"/>
      <c r="BI402" s="195"/>
      <c r="BJ402" s="195"/>
      <c r="BK402" s="195"/>
      <c r="BL402" s="195"/>
      <c r="BM402" s="195"/>
      <c r="BN402" s="195"/>
      <c r="BO402" s="195"/>
      <c r="BP402" s="195"/>
      <c r="BQ402" s="195"/>
      <c r="BR402" s="195"/>
      <c r="BS402" s="195"/>
      <c r="BT402" s="195"/>
      <c r="BU402" s="195"/>
      <c r="BV402" s="12">
        <v>307</v>
      </c>
      <c r="BW402" s="195"/>
      <c r="BX402" s="195"/>
      <c r="BY402" s="195"/>
      <c r="BZ402" s="195"/>
      <c r="CA402" s="195"/>
      <c r="CB402" s="195"/>
      <c r="CC402" s="195"/>
      <c r="CD402" s="195"/>
      <c r="CE402" s="195"/>
      <c r="CF402" s="195"/>
      <c r="CG402" s="195"/>
      <c r="CH402" s="195"/>
      <c r="CI402" s="195"/>
      <c r="CJ402" s="195"/>
      <c r="CK402" s="195"/>
      <c r="CL402" s="195"/>
      <c r="CM402" s="195"/>
      <c r="CN402" s="12">
        <v>307</v>
      </c>
      <c r="CO402" s="195"/>
      <c r="CP402" s="195"/>
      <c r="CQ402" s="195"/>
      <c r="CR402" s="195"/>
      <c r="CS402" s="195"/>
      <c r="CT402" s="195"/>
      <c r="CU402" s="195"/>
      <c r="CV402" s="195"/>
      <c r="CW402" s="195"/>
      <c r="CX402" s="195"/>
      <c r="CY402" s="195"/>
      <c r="CZ402" s="195"/>
      <c r="DA402" s="195"/>
      <c r="DB402" s="195"/>
      <c r="DC402" s="195"/>
      <c r="DD402" s="195"/>
      <c r="DE402" s="195"/>
      <c r="DF402" s="12">
        <v>307</v>
      </c>
      <c r="DG402" s="195"/>
      <c r="DH402" s="195"/>
      <c r="DI402" s="195"/>
      <c r="DJ402" s="195"/>
      <c r="DK402" s="195"/>
      <c r="DL402" s="195"/>
      <c r="DM402" s="195"/>
      <c r="DN402" s="195"/>
      <c r="DO402" s="195"/>
      <c r="DP402" s="195"/>
      <c r="DQ402" s="195"/>
      <c r="DR402" s="195"/>
      <c r="DS402" s="195"/>
      <c r="DT402" s="195"/>
      <c r="DU402" s="195"/>
      <c r="DV402" s="195"/>
      <c r="DW402" s="195"/>
      <c r="DX402" s="12">
        <v>307</v>
      </c>
      <c r="DY402" s="195"/>
      <c r="DZ402" s="195"/>
      <c r="EA402" s="195"/>
      <c r="EB402" s="195"/>
      <c r="EC402" s="195"/>
      <c r="ED402" s="195"/>
      <c r="EE402" s="195"/>
      <c r="EF402" s="195"/>
      <c r="EG402" s="195"/>
      <c r="EH402" s="195"/>
      <c r="EI402" s="195"/>
      <c r="EJ402" s="195"/>
      <c r="EK402" s="195"/>
      <c r="EL402" s="195"/>
      <c r="EM402" s="195"/>
      <c r="EN402" s="195"/>
      <c r="EO402" s="195"/>
      <c r="EP402" s="12">
        <v>307</v>
      </c>
      <c r="EQ402" s="195"/>
      <c r="ER402" s="195"/>
      <c r="ES402" s="195"/>
      <c r="ET402" s="195"/>
      <c r="EU402" s="195"/>
      <c r="EV402" s="195"/>
      <c r="EW402" s="195"/>
      <c r="EX402" s="195"/>
      <c r="EY402" s="195"/>
      <c r="EZ402" s="195"/>
      <c r="FA402" s="195"/>
      <c r="FB402" s="195"/>
      <c r="FC402" s="195"/>
      <c r="FD402" s="195"/>
      <c r="FE402" s="195"/>
      <c r="FF402" s="195"/>
      <c r="FG402" s="195"/>
      <c r="FH402" s="12">
        <v>307</v>
      </c>
      <c r="FI402" s="195"/>
      <c r="FJ402" s="195"/>
      <c r="FK402" s="195"/>
      <c r="FL402" s="195"/>
      <c r="FM402" s="195"/>
      <c r="FN402" s="195"/>
      <c r="FO402" s="195"/>
      <c r="FP402" s="195"/>
      <c r="FQ402" s="195"/>
      <c r="FR402" s="195"/>
      <c r="FS402" s="195"/>
      <c r="FT402" s="195"/>
      <c r="FU402" s="195"/>
      <c r="FV402" s="195"/>
      <c r="FW402" s="195"/>
      <c r="FX402" s="195"/>
      <c r="FY402" s="195"/>
    </row>
    <row r="403" spans="2:181" x14ac:dyDescent="0.25">
      <c r="B403" s="197">
        <v>308</v>
      </c>
      <c r="C403" s="195"/>
      <c r="D403" s="195"/>
      <c r="E403" s="195"/>
      <c r="F403" s="195"/>
      <c r="G403" s="195"/>
      <c r="H403" s="195"/>
      <c r="I403" s="195"/>
      <c r="J403" s="195"/>
      <c r="K403" s="195"/>
      <c r="L403" s="195"/>
      <c r="M403" s="195"/>
      <c r="N403" s="195"/>
      <c r="O403" s="195"/>
      <c r="P403" s="195"/>
      <c r="Q403" s="195"/>
      <c r="R403" s="195"/>
      <c r="S403" s="195"/>
      <c r="T403" s="197">
        <v>308</v>
      </c>
      <c r="U403" s="195"/>
      <c r="V403" s="195"/>
      <c r="W403" s="195"/>
      <c r="X403" s="195"/>
      <c r="Y403" s="195"/>
      <c r="Z403" s="195"/>
      <c r="AA403" s="195"/>
      <c r="AB403" s="195"/>
      <c r="AC403" s="195"/>
      <c r="AD403" s="195"/>
      <c r="AE403" s="195"/>
      <c r="AF403" s="195"/>
      <c r="AG403" s="195"/>
      <c r="AH403" s="195"/>
      <c r="AI403" s="195"/>
      <c r="AJ403" s="195"/>
      <c r="AK403" s="195"/>
      <c r="AL403" s="197">
        <v>308</v>
      </c>
      <c r="AM403" s="195"/>
      <c r="AN403" s="195"/>
      <c r="AO403" s="195"/>
      <c r="AP403" s="195"/>
      <c r="AQ403" s="195"/>
      <c r="AR403" s="195"/>
      <c r="AS403" s="195"/>
      <c r="AT403" s="195"/>
      <c r="AU403" s="195"/>
      <c r="AV403" s="195"/>
      <c r="AW403" s="195"/>
      <c r="AX403" s="195"/>
      <c r="AY403" s="195"/>
      <c r="AZ403" s="195"/>
      <c r="BA403" s="195"/>
      <c r="BB403" s="195"/>
      <c r="BC403" s="195"/>
      <c r="BD403" s="197">
        <v>308</v>
      </c>
      <c r="BE403" s="195"/>
      <c r="BF403" s="195"/>
      <c r="BG403" s="195"/>
      <c r="BH403" s="195"/>
      <c r="BI403" s="195"/>
      <c r="BJ403" s="195"/>
      <c r="BK403" s="195"/>
      <c r="BL403" s="195"/>
      <c r="BM403" s="195"/>
      <c r="BN403" s="195"/>
      <c r="BO403" s="195"/>
      <c r="BP403" s="195"/>
      <c r="BQ403" s="195"/>
      <c r="BR403" s="195"/>
      <c r="BS403" s="195"/>
      <c r="BT403" s="195"/>
      <c r="BU403" s="195"/>
      <c r="BV403" s="197">
        <v>308</v>
      </c>
      <c r="BW403" s="195"/>
      <c r="BX403" s="195"/>
      <c r="BY403" s="195"/>
      <c r="BZ403" s="195"/>
      <c r="CA403" s="195"/>
      <c r="CB403" s="195"/>
      <c r="CC403" s="195"/>
      <c r="CD403" s="195"/>
      <c r="CE403" s="195"/>
      <c r="CF403" s="195"/>
      <c r="CG403" s="195"/>
      <c r="CH403" s="195"/>
      <c r="CI403" s="195"/>
      <c r="CJ403" s="195"/>
      <c r="CK403" s="195"/>
      <c r="CL403" s="195"/>
      <c r="CM403" s="195"/>
      <c r="CN403" s="197">
        <v>308</v>
      </c>
      <c r="CO403" s="195"/>
      <c r="CP403" s="195"/>
      <c r="CQ403" s="195"/>
      <c r="CR403" s="195"/>
      <c r="CS403" s="195"/>
      <c r="CT403" s="195"/>
      <c r="CU403" s="195"/>
      <c r="CV403" s="195"/>
      <c r="CW403" s="195"/>
      <c r="CX403" s="195"/>
      <c r="CY403" s="195"/>
      <c r="CZ403" s="195"/>
      <c r="DA403" s="195"/>
      <c r="DB403" s="195"/>
      <c r="DC403" s="195"/>
      <c r="DD403" s="195"/>
      <c r="DE403" s="195"/>
      <c r="DF403" s="197">
        <v>308</v>
      </c>
      <c r="DG403" s="195"/>
      <c r="DH403" s="195"/>
      <c r="DI403" s="195"/>
      <c r="DJ403" s="195"/>
      <c r="DK403" s="195"/>
      <c r="DL403" s="195"/>
      <c r="DM403" s="195"/>
      <c r="DN403" s="195"/>
      <c r="DO403" s="195"/>
      <c r="DP403" s="195"/>
      <c r="DQ403" s="195"/>
      <c r="DR403" s="195"/>
      <c r="DS403" s="195"/>
      <c r="DT403" s="195"/>
      <c r="DU403" s="195"/>
      <c r="DV403" s="195"/>
      <c r="DW403" s="195"/>
      <c r="DX403" s="197">
        <v>308</v>
      </c>
      <c r="DY403" s="195"/>
      <c r="DZ403" s="195"/>
      <c r="EA403" s="195"/>
      <c r="EB403" s="195"/>
      <c r="EC403" s="195"/>
      <c r="ED403" s="195"/>
      <c r="EE403" s="195"/>
      <c r="EF403" s="195"/>
      <c r="EG403" s="195"/>
      <c r="EH403" s="195"/>
      <c r="EI403" s="195"/>
      <c r="EJ403" s="195"/>
      <c r="EK403" s="195"/>
      <c r="EL403" s="195"/>
      <c r="EM403" s="195"/>
      <c r="EN403" s="195"/>
      <c r="EO403" s="195"/>
      <c r="EP403" s="197">
        <v>308</v>
      </c>
      <c r="EQ403" s="195"/>
      <c r="ER403" s="195"/>
      <c r="ES403" s="195"/>
      <c r="ET403" s="195"/>
      <c r="EU403" s="195"/>
      <c r="EV403" s="195"/>
      <c r="EW403" s="195"/>
      <c r="EX403" s="195"/>
      <c r="EY403" s="195"/>
      <c r="EZ403" s="195"/>
      <c r="FA403" s="195"/>
      <c r="FB403" s="195"/>
      <c r="FC403" s="195"/>
      <c r="FD403" s="195"/>
      <c r="FE403" s="195"/>
      <c r="FF403" s="195"/>
      <c r="FG403" s="195"/>
      <c r="FH403" s="197">
        <v>308</v>
      </c>
      <c r="FI403" s="195"/>
      <c r="FJ403" s="195"/>
      <c r="FK403" s="195"/>
      <c r="FL403" s="195"/>
      <c r="FM403" s="195"/>
      <c r="FN403" s="195"/>
      <c r="FO403" s="195"/>
      <c r="FP403" s="195"/>
      <c r="FQ403" s="195"/>
      <c r="FR403" s="195"/>
      <c r="FS403" s="195"/>
      <c r="FT403" s="195"/>
      <c r="FU403" s="195"/>
      <c r="FV403" s="195"/>
      <c r="FW403" s="195"/>
      <c r="FX403" s="195"/>
      <c r="FY403" s="195"/>
    </row>
    <row r="404" spans="2:181" x14ac:dyDescent="0.25">
      <c r="B404" s="12">
        <v>309</v>
      </c>
      <c r="C404" s="195"/>
      <c r="D404" s="195"/>
      <c r="E404" s="195"/>
      <c r="F404" s="195"/>
      <c r="G404" s="195"/>
      <c r="H404" s="195"/>
      <c r="I404" s="195"/>
      <c r="J404" s="195"/>
      <c r="K404" s="195"/>
      <c r="L404" s="195"/>
      <c r="M404" s="195"/>
      <c r="N404" s="195"/>
      <c r="O404" s="195"/>
      <c r="P404" s="195"/>
      <c r="Q404" s="195"/>
      <c r="R404" s="195"/>
      <c r="S404" s="195"/>
      <c r="T404" s="12">
        <v>309</v>
      </c>
      <c r="U404" s="195"/>
      <c r="V404" s="195"/>
      <c r="W404" s="195"/>
      <c r="X404" s="195"/>
      <c r="Y404" s="195"/>
      <c r="Z404" s="195"/>
      <c r="AA404" s="195"/>
      <c r="AB404" s="195"/>
      <c r="AC404" s="195"/>
      <c r="AD404" s="195"/>
      <c r="AE404" s="195"/>
      <c r="AF404" s="195"/>
      <c r="AG404" s="195"/>
      <c r="AH404" s="195"/>
      <c r="AI404" s="195"/>
      <c r="AJ404" s="195"/>
      <c r="AK404" s="195"/>
      <c r="AL404" s="12">
        <v>309</v>
      </c>
      <c r="AM404" s="195"/>
      <c r="AN404" s="195"/>
      <c r="AO404" s="195"/>
      <c r="AP404" s="195"/>
      <c r="AQ404" s="195"/>
      <c r="AR404" s="195"/>
      <c r="AS404" s="195"/>
      <c r="AT404" s="195"/>
      <c r="AU404" s="195"/>
      <c r="AV404" s="195"/>
      <c r="AW404" s="195"/>
      <c r="AX404" s="195"/>
      <c r="AY404" s="195"/>
      <c r="AZ404" s="195"/>
      <c r="BA404" s="195"/>
      <c r="BB404" s="195"/>
      <c r="BC404" s="195"/>
      <c r="BD404" s="12">
        <v>309</v>
      </c>
      <c r="BE404" s="195"/>
      <c r="BF404" s="195"/>
      <c r="BG404" s="195"/>
      <c r="BH404" s="195"/>
      <c r="BI404" s="195"/>
      <c r="BJ404" s="195"/>
      <c r="BK404" s="195"/>
      <c r="BL404" s="195"/>
      <c r="BM404" s="195"/>
      <c r="BN404" s="195"/>
      <c r="BO404" s="195"/>
      <c r="BP404" s="195"/>
      <c r="BQ404" s="195"/>
      <c r="BR404" s="195"/>
      <c r="BS404" s="195"/>
      <c r="BT404" s="195"/>
      <c r="BU404" s="195"/>
      <c r="BV404" s="12">
        <v>309</v>
      </c>
      <c r="BW404" s="195"/>
      <c r="BX404" s="195"/>
      <c r="BY404" s="195"/>
      <c r="BZ404" s="195"/>
      <c r="CA404" s="195"/>
      <c r="CB404" s="195"/>
      <c r="CC404" s="195"/>
      <c r="CD404" s="195"/>
      <c r="CE404" s="195"/>
      <c r="CF404" s="195"/>
      <c r="CG404" s="195"/>
      <c r="CH404" s="195"/>
      <c r="CI404" s="195"/>
      <c r="CJ404" s="195"/>
      <c r="CK404" s="195"/>
      <c r="CL404" s="195"/>
      <c r="CM404" s="195"/>
      <c r="CN404" s="12">
        <v>309</v>
      </c>
      <c r="CO404" s="195"/>
      <c r="CP404" s="195"/>
      <c r="CQ404" s="195"/>
      <c r="CR404" s="195"/>
      <c r="CS404" s="195"/>
      <c r="CT404" s="195"/>
      <c r="CU404" s="195"/>
      <c r="CV404" s="195"/>
      <c r="CW404" s="195"/>
      <c r="CX404" s="195"/>
      <c r="CY404" s="195"/>
      <c r="CZ404" s="195"/>
      <c r="DA404" s="195"/>
      <c r="DB404" s="195"/>
      <c r="DC404" s="195"/>
      <c r="DD404" s="195"/>
      <c r="DE404" s="195"/>
      <c r="DF404" s="12">
        <v>309</v>
      </c>
      <c r="DG404" s="195"/>
      <c r="DH404" s="195"/>
      <c r="DI404" s="195"/>
      <c r="DJ404" s="195"/>
      <c r="DK404" s="195"/>
      <c r="DL404" s="195"/>
      <c r="DM404" s="195"/>
      <c r="DN404" s="195"/>
      <c r="DO404" s="195"/>
      <c r="DP404" s="195"/>
      <c r="DQ404" s="195"/>
      <c r="DR404" s="195"/>
      <c r="DS404" s="195"/>
      <c r="DT404" s="195"/>
      <c r="DU404" s="195"/>
      <c r="DV404" s="195"/>
      <c r="DW404" s="195"/>
      <c r="DX404" s="12">
        <v>309</v>
      </c>
      <c r="DY404" s="195"/>
      <c r="DZ404" s="195"/>
      <c r="EA404" s="195"/>
      <c r="EB404" s="195"/>
      <c r="EC404" s="195"/>
      <c r="ED404" s="195"/>
      <c r="EE404" s="195"/>
      <c r="EF404" s="195"/>
      <c r="EG404" s="195"/>
      <c r="EH404" s="195"/>
      <c r="EI404" s="195"/>
      <c r="EJ404" s="195"/>
      <c r="EK404" s="195"/>
      <c r="EL404" s="195"/>
      <c r="EM404" s="195"/>
      <c r="EN404" s="195"/>
      <c r="EO404" s="195"/>
      <c r="EP404" s="12">
        <v>309</v>
      </c>
      <c r="EQ404" s="195"/>
      <c r="ER404" s="195"/>
      <c r="ES404" s="195"/>
      <c r="ET404" s="195"/>
      <c r="EU404" s="195"/>
      <c r="EV404" s="195"/>
      <c r="EW404" s="195"/>
      <c r="EX404" s="195"/>
      <c r="EY404" s="195"/>
      <c r="EZ404" s="195"/>
      <c r="FA404" s="195"/>
      <c r="FB404" s="195"/>
      <c r="FC404" s="195"/>
      <c r="FD404" s="195"/>
      <c r="FE404" s="195"/>
      <c r="FF404" s="195"/>
      <c r="FG404" s="195"/>
      <c r="FH404" s="12">
        <v>309</v>
      </c>
      <c r="FI404" s="195"/>
      <c r="FJ404" s="195"/>
      <c r="FK404" s="195"/>
      <c r="FL404" s="195"/>
      <c r="FM404" s="195"/>
      <c r="FN404" s="195"/>
      <c r="FO404" s="195"/>
      <c r="FP404" s="195"/>
      <c r="FQ404" s="195"/>
      <c r="FR404" s="195"/>
      <c r="FS404" s="195"/>
      <c r="FT404" s="195"/>
      <c r="FU404" s="195"/>
      <c r="FV404" s="195"/>
      <c r="FW404" s="195"/>
      <c r="FX404" s="195"/>
      <c r="FY404" s="195"/>
    </row>
    <row r="405" spans="2:181" x14ac:dyDescent="0.25">
      <c r="B405" s="197">
        <v>310</v>
      </c>
      <c r="C405" s="195"/>
      <c r="D405" s="195"/>
      <c r="E405" s="195"/>
      <c r="F405" s="195"/>
      <c r="G405" s="195"/>
      <c r="H405" s="195"/>
      <c r="I405" s="195"/>
      <c r="J405" s="195"/>
      <c r="K405" s="195"/>
      <c r="L405" s="195"/>
      <c r="M405" s="195"/>
      <c r="N405" s="195"/>
      <c r="O405" s="195"/>
      <c r="P405" s="195"/>
      <c r="Q405" s="195"/>
      <c r="R405" s="195"/>
      <c r="S405" s="195"/>
      <c r="T405" s="197">
        <v>310</v>
      </c>
      <c r="U405" s="195"/>
      <c r="V405" s="195"/>
      <c r="W405" s="195"/>
      <c r="X405" s="195"/>
      <c r="Y405" s="195"/>
      <c r="Z405" s="195"/>
      <c r="AA405" s="195"/>
      <c r="AB405" s="195"/>
      <c r="AC405" s="195"/>
      <c r="AD405" s="195"/>
      <c r="AE405" s="195"/>
      <c r="AF405" s="195"/>
      <c r="AG405" s="195"/>
      <c r="AH405" s="195"/>
      <c r="AI405" s="195"/>
      <c r="AJ405" s="195"/>
      <c r="AK405" s="195"/>
      <c r="AL405" s="197">
        <v>310</v>
      </c>
      <c r="AM405" s="195"/>
      <c r="AN405" s="195"/>
      <c r="AO405" s="195"/>
      <c r="AP405" s="195"/>
      <c r="AQ405" s="195"/>
      <c r="AR405" s="195"/>
      <c r="AS405" s="195"/>
      <c r="AT405" s="195"/>
      <c r="AU405" s="195"/>
      <c r="AV405" s="195"/>
      <c r="AW405" s="195"/>
      <c r="AX405" s="195"/>
      <c r="AY405" s="195"/>
      <c r="AZ405" s="195"/>
      <c r="BA405" s="195"/>
      <c r="BB405" s="195"/>
      <c r="BC405" s="195"/>
      <c r="BD405" s="197">
        <v>310</v>
      </c>
      <c r="BE405" s="195"/>
      <c r="BF405" s="195"/>
      <c r="BG405" s="195"/>
      <c r="BH405" s="195"/>
      <c r="BI405" s="195"/>
      <c r="BJ405" s="195"/>
      <c r="BK405" s="195"/>
      <c r="BL405" s="195"/>
      <c r="BM405" s="195"/>
      <c r="BN405" s="195"/>
      <c r="BO405" s="195"/>
      <c r="BP405" s="195"/>
      <c r="BQ405" s="195"/>
      <c r="BR405" s="195"/>
      <c r="BS405" s="195"/>
      <c r="BT405" s="195"/>
      <c r="BU405" s="195"/>
      <c r="BV405" s="197">
        <v>310</v>
      </c>
      <c r="BW405" s="195"/>
      <c r="BX405" s="195"/>
      <c r="BY405" s="195"/>
      <c r="BZ405" s="195"/>
      <c r="CA405" s="195"/>
      <c r="CB405" s="195"/>
      <c r="CC405" s="195"/>
      <c r="CD405" s="195"/>
      <c r="CE405" s="195"/>
      <c r="CF405" s="195"/>
      <c r="CG405" s="195"/>
      <c r="CH405" s="195"/>
      <c r="CI405" s="195"/>
      <c r="CJ405" s="195"/>
      <c r="CK405" s="195"/>
      <c r="CL405" s="195"/>
      <c r="CM405" s="195"/>
      <c r="CN405" s="197">
        <v>310</v>
      </c>
      <c r="CO405" s="195"/>
      <c r="CP405" s="195"/>
      <c r="CQ405" s="195"/>
      <c r="CR405" s="195"/>
      <c r="CS405" s="195"/>
      <c r="CT405" s="195"/>
      <c r="CU405" s="195"/>
      <c r="CV405" s="195"/>
      <c r="CW405" s="195"/>
      <c r="CX405" s="195"/>
      <c r="CY405" s="195"/>
      <c r="CZ405" s="195"/>
      <c r="DA405" s="195"/>
      <c r="DB405" s="195"/>
      <c r="DC405" s="195"/>
      <c r="DD405" s="195"/>
      <c r="DE405" s="195"/>
      <c r="DF405" s="197">
        <v>310</v>
      </c>
      <c r="DG405" s="195"/>
      <c r="DH405" s="195"/>
      <c r="DI405" s="195"/>
      <c r="DJ405" s="195"/>
      <c r="DK405" s="195"/>
      <c r="DL405" s="195"/>
      <c r="DM405" s="195"/>
      <c r="DN405" s="195"/>
      <c r="DO405" s="195"/>
      <c r="DP405" s="195"/>
      <c r="DQ405" s="195"/>
      <c r="DR405" s="195"/>
      <c r="DS405" s="195"/>
      <c r="DT405" s="195"/>
      <c r="DU405" s="195"/>
      <c r="DV405" s="195"/>
      <c r="DW405" s="195"/>
      <c r="DX405" s="197">
        <v>310</v>
      </c>
      <c r="DY405" s="195"/>
      <c r="DZ405" s="195"/>
      <c r="EA405" s="195"/>
      <c r="EB405" s="195"/>
      <c r="EC405" s="195"/>
      <c r="ED405" s="195"/>
      <c r="EE405" s="195"/>
      <c r="EF405" s="195"/>
      <c r="EG405" s="195"/>
      <c r="EH405" s="195"/>
      <c r="EI405" s="195"/>
      <c r="EJ405" s="195"/>
      <c r="EK405" s="195"/>
      <c r="EL405" s="195"/>
      <c r="EM405" s="195"/>
      <c r="EN405" s="195"/>
      <c r="EO405" s="195"/>
      <c r="EP405" s="197">
        <v>310</v>
      </c>
      <c r="EQ405" s="195"/>
      <c r="ER405" s="195"/>
      <c r="ES405" s="195"/>
      <c r="ET405" s="195"/>
      <c r="EU405" s="195"/>
      <c r="EV405" s="195"/>
      <c r="EW405" s="195"/>
      <c r="EX405" s="195"/>
      <c r="EY405" s="195"/>
      <c r="EZ405" s="195"/>
      <c r="FA405" s="195"/>
      <c r="FB405" s="195"/>
      <c r="FC405" s="195"/>
      <c r="FD405" s="195"/>
      <c r="FE405" s="195"/>
      <c r="FF405" s="195"/>
      <c r="FG405" s="195"/>
      <c r="FH405" s="197">
        <v>310</v>
      </c>
      <c r="FI405" s="195"/>
      <c r="FJ405" s="195"/>
      <c r="FK405" s="195"/>
      <c r="FL405" s="195"/>
      <c r="FM405" s="195"/>
      <c r="FN405" s="195"/>
      <c r="FO405" s="195"/>
      <c r="FP405" s="195"/>
      <c r="FQ405" s="195"/>
      <c r="FR405" s="195"/>
      <c r="FS405" s="195"/>
      <c r="FT405" s="195"/>
      <c r="FU405" s="195"/>
      <c r="FV405" s="195"/>
      <c r="FW405" s="195"/>
      <c r="FX405" s="195"/>
      <c r="FY405" s="195"/>
    </row>
    <row r="406" spans="2:181" x14ac:dyDescent="0.25">
      <c r="B406" s="12">
        <v>311</v>
      </c>
      <c r="C406" s="195"/>
      <c r="D406" s="195"/>
      <c r="E406" s="195"/>
      <c r="F406" s="195"/>
      <c r="G406" s="195"/>
      <c r="H406" s="195"/>
      <c r="I406" s="195"/>
      <c r="J406" s="195"/>
      <c r="K406" s="195"/>
      <c r="L406" s="195"/>
      <c r="M406" s="195"/>
      <c r="N406" s="195"/>
      <c r="O406" s="195"/>
      <c r="P406" s="195"/>
      <c r="Q406" s="195"/>
      <c r="R406" s="195"/>
      <c r="S406" s="195"/>
      <c r="T406" s="12">
        <v>311</v>
      </c>
      <c r="U406" s="195"/>
      <c r="V406" s="195"/>
      <c r="W406" s="195"/>
      <c r="X406" s="195"/>
      <c r="Y406" s="195"/>
      <c r="Z406" s="195"/>
      <c r="AA406" s="195"/>
      <c r="AB406" s="195"/>
      <c r="AC406" s="195"/>
      <c r="AD406" s="195"/>
      <c r="AE406" s="195"/>
      <c r="AF406" s="195"/>
      <c r="AG406" s="195"/>
      <c r="AH406" s="195"/>
      <c r="AI406" s="195"/>
      <c r="AJ406" s="195"/>
      <c r="AK406" s="195"/>
      <c r="AL406" s="12">
        <v>311</v>
      </c>
      <c r="AM406" s="195"/>
      <c r="AN406" s="195"/>
      <c r="AO406" s="195"/>
      <c r="AP406" s="195"/>
      <c r="AQ406" s="195"/>
      <c r="AR406" s="195"/>
      <c r="AS406" s="195"/>
      <c r="AT406" s="195"/>
      <c r="AU406" s="195"/>
      <c r="AV406" s="195"/>
      <c r="AW406" s="195"/>
      <c r="AX406" s="195"/>
      <c r="AY406" s="195"/>
      <c r="AZ406" s="195"/>
      <c r="BA406" s="195"/>
      <c r="BB406" s="195"/>
      <c r="BC406" s="195"/>
      <c r="BD406" s="12">
        <v>311</v>
      </c>
      <c r="BE406" s="195"/>
      <c r="BF406" s="195"/>
      <c r="BG406" s="195"/>
      <c r="BH406" s="195"/>
      <c r="BI406" s="195"/>
      <c r="BJ406" s="195"/>
      <c r="BK406" s="195"/>
      <c r="BL406" s="195"/>
      <c r="BM406" s="195"/>
      <c r="BN406" s="195"/>
      <c r="BO406" s="195"/>
      <c r="BP406" s="195"/>
      <c r="BQ406" s="195"/>
      <c r="BR406" s="195"/>
      <c r="BS406" s="195"/>
      <c r="BT406" s="195"/>
      <c r="BU406" s="195"/>
      <c r="BV406" s="12">
        <v>311</v>
      </c>
      <c r="BW406" s="195"/>
      <c r="BX406" s="195"/>
      <c r="BY406" s="195"/>
      <c r="BZ406" s="195"/>
      <c r="CA406" s="195"/>
      <c r="CB406" s="195"/>
      <c r="CC406" s="195"/>
      <c r="CD406" s="195"/>
      <c r="CE406" s="195"/>
      <c r="CF406" s="195"/>
      <c r="CG406" s="195"/>
      <c r="CH406" s="195"/>
      <c r="CI406" s="195"/>
      <c r="CJ406" s="195"/>
      <c r="CK406" s="195"/>
      <c r="CL406" s="195"/>
      <c r="CM406" s="195"/>
      <c r="CN406" s="12">
        <v>311</v>
      </c>
      <c r="CO406" s="195"/>
      <c r="CP406" s="195"/>
      <c r="CQ406" s="195"/>
      <c r="CR406" s="195"/>
      <c r="CS406" s="195"/>
      <c r="CT406" s="195"/>
      <c r="CU406" s="195"/>
      <c r="CV406" s="195"/>
      <c r="CW406" s="195"/>
      <c r="CX406" s="195"/>
      <c r="CY406" s="195"/>
      <c r="CZ406" s="195"/>
      <c r="DA406" s="195"/>
      <c r="DB406" s="195"/>
      <c r="DC406" s="195"/>
      <c r="DD406" s="195"/>
      <c r="DE406" s="195"/>
      <c r="DF406" s="12">
        <v>311</v>
      </c>
      <c r="DG406" s="195"/>
      <c r="DH406" s="195"/>
      <c r="DI406" s="195"/>
      <c r="DJ406" s="195"/>
      <c r="DK406" s="195"/>
      <c r="DL406" s="195"/>
      <c r="DM406" s="195"/>
      <c r="DN406" s="195"/>
      <c r="DO406" s="195"/>
      <c r="DP406" s="195"/>
      <c r="DQ406" s="195"/>
      <c r="DR406" s="195"/>
      <c r="DS406" s="195"/>
      <c r="DT406" s="195"/>
      <c r="DU406" s="195"/>
      <c r="DV406" s="195"/>
      <c r="DW406" s="195"/>
      <c r="DX406" s="12">
        <v>311</v>
      </c>
      <c r="DY406" s="195"/>
      <c r="DZ406" s="195"/>
      <c r="EA406" s="195"/>
      <c r="EB406" s="195"/>
      <c r="EC406" s="195"/>
      <c r="ED406" s="195"/>
      <c r="EE406" s="195"/>
      <c r="EF406" s="195"/>
      <c r="EG406" s="195"/>
      <c r="EH406" s="195"/>
      <c r="EI406" s="195"/>
      <c r="EJ406" s="195"/>
      <c r="EK406" s="195"/>
      <c r="EL406" s="195"/>
      <c r="EM406" s="195"/>
      <c r="EN406" s="195"/>
      <c r="EO406" s="195"/>
      <c r="EP406" s="12">
        <v>311</v>
      </c>
      <c r="EQ406" s="195"/>
      <c r="ER406" s="195"/>
      <c r="ES406" s="195"/>
      <c r="ET406" s="195"/>
      <c r="EU406" s="195"/>
      <c r="EV406" s="195"/>
      <c r="EW406" s="195"/>
      <c r="EX406" s="195"/>
      <c r="EY406" s="195"/>
      <c r="EZ406" s="195"/>
      <c r="FA406" s="195"/>
      <c r="FB406" s="195"/>
      <c r="FC406" s="195"/>
      <c r="FD406" s="195"/>
      <c r="FE406" s="195"/>
      <c r="FF406" s="195"/>
      <c r="FG406" s="195"/>
      <c r="FH406" s="12">
        <v>311</v>
      </c>
      <c r="FI406" s="195"/>
      <c r="FJ406" s="195"/>
      <c r="FK406" s="195"/>
      <c r="FL406" s="195"/>
      <c r="FM406" s="195"/>
      <c r="FN406" s="195"/>
      <c r="FO406" s="195"/>
      <c r="FP406" s="195"/>
      <c r="FQ406" s="195"/>
      <c r="FR406" s="195"/>
      <c r="FS406" s="195"/>
      <c r="FT406" s="195"/>
      <c r="FU406" s="195"/>
      <c r="FV406" s="195"/>
      <c r="FW406" s="195"/>
      <c r="FX406" s="195"/>
      <c r="FY406" s="195"/>
    </row>
    <row r="407" spans="2:181" x14ac:dyDescent="0.25">
      <c r="B407" s="197">
        <v>312</v>
      </c>
      <c r="C407" s="195"/>
      <c r="D407" s="195"/>
      <c r="E407" s="195"/>
      <c r="F407" s="195"/>
      <c r="G407" s="195"/>
      <c r="H407" s="195"/>
      <c r="I407" s="195"/>
      <c r="J407" s="195"/>
      <c r="K407" s="195"/>
      <c r="L407" s="195"/>
      <c r="M407" s="195"/>
      <c r="N407" s="195"/>
      <c r="O407" s="195"/>
      <c r="P407" s="195"/>
      <c r="Q407" s="195"/>
      <c r="R407" s="195"/>
      <c r="S407" s="195"/>
      <c r="T407" s="197">
        <v>312</v>
      </c>
      <c r="U407" s="195"/>
      <c r="V407" s="195"/>
      <c r="W407" s="195"/>
      <c r="X407" s="195"/>
      <c r="Y407" s="195"/>
      <c r="Z407" s="195"/>
      <c r="AA407" s="195"/>
      <c r="AB407" s="195"/>
      <c r="AC407" s="195"/>
      <c r="AD407" s="195"/>
      <c r="AE407" s="195"/>
      <c r="AF407" s="195"/>
      <c r="AG407" s="195"/>
      <c r="AH407" s="195"/>
      <c r="AI407" s="195"/>
      <c r="AJ407" s="195"/>
      <c r="AK407" s="195"/>
      <c r="AL407" s="197">
        <v>312</v>
      </c>
      <c r="AM407" s="195"/>
      <c r="AN407" s="195"/>
      <c r="AO407" s="195"/>
      <c r="AP407" s="195"/>
      <c r="AQ407" s="195"/>
      <c r="AR407" s="195"/>
      <c r="AS407" s="195"/>
      <c r="AT407" s="195"/>
      <c r="AU407" s="195"/>
      <c r="AV407" s="195"/>
      <c r="AW407" s="195"/>
      <c r="AX407" s="195"/>
      <c r="AY407" s="195"/>
      <c r="AZ407" s="195"/>
      <c r="BA407" s="195"/>
      <c r="BB407" s="195"/>
      <c r="BC407" s="195"/>
      <c r="BD407" s="197">
        <v>312</v>
      </c>
      <c r="BE407" s="195"/>
      <c r="BF407" s="195"/>
      <c r="BG407" s="195"/>
      <c r="BH407" s="195"/>
      <c r="BI407" s="195"/>
      <c r="BJ407" s="195"/>
      <c r="BK407" s="195"/>
      <c r="BL407" s="195"/>
      <c r="BM407" s="195"/>
      <c r="BN407" s="195"/>
      <c r="BO407" s="195"/>
      <c r="BP407" s="195"/>
      <c r="BQ407" s="195"/>
      <c r="BR407" s="195"/>
      <c r="BS407" s="195"/>
      <c r="BT407" s="195"/>
      <c r="BU407" s="195"/>
      <c r="BV407" s="197">
        <v>312</v>
      </c>
      <c r="BW407" s="195"/>
      <c r="BX407" s="195"/>
      <c r="BY407" s="195"/>
      <c r="BZ407" s="195"/>
      <c r="CA407" s="195"/>
      <c r="CB407" s="195"/>
      <c r="CC407" s="195"/>
      <c r="CD407" s="195"/>
      <c r="CE407" s="195"/>
      <c r="CF407" s="195"/>
      <c r="CG407" s="195"/>
      <c r="CH407" s="195"/>
      <c r="CI407" s="195"/>
      <c r="CJ407" s="195"/>
      <c r="CK407" s="195"/>
      <c r="CL407" s="195"/>
      <c r="CM407" s="195"/>
      <c r="CN407" s="197">
        <v>312</v>
      </c>
      <c r="CO407" s="195"/>
      <c r="CP407" s="195"/>
      <c r="CQ407" s="195"/>
      <c r="CR407" s="195"/>
      <c r="CS407" s="195"/>
      <c r="CT407" s="195"/>
      <c r="CU407" s="195"/>
      <c r="CV407" s="195"/>
      <c r="CW407" s="195"/>
      <c r="CX407" s="195"/>
      <c r="CY407" s="195"/>
      <c r="CZ407" s="195"/>
      <c r="DA407" s="195"/>
      <c r="DB407" s="195"/>
      <c r="DC407" s="195"/>
      <c r="DD407" s="195"/>
      <c r="DE407" s="195"/>
      <c r="DF407" s="197">
        <v>312</v>
      </c>
      <c r="DG407" s="195"/>
      <c r="DH407" s="195"/>
      <c r="DI407" s="195"/>
      <c r="DJ407" s="195"/>
      <c r="DK407" s="195"/>
      <c r="DL407" s="195"/>
      <c r="DM407" s="195"/>
      <c r="DN407" s="195"/>
      <c r="DO407" s="195"/>
      <c r="DP407" s="195"/>
      <c r="DQ407" s="195"/>
      <c r="DR407" s="195"/>
      <c r="DS407" s="195"/>
      <c r="DT407" s="195"/>
      <c r="DU407" s="195"/>
      <c r="DV407" s="195"/>
      <c r="DW407" s="195"/>
      <c r="DX407" s="197">
        <v>312</v>
      </c>
      <c r="DY407" s="195"/>
      <c r="DZ407" s="195"/>
      <c r="EA407" s="195"/>
      <c r="EB407" s="195"/>
      <c r="EC407" s="195"/>
      <c r="ED407" s="195"/>
      <c r="EE407" s="195"/>
      <c r="EF407" s="195"/>
      <c r="EG407" s="195"/>
      <c r="EH407" s="195"/>
      <c r="EI407" s="195"/>
      <c r="EJ407" s="195"/>
      <c r="EK407" s="195"/>
      <c r="EL407" s="195"/>
      <c r="EM407" s="195"/>
      <c r="EN407" s="195"/>
      <c r="EO407" s="195"/>
      <c r="EP407" s="197">
        <v>312</v>
      </c>
      <c r="EQ407" s="195"/>
      <c r="ER407" s="195"/>
      <c r="ES407" s="195"/>
      <c r="ET407" s="195"/>
      <c r="EU407" s="195"/>
      <c r="EV407" s="195"/>
      <c r="EW407" s="195"/>
      <c r="EX407" s="195"/>
      <c r="EY407" s="195"/>
      <c r="EZ407" s="195"/>
      <c r="FA407" s="195"/>
      <c r="FB407" s="195"/>
      <c r="FC407" s="195"/>
      <c r="FD407" s="195"/>
      <c r="FE407" s="195"/>
      <c r="FF407" s="195"/>
      <c r="FG407" s="195"/>
      <c r="FH407" s="197">
        <v>312</v>
      </c>
      <c r="FI407" s="195"/>
      <c r="FJ407" s="195"/>
      <c r="FK407" s="195"/>
      <c r="FL407" s="195"/>
      <c r="FM407" s="195"/>
      <c r="FN407" s="195"/>
      <c r="FO407" s="195"/>
      <c r="FP407" s="195"/>
      <c r="FQ407" s="195"/>
      <c r="FR407" s="195"/>
      <c r="FS407" s="195"/>
      <c r="FT407" s="195"/>
      <c r="FU407" s="195"/>
      <c r="FV407" s="195"/>
      <c r="FW407" s="195"/>
      <c r="FX407" s="195"/>
      <c r="FY407" s="195"/>
    </row>
    <row r="408" spans="2:181" x14ac:dyDescent="0.25">
      <c r="B408" s="12">
        <v>313</v>
      </c>
      <c r="C408" s="195"/>
      <c r="D408" s="195"/>
      <c r="E408" s="195"/>
      <c r="F408" s="195"/>
      <c r="G408" s="195"/>
      <c r="H408" s="195"/>
      <c r="I408" s="195"/>
      <c r="J408" s="195"/>
      <c r="K408" s="195"/>
      <c r="L408" s="195"/>
      <c r="M408" s="195"/>
      <c r="N408" s="195"/>
      <c r="O408" s="195"/>
      <c r="P408" s="195"/>
      <c r="Q408" s="195"/>
      <c r="R408" s="195"/>
      <c r="S408" s="195"/>
      <c r="T408" s="12">
        <v>313</v>
      </c>
      <c r="U408" s="195"/>
      <c r="V408" s="195"/>
      <c r="W408" s="195"/>
      <c r="X408" s="195"/>
      <c r="Y408" s="195"/>
      <c r="Z408" s="195"/>
      <c r="AA408" s="195"/>
      <c r="AB408" s="195"/>
      <c r="AC408" s="195"/>
      <c r="AD408" s="195"/>
      <c r="AE408" s="195"/>
      <c r="AF408" s="195"/>
      <c r="AG408" s="195"/>
      <c r="AH408" s="195"/>
      <c r="AI408" s="195"/>
      <c r="AJ408" s="195"/>
      <c r="AK408" s="195"/>
      <c r="AL408" s="12">
        <v>313</v>
      </c>
      <c r="AM408" s="195"/>
      <c r="AN408" s="195"/>
      <c r="AO408" s="195"/>
      <c r="AP408" s="195"/>
      <c r="AQ408" s="195"/>
      <c r="AR408" s="195"/>
      <c r="AS408" s="195"/>
      <c r="AT408" s="195"/>
      <c r="AU408" s="195"/>
      <c r="AV408" s="195"/>
      <c r="AW408" s="195"/>
      <c r="AX408" s="195"/>
      <c r="AY408" s="195"/>
      <c r="AZ408" s="195"/>
      <c r="BA408" s="195"/>
      <c r="BB408" s="195"/>
      <c r="BC408" s="195"/>
      <c r="BD408" s="12">
        <v>313</v>
      </c>
      <c r="BE408" s="195"/>
      <c r="BF408" s="195"/>
      <c r="BG408" s="195"/>
      <c r="BH408" s="195"/>
      <c r="BI408" s="195"/>
      <c r="BJ408" s="195"/>
      <c r="BK408" s="195"/>
      <c r="BL408" s="195"/>
      <c r="BM408" s="195"/>
      <c r="BN408" s="195"/>
      <c r="BO408" s="195"/>
      <c r="BP408" s="195"/>
      <c r="BQ408" s="195"/>
      <c r="BR408" s="195"/>
      <c r="BS408" s="195"/>
      <c r="BT408" s="195"/>
      <c r="BU408" s="195"/>
      <c r="BV408" s="12">
        <v>313</v>
      </c>
      <c r="BW408" s="195"/>
      <c r="BX408" s="195"/>
      <c r="BY408" s="195"/>
      <c r="BZ408" s="195"/>
      <c r="CA408" s="195"/>
      <c r="CB408" s="195"/>
      <c r="CC408" s="195"/>
      <c r="CD408" s="195"/>
      <c r="CE408" s="195"/>
      <c r="CF408" s="195"/>
      <c r="CG408" s="195"/>
      <c r="CH408" s="195"/>
      <c r="CI408" s="195"/>
      <c r="CJ408" s="195"/>
      <c r="CK408" s="195"/>
      <c r="CL408" s="195"/>
      <c r="CM408" s="195"/>
      <c r="CN408" s="12">
        <v>313</v>
      </c>
      <c r="CO408" s="195"/>
      <c r="CP408" s="195"/>
      <c r="CQ408" s="195"/>
      <c r="CR408" s="195"/>
      <c r="CS408" s="195"/>
      <c r="CT408" s="195"/>
      <c r="CU408" s="195"/>
      <c r="CV408" s="195"/>
      <c r="CW408" s="195"/>
      <c r="CX408" s="195"/>
      <c r="CY408" s="195"/>
      <c r="CZ408" s="195"/>
      <c r="DA408" s="195"/>
      <c r="DB408" s="195"/>
      <c r="DC408" s="195"/>
      <c r="DD408" s="195"/>
      <c r="DE408" s="195"/>
      <c r="DF408" s="12">
        <v>313</v>
      </c>
      <c r="DG408" s="195"/>
      <c r="DH408" s="195"/>
      <c r="DI408" s="195"/>
      <c r="DJ408" s="195"/>
      <c r="DK408" s="195"/>
      <c r="DL408" s="195"/>
      <c r="DM408" s="195"/>
      <c r="DN408" s="195"/>
      <c r="DO408" s="195"/>
      <c r="DP408" s="195"/>
      <c r="DQ408" s="195"/>
      <c r="DR408" s="195"/>
      <c r="DS408" s="195"/>
      <c r="DT408" s="195"/>
      <c r="DU408" s="195"/>
      <c r="DV408" s="195"/>
      <c r="DW408" s="195"/>
      <c r="DX408" s="12">
        <v>313</v>
      </c>
      <c r="DY408" s="195"/>
      <c r="DZ408" s="195"/>
      <c r="EA408" s="195"/>
      <c r="EB408" s="195"/>
      <c r="EC408" s="195"/>
      <c r="ED408" s="195"/>
      <c r="EE408" s="195"/>
      <c r="EF408" s="195"/>
      <c r="EG408" s="195"/>
      <c r="EH408" s="195"/>
      <c r="EI408" s="195"/>
      <c r="EJ408" s="195"/>
      <c r="EK408" s="195"/>
      <c r="EL408" s="195"/>
      <c r="EM408" s="195"/>
      <c r="EN408" s="195"/>
      <c r="EO408" s="195"/>
      <c r="EP408" s="12">
        <v>313</v>
      </c>
      <c r="EQ408" s="195"/>
      <c r="ER408" s="195"/>
      <c r="ES408" s="195"/>
      <c r="ET408" s="195"/>
      <c r="EU408" s="195"/>
      <c r="EV408" s="195"/>
      <c r="EW408" s="195"/>
      <c r="EX408" s="195"/>
      <c r="EY408" s="195"/>
      <c r="EZ408" s="195"/>
      <c r="FA408" s="195"/>
      <c r="FB408" s="195"/>
      <c r="FC408" s="195"/>
      <c r="FD408" s="195"/>
      <c r="FE408" s="195"/>
      <c r="FF408" s="195"/>
      <c r="FG408" s="195"/>
      <c r="FH408" s="12">
        <v>313</v>
      </c>
      <c r="FI408" s="195"/>
      <c r="FJ408" s="195"/>
      <c r="FK408" s="195"/>
      <c r="FL408" s="195"/>
      <c r="FM408" s="195"/>
      <c r="FN408" s="195"/>
      <c r="FO408" s="195"/>
      <c r="FP408" s="195"/>
      <c r="FQ408" s="195"/>
      <c r="FR408" s="195"/>
      <c r="FS408" s="195"/>
      <c r="FT408" s="195"/>
      <c r="FU408" s="195"/>
      <c r="FV408" s="195"/>
      <c r="FW408" s="195"/>
      <c r="FX408" s="195"/>
      <c r="FY408" s="195"/>
    </row>
    <row r="409" spans="2:181" x14ac:dyDescent="0.25">
      <c r="B409" s="197">
        <v>314</v>
      </c>
      <c r="C409" s="195"/>
      <c r="D409" s="195"/>
      <c r="E409" s="195"/>
      <c r="F409" s="195"/>
      <c r="G409" s="195"/>
      <c r="H409" s="195"/>
      <c r="I409" s="195"/>
      <c r="J409" s="195"/>
      <c r="K409" s="195"/>
      <c r="L409" s="195"/>
      <c r="M409" s="195"/>
      <c r="N409" s="195"/>
      <c r="O409" s="195"/>
      <c r="P409" s="195"/>
      <c r="Q409" s="195"/>
      <c r="R409" s="195"/>
      <c r="S409" s="195"/>
      <c r="T409" s="197">
        <v>314</v>
      </c>
      <c r="U409" s="195"/>
      <c r="V409" s="195"/>
      <c r="W409" s="195"/>
      <c r="X409" s="195"/>
      <c r="Y409" s="195"/>
      <c r="Z409" s="195"/>
      <c r="AA409" s="195"/>
      <c r="AB409" s="195"/>
      <c r="AC409" s="195"/>
      <c r="AD409" s="195"/>
      <c r="AE409" s="195"/>
      <c r="AF409" s="195"/>
      <c r="AG409" s="195"/>
      <c r="AH409" s="195"/>
      <c r="AI409" s="195"/>
      <c r="AJ409" s="195"/>
      <c r="AK409" s="195"/>
      <c r="AL409" s="197">
        <v>314</v>
      </c>
      <c r="AM409" s="195"/>
      <c r="AN409" s="195"/>
      <c r="AO409" s="195"/>
      <c r="AP409" s="195"/>
      <c r="AQ409" s="195"/>
      <c r="AR409" s="195"/>
      <c r="AS409" s="195"/>
      <c r="AT409" s="195"/>
      <c r="AU409" s="195"/>
      <c r="AV409" s="195"/>
      <c r="AW409" s="195"/>
      <c r="AX409" s="195"/>
      <c r="AY409" s="195"/>
      <c r="AZ409" s="195"/>
      <c r="BA409" s="195"/>
      <c r="BB409" s="195"/>
      <c r="BC409" s="195"/>
      <c r="BD409" s="197">
        <v>314</v>
      </c>
      <c r="BE409" s="195"/>
      <c r="BF409" s="195"/>
      <c r="BG409" s="195"/>
      <c r="BH409" s="195"/>
      <c r="BI409" s="195"/>
      <c r="BJ409" s="195"/>
      <c r="BK409" s="195"/>
      <c r="BL409" s="195"/>
      <c r="BM409" s="195"/>
      <c r="BN409" s="195"/>
      <c r="BO409" s="195"/>
      <c r="BP409" s="195"/>
      <c r="BQ409" s="195"/>
      <c r="BR409" s="195"/>
      <c r="BS409" s="195"/>
      <c r="BT409" s="195"/>
      <c r="BU409" s="195"/>
      <c r="BV409" s="197">
        <v>314</v>
      </c>
      <c r="BW409" s="195"/>
      <c r="BX409" s="195"/>
      <c r="BY409" s="195"/>
      <c r="BZ409" s="195"/>
      <c r="CA409" s="195"/>
      <c r="CB409" s="195"/>
      <c r="CC409" s="195"/>
      <c r="CD409" s="195"/>
      <c r="CE409" s="195"/>
      <c r="CF409" s="195"/>
      <c r="CG409" s="195"/>
      <c r="CH409" s="195"/>
      <c r="CI409" s="195"/>
      <c r="CJ409" s="195"/>
      <c r="CK409" s="195"/>
      <c r="CL409" s="195"/>
      <c r="CM409" s="195"/>
      <c r="CN409" s="197">
        <v>314</v>
      </c>
      <c r="CO409" s="195"/>
      <c r="CP409" s="195"/>
      <c r="CQ409" s="195"/>
      <c r="CR409" s="195"/>
      <c r="CS409" s="195"/>
      <c r="CT409" s="195"/>
      <c r="CU409" s="195"/>
      <c r="CV409" s="195"/>
      <c r="CW409" s="195"/>
      <c r="CX409" s="195"/>
      <c r="CY409" s="195"/>
      <c r="CZ409" s="195"/>
      <c r="DA409" s="195"/>
      <c r="DB409" s="195"/>
      <c r="DC409" s="195"/>
      <c r="DD409" s="195"/>
      <c r="DE409" s="195"/>
      <c r="DF409" s="197">
        <v>314</v>
      </c>
      <c r="DG409" s="195"/>
      <c r="DH409" s="195"/>
      <c r="DI409" s="195"/>
      <c r="DJ409" s="195"/>
      <c r="DK409" s="195"/>
      <c r="DL409" s="195"/>
      <c r="DM409" s="195"/>
      <c r="DN409" s="195"/>
      <c r="DO409" s="195"/>
      <c r="DP409" s="195"/>
      <c r="DQ409" s="195"/>
      <c r="DR409" s="195"/>
      <c r="DS409" s="195"/>
      <c r="DT409" s="195"/>
      <c r="DU409" s="195"/>
      <c r="DV409" s="195"/>
      <c r="DW409" s="195"/>
      <c r="DX409" s="197">
        <v>314</v>
      </c>
      <c r="DY409" s="195"/>
      <c r="DZ409" s="195"/>
      <c r="EA409" s="195"/>
      <c r="EB409" s="195"/>
      <c r="EC409" s="195"/>
      <c r="ED409" s="195"/>
      <c r="EE409" s="195"/>
      <c r="EF409" s="195"/>
      <c r="EG409" s="195"/>
      <c r="EH409" s="195"/>
      <c r="EI409" s="195"/>
      <c r="EJ409" s="195"/>
      <c r="EK409" s="195"/>
      <c r="EL409" s="195"/>
      <c r="EM409" s="195"/>
      <c r="EN409" s="195"/>
      <c r="EO409" s="195"/>
      <c r="EP409" s="197">
        <v>314</v>
      </c>
      <c r="EQ409" s="195"/>
      <c r="ER409" s="195"/>
      <c r="ES409" s="195"/>
      <c r="ET409" s="195"/>
      <c r="EU409" s="195"/>
      <c r="EV409" s="195"/>
      <c r="EW409" s="195"/>
      <c r="EX409" s="195"/>
      <c r="EY409" s="195"/>
      <c r="EZ409" s="195"/>
      <c r="FA409" s="195"/>
      <c r="FB409" s="195"/>
      <c r="FC409" s="195"/>
      <c r="FD409" s="195"/>
      <c r="FE409" s="195"/>
      <c r="FF409" s="195"/>
      <c r="FG409" s="195"/>
      <c r="FH409" s="197">
        <v>314</v>
      </c>
      <c r="FI409" s="195"/>
      <c r="FJ409" s="195"/>
      <c r="FK409" s="195"/>
      <c r="FL409" s="195"/>
      <c r="FM409" s="195"/>
      <c r="FN409" s="195"/>
      <c r="FO409" s="195"/>
      <c r="FP409" s="195"/>
      <c r="FQ409" s="195"/>
      <c r="FR409" s="195"/>
      <c r="FS409" s="195"/>
      <c r="FT409" s="195"/>
      <c r="FU409" s="195"/>
      <c r="FV409" s="195"/>
      <c r="FW409" s="195"/>
      <c r="FX409" s="195"/>
      <c r="FY409" s="195"/>
    </row>
    <row r="410" spans="2:181" x14ac:dyDescent="0.25">
      <c r="B410" s="12">
        <v>315</v>
      </c>
      <c r="C410" s="195"/>
      <c r="D410" s="195"/>
      <c r="E410" s="195"/>
      <c r="F410" s="195"/>
      <c r="G410" s="195"/>
      <c r="H410" s="195"/>
      <c r="I410" s="195"/>
      <c r="J410" s="195"/>
      <c r="K410" s="195"/>
      <c r="L410" s="195"/>
      <c r="M410" s="195"/>
      <c r="N410" s="195"/>
      <c r="O410" s="195"/>
      <c r="P410" s="195"/>
      <c r="Q410" s="195"/>
      <c r="R410" s="195"/>
      <c r="S410" s="195"/>
      <c r="T410" s="12">
        <v>315</v>
      </c>
      <c r="U410" s="195"/>
      <c r="V410" s="195"/>
      <c r="W410" s="195"/>
      <c r="X410" s="195"/>
      <c r="Y410" s="195"/>
      <c r="Z410" s="195"/>
      <c r="AA410" s="195"/>
      <c r="AB410" s="195"/>
      <c r="AC410" s="195"/>
      <c r="AD410" s="195"/>
      <c r="AE410" s="195"/>
      <c r="AF410" s="195"/>
      <c r="AG410" s="195"/>
      <c r="AH410" s="195"/>
      <c r="AI410" s="195"/>
      <c r="AJ410" s="195"/>
      <c r="AK410" s="195"/>
      <c r="AL410" s="12">
        <v>315</v>
      </c>
      <c r="AM410" s="195"/>
      <c r="AN410" s="195"/>
      <c r="AO410" s="195"/>
      <c r="AP410" s="195"/>
      <c r="AQ410" s="195"/>
      <c r="AR410" s="195"/>
      <c r="AS410" s="195"/>
      <c r="AT410" s="195"/>
      <c r="AU410" s="195"/>
      <c r="AV410" s="195"/>
      <c r="AW410" s="195"/>
      <c r="AX410" s="195"/>
      <c r="AY410" s="195"/>
      <c r="AZ410" s="195"/>
      <c r="BA410" s="195"/>
      <c r="BB410" s="195"/>
      <c r="BC410" s="195"/>
      <c r="BD410" s="12">
        <v>315</v>
      </c>
      <c r="BE410" s="195"/>
      <c r="BF410" s="195"/>
      <c r="BG410" s="195"/>
      <c r="BH410" s="195"/>
      <c r="BI410" s="195"/>
      <c r="BJ410" s="195"/>
      <c r="BK410" s="195"/>
      <c r="BL410" s="195"/>
      <c r="BM410" s="195"/>
      <c r="BN410" s="195"/>
      <c r="BO410" s="195"/>
      <c r="BP410" s="195"/>
      <c r="BQ410" s="195"/>
      <c r="BR410" s="195"/>
      <c r="BS410" s="195"/>
      <c r="BT410" s="195"/>
      <c r="BU410" s="195"/>
      <c r="BV410" s="12">
        <v>315</v>
      </c>
      <c r="BW410" s="195"/>
      <c r="BX410" s="195"/>
      <c r="BY410" s="195"/>
      <c r="BZ410" s="195"/>
      <c r="CA410" s="195"/>
      <c r="CB410" s="195"/>
      <c r="CC410" s="195"/>
      <c r="CD410" s="195"/>
      <c r="CE410" s="195"/>
      <c r="CF410" s="195"/>
      <c r="CG410" s="195"/>
      <c r="CH410" s="195"/>
      <c r="CI410" s="195"/>
      <c r="CJ410" s="195"/>
      <c r="CK410" s="195"/>
      <c r="CL410" s="195"/>
      <c r="CM410" s="195"/>
      <c r="CN410" s="12">
        <v>315</v>
      </c>
      <c r="CO410" s="195"/>
      <c r="CP410" s="195"/>
      <c r="CQ410" s="195"/>
      <c r="CR410" s="195"/>
      <c r="CS410" s="195"/>
      <c r="CT410" s="195"/>
      <c r="CU410" s="195"/>
      <c r="CV410" s="195"/>
      <c r="CW410" s="195"/>
      <c r="CX410" s="195"/>
      <c r="CY410" s="195"/>
      <c r="CZ410" s="195"/>
      <c r="DA410" s="195"/>
      <c r="DB410" s="195"/>
      <c r="DC410" s="195"/>
      <c r="DD410" s="195"/>
      <c r="DE410" s="195"/>
      <c r="DF410" s="12">
        <v>315</v>
      </c>
      <c r="DG410" s="195"/>
      <c r="DH410" s="195"/>
      <c r="DI410" s="195"/>
      <c r="DJ410" s="195"/>
      <c r="DK410" s="195"/>
      <c r="DL410" s="195"/>
      <c r="DM410" s="195"/>
      <c r="DN410" s="195"/>
      <c r="DO410" s="195"/>
      <c r="DP410" s="195"/>
      <c r="DQ410" s="195"/>
      <c r="DR410" s="195"/>
      <c r="DS410" s="195"/>
      <c r="DT410" s="195"/>
      <c r="DU410" s="195"/>
      <c r="DV410" s="195"/>
      <c r="DW410" s="195"/>
      <c r="DX410" s="12">
        <v>315</v>
      </c>
      <c r="DY410" s="195"/>
      <c r="DZ410" s="195"/>
      <c r="EA410" s="195"/>
      <c r="EB410" s="195"/>
      <c r="EC410" s="195"/>
      <c r="ED410" s="195"/>
      <c r="EE410" s="195"/>
      <c r="EF410" s="195"/>
      <c r="EG410" s="195"/>
      <c r="EH410" s="195"/>
      <c r="EI410" s="195"/>
      <c r="EJ410" s="195"/>
      <c r="EK410" s="195"/>
      <c r="EL410" s="195"/>
      <c r="EM410" s="195"/>
      <c r="EN410" s="195"/>
      <c r="EO410" s="195"/>
      <c r="EP410" s="12">
        <v>315</v>
      </c>
      <c r="EQ410" s="195"/>
      <c r="ER410" s="195"/>
      <c r="ES410" s="195"/>
      <c r="ET410" s="195"/>
      <c r="EU410" s="195"/>
      <c r="EV410" s="195"/>
      <c r="EW410" s="195"/>
      <c r="EX410" s="195"/>
      <c r="EY410" s="195"/>
      <c r="EZ410" s="195"/>
      <c r="FA410" s="195"/>
      <c r="FB410" s="195"/>
      <c r="FC410" s="195"/>
      <c r="FD410" s="195"/>
      <c r="FE410" s="195"/>
      <c r="FF410" s="195"/>
      <c r="FG410" s="195"/>
      <c r="FH410" s="12">
        <v>315</v>
      </c>
      <c r="FI410" s="195"/>
      <c r="FJ410" s="195"/>
      <c r="FK410" s="195"/>
      <c r="FL410" s="195"/>
      <c r="FM410" s="195"/>
      <c r="FN410" s="195"/>
      <c r="FO410" s="195"/>
      <c r="FP410" s="195"/>
      <c r="FQ410" s="195"/>
      <c r="FR410" s="195"/>
      <c r="FS410" s="195"/>
      <c r="FT410" s="195"/>
      <c r="FU410" s="195"/>
      <c r="FV410" s="195"/>
      <c r="FW410" s="195"/>
      <c r="FX410" s="195"/>
      <c r="FY410" s="195"/>
    </row>
    <row r="411" spans="2:181" x14ac:dyDescent="0.25">
      <c r="B411" s="197">
        <v>316</v>
      </c>
      <c r="C411" s="195"/>
      <c r="D411" s="195"/>
      <c r="E411" s="195"/>
      <c r="F411" s="195"/>
      <c r="G411" s="195"/>
      <c r="H411" s="195"/>
      <c r="I411" s="195"/>
      <c r="J411" s="195"/>
      <c r="K411" s="195"/>
      <c r="L411" s="195"/>
      <c r="M411" s="195"/>
      <c r="N411" s="195"/>
      <c r="O411" s="195"/>
      <c r="P411" s="195"/>
      <c r="Q411" s="195"/>
      <c r="R411" s="195"/>
      <c r="S411" s="195"/>
      <c r="T411" s="197">
        <v>316</v>
      </c>
      <c r="U411" s="195"/>
      <c r="V411" s="195"/>
      <c r="W411" s="195"/>
      <c r="X411" s="195"/>
      <c r="Y411" s="195"/>
      <c r="Z411" s="195"/>
      <c r="AA411" s="195"/>
      <c r="AB411" s="195"/>
      <c r="AC411" s="195"/>
      <c r="AD411" s="195"/>
      <c r="AE411" s="195"/>
      <c r="AF411" s="195"/>
      <c r="AG411" s="195"/>
      <c r="AH411" s="195"/>
      <c r="AI411" s="195"/>
      <c r="AJ411" s="195"/>
      <c r="AK411" s="195"/>
      <c r="AL411" s="197">
        <v>316</v>
      </c>
      <c r="AM411" s="195"/>
      <c r="AN411" s="195"/>
      <c r="AO411" s="195"/>
      <c r="AP411" s="195"/>
      <c r="AQ411" s="195"/>
      <c r="AR411" s="195"/>
      <c r="AS411" s="195"/>
      <c r="AT411" s="195"/>
      <c r="AU411" s="195"/>
      <c r="AV411" s="195"/>
      <c r="AW411" s="195"/>
      <c r="AX411" s="195"/>
      <c r="AY411" s="195"/>
      <c r="AZ411" s="195"/>
      <c r="BA411" s="195"/>
      <c r="BB411" s="195"/>
      <c r="BC411" s="195"/>
      <c r="BD411" s="197">
        <v>316</v>
      </c>
      <c r="BE411" s="195"/>
      <c r="BF411" s="195"/>
      <c r="BG411" s="195"/>
      <c r="BH411" s="195"/>
      <c r="BI411" s="195"/>
      <c r="BJ411" s="195"/>
      <c r="BK411" s="195"/>
      <c r="BL411" s="195"/>
      <c r="BM411" s="195"/>
      <c r="BN411" s="195"/>
      <c r="BO411" s="195"/>
      <c r="BP411" s="195"/>
      <c r="BQ411" s="195"/>
      <c r="BR411" s="195"/>
      <c r="BS411" s="195"/>
      <c r="BT411" s="195"/>
      <c r="BU411" s="195"/>
      <c r="BV411" s="197">
        <v>316</v>
      </c>
      <c r="BW411" s="195"/>
      <c r="BX411" s="195"/>
      <c r="BY411" s="195"/>
      <c r="BZ411" s="195"/>
      <c r="CA411" s="195"/>
      <c r="CB411" s="195"/>
      <c r="CC411" s="195"/>
      <c r="CD411" s="195"/>
      <c r="CE411" s="195"/>
      <c r="CF411" s="195"/>
      <c r="CG411" s="195"/>
      <c r="CH411" s="195"/>
      <c r="CI411" s="195"/>
      <c r="CJ411" s="195"/>
      <c r="CK411" s="195"/>
      <c r="CL411" s="195"/>
      <c r="CM411" s="195"/>
      <c r="CN411" s="197">
        <v>316</v>
      </c>
      <c r="CO411" s="195"/>
      <c r="CP411" s="195"/>
      <c r="CQ411" s="195"/>
      <c r="CR411" s="195"/>
      <c r="CS411" s="195"/>
      <c r="CT411" s="195"/>
      <c r="CU411" s="195"/>
      <c r="CV411" s="195"/>
      <c r="CW411" s="195"/>
      <c r="CX411" s="195"/>
      <c r="CY411" s="195"/>
      <c r="CZ411" s="195"/>
      <c r="DA411" s="195"/>
      <c r="DB411" s="195"/>
      <c r="DC411" s="195"/>
      <c r="DD411" s="195"/>
      <c r="DE411" s="195"/>
      <c r="DF411" s="197">
        <v>316</v>
      </c>
      <c r="DG411" s="195"/>
      <c r="DH411" s="195"/>
      <c r="DI411" s="195"/>
      <c r="DJ411" s="195"/>
      <c r="DK411" s="195"/>
      <c r="DL411" s="195"/>
      <c r="DM411" s="195"/>
      <c r="DN411" s="195"/>
      <c r="DO411" s="195"/>
      <c r="DP411" s="195"/>
      <c r="DQ411" s="195"/>
      <c r="DR411" s="195"/>
      <c r="DS411" s="195"/>
      <c r="DT411" s="195"/>
      <c r="DU411" s="195"/>
      <c r="DV411" s="195"/>
      <c r="DW411" s="195"/>
      <c r="DX411" s="197">
        <v>316</v>
      </c>
      <c r="DY411" s="195"/>
      <c r="DZ411" s="195"/>
      <c r="EA411" s="195"/>
      <c r="EB411" s="195"/>
      <c r="EC411" s="195"/>
      <c r="ED411" s="195"/>
      <c r="EE411" s="195"/>
      <c r="EF411" s="195"/>
      <c r="EG411" s="195"/>
      <c r="EH411" s="195"/>
      <c r="EI411" s="195"/>
      <c r="EJ411" s="195"/>
      <c r="EK411" s="195"/>
      <c r="EL411" s="195"/>
      <c r="EM411" s="195"/>
      <c r="EN411" s="195"/>
      <c r="EO411" s="195"/>
      <c r="EP411" s="197">
        <v>316</v>
      </c>
      <c r="EQ411" s="195"/>
      <c r="ER411" s="195"/>
      <c r="ES411" s="195"/>
      <c r="ET411" s="195"/>
      <c r="EU411" s="195"/>
      <c r="EV411" s="195"/>
      <c r="EW411" s="195"/>
      <c r="EX411" s="195"/>
      <c r="EY411" s="195"/>
      <c r="EZ411" s="195"/>
      <c r="FA411" s="195"/>
      <c r="FB411" s="195"/>
      <c r="FC411" s="195"/>
      <c r="FD411" s="195"/>
      <c r="FE411" s="195"/>
      <c r="FF411" s="195"/>
      <c r="FG411" s="195"/>
      <c r="FH411" s="197">
        <v>316</v>
      </c>
      <c r="FI411" s="195"/>
      <c r="FJ411" s="195"/>
      <c r="FK411" s="195"/>
      <c r="FL411" s="195"/>
      <c r="FM411" s="195"/>
      <c r="FN411" s="195"/>
      <c r="FO411" s="195"/>
      <c r="FP411" s="195"/>
      <c r="FQ411" s="195"/>
      <c r="FR411" s="195"/>
      <c r="FS411" s="195"/>
      <c r="FT411" s="195"/>
      <c r="FU411" s="195"/>
      <c r="FV411" s="195"/>
      <c r="FW411" s="195"/>
      <c r="FX411" s="195"/>
      <c r="FY411" s="195"/>
    </row>
    <row r="412" spans="2:181" x14ac:dyDescent="0.25">
      <c r="B412" s="12">
        <v>317</v>
      </c>
      <c r="C412" s="195"/>
      <c r="D412" s="195"/>
      <c r="E412" s="195"/>
      <c r="F412" s="195"/>
      <c r="G412" s="195"/>
      <c r="H412" s="195"/>
      <c r="I412" s="195"/>
      <c r="J412" s="195"/>
      <c r="K412" s="195"/>
      <c r="L412" s="195"/>
      <c r="M412" s="195"/>
      <c r="N412" s="195"/>
      <c r="O412" s="195"/>
      <c r="P412" s="195"/>
      <c r="Q412" s="195"/>
      <c r="R412" s="195"/>
      <c r="S412" s="195"/>
      <c r="T412" s="12">
        <v>317</v>
      </c>
      <c r="U412" s="195"/>
      <c r="V412" s="195"/>
      <c r="W412" s="195"/>
      <c r="X412" s="195"/>
      <c r="Y412" s="195"/>
      <c r="Z412" s="195"/>
      <c r="AA412" s="195"/>
      <c r="AB412" s="195"/>
      <c r="AC412" s="195"/>
      <c r="AD412" s="195"/>
      <c r="AE412" s="195"/>
      <c r="AF412" s="195"/>
      <c r="AG412" s="195"/>
      <c r="AH412" s="195"/>
      <c r="AI412" s="195"/>
      <c r="AJ412" s="195"/>
      <c r="AK412" s="195"/>
      <c r="AL412" s="12">
        <v>317</v>
      </c>
      <c r="AM412" s="195"/>
      <c r="AN412" s="195"/>
      <c r="AO412" s="195"/>
      <c r="AP412" s="195"/>
      <c r="AQ412" s="195"/>
      <c r="AR412" s="195"/>
      <c r="AS412" s="195"/>
      <c r="AT412" s="195"/>
      <c r="AU412" s="195"/>
      <c r="AV412" s="195"/>
      <c r="AW412" s="195"/>
      <c r="AX412" s="195"/>
      <c r="AY412" s="195"/>
      <c r="AZ412" s="195"/>
      <c r="BA412" s="195"/>
      <c r="BB412" s="195"/>
      <c r="BC412" s="195"/>
      <c r="BD412" s="12">
        <v>317</v>
      </c>
      <c r="BE412" s="195"/>
      <c r="BF412" s="195"/>
      <c r="BG412" s="195"/>
      <c r="BH412" s="195"/>
      <c r="BI412" s="195"/>
      <c r="BJ412" s="195"/>
      <c r="BK412" s="195"/>
      <c r="BL412" s="195"/>
      <c r="BM412" s="195"/>
      <c r="BN412" s="195"/>
      <c r="BO412" s="195"/>
      <c r="BP412" s="195"/>
      <c r="BQ412" s="195"/>
      <c r="BR412" s="195"/>
      <c r="BS412" s="195"/>
      <c r="BT412" s="195"/>
      <c r="BU412" s="195"/>
      <c r="BV412" s="12">
        <v>317</v>
      </c>
      <c r="BW412" s="195"/>
      <c r="BX412" s="195"/>
      <c r="BY412" s="195"/>
      <c r="BZ412" s="195"/>
      <c r="CA412" s="195"/>
      <c r="CB412" s="195"/>
      <c r="CC412" s="195"/>
      <c r="CD412" s="195"/>
      <c r="CE412" s="195"/>
      <c r="CF412" s="195"/>
      <c r="CG412" s="195"/>
      <c r="CH412" s="195"/>
      <c r="CI412" s="195"/>
      <c r="CJ412" s="195"/>
      <c r="CK412" s="195"/>
      <c r="CL412" s="195"/>
      <c r="CM412" s="195"/>
      <c r="CN412" s="12">
        <v>317</v>
      </c>
      <c r="CO412" s="195"/>
      <c r="CP412" s="195"/>
      <c r="CQ412" s="195"/>
      <c r="CR412" s="195"/>
      <c r="CS412" s="195"/>
      <c r="CT412" s="195"/>
      <c r="CU412" s="195"/>
      <c r="CV412" s="195"/>
      <c r="CW412" s="195"/>
      <c r="CX412" s="195"/>
      <c r="CY412" s="195"/>
      <c r="CZ412" s="195"/>
      <c r="DA412" s="195"/>
      <c r="DB412" s="195"/>
      <c r="DC412" s="195"/>
      <c r="DD412" s="195"/>
      <c r="DE412" s="195"/>
      <c r="DF412" s="12">
        <v>317</v>
      </c>
      <c r="DG412" s="195"/>
      <c r="DH412" s="195"/>
      <c r="DI412" s="195"/>
      <c r="DJ412" s="195"/>
      <c r="DK412" s="195"/>
      <c r="DL412" s="195"/>
      <c r="DM412" s="195"/>
      <c r="DN412" s="195"/>
      <c r="DO412" s="195"/>
      <c r="DP412" s="195"/>
      <c r="DQ412" s="195"/>
      <c r="DR412" s="195"/>
      <c r="DS412" s="195"/>
      <c r="DT412" s="195"/>
      <c r="DU412" s="195"/>
      <c r="DV412" s="195"/>
      <c r="DW412" s="195"/>
      <c r="DX412" s="12">
        <v>317</v>
      </c>
      <c r="DY412" s="195"/>
      <c r="DZ412" s="195"/>
      <c r="EA412" s="195"/>
      <c r="EB412" s="195"/>
      <c r="EC412" s="195"/>
      <c r="ED412" s="195"/>
      <c r="EE412" s="195"/>
      <c r="EF412" s="195"/>
      <c r="EG412" s="195"/>
      <c r="EH412" s="195"/>
      <c r="EI412" s="195"/>
      <c r="EJ412" s="195"/>
      <c r="EK412" s="195"/>
      <c r="EL412" s="195"/>
      <c r="EM412" s="195"/>
      <c r="EN412" s="195"/>
      <c r="EO412" s="195"/>
      <c r="EP412" s="12">
        <v>317</v>
      </c>
      <c r="EQ412" s="195"/>
      <c r="ER412" s="195"/>
      <c r="ES412" s="195"/>
      <c r="ET412" s="195"/>
      <c r="EU412" s="195"/>
      <c r="EV412" s="195"/>
      <c r="EW412" s="195"/>
      <c r="EX412" s="195"/>
      <c r="EY412" s="195"/>
      <c r="EZ412" s="195"/>
      <c r="FA412" s="195"/>
      <c r="FB412" s="195"/>
      <c r="FC412" s="195"/>
      <c r="FD412" s="195"/>
      <c r="FE412" s="195"/>
      <c r="FF412" s="195"/>
      <c r="FG412" s="195"/>
      <c r="FH412" s="12">
        <v>317</v>
      </c>
      <c r="FI412" s="195"/>
      <c r="FJ412" s="195"/>
      <c r="FK412" s="195"/>
      <c r="FL412" s="195"/>
      <c r="FM412" s="195"/>
      <c r="FN412" s="195"/>
      <c r="FO412" s="195"/>
      <c r="FP412" s="195"/>
      <c r="FQ412" s="195"/>
      <c r="FR412" s="195"/>
      <c r="FS412" s="195"/>
      <c r="FT412" s="195"/>
      <c r="FU412" s="195"/>
      <c r="FV412" s="195"/>
      <c r="FW412" s="195"/>
      <c r="FX412" s="195"/>
      <c r="FY412" s="195"/>
    </row>
    <row r="413" spans="2:181" x14ac:dyDescent="0.25">
      <c r="B413" s="197">
        <v>318</v>
      </c>
      <c r="C413" s="195"/>
      <c r="D413" s="195"/>
      <c r="E413" s="195"/>
      <c r="F413" s="195"/>
      <c r="G413" s="195"/>
      <c r="H413" s="195"/>
      <c r="I413" s="195"/>
      <c r="J413" s="195"/>
      <c r="K413" s="195"/>
      <c r="L413" s="195"/>
      <c r="M413" s="195"/>
      <c r="N413" s="195"/>
      <c r="O413" s="195"/>
      <c r="P413" s="195"/>
      <c r="Q413" s="195"/>
      <c r="R413" s="195"/>
      <c r="S413" s="195"/>
      <c r="T413" s="197">
        <v>318</v>
      </c>
      <c r="U413" s="195"/>
      <c r="V413" s="195"/>
      <c r="W413" s="195"/>
      <c r="X413" s="195"/>
      <c r="Y413" s="195"/>
      <c r="Z413" s="195"/>
      <c r="AA413" s="195"/>
      <c r="AB413" s="195"/>
      <c r="AC413" s="195"/>
      <c r="AD413" s="195"/>
      <c r="AE413" s="195"/>
      <c r="AF413" s="195"/>
      <c r="AG413" s="195"/>
      <c r="AH413" s="195"/>
      <c r="AI413" s="195"/>
      <c r="AJ413" s="195"/>
      <c r="AK413" s="195"/>
      <c r="AL413" s="197">
        <v>318</v>
      </c>
      <c r="AM413" s="195"/>
      <c r="AN413" s="195"/>
      <c r="AO413" s="195"/>
      <c r="AP413" s="195"/>
      <c r="AQ413" s="195"/>
      <c r="AR413" s="195"/>
      <c r="AS413" s="195"/>
      <c r="AT413" s="195"/>
      <c r="AU413" s="195"/>
      <c r="AV413" s="195"/>
      <c r="AW413" s="195"/>
      <c r="AX413" s="195"/>
      <c r="AY413" s="195"/>
      <c r="AZ413" s="195"/>
      <c r="BA413" s="195"/>
      <c r="BB413" s="195"/>
      <c r="BC413" s="195"/>
      <c r="BD413" s="197">
        <v>318</v>
      </c>
      <c r="BE413" s="195"/>
      <c r="BF413" s="195"/>
      <c r="BG413" s="195"/>
      <c r="BH413" s="195"/>
      <c r="BI413" s="195"/>
      <c r="BJ413" s="195"/>
      <c r="BK413" s="195"/>
      <c r="BL413" s="195"/>
      <c r="BM413" s="195"/>
      <c r="BN413" s="195"/>
      <c r="BO413" s="195"/>
      <c r="BP413" s="195"/>
      <c r="BQ413" s="195"/>
      <c r="BR413" s="195"/>
      <c r="BS413" s="195"/>
      <c r="BT413" s="195"/>
      <c r="BU413" s="195"/>
      <c r="BV413" s="197">
        <v>318</v>
      </c>
      <c r="BW413" s="195"/>
      <c r="BX413" s="195"/>
      <c r="BY413" s="195"/>
      <c r="BZ413" s="195"/>
      <c r="CA413" s="195"/>
      <c r="CB413" s="195"/>
      <c r="CC413" s="195"/>
      <c r="CD413" s="195"/>
      <c r="CE413" s="195"/>
      <c r="CF413" s="195"/>
      <c r="CG413" s="195"/>
      <c r="CH413" s="195"/>
      <c r="CI413" s="195"/>
      <c r="CJ413" s="195"/>
      <c r="CK413" s="195"/>
      <c r="CL413" s="195"/>
      <c r="CM413" s="195"/>
      <c r="CN413" s="197">
        <v>318</v>
      </c>
      <c r="CO413" s="195"/>
      <c r="CP413" s="195"/>
      <c r="CQ413" s="195"/>
      <c r="CR413" s="195"/>
      <c r="CS413" s="195"/>
      <c r="CT413" s="195"/>
      <c r="CU413" s="195"/>
      <c r="CV413" s="195"/>
      <c r="CW413" s="195"/>
      <c r="CX413" s="195"/>
      <c r="CY413" s="195"/>
      <c r="CZ413" s="195"/>
      <c r="DA413" s="195"/>
      <c r="DB413" s="195"/>
      <c r="DC413" s="195"/>
      <c r="DD413" s="195"/>
      <c r="DE413" s="195"/>
      <c r="DF413" s="197">
        <v>318</v>
      </c>
      <c r="DG413" s="195"/>
      <c r="DH413" s="195"/>
      <c r="DI413" s="195"/>
      <c r="DJ413" s="195"/>
      <c r="DK413" s="195"/>
      <c r="DL413" s="195"/>
      <c r="DM413" s="195"/>
      <c r="DN413" s="195"/>
      <c r="DO413" s="195"/>
      <c r="DP413" s="195"/>
      <c r="DQ413" s="195"/>
      <c r="DR413" s="195"/>
      <c r="DS413" s="195"/>
      <c r="DT413" s="195"/>
      <c r="DU413" s="195"/>
      <c r="DV413" s="195"/>
      <c r="DW413" s="195"/>
      <c r="DX413" s="197">
        <v>318</v>
      </c>
      <c r="DY413" s="195"/>
      <c r="DZ413" s="195"/>
      <c r="EA413" s="195"/>
      <c r="EB413" s="195"/>
      <c r="EC413" s="195"/>
      <c r="ED413" s="195"/>
      <c r="EE413" s="195"/>
      <c r="EF413" s="195"/>
      <c r="EG413" s="195"/>
      <c r="EH413" s="195"/>
      <c r="EI413" s="195"/>
      <c r="EJ413" s="195"/>
      <c r="EK413" s="195"/>
      <c r="EL413" s="195"/>
      <c r="EM413" s="195"/>
      <c r="EN413" s="195"/>
      <c r="EO413" s="195"/>
      <c r="EP413" s="197">
        <v>318</v>
      </c>
      <c r="EQ413" s="195"/>
      <c r="ER413" s="195"/>
      <c r="ES413" s="195"/>
      <c r="ET413" s="195"/>
      <c r="EU413" s="195"/>
      <c r="EV413" s="195"/>
      <c r="EW413" s="195"/>
      <c r="EX413" s="195"/>
      <c r="EY413" s="195"/>
      <c r="EZ413" s="195"/>
      <c r="FA413" s="195"/>
      <c r="FB413" s="195"/>
      <c r="FC413" s="195"/>
      <c r="FD413" s="195"/>
      <c r="FE413" s="195"/>
      <c r="FF413" s="195"/>
      <c r="FG413" s="195"/>
      <c r="FH413" s="197">
        <v>318</v>
      </c>
      <c r="FI413" s="195"/>
      <c r="FJ413" s="195"/>
      <c r="FK413" s="195"/>
      <c r="FL413" s="195"/>
      <c r="FM413" s="195"/>
      <c r="FN413" s="195"/>
      <c r="FO413" s="195"/>
      <c r="FP413" s="195"/>
      <c r="FQ413" s="195"/>
      <c r="FR413" s="195"/>
      <c r="FS413" s="195"/>
      <c r="FT413" s="195"/>
      <c r="FU413" s="195"/>
      <c r="FV413" s="195"/>
      <c r="FW413" s="195"/>
      <c r="FX413" s="195"/>
      <c r="FY413" s="195"/>
    </row>
    <row r="414" spans="2:181" x14ac:dyDescent="0.25">
      <c r="B414" s="12">
        <v>319</v>
      </c>
      <c r="C414" s="195"/>
      <c r="D414" s="195"/>
      <c r="E414" s="195"/>
      <c r="F414" s="195"/>
      <c r="G414" s="195"/>
      <c r="H414" s="195"/>
      <c r="I414" s="195"/>
      <c r="J414" s="195"/>
      <c r="K414" s="195"/>
      <c r="L414" s="195"/>
      <c r="M414" s="195"/>
      <c r="N414" s="195"/>
      <c r="O414" s="195"/>
      <c r="P414" s="195"/>
      <c r="Q414" s="195"/>
      <c r="R414" s="195"/>
      <c r="S414" s="195"/>
      <c r="T414" s="12">
        <v>319</v>
      </c>
      <c r="U414" s="195"/>
      <c r="V414" s="195"/>
      <c r="W414" s="195"/>
      <c r="X414" s="195"/>
      <c r="Y414" s="195"/>
      <c r="Z414" s="195"/>
      <c r="AA414" s="195"/>
      <c r="AB414" s="195"/>
      <c r="AC414" s="195"/>
      <c r="AD414" s="195"/>
      <c r="AE414" s="195"/>
      <c r="AF414" s="195"/>
      <c r="AG414" s="195"/>
      <c r="AH414" s="195"/>
      <c r="AI414" s="195"/>
      <c r="AJ414" s="195"/>
      <c r="AK414" s="195"/>
      <c r="AL414" s="12">
        <v>319</v>
      </c>
      <c r="AM414" s="195"/>
      <c r="AN414" s="195"/>
      <c r="AO414" s="195"/>
      <c r="AP414" s="195"/>
      <c r="AQ414" s="195"/>
      <c r="AR414" s="195"/>
      <c r="AS414" s="195"/>
      <c r="AT414" s="195"/>
      <c r="AU414" s="195"/>
      <c r="AV414" s="195"/>
      <c r="AW414" s="195"/>
      <c r="AX414" s="195"/>
      <c r="AY414" s="195"/>
      <c r="AZ414" s="195"/>
      <c r="BA414" s="195"/>
      <c r="BB414" s="195"/>
      <c r="BC414" s="195"/>
      <c r="BD414" s="12">
        <v>319</v>
      </c>
      <c r="BE414" s="195"/>
      <c r="BF414" s="195"/>
      <c r="BG414" s="195"/>
      <c r="BH414" s="195"/>
      <c r="BI414" s="195"/>
      <c r="BJ414" s="195"/>
      <c r="BK414" s="195"/>
      <c r="BL414" s="195"/>
      <c r="BM414" s="195"/>
      <c r="BN414" s="195"/>
      <c r="BO414" s="195"/>
      <c r="BP414" s="195"/>
      <c r="BQ414" s="195"/>
      <c r="BR414" s="195"/>
      <c r="BS414" s="195"/>
      <c r="BT414" s="195"/>
      <c r="BU414" s="195"/>
      <c r="BV414" s="12">
        <v>319</v>
      </c>
      <c r="BW414" s="195"/>
      <c r="BX414" s="195"/>
      <c r="BY414" s="195"/>
      <c r="BZ414" s="195"/>
      <c r="CA414" s="195"/>
      <c r="CB414" s="195"/>
      <c r="CC414" s="195"/>
      <c r="CD414" s="195"/>
      <c r="CE414" s="195"/>
      <c r="CF414" s="195"/>
      <c r="CG414" s="195"/>
      <c r="CH414" s="195"/>
      <c r="CI414" s="195"/>
      <c r="CJ414" s="195"/>
      <c r="CK414" s="195"/>
      <c r="CL414" s="195"/>
      <c r="CM414" s="195"/>
      <c r="CN414" s="12">
        <v>319</v>
      </c>
      <c r="CO414" s="195"/>
      <c r="CP414" s="195"/>
      <c r="CQ414" s="195"/>
      <c r="CR414" s="195"/>
      <c r="CS414" s="195"/>
      <c r="CT414" s="195"/>
      <c r="CU414" s="195"/>
      <c r="CV414" s="195"/>
      <c r="CW414" s="195"/>
      <c r="CX414" s="195"/>
      <c r="CY414" s="195"/>
      <c r="CZ414" s="195"/>
      <c r="DA414" s="195"/>
      <c r="DB414" s="195"/>
      <c r="DC414" s="195"/>
      <c r="DD414" s="195"/>
      <c r="DE414" s="195"/>
      <c r="DF414" s="12">
        <v>319</v>
      </c>
      <c r="DG414" s="195"/>
      <c r="DH414" s="195"/>
      <c r="DI414" s="195"/>
      <c r="DJ414" s="195"/>
      <c r="DK414" s="195"/>
      <c r="DL414" s="195"/>
      <c r="DM414" s="195"/>
      <c r="DN414" s="195"/>
      <c r="DO414" s="195"/>
      <c r="DP414" s="195"/>
      <c r="DQ414" s="195"/>
      <c r="DR414" s="195"/>
      <c r="DS414" s="195"/>
      <c r="DT414" s="195"/>
      <c r="DU414" s="195"/>
      <c r="DV414" s="195"/>
      <c r="DW414" s="195"/>
      <c r="DX414" s="12">
        <v>319</v>
      </c>
      <c r="DY414" s="195"/>
      <c r="DZ414" s="195"/>
      <c r="EA414" s="195"/>
      <c r="EB414" s="195"/>
      <c r="EC414" s="195"/>
      <c r="ED414" s="195"/>
      <c r="EE414" s="195"/>
      <c r="EF414" s="195"/>
      <c r="EG414" s="195"/>
      <c r="EH414" s="195"/>
      <c r="EI414" s="195"/>
      <c r="EJ414" s="195"/>
      <c r="EK414" s="195"/>
      <c r="EL414" s="195"/>
      <c r="EM414" s="195"/>
      <c r="EN414" s="195"/>
      <c r="EO414" s="195"/>
      <c r="EP414" s="12">
        <v>319</v>
      </c>
      <c r="EQ414" s="195"/>
      <c r="ER414" s="195"/>
      <c r="ES414" s="195"/>
      <c r="ET414" s="195"/>
      <c r="EU414" s="195"/>
      <c r="EV414" s="195"/>
      <c r="EW414" s="195"/>
      <c r="EX414" s="195"/>
      <c r="EY414" s="195"/>
      <c r="EZ414" s="195"/>
      <c r="FA414" s="195"/>
      <c r="FB414" s="195"/>
      <c r="FC414" s="195"/>
      <c r="FD414" s="195"/>
      <c r="FE414" s="195"/>
      <c r="FF414" s="195"/>
      <c r="FG414" s="195"/>
      <c r="FH414" s="12">
        <v>319</v>
      </c>
      <c r="FI414" s="195"/>
      <c r="FJ414" s="195"/>
      <c r="FK414" s="195"/>
      <c r="FL414" s="195"/>
      <c r="FM414" s="195"/>
      <c r="FN414" s="195"/>
      <c r="FO414" s="195"/>
      <c r="FP414" s="195"/>
      <c r="FQ414" s="195"/>
      <c r="FR414" s="195"/>
      <c r="FS414" s="195"/>
      <c r="FT414" s="195"/>
      <c r="FU414" s="195"/>
      <c r="FV414" s="195"/>
      <c r="FW414" s="195"/>
      <c r="FX414" s="195"/>
      <c r="FY414" s="195"/>
    </row>
    <row r="415" spans="2:181" x14ac:dyDescent="0.25">
      <c r="B415" s="197">
        <v>320</v>
      </c>
      <c r="C415" s="195"/>
      <c r="D415" s="195"/>
      <c r="E415" s="195"/>
      <c r="F415" s="195"/>
      <c r="G415" s="195"/>
      <c r="H415" s="195"/>
      <c r="I415" s="195"/>
      <c r="J415" s="195"/>
      <c r="K415" s="195"/>
      <c r="L415" s="195"/>
      <c r="M415" s="195"/>
      <c r="N415" s="195"/>
      <c r="O415" s="195"/>
      <c r="P415" s="195"/>
      <c r="Q415" s="195"/>
      <c r="R415" s="195"/>
      <c r="S415" s="195"/>
      <c r="T415" s="197">
        <v>320</v>
      </c>
      <c r="U415" s="195"/>
      <c r="V415" s="195"/>
      <c r="W415" s="195"/>
      <c r="X415" s="195"/>
      <c r="Y415" s="195"/>
      <c r="Z415" s="195"/>
      <c r="AA415" s="195"/>
      <c r="AB415" s="195"/>
      <c r="AC415" s="195"/>
      <c r="AD415" s="195"/>
      <c r="AE415" s="195"/>
      <c r="AF415" s="195"/>
      <c r="AG415" s="195"/>
      <c r="AH415" s="195"/>
      <c r="AI415" s="195"/>
      <c r="AJ415" s="195"/>
      <c r="AK415" s="195"/>
      <c r="AL415" s="197">
        <v>320</v>
      </c>
      <c r="AM415" s="195"/>
      <c r="AN415" s="195"/>
      <c r="AO415" s="195"/>
      <c r="AP415" s="195"/>
      <c r="AQ415" s="195"/>
      <c r="AR415" s="195"/>
      <c r="AS415" s="195"/>
      <c r="AT415" s="195"/>
      <c r="AU415" s="195"/>
      <c r="AV415" s="195"/>
      <c r="AW415" s="195"/>
      <c r="AX415" s="195"/>
      <c r="AY415" s="195"/>
      <c r="AZ415" s="195"/>
      <c r="BA415" s="195"/>
      <c r="BB415" s="195"/>
      <c r="BC415" s="195"/>
      <c r="BD415" s="197">
        <v>320</v>
      </c>
      <c r="BE415" s="195"/>
      <c r="BF415" s="195"/>
      <c r="BG415" s="195"/>
      <c r="BH415" s="195"/>
      <c r="BI415" s="195"/>
      <c r="BJ415" s="195"/>
      <c r="BK415" s="195"/>
      <c r="BL415" s="195"/>
      <c r="BM415" s="195"/>
      <c r="BN415" s="195"/>
      <c r="BO415" s="195"/>
      <c r="BP415" s="195"/>
      <c r="BQ415" s="195"/>
      <c r="BR415" s="195"/>
      <c r="BS415" s="195"/>
      <c r="BT415" s="195"/>
      <c r="BU415" s="195"/>
      <c r="BV415" s="197">
        <v>320</v>
      </c>
      <c r="BW415" s="195"/>
      <c r="BX415" s="195"/>
      <c r="BY415" s="195"/>
      <c r="BZ415" s="195"/>
      <c r="CA415" s="195"/>
      <c r="CB415" s="195"/>
      <c r="CC415" s="195"/>
      <c r="CD415" s="195"/>
      <c r="CE415" s="195"/>
      <c r="CF415" s="195"/>
      <c r="CG415" s="195"/>
      <c r="CH415" s="195"/>
      <c r="CI415" s="195"/>
      <c r="CJ415" s="195"/>
      <c r="CK415" s="195"/>
      <c r="CL415" s="195"/>
      <c r="CM415" s="195"/>
      <c r="CN415" s="197">
        <v>320</v>
      </c>
      <c r="CO415" s="195"/>
      <c r="CP415" s="195"/>
      <c r="CQ415" s="195"/>
      <c r="CR415" s="195"/>
      <c r="CS415" s="195"/>
      <c r="CT415" s="195"/>
      <c r="CU415" s="195"/>
      <c r="CV415" s="195"/>
      <c r="CW415" s="195"/>
      <c r="CX415" s="195"/>
      <c r="CY415" s="195"/>
      <c r="CZ415" s="195"/>
      <c r="DA415" s="195"/>
      <c r="DB415" s="195"/>
      <c r="DC415" s="195"/>
      <c r="DD415" s="195"/>
      <c r="DE415" s="195"/>
      <c r="DF415" s="197">
        <v>320</v>
      </c>
      <c r="DG415" s="195"/>
      <c r="DH415" s="195"/>
      <c r="DI415" s="195"/>
      <c r="DJ415" s="195"/>
      <c r="DK415" s="195"/>
      <c r="DL415" s="195"/>
      <c r="DM415" s="195"/>
      <c r="DN415" s="195"/>
      <c r="DO415" s="195"/>
      <c r="DP415" s="195"/>
      <c r="DQ415" s="195"/>
      <c r="DR415" s="195"/>
      <c r="DS415" s="195"/>
      <c r="DT415" s="195"/>
      <c r="DU415" s="195"/>
      <c r="DV415" s="195"/>
      <c r="DW415" s="195"/>
      <c r="DX415" s="197">
        <v>320</v>
      </c>
      <c r="DY415" s="195"/>
      <c r="DZ415" s="195"/>
      <c r="EA415" s="195"/>
      <c r="EB415" s="195"/>
      <c r="EC415" s="195"/>
      <c r="ED415" s="195"/>
      <c r="EE415" s="195"/>
      <c r="EF415" s="195"/>
      <c r="EG415" s="195"/>
      <c r="EH415" s="195"/>
      <c r="EI415" s="195"/>
      <c r="EJ415" s="195"/>
      <c r="EK415" s="195"/>
      <c r="EL415" s="195"/>
      <c r="EM415" s="195"/>
      <c r="EN415" s="195"/>
      <c r="EO415" s="195"/>
      <c r="EP415" s="197">
        <v>320</v>
      </c>
      <c r="EQ415" s="195"/>
      <c r="ER415" s="195"/>
      <c r="ES415" s="195"/>
      <c r="ET415" s="195"/>
      <c r="EU415" s="195"/>
      <c r="EV415" s="195"/>
      <c r="EW415" s="195"/>
      <c r="EX415" s="195"/>
      <c r="EY415" s="195"/>
      <c r="EZ415" s="195"/>
      <c r="FA415" s="195"/>
      <c r="FB415" s="195"/>
      <c r="FC415" s="195"/>
      <c r="FD415" s="195"/>
      <c r="FE415" s="195"/>
      <c r="FF415" s="195"/>
      <c r="FG415" s="195"/>
      <c r="FH415" s="197">
        <v>320</v>
      </c>
      <c r="FI415" s="195"/>
      <c r="FJ415" s="195"/>
      <c r="FK415" s="195"/>
      <c r="FL415" s="195"/>
      <c r="FM415" s="195"/>
      <c r="FN415" s="195"/>
      <c r="FO415" s="195"/>
      <c r="FP415" s="195"/>
      <c r="FQ415" s="195"/>
      <c r="FR415" s="195"/>
      <c r="FS415" s="195"/>
      <c r="FT415" s="195"/>
      <c r="FU415" s="195"/>
      <c r="FV415" s="195"/>
      <c r="FW415" s="195"/>
      <c r="FX415" s="195"/>
      <c r="FY415" s="195"/>
    </row>
    <row r="416" spans="2:181" x14ac:dyDescent="0.25">
      <c r="B416" s="12">
        <v>321</v>
      </c>
      <c r="C416" s="195"/>
      <c r="D416" s="195"/>
      <c r="E416" s="195"/>
      <c r="F416" s="195"/>
      <c r="G416" s="195"/>
      <c r="H416" s="195"/>
      <c r="I416" s="195"/>
      <c r="J416" s="195"/>
      <c r="K416" s="195"/>
      <c r="L416" s="195"/>
      <c r="M416" s="195"/>
      <c r="N416" s="195"/>
      <c r="O416" s="195"/>
      <c r="P416" s="195"/>
      <c r="Q416" s="195"/>
      <c r="R416" s="195"/>
      <c r="S416" s="195"/>
      <c r="T416" s="12">
        <v>321</v>
      </c>
      <c r="U416" s="195"/>
      <c r="V416" s="195"/>
      <c r="W416" s="195"/>
      <c r="X416" s="195"/>
      <c r="Y416" s="195"/>
      <c r="Z416" s="195"/>
      <c r="AA416" s="195"/>
      <c r="AB416" s="195"/>
      <c r="AC416" s="195"/>
      <c r="AD416" s="195"/>
      <c r="AE416" s="195"/>
      <c r="AF416" s="195"/>
      <c r="AG416" s="195"/>
      <c r="AH416" s="195"/>
      <c r="AI416" s="195"/>
      <c r="AJ416" s="195"/>
      <c r="AK416" s="195"/>
      <c r="AL416" s="12">
        <v>321</v>
      </c>
      <c r="AM416" s="195"/>
      <c r="AN416" s="195"/>
      <c r="AO416" s="195"/>
      <c r="AP416" s="195"/>
      <c r="AQ416" s="195"/>
      <c r="AR416" s="195"/>
      <c r="AS416" s="195"/>
      <c r="AT416" s="195"/>
      <c r="AU416" s="195"/>
      <c r="AV416" s="195"/>
      <c r="AW416" s="195"/>
      <c r="AX416" s="195"/>
      <c r="AY416" s="195"/>
      <c r="AZ416" s="195"/>
      <c r="BA416" s="195"/>
      <c r="BB416" s="195"/>
      <c r="BC416" s="195"/>
      <c r="BD416" s="12">
        <v>321</v>
      </c>
      <c r="BE416" s="195"/>
      <c r="BF416" s="195"/>
      <c r="BG416" s="195"/>
      <c r="BH416" s="195"/>
      <c r="BI416" s="195"/>
      <c r="BJ416" s="195"/>
      <c r="BK416" s="195"/>
      <c r="BL416" s="195"/>
      <c r="BM416" s="195"/>
      <c r="BN416" s="195"/>
      <c r="BO416" s="195"/>
      <c r="BP416" s="195"/>
      <c r="BQ416" s="195"/>
      <c r="BR416" s="195"/>
      <c r="BS416" s="195"/>
      <c r="BT416" s="195"/>
      <c r="BU416" s="195"/>
      <c r="BV416" s="12">
        <v>321</v>
      </c>
      <c r="BW416" s="195"/>
      <c r="BX416" s="195"/>
      <c r="BY416" s="195"/>
      <c r="BZ416" s="195"/>
      <c r="CA416" s="195"/>
      <c r="CB416" s="195"/>
      <c r="CC416" s="195"/>
      <c r="CD416" s="195"/>
      <c r="CE416" s="195"/>
      <c r="CF416" s="195"/>
      <c r="CG416" s="195"/>
      <c r="CH416" s="195"/>
      <c r="CI416" s="195"/>
      <c r="CJ416" s="195"/>
      <c r="CK416" s="195"/>
      <c r="CL416" s="195"/>
      <c r="CM416" s="195"/>
      <c r="CN416" s="12">
        <v>321</v>
      </c>
      <c r="CO416" s="195"/>
      <c r="CP416" s="195"/>
      <c r="CQ416" s="195"/>
      <c r="CR416" s="195"/>
      <c r="CS416" s="195"/>
      <c r="CT416" s="195"/>
      <c r="CU416" s="195"/>
      <c r="CV416" s="195"/>
      <c r="CW416" s="195"/>
      <c r="CX416" s="195"/>
      <c r="CY416" s="195"/>
      <c r="CZ416" s="195"/>
      <c r="DA416" s="195"/>
      <c r="DB416" s="195"/>
      <c r="DC416" s="195"/>
      <c r="DD416" s="195"/>
      <c r="DE416" s="195"/>
      <c r="DF416" s="12">
        <v>321</v>
      </c>
      <c r="DG416" s="195"/>
      <c r="DH416" s="195"/>
      <c r="DI416" s="195"/>
      <c r="DJ416" s="195"/>
      <c r="DK416" s="195"/>
      <c r="DL416" s="195"/>
      <c r="DM416" s="195"/>
      <c r="DN416" s="195"/>
      <c r="DO416" s="195"/>
      <c r="DP416" s="195"/>
      <c r="DQ416" s="195"/>
      <c r="DR416" s="195"/>
      <c r="DS416" s="195"/>
      <c r="DT416" s="195"/>
      <c r="DU416" s="195"/>
      <c r="DV416" s="195"/>
      <c r="DW416" s="195"/>
      <c r="DX416" s="12">
        <v>321</v>
      </c>
      <c r="DY416" s="195"/>
      <c r="DZ416" s="195"/>
      <c r="EA416" s="195"/>
      <c r="EB416" s="195"/>
      <c r="EC416" s="195"/>
      <c r="ED416" s="195"/>
      <c r="EE416" s="195"/>
      <c r="EF416" s="195"/>
      <c r="EG416" s="195"/>
      <c r="EH416" s="195"/>
      <c r="EI416" s="195"/>
      <c r="EJ416" s="195"/>
      <c r="EK416" s="195"/>
      <c r="EL416" s="195"/>
      <c r="EM416" s="195"/>
      <c r="EN416" s="195"/>
      <c r="EO416" s="195"/>
      <c r="EP416" s="12">
        <v>321</v>
      </c>
      <c r="EQ416" s="195"/>
      <c r="ER416" s="195"/>
      <c r="ES416" s="195"/>
      <c r="ET416" s="195"/>
      <c r="EU416" s="195"/>
      <c r="EV416" s="195"/>
      <c r="EW416" s="195"/>
      <c r="EX416" s="195"/>
      <c r="EY416" s="195"/>
      <c r="EZ416" s="195"/>
      <c r="FA416" s="195"/>
      <c r="FB416" s="195"/>
      <c r="FC416" s="195"/>
      <c r="FD416" s="195"/>
      <c r="FE416" s="195"/>
      <c r="FF416" s="195"/>
      <c r="FG416" s="195"/>
      <c r="FH416" s="12">
        <v>321</v>
      </c>
      <c r="FI416" s="195"/>
      <c r="FJ416" s="195"/>
      <c r="FK416" s="195"/>
      <c r="FL416" s="195"/>
      <c r="FM416" s="195"/>
      <c r="FN416" s="195"/>
      <c r="FO416" s="195"/>
      <c r="FP416" s="195"/>
      <c r="FQ416" s="195"/>
      <c r="FR416" s="195"/>
      <c r="FS416" s="195"/>
      <c r="FT416" s="195"/>
      <c r="FU416" s="195"/>
      <c r="FV416" s="195"/>
      <c r="FW416" s="195"/>
      <c r="FX416" s="195"/>
      <c r="FY416" s="195"/>
    </row>
    <row r="417" spans="2:181" x14ac:dyDescent="0.25">
      <c r="B417" s="197">
        <v>322</v>
      </c>
      <c r="C417" s="195"/>
      <c r="D417" s="195"/>
      <c r="E417" s="195"/>
      <c r="F417" s="195"/>
      <c r="G417" s="195"/>
      <c r="H417" s="195"/>
      <c r="I417" s="195"/>
      <c r="J417" s="195"/>
      <c r="K417" s="195"/>
      <c r="L417" s="195"/>
      <c r="M417" s="195"/>
      <c r="N417" s="195"/>
      <c r="O417" s="195"/>
      <c r="P417" s="195"/>
      <c r="Q417" s="195"/>
      <c r="R417" s="195"/>
      <c r="S417" s="195"/>
      <c r="T417" s="197">
        <v>322</v>
      </c>
      <c r="U417" s="195"/>
      <c r="V417" s="195"/>
      <c r="W417" s="195"/>
      <c r="X417" s="195"/>
      <c r="Y417" s="195"/>
      <c r="Z417" s="195"/>
      <c r="AA417" s="195"/>
      <c r="AB417" s="195"/>
      <c r="AC417" s="195"/>
      <c r="AD417" s="195"/>
      <c r="AE417" s="195"/>
      <c r="AF417" s="195"/>
      <c r="AG417" s="195"/>
      <c r="AH417" s="195"/>
      <c r="AI417" s="195"/>
      <c r="AJ417" s="195"/>
      <c r="AK417" s="195"/>
      <c r="AL417" s="197">
        <v>322</v>
      </c>
      <c r="AM417" s="195"/>
      <c r="AN417" s="195"/>
      <c r="AO417" s="195"/>
      <c r="AP417" s="195"/>
      <c r="AQ417" s="195"/>
      <c r="AR417" s="195"/>
      <c r="AS417" s="195"/>
      <c r="AT417" s="195"/>
      <c r="AU417" s="195"/>
      <c r="AV417" s="195"/>
      <c r="AW417" s="195"/>
      <c r="AX417" s="195"/>
      <c r="AY417" s="195"/>
      <c r="AZ417" s="195"/>
      <c r="BA417" s="195"/>
      <c r="BB417" s="195"/>
      <c r="BC417" s="195"/>
      <c r="BD417" s="197">
        <v>322</v>
      </c>
      <c r="BE417" s="195"/>
      <c r="BF417" s="195"/>
      <c r="BG417" s="195"/>
      <c r="BH417" s="195"/>
      <c r="BI417" s="195"/>
      <c r="BJ417" s="195"/>
      <c r="BK417" s="195"/>
      <c r="BL417" s="195"/>
      <c r="BM417" s="195"/>
      <c r="BN417" s="195"/>
      <c r="BO417" s="195"/>
      <c r="BP417" s="195"/>
      <c r="BQ417" s="195"/>
      <c r="BR417" s="195"/>
      <c r="BS417" s="195"/>
      <c r="BT417" s="195"/>
      <c r="BU417" s="195"/>
      <c r="BV417" s="197">
        <v>322</v>
      </c>
      <c r="BW417" s="195"/>
      <c r="BX417" s="195"/>
      <c r="BY417" s="195"/>
      <c r="BZ417" s="195"/>
      <c r="CA417" s="195"/>
      <c r="CB417" s="195"/>
      <c r="CC417" s="195"/>
      <c r="CD417" s="195"/>
      <c r="CE417" s="195"/>
      <c r="CF417" s="195"/>
      <c r="CG417" s="195"/>
      <c r="CH417" s="195"/>
      <c r="CI417" s="195"/>
      <c r="CJ417" s="195"/>
      <c r="CK417" s="195"/>
      <c r="CL417" s="195"/>
      <c r="CM417" s="195"/>
      <c r="CN417" s="197">
        <v>322</v>
      </c>
      <c r="CO417" s="195"/>
      <c r="CP417" s="195"/>
      <c r="CQ417" s="195"/>
      <c r="CR417" s="195"/>
      <c r="CS417" s="195"/>
      <c r="CT417" s="195"/>
      <c r="CU417" s="195"/>
      <c r="CV417" s="195"/>
      <c r="CW417" s="195"/>
      <c r="CX417" s="195"/>
      <c r="CY417" s="195"/>
      <c r="CZ417" s="195"/>
      <c r="DA417" s="195"/>
      <c r="DB417" s="195"/>
      <c r="DC417" s="195"/>
      <c r="DD417" s="195"/>
      <c r="DE417" s="195"/>
      <c r="DF417" s="197">
        <v>322</v>
      </c>
      <c r="DG417" s="195"/>
      <c r="DH417" s="195"/>
      <c r="DI417" s="195"/>
      <c r="DJ417" s="195"/>
      <c r="DK417" s="195"/>
      <c r="DL417" s="195"/>
      <c r="DM417" s="195"/>
      <c r="DN417" s="195"/>
      <c r="DO417" s="195"/>
      <c r="DP417" s="195"/>
      <c r="DQ417" s="195"/>
      <c r="DR417" s="195"/>
      <c r="DS417" s="195"/>
      <c r="DT417" s="195"/>
      <c r="DU417" s="195"/>
      <c r="DV417" s="195"/>
      <c r="DW417" s="195"/>
      <c r="DX417" s="197">
        <v>322</v>
      </c>
      <c r="DY417" s="195"/>
      <c r="DZ417" s="195"/>
      <c r="EA417" s="195"/>
      <c r="EB417" s="195"/>
      <c r="EC417" s="195"/>
      <c r="ED417" s="195"/>
      <c r="EE417" s="195"/>
      <c r="EF417" s="195"/>
      <c r="EG417" s="195"/>
      <c r="EH417" s="195"/>
      <c r="EI417" s="195"/>
      <c r="EJ417" s="195"/>
      <c r="EK417" s="195"/>
      <c r="EL417" s="195"/>
      <c r="EM417" s="195"/>
      <c r="EN417" s="195"/>
      <c r="EO417" s="195"/>
      <c r="EP417" s="197">
        <v>322</v>
      </c>
      <c r="EQ417" s="195"/>
      <c r="ER417" s="195"/>
      <c r="ES417" s="195"/>
      <c r="ET417" s="195"/>
      <c r="EU417" s="195"/>
      <c r="EV417" s="195"/>
      <c r="EW417" s="195"/>
      <c r="EX417" s="195"/>
      <c r="EY417" s="195"/>
      <c r="EZ417" s="195"/>
      <c r="FA417" s="195"/>
      <c r="FB417" s="195"/>
      <c r="FC417" s="195"/>
      <c r="FD417" s="195"/>
      <c r="FE417" s="195"/>
      <c r="FF417" s="195"/>
      <c r="FG417" s="195"/>
      <c r="FH417" s="197">
        <v>322</v>
      </c>
      <c r="FI417" s="195"/>
      <c r="FJ417" s="195"/>
      <c r="FK417" s="195"/>
      <c r="FL417" s="195"/>
      <c r="FM417" s="195"/>
      <c r="FN417" s="195"/>
      <c r="FO417" s="195"/>
      <c r="FP417" s="195"/>
      <c r="FQ417" s="195"/>
      <c r="FR417" s="195"/>
      <c r="FS417" s="195"/>
      <c r="FT417" s="195"/>
      <c r="FU417" s="195"/>
      <c r="FV417" s="195"/>
      <c r="FW417" s="195"/>
      <c r="FX417" s="195"/>
      <c r="FY417" s="195"/>
    </row>
    <row r="418" spans="2:181" x14ac:dyDescent="0.25">
      <c r="B418" s="12">
        <v>323</v>
      </c>
      <c r="C418" s="195"/>
      <c r="D418" s="195"/>
      <c r="E418" s="195"/>
      <c r="F418" s="195"/>
      <c r="G418" s="195"/>
      <c r="H418" s="195"/>
      <c r="I418" s="195"/>
      <c r="J418" s="195"/>
      <c r="K418" s="195"/>
      <c r="L418" s="195"/>
      <c r="M418" s="195"/>
      <c r="N418" s="195"/>
      <c r="O418" s="195"/>
      <c r="P418" s="195"/>
      <c r="Q418" s="195"/>
      <c r="R418" s="195"/>
      <c r="S418" s="195"/>
      <c r="T418" s="12">
        <v>323</v>
      </c>
      <c r="U418" s="195"/>
      <c r="V418" s="195"/>
      <c r="W418" s="195"/>
      <c r="X418" s="195"/>
      <c r="Y418" s="195"/>
      <c r="Z418" s="195"/>
      <c r="AA418" s="195"/>
      <c r="AB418" s="195"/>
      <c r="AC418" s="195"/>
      <c r="AD418" s="195"/>
      <c r="AE418" s="195"/>
      <c r="AF418" s="195"/>
      <c r="AG418" s="195"/>
      <c r="AH418" s="195"/>
      <c r="AI418" s="195"/>
      <c r="AJ418" s="195"/>
      <c r="AK418" s="195"/>
      <c r="AL418" s="12">
        <v>323</v>
      </c>
      <c r="AM418" s="195"/>
      <c r="AN418" s="195"/>
      <c r="AO418" s="195"/>
      <c r="AP418" s="195"/>
      <c r="AQ418" s="195"/>
      <c r="AR418" s="195"/>
      <c r="AS418" s="195"/>
      <c r="AT418" s="195"/>
      <c r="AU418" s="195"/>
      <c r="AV418" s="195"/>
      <c r="AW418" s="195"/>
      <c r="AX418" s="195"/>
      <c r="AY418" s="195"/>
      <c r="AZ418" s="195"/>
      <c r="BA418" s="195"/>
      <c r="BB418" s="195"/>
      <c r="BC418" s="195"/>
      <c r="BD418" s="12">
        <v>323</v>
      </c>
      <c r="BE418" s="195"/>
      <c r="BF418" s="195"/>
      <c r="BG418" s="195"/>
      <c r="BH418" s="195"/>
      <c r="BI418" s="195"/>
      <c r="BJ418" s="195"/>
      <c r="BK418" s="195"/>
      <c r="BL418" s="195"/>
      <c r="BM418" s="195"/>
      <c r="BN418" s="195"/>
      <c r="BO418" s="195"/>
      <c r="BP418" s="195"/>
      <c r="BQ418" s="195"/>
      <c r="BR418" s="195"/>
      <c r="BS418" s="195"/>
      <c r="BT418" s="195"/>
      <c r="BU418" s="195"/>
      <c r="BV418" s="12">
        <v>323</v>
      </c>
      <c r="BW418" s="195"/>
      <c r="BX418" s="195"/>
      <c r="BY418" s="195"/>
      <c r="BZ418" s="195"/>
      <c r="CA418" s="195"/>
      <c r="CB418" s="195"/>
      <c r="CC418" s="195"/>
      <c r="CD418" s="195"/>
      <c r="CE418" s="195"/>
      <c r="CF418" s="195"/>
      <c r="CG418" s="195"/>
      <c r="CH418" s="195"/>
      <c r="CI418" s="195"/>
      <c r="CJ418" s="195"/>
      <c r="CK418" s="195"/>
      <c r="CL418" s="195"/>
      <c r="CM418" s="195"/>
      <c r="CN418" s="12">
        <v>323</v>
      </c>
      <c r="CO418" s="195"/>
      <c r="CP418" s="195"/>
      <c r="CQ418" s="195"/>
      <c r="CR418" s="195"/>
      <c r="CS418" s="195"/>
      <c r="CT418" s="195"/>
      <c r="CU418" s="195"/>
      <c r="CV418" s="195"/>
      <c r="CW418" s="195"/>
      <c r="CX418" s="195"/>
      <c r="CY418" s="195"/>
      <c r="CZ418" s="195"/>
      <c r="DA418" s="195"/>
      <c r="DB418" s="195"/>
      <c r="DC418" s="195"/>
      <c r="DD418" s="195"/>
      <c r="DE418" s="195"/>
      <c r="DF418" s="12">
        <v>323</v>
      </c>
      <c r="DG418" s="195"/>
      <c r="DH418" s="195"/>
      <c r="DI418" s="195"/>
      <c r="DJ418" s="195"/>
      <c r="DK418" s="195"/>
      <c r="DL418" s="195"/>
      <c r="DM418" s="195"/>
      <c r="DN418" s="195"/>
      <c r="DO418" s="195"/>
      <c r="DP418" s="195"/>
      <c r="DQ418" s="195"/>
      <c r="DR418" s="195"/>
      <c r="DS418" s="195"/>
      <c r="DT418" s="195"/>
      <c r="DU418" s="195"/>
      <c r="DV418" s="195"/>
      <c r="DW418" s="195"/>
      <c r="DX418" s="12">
        <v>323</v>
      </c>
      <c r="DY418" s="195"/>
      <c r="DZ418" s="195"/>
      <c r="EA418" s="195"/>
      <c r="EB418" s="195"/>
      <c r="EC418" s="195"/>
      <c r="ED418" s="195"/>
      <c r="EE418" s="195"/>
      <c r="EF418" s="195"/>
      <c r="EG418" s="195"/>
      <c r="EH418" s="195"/>
      <c r="EI418" s="195"/>
      <c r="EJ418" s="195"/>
      <c r="EK418" s="195"/>
      <c r="EL418" s="195"/>
      <c r="EM418" s="195"/>
      <c r="EN418" s="195"/>
      <c r="EO418" s="195"/>
      <c r="EP418" s="12">
        <v>323</v>
      </c>
      <c r="EQ418" s="195"/>
      <c r="ER418" s="195"/>
      <c r="ES418" s="195"/>
      <c r="ET418" s="195"/>
      <c r="EU418" s="195"/>
      <c r="EV418" s="195"/>
      <c r="EW418" s="195"/>
      <c r="EX418" s="195"/>
      <c r="EY418" s="195"/>
      <c r="EZ418" s="195"/>
      <c r="FA418" s="195"/>
      <c r="FB418" s="195"/>
      <c r="FC418" s="195"/>
      <c r="FD418" s="195"/>
      <c r="FE418" s="195"/>
      <c r="FF418" s="195"/>
      <c r="FG418" s="195"/>
      <c r="FH418" s="12">
        <v>323</v>
      </c>
      <c r="FI418" s="195"/>
      <c r="FJ418" s="195"/>
      <c r="FK418" s="195"/>
      <c r="FL418" s="195"/>
      <c r="FM418" s="195"/>
      <c r="FN418" s="195"/>
      <c r="FO418" s="195"/>
      <c r="FP418" s="195"/>
      <c r="FQ418" s="195"/>
      <c r="FR418" s="195"/>
      <c r="FS418" s="195"/>
      <c r="FT418" s="195"/>
      <c r="FU418" s="195"/>
      <c r="FV418" s="195"/>
      <c r="FW418" s="195"/>
      <c r="FX418" s="195"/>
      <c r="FY418" s="195"/>
    </row>
    <row r="419" spans="2:181" x14ac:dyDescent="0.25">
      <c r="B419" s="197">
        <v>324</v>
      </c>
      <c r="C419" s="195"/>
      <c r="D419" s="195"/>
      <c r="E419" s="195"/>
      <c r="F419" s="195"/>
      <c r="G419" s="195"/>
      <c r="H419" s="195"/>
      <c r="I419" s="195"/>
      <c r="J419" s="195"/>
      <c r="K419" s="195"/>
      <c r="L419" s="195"/>
      <c r="M419" s="195"/>
      <c r="N419" s="195"/>
      <c r="O419" s="195"/>
      <c r="P419" s="195"/>
      <c r="Q419" s="195"/>
      <c r="R419" s="195"/>
      <c r="S419" s="195"/>
      <c r="T419" s="197">
        <v>324</v>
      </c>
      <c r="U419" s="195"/>
      <c r="V419" s="195"/>
      <c r="W419" s="195"/>
      <c r="X419" s="195"/>
      <c r="Y419" s="195"/>
      <c r="Z419" s="195"/>
      <c r="AA419" s="195"/>
      <c r="AB419" s="195"/>
      <c r="AC419" s="195"/>
      <c r="AD419" s="195"/>
      <c r="AE419" s="195"/>
      <c r="AF419" s="195"/>
      <c r="AG419" s="195"/>
      <c r="AH419" s="195"/>
      <c r="AI419" s="195"/>
      <c r="AJ419" s="195"/>
      <c r="AK419" s="195"/>
      <c r="AL419" s="197">
        <v>324</v>
      </c>
      <c r="AM419" s="195"/>
      <c r="AN419" s="195"/>
      <c r="AO419" s="195"/>
      <c r="AP419" s="195"/>
      <c r="AQ419" s="195"/>
      <c r="AR419" s="195"/>
      <c r="AS419" s="195"/>
      <c r="AT419" s="195"/>
      <c r="AU419" s="195"/>
      <c r="AV419" s="195"/>
      <c r="AW419" s="195"/>
      <c r="AX419" s="195"/>
      <c r="AY419" s="195"/>
      <c r="AZ419" s="195"/>
      <c r="BA419" s="195"/>
      <c r="BB419" s="195"/>
      <c r="BC419" s="195"/>
      <c r="BD419" s="197">
        <v>324</v>
      </c>
      <c r="BE419" s="195"/>
      <c r="BF419" s="195"/>
      <c r="BG419" s="195"/>
      <c r="BH419" s="195"/>
      <c r="BI419" s="195"/>
      <c r="BJ419" s="195"/>
      <c r="BK419" s="195"/>
      <c r="BL419" s="195"/>
      <c r="BM419" s="195"/>
      <c r="BN419" s="195"/>
      <c r="BO419" s="195"/>
      <c r="BP419" s="195"/>
      <c r="BQ419" s="195"/>
      <c r="BR419" s="195"/>
      <c r="BS419" s="195"/>
      <c r="BT419" s="195"/>
      <c r="BU419" s="195"/>
      <c r="BV419" s="197">
        <v>324</v>
      </c>
      <c r="BW419" s="195"/>
      <c r="BX419" s="195"/>
      <c r="BY419" s="195"/>
      <c r="BZ419" s="195"/>
      <c r="CA419" s="195"/>
      <c r="CB419" s="195"/>
      <c r="CC419" s="195"/>
      <c r="CD419" s="195"/>
      <c r="CE419" s="195"/>
      <c r="CF419" s="195"/>
      <c r="CG419" s="195"/>
      <c r="CH419" s="195"/>
      <c r="CI419" s="195"/>
      <c r="CJ419" s="195"/>
      <c r="CK419" s="195"/>
      <c r="CL419" s="195"/>
      <c r="CM419" s="195"/>
      <c r="CN419" s="197">
        <v>324</v>
      </c>
      <c r="CO419" s="195"/>
      <c r="CP419" s="195"/>
      <c r="CQ419" s="195"/>
      <c r="CR419" s="195"/>
      <c r="CS419" s="195"/>
      <c r="CT419" s="195"/>
      <c r="CU419" s="195"/>
      <c r="CV419" s="195"/>
      <c r="CW419" s="195"/>
      <c r="CX419" s="195"/>
      <c r="CY419" s="195"/>
      <c r="CZ419" s="195"/>
      <c r="DA419" s="195"/>
      <c r="DB419" s="195"/>
      <c r="DC419" s="195"/>
      <c r="DD419" s="195"/>
      <c r="DE419" s="195"/>
      <c r="DF419" s="197">
        <v>324</v>
      </c>
      <c r="DG419" s="195"/>
      <c r="DH419" s="195"/>
      <c r="DI419" s="195"/>
      <c r="DJ419" s="195"/>
      <c r="DK419" s="195"/>
      <c r="DL419" s="195"/>
      <c r="DM419" s="195"/>
      <c r="DN419" s="195"/>
      <c r="DO419" s="195"/>
      <c r="DP419" s="195"/>
      <c r="DQ419" s="195"/>
      <c r="DR419" s="195"/>
      <c r="DS419" s="195"/>
      <c r="DT419" s="195"/>
      <c r="DU419" s="195"/>
      <c r="DV419" s="195"/>
      <c r="DW419" s="195"/>
      <c r="DX419" s="197">
        <v>324</v>
      </c>
      <c r="DY419" s="195"/>
      <c r="DZ419" s="195"/>
      <c r="EA419" s="195"/>
      <c r="EB419" s="195"/>
      <c r="EC419" s="195"/>
      <c r="ED419" s="195"/>
      <c r="EE419" s="195"/>
      <c r="EF419" s="195"/>
      <c r="EG419" s="195"/>
      <c r="EH419" s="195"/>
      <c r="EI419" s="195"/>
      <c r="EJ419" s="195"/>
      <c r="EK419" s="195"/>
      <c r="EL419" s="195"/>
      <c r="EM419" s="195"/>
      <c r="EN419" s="195"/>
      <c r="EO419" s="195"/>
      <c r="EP419" s="197">
        <v>324</v>
      </c>
      <c r="EQ419" s="195"/>
      <c r="ER419" s="195"/>
      <c r="ES419" s="195"/>
      <c r="ET419" s="195"/>
      <c r="EU419" s="195"/>
      <c r="EV419" s="195"/>
      <c r="EW419" s="195"/>
      <c r="EX419" s="195"/>
      <c r="EY419" s="195"/>
      <c r="EZ419" s="195"/>
      <c r="FA419" s="195"/>
      <c r="FB419" s="195"/>
      <c r="FC419" s="195"/>
      <c r="FD419" s="195"/>
      <c r="FE419" s="195"/>
      <c r="FF419" s="195"/>
      <c r="FG419" s="195"/>
      <c r="FH419" s="197">
        <v>324</v>
      </c>
      <c r="FI419" s="195"/>
      <c r="FJ419" s="195"/>
      <c r="FK419" s="195"/>
      <c r="FL419" s="195"/>
      <c r="FM419" s="195"/>
      <c r="FN419" s="195"/>
      <c r="FO419" s="195"/>
      <c r="FP419" s="195"/>
      <c r="FQ419" s="195"/>
      <c r="FR419" s="195"/>
      <c r="FS419" s="195"/>
      <c r="FT419" s="195"/>
      <c r="FU419" s="195"/>
      <c r="FV419" s="195"/>
      <c r="FW419" s="195"/>
      <c r="FX419" s="195"/>
      <c r="FY419" s="195"/>
    </row>
    <row r="420" spans="2:181" x14ac:dyDescent="0.25">
      <c r="B420" s="12">
        <v>325</v>
      </c>
      <c r="C420" s="195"/>
      <c r="D420" s="195"/>
      <c r="E420" s="195"/>
      <c r="F420" s="195"/>
      <c r="G420" s="195"/>
      <c r="H420" s="195"/>
      <c r="I420" s="195"/>
      <c r="J420" s="195"/>
      <c r="K420" s="195"/>
      <c r="L420" s="195"/>
      <c r="M420" s="195"/>
      <c r="N420" s="195"/>
      <c r="O420" s="195"/>
      <c r="P420" s="195"/>
      <c r="Q420" s="195"/>
      <c r="R420" s="195"/>
      <c r="S420" s="195"/>
      <c r="T420" s="12">
        <v>325</v>
      </c>
      <c r="U420" s="195"/>
      <c r="V420" s="195"/>
      <c r="W420" s="195"/>
      <c r="X420" s="195"/>
      <c r="Y420" s="195"/>
      <c r="Z420" s="195"/>
      <c r="AA420" s="195"/>
      <c r="AB420" s="195"/>
      <c r="AC420" s="195"/>
      <c r="AD420" s="195"/>
      <c r="AE420" s="195"/>
      <c r="AF420" s="195"/>
      <c r="AG420" s="195"/>
      <c r="AH420" s="195"/>
      <c r="AI420" s="195"/>
      <c r="AJ420" s="195"/>
      <c r="AK420" s="195"/>
      <c r="AL420" s="12">
        <v>325</v>
      </c>
      <c r="AM420" s="195"/>
      <c r="AN420" s="195"/>
      <c r="AO420" s="195"/>
      <c r="AP420" s="195"/>
      <c r="AQ420" s="195"/>
      <c r="AR420" s="195"/>
      <c r="AS420" s="195"/>
      <c r="AT420" s="195"/>
      <c r="AU420" s="195"/>
      <c r="AV420" s="195"/>
      <c r="AW420" s="195"/>
      <c r="AX420" s="195"/>
      <c r="AY420" s="195"/>
      <c r="AZ420" s="195"/>
      <c r="BA420" s="195"/>
      <c r="BB420" s="195"/>
      <c r="BC420" s="195"/>
      <c r="BD420" s="12">
        <v>325</v>
      </c>
      <c r="BE420" s="195"/>
      <c r="BF420" s="195"/>
      <c r="BG420" s="195"/>
      <c r="BH420" s="195"/>
      <c r="BI420" s="195"/>
      <c r="BJ420" s="195"/>
      <c r="BK420" s="195"/>
      <c r="BL420" s="195"/>
      <c r="BM420" s="195"/>
      <c r="BN420" s="195"/>
      <c r="BO420" s="195"/>
      <c r="BP420" s="195"/>
      <c r="BQ420" s="195"/>
      <c r="BR420" s="195"/>
      <c r="BS420" s="195"/>
      <c r="BT420" s="195"/>
      <c r="BU420" s="195"/>
      <c r="BV420" s="12">
        <v>325</v>
      </c>
      <c r="BW420" s="195"/>
      <c r="BX420" s="195"/>
      <c r="BY420" s="195"/>
      <c r="BZ420" s="195"/>
      <c r="CA420" s="195"/>
      <c r="CB420" s="195"/>
      <c r="CC420" s="195"/>
      <c r="CD420" s="195"/>
      <c r="CE420" s="195"/>
      <c r="CF420" s="195"/>
      <c r="CG420" s="195"/>
      <c r="CH420" s="195"/>
      <c r="CI420" s="195"/>
      <c r="CJ420" s="195"/>
      <c r="CK420" s="195"/>
      <c r="CL420" s="195"/>
      <c r="CM420" s="195"/>
      <c r="CN420" s="12">
        <v>325</v>
      </c>
      <c r="CO420" s="195"/>
      <c r="CP420" s="195"/>
      <c r="CQ420" s="195"/>
      <c r="CR420" s="195"/>
      <c r="CS420" s="195"/>
      <c r="CT420" s="195"/>
      <c r="CU420" s="195"/>
      <c r="CV420" s="195"/>
      <c r="CW420" s="195"/>
      <c r="CX420" s="195"/>
      <c r="CY420" s="195"/>
      <c r="CZ420" s="195"/>
      <c r="DA420" s="195"/>
      <c r="DB420" s="195"/>
      <c r="DC420" s="195"/>
      <c r="DD420" s="195"/>
      <c r="DE420" s="195"/>
      <c r="DF420" s="12">
        <v>325</v>
      </c>
      <c r="DG420" s="195"/>
      <c r="DH420" s="195"/>
      <c r="DI420" s="195"/>
      <c r="DJ420" s="195"/>
      <c r="DK420" s="195"/>
      <c r="DL420" s="195"/>
      <c r="DM420" s="195"/>
      <c r="DN420" s="195"/>
      <c r="DO420" s="195"/>
      <c r="DP420" s="195"/>
      <c r="DQ420" s="195"/>
      <c r="DR420" s="195"/>
      <c r="DS420" s="195"/>
      <c r="DT420" s="195"/>
      <c r="DU420" s="195"/>
      <c r="DV420" s="195"/>
      <c r="DW420" s="195"/>
      <c r="DX420" s="12">
        <v>325</v>
      </c>
      <c r="DY420" s="195"/>
      <c r="DZ420" s="195"/>
      <c r="EA420" s="195"/>
      <c r="EB420" s="195"/>
      <c r="EC420" s="195"/>
      <c r="ED420" s="195"/>
      <c r="EE420" s="195"/>
      <c r="EF420" s="195"/>
      <c r="EG420" s="195"/>
      <c r="EH420" s="195"/>
      <c r="EI420" s="195"/>
      <c r="EJ420" s="195"/>
      <c r="EK420" s="195"/>
      <c r="EL420" s="195"/>
      <c r="EM420" s="195"/>
      <c r="EN420" s="195"/>
      <c r="EO420" s="195"/>
      <c r="EP420" s="12">
        <v>325</v>
      </c>
      <c r="EQ420" s="195"/>
      <c r="ER420" s="195"/>
      <c r="ES420" s="195"/>
      <c r="ET420" s="195"/>
      <c r="EU420" s="195"/>
      <c r="EV420" s="195"/>
      <c r="EW420" s="195"/>
      <c r="EX420" s="195"/>
      <c r="EY420" s="195"/>
      <c r="EZ420" s="195"/>
      <c r="FA420" s="195"/>
      <c r="FB420" s="195"/>
      <c r="FC420" s="195"/>
      <c r="FD420" s="195"/>
      <c r="FE420" s="195"/>
      <c r="FF420" s="195"/>
      <c r="FG420" s="195"/>
      <c r="FH420" s="12">
        <v>325</v>
      </c>
      <c r="FI420" s="195"/>
      <c r="FJ420" s="195"/>
      <c r="FK420" s="195"/>
      <c r="FL420" s="195"/>
      <c r="FM420" s="195"/>
      <c r="FN420" s="195"/>
      <c r="FO420" s="195"/>
      <c r="FP420" s="195"/>
      <c r="FQ420" s="195"/>
      <c r="FR420" s="195"/>
      <c r="FS420" s="195"/>
      <c r="FT420" s="195"/>
      <c r="FU420" s="195"/>
      <c r="FV420" s="195"/>
      <c r="FW420" s="195"/>
      <c r="FX420" s="195"/>
      <c r="FY420" s="195"/>
    </row>
    <row r="421" spans="2:181" x14ac:dyDescent="0.25">
      <c r="B421" s="197">
        <v>326</v>
      </c>
      <c r="C421" s="195"/>
      <c r="D421" s="195"/>
      <c r="E421" s="195"/>
      <c r="F421" s="195"/>
      <c r="G421" s="195"/>
      <c r="H421" s="195"/>
      <c r="I421" s="195"/>
      <c r="J421" s="195"/>
      <c r="K421" s="195"/>
      <c r="L421" s="195"/>
      <c r="M421" s="195"/>
      <c r="N421" s="195"/>
      <c r="O421" s="195"/>
      <c r="P421" s="195"/>
      <c r="Q421" s="195"/>
      <c r="R421" s="195"/>
      <c r="S421" s="195"/>
      <c r="T421" s="197">
        <v>326</v>
      </c>
      <c r="U421" s="195"/>
      <c r="V421" s="195"/>
      <c r="W421" s="195"/>
      <c r="X421" s="195"/>
      <c r="Y421" s="195"/>
      <c r="Z421" s="195"/>
      <c r="AA421" s="195"/>
      <c r="AB421" s="195"/>
      <c r="AC421" s="195"/>
      <c r="AD421" s="195"/>
      <c r="AE421" s="195"/>
      <c r="AF421" s="195"/>
      <c r="AG421" s="195"/>
      <c r="AH421" s="195"/>
      <c r="AI421" s="195"/>
      <c r="AJ421" s="195"/>
      <c r="AK421" s="195"/>
      <c r="AL421" s="197">
        <v>326</v>
      </c>
      <c r="AM421" s="195"/>
      <c r="AN421" s="195"/>
      <c r="AO421" s="195"/>
      <c r="AP421" s="195"/>
      <c r="AQ421" s="195"/>
      <c r="AR421" s="195"/>
      <c r="AS421" s="195"/>
      <c r="AT421" s="195"/>
      <c r="AU421" s="195"/>
      <c r="AV421" s="195"/>
      <c r="AW421" s="195"/>
      <c r="AX421" s="195"/>
      <c r="AY421" s="195"/>
      <c r="AZ421" s="195"/>
      <c r="BA421" s="195"/>
      <c r="BB421" s="195"/>
      <c r="BC421" s="195"/>
      <c r="BD421" s="197">
        <v>326</v>
      </c>
      <c r="BE421" s="195"/>
      <c r="BF421" s="195"/>
      <c r="BG421" s="195"/>
      <c r="BH421" s="195"/>
      <c r="BI421" s="195"/>
      <c r="BJ421" s="195"/>
      <c r="BK421" s="195"/>
      <c r="BL421" s="195"/>
      <c r="BM421" s="195"/>
      <c r="BN421" s="195"/>
      <c r="BO421" s="195"/>
      <c r="BP421" s="195"/>
      <c r="BQ421" s="195"/>
      <c r="BR421" s="195"/>
      <c r="BS421" s="195"/>
      <c r="BT421" s="195"/>
      <c r="BU421" s="195"/>
      <c r="BV421" s="197">
        <v>326</v>
      </c>
      <c r="BW421" s="195"/>
      <c r="BX421" s="195"/>
      <c r="BY421" s="195"/>
      <c r="BZ421" s="195"/>
      <c r="CA421" s="195"/>
      <c r="CB421" s="195"/>
      <c r="CC421" s="195"/>
      <c r="CD421" s="195"/>
      <c r="CE421" s="195"/>
      <c r="CF421" s="195"/>
      <c r="CG421" s="195"/>
      <c r="CH421" s="195"/>
      <c r="CI421" s="195"/>
      <c r="CJ421" s="195"/>
      <c r="CK421" s="195"/>
      <c r="CL421" s="195"/>
      <c r="CM421" s="195"/>
      <c r="CN421" s="197">
        <v>326</v>
      </c>
      <c r="CO421" s="195"/>
      <c r="CP421" s="195"/>
      <c r="CQ421" s="195"/>
      <c r="CR421" s="195"/>
      <c r="CS421" s="195"/>
      <c r="CT421" s="195"/>
      <c r="CU421" s="195"/>
      <c r="CV421" s="195"/>
      <c r="CW421" s="195"/>
      <c r="CX421" s="195"/>
      <c r="CY421" s="195"/>
      <c r="CZ421" s="195"/>
      <c r="DA421" s="195"/>
      <c r="DB421" s="195"/>
      <c r="DC421" s="195"/>
      <c r="DD421" s="195"/>
      <c r="DE421" s="195"/>
      <c r="DF421" s="197">
        <v>326</v>
      </c>
      <c r="DG421" s="195"/>
      <c r="DH421" s="195"/>
      <c r="DI421" s="195"/>
      <c r="DJ421" s="195"/>
      <c r="DK421" s="195"/>
      <c r="DL421" s="195"/>
      <c r="DM421" s="195"/>
      <c r="DN421" s="195"/>
      <c r="DO421" s="195"/>
      <c r="DP421" s="195"/>
      <c r="DQ421" s="195"/>
      <c r="DR421" s="195"/>
      <c r="DS421" s="195"/>
      <c r="DT421" s="195"/>
      <c r="DU421" s="195"/>
      <c r="DV421" s="195"/>
      <c r="DW421" s="195"/>
      <c r="DX421" s="197">
        <v>326</v>
      </c>
      <c r="DY421" s="195"/>
      <c r="DZ421" s="195"/>
      <c r="EA421" s="195"/>
      <c r="EB421" s="195"/>
      <c r="EC421" s="195"/>
      <c r="ED421" s="195"/>
      <c r="EE421" s="195"/>
      <c r="EF421" s="195"/>
      <c r="EG421" s="195"/>
      <c r="EH421" s="195"/>
      <c r="EI421" s="195"/>
      <c r="EJ421" s="195"/>
      <c r="EK421" s="195"/>
      <c r="EL421" s="195"/>
      <c r="EM421" s="195"/>
      <c r="EN421" s="195"/>
      <c r="EO421" s="195"/>
      <c r="EP421" s="197">
        <v>326</v>
      </c>
      <c r="EQ421" s="195"/>
      <c r="ER421" s="195"/>
      <c r="ES421" s="195"/>
      <c r="ET421" s="195"/>
      <c r="EU421" s="195"/>
      <c r="EV421" s="195"/>
      <c r="EW421" s="195"/>
      <c r="EX421" s="195"/>
      <c r="EY421" s="195"/>
      <c r="EZ421" s="195"/>
      <c r="FA421" s="195"/>
      <c r="FB421" s="195"/>
      <c r="FC421" s="195"/>
      <c r="FD421" s="195"/>
      <c r="FE421" s="195"/>
      <c r="FF421" s="195"/>
      <c r="FG421" s="195"/>
      <c r="FH421" s="197">
        <v>326</v>
      </c>
      <c r="FI421" s="195"/>
      <c r="FJ421" s="195"/>
      <c r="FK421" s="195"/>
      <c r="FL421" s="195"/>
      <c r="FM421" s="195"/>
      <c r="FN421" s="195"/>
      <c r="FO421" s="195"/>
      <c r="FP421" s="195"/>
      <c r="FQ421" s="195"/>
      <c r="FR421" s="195"/>
      <c r="FS421" s="195"/>
      <c r="FT421" s="195"/>
      <c r="FU421" s="195"/>
      <c r="FV421" s="195"/>
      <c r="FW421" s="195"/>
      <c r="FX421" s="195"/>
      <c r="FY421" s="195"/>
    </row>
    <row r="422" spans="2:181" x14ac:dyDescent="0.25">
      <c r="B422" s="12">
        <v>327</v>
      </c>
      <c r="C422" s="195"/>
      <c r="D422" s="195"/>
      <c r="E422" s="195"/>
      <c r="F422" s="195"/>
      <c r="G422" s="195"/>
      <c r="H422" s="195"/>
      <c r="I422" s="195"/>
      <c r="J422" s="195"/>
      <c r="K422" s="195"/>
      <c r="L422" s="195"/>
      <c r="M422" s="195"/>
      <c r="N422" s="195"/>
      <c r="O422" s="195"/>
      <c r="P422" s="195"/>
      <c r="Q422" s="195"/>
      <c r="R422" s="195"/>
      <c r="S422" s="195"/>
      <c r="T422" s="12">
        <v>327</v>
      </c>
      <c r="U422" s="195"/>
      <c r="V422" s="195"/>
      <c r="W422" s="195"/>
      <c r="X422" s="195"/>
      <c r="Y422" s="195"/>
      <c r="Z422" s="195"/>
      <c r="AA422" s="195"/>
      <c r="AB422" s="195"/>
      <c r="AC422" s="195"/>
      <c r="AD422" s="195"/>
      <c r="AE422" s="195"/>
      <c r="AF422" s="195"/>
      <c r="AG422" s="195"/>
      <c r="AH422" s="195"/>
      <c r="AI422" s="195"/>
      <c r="AJ422" s="195"/>
      <c r="AK422" s="195"/>
      <c r="AL422" s="12">
        <v>327</v>
      </c>
      <c r="AM422" s="195"/>
      <c r="AN422" s="195"/>
      <c r="AO422" s="195"/>
      <c r="AP422" s="195"/>
      <c r="AQ422" s="195"/>
      <c r="AR422" s="195"/>
      <c r="AS422" s="195"/>
      <c r="AT422" s="195"/>
      <c r="AU422" s="195"/>
      <c r="AV422" s="195"/>
      <c r="AW422" s="195"/>
      <c r="AX422" s="195"/>
      <c r="AY422" s="195"/>
      <c r="AZ422" s="195"/>
      <c r="BA422" s="195"/>
      <c r="BB422" s="195"/>
      <c r="BC422" s="195"/>
      <c r="BD422" s="12">
        <v>327</v>
      </c>
      <c r="BE422" s="195"/>
      <c r="BF422" s="195"/>
      <c r="BG422" s="195"/>
      <c r="BH422" s="195"/>
      <c r="BI422" s="195"/>
      <c r="BJ422" s="195"/>
      <c r="BK422" s="195"/>
      <c r="BL422" s="195"/>
      <c r="BM422" s="195"/>
      <c r="BN422" s="195"/>
      <c r="BO422" s="195"/>
      <c r="BP422" s="195"/>
      <c r="BQ422" s="195"/>
      <c r="BR422" s="195"/>
      <c r="BS422" s="195"/>
      <c r="BT422" s="195"/>
      <c r="BU422" s="195"/>
      <c r="BV422" s="12">
        <v>327</v>
      </c>
      <c r="BW422" s="195"/>
      <c r="BX422" s="195"/>
      <c r="BY422" s="195"/>
      <c r="BZ422" s="195"/>
      <c r="CA422" s="195"/>
      <c r="CB422" s="195"/>
      <c r="CC422" s="195"/>
      <c r="CD422" s="195"/>
      <c r="CE422" s="195"/>
      <c r="CF422" s="195"/>
      <c r="CG422" s="195"/>
      <c r="CH422" s="195"/>
      <c r="CI422" s="195"/>
      <c r="CJ422" s="195"/>
      <c r="CK422" s="195"/>
      <c r="CL422" s="195"/>
      <c r="CM422" s="195"/>
      <c r="CN422" s="12">
        <v>327</v>
      </c>
      <c r="CO422" s="195"/>
      <c r="CP422" s="195"/>
      <c r="CQ422" s="195"/>
      <c r="CR422" s="195"/>
      <c r="CS422" s="195"/>
      <c r="CT422" s="195"/>
      <c r="CU422" s="195"/>
      <c r="CV422" s="195"/>
      <c r="CW422" s="195"/>
      <c r="CX422" s="195"/>
      <c r="CY422" s="195"/>
      <c r="CZ422" s="195"/>
      <c r="DA422" s="195"/>
      <c r="DB422" s="195"/>
      <c r="DC422" s="195"/>
      <c r="DD422" s="195"/>
      <c r="DE422" s="195"/>
      <c r="DF422" s="12">
        <v>327</v>
      </c>
      <c r="DG422" s="195"/>
      <c r="DH422" s="195"/>
      <c r="DI422" s="195"/>
      <c r="DJ422" s="195"/>
      <c r="DK422" s="195"/>
      <c r="DL422" s="195"/>
      <c r="DM422" s="195"/>
      <c r="DN422" s="195"/>
      <c r="DO422" s="195"/>
      <c r="DP422" s="195"/>
      <c r="DQ422" s="195"/>
      <c r="DR422" s="195"/>
      <c r="DS422" s="195"/>
      <c r="DT422" s="195"/>
      <c r="DU422" s="195"/>
      <c r="DV422" s="195"/>
      <c r="DW422" s="195"/>
      <c r="DX422" s="12">
        <v>327</v>
      </c>
      <c r="DY422" s="195"/>
      <c r="DZ422" s="195"/>
      <c r="EA422" s="195"/>
      <c r="EB422" s="195"/>
      <c r="EC422" s="195"/>
      <c r="ED422" s="195"/>
      <c r="EE422" s="195"/>
      <c r="EF422" s="195"/>
      <c r="EG422" s="195"/>
      <c r="EH422" s="195"/>
      <c r="EI422" s="195"/>
      <c r="EJ422" s="195"/>
      <c r="EK422" s="195"/>
      <c r="EL422" s="195"/>
      <c r="EM422" s="195"/>
      <c r="EN422" s="195"/>
      <c r="EO422" s="195"/>
      <c r="EP422" s="12">
        <v>327</v>
      </c>
      <c r="EQ422" s="195"/>
      <c r="ER422" s="195"/>
      <c r="ES422" s="195"/>
      <c r="ET422" s="195"/>
      <c r="EU422" s="195"/>
      <c r="EV422" s="195"/>
      <c r="EW422" s="195"/>
      <c r="EX422" s="195"/>
      <c r="EY422" s="195"/>
      <c r="EZ422" s="195"/>
      <c r="FA422" s="195"/>
      <c r="FB422" s="195"/>
      <c r="FC422" s="195"/>
      <c r="FD422" s="195"/>
      <c r="FE422" s="195"/>
      <c r="FF422" s="195"/>
      <c r="FG422" s="195"/>
      <c r="FH422" s="12">
        <v>327</v>
      </c>
      <c r="FI422" s="195"/>
      <c r="FJ422" s="195"/>
      <c r="FK422" s="195"/>
      <c r="FL422" s="195"/>
      <c r="FM422" s="195"/>
      <c r="FN422" s="195"/>
      <c r="FO422" s="195"/>
      <c r="FP422" s="195"/>
      <c r="FQ422" s="195"/>
      <c r="FR422" s="195"/>
      <c r="FS422" s="195"/>
      <c r="FT422" s="195"/>
      <c r="FU422" s="195"/>
      <c r="FV422" s="195"/>
      <c r="FW422" s="195"/>
      <c r="FX422" s="195"/>
      <c r="FY422" s="195"/>
    </row>
    <row r="423" spans="2:181" x14ac:dyDescent="0.25">
      <c r="B423" s="197">
        <v>328</v>
      </c>
      <c r="C423" s="195"/>
      <c r="D423" s="195"/>
      <c r="E423" s="195"/>
      <c r="F423" s="195"/>
      <c r="G423" s="195"/>
      <c r="H423" s="195"/>
      <c r="I423" s="195"/>
      <c r="J423" s="195"/>
      <c r="K423" s="195"/>
      <c r="L423" s="195"/>
      <c r="M423" s="195"/>
      <c r="N423" s="195"/>
      <c r="O423" s="195"/>
      <c r="P423" s="195"/>
      <c r="Q423" s="195"/>
      <c r="R423" s="195"/>
      <c r="S423" s="195"/>
      <c r="T423" s="197">
        <v>328</v>
      </c>
      <c r="U423" s="195"/>
      <c r="V423" s="195"/>
      <c r="W423" s="195"/>
      <c r="X423" s="195"/>
      <c r="Y423" s="195"/>
      <c r="Z423" s="195"/>
      <c r="AA423" s="195"/>
      <c r="AB423" s="195"/>
      <c r="AC423" s="195"/>
      <c r="AD423" s="195"/>
      <c r="AE423" s="195"/>
      <c r="AF423" s="195"/>
      <c r="AG423" s="195"/>
      <c r="AH423" s="195"/>
      <c r="AI423" s="195"/>
      <c r="AJ423" s="195"/>
      <c r="AK423" s="195"/>
      <c r="AL423" s="197">
        <v>328</v>
      </c>
      <c r="AM423" s="195"/>
      <c r="AN423" s="195"/>
      <c r="AO423" s="195"/>
      <c r="AP423" s="195"/>
      <c r="AQ423" s="195"/>
      <c r="AR423" s="195"/>
      <c r="AS423" s="195"/>
      <c r="AT423" s="195"/>
      <c r="AU423" s="195"/>
      <c r="AV423" s="195"/>
      <c r="AW423" s="195"/>
      <c r="AX423" s="195"/>
      <c r="AY423" s="195"/>
      <c r="AZ423" s="195"/>
      <c r="BA423" s="195"/>
      <c r="BB423" s="195"/>
      <c r="BC423" s="195"/>
      <c r="BD423" s="197">
        <v>328</v>
      </c>
      <c r="BE423" s="195"/>
      <c r="BF423" s="195"/>
      <c r="BG423" s="195"/>
      <c r="BH423" s="195"/>
      <c r="BI423" s="195"/>
      <c r="BJ423" s="195"/>
      <c r="BK423" s="195"/>
      <c r="BL423" s="195"/>
      <c r="BM423" s="195"/>
      <c r="BN423" s="195"/>
      <c r="BO423" s="195"/>
      <c r="BP423" s="195"/>
      <c r="BQ423" s="195"/>
      <c r="BR423" s="195"/>
      <c r="BS423" s="195"/>
      <c r="BT423" s="195"/>
      <c r="BU423" s="195"/>
      <c r="BV423" s="197">
        <v>328</v>
      </c>
      <c r="BW423" s="195"/>
      <c r="BX423" s="195"/>
      <c r="BY423" s="195"/>
      <c r="BZ423" s="195"/>
      <c r="CA423" s="195"/>
      <c r="CB423" s="195"/>
      <c r="CC423" s="195"/>
      <c r="CD423" s="195"/>
      <c r="CE423" s="195"/>
      <c r="CF423" s="195"/>
      <c r="CG423" s="195"/>
      <c r="CH423" s="195"/>
      <c r="CI423" s="195"/>
      <c r="CJ423" s="195"/>
      <c r="CK423" s="195"/>
      <c r="CL423" s="195"/>
      <c r="CM423" s="195"/>
      <c r="CN423" s="197">
        <v>328</v>
      </c>
      <c r="CO423" s="195"/>
      <c r="CP423" s="195"/>
      <c r="CQ423" s="195"/>
      <c r="CR423" s="195"/>
      <c r="CS423" s="195"/>
      <c r="CT423" s="195"/>
      <c r="CU423" s="195"/>
      <c r="CV423" s="195"/>
      <c r="CW423" s="195"/>
      <c r="CX423" s="195"/>
      <c r="CY423" s="195"/>
      <c r="CZ423" s="195"/>
      <c r="DA423" s="195"/>
      <c r="DB423" s="195"/>
      <c r="DC423" s="195"/>
      <c r="DD423" s="195"/>
      <c r="DE423" s="195"/>
      <c r="DF423" s="197">
        <v>328</v>
      </c>
      <c r="DG423" s="195"/>
      <c r="DH423" s="195"/>
      <c r="DI423" s="195"/>
      <c r="DJ423" s="195"/>
      <c r="DK423" s="195"/>
      <c r="DL423" s="195"/>
      <c r="DM423" s="195"/>
      <c r="DN423" s="195"/>
      <c r="DO423" s="195"/>
      <c r="DP423" s="195"/>
      <c r="DQ423" s="195"/>
      <c r="DR423" s="195"/>
      <c r="DS423" s="195"/>
      <c r="DT423" s="195"/>
      <c r="DU423" s="195"/>
      <c r="DV423" s="195"/>
      <c r="DW423" s="195"/>
      <c r="DX423" s="197">
        <v>328</v>
      </c>
      <c r="DY423" s="195"/>
      <c r="DZ423" s="195"/>
      <c r="EA423" s="195"/>
      <c r="EB423" s="195"/>
      <c r="EC423" s="195"/>
      <c r="ED423" s="195"/>
      <c r="EE423" s="195"/>
      <c r="EF423" s="195"/>
      <c r="EG423" s="195"/>
      <c r="EH423" s="195"/>
      <c r="EI423" s="195"/>
      <c r="EJ423" s="195"/>
      <c r="EK423" s="195"/>
      <c r="EL423" s="195"/>
      <c r="EM423" s="195"/>
      <c r="EN423" s="195"/>
      <c r="EO423" s="195"/>
      <c r="EP423" s="197">
        <v>328</v>
      </c>
      <c r="EQ423" s="195"/>
      <c r="ER423" s="195"/>
      <c r="ES423" s="195"/>
      <c r="ET423" s="195"/>
      <c r="EU423" s="195"/>
      <c r="EV423" s="195"/>
      <c r="EW423" s="195"/>
      <c r="EX423" s="195"/>
      <c r="EY423" s="195"/>
      <c r="EZ423" s="195"/>
      <c r="FA423" s="195"/>
      <c r="FB423" s="195"/>
      <c r="FC423" s="195"/>
      <c r="FD423" s="195"/>
      <c r="FE423" s="195"/>
      <c r="FF423" s="195"/>
      <c r="FG423" s="195"/>
      <c r="FH423" s="197">
        <v>328</v>
      </c>
      <c r="FI423" s="195"/>
      <c r="FJ423" s="195"/>
      <c r="FK423" s="195"/>
      <c r="FL423" s="195"/>
      <c r="FM423" s="195"/>
      <c r="FN423" s="195"/>
      <c r="FO423" s="195"/>
      <c r="FP423" s="195"/>
      <c r="FQ423" s="195"/>
      <c r="FR423" s="195"/>
      <c r="FS423" s="195"/>
      <c r="FT423" s="195"/>
      <c r="FU423" s="195"/>
      <c r="FV423" s="195"/>
      <c r="FW423" s="195"/>
      <c r="FX423" s="195"/>
      <c r="FY423" s="195"/>
    </row>
    <row r="424" spans="2:181" x14ac:dyDescent="0.25">
      <c r="B424" s="12">
        <v>329</v>
      </c>
      <c r="C424" s="195"/>
      <c r="D424" s="195"/>
      <c r="E424" s="195"/>
      <c r="F424" s="195"/>
      <c r="G424" s="195"/>
      <c r="H424" s="195"/>
      <c r="I424" s="195"/>
      <c r="J424" s="195"/>
      <c r="K424" s="195"/>
      <c r="L424" s="195"/>
      <c r="M424" s="195"/>
      <c r="N424" s="195"/>
      <c r="O424" s="195"/>
      <c r="P424" s="195"/>
      <c r="Q424" s="195"/>
      <c r="R424" s="195"/>
      <c r="S424" s="195"/>
      <c r="T424" s="12">
        <v>329</v>
      </c>
      <c r="U424" s="195"/>
      <c r="V424" s="195"/>
      <c r="W424" s="195"/>
      <c r="X424" s="195"/>
      <c r="Y424" s="195"/>
      <c r="Z424" s="195"/>
      <c r="AA424" s="195"/>
      <c r="AB424" s="195"/>
      <c r="AC424" s="195"/>
      <c r="AD424" s="195"/>
      <c r="AE424" s="195"/>
      <c r="AF424" s="195"/>
      <c r="AG424" s="195"/>
      <c r="AH424" s="195"/>
      <c r="AI424" s="195"/>
      <c r="AJ424" s="195"/>
      <c r="AK424" s="195"/>
      <c r="AL424" s="12">
        <v>329</v>
      </c>
      <c r="AM424" s="195"/>
      <c r="AN424" s="195"/>
      <c r="AO424" s="195"/>
      <c r="AP424" s="195"/>
      <c r="AQ424" s="195"/>
      <c r="AR424" s="195"/>
      <c r="AS424" s="195"/>
      <c r="AT424" s="195"/>
      <c r="AU424" s="195"/>
      <c r="AV424" s="195"/>
      <c r="AW424" s="195"/>
      <c r="AX424" s="195"/>
      <c r="AY424" s="195"/>
      <c r="AZ424" s="195"/>
      <c r="BA424" s="195"/>
      <c r="BB424" s="195"/>
      <c r="BC424" s="195"/>
      <c r="BD424" s="12">
        <v>329</v>
      </c>
      <c r="BE424" s="195"/>
      <c r="BF424" s="195"/>
      <c r="BG424" s="195"/>
      <c r="BH424" s="195"/>
      <c r="BI424" s="195"/>
      <c r="BJ424" s="195"/>
      <c r="BK424" s="195"/>
      <c r="BL424" s="195"/>
      <c r="BM424" s="195"/>
      <c r="BN424" s="195"/>
      <c r="BO424" s="195"/>
      <c r="BP424" s="195"/>
      <c r="BQ424" s="195"/>
      <c r="BR424" s="195"/>
      <c r="BS424" s="195"/>
      <c r="BT424" s="195"/>
      <c r="BU424" s="195"/>
      <c r="BV424" s="12">
        <v>329</v>
      </c>
      <c r="BW424" s="195"/>
      <c r="BX424" s="195"/>
      <c r="BY424" s="195"/>
      <c r="BZ424" s="195"/>
      <c r="CA424" s="195"/>
      <c r="CB424" s="195"/>
      <c r="CC424" s="195"/>
      <c r="CD424" s="195"/>
      <c r="CE424" s="195"/>
      <c r="CF424" s="195"/>
      <c r="CG424" s="195"/>
      <c r="CH424" s="195"/>
      <c r="CI424" s="195"/>
      <c r="CJ424" s="195"/>
      <c r="CK424" s="195"/>
      <c r="CL424" s="195"/>
      <c r="CM424" s="195"/>
      <c r="CN424" s="12">
        <v>329</v>
      </c>
      <c r="CO424" s="195"/>
      <c r="CP424" s="195"/>
      <c r="CQ424" s="195"/>
      <c r="CR424" s="195"/>
      <c r="CS424" s="195"/>
      <c r="CT424" s="195"/>
      <c r="CU424" s="195"/>
      <c r="CV424" s="195"/>
      <c r="CW424" s="195"/>
      <c r="CX424" s="195"/>
      <c r="CY424" s="195"/>
      <c r="CZ424" s="195"/>
      <c r="DA424" s="195"/>
      <c r="DB424" s="195"/>
      <c r="DC424" s="195"/>
      <c r="DD424" s="195"/>
      <c r="DE424" s="195"/>
      <c r="DF424" s="12">
        <v>329</v>
      </c>
      <c r="DG424" s="195"/>
      <c r="DH424" s="195"/>
      <c r="DI424" s="195"/>
      <c r="DJ424" s="195"/>
      <c r="DK424" s="195"/>
      <c r="DL424" s="195"/>
      <c r="DM424" s="195"/>
      <c r="DN424" s="195"/>
      <c r="DO424" s="195"/>
      <c r="DP424" s="195"/>
      <c r="DQ424" s="195"/>
      <c r="DR424" s="195"/>
      <c r="DS424" s="195"/>
      <c r="DT424" s="195"/>
      <c r="DU424" s="195"/>
      <c r="DV424" s="195"/>
      <c r="DW424" s="195"/>
      <c r="DX424" s="12">
        <v>329</v>
      </c>
      <c r="DY424" s="195"/>
      <c r="DZ424" s="195"/>
      <c r="EA424" s="195"/>
      <c r="EB424" s="195"/>
      <c r="EC424" s="195"/>
      <c r="ED424" s="195"/>
      <c r="EE424" s="195"/>
      <c r="EF424" s="195"/>
      <c r="EG424" s="195"/>
      <c r="EH424" s="195"/>
      <c r="EI424" s="195"/>
      <c r="EJ424" s="195"/>
      <c r="EK424" s="195"/>
      <c r="EL424" s="195"/>
      <c r="EM424" s="195"/>
      <c r="EN424" s="195"/>
      <c r="EO424" s="195"/>
      <c r="EP424" s="12">
        <v>329</v>
      </c>
      <c r="EQ424" s="195"/>
      <c r="ER424" s="195"/>
      <c r="ES424" s="195"/>
      <c r="ET424" s="195"/>
      <c r="EU424" s="195"/>
      <c r="EV424" s="195"/>
      <c r="EW424" s="195"/>
      <c r="EX424" s="195"/>
      <c r="EY424" s="195"/>
      <c r="EZ424" s="195"/>
      <c r="FA424" s="195"/>
      <c r="FB424" s="195"/>
      <c r="FC424" s="195"/>
      <c r="FD424" s="195"/>
      <c r="FE424" s="195"/>
      <c r="FF424" s="195"/>
      <c r="FG424" s="195"/>
      <c r="FH424" s="12">
        <v>329</v>
      </c>
      <c r="FI424" s="195"/>
      <c r="FJ424" s="195"/>
      <c r="FK424" s="195"/>
      <c r="FL424" s="195"/>
      <c r="FM424" s="195"/>
      <c r="FN424" s="195"/>
      <c r="FO424" s="195"/>
      <c r="FP424" s="195"/>
      <c r="FQ424" s="195"/>
      <c r="FR424" s="195"/>
      <c r="FS424" s="195"/>
      <c r="FT424" s="195"/>
      <c r="FU424" s="195"/>
      <c r="FV424" s="195"/>
      <c r="FW424" s="195"/>
      <c r="FX424" s="195"/>
      <c r="FY424" s="195"/>
    </row>
    <row r="425" spans="2:181" x14ac:dyDescent="0.25">
      <c r="B425" s="197">
        <v>330</v>
      </c>
      <c r="C425" s="195"/>
      <c r="D425" s="195"/>
      <c r="E425" s="195"/>
      <c r="F425" s="195"/>
      <c r="G425" s="195"/>
      <c r="H425" s="195"/>
      <c r="I425" s="195"/>
      <c r="J425" s="195"/>
      <c r="K425" s="195"/>
      <c r="L425" s="195"/>
      <c r="M425" s="195"/>
      <c r="N425" s="195"/>
      <c r="O425" s="195"/>
      <c r="P425" s="195"/>
      <c r="Q425" s="195"/>
      <c r="R425" s="195"/>
      <c r="S425" s="195"/>
      <c r="T425" s="197">
        <v>330</v>
      </c>
      <c r="U425" s="195"/>
      <c r="V425" s="195"/>
      <c r="W425" s="195"/>
      <c r="X425" s="195"/>
      <c r="Y425" s="195"/>
      <c r="Z425" s="195"/>
      <c r="AA425" s="195"/>
      <c r="AB425" s="195"/>
      <c r="AC425" s="195"/>
      <c r="AD425" s="195"/>
      <c r="AE425" s="195"/>
      <c r="AF425" s="195"/>
      <c r="AG425" s="195"/>
      <c r="AH425" s="195"/>
      <c r="AI425" s="195"/>
      <c r="AJ425" s="195"/>
      <c r="AK425" s="195"/>
      <c r="AL425" s="197">
        <v>330</v>
      </c>
      <c r="AM425" s="195"/>
      <c r="AN425" s="195"/>
      <c r="AO425" s="195"/>
      <c r="AP425" s="195"/>
      <c r="AQ425" s="195"/>
      <c r="AR425" s="195"/>
      <c r="AS425" s="195"/>
      <c r="AT425" s="195"/>
      <c r="AU425" s="195"/>
      <c r="AV425" s="195"/>
      <c r="AW425" s="195"/>
      <c r="AX425" s="195"/>
      <c r="AY425" s="195"/>
      <c r="AZ425" s="195"/>
      <c r="BA425" s="195"/>
      <c r="BB425" s="195"/>
      <c r="BC425" s="195"/>
      <c r="BD425" s="197">
        <v>330</v>
      </c>
      <c r="BE425" s="195"/>
      <c r="BF425" s="195"/>
      <c r="BG425" s="195"/>
      <c r="BH425" s="195"/>
      <c r="BI425" s="195"/>
      <c r="BJ425" s="195"/>
      <c r="BK425" s="195"/>
      <c r="BL425" s="195"/>
      <c r="BM425" s="195"/>
      <c r="BN425" s="195"/>
      <c r="BO425" s="195"/>
      <c r="BP425" s="195"/>
      <c r="BQ425" s="195"/>
      <c r="BR425" s="195"/>
      <c r="BS425" s="195"/>
      <c r="BT425" s="195"/>
      <c r="BU425" s="195"/>
      <c r="BV425" s="197">
        <v>330</v>
      </c>
      <c r="BW425" s="195"/>
      <c r="BX425" s="195"/>
      <c r="BY425" s="195"/>
      <c r="BZ425" s="195"/>
      <c r="CA425" s="195"/>
      <c r="CB425" s="195"/>
      <c r="CC425" s="195"/>
      <c r="CD425" s="195"/>
      <c r="CE425" s="195"/>
      <c r="CF425" s="195"/>
      <c r="CG425" s="195"/>
      <c r="CH425" s="195"/>
      <c r="CI425" s="195"/>
      <c r="CJ425" s="195"/>
      <c r="CK425" s="195"/>
      <c r="CL425" s="195"/>
      <c r="CM425" s="195"/>
      <c r="CN425" s="197">
        <v>330</v>
      </c>
      <c r="CO425" s="195"/>
      <c r="CP425" s="195"/>
      <c r="CQ425" s="195"/>
      <c r="CR425" s="195"/>
      <c r="CS425" s="195"/>
      <c r="CT425" s="195"/>
      <c r="CU425" s="195"/>
      <c r="CV425" s="195"/>
      <c r="CW425" s="195"/>
      <c r="CX425" s="195"/>
      <c r="CY425" s="195"/>
      <c r="CZ425" s="195"/>
      <c r="DA425" s="195"/>
      <c r="DB425" s="195"/>
      <c r="DC425" s="195"/>
      <c r="DD425" s="195"/>
      <c r="DE425" s="195"/>
      <c r="DF425" s="197">
        <v>330</v>
      </c>
      <c r="DG425" s="195"/>
      <c r="DH425" s="195"/>
      <c r="DI425" s="195"/>
      <c r="DJ425" s="195"/>
      <c r="DK425" s="195"/>
      <c r="DL425" s="195"/>
      <c r="DM425" s="195"/>
      <c r="DN425" s="195"/>
      <c r="DO425" s="195"/>
      <c r="DP425" s="195"/>
      <c r="DQ425" s="195"/>
      <c r="DR425" s="195"/>
      <c r="DS425" s="195"/>
      <c r="DT425" s="195"/>
      <c r="DU425" s="195"/>
      <c r="DV425" s="195"/>
      <c r="DW425" s="195"/>
      <c r="DX425" s="197">
        <v>330</v>
      </c>
      <c r="DY425" s="195"/>
      <c r="DZ425" s="195"/>
      <c r="EA425" s="195"/>
      <c r="EB425" s="195"/>
      <c r="EC425" s="195"/>
      <c r="ED425" s="195"/>
      <c r="EE425" s="195"/>
      <c r="EF425" s="195"/>
      <c r="EG425" s="195"/>
      <c r="EH425" s="195"/>
      <c r="EI425" s="195"/>
      <c r="EJ425" s="195"/>
      <c r="EK425" s="195"/>
      <c r="EL425" s="195"/>
      <c r="EM425" s="195"/>
      <c r="EN425" s="195"/>
      <c r="EO425" s="195"/>
      <c r="EP425" s="197">
        <v>330</v>
      </c>
      <c r="EQ425" s="195"/>
      <c r="ER425" s="195"/>
      <c r="ES425" s="195"/>
      <c r="ET425" s="195"/>
      <c r="EU425" s="195"/>
      <c r="EV425" s="195"/>
      <c r="EW425" s="195"/>
      <c r="EX425" s="195"/>
      <c r="EY425" s="195"/>
      <c r="EZ425" s="195"/>
      <c r="FA425" s="195"/>
      <c r="FB425" s="195"/>
      <c r="FC425" s="195"/>
      <c r="FD425" s="195"/>
      <c r="FE425" s="195"/>
      <c r="FF425" s="195"/>
      <c r="FG425" s="195"/>
      <c r="FH425" s="197">
        <v>330</v>
      </c>
      <c r="FI425" s="195"/>
      <c r="FJ425" s="195"/>
      <c r="FK425" s="195"/>
      <c r="FL425" s="195"/>
      <c r="FM425" s="195"/>
      <c r="FN425" s="195"/>
      <c r="FO425" s="195"/>
      <c r="FP425" s="195"/>
      <c r="FQ425" s="195"/>
      <c r="FR425" s="195"/>
      <c r="FS425" s="195"/>
      <c r="FT425" s="195"/>
      <c r="FU425" s="195"/>
      <c r="FV425" s="195"/>
      <c r="FW425" s="195"/>
      <c r="FX425" s="195"/>
      <c r="FY425" s="195"/>
    </row>
    <row r="426" spans="2:181" x14ac:dyDescent="0.25">
      <c r="B426" s="176"/>
      <c r="C426" s="198"/>
      <c r="D426" s="198"/>
      <c r="E426" s="198"/>
      <c r="F426" s="198"/>
      <c r="G426" s="198"/>
      <c r="H426" s="198"/>
      <c r="I426" s="198"/>
      <c r="J426" s="198"/>
      <c r="K426" s="198"/>
      <c r="L426" s="198"/>
      <c r="M426" s="198"/>
      <c r="N426" s="198"/>
      <c r="O426" s="198"/>
      <c r="P426" s="198"/>
      <c r="Q426" s="198"/>
      <c r="R426" s="198"/>
      <c r="S426" s="198"/>
      <c r="T426" s="176"/>
      <c r="U426" s="198"/>
      <c r="V426" s="198"/>
      <c r="W426" s="198"/>
      <c r="X426" s="198"/>
      <c r="Y426" s="198"/>
      <c r="Z426" s="198"/>
      <c r="AA426" s="198"/>
      <c r="AB426" s="198"/>
      <c r="AC426" s="198"/>
      <c r="AD426" s="198"/>
      <c r="AE426" s="198"/>
      <c r="AF426" s="198"/>
      <c r="AG426" s="198"/>
      <c r="AH426" s="198"/>
      <c r="AI426" s="198"/>
      <c r="AJ426" s="198"/>
      <c r="AK426" s="198"/>
      <c r="AL426" s="176"/>
      <c r="AM426" s="198"/>
      <c r="AN426" s="198"/>
      <c r="AO426" s="198"/>
      <c r="AP426" s="198"/>
      <c r="AQ426" s="198"/>
      <c r="AR426" s="198"/>
      <c r="AS426" s="198"/>
      <c r="AT426" s="198"/>
      <c r="AU426" s="198"/>
      <c r="AV426" s="198"/>
      <c r="AW426" s="198"/>
      <c r="AX426" s="198"/>
      <c r="AY426" s="198"/>
      <c r="AZ426" s="198"/>
      <c r="BA426" s="198"/>
      <c r="BB426" s="198"/>
      <c r="BC426" s="198"/>
      <c r="BD426" s="176"/>
      <c r="BE426" s="198"/>
      <c r="BF426" s="198"/>
      <c r="BG426" s="198"/>
      <c r="BH426" s="198"/>
      <c r="BI426" s="198"/>
      <c r="BJ426" s="198"/>
      <c r="BK426" s="198"/>
      <c r="BL426" s="198"/>
      <c r="BM426" s="198"/>
      <c r="BN426" s="198"/>
      <c r="BO426" s="198"/>
      <c r="BP426" s="198"/>
      <c r="BQ426" s="198"/>
      <c r="BR426" s="198"/>
      <c r="BS426" s="198"/>
      <c r="BT426" s="198"/>
      <c r="BU426" s="198"/>
      <c r="BV426" s="176"/>
      <c r="BW426" s="198"/>
      <c r="BX426" s="198"/>
      <c r="BY426" s="198"/>
      <c r="BZ426" s="198"/>
      <c r="CA426" s="198"/>
      <c r="CB426" s="198"/>
      <c r="CC426" s="198"/>
      <c r="CD426" s="198"/>
      <c r="CE426" s="198"/>
      <c r="CF426" s="198"/>
      <c r="CG426" s="198"/>
      <c r="CH426" s="198"/>
      <c r="CI426" s="198"/>
      <c r="CJ426" s="198"/>
      <c r="CK426" s="198"/>
      <c r="CL426" s="198"/>
      <c r="CM426" s="198"/>
      <c r="CN426" s="176"/>
      <c r="CO426" s="198"/>
      <c r="CP426" s="198"/>
      <c r="CQ426" s="198"/>
      <c r="CR426" s="198"/>
      <c r="CS426" s="198"/>
      <c r="CT426" s="198"/>
      <c r="CU426" s="198"/>
      <c r="CV426" s="198"/>
      <c r="CW426" s="198"/>
      <c r="CX426" s="198"/>
      <c r="CY426" s="198"/>
      <c r="CZ426" s="198"/>
      <c r="DA426" s="198"/>
      <c r="DB426" s="198"/>
      <c r="DC426" s="198"/>
      <c r="DD426" s="198"/>
      <c r="DE426" s="198"/>
      <c r="DF426" s="176"/>
      <c r="DG426" s="198"/>
      <c r="DH426" s="198"/>
      <c r="DI426" s="198"/>
      <c r="DJ426" s="198"/>
      <c r="DK426" s="198"/>
      <c r="DL426" s="198"/>
      <c r="DM426" s="198"/>
      <c r="DN426" s="198"/>
      <c r="DO426" s="198"/>
      <c r="DP426" s="198"/>
      <c r="DQ426" s="198"/>
      <c r="DR426" s="198"/>
      <c r="DS426" s="198"/>
      <c r="DT426" s="198"/>
      <c r="DU426" s="198"/>
      <c r="DV426" s="198"/>
      <c r="DW426" s="198"/>
      <c r="DX426" s="176"/>
      <c r="DY426" s="198"/>
      <c r="DZ426" s="198"/>
      <c r="EA426" s="198"/>
      <c r="EB426" s="198"/>
      <c r="EC426" s="198"/>
      <c r="ED426" s="198"/>
      <c r="EE426" s="198"/>
      <c r="EF426" s="198"/>
      <c r="EG426" s="198"/>
      <c r="EH426" s="198"/>
      <c r="EI426" s="198"/>
      <c r="EJ426" s="198"/>
      <c r="EK426" s="198"/>
      <c r="EL426" s="198"/>
      <c r="EM426" s="198"/>
      <c r="EN426" s="198"/>
      <c r="EO426" s="198"/>
      <c r="EP426" s="176"/>
      <c r="EQ426" s="198"/>
      <c r="ER426" s="198"/>
      <c r="ES426" s="198"/>
      <c r="ET426" s="198"/>
      <c r="EU426" s="198"/>
      <c r="EV426" s="198"/>
      <c r="EW426" s="198"/>
      <c r="EX426" s="198"/>
      <c r="EY426" s="198"/>
      <c r="EZ426" s="198"/>
      <c r="FA426" s="198"/>
      <c r="FB426" s="198"/>
      <c r="FC426" s="198"/>
      <c r="FD426" s="198"/>
      <c r="FE426" s="198"/>
      <c r="FF426" s="198"/>
      <c r="FG426" s="198"/>
      <c r="FH426" s="176"/>
      <c r="FI426" s="198"/>
      <c r="FJ426" s="198"/>
      <c r="FK426" s="198"/>
      <c r="FL426" s="198"/>
      <c r="FM426" s="198"/>
      <c r="FN426" s="198"/>
      <c r="FO426" s="198"/>
      <c r="FP426" s="198"/>
      <c r="FQ426" s="198"/>
      <c r="FR426" s="198"/>
      <c r="FS426" s="198"/>
      <c r="FT426" s="198"/>
      <c r="FU426" s="198"/>
      <c r="FV426" s="198"/>
      <c r="FW426" s="198"/>
      <c r="FX426" s="198"/>
      <c r="FY426" s="198"/>
    </row>
    <row r="427" spans="2:181" x14ac:dyDescent="0.25">
      <c r="B427" s="977" t="s">
        <v>543</v>
      </c>
      <c r="C427" s="977"/>
      <c r="D427" s="977"/>
      <c r="E427" s="977"/>
      <c r="F427" s="977"/>
      <c r="G427" s="199">
        <f>COUNTA(C396:S425)</f>
        <v>0</v>
      </c>
      <c r="H427" s="198" t="s">
        <v>544</v>
      </c>
      <c r="I427" s="198"/>
      <c r="J427" s="198"/>
      <c r="K427" s="198"/>
      <c r="L427" s="198"/>
      <c r="M427" s="200" t="s">
        <v>545</v>
      </c>
      <c r="N427" s="201">
        <f>MAX(C396:S425,U396:AK425)</f>
        <v>0</v>
      </c>
      <c r="O427" s="198"/>
      <c r="P427" s="198"/>
      <c r="Q427" s="198"/>
      <c r="R427" s="198"/>
      <c r="S427" s="198"/>
      <c r="T427" s="977" t="s">
        <v>543</v>
      </c>
      <c r="U427" s="977"/>
      <c r="V427" s="977"/>
      <c r="W427" s="977"/>
      <c r="X427" s="977"/>
      <c r="Y427" s="199">
        <f>COUNTA(U396:AK425)</f>
        <v>0</v>
      </c>
      <c r="Z427" s="198" t="s">
        <v>544</v>
      </c>
      <c r="AA427" s="198"/>
      <c r="AB427" s="198"/>
      <c r="AC427" s="198"/>
      <c r="AD427" s="198"/>
      <c r="AE427" s="198"/>
      <c r="AF427" s="198"/>
      <c r="AG427" s="198"/>
      <c r="AH427" s="198"/>
      <c r="AI427" s="198"/>
      <c r="AJ427" s="198"/>
      <c r="AK427" s="198"/>
      <c r="AL427" s="977" t="s">
        <v>543</v>
      </c>
      <c r="AM427" s="977"/>
      <c r="AN427" s="977"/>
      <c r="AO427" s="977"/>
      <c r="AP427" s="977"/>
      <c r="AQ427" s="199">
        <f>COUNTA(AM396:BC425)</f>
        <v>0</v>
      </c>
      <c r="AR427" s="198" t="s">
        <v>544</v>
      </c>
      <c r="AS427" s="198"/>
      <c r="AT427" s="198"/>
      <c r="AU427" s="198"/>
      <c r="AV427" s="198"/>
      <c r="AW427" s="198"/>
      <c r="AX427" s="198"/>
      <c r="AY427" s="198"/>
      <c r="AZ427" s="198"/>
      <c r="BA427" s="198"/>
      <c r="BB427" s="198"/>
      <c r="BC427" s="198"/>
      <c r="BD427" s="977" t="s">
        <v>543</v>
      </c>
      <c r="BE427" s="977"/>
      <c r="BF427" s="977"/>
      <c r="BG427" s="977"/>
      <c r="BH427" s="977"/>
      <c r="BI427" s="199">
        <f>COUNTA(BE396:BU425)</f>
        <v>0</v>
      </c>
      <c r="BJ427" s="198" t="s">
        <v>544</v>
      </c>
      <c r="BK427" s="198"/>
      <c r="BL427" s="198"/>
      <c r="BM427" s="198"/>
      <c r="BN427" s="198"/>
      <c r="BO427" s="198"/>
      <c r="BP427" s="198"/>
      <c r="BQ427" s="198"/>
      <c r="BR427" s="198"/>
      <c r="BS427" s="198"/>
      <c r="BT427" s="198"/>
      <c r="BU427" s="198"/>
      <c r="BV427" s="977" t="s">
        <v>543</v>
      </c>
      <c r="BW427" s="977"/>
      <c r="BX427" s="977"/>
      <c r="BY427" s="977"/>
      <c r="BZ427" s="977"/>
      <c r="CA427" s="199">
        <f>COUNTA(BW396:CM425)</f>
        <v>0</v>
      </c>
      <c r="CB427" s="198" t="s">
        <v>544</v>
      </c>
      <c r="CC427" s="198"/>
      <c r="CD427" s="198"/>
      <c r="CE427" s="198"/>
      <c r="CF427" s="198"/>
      <c r="CG427" s="198"/>
      <c r="CH427" s="198"/>
      <c r="CI427" s="198"/>
      <c r="CJ427" s="198"/>
      <c r="CK427" s="198"/>
      <c r="CL427" s="198"/>
      <c r="CM427" s="198"/>
      <c r="CN427" s="977" t="s">
        <v>543</v>
      </c>
      <c r="CO427" s="977"/>
      <c r="CP427" s="977"/>
      <c r="CQ427" s="977"/>
      <c r="CR427" s="977"/>
      <c r="CS427" s="199">
        <f>COUNTA(CO396:DE425)</f>
        <v>0</v>
      </c>
      <c r="CT427" s="198" t="s">
        <v>544</v>
      </c>
      <c r="CU427" s="198"/>
      <c r="CV427" s="198"/>
      <c r="CW427" s="198"/>
      <c r="CX427" s="198"/>
      <c r="CY427" s="198"/>
      <c r="CZ427" s="198"/>
      <c r="DA427" s="198"/>
      <c r="DB427" s="198"/>
      <c r="DC427" s="198"/>
      <c r="DD427" s="198"/>
      <c r="DE427" s="198"/>
      <c r="DF427" s="977" t="s">
        <v>543</v>
      </c>
      <c r="DG427" s="977"/>
      <c r="DH427" s="977"/>
      <c r="DI427" s="977"/>
      <c r="DJ427" s="977"/>
      <c r="DK427" s="199">
        <f>COUNTA(DG396:DW425)</f>
        <v>0</v>
      </c>
      <c r="DL427" s="198" t="s">
        <v>544</v>
      </c>
      <c r="DM427" s="198"/>
      <c r="DN427" s="198"/>
      <c r="DO427" s="198"/>
      <c r="DP427" s="198"/>
      <c r="DQ427" s="198"/>
      <c r="DR427" s="198"/>
      <c r="DS427" s="198"/>
      <c r="DT427" s="198"/>
      <c r="DU427" s="198"/>
      <c r="DV427" s="198"/>
      <c r="DW427" s="198"/>
      <c r="DX427" s="977" t="s">
        <v>543</v>
      </c>
      <c r="DY427" s="977"/>
      <c r="DZ427" s="977"/>
      <c r="EA427" s="977"/>
      <c r="EB427" s="977"/>
      <c r="EC427" s="199">
        <f>COUNTA(DY396:EO425)</f>
        <v>0</v>
      </c>
      <c r="ED427" s="198" t="s">
        <v>544</v>
      </c>
      <c r="EE427" s="198"/>
      <c r="EF427" s="198"/>
      <c r="EG427" s="198"/>
      <c r="EH427" s="198"/>
      <c r="EI427" s="198"/>
      <c r="EJ427" s="198"/>
      <c r="EK427" s="198"/>
      <c r="EL427" s="198"/>
      <c r="EM427" s="198"/>
      <c r="EN427" s="198"/>
      <c r="EO427" s="198"/>
      <c r="EP427" s="977" t="s">
        <v>543</v>
      </c>
      <c r="EQ427" s="977"/>
      <c r="ER427" s="977"/>
      <c r="ES427" s="977"/>
      <c r="ET427" s="977"/>
      <c r="EU427" s="199">
        <f>COUNTA(EQ396:FG425)</f>
        <v>0</v>
      </c>
      <c r="EV427" s="198" t="s">
        <v>544</v>
      </c>
      <c r="EW427" s="198"/>
      <c r="EX427" s="198"/>
      <c r="EY427" s="198"/>
      <c r="EZ427" s="198"/>
      <c r="FA427" s="198"/>
      <c r="FB427" s="198"/>
      <c r="FC427" s="198"/>
      <c r="FD427" s="198"/>
      <c r="FE427" s="198"/>
      <c r="FF427" s="198"/>
      <c r="FG427" s="198"/>
      <c r="FH427" s="977" t="s">
        <v>543</v>
      </c>
      <c r="FI427" s="977"/>
      <c r="FJ427" s="977"/>
      <c r="FK427" s="977"/>
      <c r="FL427" s="977"/>
      <c r="FM427" s="199">
        <f>COUNTA(FI396:FY425)</f>
        <v>0</v>
      </c>
      <c r="FN427" s="198" t="s">
        <v>544</v>
      </c>
      <c r="FO427" s="198"/>
      <c r="FP427" s="198"/>
      <c r="FQ427" s="198"/>
      <c r="FR427" s="198"/>
      <c r="FS427" s="198"/>
      <c r="FT427" s="198"/>
      <c r="FU427" s="198"/>
      <c r="FV427" s="198"/>
      <c r="FW427" s="198"/>
      <c r="FX427" s="198"/>
      <c r="FY427" s="198"/>
    </row>
    <row r="428" spans="2:181" x14ac:dyDescent="0.25">
      <c r="M428" s="203" t="s">
        <v>548</v>
      </c>
      <c r="N428" s="204">
        <f>MIN(C396:S425,U396:AK425)</f>
        <v>0</v>
      </c>
    </row>
    <row r="429" spans="2:181" x14ac:dyDescent="0.25">
      <c r="B429" s="205" t="s">
        <v>549</v>
      </c>
      <c r="C429" s="205"/>
      <c r="D429" s="205"/>
      <c r="E429" s="205"/>
      <c r="F429" s="205"/>
      <c r="G429" s="205"/>
      <c r="H429" s="990" t="e">
        <f>#REF!</f>
        <v>#REF!</v>
      </c>
      <c r="I429" s="990"/>
      <c r="J429" s="990"/>
      <c r="K429" s="990"/>
      <c r="L429" s="990"/>
      <c r="M429" s="198"/>
      <c r="N429" s="198"/>
      <c r="O429" s="198"/>
      <c r="P429" s="198"/>
      <c r="Q429" s="198"/>
      <c r="R429" s="198"/>
      <c r="S429" s="198"/>
      <c r="T429" s="205"/>
      <c r="U429" s="205"/>
      <c r="V429" s="205"/>
      <c r="W429" s="205"/>
      <c r="X429" s="205"/>
      <c r="Y429" s="205"/>
      <c r="Z429" s="205"/>
      <c r="AA429" s="198"/>
      <c r="AB429" s="198"/>
      <c r="AC429" s="205"/>
      <c r="AD429" s="198"/>
      <c r="AE429" s="198"/>
      <c r="AF429" s="198"/>
      <c r="AG429" s="198"/>
      <c r="AH429" s="198"/>
      <c r="AI429" s="198"/>
      <c r="AJ429" s="198"/>
      <c r="AK429" s="198"/>
      <c r="AL429" s="205"/>
      <c r="AM429" s="205"/>
      <c r="AN429" s="205"/>
      <c r="AO429" s="205"/>
      <c r="AP429" s="205"/>
      <c r="AQ429" s="205"/>
      <c r="AR429" s="205"/>
      <c r="AS429" s="198"/>
      <c r="AT429" s="198"/>
      <c r="AU429" s="205"/>
      <c r="AV429" s="198"/>
      <c r="AW429" s="198"/>
      <c r="AX429" s="198"/>
      <c r="AY429" s="198"/>
      <c r="AZ429" s="198"/>
      <c r="BA429" s="198"/>
      <c r="BB429" s="198"/>
      <c r="BC429" s="198"/>
      <c r="BD429" s="205"/>
      <c r="BE429" s="205"/>
      <c r="BF429" s="205"/>
      <c r="BG429" s="205"/>
      <c r="BH429" s="205"/>
      <c r="BI429" s="205"/>
      <c r="BJ429" s="205"/>
      <c r="BK429" s="198"/>
      <c r="BL429" s="198"/>
      <c r="BM429" s="205"/>
      <c r="BN429" s="198"/>
      <c r="BO429" s="198"/>
      <c r="BP429" s="198"/>
      <c r="BQ429" s="198"/>
      <c r="BR429" s="198"/>
      <c r="BS429" s="198"/>
      <c r="BT429" s="198"/>
      <c r="BU429" s="198"/>
      <c r="BV429" s="205"/>
      <c r="BW429" s="205"/>
      <c r="BX429" s="205"/>
      <c r="BY429" s="205"/>
      <c r="BZ429" s="205"/>
      <c r="CA429" s="205"/>
      <c r="CB429" s="205"/>
      <c r="CC429" s="198"/>
      <c r="CD429" s="198"/>
      <c r="CE429" s="205"/>
      <c r="CF429" s="198"/>
      <c r="CG429" s="198"/>
      <c r="CH429" s="198"/>
      <c r="CI429" s="198"/>
      <c r="CJ429" s="198"/>
      <c r="CK429" s="198"/>
      <c r="CL429" s="198"/>
      <c r="CM429" s="198"/>
      <c r="CN429" s="205"/>
      <c r="CO429" s="205"/>
      <c r="CP429" s="205"/>
      <c r="CQ429" s="205"/>
      <c r="CR429" s="205"/>
      <c r="CS429" s="205"/>
      <c r="CT429" s="205"/>
      <c r="CU429" s="198"/>
      <c r="CV429" s="198"/>
      <c r="CW429" s="205"/>
      <c r="CX429" s="198"/>
      <c r="CY429" s="198"/>
      <c r="CZ429" s="198"/>
      <c r="DA429" s="198"/>
      <c r="DB429" s="198"/>
      <c r="DC429" s="198"/>
      <c r="DD429" s="198"/>
      <c r="DE429" s="198"/>
      <c r="DF429" s="205"/>
      <c r="DG429" s="205"/>
      <c r="DH429" s="205"/>
      <c r="DI429" s="205"/>
      <c r="DJ429" s="205"/>
      <c r="DK429" s="205"/>
      <c r="DL429" s="205"/>
      <c r="DM429" s="198"/>
      <c r="DN429" s="198"/>
      <c r="DO429" s="205"/>
      <c r="DP429" s="198"/>
      <c r="DQ429" s="198"/>
      <c r="DR429" s="198"/>
      <c r="DS429" s="198"/>
      <c r="DT429" s="198"/>
      <c r="DU429" s="198"/>
      <c r="DV429" s="198"/>
      <c r="DW429" s="198"/>
      <c r="DX429" s="205"/>
      <c r="DY429" s="205"/>
      <c r="DZ429" s="205"/>
      <c r="EA429" s="205"/>
      <c r="EB429" s="205"/>
      <c r="EC429" s="205"/>
      <c r="ED429" s="205"/>
      <c r="EE429" s="198"/>
      <c r="EF429" s="198"/>
      <c r="EG429" s="205"/>
      <c r="EH429" s="198"/>
      <c r="EI429" s="198"/>
      <c r="EJ429" s="198"/>
      <c r="EK429" s="198"/>
      <c r="EL429" s="198"/>
      <c r="EM429" s="198"/>
      <c r="EN429" s="198"/>
      <c r="EO429" s="198"/>
      <c r="EP429" s="205"/>
      <c r="EQ429" s="205"/>
      <c r="ER429" s="205"/>
      <c r="ES429" s="205"/>
      <c r="ET429" s="205"/>
      <c r="EU429" s="205"/>
      <c r="EV429" s="205"/>
      <c r="EW429" s="198"/>
      <c r="EX429" s="198"/>
      <c r="EY429" s="205"/>
      <c r="EZ429" s="198"/>
      <c r="FA429" s="198"/>
      <c r="FB429" s="198"/>
      <c r="FC429" s="198"/>
      <c r="FD429" s="198"/>
      <c r="FE429" s="198"/>
      <c r="FF429" s="198"/>
      <c r="FG429" s="198"/>
      <c r="FH429" s="205"/>
      <c r="FI429" s="205"/>
      <c r="FJ429" s="205"/>
      <c r="FK429" s="205"/>
      <c r="FL429" s="205"/>
      <c r="FM429" s="205"/>
      <c r="FN429" s="205"/>
      <c r="FO429" s="198"/>
      <c r="FP429" s="198"/>
      <c r="FQ429" s="205"/>
      <c r="FR429" s="198"/>
      <c r="FS429" s="198"/>
      <c r="FT429" s="198"/>
      <c r="FU429" s="198"/>
      <c r="FV429" s="198"/>
      <c r="FW429" s="198"/>
      <c r="FX429" s="198"/>
      <c r="FY429" s="198"/>
    </row>
    <row r="430" spans="2:181" x14ac:dyDescent="0.25">
      <c r="B430" s="208"/>
      <c r="C430" s="205"/>
      <c r="D430" s="205"/>
      <c r="E430" s="205"/>
      <c r="F430" s="205"/>
      <c r="G430" s="205"/>
      <c r="H430" s="205"/>
      <c r="I430" s="198"/>
      <c r="J430" s="209"/>
      <c r="K430" s="208"/>
      <c r="L430" s="198"/>
      <c r="M430" s="198"/>
      <c r="N430" s="198"/>
      <c r="O430" s="198"/>
      <c r="P430" s="198"/>
      <c r="Q430" s="198"/>
      <c r="R430" s="198"/>
      <c r="S430" s="209"/>
      <c r="T430" s="208"/>
      <c r="U430" s="205"/>
      <c r="V430" s="205"/>
      <c r="W430" s="205"/>
      <c r="X430" s="205"/>
      <c r="Y430" s="205"/>
      <c r="Z430" s="205"/>
      <c r="AA430" s="198"/>
      <c r="AB430" s="209"/>
      <c r="AC430" s="208"/>
      <c r="AD430" s="198"/>
      <c r="AE430" s="198"/>
      <c r="AF430" s="198"/>
      <c r="AG430" s="198"/>
      <c r="AH430" s="198"/>
      <c r="AI430" s="198"/>
      <c r="AJ430" s="198"/>
      <c r="AK430" s="209"/>
      <c r="AL430" s="208"/>
      <c r="AM430" s="205"/>
      <c r="AN430" s="205"/>
      <c r="AO430" s="205"/>
      <c r="AP430" s="205"/>
      <c r="AQ430" s="205"/>
      <c r="AR430" s="205"/>
      <c r="AS430" s="198"/>
      <c r="AT430" s="209"/>
      <c r="AU430" s="208"/>
      <c r="AV430" s="198"/>
      <c r="AW430" s="198"/>
      <c r="AX430" s="198"/>
      <c r="AY430" s="198"/>
      <c r="AZ430" s="198"/>
      <c r="BA430" s="198"/>
      <c r="BB430" s="198"/>
      <c r="BC430" s="209"/>
      <c r="BD430" s="208"/>
      <c r="BE430" s="205"/>
      <c r="BF430" s="205"/>
      <c r="BG430" s="205"/>
      <c r="BH430" s="205"/>
      <c r="BI430" s="205"/>
      <c r="BJ430" s="205"/>
      <c r="BK430" s="198"/>
      <c r="BL430" s="209"/>
      <c r="BM430" s="208"/>
      <c r="BN430" s="198"/>
      <c r="BO430" s="198"/>
      <c r="BP430" s="198"/>
      <c r="BQ430" s="198"/>
      <c r="BR430" s="198"/>
      <c r="BS430" s="198"/>
      <c r="BT430" s="198"/>
      <c r="BU430" s="209"/>
      <c r="BV430" s="208"/>
      <c r="BW430" s="205"/>
      <c r="BX430" s="205"/>
      <c r="BY430" s="205"/>
      <c r="BZ430" s="205"/>
      <c r="CA430" s="205"/>
      <c r="CB430" s="205"/>
      <c r="CC430" s="198"/>
      <c r="CD430" s="209"/>
      <c r="CE430" s="208"/>
      <c r="CF430" s="198"/>
      <c r="CG430" s="198"/>
      <c r="CH430" s="198"/>
      <c r="CI430" s="198"/>
      <c r="CJ430" s="198"/>
      <c r="CK430" s="198"/>
      <c r="CL430" s="198"/>
      <c r="CM430" s="209"/>
      <c r="CN430" s="208"/>
      <c r="CO430" s="205"/>
      <c r="CP430" s="205"/>
      <c r="CQ430" s="205"/>
      <c r="CR430" s="205"/>
      <c r="CS430" s="205"/>
      <c r="CT430" s="205"/>
      <c r="CU430" s="198"/>
      <c r="CV430" s="209"/>
      <c r="CW430" s="208"/>
      <c r="CX430" s="198"/>
      <c r="CY430" s="198"/>
      <c r="CZ430" s="198"/>
      <c r="DA430" s="198"/>
      <c r="DB430" s="198"/>
      <c r="DC430" s="198"/>
      <c r="DD430" s="198"/>
      <c r="DE430" s="209"/>
      <c r="DF430" s="208"/>
      <c r="DG430" s="205"/>
      <c r="DH430" s="205"/>
      <c r="DI430" s="205"/>
      <c r="DJ430" s="205"/>
      <c r="DK430" s="205"/>
      <c r="DL430" s="205"/>
      <c r="DM430" s="198"/>
      <c r="DN430" s="209"/>
      <c r="DO430" s="208"/>
      <c r="DP430" s="198"/>
      <c r="DQ430" s="198"/>
      <c r="DR430" s="198"/>
      <c r="DS430" s="198"/>
      <c r="DT430" s="198"/>
      <c r="DU430" s="198"/>
      <c r="DV430" s="198"/>
      <c r="DW430" s="209"/>
      <c r="DX430" s="208"/>
      <c r="DY430" s="205"/>
      <c r="DZ430" s="205"/>
      <c r="EA430" s="205"/>
      <c r="EB430" s="205"/>
      <c r="EC430" s="205"/>
      <c r="ED430" s="205"/>
      <c r="EE430" s="198"/>
      <c r="EF430" s="209"/>
      <c r="EG430" s="208"/>
      <c r="EH430" s="198"/>
      <c r="EI430" s="198"/>
      <c r="EJ430" s="198"/>
      <c r="EK430" s="198"/>
      <c r="EL430" s="198"/>
      <c r="EM430" s="198"/>
      <c r="EN430" s="198"/>
      <c r="EO430" s="209"/>
      <c r="EP430" s="208"/>
      <c r="EQ430" s="205"/>
      <c r="ER430" s="205"/>
      <c r="ES430" s="205"/>
      <c r="ET430" s="205"/>
      <c r="EU430" s="205"/>
      <c r="EV430" s="205"/>
      <c r="EW430" s="198"/>
      <c r="EX430" s="209"/>
      <c r="EY430" s="208"/>
      <c r="EZ430" s="198"/>
      <c r="FA430" s="198"/>
      <c r="FB430" s="198"/>
      <c r="FC430" s="198"/>
      <c r="FD430" s="198"/>
      <c r="FE430" s="198"/>
      <c r="FF430" s="198"/>
      <c r="FG430" s="209"/>
      <c r="FH430" s="208"/>
      <c r="FI430" s="205"/>
      <c r="FJ430" s="205"/>
      <c r="FK430" s="205"/>
      <c r="FL430" s="205"/>
      <c r="FM430" s="205"/>
      <c r="FN430" s="205"/>
      <c r="FO430" s="198"/>
      <c r="FP430" s="209"/>
      <c r="FQ430" s="208"/>
      <c r="FR430" s="198"/>
      <c r="FS430" s="198"/>
      <c r="FT430" s="198"/>
      <c r="FU430" s="198"/>
      <c r="FV430" s="198"/>
      <c r="FW430" s="198"/>
      <c r="FX430" s="198"/>
      <c r="FY430" s="209"/>
    </row>
    <row r="431" spans="2:181" x14ac:dyDescent="0.25">
      <c r="B431" s="210"/>
      <c r="C431" s="206"/>
      <c r="D431" s="206"/>
      <c r="E431" s="206"/>
      <c r="F431" s="206"/>
      <c r="G431" s="206"/>
      <c r="H431" s="206"/>
      <c r="I431" s="206"/>
      <c r="J431" s="211"/>
      <c r="K431" s="210"/>
      <c r="L431" s="206"/>
      <c r="M431" s="206"/>
      <c r="N431" s="206"/>
      <c r="O431" s="206"/>
      <c r="P431" s="206"/>
      <c r="Q431" s="206"/>
      <c r="R431" s="206"/>
      <c r="S431" s="211"/>
      <c r="T431" s="210"/>
      <c r="U431" s="206"/>
      <c r="V431" s="206"/>
      <c r="W431" s="206"/>
      <c r="X431" s="206"/>
      <c r="Y431" s="206"/>
      <c r="Z431" s="206"/>
      <c r="AA431" s="206"/>
      <c r="AB431" s="211"/>
      <c r="AC431" s="210"/>
      <c r="AD431" s="206"/>
      <c r="AE431" s="206"/>
      <c r="AF431" s="206"/>
      <c r="AG431" s="206"/>
      <c r="AH431" s="206"/>
      <c r="AI431" s="206"/>
      <c r="AJ431" s="206"/>
      <c r="AK431" s="211"/>
      <c r="AL431" s="210"/>
      <c r="AM431" s="206"/>
      <c r="AN431" s="206"/>
      <c r="AO431" s="206"/>
      <c r="AP431" s="206"/>
      <c r="AQ431" s="206"/>
      <c r="AR431" s="206"/>
      <c r="AS431" s="206"/>
      <c r="AT431" s="211"/>
      <c r="AU431" s="210"/>
      <c r="AV431" s="206"/>
      <c r="AW431" s="206"/>
      <c r="AX431" s="206"/>
      <c r="AY431" s="206"/>
      <c r="AZ431" s="206"/>
      <c r="BA431" s="206"/>
      <c r="BB431" s="206"/>
      <c r="BC431" s="211"/>
      <c r="BD431" s="210"/>
      <c r="BE431" s="206"/>
      <c r="BF431" s="206"/>
      <c r="BG431" s="206"/>
      <c r="BH431" s="206"/>
      <c r="BI431" s="206"/>
      <c r="BJ431" s="206"/>
      <c r="BK431" s="206"/>
      <c r="BL431" s="211"/>
      <c r="BM431" s="210"/>
      <c r="BN431" s="206"/>
      <c r="BO431" s="206"/>
      <c r="BP431" s="206"/>
      <c r="BQ431" s="206"/>
      <c r="BR431" s="206"/>
      <c r="BS431" s="206"/>
      <c r="BT431" s="206"/>
      <c r="BU431" s="211"/>
      <c r="BV431" s="210"/>
      <c r="BW431" s="206"/>
      <c r="BX431" s="206"/>
      <c r="BY431" s="206"/>
      <c r="BZ431" s="206"/>
      <c r="CA431" s="206"/>
      <c r="CB431" s="206"/>
      <c r="CC431" s="206"/>
      <c r="CD431" s="211"/>
      <c r="CE431" s="210"/>
      <c r="CF431" s="206"/>
      <c r="CG431" s="206"/>
      <c r="CH431" s="206"/>
      <c r="CI431" s="206"/>
      <c r="CJ431" s="206"/>
      <c r="CK431" s="206"/>
      <c r="CL431" s="206"/>
      <c r="CM431" s="211"/>
      <c r="CN431" s="210"/>
      <c r="CO431" s="206"/>
      <c r="CP431" s="206"/>
      <c r="CQ431" s="206"/>
      <c r="CR431" s="206"/>
      <c r="CS431" s="206"/>
      <c r="CT431" s="206"/>
      <c r="CU431" s="206"/>
      <c r="CV431" s="211"/>
      <c r="CW431" s="210"/>
      <c r="CX431" s="206"/>
      <c r="CY431" s="206"/>
      <c r="CZ431" s="206"/>
      <c r="DA431" s="206"/>
      <c r="DB431" s="206"/>
      <c r="DC431" s="206"/>
      <c r="DD431" s="206"/>
      <c r="DE431" s="211"/>
      <c r="DF431" s="210"/>
      <c r="DG431" s="206"/>
      <c r="DH431" s="206"/>
      <c r="DI431" s="206"/>
      <c r="DJ431" s="206"/>
      <c r="DK431" s="206"/>
      <c r="DL431" s="206"/>
      <c r="DM431" s="206"/>
      <c r="DN431" s="211"/>
      <c r="DO431" s="210"/>
      <c r="DP431" s="206"/>
      <c r="DQ431" s="206"/>
      <c r="DR431" s="206"/>
      <c r="DS431" s="206"/>
      <c r="DT431" s="206"/>
      <c r="DU431" s="206"/>
      <c r="DV431" s="206"/>
      <c r="DW431" s="211"/>
      <c r="DX431" s="210"/>
      <c r="DY431" s="206"/>
      <c r="DZ431" s="206"/>
      <c r="EA431" s="206"/>
      <c r="EB431" s="206"/>
      <c r="EC431" s="206"/>
      <c r="ED431" s="206"/>
      <c r="EE431" s="206"/>
      <c r="EF431" s="211"/>
      <c r="EG431" s="210"/>
      <c r="EH431" s="206"/>
      <c r="EI431" s="206"/>
      <c r="EJ431" s="206"/>
      <c r="EK431" s="206"/>
      <c r="EL431" s="206"/>
      <c r="EM431" s="206"/>
      <c r="EN431" s="206"/>
      <c r="EO431" s="211"/>
      <c r="EP431" s="210"/>
      <c r="EQ431" s="206"/>
      <c r="ER431" s="206"/>
      <c r="ES431" s="206"/>
      <c r="ET431" s="206"/>
      <c r="EU431" s="206"/>
      <c r="EV431" s="206"/>
      <c r="EW431" s="206"/>
      <c r="EX431" s="211"/>
      <c r="EY431" s="210"/>
      <c r="EZ431" s="206"/>
      <c r="FA431" s="206"/>
      <c r="FB431" s="206"/>
      <c r="FC431" s="206"/>
      <c r="FD431" s="206"/>
      <c r="FE431" s="206"/>
      <c r="FF431" s="206"/>
      <c r="FG431" s="211"/>
      <c r="FH431" s="210"/>
      <c r="FI431" s="206"/>
      <c r="FJ431" s="206"/>
      <c r="FK431" s="206"/>
      <c r="FL431" s="206"/>
      <c r="FM431" s="206"/>
      <c r="FN431" s="206"/>
      <c r="FO431" s="206"/>
      <c r="FP431" s="211"/>
      <c r="FQ431" s="210"/>
      <c r="FR431" s="206"/>
      <c r="FS431" s="206"/>
      <c r="FT431" s="206"/>
      <c r="FU431" s="206"/>
      <c r="FV431" s="206"/>
      <c r="FW431" s="206"/>
      <c r="FX431" s="206"/>
      <c r="FY431" s="211"/>
    </row>
  </sheetData>
  <mergeCells count="273">
    <mergeCell ref="H429:L429"/>
    <mergeCell ref="B427:F427"/>
    <mergeCell ref="T427:X427"/>
    <mergeCell ref="AL427:AP427"/>
    <mergeCell ref="BD427:BH427"/>
    <mergeCell ref="BV427:BZ427"/>
    <mergeCell ref="CN427:CR427"/>
    <mergeCell ref="CN389:CR389"/>
    <mergeCell ref="DF389:DJ389"/>
    <mergeCell ref="B389:F389"/>
    <mergeCell ref="DX389:EB389"/>
    <mergeCell ref="EP389:ET389"/>
    <mergeCell ref="FH389:FL389"/>
    <mergeCell ref="DF427:DJ427"/>
    <mergeCell ref="DX427:EB427"/>
    <mergeCell ref="EP427:ET427"/>
    <mergeCell ref="FH427:FL427"/>
    <mergeCell ref="H391:L391"/>
    <mergeCell ref="DF351:DJ351"/>
    <mergeCell ref="DX351:EB351"/>
    <mergeCell ref="EP351:ET351"/>
    <mergeCell ref="FH351:FL351"/>
    <mergeCell ref="H353:L353"/>
    <mergeCell ref="CN351:CR351"/>
    <mergeCell ref="T389:X389"/>
    <mergeCell ref="AL389:AP389"/>
    <mergeCell ref="BD389:BH389"/>
    <mergeCell ref="BV389:BZ389"/>
    <mergeCell ref="B351:F351"/>
    <mergeCell ref="T351:X351"/>
    <mergeCell ref="AL351:AP351"/>
    <mergeCell ref="BD351:BH351"/>
    <mergeCell ref="BV351:BZ351"/>
    <mergeCell ref="CN313:CR313"/>
    <mergeCell ref="DF313:DJ313"/>
    <mergeCell ref="DX313:EB313"/>
    <mergeCell ref="EP313:ET313"/>
    <mergeCell ref="FH313:FL313"/>
    <mergeCell ref="H315:L315"/>
    <mergeCell ref="DF275:DJ275"/>
    <mergeCell ref="DX275:EB275"/>
    <mergeCell ref="EP275:ET275"/>
    <mergeCell ref="FH275:FL275"/>
    <mergeCell ref="H277:L277"/>
    <mergeCell ref="B313:F313"/>
    <mergeCell ref="T313:X313"/>
    <mergeCell ref="AL313:AP313"/>
    <mergeCell ref="BD313:BH313"/>
    <mergeCell ref="BV313:BZ313"/>
    <mergeCell ref="B275:F275"/>
    <mergeCell ref="T275:X275"/>
    <mergeCell ref="AL275:AP275"/>
    <mergeCell ref="BD275:BH275"/>
    <mergeCell ref="BV275:BZ275"/>
    <mergeCell ref="CN275:CR275"/>
    <mergeCell ref="CN237:CR237"/>
    <mergeCell ref="DF237:DJ237"/>
    <mergeCell ref="DX237:EB237"/>
    <mergeCell ref="EP237:ET237"/>
    <mergeCell ref="FH237:FL237"/>
    <mergeCell ref="H239:L239"/>
    <mergeCell ref="DF199:DJ199"/>
    <mergeCell ref="DX199:EB199"/>
    <mergeCell ref="EP199:ET199"/>
    <mergeCell ref="FH199:FL199"/>
    <mergeCell ref="H201:L201"/>
    <mergeCell ref="CN199:CR199"/>
    <mergeCell ref="B237:F237"/>
    <mergeCell ref="T237:X237"/>
    <mergeCell ref="AL237:AP237"/>
    <mergeCell ref="BD237:BH237"/>
    <mergeCell ref="BV237:BZ237"/>
    <mergeCell ref="B199:F199"/>
    <mergeCell ref="T199:X199"/>
    <mergeCell ref="AL199:AP199"/>
    <mergeCell ref="BD199:BH199"/>
    <mergeCell ref="BV199:BZ199"/>
    <mergeCell ref="CN161:CR161"/>
    <mergeCell ref="DF161:DJ161"/>
    <mergeCell ref="DX161:EB161"/>
    <mergeCell ref="EP161:ET161"/>
    <mergeCell ref="FH161:FL161"/>
    <mergeCell ref="H163:L163"/>
    <mergeCell ref="DF123:DJ123"/>
    <mergeCell ref="DX123:EB123"/>
    <mergeCell ref="EP123:ET123"/>
    <mergeCell ref="FH123:FL123"/>
    <mergeCell ref="H125:L125"/>
    <mergeCell ref="CN123:CR123"/>
    <mergeCell ref="B161:F161"/>
    <mergeCell ref="T161:X161"/>
    <mergeCell ref="AL161:AP161"/>
    <mergeCell ref="BD161:BH161"/>
    <mergeCell ref="BV161:BZ161"/>
    <mergeCell ref="B123:F123"/>
    <mergeCell ref="T123:X123"/>
    <mergeCell ref="AL123:AP123"/>
    <mergeCell ref="BD123:BH123"/>
    <mergeCell ref="BV123:BZ123"/>
    <mergeCell ref="CN85:CR85"/>
    <mergeCell ref="DF85:DJ85"/>
    <mergeCell ref="DX85:EB85"/>
    <mergeCell ref="EP85:ET85"/>
    <mergeCell ref="FH85:FL85"/>
    <mergeCell ref="H87:L87"/>
    <mergeCell ref="H50:L50"/>
    <mergeCell ref="B85:F85"/>
    <mergeCell ref="T85:X85"/>
    <mergeCell ref="AL85:AP85"/>
    <mergeCell ref="BD85:BH85"/>
    <mergeCell ref="BV85:BZ85"/>
    <mergeCell ref="DF47:DJ47"/>
    <mergeCell ref="DX47:EB47"/>
    <mergeCell ref="EP47:ET47"/>
    <mergeCell ref="FH47:FL47"/>
    <mergeCell ref="B48:E48"/>
    <mergeCell ref="F48:G48"/>
    <mergeCell ref="DF14:DW14"/>
    <mergeCell ref="DX14:EO14"/>
    <mergeCell ref="EP14:FG14"/>
    <mergeCell ref="FH14:FY14"/>
    <mergeCell ref="B47:F47"/>
    <mergeCell ref="T47:X47"/>
    <mergeCell ref="AL47:AP47"/>
    <mergeCell ref="BD47:BH47"/>
    <mergeCell ref="BV47:BZ47"/>
    <mergeCell ref="CN47:CR47"/>
    <mergeCell ref="B14:S14"/>
    <mergeCell ref="T14:AK14"/>
    <mergeCell ref="AL14:BC14"/>
    <mergeCell ref="BD14:BU14"/>
    <mergeCell ref="BV14:CM14"/>
    <mergeCell ref="CN14:DE14"/>
    <mergeCell ref="EB13:EO13"/>
    <mergeCell ref="EP13:ES13"/>
    <mergeCell ref="ET13:FG13"/>
    <mergeCell ref="FH13:FK13"/>
    <mergeCell ref="FL13:FY13"/>
    <mergeCell ref="BV13:BY13"/>
    <mergeCell ref="BZ13:CM13"/>
    <mergeCell ref="CN13:CQ13"/>
    <mergeCell ref="CR13:DE13"/>
    <mergeCell ref="DF13:DI13"/>
    <mergeCell ref="DJ13:DW13"/>
    <mergeCell ref="FK11:FY11"/>
    <mergeCell ref="B13:E13"/>
    <mergeCell ref="F13:S13"/>
    <mergeCell ref="T13:W13"/>
    <mergeCell ref="X13:AK13"/>
    <mergeCell ref="AL13:AO13"/>
    <mergeCell ref="AP13:BC13"/>
    <mergeCell ref="BD13:BG13"/>
    <mergeCell ref="BH13:BU13"/>
    <mergeCell ref="DF11:DH11"/>
    <mergeCell ref="DI11:DW11"/>
    <mergeCell ref="DX11:DZ11"/>
    <mergeCell ref="EA11:EO11"/>
    <mergeCell ref="EP11:ER11"/>
    <mergeCell ref="ES11:FG11"/>
    <mergeCell ref="BD11:BF11"/>
    <mergeCell ref="BG11:BU11"/>
    <mergeCell ref="BV11:BX11"/>
    <mergeCell ref="BY11:CM11"/>
    <mergeCell ref="CN11:CP11"/>
    <mergeCell ref="CQ11:DE11"/>
    <mergeCell ref="B11:D11"/>
    <mergeCell ref="E11:S11"/>
    <mergeCell ref="DX13:EA13"/>
    <mergeCell ref="T11:V11"/>
    <mergeCell ref="W11:AK11"/>
    <mergeCell ref="AL11:AN11"/>
    <mergeCell ref="AO11:BC11"/>
    <mergeCell ref="DX10:DZ10"/>
    <mergeCell ref="EA10:EO10"/>
    <mergeCell ref="EP10:ER10"/>
    <mergeCell ref="ES10:FG10"/>
    <mergeCell ref="FH10:FJ10"/>
    <mergeCell ref="FH11:FJ11"/>
    <mergeCell ref="T8:V9"/>
    <mergeCell ref="W8:AK9"/>
    <mergeCell ref="AL8:AN9"/>
    <mergeCell ref="AO8:BC9"/>
    <mergeCell ref="FK10:FY10"/>
    <mergeCell ref="BV10:BX10"/>
    <mergeCell ref="BY10:CM10"/>
    <mergeCell ref="CN10:CP10"/>
    <mergeCell ref="CQ10:DE10"/>
    <mergeCell ref="DF10:DH10"/>
    <mergeCell ref="DI10:DW10"/>
    <mergeCell ref="FH8:FJ9"/>
    <mergeCell ref="FK8:FY9"/>
    <mergeCell ref="DI8:DW9"/>
    <mergeCell ref="DX8:DZ9"/>
    <mergeCell ref="EA8:EO9"/>
    <mergeCell ref="EP8:ER9"/>
    <mergeCell ref="ES8:FG9"/>
    <mergeCell ref="FK6:FY7"/>
    <mergeCell ref="BV6:BX7"/>
    <mergeCell ref="BY6:CM7"/>
    <mergeCell ref="CN6:CP7"/>
    <mergeCell ref="CQ6:DE7"/>
    <mergeCell ref="DF6:DH7"/>
    <mergeCell ref="DI6:DW7"/>
    <mergeCell ref="B10:D10"/>
    <mergeCell ref="E10:S10"/>
    <mergeCell ref="T10:V10"/>
    <mergeCell ref="W10:AK10"/>
    <mergeCell ref="AL10:AN10"/>
    <mergeCell ref="AO10:BC10"/>
    <mergeCell ref="BD10:BF10"/>
    <mergeCell ref="BG10:BU10"/>
    <mergeCell ref="DF8:DH9"/>
    <mergeCell ref="BD8:BF9"/>
    <mergeCell ref="BG8:BU9"/>
    <mergeCell ref="BV8:BX9"/>
    <mergeCell ref="BY8:CM9"/>
    <mergeCell ref="CN8:CP9"/>
    <mergeCell ref="CQ8:DE9"/>
    <mergeCell ref="B8:D9"/>
    <mergeCell ref="E8:S9"/>
    <mergeCell ref="BV4:BZ4"/>
    <mergeCell ref="CA4:CM4"/>
    <mergeCell ref="CN4:CR4"/>
    <mergeCell ref="CS4:DE4"/>
    <mergeCell ref="DX6:DZ7"/>
    <mergeCell ref="EA6:EO7"/>
    <mergeCell ref="EP6:ER7"/>
    <mergeCell ref="ES6:FG7"/>
    <mergeCell ref="FH6:FJ7"/>
    <mergeCell ref="B4:F4"/>
    <mergeCell ref="G4:S4"/>
    <mergeCell ref="T4:X4"/>
    <mergeCell ref="Y4:AK4"/>
    <mergeCell ref="AL4:AP4"/>
    <mergeCell ref="AQ4:BC4"/>
    <mergeCell ref="FH4:FL4"/>
    <mergeCell ref="FM4:FY4"/>
    <mergeCell ref="B6:D7"/>
    <mergeCell ref="E6:S7"/>
    <mergeCell ref="T6:V7"/>
    <mergeCell ref="W6:AK7"/>
    <mergeCell ref="AL6:AN7"/>
    <mergeCell ref="AO6:BC7"/>
    <mergeCell ref="BD6:BF7"/>
    <mergeCell ref="BG6:BU7"/>
    <mergeCell ref="DF4:DJ4"/>
    <mergeCell ref="DK4:DW4"/>
    <mergeCell ref="DX4:EB4"/>
    <mergeCell ref="EC4:EO4"/>
    <mergeCell ref="EP4:ET4"/>
    <mergeCell ref="EU4:FG4"/>
    <mergeCell ref="BD4:BH4"/>
    <mergeCell ref="BI4:BU4"/>
    <mergeCell ref="DF1:DW1"/>
    <mergeCell ref="DX1:EO1"/>
    <mergeCell ref="EP1:FG1"/>
    <mergeCell ref="FH1:FY1"/>
    <mergeCell ref="I2:M2"/>
    <mergeCell ref="AA2:AE2"/>
    <mergeCell ref="AS2:AW2"/>
    <mergeCell ref="BK2:BO2"/>
    <mergeCell ref="CC2:CG2"/>
    <mergeCell ref="CU2:CY2"/>
    <mergeCell ref="B1:S1"/>
    <mergeCell ref="T1:AK1"/>
    <mergeCell ref="AL1:BC1"/>
    <mergeCell ref="BD1:BU1"/>
    <mergeCell ref="BV1:CM1"/>
    <mergeCell ref="CN1:DE1"/>
    <mergeCell ref="DM2:DQ2"/>
    <mergeCell ref="EE2:EI2"/>
    <mergeCell ref="EW2:FA2"/>
    <mergeCell ref="FO2:FS2"/>
  </mergeCells>
  <pageMargins left="0.3" right="0.16" top="0.22" bottom="0.21" header="0.18" footer="0.17"/>
  <pageSetup paperSize="9" scale="95"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pageSetUpPr fitToPage="1"/>
  </sheetPr>
  <dimension ref="A1:R63"/>
  <sheetViews>
    <sheetView view="pageBreakPreview" zoomScaleNormal="100" workbookViewId="0">
      <selection activeCell="G22" sqref="G22"/>
    </sheetView>
  </sheetViews>
  <sheetFormatPr defaultRowHeight="12.75" x14ac:dyDescent="0.2"/>
  <cols>
    <col min="1" max="1" width="3.7109375" customWidth="1"/>
    <col min="2" max="5" width="6.7109375" customWidth="1"/>
    <col min="6" max="9" width="4.7109375" customWidth="1"/>
    <col min="10" max="12" width="6.7109375" customWidth="1"/>
    <col min="13" max="13" width="4.140625" customWidth="1"/>
    <col min="14" max="14" width="4.28515625" customWidth="1"/>
    <col min="15" max="15" width="7.7109375" customWidth="1"/>
    <col min="16" max="16" width="4.140625" customWidth="1"/>
    <col min="17" max="17" width="4.28515625" customWidth="1"/>
    <col min="18" max="18" width="7.7109375" customWidth="1"/>
  </cols>
  <sheetData>
    <row r="1" spans="1:18" ht="15" customHeight="1" x14ac:dyDescent="0.2">
      <c r="A1" s="968" t="s">
        <v>339</v>
      </c>
      <c r="B1" s="968"/>
      <c r="C1" s="968"/>
      <c r="D1" s="968"/>
      <c r="E1" s="968"/>
      <c r="F1" s="968"/>
      <c r="G1" s="968"/>
      <c r="H1" s="968"/>
      <c r="I1" s="968"/>
      <c r="J1" s="968"/>
      <c r="K1" s="968"/>
      <c r="L1" s="968"/>
      <c r="M1" s="968"/>
      <c r="N1" s="968"/>
      <c r="O1" s="968"/>
      <c r="P1" s="968"/>
      <c r="Q1" s="968"/>
      <c r="R1" s="968"/>
    </row>
    <row r="2" spans="1:18" ht="15" customHeight="1" x14ac:dyDescent="0.25">
      <c r="B2" s="165"/>
      <c r="G2" s="166"/>
      <c r="H2" s="167" t="s">
        <v>8</v>
      </c>
      <c r="I2" s="969"/>
      <c r="J2" s="969"/>
      <c r="K2" s="969"/>
      <c r="L2" s="969"/>
      <c r="M2" s="169"/>
    </row>
    <row r="3" spans="1:18" ht="9.9499999999999993" customHeight="1" x14ac:dyDescent="0.25">
      <c r="B3" s="165"/>
      <c r="G3" s="166"/>
      <c r="H3" s="167"/>
      <c r="I3" s="168"/>
      <c r="J3" s="170"/>
      <c r="K3" s="170"/>
      <c r="L3" s="171"/>
      <c r="M3" s="169"/>
    </row>
    <row r="4" spans="1:18" ht="15" customHeight="1" x14ac:dyDescent="0.25">
      <c r="A4" s="965" t="s">
        <v>340</v>
      </c>
      <c r="B4" s="966"/>
      <c r="C4" s="966"/>
      <c r="D4" s="966"/>
      <c r="E4" s="983"/>
      <c r="F4" s="994"/>
      <c r="G4" s="884"/>
      <c r="H4" s="884"/>
      <c r="I4" s="884"/>
      <c r="J4" s="884"/>
      <c r="K4" s="884"/>
      <c r="L4" s="984"/>
      <c r="M4" s="1008" t="s">
        <v>341</v>
      </c>
      <c r="N4" s="1009"/>
      <c r="O4" s="1010"/>
      <c r="P4" s="1010"/>
      <c r="Q4" s="1010"/>
      <c r="R4" s="1011"/>
    </row>
    <row r="5" spans="1:18" ht="15" customHeight="1" x14ac:dyDescent="0.2">
      <c r="A5" s="995" t="s">
        <v>0</v>
      </c>
      <c r="B5" s="996"/>
      <c r="C5" s="996"/>
      <c r="D5" s="996"/>
      <c r="E5" s="997"/>
      <c r="F5" s="1013" t="e">
        <f>#REF!</f>
        <v>#REF!</v>
      </c>
      <c r="G5" s="1014"/>
      <c r="H5" s="1014"/>
      <c r="I5" s="1014"/>
      <c r="J5" s="1014"/>
      <c r="K5" s="1014"/>
      <c r="L5" s="1014"/>
      <c r="M5" s="1014"/>
      <c r="N5" s="1014"/>
      <c r="O5" s="1014"/>
      <c r="P5" s="1014"/>
      <c r="Q5" s="1014"/>
      <c r="R5" s="1015"/>
    </row>
    <row r="6" spans="1:18" ht="15" customHeight="1" x14ac:dyDescent="0.2">
      <c r="A6" s="1001" t="s">
        <v>342</v>
      </c>
      <c r="B6" s="1002"/>
      <c r="C6" s="1002"/>
      <c r="D6" s="1002"/>
      <c r="E6" s="1002"/>
      <c r="F6" s="1018" t="e">
        <f>#REF!</f>
        <v>#REF!</v>
      </c>
      <c r="G6" s="1019"/>
      <c r="H6" s="1019"/>
      <c r="I6" s="1019"/>
      <c r="J6" s="1019"/>
      <c r="K6" s="1019"/>
      <c r="L6" s="1019"/>
      <c r="M6" s="1019"/>
      <c r="N6" s="1019"/>
      <c r="O6" s="1019"/>
      <c r="P6" s="1019"/>
      <c r="Q6" s="1019"/>
      <c r="R6" s="1020"/>
    </row>
    <row r="7" spans="1:18" ht="15" customHeight="1" x14ac:dyDescent="0.2">
      <c r="A7" s="1016"/>
      <c r="B7" s="1017"/>
      <c r="C7" s="1017"/>
      <c r="D7" s="1017"/>
      <c r="E7" s="1017"/>
      <c r="F7" s="1021"/>
      <c r="G7" s="1022"/>
      <c r="H7" s="1022"/>
      <c r="I7" s="1022"/>
      <c r="J7" s="1022"/>
      <c r="K7" s="1022"/>
      <c r="L7" s="1022"/>
      <c r="M7" s="1022"/>
      <c r="N7" s="1022"/>
      <c r="O7" s="1022"/>
      <c r="P7" s="1022"/>
      <c r="Q7" s="1022"/>
      <c r="R7" s="1023"/>
    </row>
    <row r="8" spans="1:18" ht="30" hidden="1" customHeight="1" x14ac:dyDescent="0.2">
      <c r="A8" s="1004"/>
      <c r="B8" s="1005"/>
      <c r="C8" s="1005"/>
      <c r="D8" s="1005"/>
      <c r="E8" s="1005"/>
      <c r="F8" s="1024" t="s">
        <v>343</v>
      </c>
      <c r="G8" s="1025"/>
      <c r="H8" s="1025"/>
      <c r="I8" s="1025"/>
      <c r="J8" s="1025"/>
      <c r="K8" s="1025"/>
      <c r="L8" s="1025"/>
      <c r="M8" s="1025"/>
      <c r="N8" s="1025"/>
      <c r="O8" s="1025"/>
      <c r="P8" s="1025"/>
      <c r="Q8" s="1025"/>
      <c r="R8" s="1026"/>
    </row>
    <row r="9" spans="1:18" ht="15" customHeight="1" x14ac:dyDescent="0.2">
      <c r="A9" s="965" t="s">
        <v>638</v>
      </c>
      <c r="B9" s="966"/>
      <c r="C9" s="966"/>
      <c r="D9" s="966"/>
      <c r="E9" s="983"/>
      <c r="F9" s="1021"/>
      <c r="G9" s="1022"/>
      <c r="H9" s="1022"/>
      <c r="I9" s="1022"/>
      <c r="J9" s="1022"/>
      <c r="K9" s="1022"/>
      <c r="L9" s="1022"/>
      <c r="M9" s="1022"/>
      <c r="N9" s="1022"/>
      <c r="O9" s="1022"/>
      <c r="P9" s="1022"/>
      <c r="Q9" s="1022"/>
      <c r="R9" s="1023"/>
    </row>
    <row r="10" spans="1:18" ht="15" hidden="1" customHeight="1" x14ac:dyDescent="0.2">
      <c r="A10" s="965" t="s">
        <v>3</v>
      </c>
      <c r="B10" s="966"/>
      <c r="C10" s="966"/>
      <c r="D10" s="966"/>
      <c r="E10" s="983"/>
      <c r="F10" s="879"/>
      <c r="G10" s="880"/>
      <c r="H10" s="880"/>
      <c r="I10" s="880"/>
      <c r="J10" s="880"/>
      <c r="K10" s="880"/>
      <c r="L10" s="880"/>
      <c r="M10" s="880"/>
      <c r="N10" s="880"/>
      <c r="O10" s="880"/>
      <c r="P10" s="880"/>
      <c r="Q10" s="880"/>
      <c r="R10" s="881"/>
    </row>
    <row r="11" spans="1:18" ht="15" customHeight="1" x14ac:dyDescent="0.25">
      <c r="A11" s="965" t="s">
        <v>344</v>
      </c>
      <c r="B11" s="966"/>
      <c r="C11" s="966"/>
      <c r="D11" s="966"/>
      <c r="E11" s="983"/>
      <c r="F11" s="1012"/>
      <c r="G11" s="1010"/>
      <c r="H11" s="1010"/>
      <c r="I11" s="1010"/>
      <c r="J11" s="1010"/>
      <c r="K11" s="1010"/>
      <c r="L11" s="1011"/>
      <c r="M11" s="1008" t="s">
        <v>341</v>
      </c>
      <c r="N11" s="1009"/>
      <c r="O11" s="1010"/>
      <c r="P11" s="1010"/>
      <c r="Q11" s="1010"/>
      <c r="R11" s="1011"/>
    </row>
    <row r="12" spans="1:18" ht="8.1" customHeight="1" x14ac:dyDescent="0.25">
      <c r="A12" s="172"/>
      <c r="B12" s="172"/>
      <c r="C12" s="172"/>
      <c r="D12" s="172"/>
      <c r="E12" s="172"/>
      <c r="F12" s="173"/>
      <c r="G12" s="173"/>
      <c r="H12" s="173"/>
      <c r="I12" s="173"/>
      <c r="J12" s="173"/>
      <c r="K12" s="173"/>
      <c r="L12" s="173"/>
      <c r="M12" s="174"/>
      <c r="N12" s="174"/>
      <c r="O12" s="173"/>
      <c r="P12" s="173"/>
      <c r="Q12" s="173"/>
      <c r="R12" s="173"/>
    </row>
    <row r="13" spans="1:18" ht="21.95" customHeight="1" x14ac:dyDescent="0.2">
      <c r="A13" s="1027" t="s">
        <v>27</v>
      </c>
      <c r="B13" s="1027"/>
      <c r="C13" s="1027"/>
      <c r="D13" s="1027" t="s">
        <v>28</v>
      </c>
      <c r="E13" s="1027"/>
      <c r="F13" s="1027"/>
      <c r="G13" s="1027"/>
      <c r="H13" s="1027" t="s">
        <v>29</v>
      </c>
      <c r="I13" s="1027"/>
      <c r="J13" s="1027"/>
      <c r="K13" s="1027"/>
      <c r="L13" s="1032" t="s">
        <v>30</v>
      </c>
      <c r="M13" s="1032"/>
      <c r="N13" s="1032"/>
      <c r="O13" s="1032"/>
      <c r="P13" s="1027" t="s">
        <v>31</v>
      </c>
      <c r="Q13" s="1027"/>
      <c r="R13" s="1027"/>
    </row>
    <row r="14" spans="1:18" ht="15" customHeight="1" x14ac:dyDescent="0.25">
      <c r="A14" s="1028"/>
      <c r="B14" s="1028"/>
      <c r="C14" s="1028"/>
      <c r="D14" s="1028"/>
      <c r="E14" s="1028"/>
      <c r="F14" s="1028"/>
      <c r="G14" s="1028"/>
      <c r="H14" s="1029"/>
      <c r="I14" s="1029"/>
      <c r="J14" s="1029"/>
      <c r="K14" s="1029"/>
      <c r="L14" s="1029"/>
      <c r="M14" s="1029"/>
      <c r="N14" s="1029"/>
      <c r="O14" s="1029"/>
      <c r="P14" s="1029"/>
      <c r="Q14" s="1029"/>
      <c r="R14" s="1029"/>
    </row>
    <row r="15" spans="1:18" ht="8.1" customHeight="1" x14ac:dyDescent="0.25">
      <c r="A15" s="175"/>
      <c r="B15" s="175"/>
      <c r="C15" s="175"/>
      <c r="D15" s="175"/>
      <c r="E15" s="175"/>
      <c r="F15" s="175"/>
      <c r="G15" s="175"/>
      <c r="H15" s="176"/>
      <c r="I15" s="176"/>
      <c r="J15" s="176"/>
      <c r="K15" s="176"/>
      <c r="L15" s="176"/>
      <c r="M15" s="176"/>
      <c r="N15" s="176"/>
      <c r="O15" s="176"/>
      <c r="P15" s="176"/>
      <c r="Q15" s="176"/>
      <c r="R15" s="176"/>
    </row>
    <row r="16" spans="1:18" ht="12.75" customHeight="1" x14ac:dyDescent="0.2">
      <c r="A16" s="1027" t="s">
        <v>7</v>
      </c>
      <c r="B16" s="1031" t="s">
        <v>345</v>
      </c>
      <c r="C16" s="1031"/>
      <c r="D16" s="1031"/>
      <c r="E16" s="1031"/>
      <c r="F16" s="1033" t="s">
        <v>346</v>
      </c>
      <c r="G16" s="1033"/>
      <c r="H16" s="1033"/>
      <c r="I16" s="1033"/>
      <c r="J16" s="1033"/>
      <c r="K16" s="1033"/>
      <c r="L16" s="1033"/>
      <c r="M16" s="1027" t="s">
        <v>347</v>
      </c>
      <c r="N16" s="1027"/>
      <c r="O16" s="1027"/>
      <c r="P16" s="1027" t="s">
        <v>348</v>
      </c>
      <c r="Q16" s="1027"/>
      <c r="R16" s="1027"/>
    </row>
    <row r="17" spans="1:18" ht="22.5" customHeight="1" x14ac:dyDescent="0.2">
      <c r="A17" s="1027"/>
      <c r="B17" s="1030" t="s">
        <v>349</v>
      </c>
      <c r="C17" s="1030" t="s">
        <v>350</v>
      </c>
      <c r="D17" s="1030" t="s">
        <v>351</v>
      </c>
      <c r="E17" s="1030" t="s">
        <v>352</v>
      </c>
      <c r="F17" s="1027" t="s">
        <v>353</v>
      </c>
      <c r="G17" s="1027"/>
      <c r="H17" s="1027"/>
      <c r="I17" s="1027"/>
      <c r="J17" s="1030" t="s">
        <v>354</v>
      </c>
      <c r="K17" s="1030" t="s">
        <v>355</v>
      </c>
      <c r="L17" s="1030" t="s">
        <v>356</v>
      </c>
      <c r="M17" s="1027"/>
      <c r="N17" s="1027"/>
      <c r="O17" s="1027"/>
      <c r="P17" s="1027"/>
      <c r="Q17" s="1027"/>
      <c r="R17" s="1027"/>
    </row>
    <row r="18" spans="1:18" ht="15" customHeight="1" x14ac:dyDescent="0.2">
      <c r="A18" s="1027"/>
      <c r="B18" s="1030"/>
      <c r="C18" s="1030"/>
      <c r="D18" s="1030"/>
      <c r="E18" s="1030"/>
      <c r="F18" s="1031" t="s">
        <v>357</v>
      </c>
      <c r="G18" s="1031"/>
      <c r="H18" s="1031" t="s">
        <v>358</v>
      </c>
      <c r="I18" s="1031"/>
      <c r="J18" s="1030"/>
      <c r="K18" s="1030"/>
      <c r="L18" s="1030"/>
      <c r="M18" s="1027"/>
      <c r="N18" s="1027"/>
      <c r="O18" s="1027"/>
      <c r="P18" s="1027"/>
      <c r="Q18" s="1027"/>
      <c r="R18" s="1027"/>
    </row>
    <row r="19" spans="1:18" ht="22.5" customHeight="1" x14ac:dyDescent="0.25">
      <c r="A19" s="1027"/>
      <c r="B19" s="1030"/>
      <c r="C19" s="1030"/>
      <c r="D19" s="1030"/>
      <c r="E19" s="1030"/>
      <c r="F19" s="177" t="s">
        <v>359</v>
      </c>
      <c r="G19" s="177" t="s">
        <v>360</v>
      </c>
      <c r="H19" s="177" t="s">
        <v>359</v>
      </c>
      <c r="I19" s="177" t="s">
        <v>360</v>
      </c>
      <c r="J19" s="1030"/>
      <c r="K19" s="1030"/>
      <c r="L19" s="1030"/>
      <c r="M19" s="1031" t="s">
        <v>361</v>
      </c>
      <c r="N19" s="1031"/>
      <c r="O19" s="178" t="s">
        <v>362</v>
      </c>
      <c r="P19" s="1031" t="s">
        <v>363</v>
      </c>
      <c r="Q19" s="1031"/>
      <c r="R19" s="178" t="s">
        <v>364</v>
      </c>
    </row>
    <row r="20" spans="1:18" ht="9.9499999999999993" customHeight="1" x14ac:dyDescent="0.2">
      <c r="A20" s="179">
        <v>1</v>
      </c>
      <c r="B20" s="180">
        <v>2</v>
      </c>
      <c r="C20" s="180">
        <v>3</v>
      </c>
      <c r="D20" s="179">
        <v>4</v>
      </c>
      <c r="E20" s="180">
        <v>5</v>
      </c>
      <c r="F20" s="180">
        <v>6</v>
      </c>
      <c r="G20" s="179">
        <v>7</v>
      </c>
      <c r="H20" s="180">
        <v>8</v>
      </c>
      <c r="I20" s="180">
        <v>9</v>
      </c>
      <c r="J20" s="179">
        <v>10</v>
      </c>
      <c r="K20" s="180">
        <v>11</v>
      </c>
      <c r="L20" s="180">
        <v>12</v>
      </c>
      <c r="M20" s="1036">
        <v>13</v>
      </c>
      <c r="N20" s="1036"/>
      <c r="O20" s="180">
        <v>14</v>
      </c>
      <c r="P20" s="1036">
        <v>15</v>
      </c>
      <c r="Q20" s="1036"/>
      <c r="R20" s="180">
        <v>16</v>
      </c>
    </row>
    <row r="21" spans="1:18" ht="15" customHeight="1" x14ac:dyDescent="0.2">
      <c r="A21" s="181">
        <v>1</v>
      </c>
      <c r="B21" s="182"/>
      <c r="C21" s="183">
        <v>1</v>
      </c>
      <c r="D21" s="184"/>
      <c r="E21" s="184"/>
      <c r="F21" s="184"/>
      <c r="G21" s="184"/>
      <c r="H21" s="184"/>
      <c r="I21" s="184"/>
      <c r="J21" s="184"/>
      <c r="K21" s="184"/>
      <c r="L21" s="184"/>
      <c r="M21" s="1034"/>
      <c r="N21" s="1035"/>
      <c r="O21" s="184"/>
      <c r="P21" s="1034"/>
      <c r="Q21" s="1035"/>
      <c r="R21" s="184"/>
    </row>
    <row r="22" spans="1:18" ht="15" customHeight="1" x14ac:dyDescent="0.2">
      <c r="A22" s="181">
        <v>2</v>
      </c>
      <c r="B22" s="182"/>
      <c r="C22" s="183">
        <v>2</v>
      </c>
      <c r="D22" s="184"/>
      <c r="E22" s="184"/>
      <c r="F22" s="184"/>
      <c r="G22" s="184"/>
      <c r="H22" s="184"/>
      <c r="I22" s="184"/>
      <c r="J22" s="184"/>
      <c r="K22" s="184"/>
      <c r="L22" s="184"/>
      <c r="M22" s="1034"/>
      <c r="N22" s="1035"/>
      <c r="O22" s="184"/>
      <c r="P22" s="1034"/>
      <c r="Q22" s="1035"/>
      <c r="R22" s="184"/>
    </row>
    <row r="23" spans="1:18" ht="15" customHeight="1" x14ac:dyDescent="0.2">
      <c r="A23" s="181">
        <v>3</v>
      </c>
      <c r="B23" s="182"/>
      <c r="C23" s="183">
        <v>3</v>
      </c>
      <c r="D23" s="184"/>
      <c r="E23" s="184"/>
      <c r="F23" s="184"/>
      <c r="G23" s="184"/>
      <c r="H23" s="184"/>
      <c r="I23" s="184"/>
      <c r="J23" s="184"/>
      <c r="K23" s="184"/>
      <c r="L23" s="184"/>
      <c r="M23" s="1034"/>
      <c r="N23" s="1035"/>
      <c r="O23" s="184"/>
      <c r="P23" s="1034"/>
      <c r="Q23" s="1035"/>
      <c r="R23" s="184"/>
    </row>
    <row r="24" spans="1:18" ht="15" customHeight="1" x14ac:dyDescent="0.2">
      <c r="A24" s="181">
        <v>4</v>
      </c>
      <c r="B24" s="182"/>
      <c r="C24" s="183">
        <v>4</v>
      </c>
      <c r="D24" s="184"/>
      <c r="E24" s="184"/>
      <c r="F24" s="184"/>
      <c r="G24" s="184"/>
      <c r="H24" s="184"/>
      <c r="I24" s="184"/>
      <c r="J24" s="184"/>
      <c r="K24" s="184"/>
      <c r="L24" s="184"/>
      <c r="M24" s="1034"/>
      <c r="N24" s="1035"/>
      <c r="O24" s="184"/>
      <c r="P24" s="1034"/>
      <c r="Q24" s="1035"/>
      <c r="R24" s="184"/>
    </row>
    <row r="25" spans="1:18" ht="15" customHeight="1" x14ac:dyDescent="0.2">
      <c r="A25" s="181">
        <v>5</v>
      </c>
      <c r="B25" s="182"/>
      <c r="C25" s="183">
        <v>5</v>
      </c>
      <c r="D25" s="184"/>
      <c r="E25" s="184"/>
      <c r="F25" s="184"/>
      <c r="G25" s="184"/>
      <c r="H25" s="184"/>
      <c r="I25" s="184"/>
      <c r="J25" s="184"/>
      <c r="K25" s="184"/>
      <c r="L25" s="184"/>
      <c r="M25" s="1034"/>
      <c r="N25" s="1035"/>
      <c r="O25" s="184"/>
      <c r="P25" s="1034"/>
      <c r="Q25" s="1035"/>
      <c r="R25" s="184"/>
    </row>
    <row r="26" spans="1:18" ht="15" customHeight="1" x14ac:dyDescent="0.2">
      <c r="A26" s="181">
        <v>6</v>
      </c>
      <c r="B26" s="182"/>
      <c r="C26" s="183">
        <v>6</v>
      </c>
      <c r="D26" s="184"/>
      <c r="E26" s="184"/>
      <c r="F26" s="184"/>
      <c r="G26" s="184"/>
      <c r="H26" s="184"/>
      <c r="I26" s="184"/>
      <c r="J26" s="184"/>
      <c r="K26" s="184"/>
      <c r="L26" s="184"/>
      <c r="M26" s="1034"/>
      <c r="N26" s="1035"/>
      <c r="O26" s="184"/>
      <c r="P26" s="1034"/>
      <c r="Q26" s="1035"/>
      <c r="R26" s="184"/>
    </row>
    <row r="27" spans="1:18" ht="15" customHeight="1" x14ac:dyDescent="0.2">
      <c r="A27" s="181">
        <v>7</v>
      </c>
      <c r="B27" s="182"/>
      <c r="C27" s="183">
        <v>7</v>
      </c>
      <c r="D27" s="184"/>
      <c r="E27" s="184"/>
      <c r="F27" s="184"/>
      <c r="G27" s="184"/>
      <c r="H27" s="184"/>
      <c r="I27" s="184"/>
      <c r="J27" s="184"/>
      <c r="K27" s="184"/>
      <c r="L27" s="184"/>
      <c r="M27" s="1034"/>
      <c r="N27" s="1035"/>
      <c r="O27" s="184"/>
      <c r="P27" s="1034"/>
      <c r="Q27" s="1035"/>
      <c r="R27" s="184"/>
    </row>
    <row r="28" spans="1:18" ht="15" customHeight="1" x14ac:dyDescent="0.2">
      <c r="A28" s="181">
        <v>8</v>
      </c>
      <c r="B28" s="182"/>
      <c r="C28" s="183">
        <v>8</v>
      </c>
      <c r="D28" s="184"/>
      <c r="E28" s="184"/>
      <c r="F28" s="184"/>
      <c r="G28" s="184"/>
      <c r="H28" s="184"/>
      <c r="I28" s="184"/>
      <c r="J28" s="184"/>
      <c r="K28" s="184"/>
      <c r="L28" s="184"/>
      <c r="M28" s="1034"/>
      <c r="N28" s="1035"/>
      <c r="O28" s="184"/>
      <c r="P28" s="1034"/>
      <c r="Q28" s="1035"/>
      <c r="R28" s="184"/>
    </row>
    <row r="29" spans="1:18" ht="15" customHeight="1" x14ac:dyDescent="0.2">
      <c r="A29" s="181">
        <v>9</v>
      </c>
      <c r="B29" s="182"/>
      <c r="C29" s="183">
        <v>9</v>
      </c>
      <c r="D29" s="184"/>
      <c r="E29" s="184"/>
      <c r="F29" s="184"/>
      <c r="G29" s="184"/>
      <c r="H29" s="184"/>
      <c r="I29" s="184"/>
      <c r="J29" s="184"/>
      <c r="K29" s="184"/>
      <c r="L29" s="184"/>
      <c r="M29" s="1034"/>
      <c r="N29" s="1035"/>
      <c r="O29" s="184"/>
      <c r="P29" s="1034"/>
      <c r="Q29" s="1035"/>
      <c r="R29" s="184"/>
    </row>
    <row r="30" spans="1:18" ht="15" customHeight="1" x14ac:dyDescent="0.2">
      <c r="A30" s="181">
        <v>10</v>
      </c>
      <c r="B30" s="182"/>
      <c r="C30" s="183">
        <v>10</v>
      </c>
      <c r="D30" s="184"/>
      <c r="E30" s="184"/>
      <c r="F30" s="184"/>
      <c r="G30" s="184"/>
      <c r="H30" s="184"/>
      <c r="I30" s="184"/>
      <c r="J30" s="184"/>
      <c r="K30" s="184"/>
      <c r="L30" s="184"/>
      <c r="M30" s="1034"/>
      <c r="N30" s="1035"/>
      <c r="O30" s="184"/>
      <c r="P30" s="1034"/>
      <c r="Q30" s="1035"/>
      <c r="R30" s="184"/>
    </row>
    <row r="31" spans="1:18" ht="15" customHeight="1" x14ac:dyDescent="0.2">
      <c r="A31" s="181">
        <v>11</v>
      </c>
      <c r="B31" s="182"/>
      <c r="C31" s="183">
        <v>11</v>
      </c>
      <c r="D31" s="184"/>
      <c r="E31" s="184"/>
      <c r="F31" s="184"/>
      <c r="G31" s="184"/>
      <c r="H31" s="184"/>
      <c r="I31" s="184"/>
      <c r="J31" s="184"/>
      <c r="K31" s="184"/>
      <c r="L31" s="184"/>
      <c r="M31" s="1034"/>
      <c r="N31" s="1035"/>
      <c r="O31" s="184"/>
      <c r="P31" s="1034"/>
      <c r="Q31" s="1035"/>
      <c r="R31" s="184"/>
    </row>
    <row r="32" spans="1:18" ht="15" customHeight="1" x14ac:dyDescent="0.2">
      <c r="A32" s="181">
        <v>12</v>
      </c>
      <c r="B32" s="182"/>
      <c r="C32" s="183">
        <v>12</v>
      </c>
      <c r="D32" s="184"/>
      <c r="E32" s="184"/>
      <c r="F32" s="184"/>
      <c r="G32" s="184"/>
      <c r="H32" s="184"/>
      <c r="I32" s="184"/>
      <c r="J32" s="184"/>
      <c r="K32" s="184"/>
      <c r="L32" s="184"/>
      <c r="M32" s="1034"/>
      <c r="N32" s="1035"/>
      <c r="O32" s="184"/>
      <c r="P32" s="1034"/>
      <c r="Q32" s="1035"/>
      <c r="R32" s="184"/>
    </row>
    <row r="33" spans="1:18" ht="15" customHeight="1" x14ac:dyDescent="0.2">
      <c r="A33" s="181">
        <v>13</v>
      </c>
      <c r="B33" s="182"/>
      <c r="C33" s="183">
        <v>13</v>
      </c>
      <c r="D33" s="184"/>
      <c r="E33" s="184"/>
      <c r="F33" s="184"/>
      <c r="G33" s="184"/>
      <c r="H33" s="184"/>
      <c r="I33" s="184"/>
      <c r="J33" s="184"/>
      <c r="K33" s="184"/>
      <c r="L33" s="184"/>
      <c r="M33" s="1034"/>
      <c r="N33" s="1035"/>
      <c r="O33" s="184"/>
      <c r="P33" s="1034"/>
      <c r="Q33" s="1035"/>
      <c r="R33" s="184"/>
    </row>
    <row r="34" spans="1:18" ht="15" customHeight="1" x14ac:dyDescent="0.2">
      <c r="A34" s="181">
        <v>14</v>
      </c>
      <c r="B34" s="182"/>
      <c r="C34" s="183">
        <v>14</v>
      </c>
      <c r="D34" s="184"/>
      <c r="E34" s="184"/>
      <c r="F34" s="184"/>
      <c r="G34" s="184"/>
      <c r="H34" s="184"/>
      <c r="I34" s="184"/>
      <c r="J34" s="184"/>
      <c r="K34" s="184"/>
      <c r="L34" s="184"/>
      <c r="M34" s="1034"/>
      <c r="N34" s="1035"/>
      <c r="O34" s="184"/>
      <c r="P34" s="1034"/>
      <c r="Q34" s="1035"/>
      <c r="R34" s="184"/>
    </row>
    <row r="35" spans="1:18" ht="15" customHeight="1" x14ac:dyDescent="0.2">
      <c r="A35" s="181">
        <v>15</v>
      </c>
      <c r="B35" s="182"/>
      <c r="C35" s="183">
        <v>15</v>
      </c>
      <c r="D35" s="184"/>
      <c r="E35" s="184"/>
      <c r="F35" s="184"/>
      <c r="G35" s="184"/>
      <c r="H35" s="184"/>
      <c r="I35" s="184"/>
      <c r="J35" s="184"/>
      <c r="K35" s="184"/>
      <c r="L35" s="184"/>
      <c r="M35" s="1034"/>
      <c r="N35" s="1035"/>
      <c r="O35" s="184"/>
      <c r="P35" s="1034"/>
      <c r="Q35" s="1035"/>
      <c r="R35" s="184"/>
    </row>
    <row r="36" spans="1:18" ht="15" customHeight="1" x14ac:dyDescent="0.2">
      <c r="A36" s="181">
        <v>16</v>
      </c>
      <c r="B36" s="182"/>
      <c r="C36" s="183">
        <v>16</v>
      </c>
      <c r="D36" s="184"/>
      <c r="E36" s="184"/>
      <c r="F36" s="184"/>
      <c r="G36" s="184"/>
      <c r="H36" s="184"/>
      <c r="I36" s="184"/>
      <c r="J36" s="184"/>
      <c r="K36" s="184"/>
      <c r="L36" s="184"/>
      <c r="M36" s="1034"/>
      <c r="N36" s="1035"/>
      <c r="O36" s="184"/>
      <c r="P36" s="1034"/>
      <c r="Q36" s="1035"/>
      <c r="R36" s="184"/>
    </row>
    <row r="37" spans="1:18" ht="15" customHeight="1" x14ac:dyDescent="0.2">
      <c r="A37" s="181">
        <v>17</v>
      </c>
      <c r="B37" s="182"/>
      <c r="C37" s="183">
        <v>17</v>
      </c>
      <c r="D37" s="184"/>
      <c r="E37" s="184"/>
      <c r="F37" s="184"/>
      <c r="G37" s="184"/>
      <c r="H37" s="184"/>
      <c r="I37" s="184"/>
      <c r="J37" s="184"/>
      <c r="K37" s="184"/>
      <c r="L37" s="184"/>
      <c r="M37" s="1034"/>
      <c r="N37" s="1035"/>
      <c r="O37" s="184"/>
      <c r="P37" s="1034"/>
      <c r="Q37" s="1035"/>
      <c r="R37" s="184"/>
    </row>
    <row r="38" spans="1:18" ht="15" customHeight="1" x14ac:dyDescent="0.2">
      <c r="A38" s="181">
        <v>18</v>
      </c>
      <c r="B38" s="182"/>
      <c r="C38" s="183">
        <v>18</v>
      </c>
      <c r="D38" s="184"/>
      <c r="E38" s="184"/>
      <c r="F38" s="184"/>
      <c r="G38" s="184"/>
      <c r="H38" s="184"/>
      <c r="I38" s="184"/>
      <c r="J38" s="184"/>
      <c r="K38" s="184"/>
      <c r="L38" s="184"/>
      <c r="M38" s="1034"/>
      <c r="N38" s="1035"/>
      <c r="O38" s="184"/>
      <c r="P38" s="1034"/>
      <c r="Q38" s="1035"/>
      <c r="R38" s="184"/>
    </row>
    <row r="39" spans="1:18" ht="15" customHeight="1" x14ac:dyDescent="0.2">
      <c r="A39" s="181">
        <v>19</v>
      </c>
      <c r="B39" s="182"/>
      <c r="C39" s="183">
        <v>19</v>
      </c>
      <c r="D39" s="184"/>
      <c r="E39" s="184"/>
      <c r="F39" s="184"/>
      <c r="G39" s="184"/>
      <c r="H39" s="184"/>
      <c r="I39" s="184"/>
      <c r="J39" s="184"/>
      <c r="K39" s="184"/>
      <c r="L39" s="184"/>
      <c r="M39" s="1034"/>
      <c r="N39" s="1035"/>
      <c r="O39" s="184"/>
      <c r="P39" s="1034"/>
      <c r="Q39" s="1035"/>
      <c r="R39" s="184"/>
    </row>
    <row r="40" spans="1:18" ht="15" customHeight="1" x14ac:dyDescent="0.2">
      <c r="A40" s="181">
        <v>20</v>
      </c>
      <c r="B40" s="182"/>
      <c r="C40" s="183">
        <v>20</v>
      </c>
      <c r="D40" s="184"/>
      <c r="E40" s="184"/>
      <c r="F40" s="184"/>
      <c r="G40" s="184"/>
      <c r="H40" s="184"/>
      <c r="I40" s="184"/>
      <c r="J40" s="184"/>
      <c r="K40" s="184"/>
      <c r="L40" s="184"/>
      <c r="M40" s="1034"/>
      <c r="N40" s="1035"/>
      <c r="O40" s="184"/>
      <c r="P40" s="1034"/>
      <c r="Q40" s="1035"/>
      <c r="R40" s="184"/>
    </row>
    <row r="41" spans="1:18" ht="15" customHeight="1" x14ac:dyDescent="0.2">
      <c r="A41" s="181">
        <v>21</v>
      </c>
      <c r="B41" s="182"/>
      <c r="C41" s="183">
        <v>21</v>
      </c>
      <c r="D41" s="184"/>
      <c r="E41" s="184"/>
      <c r="F41" s="184"/>
      <c r="G41" s="184"/>
      <c r="H41" s="184"/>
      <c r="I41" s="184"/>
      <c r="J41" s="184"/>
      <c r="K41" s="184"/>
      <c r="L41" s="184"/>
      <c r="M41" s="1034"/>
      <c r="N41" s="1035"/>
      <c r="O41" s="184"/>
      <c r="P41" s="1034"/>
      <c r="Q41" s="1035"/>
      <c r="R41" s="184"/>
    </row>
    <row r="42" spans="1:18" ht="15" customHeight="1" x14ac:dyDescent="0.2">
      <c r="A42" s="181">
        <v>22</v>
      </c>
      <c r="B42" s="182"/>
      <c r="C42" s="183">
        <v>22</v>
      </c>
      <c r="D42" s="184"/>
      <c r="E42" s="184"/>
      <c r="F42" s="184"/>
      <c r="G42" s="184"/>
      <c r="H42" s="184"/>
      <c r="I42" s="184"/>
      <c r="J42" s="184"/>
      <c r="K42" s="184"/>
      <c r="L42" s="184"/>
      <c r="M42" s="1034"/>
      <c r="N42" s="1035"/>
      <c r="O42" s="184"/>
      <c r="P42" s="1034"/>
      <c r="Q42" s="1035"/>
      <c r="R42" s="184"/>
    </row>
    <row r="43" spans="1:18" ht="15" customHeight="1" x14ac:dyDescent="0.2">
      <c r="A43" s="181">
        <v>23</v>
      </c>
      <c r="B43" s="182"/>
      <c r="C43" s="183">
        <v>23</v>
      </c>
      <c r="D43" s="184"/>
      <c r="E43" s="184"/>
      <c r="F43" s="184"/>
      <c r="G43" s="184"/>
      <c r="H43" s="184"/>
      <c r="I43" s="184"/>
      <c r="J43" s="184"/>
      <c r="K43" s="184"/>
      <c r="L43" s="184"/>
      <c r="M43" s="1034"/>
      <c r="N43" s="1035"/>
      <c r="O43" s="184"/>
      <c r="P43" s="1034"/>
      <c r="Q43" s="1035"/>
      <c r="R43" s="184"/>
    </row>
    <row r="44" spans="1:18" ht="15" customHeight="1" x14ac:dyDescent="0.2">
      <c r="A44" s="181">
        <v>24</v>
      </c>
      <c r="B44" s="182"/>
      <c r="C44" s="183">
        <v>24</v>
      </c>
      <c r="D44" s="184"/>
      <c r="E44" s="184"/>
      <c r="F44" s="184"/>
      <c r="G44" s="184"/>
      <c r="H44" s="184"/>
      <c r="I44" s="184"/>
      <c r="J44" s="184"/>
      <c r="K44" s="184"/>
      <c r="L44" s="184"/>
      <c r="M44" s="1034"/>
      <c r="N44" s="1035"/>
      <c r="O44" s="184"/>
      <c r="P44" s="1034"/>
      <c r="Q44" s="1035"/>
      <c r="R44" s="184"/>
    </row>
    <row r="45" spans="1:18" ht="15" customHeight="1" x14ac:dyDescent="0.2">
      <c r="A45" s="181">
        <v>25</v>
      </c>
      <c r="B45" s="182"/>
      <c r="C45" s="183">
        <v>25</v>
      </c>
      <c r="D45" s="184"/>
      <c r="E45" s="184"/>
      <c r="F45" s="184"/>
      <c r="G45" s="184"/>
      <c r="H45" s="184"/>
      <c r="I45" s="184"/>
      <c r="J45" s="184"/>
      <c r="K45" s="184"/>
      <c r="L45" s="184"/>
      <c r="M45" s="1034"/>
      <c r="N45" s="1035"/>
      <c r="O45" s="184"/>
      <c r="P45" s="1034"/>
      <c r="Q45" s="1035"/>
      <c r="R45" s="184"/>
    </row>
    <row r="46" spans="1:18" ht="15" customHeight="1" x14ac:dyDescent="0.2">
      <c r="A46" s="181">
        <v>26</v>
      </c>
      <c r="B46" s="182"/>
      <c r="C46" s="183">
        <v>26</v>
      </c>
      <c r="D46" s="184"/>
      <c r="E46" s="184"/>
      <c r="F46" s="184"/>
      <c r="G46" s="184"/>
      <c r="H46" s="184"/>
      <c r="I46" s="184"/>
      <c r="J46" s="184"/>
      <c r="K46" s="184"/>
      <c r="L46" s="184"/>
      <c r="M46" s="1034"/>
      <c r="N46" s="1035"/>
      <c r="O46" s="184"/>
      <c r="P46" s="1034"/>
      <c r="Q46" s="1035"/>
      <c r="R46" s="184"/>
    </row>
    <row r="47" spans="1:18" ht="15" customHeight="1" x14ac:dyDescent="0.2">
      <c r="A47" s="181">
        <v>27</v>
      </c>
      <c r="B47" s="182"/>
      <c r="C47" s="183">
        <v>27</v>
      </c>
      <c r="D47" s="184"/>
      <c r="E47" s="184"/>
      <c r="F47" s="184"/>
      <c r="G47" s="184"/>
      <c r="H47" s="184"/>
      <c r="I47" s="184"/>
      <c r="J47" s="184"/>
      <c r="K47" s="184"/>
      <c r="L47" s="184"/>
      <c r="M47" s="1034"/>
      <c r="N47" s="1035"/>
      <c r="O47" s="184"/>
      <c r="P47" s="1034"/>
      <c r="Q47" s="1035"/>
      <c r="R47" s="184"/>
    </row>
    <row r="48" spans="1:18" ht="15" customHeight="1" x14ac:dyDescent="0.2">
      <c r="A48" s="181">
        <v>28</v>
      </c>
      <c r="B48" s="182"/>
      <c r="C48" s="183">
        <v>28</v>
      </c>
      <c r="D48" s="184"/>
      <c r="E48" s="184"/>
      <c r="F48" s="184"/>
      <c r="G48" s="184"/>
      <c r="H48" s="184"/>
      <c r="I48" s="184"/>
      <c r="J48" s="184"/>
      <c r="K48" s="184"/>
      <c r="L48" s="184"/>
      <c r="M48" s="1034"/>
      <c r="N48" s="1035"/>
      <c r="O48" s="184"/>
      <c r="P48" s="1034"/>
      <c r="Q48" s="1035"/>
      <c r="R48" s="184"/>
    </row>
    <row r="49" spans="1:18" ht="15" customHeight="1" x14ac:dyDescent="0.2">
      <c r="A49" s="181">
        <v>29</v>
      </c>
      <c r="B49" s="182"/>
      <c r="C49" s="183">
        <v>29</v>
      </c>
      <c r="D49" s="184"/>
      <c r="E49" s="184"/>
      <c r="F49" s="184"/>
      <c r="G49" s="184"/>
      <c r="H49" s="184"/>
      <c r="I49" s="184"/>
      <c r="J49" s="184"/>
      <c r="K49" s="184"/>
      <c r="L49" s="184"/>
      <c r="M49" s="1034"/>
      <c r="N49" s="1035"/>
      <c r="O49" s="184"/>
      <c r="P49" s="1034"/>
      <c r="Q49" s="1035"/>
      <c r="R49" s="184"/>
    </row>
    <row r="50" spans="1:18" ht="15" customHeight="1" x14ac:dyDescent="0.2">
      <c r="A50" s="181">
        <v>30</v>
      </c>
      <c r="B50" s="182"/>
      <c r="C50" s="183">
        <v>30</v>
      </c>
      <c r="D50" s="184"/>
      <c r="E50" s="184"/>
      <c r="F50" s="184"/>
      <c r="G50" s="184"/>
      <c r="H50" s="184"/>
      <c r="I50" s="184"/>
      <c r="J50" s="184"/>
      <c r="K50" s="184"/>
      <c r="L50" s="184"/>
      <c r="M50" s="1034"/>
      <c r="N50" s="1035"/>
      <c r="O50" s="184"/>
      <c r="P50" s="1034"/>
      <c r="Q50" s="1035"/>
      <c r="R50" s="184"/>
    </row>
    <row r="51" spans="1:18" ht="15" customHeight="1" x14ac:dyDescent="0.2">
      <c r="A51" s="181">
        <v>31</v>
      </c>
      <c r="B51" s="182"/>
      <c r="C51" s="183">
        <v>31</v>
      </c>
      <c r="D51" s="184"/>
      <c r="E51" s="184"/>
      <c r="F51" s="184"/>
      <c r="G51" s="184"/>
      <c r="H51" s="184"/>
      <c r="I51" s="184"/>
      <c r="J51" s="184"/>
      <c r="K51" s="184"/>
      <c r="L51" s="184"/>
      <c r="M51" s="1034"/>
      <c r="N51" s="1035"/>
      <c r="O51" s="184"/>
      <c r="P51" s="1034"/>
      <c r="Q51" s="1035"/>
      <c r="R51" s="184"/>
    </row>
    <row r="52" spans="1:18" ht="15" customHeight="1" x14ac:dyDescent="0.2">
      <c r="A52" s="181">
        <v>32</v>
      </c>
      <c r="B52" s="182"/>
      <c r="C52" s="183">
        <v>32</v>
      </c>
      <c r="D52" s="184"/>
      <c r="E52" s="184"/>
      <c r="F52" s="184"/>
      <c r="G52" s="184"/>
      <c r="H52" s="184"/>
      <c r="I52" s="184"/>
      <c r="J52" s="184"/>
      <c r="K52" s="184"/>
      <c r="L52" s="184"/>
      <c r="M52" s="1034"/>
      <c r="N52" s="1035"/>
      <c r="O52" s="184"/>
      <c r="P52" s="1034"/>
      <c r="Q52" s="1035"/>
      <c r="R52" s="184"/>
    </row>
    <row r="53" spans="1:18" ht="15" customHeight="1" x14ac:dyDescent="0.2">
      <c r="A53" s="181">
        <v>33</v>
      </c>
      <c r="B53" s="182"/>
      <c r="C53" s="183">
        <v>33</v>
      </c>
      <c r="D53" s="184"/>
      <c r="E53" s="184"/>
      <c r="F53" s="184"/>
      <c r="G53" s="184"/>
      <c r="H53" s="184"/>
      <c r="I53" s="184"/>
      <c r="J53" s="184"/>
      <c r="K53" s="184"/>
      <c r="L53" s="184"/>
      <c r="M53" s="1034"/>
      <c r="N53" s="1035"/>
      <c r="O53" s="184"/>
      <c r="P53" s="1034"/>
      <c r="Q53" s="1035"/>
      <c r="R53" s="184"/>
    </row>
    <row r="54" spans="1:18" ht="15" customHeight="1" x14ac:dyDescent="0.2">
      <c r="A54" s="181">
        <v>34</v>
      </c>
      <c r="B54" s="182"/>
      <c r="C54" s="183">
        <v>34</v>
      </c>
      <c r="D54" s="184"/>
      <c r="E54" s="184"/>
      <c r="F54" s="184"/>
      <c r="G54" s="184"/>
      <c r="H54" s="184"/>
      <c r="I54" s="184"/>
      <c r="J54" s="184"/>
      <c r="K54" s="184"/>
      <c r="L54" s="184"/>
      <c r="M54" s="1034"/>
      <c r="N54" s="1035"/>
      <c r="O54" s="184"/>
      <c r="P54" s="1034"/>
      <c r="Q54" s="1035"/>
      <c r="R54" s="184"/>
    </row>
    <row r="55" spans="1:18" ht="15" customHeight="1" x14ac:dyDescent="0.2">
      <c r="A55" s="181">
        <v>35</v>
      </c>
      <c r="B55" s="182"/>
      <c r="C55" s="183">
        <v>35</v>
      </c>
      <c r="D55" s="184"/>
      <c r="E55" s="184"/>
      <c r="F55" s="184"/>
      <c r="G55" s="184"/>
      <c r="H55" s="184"/>
      <c r="I55" s="184"/>
      <c r="J55" s="184"/>
      <c r="K55" s="184"/>
      <c r="L55" s="184"/>
      <c r="M55" s="1034"/>
      <c r="N55" s="1035"/>
      <c r="O55" s="184"/>
      <c r="P55" s="1034"/>
      <c r="Q55" s="1035"/>
      <c r="R55" s="184"/>
    </row>
    <row r="56" spans="1:18" ht="15" customHeight="1" x14ac:dyDescent="0.2">
      <c r="A56" s="181">
        <v>36</v>
      </c>
      <c r="B56" s="182"/>
      <c r="C56" s="183">
        <v>36</v>
      </c>
      <c r="D56" s="184"/>
      <c r="E56" s="184"/>
      <c r="F56" s="184"/>
      <c r="G56" s="184"/>
      <c r="H56" s="184"/>
      <c r="I56" s="184"/>
      <c r="J56" s="184"/>
      <c r="K56" s="184"/>
      <c r="L56" s="184"/>
      <c r="M56" s="1034"/>
      <c r="N56" s="1035"/>
      <c r="O56" s="184"/>
      <c r="P56" s="1034"/>
      <c r="Q56" s="1035"/>
      <c r="R56" s="184"/>
    </row>
    <row r="57" spans="1:18" ht="15" customHeight="1" x14ac:dyDescent="0.2">
      <c r="A57" s="181">
        <v>37</v>
      </c>
      <c r="B57" s="182"/>
      <c r="C57" s="183">
        <v>37</v>
      </c>
      <c r="D57" s="184"/>
      <c r="E57" s="184"/>
      <c r="F57" s="184"/>
      <c r="G57" s="184"/>
      <c r="H57" s="184"/>
      <c r="I57" s="184"/>
      <c r="J57" s="184"/>
      <c r="K57" s="184"/>
      <c r="L57" s="184"/>
      <c r="M57" s="1034"/>
      <c r="N57" s="1035"/>
      <c r="O57" s="184"/>
      <c r="P57" s="1034"/>
      <c r="Q57" s="1035"/>
      <c r="R57" s="184"/>
    </row>
    <row r="58" spans="1:18" ht="15" customHeight="1" x14ac:dyDescent="0.2">
      <c r="A58" s="181">
        <v>38</v>
      </c>
      <c r="B58" s="182"/>
      <c r="C58" s="183">
        <v>38</v>
      </c>
      <c r="D58" s="184"/>
      <c r="E58" s="184"/>
      <c r="F58" s="184"/>
      <c r="G58" s="184"/>
      <c r="H58" s="184"/>
      <c r="I58" s="184"/>
      <c r="J58" s="184"/>
      <c r="K58" s="184"/>
      <c r="L58" s="184"/>
      <c r="M58" s="1034"/>
      <c r="N58" s="1035"/>
      <c r="O58" s="184"/>
      <c r="P58" s="1034"/>
      <c r="Q58" s="1035"/>
      <c r="R58" s="184"/>
    </row>
    <row r="59" spans="1:18" ht="15" customHeight="1" x14ac:dyDescent="0.2">
      <c r="A59" s="181">
        <v>39</v>
      </c>
      <c r="B59" s="182"/>
      <c r="C59" s="183">
        <v>39</v>
      </c>
      <c r="D59" s="184"/>
      <c r="E59" s="184"/>
      <c r="F59" s="184"/>
      <c r="G59" s="184"/>
      <c r="H59" s="184"/>
      <c r="I59" s="184"/>
      <c r="J59" s="184"/>
      <c r="K59" s="184"/>
      <c r="L59" s="184"/>
      <c r="M59" s="1034"/>
      <c r="N59" s="1035"/>
      <c r="O59" s="184"/>
      <c r="P59" s="1034"/>
      <c r="Q59" s="1035"/>
      <c r="R59" s="184"/>
    </row>
    <row r="60" spans="1:18" ht="15" customHeight="1" x14ac:dyDescent="0.2">
      <c r="A60" s="181">
        <v>40</v>
      </c>
      <c r="B60" s="182"/>
      <c r="C60" s="183">
        <v>40</v>
      </c>
      <c r="D60" s="184"/>
      <c r="E60" s="184"/>
      <c r="F60" s="184"/>
      <c r="G60" s="184"/>
      <c r="H60" s="184"/>
      <c r="I60" s="184"/>
      <c r="J60" s="184"/>
      <c r="K60" s="184"/>
      <c r="L60" s="184"/>
      <c r="M60" s="1034"/>
      <c r="N60" s="1035"/>
      <c r="O60" s="184"/>
      <c r="P60" s="1034"/>
      <c r="Q60" s="1035"/>
      <c r="R60" s="184"/>
    </row>
    <row r="61" spans="1:18" ht="15" customHeight="1" x14ac:dyDescent="0.2">
      <c r="B61" s="260"/>
      <c r="C61" s="260"/>
      <c r="D61" s="260"/>
      <c r="E61" s="260"/>
      <c r="F61" s="112"/>
      <c r="G61" s="112"/>
      <c r="H61" s="112"/>
      <c r="I61" s="112"/>
      <c r="J61" s="112"/>
      <c r="K61" s="112"/>
      <c r="L61" s="1037"/>
      <c r="M61" s="1037"/>
      <c r="N61" s="1037"/>
      <c r="O61" s="1037"/>
      <c r="P61" s="186"/>
    </row>
    <row r="62" spans="1:18" ht="15" customHeight="1" x14ac:dyDescent="0.2">
      <c r="B62" s="185"/>
      <c r="C62" s="185"/>
      <c r="D62" s="185"/>
      <c r="E62" s="185"/>
      <c r="F62" s="112"/>
      <c r="G62" s="112"/>
      <c r="H62" s="112"/>
      <c r="I62" s="112"/>
      <c r="J62" s="112"/>
      <c r="K62" s="112"/>
      <c r="L62" s="187"/>
      <c r="M62" s="187"/>
      <c r="N62" s="187"/>
      <c r="O62" s="187"/>
      <c r="P62" s="186"/>
    </row>
    <row r="63" spans="1:18" ht="15" customHeight="1" x14ac:dyDescent="0.25">
      <c r="B63" s="188" t="s">
        <v>365</v>
      </c>
      <c r="C63" s="188"/>
      <c r="D63" s="188"/>
      <c r="E63" s="188"/>
      <c r="F63" s="188"/>
      <c r="G63" s="188"/>
      <c r="H63" s="188"/>
      <c r="I63" s="188"/>
      <c r="J63" s="188"/>
      <c r="K63" s="188"/>
      <c r="L63" s="188" t="s">
        <v>366</v>
      </c>
      <c r="M63" s="188"/>
      <c r="N63" s="188"/>
      <c r="O63" s="188"/>
      <c r="P63" s="188"/>
      <c r="Q63" s="188"/>
      <c r="R63" s="188"/>
    </row>
  </sheetData>
  <mergeCells count="129">
    <mergeCell ref="M59:N59"/>
    <mergeCell ref="P59:Q59"/>
    <mergeCell ref="M60:N60"/>
    <mergeCell ref="P60:Q60"/>
    <mergeCell ref="L61:O61"/>
    <mergeCell ref="M56:N56"/>
    <mergeCell ref="P56:Q56"/>
    <mergeCell ref="M57:N57"/>
    <mergeCell ref="P57:Q57"/>
    <mergeCell ref="M58:N58"/>
    <mergeCell ref="P58:Q58"/>
    <mergeCell ref="M53:N53"/>
    <mergeCell ref="P53:Q53"/>
    <mergeCell ref="M54:N54"/>
    <mergeCell ref="P54:Q54"/>
    <mergeCell ref="M55:N55"/>
    <mergeCell ref="P55:Q55"/>
    <mergeCell ref="M50:N50"/>
    <mergeCell ref="P50:Q50"/>
    <mergeCell ref="M51:N51"/>
    <mergeCell ref="P51:Q51"/>
    <mergeCell ref="M52:N52"/>
    <mergeCell ref="P52:Q52"/>
    <mergeCell ref="M47:N47"/>
    <mergeCell ref="P47:Q47"/>
    <mergeCell ref="M48:N48"/>
    <mergeCell ref="P48:Q48"/>
    <mergeCell ref="M49:N49"/>
    <mergeCell ref="P49:Q49"/>
    <mergeCell ref="M44:N44"/>
    <mergeCell ref="P44:Q44"/>
    <mergeCell ref="M45:N45"/>
    <mergeCell ref="P45:Q45"/>
    <mergeCell ref="M46:N46"/>
    <mergeCell ref="P46:Q46"/>
    <mergeCell ref="M41:N41"/>
    <mergeCell ref="P41:Q41"/>
    <mergeCell ref="M42:N42"/>
    <mergeCell ref="P42:Q42"/>
    <mergeCell ref="M43:N43"/>
    <mergeCell ref="P43:Q43"/>
    <mergeCell ref="M38:N38"/>
    <mergeCell ref="P38:Q38"/>
    <mergeCell ref="M39:N39"/>
    <mergeCell ref="P39:Q39"/>
    <mergeCell ref="M40:N40"/>
    <mergeCell ref="P40:Q40"/>
    <mergeCell ref="M35:N35"/>
    <mergeCell ref="P35:Q35"/>
    <mergeCell ref="M36:N36"/>
    <mergeCell ref="P36:Q36"/>
    <mergeCell ref="M37:N37"/>
    <mergeCell ref="P37:Q37"/>
    <mergeCell ref="M32:N32"/>
    <mergeCell ref="P32:Q32"/>
    <mergeCell ref="M33:N33"/>
    <mergeCell ref="P33:Q33"/>
    <mergeCell ref="M34:N34"/>
    <mergeCell ref="P34:Q34"/>
    <mergeCell ref="M29:N29"/>
    <mergeCell ref="P29:Q29"/>
    <mergeCell ref="M30:N30"/>
    <mergeCell ref="P30:Q30"/>
    <mergeCell ref="M31:N31"/>
    <mergeCell ref="P31:Q31"/>
    <mergeCell ref="M26:N26"/>
    <mergeCell ref="P26:Q26"/>
    <mergeCell ref="M27:N27"/>
    <mergeCell ref="P27:Q27"/>
    <mergeCell ref="M28:N28"/>
    <mergeCell ref="P28:Q28"/>
    <mergeCell ref="M16:O18"/>
    <mergeCell ref="M23:N23"/>
    <mergeCell ref="P23:Q23"/>
    <mergeCell ref="M24:N24"/>
    <mergeCell ref="P24:Q24"/>
    <mergeCell ref="M25:N25"/>
    <mergeCell ref="P25:Q25"/>
    <mergeCell ref="P19:Q19"/>
    <mergeCell ref="M20:N20"/>
    <mergeCell ref="P20:Q20"/>
    <mergeCell ref="M21:N21"/>
    <mergeCell ref="P21:Q21"/>
    <mergeCell ref="M22:N22"/>
    <mergeCell ref="P22:Q22"/>
    <mergeCell ref="P16:R18"/>
    <mergeCell ref="P13:R13"/>
    <mergeCell ref="A14:C14"/>
    <mergeCell ref="D14:G14"/>
    <mergeCell ref="H14:K14"/>
    <mergeCell ref="L14:O14"/>
    <mergeCell ref="P14:R14"/>
    <mergeCell ref="J17:J19"/>
    <mergeCell ref="K17:K19"/>
    <mergeCell ref="L17:L19"/>
    <mergeCell ref="F18:G18"/>
    <mergeCell ref="H18:I18"/>
    <mergeCell ref="M19:N19"/>
    <mergeCell ref="A16:A19"/>
    <mergeCell ref="B16:E16"/>
    <mergeCell ref="B17:B19"/>
    <mergeCell ref="C17:C19"/>
    <mergeCell ref="D17:D19"/>
    <mergeCell ref="E17:E19"/>
    <mergeCell ref="F17:I17"/>
    <mergeCell ref="A13:C13"/>
    <mergeCell ref="D13:G13"/>
    <mergeCell ref="H13:K13"/>
    <mergeCell ref="L13:O13"/>
    <mergeCell ref="F16:L16"/>
    <mergeCell ref="A1:R1"/>
    <mergeCell ref="I2:L2"/>
    <mergeCell ref="A4:E4"/>
    <mergeCell ref="F4:L4"/>
    <mergeCell ref="M4:N4"/>
    <mergeCell ref="O4:R4"/>
    <mergeCell ref="A10:E10"/>
    <mergeCell ref="F10:R10"/>
    <mergeCell ref="A11:E11"/>
    <mergeCell ref="F11:L11"/>
    <mergeCell ref="M11:N11"/>
    <mergeCell ref="O11:R11"/>
    <mergeCell ref="A5:E5"/>
    <mergeCell ref="F5:R5"/>
    <mergeCell ref="A6:E8"/>
    <mergeCell ref="F6:R7"/>
    <mergeCell ref="F8:R8"/>
    <mergeCell ref="A9:E9"/>
    <mergeCell ref="F9:R9"/>
  </mergeCells>
  <pageMargins left="0.64" right="0.35" top="0.22" bottom="0.19" header="0.19" footer="0.16"/>
  <pageSetup paperSize="9" scale="92"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pageSetUpPr fitToPage="1"/>
  </sheetPr>
  <dimension ref="B1:T60"/>
  <sheetViews>
    <sheetView view="pageBreakPreview" zoomScaleNormal="100" workbookViewId="0">
      <selection activeCell="F4" sqref="F4:G4"/>
    </sheetView>
  </sheetViews>
  <sheetFormatPr defaultRowHeight="12.75" x14ac:dyDescent="0.2"/>
  <cols>
    <col min="2" max="2" width="8.140625" customWidth="1"/>
    <col min="3" max="3" width="6.42578125" customWidth="1"/>
    <col min="4" max="5" width="6" customWidth="1"/>
    <col min="6" max="6" width="6.5703125" customWidth="1"/>
    <col min="7" max="7" width="10.7109375" customWidth="1"/>
    <col min="8" max="8" width="7.7109375" customWidth="1"/>
    <col min="9" max="9" width="10.7109375" customWidth="1"/>
    <col min="10" max="10" width="8.85546875" customWidth="1"/>
    <col min="11" max="11" width="9.28515625" customWidth="1"/>
    <col min="12" max="12" width="8.28515625" customWidth="1"/>
  </cols>
  <sheetData>
    <row r="1" spans="2:14" ht="14.25" x14ac:dyDescent="0.2">
      <c r="B1" s="968" t="s">
        <v>554</v>
      </c>
      <c r="C1" s="968"/>
      <c r="D1" s="968"/>
      <c r="E1" s="968"/>
      <c r="F1" s="968"/>
      <c r="G1" s="968"/>
      <c r="H1" s="968"/>
      <c r="I1" s="968"/>
      <c r="J1" s="968"/>
      <c r="K1" s="968"/>
      <c r="L1" s="968"/>
    </row>
    <row r="2" spans="2:14" ht="15" x14ac:dyDescent="0.25">
      <c r="C2" s="165"/>
      <c r="F2" s="167" t="s">
        <v>8</v>
      </c>
      <c r="G2" s="969"/>
      <c r="H2" s="992"/>
      <c r="I2" s="992"/>
      <c r="J2" s="166"/>
      <c r="K2" s="166"/>
      <c r="L2" s="166"/>
    </row>
    <row r="3" spans="2:14" ht="15" x14ac:dyDescent="0.25">
      <c r="C3" s="165"/>
      <c r="F3" s="167"/>
      <c r="G3" s="168"/>
      <c r="H3" s="170"/>
      <c r="I3" s="170"/>
      <c r="J3" s="166"/>
      <c r="K3" s="166"/>
      <c r="L3" s="166"/>
    </row>
    <row r="4" spans="2:14" ht="15" x14ac:dyDescent="0.25">
      <c r="B4" s="965" t="s">
        <v>344</v>
      </c>
      <c r="C4" s="966"/>
      <c r="D4" s="966"/>
      <c r="E4" s="983"/>
      <c r="F4" s="1038">
        <f>'Акт отбора проб Почва'!E9:J9</f>
        <v>0</v>
      </c>
      <c r="G4" s="1039"/>
      <c r="H4" s="220" t="s">
        <v>341</v>
      </c>
      <c r="I4" s="1012"/>
      <c r="J4" s="1010"/>
      <c r="K4" s="1010"/>
      <c r="L4" s="1011"/>
    </row>
    <row r="5" spans="2:14" ht="15" x14ac:dyDescent="0.25">
      <c r="C5" s="188"/>
      <c r="D5" s="188"/>
      <c r="E5" s="188"/>
      <c r="F5" s="188"/>
      <c r="G5" s="188"/>
      <c r="H5" s="188"/>
      <c r="I5" s="188"/>
      <c r="J5" s="188"/>
      <c r="K5" s="188"/>
      <c r="L5" s="188"/>
    </row>
    <row r="6" spans="2:14" ht="15" customHeight="1" x14ac:dyDescent="0.2">
      <c r="B6" s="995" t="s">
        <v>0</v>
      </c>
      <c r="C6" s="996"/>
      <c r="D6" s="997"/>
      <c r="E6" s="1013" t="e">
        <f>#REF!</f>
        <v>#REF!</v>
      </c>
      <c r="F6" s="1014"/>
      <c r="G6" s="1014"/>
      <c r="H6" s="1014"/>
      <c r="I6" s="1014"/>
      <c r="J6" s="1014"/>
      <c r="K6" s="1014"/>
      <c r="L6" s="1015"/>
    </row>
    <row r="7" spans="2:14" ht="15" customHeight="1" x14ac:dyDescent="0.2">
      <c r="B7" s="1001" t="s">
        <v>1</v>
      </c>
      <c r="C7" s="1002"/>
      <c r="D7" s="1003"/>
      <c r="E7" s="607" t="e">
        <f>#REF!</f>
        <v>#REF!</v>
      </c>
      <c r="F7" s="607"/>
      <c r="G7" s="607"/>
      <c r="H7" s="607"/>
      <c r="I7" s="607"/>
      <c r="J7" s="607"/>
      <c r="K7" s="607"/>
      <c r="L7" s="607"/>
    </row>
    <row r="8" spans="2:14" ht="30" customHeight="1" x14ac:dyDescent="0.2">
      <c r="B8" s="1004"/>
      <c r="C8" s="1005"/>
      <c r="D8" s="1006"/>
      <c r="E8" s="607"/>
      <c r="F8" s="607"/>
      <c r="G8" s="607"/>
      <c r="H8" s="607"/>
      <c r="I8" s="607"/>
      <c r="J8" s="607"/>
      <c r="K8" s="607"/>
      <c r="L8" s="607"/>
    </row>
    <row r="9" spans="2:14" ht="28.5" customHeight="1" x14ac:dyDescent="0.2">
      <c r="B9" s="965" t="s">
        <v>637</v>
      </c>
      <c r="C9" s="966"/>
      <c r="D9" s="983"/>
      <c r="E9" s="607"/>
      <c r="F9" s="607"/>
      <c r="G9" s="607"/>
      <c r="H9" s="607"/>
      <c r="I9" s="607"/>
      <c r="J9" s="607"/>
      <c r="K9" s="607"/>
      <c r="L9" s="607"/>
    </row>
    <row r="10" spans="2:14" ht="15" hidden="1" customHeight="1" x14ac:dyDescent="0.2">
      <c r="B10" s="965" t="s">
        <v>3</v>
      </c>
      <c r="C10" s="966"/>
      <c r="D10" s="983"/>
      <c r="E10" s="879" t="e">
        <f>#REF!</f>
        <v>#REF!</v>
      </c>
      <c r="F10" s="880"/>
      <c r="G10" s="880"/>
      <c r="H10" s="880"/>
      <c r="I10" s="880"/>
      <c r="J10" s="880"/>
      <c r="K10" s="880"/>
      <c r="L10" s="881"/>
    </row>
    <row r="11" spans="2:14" ht="15" x14ac:dyDescent="0.25">
      <c r="B11" s="190"/>
      <c r="C11" s="175"/>
      <c r="D11" s="175"/>
      <c r="E11" s="191"/>
      <c r="F11" s="191"/>
      <c r="G11" s="191"/>
      <c r="H11" s="191"/>
      <c r="I11" s="191"/>
      <c r="J11" s="191"/>
      <c r="K11" s="191"/>
      <c r="L11" s="191"/>
    </row>
    <row r="12" spans="2:14" ht="15" hidden="1" customHeight="1" x14ac:dyDescent="0.2">
      <c r="B12" s="965" t="s">
        <v>369</v>
      </c>
      <c r="C12" s="966"/>
      <c r="D12" s="966"/>
      <c r="E12" s="983"/>
      <c r="F12" s="1007" t="s">
        <v>555</v>
      </c>
      <c r="G12" s="1007"/>
      <c r="H12" s="1007"/>
      <c r="I12" s="1007"/>
      <c r="J12" s="1007"/>
      <c r="K12" s="1007"/>
      <c r="L12" s="1007"/>
      <c r="M12" s="221"/>
      <c r="N12" s="222"/>
    </row>
    <row r="13" spans="2:14" ht="15" hidden="1" x14ac:dyDescent="0.25">
      <c r="C13" s="165"/>
    </row>
    <row r="14" spans="2:14" ht="33" customHeight="1" x14ac:dyDescent="0.2">
      <c r="B14" s="1046" t="s">
        <v>7</v>
      </c>
      <c r="C14" s="1049" t="s">
        <v>556</v>
      </c>
      <c r="D14" s="1046" t="s">
        <v>557</v>
      </c>
      <c r="E14" s="1052" t="s">
        <v>558</v>
      </c>
      <c r="F14" s="1046" t="s">
        <v>559</v>
      </c>
      <c r="G14" s="1053" t="s">
        <v>560</v>
      </c>
      <c r="H14" s="1054"/>
      <c r="I14" s="1055"/>
      <c r="J14" s="1056" t="s">
        <v>561</v>
      </c>
      <c r="K14" s="1056" t="s">
        <v>562</v>
      </c>
      <c r="L14" s="1059" t="s">
        <v>563</v>
      </c>
    </row>
    <row r="15" spans="2:14" x14ac:dyDescent="0.2">
      <c r="B15" s="1047"/>
      <c r="C15" s="1050"/>
      <c r="D15" s="1047"/>
      <c r="E15" s="1052"/>
      <c r="F15" s="1047"/>
      <c r="G15" s="1062" t="s">
        <v>564</v>
      </c>
      <c r="H15" s="1062" t="s">
        <v>565</v>
      </c>
      <c r="I15" s="1056" t="s">
        <v>566</v>
      </c>
      <c r="J15" s="1057"/>
      <c r="K15" s="1057"/>
      <c r="L15" s="1060"/>
    </row>
    <row r="16" spans="2:14" ht="30.75" customHeight="1" x14ac:dyDescent="0.2">
      <c r="B16" s="1048"/>
      <c r="C16" s="1051"/>
      <c r="D16" s="1048"/>
      <c r="E16" s="1052"/>
      <c r="F16" s="1048"/>
      <c r="G16" s="1062"/>
      <c r="H16" s="1062"/>
      <c r="I16" s="1058"/>
      <c r="J16" s="1058"/>
      <c r="K16" s="1058"/>
      <c r="L16" s="1061"/>
    </row>
    <row r="17" spans="2:20" ht="15" x14ac:dyDescent="0.2">
      <c r="B17" s="224">
        <v>1</v>
      </c>
      <c r="C17" s="181"/>
      <c r="D17" s="225"/>
      <c r="E17" s="225"/>
      <c r="F17" s="225"/>
      <c r="G17" s="225"/>
      <c r="H17" s="225"/>
      <c r="I17" s="225"/>
      <c r="J17" s="225"/>
      <c r="K17" s="225"/>
      <c r="L17" s="225"/>
      <c r="N17" s="226"/>
      <c r="O17" s="226"/>
      <c r="P17" s="226"/>
      <c r="Q17" s="226"/>
      <c r="R17" s="226"/>
      <c r="S17" s="226"/>
      <c r="T17" s="226"/>
    </row>
    <row r="18" spans="2:20" ht="15" x14ac:dyDescent="0.2">
      <c r="B18" s="224">
        <v>2</v>
      </c>
      <c r="C18" s="181"/>
      <c r="D18" s="225"/>
      <c r="E18" s="225"/>
      <c r="F18" s="225"/>
      <c r="G18" s="225"/>
      <c r="H18" s="225"/>
      <c r="I18" s="225"/>
      <c r="J18" s="225"/>
      <c r="K18" s="225"/>
      <c r="L18" s="225"/>
      <c r="N18" s="226"/>
      <c r="O18" s="226"/>
      <c r="P18" s="226"/>
      <c r="Q18" s="226"/>
      <c r="R18" s="226"/>
      <c r="S18" s="226"/>
      <c r="T18" s="226"/>
    </row>
    <row r="19" spans="2:20" ht="15" x14ac:dyDescent="0.2">
      <c r="B19" s="224">
        <v>3</v>
      </c>
      <c r="C19" s="181"/>
      <c r="D19" s="225"/>
      <c r="E19" s="225"/>
      <c r="F19" s="225"/>
      <c r="G19" s="225"/>
      <c r="H19" s="225"/>
      <c r="I19" s="225"/>
      <c r="J19" s="225"/>
      <c r="K19" s="225"/>
      <c r="L19" s="225"/>
      <c r="N19" s="226"/>
      <c r="O19" s="226"/>
      <c r="P19" s="226"/>
      <c r="Q19" s="226"/>
      <c r="R19" s="226"/>
      <c r="S19" s="226"/>
      <c r="T19" s="226"/>
    </row>
    <row r="20" spans="2:20" ht="15" x14ac:dyDescent="0.2">
      <c r="B20" s="224">
        <v>4</v>
      </c>
      <c r="C20" s="181"/>
      <c r="D20" s="225"/>
      <c r="E20" s="225"/>
      <c r="F20" s="225"/>
      <c r="G20" s="225"/>
      <c r="H20" s="225"/>
      <c r="I20" s="225"/>
      <c r="J20" s="225"/>
      <c r="K20" s="225"/>
      <c r="L20" s="225"/>
      <c r="N20" s="226"/>
      <c r="O20" s="226"/>
      <c r="P20" s="226"/>
      <c r="Q20" s="226"/>
      <c r="R20" s="226"/>
      <c r="S20" s="226"/>
      <c r="T20" s="226"/>
    </row>
    <row r="21" spans="2:20" ht="15" x14ac:dyDescent="0.2">
      <c r="B21" s="224">
        <v>5</v>
      </c>
      <c r="C21" s="181"/>
      <c r="D21" s="225"/>
      <c r="E21" s="225"/>
      <c r="F21" s="225"/>
      <c r="G21" s="225"/>
      <c r="H21" s="225"/>
      <c r="I21" s="225"/>
      <c r="J21" s="225"/>
      <c r="K21" s="225"/>
      <c r="L21" s="225"/>
      <c r="N21" s="226"/>
      <c r="O21" s="226"/>
      <c r="P21" s="226"/>
      <c r="Q21" s="226"/>
      <c r="R21" s="226"/>
      <c r="S21" s="226"/>
      <c r="T21" s="226"/>
    </row>
    <row r="22" spans="2:20" ht="15" x14ac:dyDescent="0.2">
      <c r="B22" s="224">
        <v>6</v>
      </c>
      <c r="C22" s="181"/>
      <c r="D22" s="225"/>
      <c r="E22" s="225"/>
      <c r="F22" s="225"/>
      <c r="G22" s="225"/>
      <c r="H22" s="225"/>
      <c r="I22" s="225"/>
      <c r="J22" s="225"/>
      <c r="K22" s="225"/>
      <c r="L22" s="225"/>
      <c r="N22" s="226"/>
      <c r="O22" s="226"/>
      <c r="P22" s="226"/>
      <c r="Q22" s="226"/>
      <c r="R22" s="226"/>
      <c r="S22" s="226"/>
      <c r="T22" s="226"/>
    </row>
    <row r="23" spans="2:20" ht="15" x14ac:dyDescent="0.2">
      <c r="B23" s="224">
        <v>7</v>
      </c>
      <c r="C23" s="181"/>
      <c r="D23" s="225"/>
      <c r="E23" s="225"/>
      <c r="F23" s="225"/>
      <c r="G23" s="225"/>
      <c r="H23" s="225"/>
      <c r="I23" s="225"/>
      <c r="J23" s="225"/>
      <c r="K23" s="225"/>
      <c r="L23" s="225"/>
      <c r="N23" s="226"/>
      <c r="O23" s="226"/>
      <c r="P23" s="226"/>
      <c r="Q23" s="226"/>
      <c r="R23" s="226"/>
      <c r="S23" s="226"/>
      <c r="T23" s="226"/>
    </row>
    <row r="24" spans="2:20" ht="15" x14ac:dyDescent="0.2">
      <c r="B24" s="224">
        <v>8</v>
      </c>
      <c r="C24" s="181"/>
      <c r="D24" s="225"/>
      <c r="E24" s="225"/>
      <c r="F24" s="225"/>
      <c r="G24" s="225"/>
      <c r="H24" s="225"/>
      <c r="I24" s="225"/>
      <c r="J24" s="225"/>
      <c r="K24" s="225"/>
      <c r="L24" s="225"/>
      <c r="N24" s="226"/>
      <c r="O24" s="226"/>
      <c r="P24" s="226"/>
      <c r="Q24" s="226"/>
      <c r="R24" s="226"/>
      <c r="S24" s="226"/>
      <c r="T24" s="226"/>
    </row>
    <row r="25" spans="2:20" ht="15" x14ac:dyDescent="0.2">
      <c r="B25" s="224">
        <v>9</v>
      </c>
      <c r="C25" s="181"/>
      <c r="D25" s="225"/>
      <c r="E25" s="225"/>
      <c r="F25" s="225"/>
      <c r="G25" s="225"/>
      <c r="H25" s="225"/>
      <c r="I25" s="225"/>
      <c r="J25" s="225"/>
      <c r="K25" s="225"/>
      <c r="L25" s="225"/>
      <c r="N25" s="226"/>
      <c r="O25" s="226"/>
      <c r="P25" s="226"/>
      <c r="Q25" s="226"/>
      <c r="R25" s="226"/>
      <c r="S25" s="226"/>
      <c r="T25" s="226"/>
    </row>
    <row r="26" spans="2:20" ht="15" x14ac:dyDescent="0.2">
      <c r="B26" s="224">
        <v>10</v>
      </c>
      <c r="C26" s="181"/>
      <c r="D26" s="225"/>
      <c r="E26" s="225"/>
      <c r="F26" s="225"/>
      <c r="G26" s="225"/>
      <c r="H26" s="225"/>
      <c r="I26" s="225"/>
      <c r="J26" s="225"/>
      <c r="K26" s="225"/>
      <c r="L26" s="225"/>
      <c r="N26" s="226"/>
      <c r="O26" s="226"/>
      <c r="P26" s="226"/>
      <c r="Q26" s="226"/>
      <c r="R26" s="226"/>
      <c r="S26" s="226"/>
      <c r="T26" s="226"/>
    </row>
    <row r="27" spans="2:20" ht="15" x14ac:dyDescent="0.2">
      <c r="B27" s="224">
        <v>11</v>
      </c>
      <c r="C27" s="181"/>
      <c r="D27" s="225"/>
      <c r="E27" s="225"/>
      <c r="F27" s="225"/>
      <c r="G27" s="225"/>
      <c r="H27" s="225"/>
      <c r="I27" s="225"/>
      <c r="J27" s="225"/>
      <c r="K27" s="225"/>
      <c r="L27" s="225"/>
      <c r="N27" s="226"/>
      <c r="O27" s="226"/>
      <c r="P27" s="226"/>
      <c r="Q27" s="226"/>
      <c r="R27" s="226"/>
      <c r="S27" s="226"/>
      <c r="T27" s="226"/>
    </row>
    <row r="28" spans="2:20" ht="15" x14ac:dyDescent="0.2">
      <c r="B28" s="224">
        <v>12</v>
      </c>
      <c r="C28" s="181"/>
      <c r="D28" s="225"/>
      <c r="E28" s="227"/>
      <c r="F28" s="225"/>
      <c r="G28" s="225"/>
      <c r="H28" s="225"/>
      <c r="I28" s="225"/>
      <c r="J28" s="225"/>
      <c r="K28" s="225"/>
      <c r="L28" s="225"/>
      <c r="N28" s="226"/>
      <c r="O28" s="226"/>
      <c r="P28" s="226"/>
      <c r="Q28" s="226"/>
      <c r="R28" s="226"/>
      <c r="S28" s="226"/>
      <c r="T28" s="226"/>
    </row>
    <row r="29" spans="2:20" ht="15" x14ac:dyDescent="0.2">
      <c r="B29" s="224">
        <v>13</v>
      </c>
      <c r="C29" s="181"/>
      <c r="D29" s="225"/>
      <c r="E29" s="225"/>
      <c r="F29" s="225"/>
      <c r="G29" s="225"/>
      <c r="H29" s="225"/>
      <c r="I29" s="225"/>
      <c r="J29" s="225"/>
      <c r="K29" s="225"/>
      <c r="L29" s="225"/>
      <c r="N29" s="226"/>
      <c r="O29" s="226"/>
      <c r="P29" s="226"/>
      <c r="Q29" s="226"/>
      <c r="R29" s="226"/>
      <c r="S29" s="226"/>
      <c r="T29" s="226"/>
    </row>
    <row r="30" spans="2:20" ht="15" x14ac:dyDescent="0.2">
      <c r="B30" s="224">
        <v>14</v>
      </c>
      <c r="C30" s="181"/>
      <c r="D30" s="225"/>
      <c r="E30" s="225"/>
      <c r="F30" s="225"/>
      <c r="G30" s="225"/>
      <c r="H30" s="225"/>
      <c r="I30" s="225"/>
      <c r="J30" s="225"/>
      <c r="K30" s="225"/>
      <c r="L30" s="225"/>
      <c r="N30" s="226"/>
      <c r="O30" s="226"/>
      <c r="P30" s="226"/>
      <c r="Q30" s="226"/>
      <c r="R30" s="226"/>
      <c r="S30" s="226"/>
      <c r="T30" s="226"/>
    </row>
    <row r="31" spans="2:20" ht="15" x14ac:dyDescent="0.2">
      <c r="B31" s="224">
        <v>15</v>
      </c>
      <c r="C31" s="181"/>
      <c r="D31" s="225"/>
      <c r="E31" s="225"/>
      <c r="F31" s="225"/>
      <c r="G31" s="225"/>
      <c r="H31" s="225"/>
      <c r="I31" s="225"/>
      <c r="J31" s="225"/>
      <c r="K31" s="225"/>
      <c r="L31" s="225"/>
      <c r="N31" s="226"/>
      <c r="O31" s="226"/>
      <c r="P31" s="226"/>
      <c r="Q31" s="226"/>
      <c r="R31" s="226"/>
      <c r="S31" s="226"/>
      <c r="T31" s="226"/>
    </row>
    <row r="32" spans="2:20" ht="15" x14ac:dyDescent="0.2">
      <c r="B32" s="224">
        <v>16</v>
      </c>
      <c r="C32" s="228"/>
      <c r="D32" s="229"/>
      <c r="E32" s="225"/>
      <c r="F32" s="225"/>
      <c r="G32" s="225"/>
      <c r="H32" s="225"/>
      <c r="I32" s="225"/>
      <c r="J32" s="225"/>
      <c r="K32" s="225"/>
      <c r="L32" s="225"/>
    </row>
    <row r="33" spans="2:12" ht="15" x14ac:dyDescent="0.2">
      <c r="B33" s="224">
        <v>17</v>
      </c>
      <c r="C33" s="228"/>
      <c r="D33" s="229"/>
      <c r="E33" s="225"/>
      <c r="F33" s="225"/>
      <c r="G33" s="225"/>
      <c r="H33" s="225"/>
      <c r="I33" s="225"/>
      <c r="J33" s="225"/>
      <c r="K33" s="225"/>
      <c r="L33" s="225"/>
    </row>
    <row r="34" spans="2:12" ht="15" x14ac:dyDescent="0.2">
      <c r="B34" s="224">
        <v>18</v>
      </c>
      <c r="C34" s="228"/>
      <c r="D34" s="229"/>
      <c r="E34" s="225"/>
      <c r="F34" s="225"/>
      <c r="G34" s="225"/>
      <c r="H34" s="225"/>
      <c r="I34" s="225"/>
      <c r="J34" s="225"/>
      <c r="K34" s="225"/>
      <c r="L34" s="225"/>
    </row>
    <row r="35" spans="2:12" ht="15" x14ac:dyDescent="0.2">
      <c r="B35" s="224">
        <v>19</v>
      </c>
      <c r="C35" s="181"/>
      <c r="D35" s="225"/>
      <c r="E35" s="225"/>
      <c r="F35" s="225"/>
      <c r="G35" s="225"/>
      <c r="H35" s="225"/>
      <c r="I35" s="225"/>
      <c r="J35" s="225"/>
      <c r="K35" s="225"/>
      <c r="L35" s="225"/>
    </row>
    <row r="36" spans="2:12" ht="15" x14ac:dyDescent="0.2">
      <c r="B36" s="224">
        <v>20</v>
      </c>
      <c r="C36" s="181"/>
      <c r="D36" s="225"/>
      <c r="E36" s="225"/>
      <c r="F36" s="225"/>
      <c r="G36" s="225"/>
      <c r="H36" s="225"/>
      <c r="I36" s="225"/>
      <c r="J36" s="225"/>
      <c r="K36" s="225"/>
      <c r="L36" s="225"/>
    </row>
    <row r="37" spans="2:12" ht="15" x14ac:dyDescent="0.2">
      <c r="B37" s="224">
        <v>21</v>
      </c>
      <c r="C37" s="181"/>
      <c r="D37" s="225"/>
      <c r="E37" s="225"/>
      <c r="F37" s="225"/>
      <c r="G37" s="225"/>
      <c r="H37" s="225"/>
      <c r="I37" s="225"/>
      <c r="J37" s="225"/>
      <c r="K37" s="225"/>
      <c r="L37" s="225"/>
    </row>
    <row r="38" spans="2:12" ht="15" x14ac:dyDescent="0.2">
      <c r="B38" s="224">
        <v>22</v>
      </c>
      <c r="C38" s="181"/>
      <c r="D38" s="225"/>
      <c r="E38" s="225"/>
      <c r="F38" s="225"/>
      <c r="G38" s="225"/>
      <c r="H38" s="225"/>
      <c r="I38" s="225"/>
      <c r="J38" s="225"/>
      <c r="K38" s="225"/>
      <c r="L38" s="225"/>
    </row>
    <row r="39" spans="2:12" ht="15" x14ac:dyDescent="0.2">
      <c r="B39" s="224">
        <v>23</v>
      </c>
      <c r="C39" s="181"/>
      <c r="D39" s="225"/>
      <c r="E39" s="225"/>
      <c r="F39" s="225"/>
      <c r="G39" s="225"/>
      <c r="H39" s="225"/>
      <c r="I39" s="225"/>
      <c r="J39" s="225"/>
      <c r="K39" s="225"/>
      <c r="L39" s="225"/>
    </row>
    <row r="40" spans="2:12" ht="15" x14ac:dyDescent="0.2">
      <c r="B40" s="224">
        <v>24</v>
      </c>
      <c r="C40" s="181"/>
      <c r="D40" s="225"/>
      <c r="E40" s="225"/>
      <c r="F40" s="225"/>
      <c r="G40" s="225"/>
      <c r="H40" s="225"/>
      <c r="I40" s="225"/>
      <c r="J40" s="225"/>
      <c r="K40" s="225"/>
      <c r="L40" s="225"/>
    </row>
    <row r="41" spans="2:12" ht="15" x14ac:dyDescent="0.2">
      <c r="B41" s="224">
        <v>25</v>
      </c>
      <c r="C41" s="181"/>
      <c r="D41" s="225"/>
      <c r="E41" s="225"/>
      <c r="F41" s="225"/>
      <c r="G41" s="225"/>
      <c r="H41" s="225"/>
      <c r="I41" s="225"/>
      <c r="J41" s="225"/>
      <c r="K41" s="225"/>
      <c r="L41" s="225"/>
    </row>
    <row r="42" spans="2:12" ht="15" x14ac:dyDescent="0.2">
      <c r="B42" s="224">
        <v>26</v>
      </c>
      <c r="C42" s="181"/>
      <c r="D42" s="225"/>
      <c r="E42" s="225"/>
      <c r="F42" s="225"/>
      <c r="G42" s="225"/>
      <c r="H42" s="225"/>
      <c r="I42" s="225"/>
      <c r="J42" s="225"/>
      <c r="K42" s="225"/>
      <c r="L42" s="225"/>
    </row>
    <row r="43" spans="2:12" ht="15" x14ac:dyDescent="0.2">
      <c r="B43" s="224">
        <v>27</v>
      </c>
      <c r="C43" s="181"/>
      <c r="D43" s="225"/>
      <c r="E43" s="225"/>
      <c r="F43" s="225"/>
      <c r="G43" s="225"/>
      <c r="H43" s="225"/>
      <c r="I43" s="225"/>
      <c r="J43" s="225"/>
      <c r="K43" s="225"/>
      <c r="L43" s="225"/>
    </row>
    <row r="44" spans="2:12" ht="15" x14ac:dyDescent="0.2">
      <c r="B44" s="224">
        <v>28</v>
      </c>
      <c r="C44" s="181"/>
      <c r="D44" s="225"/>
      <c r="E44" s="225"/>
      <c r="F44" s="225"/>
      <c r="G44" s="225"/>
      <c r="H44" s="225"/>
      <c r="I44" s="225"/>
      <c r="J44" s="225"/>
      <c r="K44" s="225"/>
      <c r="L44" s="225"/>
    </row>
    <row r="45" spans="2:12" ht="15" x14ac:dyDescent="0.2">
      <c r="B45" s="224">
        <v>29</v>
      </c>
      <c r="C45" s="181"/>
      <c r="D45" s="225"/>
      <c r="E45" s="225"/>
      <c r="F45" s="225"/>
      <c r="G45" s="225"/>
      <c r="H45" s="225"/>
      <c r="I45" s="225"/>
      <c r="J45" s="225"/>
      <c r="K45" s="225"/>
      <c r="L45" s="225"/>
    </row>
    <row r="46" spans="2:12" ht="15" x14ac:dyDescent="0.2">
      <c r="B46" s="224">
        <v>30</v>
      </c>
      <c r="C46" s="181"/>
      <c r="D46" s="225"/>
      <c r="E46" s="225"/>
      <c r="F46" s="225"/>
      <c r="G46" s="225"/>
      <c r="H46" s="225"/>
      <c r="I46" s="225"/>
      <c r="J46" s="225"/>
      <c r="K46" s="225"/>
      <c r="L46" s="225"/>
    </row>
    <row r="47" spans="2:12" ht="15" x14ac:dyDescent="0.2">
      <c r="B47" s="224">
        <v>31</v>
      </c>
      <c r="C47" s="181"/>
      <c r="D47" s="225"/>
      <c r="E47" s="225"/>
      <c r="F47" s="225"/>
      <c r="G47" s="225"/>
      <c r="H47" s="225"/>
      <c r="I47" s="225"/>
      <c r="J47" s="225"/>
      <c r="K47" s="225"/>
      <c r="L47" s="225"/>
    </row>
    <row r="48" spans="2:12" ht="15" x14ac:dyDescent="0.2">
      <c r="B48" s="224">
        <v>32</v>
      </c>
      <c r="C48" s="181"/>
      <c r="D48" s="225"/>
      <c r="E48" s="225"/>
      <c r="F48" s="225"/>
      <c r="G48" s="225"/>
      <c r="H48" s="225"/>
      <c r="I48" s="225"/>
      <c r="J48" s="225"/>
      <c r="K48" s="225"/>
      <c r="L48" s="225"/>
    </row>
    <row r="49" spans="2:12" ht="15" x14ac:dyDescent="0.2">
      <c r="B49" s="224">
        <v>33</v>
      </c>
      <c r="C49" s="181"/>
      <c r="D49" s="225"/>
      <c r="E49" s="225"/>
      <c r="F49" s="225"/>
      <c r="G49" s="225"/>
      <c r="H49" s="225"/>
      <c r="I49" s="225"/>
      <c r="J49" s="225"/>
      <c r="K49" s="225"/>
      <c r="L49" s="225"/>
    </row>
    <row r="50" spans="2:12" ht="15" x14ac:dyDescent="0.2">
      <c r="B50" s="224">
        <v>34</v>
      </c>
      <c r="C50" s="181"/>
      <c r="D50" s="225"/>
      <c r="E50" s="225"/>
      <c r="F50" s="225"/>
      <c r="G50" s="225"/>
      <c r="H50" s="225"/>
      <c r="I50" s="225"/>
      <c r="J50" s="225"/>
      <c r="K50" s="225"/>
      <c r="L50" s="225"/>
    </row>
    <row r="51" spans="2:12" ht="15" x14ac:dyDescent="0.2">
      <c r="B51" s="224">
        <v>35</v>
      </c>
      <c r="C51" s="181"/>
      <c r="D51" s="225"/>
      <c r="E51" s="225"/>
      <c r="F51" s="225"/>
      <c r="G51" s="225"/>
      <c r="H51" s="225"/>
      <c r="I51" s="225"/>
      <c r="J51" s="225"/>
      <c r="K51" s="225"/>
      <c r="L51" s="225"/>
    </row>
    <row r="52" spans="2:12" ht="15" x14ac:dyDescent="0.2">
      <c r="B52" s="224">
        <v>36</v>
      </c>
      <c r="C52" s="181"/>
      <c r="D52" s="225"/>
      <c r="E52" s="225"/>
      <c r="F52" s="225"/>
      <c r="G52" s="225"/>
      <c r="H52" s="225"/>
      <c r="I52" s="225"/>
      <c r="J52" s="225"/>
      <c r="K52" s="225"/>
      <c r="L52" s="225"/>
    </row>
    <row r="53" spans="2:12" ht="15" x14ac:dyDescent="0.2">
      <c r="B53" s="224">
        <v>37</v>
      </c>
      <c r="C53" s="181"/>
      <c r="D53" s="225"/>
      <c r="E53" s="225"/>
      <c r="F53" s="225"/>
      <c r="G53" s="225"/>
      <c r="H53" s="225"/>
      <c r="I53" s="225"/>
      <c r="J53" s="225"/>
      <c r="K53" s="225"/>
      <c r="L53" s="225"/>
    </row>
    <row r="54" spans="2:12" ht="15" x14ac:dyDescent="0.2">
      <c r="B54" s="224">
        <v>38</v>
      </c>
      <c r="C54" s="181"/>
      <c r="D54" s="225"/>
      <c r="E54" s="225"/>
      <c r="F54" s="225"/>
      <c r="G54" s="225"/>
      <c r="H54" s="225"/>
      <c r="I54" s="225"/>
      <c r="J54" s="225"/>
      <c r="K54" s="225"/>
      <c r="L54" s="225"/>
    </row>
    <row r="55" spans="2:12" ht="15" x14ac:dyDescent="0.2">
      <c r="B55" s="224">
        <v>39</v>
      </c>
      <c r="C55" s="181"/>
      <c r="D55" s="225"/>
      <c r="E55" s="225"/>
      <c r="F55" s="225"/>
      <c r="G55" s="225"/>
      <c r="H55" s="225"/>
      <c r="I55" s="225"/>
      <c r="J55" s="225"/>
      <c r="K55" s="225"/>
      <c r="L55" s="225"/>
    </row>
    <row r="56" spans="2:12" ht="15" x14ac:dyDescent="0.2">
      <c r="B56" s="224">
        <v>40</v>
      </c>
      <c r="C56" s="181"/>
      <c r="D56" s="225"/>
      <c r="E56" s="225"/>
      <c r="F56" s="225"/>
      <c r="G56" s="225"/>
      <c r="H56" s="225"/>
      <c r="I56" s="225"/>
      <c r="J56" s="225"/>
      <c r="K56" s="225"/>
      <c r="L56" s="225"/>
    </row>
    <row r="57" spans="2:12" x14ac:dyDescent="0.2">
      <c r="C57" s="230"/>
      <c r="D57" s="230"/>
      <c r="E57" s="230"/>
      <c r="F57" s="230"/>
      <c r="G57" s="230"/>
      <c r="H57" s="230"/>
      <c r="I57" s="230"/>
      <c r="J57" s="230"/>
      <c r="K57" s="230"/>
      <c r="L57" s="230"/>
    </row>
    <row r="58" spans="2:12" ht="14.25" customHeight="1" x14ac:dyDescent="0.2">
      <c r="B58" s="1040" t="s">
        <v>635</v>
      </c>
      <c r="C58" s="1041"/>
      <c r="D58" s="1041"/>
      <c r="E58" s="1041"/>
      <c r="F58" s="1041"/>
      <c r="G58" s="231"/>
      <c r="H58" s="231"/>
      <c r="I58" s="231"/>
      <c r="J58" s="231"/>
      <c r="K58" s="231"/>
      <c r="L58" s="232"/>
    </row>
    <row r="59" spans="2:12" ht="14.25" customHeight="1" x14ac:dyDescent="0.2">
      <c r="B59" s="1042"/>
      <c r="C59" s="1043"/>
      <c r="D59" s="1043"/>
      <c r="E59" s="1043"/>
      <c r="F59" s="1043"/>
      <c r="G59" s="233"/>
      <c r="H59" s="233"/>
      <c r="I59" s="233" t="e">
        <f>#REF!</f>
        <v>#REF!</v>
      </c>
      <c r="J59" s="233"/>
      <c r="K59" s="233"/>
      <c r="L59" s="234"/>
    </row>
    <row r="60" spans="2:12" ht="12.75" customHeight="1" x14ac:dyDescent="0.2">
      <c r="B60" s="1044"/>
      <c r="C60" s="1045"/>
      <c r="D60" s="1045"/>
      <c r="E60" s="1045"/>
      <c r="F60" s="1045"/>
      <c r="G60" s="235"/>
      <c r="H60" s="235"/>
      <c r="I60" s="235"/>
      <c r="J60" s="235"/>
      <c r="K60" s="235"/>
      <c r="L60" s="236"/>
    </row>
  </sheetData>
  <mergeCells count="28">
    <mergeCell ref="B58:F60"/>
    <mergeCell ref="B12:E12"/>
    <mergeCell ref="F12:L12"/>
    <mergeCell ref="B14:B16"/>
    <mergeCell ref="C14:C16"/>
    <mergeCell ref="D14:D16"/>
    <mergeCell ref="E14:E16"/>
    <mergeCell ref="F14:F16"/>
    <mergeCell ref="G14:I14"/>
    <mergeCell ref="J14:J16"/>
    <mergeCell ref="K14:K16"/>
    <mergeCell ref="L14:L16"/>
    <mergeCell ref="G15:G16"/>
    <mergeCell ref="H15:H16"/>
    <mergeCell ref="I15:I16"/>
    <mergeCell ref="B7:D8"/>
    <mergeCell ref="E7:L8"/>
    <mergeCell ref="B9:D9"/>
    <mergeCell ref="E9:L9"/>
    <mergeCell ref="B10:D10"/>
    <mergeCell ref="E10:L10"/>
    <mergeCell ref="B6:D6"/>
    <mergeCell ref="E6:L6"/>
    <mergeCell ref="B1:L1"/>
    <mergeCell ref="G2:I2"/>
    <mergeCell ref="B4:E4"/>
    <mergeCell ref="F4:G4"/>
    <mergeCell ref="I4:L4"/>
  </mergeCells>
  <pageMargins left="0.69" right="0.31" top="0.23" bottom="0.21" header="0.16" footer="0.2"/>
  <pageSetup paperSize="9" scale="92"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B1:T124"/>
  <sheetViews>
    <sheetView view="pageBreakPreview" topLeftCell="A26" zoomScaleNormal="100" workbookViewId="0">
      <selection activeCell="G5" sqref="G5:O5"/>
    </sheetView>
  </sheetViews>
  <sheetFormatPr defaultRowHeight="12.75" x14ac:dyDescent="0.2"/>
  <cols>
    <col min="2" max="2" width="5.42578125" customWidth="1"/>
    <col min="3" max="3" width="5.5703125" customWidth="1"/>
    <col min="4" max="4" width="4.85546875" customWidth="1"/>
    <col min="5" max="6" width="5.7109375" customWidth="1"/>
    <col min="7" max="7" width="11.7109375" customWidth="1"/>
    <col min="8" max="8" width="8.7109375" customWidth="1"/>
    <col min="9" max="9" width="3.7109375" customWidth="1"/>
    <col min="10" max="10" width="6.140625" customWidth="1"/>
    <col min="11" max="13" width="5.7109375" customWidth="1"/>
    <col min="14" max="14" width="11.7109375" customWidth="1"/>
    <col min="15" max="15" width="8.7109375" customWidth="1"/>
    <col min="16" max="16" width="0.140625" customWidth="1"/>
    <col min="17" max="20" width="9.140625" hidden="1" customWidth="1"/>
  </cols>
  <sheetData>
    <row r="1" spans="2:20" ht="15" customHeight="1" x14ac:dyDescent="0.2">
      <c r="B1" s="968" t="s">
        <v>567</v>
      </c>
      <c r="C1" s="968"/>
      <c r="D1" s="968"/>
      <c r="E1" s="968"/>
      <c r="F1" s="968"/>
      <c r="G1" s="968"/>
      <c r="H1" s="968"/>
      <c r="I1" s="968"/>
      <c r="J1" s="968"/>
      <c r="K1" s="968"/>
      <c r="L1" s="968"/>
      <c r="M1" s="968"/>
      <c r="N1" s="968"/>
      <c r="O1" s="968"/>
    </row>
    <row r="2" spans="2:20" ht="15" x14ac:dyDescent="0.25">
      <c r="B2" s="169"/>
      <c r="C2" s="165"/>
      <c r="D2" s="165"/>
      <c r="E2" s="169"/>
      <c r="F2" s="167"/>
      <c r="G2" s="167" t="s">
        <v>8</v>
      </c>
      <c r="H2" s="969"/>
      <c r="I2" s="969"/>
      <c r="J2" s="969"/>
      <c r="K2" s="969"/>
      <c r="L2" s="969"/>
      <c r="M2" s="166"/>
      <c r="N2" s="166"/>
      <c r="O2" s="169"/>
    </row>
    <row r="3" spans="2:20" ht="15" x14ac:dyDescent="0.25">
      <c r="B3" s="169"/>
      <c r="C3" s="165"/>
      <c r="D3" s="165"/>
      <c r="E3" s="169"/>
      <c r="F3" s="167"/>
      <c r="G3" s="168"/>
      <c r="H3" s="168"/>
      <c r="I3" s="168"/>
      <c r="J3" s="170"/>
      <c r="K3" s="170"/>
      <c r="L3" s="170"/>
      <c r="M3" s="166"/>
      <c r="N3" s="166"/>
      <c r="O3" s="169"/>
    </row>
    <row r="4" spans="2:20" ht="15" x14ac:dyDescent="0.25">
      <c r="B4" s="606" t="s">
        <v>344</v>
      </c>
      <c r="C4" s="606"/>
      <c r="D4" s="606"/>
      <c r="E4" s="606"/>
      <c r="F4" s="606"/>
      <c r="G4" s="1063">
        <f>'Акт отбора проб Почва'!E9:J9</f>
        <v>0</v>
      </c>
      <c r="H4" s="1063"/>
      <c r="I4" s="1063"/>
      <c r="J4" s="1007"/>
      <c r="K4" s="192"/>
      <c r="L4" s="237" t="s">
        <v>341</v>
      </c>
      <c r="M4" s="1064"/>
      <c r="N4" s="1064"/>
      <c r="O4" s="1064"/>
    </row>
    <row r="5" spans="2:20" ht="15" customHeight="1" x14ac:dyDescent="0.2">
      <c r="B5" s="606" t="s">
        <v>0</v>
      </c>
      <c r="C5" s="606"/>
      <c r="D5" s="606"/>
      <c r="E5" s="606"/>
      <c r="F5" s="606"/>
      <c r="G5" s="976" t="e">
        <f>#REF!</f>
        <v>#REF!</v>
      </c>
      <c r="H5" s="976"/>
      <c r="I5" s="976"/>
      <c r="J5" s="976"/>
      <c r="K5" s="976"/>
      <c r="L5" s="976"/>
      <c r="M5" s="976"/>
      <c r="N5" s="976"/>
      <c r="O5" s="976"/>
    </row>
    <row r="6" spans="2:20" ht="15" customHeight="1" x14ac:dyDescent="0.2">
      <c r="B6" s="608" t="s">
        <v>1</v>
      </c>
      <c r="C6" s="608"/>
      <c r="D6" s="608"/>
      <c r="E6" s="608"/>
      <c r="F6" s="608"/>
      <c r="G6" s="607" t="e">
        <f>#REF!</f>
        <v>#REF!</v>
      </c>
      <c r="H6" s="607"/>
      <c r="I6" s="607"/>
      <c r="J6" s="607"/>
      <c r="K6" s="607"/>
      <c r="L6" s="607"/>
      <c r="M6" s="607"/>
      <c r="N6" s="607"/>
      <c r="O6" s="607"/>
    </row>
    <row r="7" spans="2:20" ht="30" customHeight="1" x14ac:dyDescent="0.2">
      <c r="B7" s="608"/>
      <c r="C7" s="608"/>
      <c r="D7" s="608"/>
      <c r="E7" s="608"/>
      <c r="F7" s="608"/>
      <c r="G7" s="607"/>
      <c r="H7" s="607"/>
      <c r="I7" s="607"/>
      <c r="J7" s="607"/>
      <c r="K7" s="607"/>
      <c r="L7" s="607"/>
      <c r="M7" s="607"/>
      <c r="N7" s="607"/>
      <c r="O7" s="607"/>
    </row>
    <row r="8" spans="2:20" ht="15" customHeight="1" x14ac:dyDescent="0.2">
      <c r="B8" s="606" t="s">
        <v>637</v>
      </c>
      <c r="C8" s="606"/>
      <c r="D8" s="606"/>
      <c r="E8" s="606"/>
      <c r="F8" s="606"/>
      <c r="G8" s="607"/>
      <c r="H8" s="607"/>
      <c r="I8" s="607"/>
      <c r="J8" s="607"/>
      <c r="K8" s="607"/>
      <c r="L8" s="607"/>
      <c r="M8" s="607"/>
      <c r="N8" s="607"/>
      <c r="O8" s="607"/>
    </row>
    <row r="9" spans="2:20" ht="15" hidden="1" customHeight="1" x14ac:dyDescent="0.2">
      <c r="B9" s="606" t="s">
        <v>3</v>
      </c>
      <c r="C9" s="606"/>
      <c r="D9" s="606"/>
      <c r="E9" s="606"/>
      <c r="F9" s="606"/>
      <c r="G9" s="967" t="e">
        <f>#REF!</f>
        <v>#REF!</v>
      </c>
      <c r="H9" s="967"/>
      <c r="I9" s="967"/>
      <c r="J9" s="967"/>
      <c r="K9" s="967"/>
      <c r="L9" s="967"/>
      <c r="M9" s="967"/>
      <c r="N9" s="967"/>
      <c r="O9" s="967"/>
    </row>
    <row r="10" spans="2:20" ht="15" hidden="1" customHeight="1" x14ac:dyDescent="0.25">
      <c r="B10" s="606" t="s">
        <v>369</v>
      </c>
      <c r="C10" s="606"/>
      <c r="D10" s="606"/>
      <c r="E10" s="606"/>
      <c r="F10" s="606"/>
      <c r="G10" s="883" t="s">
        <v>370</v>
      </c>
      <c r="H10" s="884"/>
      <c r="I10" s="884"/>
      <c r="J10" s="884"/>
      <c r="K10" s="884"/>
      <c r="L10" s="884"/>
      <c r="M10" s="884"/>
      <c r="N10" s="884"/>
      <c r="O10" s="884"/>
      <c r="P10" s="884"/>
      <c r="Q10" s="884"/>
      <c r="R10" s="884"/>
      <c r="S10" s="884"/>
      <c r="T10" s="984"/>
    </row>
    <row r="11" spans="2:20" ht="15" customHeight="1" x14ac:dyDescent="0.2">
      <c r="B11" s="1066" t="s">
        <v>568</v>
      </c>
      <c r="C11" s="1066"/>
      <c r="D11" s="1066"/>
      <c r="E11" s="1066"/>
      <c r="F11" s="1066"/>
      <c r="G11" s="1066"/>
      <c r="H11" s="1066"/>
      <c r="I11" s="1066"/>
      <c r="J11" s="1066"/>
      <c r="K11" s="1066"/>
      <c r="L11" s="1066"/>
      <c r="M11" s="1066"/>
      <c r="N11" s="1066"/>
      <c r="O11" s="1066"/>
    </row>
    <row r="12" spans="2:20" ht="30" customHeight="1" x14ac:dyDescent="0.2">
      <c r="B12" s="12" t="s">
        <v>7</v>
      </c>
      <c r="C12" s="1067" t="s">
        <v>569</v>
      </c>
      <c r="D12" s="1068"/>
      <c r="E12" s="1068"/>
      <c r="F12" s="1068"/>
      <c r="G12" s="1069"/>
      <c r="H12" s="238" t="s">
        <v>570</v>
      </c>
      <c r="I12" s="12" t="s">
        <v>7</v>
      </c>
      <c r="J12" s="1067" t="s">
        <v>569</v>
      </c>
      <c r="K12" s="1068"/>
      <c r="L12" s="1068"/>
      <c r="M12" s="1068"/>
      <c r="N12" s="1069"/>
      <c r="O12" s="238" t="s">
        <v>570</v>
      </c>
    </row>
    <row r="13" spans="2:20" ht="15" customHeight="1" x14ac:dyDescent="0.25">
      <c r="B13" s="197">
        <v>1</v>
      </c>
      <c r="C13" s="1065" t="s">
        <v>571</v>
      </c>
      <c r="D13" s="1065"/>
      <c r="E13" s="1065"/>
      <c r="F13" s="1065"/>
      <c r="G13" s="1065"/>
      <c r="H13" s="239"/>
      <c r="I13" s="240">
        <v>6</v>
      </c>
      <c r="J13" s="1065" t="s">
        <v>25</v>
      </c>
      <c r="K13" s="1065"/>
      <c r="L13" s="1065"/>
      <c r="M13" s="1065"/>
      <c r="N13" s="1065"/>
      <c r="O13" s="239" t="s">
        <v>25</v>
      </c>
    </row>
    <row r="14" spans="2:20" ht="15" customHeight="1" x14ac:dyDescent="0.25">
      <c r="B14" s="197">
        <v>2</v>
      </c>
      <c r="C14" s="1065" t="s">
        <v>572</v>
      </c>
      <c r="D14" s="1065"/>
      <c r="E14" s="1065"/>
      <c r="F14" s="1065"/>
      <c r="G14" s="1065"/>
      <c r="H14" s="239"/>
      <c r="I14" s="241">
        <v>7</v>
      </c>
      <c r="J14" s="1065" t="s">
        <v>25</v>
      </c>
      <c r="K14" s="1065"/>
      <c r="L14" s="1065"/>
      <c r="M14" s="1065"/>
      <c r="N14" s="1065"/>
      <c r="O14" s="239" t="s">
        <v>25</v>
      </c>
    </row>
    <row r="15" spans="2:20" ht="15" customHeight="1" x14ac:dyDescent="0.25">
      <c r="B15" s="197">
        <v>3</v>
      </c>
      <c r="C15" s="1065">
        <v>3</v>
      </c>
      <c r="D15" s="1065"/>
      <c r="E15" s="1065"/>
      <c r="F15" s="1065"/>
      <c r="G15" s="1065"/>
      <c r="H15" s="239"/>
      <c r="I15" s="242">
        <v>8</v>
      </c>
      <c r="J15" s="1065" t="s">
        <v>25</v>
      </c>
      <c r="K15" s="1065"/>
      <c r="L15" s="1065"/>
      <c r="M15" s="1065"/>
      <c r="N15" s="1065"/>
      <c r="O15" s="239" t="s">
        <v>25</v>
      </c>
    </row>
    <row r="16" spans="2:20" ht="15" customHeight="1" x14ac:dyDescent="0.25">
      <c r="B16" s="197">
        <v>4</v>
      </c>
      <c r="C16" s="1065">
        <v>4</v>
      </c>
      <c r="D16" s="1065"/>
      <c r="E16" s="1065"/>
      <c r="F16" s="1065"/>
      <c r="G16" s="1065"/>
      <c r="H16" s="239"/>
      <c r="I16" s="242">
        <v>9</v>
      </c>
      <c r="J16" s="1065" t="s">
        <v>25</v>
      </c>
      <c r="K16" s="1065"/>
      <c r="L16" s="1065"/>
      <c r="M16" s="1065"/>
      <c r="N16" s="1065"/>
      <c r="O16" s="239" t="s">
        <v>25</v>
      </c>
    </row>
    <row r="17" spans="2:15" ht="15" customHeight="1" x14ac:dyDescent="0.25">
      <c r="B17" s="197">
        <v>5</v>
      </c>
      <c r="C17" s="1065">
        <v>5</v>
      </c>
      <c r="D17" s="1065"/>
      <c r="E17" s="1065"/>
      <c r="F17" s="1065"/>
      <c r="G17" s="1065"/>
      <c r="H17" s="239"/>
      <c r="I17" s="242">
        <v>10</v>
      </c>
      <c r="J17" s="1065" t="s">
        <v>25</v>
      </c>
      <c r="K17" s="1065"/>
      <c r="L17" s="1065"/>
      <c r="M17" s="1065"/>
      <c r="N17" s="1065"/>
      <c r="O17" s="239" t="s">
        <v>25</v>
      </c>
    </row>
    <row r="18" spans="2:15" ht="15" customHeight="1" x14ac:dyDescent="0.25">
      <c r="B18" s="1074" t="s">
        <v>573</v>
      </c>
      <c r="C18" s="1074"/>
      <c r="D18" s="1074"/>
      <c r="E18" s="1074"/>
      <c r="F18" s="1074"/>
      <c r="G18" s="1074"/>
      <c r="H18" s="1074"/>
      <c r="I18" s="1075" t="s">
        <v>574</v>
      </c>
      <c r="J18" s="1075"/>
      <c r="K18" s="1075"/>
      <c r="L18" s="1075"/>
      <c r="M18" s="1075"/>
      <c r="N18" s="1075"/>
      <c r="O18" s="1075"/>
    </row>
    <row r="19" spans="2:15" ht="15" customHeight="1" x14ac:dyDescent="0.2">
      <c r="B19" s="1076" t="s">
        <v>575</v>
      </c>
      <c r="C19" s="1076"/>
      <c r="D19" s="1076"/>
      <c r="E19" s="1076"/>
      <c r="F19" s="1076"/>
      <c r="G19" s="1076"/>
      <c r="H19" s="1076"/>
      <c r="I19" s="1076"/>
      <c r="J19" s="1076"/>
      <c r="K19" s="1076"/>
      <c r="L19" s="1076"/>
      <c r="M19" s="1076"/>
      <c r="N19" s="1076"/>
      <c r="O19" s="1076"/>
    </row>
    <row r="20" spans="2:15" ht="60" customHeight="1" x14ac:dyDescent="0.2">
      <c r="B20" s="12" t="s">
        <v>7</v>
      </c>
      <c r="C20" s="243" t="s">
        <v>576</v>
      </c>
      <c r="D20" s="243" t="s">
        <v>577</v>
      </c>
      <c r="E20" s="243" t="s">
        <v>578</v>
      </c>
      <c r="F20" s="243" t="s">
        <v>550</v>
      </c>
      <c r="G20" s="240" t="s">
        <v>579</v>
      </c>
      <c r="H20" s="240" t="s">
        <v>580</v>
      </c>
      <c r="I20" s="12" t="s">
        <v>7</v>
      </c>
      <c r="J20" s="243" t="s">
        <v>576</v>
      </c>
      <c r="K20" s="243" t="s">
        <v>577</v>
      </c>
      <c r="L20" s="243" t="s">
        <v>578</v>
      </c>
      <c r="M20" s="243" t="s">
        <v>550</v>
      </c>
      <c r="N20" s="240" t="s">
        <v>579</v>
      </c>
      <c r="O20" s="240" t="s">
        <v>580</v>
      </c>
    </row>
    <row r="21" spans="2:15" ht="15" customHeight="1" x14ac:dyDescent="0.25">
      <c r="B21" s="244">
        <v>1</v>
      </c>
      <c r="C21" s="12"/>
      <c r="D21" s="12"/>
      <c r="E21" s="223"/>
      <c r="F21" s="223"/>
      <c r="G21" s="223"/>
      <c r="H21" s="245"/>
      <c r="I21" s="246">
        <v>31</v>
      </c>
      <c r="J21" s="12"/>
      <c r="K21" s="12"/>
      <c r="L21" s="223"/>
      <c r="M21" s="223"/>
      <c r="N21" s="223"/>
      <c r="O21" s="245"/>
    </row>
    <row r="22" spans="2:15" ht="15" customHeight="1" x14ac:dyDescent="0.25">
      <c r="B22" s="247">
        <v>2</v>
      </c>
      <c r="C22" s="12"/>
      <c r="D22" s="12"/>
      <c r="E22" s="12"/>
      <c r="F22" s="223"/>
      <c r="G22" s="223"/>
      <c r="H22" s="245"/>
      <c r="I22" s="246">
        <v>32</v>
      </c>
      <c r="J22" s="12"/>
      <c r="K22" s="12"/>
      <c r="L22" s="12"/>
      <c r="M22" s="223"/>
      <c r="N22" s="223"/>
      <c r="O22" s="245"/>
    </row>
    <row r="23" spans="2:15" ht="15" customHeight="1" x14ac:dyDescent="0.25">
      <c r="B23" s="247">
        <v>3</v>
      </c>
      <c r="C23" s="12"/>
      <c r="D23" s="12"/>
      <c r="E23" s="12"/>
      <c r="F23" s="223"/>
      <c r="G23" s="223"/>
      <c r="H23" s="245"/>
      <c r="I23" s="246">
        <v>33</v>
      </c>
      <c r="J23" s="12"/>
      <c r="K23" s="12"/>
      <c r="L23" s="12"/>
      <c r="M23" s="223"/>
      <c r="N23" s="223"/>
      <c r="O23" s="245"/>
    </row>
    <row r="24" spans="2:15" ht="15" customHeight="1" x14ac:dyDescent="0.25">
      <c r="B24" s="244">
        <v>4</v>
      </c>
      <c r="C24" s="12"/>
      <c r="D24" s="12"/>
      <c r="E24" s="12"/>
      <c r="F24" s="223"/>
      <c r="G24" s="223"/>
      <c r="H24" s="245"/>
      <c r="I24" s="246">
        <v>34</v>
      </c>
      <c r="J24" s="12"/>
      <c r="K24" s="12"/>
      <c r="L24" s="12"/>
      <c r="M24" s="223"/>
      <c r="N24" s="223"/>
      <c r="O24" s="245"/>
    </row>
    <row r="25" spans="2:15" ht="15" customHeight="1" x14ac:dyDescent="0.25">
      <c r="B25" s="247">
        <v>5</v>
      </c>
      <c r="C25" s="12"/>
      <c r="D25" s="12"/>
      <c r="E25" s="12"/>
      <c r="F25" s="223"/>
      <c r="G25" s="223"/>
      <c r="H25" s="245"/>
      <c r="I25" s="246">
        <v>35</v>
      </c>
      <c r="J25" s="12"/>
      <c r="K25" s="12"/>
      <c r="L25" s="12"/>
      <c r="M25" s="223"/>
      <c r="N25" s="223"/>
      <c r="O25" s="245"/>
    </row>
    <row r="26" spans="2:15" ht="15" customHeight="1" x14ac:dyDescent="0.25">
      <c r="B26" s="247">
        <v>6</v>
      </c>
      <c r="C26" s="12"/>
      <c r="D26" s="12"/>
      <c r="E26" s="12"/>
      <c r="F26" s="223"/>
      <c r="G26" s="223"/>
      <c r="H26" s="245"/>
      <c r="I26" s="246">
        <v>36</v>
      </c>
      <c r="J26" s="12"/>
      <c r="K26" s="12"/>
      <c r="L26" s="12"/>
      <c r="M26" s="223"/>
      <c r="N26" s="223"/>
      <c r="O26" s="245"/>
    </row>
    <row r="27" spans="2:15" ht="15" customHeight="1" x14ac:dyDescent="0.25">
      <c r="B27" s="244">
        <v>7</v>
      </c>
      <c r="C27" s="12"/>
      <c r="D27" s="12"/>
      <c r="E27" s="12"/>
      <c r="F27" s="223"/>
      <c r="G27" s="223"/>
      <c r="H27" s="245"/>
      <c r="I27" s="246">
        <v>37</v>
      </c>
      <c r="J27" s="12"/>
      <c r="K27" s="12"/>
      <c r="L27" s="12"/>
      <c r="M27" s="223"/>
      <c r="N27" s="223"/>
      <c r="O27" s="245"/>
    </row>
    <row r="28" spans="2:15" ht="15" customHeight="1" x14ac:dyDescent="0.25">
      <c r="B28" s="247">
        <v>8</v>
      </c>
      <c r="C28" s="12"/>
      <c r="D28" s="12"/>
      <c r="E28" s="12"/>
      <c r="F28" s="223"/>
      <c r="G28" s="223"/>
      <c r="H28" s="245"/>
      <c r="I28" s="246">
        <v>38</v>
      </c>
      <c r="J28" s="12"/>
      <c r="K28" s="12"/>
      <c r="L28" s="12"/>
      <c r="M28" s="223"/>
      <c r="N28" s="223"/>
      <c r="O28" s="245"/>
    </row>
    <row r="29" spans="2:15" ht="15" customHeight="1" x14ac:dyDescent="0.25">
      <c r="B29" s="247">
        <v>9</v>
      </c>
      <c r="C29" s="12"/>
      <c r="D29" s="12"/>
      <c r="E29" s="12"/>
      <c r="F29" s="223"/>
      <c r="G29" s="223"/>
      <c r="H29" s="245"/>
      <c r="I29" s="246">
        <v>39</v>
      </c>
      <c r="J29" s="12"/>
      <c r="K29" s="12"/>
      <c r="L29" s="12"/>
      <c r="M29" s="223"/>
      <c r="N29" s="223"/>
      <c r="O29" s="245"/>
    </row>
    <row r="30" spans="2:15" ht="15" customHeight="1" x14ac:dyDescent="0.25">
      <c r="B30" s="244">
        <v>10</v>
      </c>
      <c r="C30" s="12"/>
      <c r="D30" s="12"/>
      <c r="E30" s="12"/>
      <c r="F30" s="223"/>
      <c r="G30" s="223"/>
      <c r="H30" s="245"/>
      <c r="I30" s="246">
        <v>40</v>
      </c>
      <c r="J30" s="12"/>
      <c r="K30" s="12"/>
      <c r="L30" s="12"/>
      <c r="M30" s="223"/>
      <c r="N30" s="223"/>
      <c r="O30" s="245"/>
    </row>
    <row r="31" spans="2:15" ht="15" customHeight="1" x14ac:dyDescent="0.25">
      <c r="B31" s="247">
        <v>11</v>
      </c>
      <c r="C31" s="12"/>
      <c r="D31" s="12"/>
      <c r="E31" s="12"/>
      <c r="F31" s="223"/>
      <c r="G31" s="223"/>
      <c r="H31" s="245"/>
      <c r="I31" s="246">
        <v>41</v>
      </c>
      <c r="J31" s="12"/>
      <c r="K31" s="12"/>
      <c r="L31" s="12"/>
      <c r="M31" s="223"/>
      <c r="N31" s="223"/>
      <c r="O31" s="245"/>
    </row>
    <row r="32" spans="2:15" ht="15" customHeight="1" x14ac:dyDescent="0.25">
      <c r="B32" s="247">
        <v>12</v>
      </c>
      <c r="C32" s="12"/>
      <c r="D32" s="12"/>
      <c r="E32" s="12"/>
      <c r="F32" s="223"/>
      <c r="G32" s="223"/>
      <c r="H32" s="245"/>
      <c r="I32" s="246">
        <v>42</v>
      </c>
      <c r="J32" s="248"/>
      <c r="K32" s="249"/>
      <c r="L32" s="240"/>
      <c r="M32" s="250"/>
      <c r="N32" s="251"/>
      <c r="O32" s="251"/>
    </row>
    <row r="33" spans="2:15" ht="15" customHeight="1" x14ac:dyDescent="0.25">
      <c r="B33" s="244">
        <v>13</v>
      </c>
      <c r="C33" s="12"/>
      <c r="D33" s="12"/>
      <c r="E33" s="12"/>
      <c r="F33" s="223"/>
      <c r="G33" s="223"/>
      <c r="H33" s="245"/>
      <c r="I33" s="246">
        <v>43</v>
      </c>
      <c r="J33" s="248"/>
      <c r="K33" s="249"/>
      <c r="L33" s="240"/>
      <c r="M33" s="250"/>
      <c r="N33" s="251"/>
      <c r="O33" s="251"/>
    </row>
    <row r="34" spans="2:15" ht="15" customHeight="1" x14ac:dyDescent="0.25">
      <c r="B34" s="247">
        <v>14</v>
      </c>
      <c r="C34" s="12"/>
      <c r="D34" s="12"/>
      <c r="E34" s="12"/>
      <c r="F34" s="223"/>
      <c r="G34" s="223"/>
      <c r="H34" s="245"/>
      <c r="I34" s="246">
        <v>44</v>
      </c>
      <c r="J34" s="248"/>
      <c r="K34" s="249"/>
      <c r="L34" s="240"/>
      <c r="M34" s="250"/>
      <c r="N34" s="251"/>
      <c r="O34" s="251"/>
    </row>
    <row r="35" spans="2:15" ht="15" customHeight="1" x14ac:dyDescent="0.25">
      <c r="B35" s="247">
        <v>15</v>
      </c>
      <c r="C35" s="12"/>
      <c r="D35" s="12"/>
      <c r="E35" s="12"/>
      <c r="F35" s="223"/>
      <c r="G35" s="223"/>
      <c r="H35" s="245"/>
      <c r="I35" s="246">
        <v>45</v>
      </c>
      <c r="J35" s="248"/>
      <c r="K35" s="249"/>
      <c r="L35" s="240"/>
      <c r="M35" s="250"/>
      <c r="N35" s="251"/>
      <c r="O35" s="251"/>
    </row>
    <row r="36" spans="2:15" ht="15" customHeight="1" x14ac:dyDescent="0.25">
      <c r="B36" s="244">
        <v>16</v>
      </c>
      <c r="C36" s="12"/>
      <c r="D36" s="12"/>
      <c r="E36" s="12"/>
      <c r="F36" s="223"/>
      <c r="G36" s="223"/>
      <c r="H36" s="245"/>
      <c r="I36" s="246">
        <v>46</v>
      </c>
      <c r="J36" s="248"/>
      <c r="K36" s="249"/>
      <c r="L36" s="240"/>
      <c r="M36" s="250"/>
      <c r="N36" s="251"/>
      <c r="O36" s="251"/>
    </row>
    <row r="37" spans="2:15" ht="15" customHeight="1" x14ac:dyDescent="0.25">
      <c r="B37" s="247">
        <v>17</v>
      </c>
      <c r="C37" s="12"/>
      <c r="D37" s="12"/>
      <c r="E37" s="12"/>
      <c r="F37" s="223"/>
      <c r="G37" s="223"/>
      <c r="H37" s="245"/>
      <c r="I37" s="246">
        <v>47</v>
      </c>
      <c r="J37" s="248"/>
      <c r="K37" s="249"/>
      <c r="L37" s="240"/>
      <c r="M37" s="250"/>
      <c r="N37" s="251"/>
      <c r="O37" s="251"/>
    </row>
    <row r="38" spans="2:15" ht="15" customHeight="1" x14ac:dyDescent="0.25">
      <c r="B38" s="247">
        <v>18</v>
      </c>
      <c r="C38" s="12"/>
      <c r="D38" s="12"/>
      <c r="E38" s="12"/>
      <c r="F38" s="223"/>
      <c r="G38" s="223"/>
      <c r="H38" s="245"/>
      <c r="I38" s="246">
        <v>48</v>
      </c>
      <c r="J38" s="248"/>
      <c r="K38" s="249"/>
      <c r="L38" s="240"/>
      <c r="M38" s="250"/>
      <c r="N38" s="251"/>
      <c r="O38" s="251"/>
    </row>
    <row r="39" spans="2:15" ht="15" customHeight="1" x14ac:dyDescent="0.25">
      <c r="B39" s="244">
        <v>19</v>
      </c>
      <c r="C39" s="12"/>
      <c r="D39" s="12"/>
      <c r="E39" s="12"/>
      <c r="F39" s="223"/>
      <c r="G39" s="223"/>
      <c r="H39" s="245"/>
      <c r="I39" s="246">
        <v>49</v>
      </c>
      <c r="J39" s="248"/>
      <c r="K39" s="249"/>
      <c r="L39" s="240"/>
      <c r="M39" s="250"/>
      <c r="N39" s="251"/>
      <c r="O39" s="251"/>
    </row>
    <row r="40" spans="2:15" ht="15" customHeight="1" x14ac:dyDescent="0.25">
      <c r="B40" s="247">
        <v>20</v>
      </c>
      <c r="C40" s="12"/>
      <c r="D40" s="12"/>
      <c r="E40" s="12"/>
      <c r="F40" s="223"/>
      <c r="G40" s="223"/>
      <c r="H40" s="245"/>
      <c r="I40" s="246">
        <v>50</v>
      </c>
      <c r="J40" s="248"/>
      <c r="K40" s="249"/>
      <c r="L40" s="240"/>
      <c r="M40" s="250"/>
      <c r="N40" s="251"/>
      <c r="O40" s="251"/>
    </row>
    <row r="41" spans="2:15" ht="15" customHeight="1" x14ac:dyDescent="0.25">
      <c r="B41" s="247">
        <v>21</v>
      </c>
      <c r="C41" s="12"/>
      <c r="D41" s="12"/>
      <c r="E41" s="12"/>
      <c r="F41" s="223"/>
      <c r="G41" s="223"/>
      <c r="H41" s="245"/>
      <c r="I41" s="246">
        <v>51</v>
      </c>
      <c r="J41" s="248"/>
      <c r="K41" s="249"/>
      <c r="L41" s="240"/>
      <c r="M41" s="250"/>
      <c r="N41" s="251"/>
      <c r="O41" s="251"/>
    </row>
    <row r="42" spans="2:15" ht="15" customHeight="1" x14ac:dyDescent="0.25">
      <c r="B42" s="244">
        <v>22</v>
      </c>
      <c r="C42" s="12"/>
      <c r="D42" s="12"/>
      <c r="E42" s="12"/>
      <c r="F42" s="223"/>
      <c r="G42" s="223"/>
      <c r="H42" s="245"/>
      <c r="I42" s="246">
        <v>52</v>
      </c>
      <c r="J42" s="248"/>
      <c r="K42" s="249"/>
      <c r="L42" s="240"/>
      <c r="M42" s="250"/>
      <c r="N42" s="251"/>
      <c r="O42" s="251"/>
    </row>
    <row r="43" spans="2:15" ht="15" customHeight="1" x14ac:dyDescent="0.25">
      <c r="B43" s="247">
        <v>23</v>
      </c>
      <c r="C43" s="12"/>
      <c r="D43" s="12"/>
      <c r="E43" s="12"/>
      <c r="F43" s="223"/>
      <c r="G43" s="223"/>
      <c r="H43" s="245"/>
      <c r="I43" s="246">
        <v>53</v>
      </c>
      <c r="J43" s="248"/>
      <c r="K43" s="249"/>
      <c r="L43" s="240"/>
      <c r="M43" s="250"/>
      <c r="N43" s="251"/>
      <c r="O43" s="251"/>
    </row>
    <row r="44" spans="2:15" ht="15" customHeight="1" x14ac:dyDescent="0.25">
      <c r="B44" s="247">
        <v>24</v>
      </c>
      <c r="C44" s="12"/>
      <c r="D44" s="12"/>
      <c r="E44" s="12"/>
      <c r="F44" s="223"/>
      <c r="G44" s="223"/>
      <c r="H44" s="245"/>
      <c r="I44" s="246">
        <v>54</v>
      </c>
      <c r="J44" s="248"/>
      <c r="K44" s="249"/>
      <c r="L44" s="240"/>
      <c r="M44" s="250"/>
      <c r="N44" s="251"/>
      <c r="O44" s="251"/>
    </row>
    <row r="45" spans="2:15" ht="15" customHeight="1" x14ac:dyDescent="0.25">
      <c r="B45" s="244">
        <v>25</v>
      </c>
      <c r="C45" s="12"/>
      <c r="D45" s="12"/>
      <c r="E45" s="12"/>
      <c r="F45" s="223"/>
      <c r="G45" s="223"/>
      <c r="H45" s="245"/>
      <c r="I45" s="246">
        <v>55</v>
      </c>
      <c r="J45" s="248"/>
      <c r="K45" s="249"/>
      <c r="L45" s="240"/>
      <c r="M45" s="250"/>
      <c r="N45" s="251"/>
      <c r="O45" s="251"/>
    </row>
    <row r="46" spans="2:15" ht="15" customHeight="1" x14ac:dyDescent="0.25">
      <c r="B46" s="247">
        <v>26</v>
      </c>
      <c r="C46" s="12"/>
      <c r="D46" s="12"/>
      <c r="E46" s="12"/>
      <c r="F46" s="223"/>
      <c r="G46" s="223"/>
      <c r="H46" s="245"/>
      <c r="I46" s="246">
        <v>56</v>
      </c>
      <c r="J46" s="248"/>
      <c r="K46" s="249"/>
      <c r="L46" s="240"/>
      <c r="M46" s="250"/>
      <c r="N46" s="251"/>
      <c r="O46" s="251"/>
    </row>
    <row r="47" spans="2:15" ht="15" customHeight="1" x14ac:dyDescent="0.25">
      <c r="B47" s="247">
        <v>27</v>
      </c>
      <c r="C47" s="12"/>
      <c r="D47" s="12"/>
      <c r="E47" s="12"/>
      <c r="F47" s="223"/>
      <c r="G47" s="223"/>
      <c r="H47" s="245"/>
      <c r="I47" s="246">
        <v>57</v>
      </c>
      <c r="J47" s="248"/>
      <c r="K47" s="249"/>
      <c r="L47" s="240"/>
      <c r="M47" s="250"/>
      <c r="N47" s="251"/>
      <c r="O47" s="251"/>
    </row>
    <row r="48" spans="2:15" ht="15" customHeight="1" x14ac:dyDescent="0.25">
      <c r="B48" s="244">
        <v>28</v>
      </c>
      <c r="C48" s="12"/>
      <c r="D48" s="12"/>
      <c r="E48" s="12"/>
      <c r="F48" s="223"/>
      <c r="G48" s="223"/>
      <c r="H48" s="245"/>
      <c r="I48" s="246">
        <v>58</v>
      </c>
      <c r="J48" s="248"/>
      <c r="K48" s="249"/>
      <c r="L48" s="240"/>
      <c r="M48" s="250"/>
      <c r="N48" s="251"/>
      <c r="O48" s="251"/>
    </row>
    <row r="49" spans="2:15" ht="15" customHeight="1" x14ac:dyDescent="0.25">
      <c r="B49" s="247">
        <v>29</v>
      </c>
      <c r="C49" s="12"/>
      <c r="D49" s="12"/>
      <c r="E49" s="12"/>
      <c r="F49" s="223"/>
      <c r="G49" s="223"/>
      <c r="H49" s="245"/>
      <c r="I49" s="246">
        <v>59</v>
      </c>
      <c r="J49" s="248"/>
      <c r="K49" s="249"/>
      <c r="L49" s="240"/>
      <c r="M49" s="250"/>
      <c r="N49" s="251"/>
      <c r="O49" s="251"/>
    </row>
    <row r="50" spans="2:15" ht="15" customHeight="1" x14ac:dyDescent="0.25">
      <c r="B50" s="247">
        <v>30</v>
      </c>
      <c r="C50" s="12"/>
      <c r="D50" s="12"/>
      <c r="E50" s="12"/>
      <c r="F50" s="223"/>
      <c r="G50" s="223"/>
      <c r="H50" s="245"/>
      <c r="I50" s="246">
        <v>60</v>
      </c>
      <c r="J50" s="248"/>
      <c r="K50" s="249"/>
      <c r="L50" s="240"/>
      <c r="M50" s="250"/>
      <c r="N50" s="251"/>
      <c r="O50" s="251"/>
    </row>
    <row r="51" spans="2:15" ht="15" hidden="1" customHeight="1" x14ac:dyDescent="0.25">
      <c r="B51" s="244">
        <v>61</v>
      </c>
      <c r="C51" s="252"/>
      <c r="D51" s="252"/>
      <c r="E51" s="240"/>
      <c r="F51" s="250"/>
      <c r="G51" s="251"/>
      <c r="H51" s="251"/>
      <c r="I51" s="246">
        <v>112</v>
      </c>
      <c r="J51" s="252"/>
      <c r="K51" s="252"/>
      <c r="L51" s="240"/>
      <c r="M51" s="250"/>
      <c r="N51" s="251"/>
      <c r="O51" s="251"/>
    </row>
    <row r="52" spans="2:15" ht="15" hidden="1" customHeight="1" x14ac:dyDescent="0.25">
      <c r="B52" s="244">
        <v>62</v>
      </c>
      <c r="C52" s="252"/>
      <c r="D52" s="252"/>
      <c r="E52" s="240"/>
      <c r="F52" s="250"/>
      <c r="G52" s="251"/>
      <c r="H52" s="251"/>
      <c r="I52" s="246">
        <v>113</v>
      </c>
      <c r="J52" s="252"/>
      <c r="K52" s="252"/>
      <c r="L52" s="240"/>
      <c r="M52" s="250"/>
      <c r="N52" s="251"/>
      <c r="O52" s="251"/>
    </row>
    <row r="53" spans="2:15" ht="15" hidden="1" customHeight="1" x14ac:dyDescent="0.25">
      <c r="B53" s="244">
        <v>63</v>
      </c>
      <c r="C53" s="252"/>
      <c r="D53" s="252"/>
      <c r="E53" s="240"/>
      <c r="F53" s="250"/>
      <c r="G53" s="251"/>
      <c r="H53" s="251"/>
      <c r="I53" s="246">
        <v>114</v>
      </c>
      <c r="J53" s="252"/>
      <c r="K53" s="252"/>
      <c r="L53" s="240"/>
      <c r="M53" s="250"/>
      <c r="N53" s="251"/>
      <c r="O53" s="251"/>
    </row>
    <row r="54" spans="2:15" ht="15" hidden="1" customHeight="1" x14ac:dyDescent="0.25">
      <c r="B54" s="244">
        <v>64</v>
      </c>
      <c r="C54" s="252"/>
      <c r="D54" s="252"/>
      <c r="E54" s="240"/>
      <c r="F54" s="250"/>
      <c r="G54" s="251"/>
      <c r="H54" s="251"/>
      <c r="I54" s="246">
        <v>115</v>
      </c>
      <c r="J54" s="252"/>
      <c r="K54" s="252"/>
      <c r="L54" s="240"/>
      <c r="M54" s="250"/>
      <c r="N54" s="251"/>
      <c r="O54" s="251"/>
    </row>
    <row r="55" spans="2:15" ht="15" hidden="1" customHeight="1" x14ac:dyDescent="0.25">
      <c r="B55" s="244">
        <v>65</v>
      </c>
      <c r="C55" s="252"/>
      <c r="D55" s="252"/>
      <c r="E55" s="240"/>
      <c r="F55" s="250"/>
      <c r="G55" s="251"/>
      <c r="H55" s="251"/>
      <c r="I55" s="246">
        <v>116</v>
      </c>
      <c r="J55" s="252"/>
      <c r="K55" s="252"/>
      <c r="L55" s="240"/>
      <c r="M55" s="250"/>
      <c r="N55" s="251"/>
      <c r="O55" s="251"/>
    </row>
    <row r="56" spans="2:15" ht="15" hidden="1" customHeight="1" x14ac:dyDescent="0.25">
      <c r="B56" s="244">
        <v>66</v>
      </c>
      <c r="C56" s="252"/>
      <c r="D56" s="252"/>
      <c r="E56" s="240"/>
      <c r="F56" s="250"/>
      <c r="G56" s="251"/>
      <c r="H56" s="251"/>
      <c r="I56" s="246">
        <v>117</v>
      </c>
      <c r="J56" s="252"/>
      <c r="K56" s="252"/>
      <c r="L56" s="240"/>
      <c r="M56" s="250"/>
      <c r="N56" s="251"/>
      <c r="O56" s="251"/>
    </row>
    <row r="57" spans="2:15" ht="15" hidden="1" customHeight="1" x14ac:dyDescent="0.25">
      <c r="B57" s="244">
        <v>67</v>
      </c>
      <c r="C57" s="252"/>
      <c r="D57" s="252"/>
      <c r="E57" s="240"/>
      <c r="F57" s="250"/>
      <c r="G57" s="251"/>
      <c r="H57" s="251"/>
      <c r="I57" s="246">
        <v>118</v>
      </c>
      <c r="J57" s="252"/>
      <c r="K57" s="252"/>
      <c r="L57" s="240"/>
      <c r="M57" s="250"/>
      <c r="N57" s="251"/>
      <c r="O57" s="251"/>
    </row>
    <row r="58" spans="2:15" ht="15" hidden="1" customHeight="1" x14ac:dyDescent="0.25">
      <c r="B58" s="244">
        <v>68</v>
      </c>
      <c r="C58" s="252"/>
      <c r="D58" s="252"/>
      <c r="E58" s="240"/>
      <c r="F58" s="250"/>
      <c r="G58" s="251"/>
      <c r="H58" s="251"/>
      <c r="I58" s="246">
        <v>119</v>
      </c>
      <c r="J58" s="252"/>
      <c r="K58" s="252"/>
      <c r="L58" s="240"/>
      <c r="M58" s="250"/>
      <c r="N58" s="251"/>
      <c r="O58" s="251"/>
    </row>
    <row r="59" spans="2:15" ht="15" hidden="1" customHeight="1" x14ac:dyDescent="0.25">
      <c r="B59" s="244">
        <v>69</v>
      </c>
      <c r="C59" s="252"/>
      <c r="D59" s="252"/>
      <c r="E59" s="240"/>
      <c r="F59" s="250"/>
      <c r="G59" s="251"/>
      <c r="H59" s="251"/>
      <c r="I59" s="246">
        <v>120</v>
      </c>
      <c r="J59" s="252"/>
      <c r="K59" s="252"/>
      <c r="L59" s="240"/>
      <c r="M59" s="250"/>
      <c r="N59" s="251"/>
      <c r="O59" s="251"/>
    </row>
    <row r="60" spans="2:15" ht="15" hidden="1" customHeight="1" x14ac:dyDescent="0.25">
      <c r="B60" s="244">
        <v>70</v>
      </c>
      <c r="C60" s="252"/>
      <c r="D60" s="252"/>
      <c r="E60" s="240"/>
      <c r="F60" s="250"/>
      <c r="G60" s="251"/>
      <c r="H60" s="251"/>
      <c r="I60" s="246">
        <v>121</v>
      </c>
      <c r="J60" s="252"/>
      <c r="K60" s="252"/>
      <c r="L60" s="240"/>
      <c r="M60" s="250"/>
      <c r="N60" s="251"/>
      <c r="O60" s="251"/>
    </row>
    <row r="61" spans="2:15" ht="15" hidden="1" customHeight="1" x14ac:dyDescent="0.25">
      <c r="B61" s="244">
        <v>71</v>
      </c>
      <c r="C61" s="252"/>
      <c r="D61" s="252"/>
      <c r="E61" s="240"/>
      <c r="F61" s="250"/>
      <c r="G61" s="251"/>
      <c r="H61" s="251"/>
      <c r="I61" s="246">
        <v>122</v>
      </c>
      <c r="J61" s="252"/>
      <c r="K61" s="252"/>
      <c r="L61" s="240"/>
      <c r="M61" s="250"/>
      <c r="N61" s="251"/>
      <c r="O61" s="251"/>
    </row>
    <row r="62" spans="2:15" ht="15" hidden="1" customHeight="1" x14ac:dyDescent="0.25">
      <c r="B62" s="244">
        <v>72</v>
      </c>
      <c r="C62" s="252"/>
      <c r="D62" s="252"/>
      <c r="E62" s="240"/>
      <c r="F62" s="250"/>
      <c r="G62" s="251"/>
      <c r="H62" s="251"/>
      <c r="I62" s="246">
        <v>123</v>
      </c>
      <c r="J62" s="252"/>
      <c r="K62" s="252"/>
      <c r="L62" s="240"/>
      <c r="M62" s="250"/>
      <c r="N62" s="251"/>
      <c r="O62" s="251"/>
    </row>
    <row r="63" spans="2:15" ht="15" hidden="1" customHeight="1" x14ac:dyDescent="0.25">
      <c r="B63" s="244">
        <v>73</v>
      </c>
      <c r="C63" s="252"/>
      <c r="D63" s="252"/>
      <c r="E63" s="240"/>
      <c r="F63" s="250"/>
      <c r="G63" s="251"/>
      <c r="H63" s="251"/>
      <c r="I63" s="246">
        <v>124</v>
      </c>
      <c r="J63" s="252"/>
      <c r="K63" s="252"/>
      <c r="L63" s="240"/>
      <c r="M63" s="250"/>
      <c r="N63" s="251"/>
      <c r="O63" s="251"/>
    </row>
    <row r="64" spans="2:15" ht="15" hidden="1" customHeight="1" x14ac:dyDescent="0.25">
      <c r="B64" s="244">
        <v>74</v>
      </c>
      <c r="C64" s="252"/>
      <c r="D64" s="252"/>
      <c r="E64" s="240"/>
      <c r="F64" s="250"/>
      <c r="G64" s="251"/>
      <c r="H64" s="251"/>
      <c r="I64" s="246">
        <v>125</v>
      </c>
      <c r="J64" s="252"/>
      <c r="K64" s="252"/>
      <c r="L64" s="240"/>
      <c r="M64" s="250"/>
      <c r="N64" s="251"/>
      <c r="O64" s="251"/>
    </row>
    <row r="65" spans="2:15" ht="15" hidden="1" customHeight="1" x14ac:dyDescent="0.25">
      <c r="B65" s="244">
        <v>75</v>
      </c>
      <c r="C65" s="252"/>
      <c r="D65" s="252"/>
      <c r="E65" s="240"/>
      <c r="F65" s="250"/>
      <c r="G65" s="251"/>
      <c r="H65" s="251"/>
      <c r="I65" s="246">
        <v>126</v>
      </c>
      <c r="J65" s="252"/>
      <c r="K65" s="252"/>
      <c r="L65" s="240"/>
      <c r="M65" s="250"/>
      <c r="N65" s="251"/>
      <c r="O65" s="251"/>
    </row>
    <row r="66" spans="2:15" ht="15" hidden="1" customHeight="1" x14ac:dyDescent="0.25">
      <c r="B66" s="244">
        <v>76</v>
      </c>
      <c r="C66" s="252"/>
      <c r="D66" s="252"/>
      <c r="E66" s="240"/>
      <c r="F66" s="250"/>
      <c r="G66" s="251"/>
      <c r="H66" s="251"/>
      <c r="I66" s="246">
        <v>127</v>
      </c>
      <c r="J66" s="252"/>
      <c r="K66" s="252"/>
      <c r="L66" s="240"/>
      <c r="M66" s="250"/>
      <c r="N66" s="251"/>
      <c r="O66" s="251"/>
    </row>
    <row r="67" spans="2:15" ht="15" hidden="1" customHeight="1" x14ac:dyDescent="0.25">
      <c r="B67" s="244">
        <v>77</v>
      </c>
      <c r="C67" s="252"/>
      <c r="D67" s="252"/>
      <c r="E67" s="240"/>
      <c r="F67" s="250"/>
      <c r="G67" s="251"/>
      <c r="H67" s="251"/>
      <c r="I67" s="246">
        <v>128</v>
      </c>
      <c r="J67" s="252"/>
      <c r="K67" s="252"/>
      <c r="L67" s="240"/>
      <c r="M67" s="250"/>
      <c r="N67" s="251"/>
      <c r="O67" s="251"/>
    </row>
    <row r="68" spans="2:15" ht="15" hidden="1" customHeight="1" x14ac:dyDescent="0.25">
      <c r="B68" s="244">
        <v>78</v>
      </c>
      <c r="C68" s="252"/>
      <c r="D68" s="252"/>
      <c r="E68" s="240"/>
      <c r="F68" s="250"/>
      <c r="G68" s="251"/>
      <c r="H68" s="251"/>
      <c r="I68" s="246">
        <v>129</v>
      </c>
      <c r="J68" s="252"/>
      <c r="K68" s="252"/>
      <c r="L68" s="240"/>
      <c r="M68" s="250"/>
      <c r="N68" s="251"/>
      <c r="O68" s="251"/>
    </row>
    <row r="69" spans="2:15" ht="15" hidden="1" customHeight="1" x14ac:dyDescent="0.25">
      <c r="B69" s="244">
        <v>79</v>
      </c>
      <c r="C69" s="252"/>
      <c r="D69" s="252"/>
      <c r="E69" s="240"/>
      <c r="F69" s="250"/>
      <c r="G69" s="251"/>
      <c r="H69" s="251"/>
      <c r="I69" s="246">
        <v>130</v>
      </c>
      <c r="J69" s="252"/>
      <c r="K69" s="252"/>
      <c r="L69" s="240"/>
      <c r="M69" s="250"/>
      <c r="N69" s="251"/>
      <c r="O69" s="251"/>
    </row>
    <row r="70" spans="2:15" ht="15" hidden="1" customHeight="1" x14ac:dyDescent="0.25">
      <c r="B70" s="244">
        <v>80</v>
      </c>
      <c r="C70" s="252"/>
      <c r="D70" s="252"/>
      <c r="E70" s="240"/>
      <c r="F70" s="250"/>
      <c r="G70" s="251"/>
      <c r="H70" s="251"/>
      <c r="I70" s="246">
        <v>131</v>
      </c>
      <c r="J70" s="252"/>
      <c r="K70" s="252"/>
      <c r="L70" s="240"/>
      <c r="M70" s="250"/>
      <c r="N70" s="251"/>
      <c r="O70" s="251"/>
    </row>
    <row r="71" spans="2:15" ht="15" hidden="1" customHeight="1" x14ac:dyDescent="0.25">
      <c r="B71" s="244">
        <v>81</v>
      </c>
      <c r="C71" s="252"/>
      <c r="D71" s="252"/>
      <c r="E71" s="240"/>
      <c r="F71" s="250"/>
      <c r="G71" s="251"/>
      <c r="H71" s="251"/>
      <c r="I71" s="246">
        <v>132</v>
      </c>
      <c r="J71" s="252"/>
      <c r="K71" s="252"/>
      <c r="L71" s="240"/>
      <c r="M71" s="250"/>
      <c r="N71" s="251"/>
      <c r="O71" s="251"/>
    </row>
    <row r="72" spans="2:15" ht="15" hidden="1" customHeight="1" x14ac:dyDescent="0.25">
      <c r="B72" s="244">
        <v>82</v>
      </c>
      <c r="C72" s="252"/>
      <c r="D72" s="252"/>
      <c r="E72" s="240"/>
      <c r="F72" s="250"/>
      <c r="G72" s="251"/>
      <c r="H72" s="251"/>
      <c r="I72" s="246">
        <v>133</v>
      </c>
      <c r="J72" s="252"/>
      <c r="K72" s="252"/>
      <c r="L72" s="240"/>
      <c r="M72" s="250"/>
      <c r="N72" s="251"/>
      <c r="O72" s="251"/>
    </row>
    <row r="73" spans="2:15" ht="15" hidden="1" customHeight="1" x14ac:dyDescent="0.25">
      <c r="B73" s="244">
        <v>83</v>
      </c>
      <c r="C73" s="252"/>
      <c r="D73" s="252"/>
      <c r="E73" s="240"/>
      <c r="F73" s="250"/>
      <c r="G73" s="251"/>
      <c r="H73" s="251"/>
      <c r="I73" s="246">
        <v>134</v>
      </c>
      <c r="J73" s="252"/>
      <c r="K73" s="252"/>
      <c r="L73" s="240"/>
      <c r="M73" s="250"/>
      <c r="N73" s="251"/>
      <c r="O73" s="251"/>
    </row>
    <row r="74" spans="2:15" ht="15" hidden="1" customHeight="1" x14ac:dyDescent="0.25">
      <c r="B74" s="244">
        <v>84</v>
      </c>
      <c r="C74" s="252"/>
      <c r="D74" s="252"/>
      <c r="E74" s="240"/>
      <c r="F74" s="250"/>
      <c r="G74" s="251"/>
      <c r="H74" s="251"/>
      <c r="I74" s="246">
        <v>135</v>
      </c>
      <c r="J74" s="252"/>
      <c r="K74" s="252"/>
      <c r="L74" s="240"/>
      <c r="M74" s="250"/>
      <c r="N74" s="251"/>
      <c r="O74" s="251"/>
    </row>
    <row r="75" spans="2:15" ht="15" hidden="1" customHeight="1" x14ac:dyDescent="0.25">
      <c r="B75" s="244">
        <v>85</v>
      </c>
      <c r="C75" s="252"/>
      <c r="D75" s="252"/>
      <c r="E75" s="240"/>
      <c r="F75" s="250"/>
      <c r="G75" s="251"/>
      <c r="H75" s="251"/>
      <c r="I75" s="246">
        <v>136</v>
      </c>
      <c r="J75" s="252"/>
      <c r="K75" s="252"/>
      <c r="L75" s="240"/>
      <c r="M75" s="250"/>
      <c r="N75" s="251"/>
      <c r="O75" s="251"/>
    </row>
    <row r="76" spans="2:15" ht="15" hidden="1" customHeight="1" x14ac:dyDescent="0.25">
      <c r="B76" s="244">
        <v>86</v>
      </c>
      <c r="C76" s="240"/>
      <c r="D76" s="240"/>
      <c r="E76" s="240"/>
      <c r="F76" s="250"/>
      <c r="G76" s="251"/>
      <c r="H76" s="251"/>
      <c r="I76" s="246">
        <v>137</v>
      </c>
      <c r="J76" s="240"/>
      <c r="K76" s="240"/>
      <c r="L76" s="240"/>
      <c r="M76" s="250"/>
      <c r="N76" s="251"/>
      <c r="O76" s="251"/>
    </row>
    <row r="77" spans="2:15" ht="15" hidden="1" customHeight="1" x14ac:dyDescent="0.25">
      <c r="B77" s="244">
        <v>87</v>
      </c>
      <c r="C77" s="240"/>
      <c r="D77" s="240"/>
      <c r="E77" s="240"/>
      <c r="F77" s="250"/>
      <c r="G77" s="251"/>
      <c r="H77" s="251"/>
      <c r="I77" s="246">
        <v>138</v>
      </c>
      <c r="J77" s="240"/>
      <c r="K77" s="240"/>
      <c r="L77" s="240"/>
      <c r="M77" s="250"/>
      <c r="N77" s="251"/>
      <c r="O77" s="251"/>
    </row>
    <row r="78" spans="2:15" ht="15" hidden="1" customHeight="1" x14ac:dyDescent="0.25">
      <c r="B78" s="244">
        <v>88</v>
      </c>
      <c r="C78" s="240"/>
      <c r="D78" s="240"/>
      <c r="E78" s="240"/>
      <c r="F78" s="250"/>
      <c r="G78" s="251"/>
      <c r="H78" s="251"/>
      <c r="I78" s="246">
        <v>139</v>
      </c>
      <c r="J78" s="240"/>
      <c r="K78" s="240"/>
      <c r="L78" s="240"/>
      <c r="M78" s="250"/>
      <c r="N78" s="251"/>
      <c r="O78" s="251"/>
    </row>
    <row r="79" spans="2:15" ht="15" hidden="1" customHeight="1" x14ac:dyDescent="0.25">
      <c r="B79" s="244">
        <v>89</v>
      </c>
      <c r="C79" s="240"/>
      <c r="D79" s="240"/>
      <c r="E79" s="240"/>
      <c r="F79" s="250"/>
      <c r="G79" s="251"/>
      <c r="H79" s="251"/>
      <c r="I79" s="246">
        <v>140</v>
      </c>
      <c r="J79" s="240"/>
      <c r="K79" s="240"/>
      <c r="L79" s="240"/>
      <c r="M79" s="250"/>
      <c r="N79" s="251"/>
      <c r="O79" s="251"/>
    </row>
    <row r="80" spans="2:15" ht="15" hidden="1" customHeight="1" x14ac:dyDescent="0.25">
      <c r="B80" s="244">
        <v>90</v>
      </c>
      <c r="C80" s="240"/>
      <c r="D80" s="240"/>
      <c r="E80" s="240"/>
      <c r="F80" s="250"/>
      <c r="G80" s="251"/>
      <c r="H80" s="251"/>
      <c r="I80" s="246">
        <v>141</v>
      </c>
      <c r="J80" s="240"/>
      <c r="K80" s="240"/>
      <c r="L80" s="240"/>
      <c r="M80" s="250"/>
      <c r="N80" s="251"/>
      <c r="O80" s="251"/>
    </row>
    <row r="81" spans="2:15" ht="15" hidden="1" customHeight="1" x14ac:dyDescent="0.25">
      <c r="B81" s="244">
        <v>91</v>
      </c>
      <c r="C81" s="252"/>
      <c r="D81" s="252"/>
      <c r="E81" s="240"/>
      <c r="F81" s="250"/>
      <c r="G81" s="251"/>
      <c r="H81" s="251"/>
      <c r="I81" s="246">
        <v>142</v>
      </c>
      <c r="J81" s="252"/>
      <c r="K81" s="252"/>
      <c r="L81" s="240"/>
      <c r="M81" s="250"/>
      <c r="N81" s="251"/>
      <c r="O81" s="251"/>
    </row>
    <row r="82" spans="2:15" ht="15" hidden="1" customHeight="1" x14ac:dyDescent="0.25">
      <c r="B82" s="244">
        <v>92</v>
      </c>
      <c r="C82" s="252"/>
      <c r="D82" s="252"/>
      <c r="E82" s="240"/>
      <c r="F82" s="250"/>
      <c r="G82" s="251"/>
      <c r="H82" s="251"/>
      <c r="I82" s="246">
        <v>143</v>
      </c>
      <c r="J82" s="252"/>
      <c r="K82" s="252"/>
      <c r="L82" s="240"/>
      <c r="M82" s="250"/>
      <c r="N82" s="251"/>
      <c r="O82" s="251"/>
    </row>
    <row r="83" spans="2:15" ht="15" hidden="1" customHeight="1" x14ac:dyDescent="0.25">
      <c r="B83" s="244">
        <v>93</v>
      </c>
      <c r="C83" s="252"/>
      <c r="D83" s="252"/>
      <c r="E83" s="240"/>
      <c r="F83" s="250"/>
      <c r="G83" s="251"/>
      <c r="H83" s="251"/>
      <c r="I83" s="246">
        <v>144</v>
      </c>
      <c r="J83" s="252"/>
      <c r="K83" s="252"/>
      <c r="L83" s="240"/>
      <c r="M83" s="250"/>
      <c r="N83" s="251"/>
      <c r="O83" s="251"/>
    </row>
    <row r="84" spans="2:15" ht="15" hidden="1" customHeight="1" x14ac:dyDescent="0.25">
      <c r="B84" s="244">
        <v>94</v>
      </c>
      <c r="C84" s="252"/>
      <c r="D84" s="252"/>
      <c r="E84" s="240"/>
      <c r="F84" s="250"/>
      <c r="G84" s="251"/>
      <c r="H84" s="251"/>
      <c r="I84" s="246">
        <v>145</v>
      </c>
      <c r="J84" s="252"/>
      <c r="K84" s="252"/>
      <c r="L84" s="240"/>
      <c r="M84" s="250"/>
      <c r="N84" s="251"/>
      <c r="O84" s="251"/>
    </row>
    <row r="85" spans="2:15" ht="15" hidden="1" customHeight="1" x14ac:dyDescent="0.25">
      <c r="B85" s="244">
        <v>95</v>
      </c>
      <c r="C85" s="252"/>
      <c r="D85" s="252"/>
      <c r="E85" s="240"/>
      <c r="F85" s="250"/>
      <c r="G85" s="251"/>
      <c r="H85" s="251"/>
      <c r="I85" s="246">
        <v>146</v>
      </c>
      <c r="J85" s="252"/>
      <c r="K85" s="252"/>
      <c r="L85" s="240"/>
      <c r="M85" s="250"/>
      <c r="N85" s="251"/>
      <c r="O85" s="251"/>
    </row>
    <row r="86" spans="2:15" ht="15" hidden="1" customHeight="1" x14ac:dyDescent="0.25">
      <c r="B86" s="244">
        <v>96</v>
      </c>
      <c r="C86" s="252"/>
      <c r="D86" s="252"/>
      <c r="E86" s="240"/>
      <c r="F86" s="250"/>
      <c r="G86" s="251"/>
      <c r="H86" s="251"/>
      <c r="I86" s="246">
        <v>147</v>
      </c>
      <c r="J86" s="252"/>
      <c r="K86" s="252"/>
      <c r="L86" s="240"/>
      <c r="M86" s="250"/>
      <c r="N86" s="251"/>
      <c r="O86" s="251"/>
    </row>
    <row r="87" spans="2:15" ht="15" hidden="1" customHeight="1" x14ac:dyDescent="0.25">
      <c r="B87" s="244">
        <v>97</v>
      </c>
      <c r="C87" s="252"/>
      <c r="D87" s="252"/>
      <c r="E87" s="240"/>
      <c r="F87" s="250"/>
      <c r="G87" s="251"/>
      <c r="H87" s="251"/>
      <c r="I87" s="246">
        <v>148</v>
      </c>
      <c r="J87" s="252"/>
      <c r="K87" s="252"/>
      <c r="L87" s="240"/>
      <c r="M87" s="250"/>
      <c r="N87" s="251"/>
      <c r="O87" s="251"/>
    </row>
    <row r="88" spans="2:15" ht="15" hidden="1" customHeight="1" x14ac:dyDescent="0.25">
      <c r="B88" s="244">
        <v>98</v>
      </c>
      <c r="C88" s="252"/>
      <c r="D88" s="252"/>
      <c r="E88" s="240"/>
      <c r="F88" s="250"/>
      <c r="G88" s="251"/>
      <c r="H88" s="251"/>
      <c r="I88" s="246">
        <v>149</v>
      </c>
      <c r="J88" s="252"/>
      <c r="K88" s="252"/>
      <c r="L88" s="240"/>
      <c r="M88" s="250"/>
      <c r="N88" s="251"/>
      <c r="O88" s="251"/>
    </row>
    <row r="89" spans="2:15" ht="15" hidden="1" customHeight="1" x14ac:dyDescent="0.25">
      <c r="B89" s="244">
        <v>99</v>
      </c>
      <c r="C89" s="252"/>
      <c r="D89" s="252"/>
      <c r="E89" s="240"/>
      <c r="F89" s="250"/>
      <c r="G89" s="251"/>
      <c r="H89" s="251"/>
      <c r="I89" s="246">
        <v>150</v>
      </c>
      <c r="J89" s="252"/>
      <c r="K89" s="252"/>
      <c r="L89" s="240"/>
      <c r="M89" s="250"/>
      <c r="N89" s="251"/>
      <c r="O89" s="251"/>
    </row>
    <row r="90" spans="2:15" ht="15" hidden="1" customHeight="1" x14ac:dyDescent="0.25">
      <c r="B90" s="244">
        <v>100</v>
      </c>
      <c r="C90" s="252"/>
      <c r="D90" s="252"/>
      <c r="E90" s="240"/>
      <c r="F90" s="250"/>
      <c r="G90" s="251"/>
      <c r="H90" s="251"/>
      <c r="I90" s="246">
        <v>151</v>
      </c>
      <c r="J90" s="252"/>
      <c r="K90" s="252"/>
      <c r="L90" s="240"/>
      <c r="M90" s="250"/>
      <c r="N90" s="251"/>
      <c r="O90" s="251"/>
    </row>
    <row r="91" spans="2:15" ht="15" hidden="1" customHeight="1" x14ac:dyDescent="0.25">
      <c r="B91" s="244">
        <v>101</v>
      </c>
      <c r="C91" s="252"/>
      <c r="D91" s="252"/>
      <c r="E91" s="240"/>
      <c r="F91" s="250"/>
      <c r="G91" s="251"/>
      <c r="H91" s="251"/>
      <c r="I91" s="246">
        <v>152</v>
      </c>
      <c r="J91" s="252"/>
      <c r="K91" s="252"/>
      <c r="L91" s="240"/>
      <c r="M91" s="250"/>
      <c r="N91" s="251"/>
      <c r="O91" s="251"/>
    </row>
    <row r="92" spans="2:15" ht="15" hidden="1" customHeight="1" x14ac:dyDescent="0.25">
      <c r="B92" s="244">
        <v>102</v>
      </c>
      <c r="C92" s="252"/>
      <c r="D92" s="252"/>
      <c r="E92" s="240"/>
      <c r="F92" s="250"/>
      <c r="G92" s="251"/>
      <c r="H92" s="251"/>
      <c r="I92" s="246">
        <v>153</v>
      </c>
      <c r="J92" s="252"/>
      <c r="K92" s="252"/>
      <c r="L92" s="240"/>
      <c r="M92" s="250"/>
      <c r="N92" s="251"/>
      <c r="O92" s="251"/>
    </row>
    <row r="93" spans="2:15" ht="15" hidden="1" customHeight="1" x14ac:dyDescent="0.25">
      <c r="B93" s="244">
        <v>103</v>
      </c>
      <c r="C93" s="252"/>
      <c r="D93" s="252"/>
      <c r="E93" s="240"/>
      <c r="F93" s="250"/>
      <c r="G93" s="251"/>
      <c r="H93" s="251"/>
      <c r="I93" s="246">
        <v>154</v>
      </c>
      <c r="J93" s="252"/>
      <c r="K93" s="252"/>
      <c r="L93" s="240"/>
      <c r="M93" s="250"/>
      <c r="N93" s="251"/>
      <c r="O93" s="251"/>
    </row>
    <row r="94" spans="2:15" ht="15" hidden="1" customHeight="1" x14ac:dyDescent="0.25">
      <c r="B94" s="244">
        <v>104</v>
      </c>
      <c r="C94" s="252"/>
      <c r="D94" s="252"/>
      <c r="E94" s="240"/>
      <c r="F94" s="250"/>
      <c r="G94" s="251"/>
      <c r="H94" s="251"/>
      <c r="I94" s="246">
        <v>155</v>
      </c>
      <c r="J94" s="252"/>
      <c r="K94" s="252"/>
      <c r="L94" s="240"/>
      <c r="M94" s="250"/>
      <c r="N94" s="251"/>
      <c r="O94" s="251"/>
    </row>
    <row r="95" spans="2:15" ht="15" hidden="1" customHeight="1" x14ac:dyDescent="0.25">
      <c r="B95" s="244">
        <v>105</v>
      </c>
      <c r="C95" s="252"/>
      <c r="D95" s="252"/>
      <c r="E95" s="240"/>
      <c r="F95" s="250"/>
      <c r="G95" s="251"/>
      <c r="H95" s="251"/>
      <c r="I95" s="246">
        <v>156</v>
      </c>
      <c r="J95" s="252"/>
      <c r="K95" s="252"/>
      <c r="L95" s="240"/>
      <c r="M95" s="250"/>
      <c r="N95" s="251"/>
      <c r="O95" s="251"/>
    </row>
    <row r="96" spans="2:15" ht="15" hidden="1" customHeight="1" x14ac:dyDescent="0.25">
      <c r="B96" s="244">
        <v>106</v>
      </c>
      <c r="C96" s="252"/>
      <c r="D96" s="252"/>
      <c r="E96" s="240"/>
      <c r="F96" s="250"/>
      <c r="G96" s="251"/>
      <c r="H96" s="251"/>
      <c r="I96" s="246">
        <v>157</v>
      </c>
      <c r="J96" s="252"/>
      <c r="K96" s="252"/>
      <c r="L96" s="240"/>
      <c r="M96" s="250"/>
      <c r="N96" s="251"/>
      <c r="O96" s="251"/>
    </row>
    <row r="97" spans="2:20" ht="15" hidden="1" customHeight="1" x14ac:dyDescent="0.25">
      <c r="B97" s="244">
        <v>107</v>
      </c>
      <c r="C97" s="252"/>
      <c r="D97" s="252"/>
      <c r="E97" s="240"/>
      <c r="F97" s="250"/>
      <c r="G97" s="251"/>
      <c r="H97" s="251"/>
      <c r="I97" s="246">
        <v>158</v>
      </c>
      <c r="J97" s="252"/>
      <c r="K97" s="252"/>
      <c r="L97" s="240"/>
      <c r="M97" s="250"/>
      <c r="N97" s="251"/>
      <c r="O97" s="251"/>
    </row>
    <row r="98" spans="2:20" ht="15" hidden="1" customHeight="1" x14ac:dyDescent="0.25">
      <c r="B98" s="244">
        <v>108</v>
      </c>
      <c r="C98" s="252"/>
      <c r="D98" s="252"/>
      <c r="E98" s="240"/>
      <c r="F98" s="250"/>
      <c r="G98" s="251"/>
      <c r="H98" s="251"/>
      <c r="I98" s="246">
        <v>159</v>
      </c>
      <c r="J98" s="252"/>
      <c r="K98" s="252"/>
      <c r="L98" s="240"/>
      <c r="M98" s="250"/>
      <c r="N98" s="251"/>
      <c r="O98" s="251"/>
    </row>
    <row r="99" spans="2:20" ht="15" hidden="1" customHeight="1" x14ac:dyDescent="0.25">
      <c r="B99" s="244">
        <v>109</v>
      </c>
      <c r="C99" s="252"/>
      <c r="D99" s="252"/>
      <c r="E99" s="240"/>
      <c r="F99" s="250"/>
      <c r="G99" s="251"/>
      <c r="H99" s="251"/>
      <c r="I99" s="246">
        <v>160</v>
      </c>
      <c r="J99" s="252"/>
      <c r="K99" s="252"/>
      <c r="L99" s="240"/>
      <c r="M99" s="250"/>
      <c r="N99" s="251"/>
      <c r="O99" s="251"/>
    </row>
    <row r="100" spans="2:20" ht="15" hidden="1" customHeight="1" x14ac:dyDescent="0.25">
      <c r="B100" s="244">
        <v>110</v>
      </c>
      <c r="C100" s="252"/>
      <c r="D100" s="252"/>
      <c r="E100" s="240"/>
      <c r="F100" s="250"/>
      <c r="G100" s="251"/>
      <c r="H100" s="251"/>
      <c r="I100" s="246">
        <v>161</v>
      </c>
      <c r="J100" s="252"/>
      <c r="K100" s="252"/>
      <c r="L100" s="240"/>
      <c r="M100" s="250"/>
      <c r="N100" s="251"/>
      <c r="O100" s="251"/>
    </row>
    <row r="101" spans="2:20" ht="15" hidden="1" customHeight="1" x14ac:dyDescent="0.25">
      <c r="B101" s="244">
        <v>111</v>
      </c>
      <c r="C101" s="252"/>
      <c r="D101" s="252"/>
      <c r="E101" s="240"/>
      <c r="F101" s="250"/>
      <c r="G101" s="251"/>
      <c r="H101" s="251"/>
      <c r="I101" s="246">
        <v>162</v>
      </c>
      <c r="J101" s="252"/>
      <c r="K101" s="252"/>
      <c r="L101" s="240"/>
      <c r="M101" s="250"/>
      <c r="N101" s="251"/>
      <c r="O101" s="251"/>
    </row>
    <row r="102" spans="2:20" ht="15" hidden="1" customHeight="1" x14ac:dyDescent="0.25">
      <c r="B102" s="247">
        <v>163</v>
      </c>
      <c r="C102" s="252"/>
      <c r="D102" s="252"/>
      <c r="E102" s="240"/>
      <c r="F102" s="250"/>
      <c r="G102" s="251"/>
      <c r="H102" s="251"/>
      <c r="I102" s="246">
        <v>182</v>
      </c>
      <c r="J102" s="252"/>
      <c r="K102" s="252"/>
      <c r="L102" s="240"/>
      <c r="M102" s="250"/>
      <c r="N102" s="251"/>
      <c r="O102" s="251"/>
    </row>
    <row r="103" spans="2:20" ht="15" hidden="1" customHeight="1" x14ac:dyDescent="0.25">
      <c r="B103" s="247">
        <v>164</v>
      </c>
      <c r="C103" s="240"/>
      <c r="D103" s="240"/>
      <c r="E103" s="240"/>
      <c r="F103" s="250"/>
      <c r="G103" s="251"/>
      <c r="H103" s="251"/>
      <c r="I103" s="246">
        <v>183</v>
      </c>
      <c r="J103" s="240"/>
      <c r="K103" s="240"/>
      <c r="L103" s="240"/>
      <c r="M103" s="250"/>
      <c r="N103" s="251"/>
      <c r="O103" s="251"/>
    </row>
    <row r="104" spans="2:20" ht="15" hidden="1" customHeight="1" x14ac:dyDescent="0.25">
      <c r="B104" s="247">
        <v>165</v>
      </c>
      <c r="C104" s="240"/>
      <c r="D104" s="240"/>
      <c r="E104" s="240"/>
      <c r="F104" s="250"/>
      <c r="G104" s="239"/>
      <c r="H104" s="251"/>
      <c r="I104" s="246">
        <v>184</v>
      </c>
      <c r="J104" s="240"/>
      <c r="K104" s="240"/>
      <c r="L104" s="240"/>
      <c r="M104" s="250"/>
      <c r="N104" s="239"/>
      <c r="O104" s="251"/>
    </row>
    <row r="105" spans="2:20" ht="15" hidden="1" customHeight="1" x14ac:dyDescent="0.25">
      <c r="B105" s="247">
        <v>166</v>
      </c>
      <c r="C105" s="240"/>
      <c r="D105" s="240"/>
      <c r="E105" s="240"/>
      <c r="F105" s="250"/>
      <c r="G105" s="239"/>
      <c r="H105" s="251"/>
      <c r="I105" s="246">
        <v>185</v>
      </c>
      <c r="J105" s="240"/>
      <c r="K105" s="240"/>
      <c r="L105" s="240"/>
      <c r="M105" s="250"/>
      <c r="N105" s="239"/>
      <c r="O105" s="251"/>
    </row>
    <row r="106" spans="2:20" ht="15" hidden="1" customHeight="1" x14ac:dyDescent="0.25">
      <c r="B106" s="247">
        <v>167</v>
      </c>
      <c r="C106" s="240"/>
      <c r="D106" s="240"/>
      <c r="E106" s="240"/>
      <c r="F106" s="250"/>
      <c r="G106" s="239"/>
      <c r="H106" s="251"/>
      <c r="I106" s="246">
        <v>186</v>
      </c>
      <c r="J106" s="240"/>
      <c r="K106" s="240"/>
      <c r="L106" s="240"/>
      <c r="M106" s="250"/>
      <c r="N106" s="239"/>
      <c r="O106" s="251"/>
    </row>
    <row r="107" spans="2:20" ht="15" hidden="1" customHeight="1" x14ac:dyDescent="0.25">
      <c r="B107" s="247">
        <v>168</v>
      </c>
      <c r="C107" s="240"/>
      <c r="D107" s="240"/>
      <c r="E107" s="240"/>
      <c r="F107" s="250"/>
      <c r="G107" s="239"/>
      <c r="H107" s="251"/>
      <c r="I107" s="246">
        <v>187</v>
      </c>
      <c r="J107" s="240"/>
      <c r="K107" s="240"/>
      <c r="L107" s="240"/>
      <c r="M107" s="250"/>
      <c r="N107" s="239"/>
      <c r="O107" s="251"/>
    </row>
    <row r="108" spans="2:20" ht="15" hidden="1" customHeight="1" x14ac:dyDescent="0.25">
      <c r="B108" s="247">
        <v>169</v>
      </c>
      <c r="C108" s="252"/>
      <c r="D108" s="252"/>
      <c r="E108" s="240"/>
      <c r="F108" s="250"/>
      <c r="G108" s="239"/>
      <c r="H108" s="251"/>
      <c r="I108" s="246">
        <v>188</v>
      </c>
      <c r="J108" s="252"/>
      <c r="K108" s="252"/>
      <c r="L108" s="240"/>
      <c r="M108" s="250"/>
      <c r="N108" s="239"/>
      <c r="O108" s="251"/>
    </row>
    <row r="109" spans="2:20" ht="15" hidden="1" customHeight="1" x14ac:dyDescent="0.25">
      <c r="B109" s="247">
        <v>170</v>
      </c>
      <c r="C109" s="240"/>
      <c r="D109" s="240"/>
      <c r="E109" s="240"/>
      <c r="F109" s="250"/>
      <c r="G109" s="239"/>
      <c r="H109" s="251"/>
      <c r="I109" s="246">
        <v>189</v>
      </c>
      <c r="J109" s="240"/>
      <c r="K109" s="240"/>
      <c r="L109" s="240"/>
      <c r="M109" s="250"/>
      <c r="N109" s="239"/>
      <c r="O109" s="251"/>
    </row>
    <row r="110" spans="2:20" ht="15" hidden="1" customHeight="1" x14ac:dyDescent="0.25">
      <c r="B110" s="247">
        <v>171</v>
      </c>
      <c r="C110" s="240"/>
      <c r="D110" s="240"/>
      <c r="E110" s="240"/>
      <c r="F110" s="250"/>
      <c r="G110" s="239"/>
      <c r="H110" s="251"/>
      <c r="I110" s="246">
        <v>190</v>
      </c>
      <c r="J110" s="240"/>
      <c r="K110" s="240"/>
      <c r="L110" s="240"/>
      <c r="M110" s="250"/>
      <c r="N110" s="239"/>
      <c r="O110" s="251"/>
      <c r="T110" s="200"/>
    </row>
    <row r="111" spans="2:20" ht="15" hidden="1" customHeight="1" x14ac:dyDescent="0.25">
      <c r="B111" s="247">
        <v>172</v>
      </c>
      <c r="C111" s="240"/>
      <c r="D111" s="240"/>
      <c r="E111" s="240"/>
      <c r="F111" s="250"/>
      <c r="G111" s="239"/>
      <c r="H111" s="251"/>
      <c r="I111" s="246">
        <v>191</v>
      </c>
      <c r="J111" s="240"/>
      <c r="K111" s="240"/>
      <c r="L111" s="240"/>
      <c r="M111" s="250"/>
      <c r="N111" s="239"/>
      <c r="O111" s="251"/>
      <c r="T111" s="203"/>
    </row>
    <row r="112" spans="2:20" ht="15" hidden="1" customHeight="1" x14ac:dyDescent="0.25">
      <c r="B112" s="247">
        <v>173</v>
      </c>
      <c r="C112" s="240"/>
      <c r="D112" s="240"/>
      <c r="E112" s="240"/>
      <c r="F112" s="250"/>
      <c r="G112" s="239"/>
      <c r="H112" s="251"/>
      <c r="I112" s="246">
        <v>192</v>
      </c>
      <c r="J112" s="240"/>
      <c r="K112" s="240"/>
      <c r="L112" s="240"/>
      <c r="M112" s="250"/>
      <c r="N112" s="239"/>
      <c r="O112" s="251"/>
    </row>
    <row r="113" spans="2:17" ht="15" hidden="1" customHeight="1" x14ac:dyDescent="0.25">
      <c r="B113" s="247">
        <v>174</v>
      </c>
      <c r="C113" s="240"/>
      <c r="D113" s="240"/>
      <c r="E113" s="240"/>
      <c r="F113" s="250"/>
      <c r="G113" s="239"/>
      <c r="H113" s="251"/>
      <c r="I113" s="246">
        <v>193</v>
      </c>
      <c r="J113" s="240"/>
      <c r="K113" s="240"/>
      <c r="L113" s="240"/>
      <c r="M113" s="250"/>
      <c r="N113" s="239"/>
      <c r="O113" s="251"/>
    </row>
    <row r="114" spans="2:17" ht="15" hidden="1" customHeight="1" x14ac:dyDescent="0.25">
      <c r="B114" s="247">
        <v>175</v>
      </c>
      <c r="C114" s="252"/>
      <c r="D114" s="252"/>
      <c r="E114" s="240"/>
      <c r="F114" s="250"/>
      <c r="G114" s="239"/>
      <c r="H114" s="251"/>
      <c r="I114" s="246">
        <v>194</v>
      </c>
      <c r="J114" s="252"/>
      <c r="K114" s="252"/>
      <c r="L114" s="240"/>
      <c r="M114" s="250"/>
      <c r="N114" s="239"/>
      <c r="O114" s="251"/>
    </row>
    <row r="115" spans="2:17" ht="15" hidden="1" customHeight="1" x14ac:dyDescent="0.25">
      <c r="B115" s="247">
        <v>176</v>
      </c>
      <c r="C115" s="240"/>
      <c r="D115" s="240"/>
      <c r="E115" s="240"/>
      <c r="F115" s="250"/>
      <c r="G115" s="239"/>
      <c r="H115" s="251"/>
      <c r="I115" s="246">
        <v>195</v>
      </c>
      <c r="J115" s="240"/>
      <c r="K115" s="240"/>
      <c r="L115" s="240"/>
      <c r="M115" s="250"/>
      <c r="N115" s="239"/>
      <c r="O115" s="251"/>
    </row>
    <row r="116" spans="2:17" ht="15" hidden="1" customHeight="1" x14ac:dyDescent="0.25">
      <c r="B116" s="247">
        <v>177</v>
      </c>
      <c r="C116" s="240"/>
      <c r="D116" s="240"/>
      <c r="E116" s="240"/>
      <c r="F116" s="250"/>
      <c r="G116" s="239"/>
      <c r="H116" s="251"/>
      <c r="I116" s="246">
        <v>196</v>
      </c>
      <c r="J116" s="240"/>
      <c r="K116" s="240"/>
      <c r="L116" s="240"/>
      <c r="M116" s="250"/>
      <c r="N116" s="239"/>
      <c r="O116" s="251"/>
    </row>
    <row r="117" spans="2:17" ht="15" hidden="1" customHeight="1" x14ac:dyDescent="0.25">
      <c r="B117" s="247">
        <v>178</v>
      </c>
      <c r="C117" s="240"/>
      <c r="D117" s="240"/>
      <c r="E117" s="240"/>
      <c r="F117" s="250"/>
      <c r="G117" s="239"/>
      <c r="H117" s="251"/>
      <c r="I117" s="246">
        <v>197</v>
      </c>
      <c r="J117" s="240"/>
      <c r="K117" s="240"/>
      <c r="L117" s="240"/>
      <c r="M117" s="250"/>
      <c r="N117" s="239"/>
      <c r="O117" s="251"/>
    </row>
    <row r="118" spans="2:17" ht="15" hidden="1" customHeight="1" x14ac:dyDescent="0.25">
      <c r="B118" s="247">
        <v>179</v>
      </c>
      <c r="C118" s="240"/>
      <c r="D118" s="240"/>
      <c r="E118" s="240"/>
      <c r="F118" s="250"/>
      <c r="G118" s="239"/>
      <c r="H118" s="251"/>
      <c r="I118" s="246">
        <v>198</v>
      </c>
      <c r="J118" s="240"/>
      <c r="K118" s="240"/>
      <c r="L118" s="240"/>
      <c r="M118" s="250"/>
      <c r="N118" s="239"/>
      <c r="O118" s="251"/>
    </row>
    <row r="119" spans="2:17" ht="15" hidden="1" customHeight="1" x14ac:dyDescent="0.25">
      <c r="B119" s="247">
        <v>180</v>
      </c>
      <c r="C119" s="240"/>
      <c r="D119" s="240"/>
      <c r="E119" s="240"/>
      <c r="F119" s="250"/>
      <c r="G119" s="239"/>
      <c r="H119" s="251"/>
      <c r="I119" s="246">
        <v>199</v>
      </c>
      <c r="J119" s="240"/>
      <c r="K119" s="240"/>
      <c r="L119" s="240"/>
      <c r="M119" s="250"/>
      <c r="N119" s="239"/>
      <c r="O119" s="251"/>
    </row>
    <row r="120" spans="2:17" ht="15" hidden="1" customHeight="1" x14ac:dyDescent="0.25">
      <c r="B120" s="247">
        <v>181</v>
      </c>
      <c r="C120" s="252"/>
      <c r="D120" s="252"/>
      <c r="E120" s="240"/>
      <c r="F120" s="250"/>
      <c r="G120" s="239"/>
      <c r="H120" s="251"/>
      <c r="I120" s="246">
        <v>200</v>
      </c>
      <c r="J120" s="252"/>
      <c r="K120" s="252"/>
      <c r="L120" s="240"/>
      <c r="M120" s="250"/>
      <c r="N120" s="239"/>
      <c r="O120" s="251"/>
    </row>
    <row r="121" spans="2:17" ht="15" hidden="1" customHeight="1" x14ac:dyDescent="0.25">
      <c r="B121" s="176"/>
      <c r="C121" s="198"/>
      <c r="D121" s="198"/>
      <c r="E121" s="253"/>
      <c r="F121" s="254"/>
      <c r="G121" s="255" t="s">
        <v>545</v>
      </c>
      <c r="H121" s="256">
        <f>MAX(H21:H120,O21:O120)</f>
        <v>0</v>
      </c>
      <c r="I121" s="257"/>
      <c r="J121" s="257"/>
      <c r="K121" s="257"/>
      <c r="L121" s="257"/>
      <c r="M121" s="257"/>
      <c r="N121" s="258" t="s">
        <v>548</v>
      </c>
      <c r="O121" s="256">
        <f>MIN(O21:O120,H21:H120)</f>
        <v>0</v>
      </c>
      <c r="P121" s="112"/>
      <c r="Q121" s="112"/>
    </row>
    <row r="122" spans="2:17" ht="15" customHeight="1" x14ac:dyDescent="0.2">
      <c r="B122" s="259" t="s">
        <v>635</v>
      </c>
      <c r="C122" s="231"/>
      <c r="D122" s="231"/>
      <c r="E122" s="231"/>
      <c r="F122" s="260"/>
      <c r="G122" s="1070" t="e">
        <f>#REF!</f>
        <v>#REF!</v>
      </c>
      <c r="H122" s="1071"/>
      <c r="I122" s="261"/>
      <c r="J122" s="262"/>
      <c r="K122" s="260"/>
      <c r="L122" s="260"/>
      <c r="M122" s="263"/>
      <c r="N122" s="1072"/>
      <c r="O122" s="1073"/>
      <c r="P122" s="112"/>
      <c r="Q122" s="112"/>
    </row>
    <row r="123" spans="2:17" ht="15" customHeight="1" x14ac:dyDescent="0.2">
      <c r="B123" s="264"/>
      <c r="C123" s="235"/>
      <c r="D123" s="235"/>
      <c r="E123" s="235"/>
      <c r="F123" s="265"/>
      <c r="G123" s="265"/>
      <c r="H123" s="266"/>
      <c r="I123" s="265"/>
      <c r="J123" s="267"/>
      <c r="K123" s="265"/>
      <c r="L123" s="265"/>
      <c r="M123" s="265"/>
      <c r="N123" s="265"/>
      <c r="O123" s="266"/>
      <c r="P123" s="112"/>
      <c r="Q123" s="112"/>
    </row>
    <row r="124" spans="2:17" ht="15" customHeight="1" x14ac:dyDescent="0.2"/>
  </sheetData>
  <mergeCells count="33">
    <mergeCell ref="G122:H122"/>
    <mergeCell ref="N122:O122"/>
    <mergeCell ref="C14:G14"/>
    <mergeCell ref="J14:N14"/>
    <mergeCell ref="C15:G15"/>
    <mergeCell ref="J15:N15"/>
    <mergeCell ref="C16:G16"/>
    <mergeCell ref="J16:N16"/>
    <mergeCell ref="C17:G17"/>
    <mergeCell ref="J17:N17"/>
    <mergeCell ref="B18:H18"/>
    <mergeCell ref="I18:O18"/>
    <mergeCell ref="B19:O19"/>
    <mergeCell ref="C13:G13"/>
    <mergeCell ref="J13:N13"/>
    <mergeCell ref="B6:F7"/>
    <mergeCell ref="G6:O7"/>
    <mergeCell ref="B8:F8"/>
    <mergeCell ref="G8:O8"/>
    <mergeCell ref="B9:F9"/>
    <mergeCell ref="G9:O9"/>
    <mergeCell ref="B10:F10"/>
    <mergeCell ref="G10:T10"/>
    <mergeCell ref="B11:O11"/>
    <mergeCell ref="C12:G12"/>
    <mergeCell ref="J12:N12"/>
    <mergeCell ref="B5:F5"/>
    <mergeCell ref="G5:O5"/>
    <mergeCell ref="B1:O1"/>
    <mergeCell ref="H2:L2"/>
    <mergeCell ref="B4:F4"/>
    <mergeCell ref="G4:J4"/>
    <mergeCell ref="M4:O4"/>
  </mergeCells>
  <pageMargins left="0.68" right="0.35433070866141736" top="0.31496062992125984" bottom="0.35433070866141736" header="0.15748031496062992" footer="0.15748031496062992"/>
  <pageSetup paperSize="9" scale="88" fitToHeight="3" orientation="portrait" r:id="rId1"/>
  <headerFooter alignWithMargins="0">
    <oddFooter>&amp;R&amp;"Times New Roman,обычный"&amp;8&amp;U&amp;A&amp;U стр.&amp;P из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I47"/>
  <sheetViews>
    <sheetView view="pageBreakPreview" topLeftCell="A22" zoomScaleNormal="100" workbookViewId="0">
      <selection activeCell="J42" sqref="J42"/>
    </sheetView>
  </sheetViews>
  <sheetFormatPr defaultRowHeight="12.75" x14ac:dyDescent="0.2"/>
  <cols>
    <col min="1" max="1" width="10.7109375" customWidth="1"/>
    <col min="2" max="2" width="9.7109375" customWidth="1"/>
    <col min="3" max="3" width="15.7109375" customWidth="1"/>
    <col min="4" max="4" width="30.7109375" customWidth="1"/>
    <col min="5" max="5" width="6.7109375" customWidth="1"/>
    <col min="6" max="6" width="10.7109375" customWidth="1"/>
    <col min="7" max="7" width="8.7109375" customWidth="1"/>
  </cols>
  <sheetData>
    <row r="1" spans="1:9" x14ac:dyDescent="0.2">
      <c r="D1" s="57"/>
      <c r="E1" s="57"/>
      <c r="F1" s="57"/>
      <c r="G1" s="57" t="s">
        <v>581</v>
      </c>
    </row>
    <row r="2" spans="1:9" x14ac:dyDescent="0.2">
      <c r="D2" s="57"/>
      <c r="E2" s="57"/>
      <c r="F2" s="57"/>
      <c r="G2" s="57" t="s">
        <v>582</v>
      </c>
    </row>
    <row r="3" spans="1:9" x14ac:dyDescent="0.2">
      <c r="D3" s="57"/>
      <c r="E3" s="57"/>
      <c r="F3" s="57"/>
      <c r="G3" s="57" t="s">
        <v>583</v>
      </c>
    </row>
    <row r="4" spans="1:9" ht="15" customHeight="1" x14ac:dyDescent="0.2">
      <c r="D4" s="57"/>
      <c r="E4" s="57"/>
      <c r="F4" s="57"/>
      <c r="G4" s="57"/>
    </row>
    <row r="5" spans="1:9" ht="15" customHeight="1" x14ac:dyDescent="0.2">
      <c r="D5" s="57"/>
      <c r="E5" s="57"/>
      <c r="F5" s="57"/>
      <c r="G5" s="57"/>
    </row>
    <row r="6" spans="1:9" ht="15" customHeight="1" x14ac:dyDescent="0.25">
      <c r="D6" s="57"/>
      <c r="E6" s="57"/>
      <c r="F6" s="57"/>
      <c r="G6" s="57"/>
      <c r="I6" s="268" t="s">
        <v>584</v>
      </c>
    </row>
    <row r="7" spans="1:9" ht="15" x14ac:dyDescent="0.25">
      <c r="D7" s="202"/>
      <c r="E7" s="202"/>
      <c r="F7" s="202"/>
      <c r="G7" s="202" t="s">
        <v>585</v>
      </c>
    </row>
    <row r="8" spans="1:9" ht="15" x14ac:dyDescent="0.25">
      <c r="D8" s="202"/>
      <c r="E8" s="202"/>
      <c r="F8" s="202"/>
      <c r="G8" s="202" t="s">
        <v>586</v>
      </c>
    </row>
    <row r="9" spans="1:9" ht="15" x14ac:dyDescent="0.25">
      <c r="D9" s="202"/>
      <c r="E9" s="202"/>
      <c r="F9" s="202"/>
      <c r="G9" s="202" t="s">
        <v>587</v>
      </c>
    </row>
    <row r="10" spans="1:9" ht="15" x14ac:dyDescent="0.25">
      <c r="D10" s="202"/>
      <c r="E10" s="202"/>
      <c r="F10" s="202"/>
      <c r="G10" s="202"/>
    </row>
    <row r="11" spans="1:9" ht="15" x14ac:dyDescent="0.25">
      <c r="D11" s="202"/>
      <c r="E11" s="202"/>
      <c r="F11" s="202"/>
      <c r="G11" s="202"/>
    </row>
    <row r="12" spans="1:9" ht="15" customHeight="1" x14ac:dyDescent="0.2"/>
    <row r="13" spans="1:9" ht="18.75" x14ac:dyDescent="0.2">
      <c r="C13" s="62" t="s">
        <v>588</v>
      </c>
      <c r="D13" s="63" t="s">
        <v>589</v>
      </c>
      <c r="E13" s="269"/>
    </row>
    <row r="14" spans="1:9" ht="18" x14ac:dyDescent="0.25">
      <c r="A14" s="60"/>
      <c r="B14" s="1077" t="s">
        <v>590</v>
      </c>
      <c r="C14" s="1077"/>
      <c r="D14" s="1077"/>
      <c r="E14" s="1077"/>
      <c r="F14" s="1077"/>
    </row>
    <row r="15" spans="1:9" ht="18.75" customHeight="1" x14ac:dyDescent="0.25">
      <c r="A15" s="60"/>
      <c r="B15" s="1077"/>
      <c r="C15" s="1077"/>
      <c r="D15" s="1077"/>
      <c r="E15" s="1077"/>
      <c r="F15" s="1077"/>
    </row>
    <row r="16" spans="1:9" ht="18.75" customHeight="1" x14ac:dyDescent="0.25">
      <c r="A16" s="60"/>
      <c r="B16" s="270"/>
      <c r="C16" s="270"/>
      <c r="D16" s="270"/>
      <c r="E16" s="270"/>
      <c r="F16" s="270"/>
    </row>
    <row r="17" spans="1:7" ht="15" customHeight="1" x14ac:dyDescent="0.2">
      <c r="A17" s="609" t="s">
        <v>92</v>
      </c>
      <c r="B17" s="1078"/>
      <c r="C17" s="1079"/>
      <c r="D17" s="1080"/>
      <c r="E17" s="1080"/>
      <c r="F17" s="1080"/>
      <c r="G17" s="1081"/>
    </row>
    <row r="18" spans="1:7" ht="15" customHeight="1" x14ac:dyDescent="0.3">
      <c r="A18" s="60"/>
      <c r="B18" s="61"/>
      <c r="C18" s="61"/>
      <c r="D18" s="64"/>
      <c r="E18" s="64"/>
    </row>
    <row r="19" spans="1:7" ht="15" customHeight="1" x14ac:dyDescent="0.2">
      <c r="A19" s="606" t="s">
        <v>0</v>
      </c>
      <c r="B19" s="606"/>
      <c r="C19" s="1018" t="e">
        <f>#REF!</f>
        <v>#REF!</v>
      </c>
      <c r="D19" s="1019"/>
      <c r="E19" s="1019"/>
      <c r="F19" s="1019"/>
      <c r="G19" s="1020"/>
    </row>
    <row r="20" spans="1:7" ht="15" customHeight="1" x14ac:dyDescent="0.2">
      <c r="A20" s="606"/>
      <c r="B20" s="606"/>
      <c r="C20" s="1021"/>
      <c r="D20" s="1022"/>
      <c r="E20" s="1022"/>
      <c r="F20" s="1022"/>
      <c r="G20" s="1023"/>
    </row>
    <row r="21" spans="1:7" ht="15" customHeight="1" x14ac:dyDescent="0.2">
      <c r="A21" s="608" t="s">
        <v>1</v>
      </c>
      <c r="B21" s="608"/>
      <c r="C21" s="1018" t="e">
        <f>#REF!</f>
        <v>#REF!</v>
      </c>
      <c r="D21" s="1019"/>
      <c r="E21" s="1019"/>
      <c r="F21" s="1019"/>
      <c r="G21" s="1020"/>
    </row>
    <row r="22" spans="1:7" ht="30" customHeight="1" x14ac:dyDescent="0.2">
      <c r="A22" s="608"/>
      <c r="B22" s="608"/>
      <c r="C22" s="1021"/>
      <c r="D22" s="1022"/>
      <c r="E22" s="1022"/>
      <c r="F22" s="1022"/>
      <c r="G22" s="1023"/>
    </row>
    <row r="23" spans="1:7" ht="15" customHeight="1" thickBot="1" x14ac:dyDescent="0.25"/>
    <row r="24" spans="1:7" ht="15" customHeight="1" x14ac:dyDescent="0.2">
      <c r="A24" s="1101" t="s">
        <v>18</v>
      </c>
      <c r="B24" s="1087" t="s">
        <v>591</v>
      </c>
      <c r="C24" s="1088"/>
      <c r="D24" s="1088"/>
      <c r="E24" s="1089"/>
      <c r="F24" s="1084" t="s">
        <v>4</v>
      </c>
      <c r="G24" s="1096" t="s">
        <v>5</v>
      </c>
    </row>
    <row r="25" spans="1:7" ht="15" customHeight="1" thickBot="1" x14ac:dyDescent="0.25">
      <c r="A25" s="1102"/>
      <c r="B25" s="1090"/>
      <c r="C25" s="1091"/>
      <c r="D25" s="1091"/>
      <c r="E25" s="1092"/>
      <c r="F25" s="1086"/>
      <c r="G25" s="1097"/>
    </row>
    <row r="26" spans="1:7" ht="20.100000000000001" customHeight="1" x14ac:dyDescent="0.2">
      <c r="A26" s="271">
        <v>1</v>
      </c>
      <c r="B26" s="1100" t="s">
        <v>592</v>
      </c>
      <c r="C26" s="1100"/>
      <c r="D26" s="1100"/>
      <c r="E26" s="272" t="s">
        <v>593</v>
      </c>
      <c r="F26" s="1084" t="s">
        <v>97</v>
      </c>
      <c r="G26" s="1093">
        <v>0</v>
      </c>
    </row>
    <row r="27" spans="1:7" ht="20.100000000000001" customHeight="1" x14ac:dyDescent="0.2">
      <c r="A27" s="273">
        <v>2</v>
      </c>
      <c r="B27" s="1099" t="s">
        <v>594</v>
      </c>
      <c r="C27" s="1099"/>
      <c r="D27" s="1099"/>
      <c r="E27" s="274" t="s">
        <v>593</v>
      </c>
      <c r="F27" s="1085"/>
      <c r="G27" s="1094"/>
    </row>
    <row r="28" spans="1:7" ht="20.100000000000001" customHeight="1" x14ac:dyDescent="0.2">
      <c r="A28" s="273">
        <v>3</v>
      </c>
      <c r="B28" s="1099" t="s">
        <v>595</v>
      </c>
      <c r="C28" s="1099"/>
      <c r="D28" s="1099"/>
      <c r="E28" s="274" t="s">
        <v>593</v>
      </c>
      <c r="F28" s="1085"/>
      <c r="G28" s="1094"/>
    </row>
    <row r="29" spans="1:7" ht="20.100000000000001" customHeight="1" x14ac:dyDescent="0.2">
      <c r="A29" s="273">
        <v>4</v>
      </c>
      <c r="B29" s="1099" t="s">
        <v>596</v>
      </c>
      <c r="C29" s="1099"/>
      <c r="D29" s="1099"/>
      <c r="E29" s="274" t="s">
        <v>593</v>
      </c>
      <c r="F29" s="1085"/>
      <c r="G29" s="1094"/>
    </row>
    <row r="30" spans="1:7" ht="20.100000000000001" customHeight="1" thickBot="1" x14ac:dyDescent="0.25">
      <c r="A30" s="275">
        <v>5</v>
      </c>
      <c r="B30" s="1083" t="s">
        <v>597</v>
      </c>
      <c r="C30" s="1083"/>
      <c r="D30" s="1083"/>
      <c r="E30" s="276" t="s">
        <v>25</v>
      </c>
      <c r="F30" s="1086"/>
      <c r="G30" s="1095"/>
    </row>
    <row r="31" spans="1:7" ht="15" customHeight="1" x14ac:dyDescent="0.2">
      <c r="A31" s="99"/>
      <c r="B31" s="100"/>
    </row>
    <row r="32" spans="1:7" ht="15" customHeight="1" x14ac:dyDescent="0.25">
      <c r="A32" s="1098" t="s">
        <v>598</v>
      </c>
      <c r="B32" s="1098"/>
      <c r="C32" s="1098"/>
      <c r="D32" s="1098"/>
      <c r="E32" s="1098"/>
      <c r="F32" s="1098"/>
      <c r="G32" s="1098"/>
    </row>
    <row r="33" spans="1:7" ht="15" customHeight="1" x14ac:dyDescent="0.2">
      <c r="A33" s="99"/>
      <c r="B33" s="100"/>
      <c r="C33" s="1082" t="s">
        <v>636</v>
      </c>
      <c r="D33" s="1082"/>
      <c r="E33" s="1082"/>
    </row>
    <row r="34" spans="1:7" ht="15" customHeight="1" x14ac:dyDescent="0.2"/>
    <row r="35" spans="1:7" ht="15" customHeight="1" x14ac:dyDescent="0.25">
      <c r="A35" s="101"/>
      <c r="B35" s="101" t="s">
        <v>255</v>
      </c>
      <c r="C35" s="102"/>
      <c r="D35" s="102"/>
      <c r="E35" s="102"/>
      <c r="F35" s="102" t="s">
        <v>256</v>
      </c>
      <c r="G35" s="102"/>
    </row>
    <row r="36" spans="1:7" ht="15.75" x14ac:dyDescent="0.25">
      <c r="A36" s="102"/>
      <c r="B36" s="101"/>
      <c r="C36" s="102"/>
      <c r="D36" s="104"/>
      <c r="E36" s="104"/>
      <c r="F36" s="104" t="s">
        <v>257</v>
      </c>
      <c r="G36" s="104"/>
    </row>
    <row r="37" spans="1:7" x14ac:dyDescent="0.2">
      <c r="A37" s="102"/>
      <c r="B37" s="258" t="s">
        <v>258</v>
      </c>
      <c r="C37" s="102"/>
      <c r="D37" s="102"/>
      <c r="E37" s="102"/>
      <c r="F37" s="102"/>
      <c r="G37" s="104"/>
    </row>
    <row r="38" spans="1:7" x14ac:dyDescent="0.2">
      <c r="A38" s="102"/>
      <c r="B38" s="102"/>
      <c r="C38" s="102"/>
      <c r="D38" s="102"/>
      <c r="E38" s="102"/>
      <c r="F38" s="102"/>
      <c r="G38" s="104"/>
    </row>
    <row r="39" spans="1:7" x14ac:dyDescent="0.2">
      <c r="A39" s="102"/>
      <c r="B39" s="102"/>
      <c r="C39" s="102"/>
      <c r="D39" s="102"/>
      <c r="E39" s="102"/>
      <c r="F39" s="102"/>
      <c r="G39" s="104"/>
    </row>
    <row r="40" spans="1:7" x14ac:dyDescent="0.2">
      <c r="A40" s="102"/>
      <c r="B40" s="102"/>
      <c r="C40" s="102"/>
      <c r="D40" s="102"/>
      <c r="E40" s="102"/>
      <c r="F40" s="102"/>
      <c r="G40" s="104"/>
    </row>
    <row r="41" spans="1:7" x14ac:dyDescent="0.2">
      <c r="A41" s="102"/>
      <c r="B41" s="102"/>
      <c r="C41" s="102"/>
      <c r="D41" s="102"/>
      <c r="E41" s="102"/>
      <c r="F41" s="102"/>
      <c r="G41" s="104"/>
    </row>
    <row r="42" spans="1:7" x14ac:dyDescent="0.2">
      <c r="A42" s="102"/>
      <c r="B42" s="102"/>
      <c r="C42" s="102"/>
      <c r="D42" s="102"/>
      <c r="E42" s="102"/>
      <c r="F42" s="102"/>
      <c r="G42" s="104"/>
    </row>
    <row r="43" spans="1:7" x14ac:dyDescent="0.2">
      <c r="A43" s="102"/>
      <c r="B43" s="102"/>
      <c r="C43" s="102"/>
      <c r="D43" s="102"/>
      <c r="E43" s="102"/>
      <c r="F43" s="102"/>
      <c r="G43" s="102"/>
    </row>
    <row r="44" spans="1:7" x14ac:dyDescent="0.2">
      <c r="A44" s="102"/>
      <c r="B44" s="102"/>
      <c r="C44" s="102"/>
      <c r="D44" s="102"/>
      <c r="E44" s="102"/>
      <c r="F44" s="102"/>
      <c r="G44" s="102"/>
    </row>
    <row r="45" spans="1:7" ht="15.75" x14ac:dyDescent="0.25">
      <c r="A45" s="101"/>
      <c r="B45" s="627"/>
      <c r="C45" s="627"/>
      <c r="D45" s="102"/>
      <c r="E45" s="102"/>
      <c r="F45" s="102"/>
      <c r="G45" s="102"/>
    </row>
    <row r="46" spans="1:7" x14ac:dyDescent="0.2">
      <c r="A46" s="102"/>
      <c r="B46" s="102"/>
      <c r="C46" s="104"/>
      <c r="D46" s="104"/>
      <c r="E46" s="104"/>
      <c r="F46" s="104"/>
      <c r="G46" s="104"/>
    </row>
    <row r="47" spans="1:7" x14ac:dyDescent="0.2">
      <c r="B47" s="99"/>
    </row>
  </sheetData>
  <mergeCells count="21">
    <mergeCell ref="C21:G22"/>
    <mergeCell ref="A21:B22"/>
    <mergeCell ref="B45:C45"/>
    <mergeCell ref="C33:E33"/>
    <mergeCell ref="B30:D30"/>
    <mergeCell ref="F26:F30"/>
    <mergeCell ref="B24:E25"/>
    <mergeCell ref="G26:G30"/>
    <mergeCell ref="G24:G25"/>
    <mergeCell ref="A32:G32"/>
    <mergeCell ref="B27:D27"/>
    <mergeCell ref="B29:D29"/>
    <mergeCell ref="B26:D26"/>
    <mergeCell ref="B28:D28"/>
    <mergeCell ref="A24:A25"/>
    <mergeCell ref="F24:F25"/>
    <mergeCell ref="B14:F15"/>
    <mergeCell ref="A17:B17"/>
    <mergeCell ref="C17:G17"/>
    <mergeCell ref="A19:B20"/>
    <mergeCell ref="C19:G20"/>
  </mergeCells>
  <pageMargins left="0.75" right="0.75" top="1" bottom="1" header="0.5" footer="0.5"/>
  <pageSetup paperSize="9" scale="93" orientation="portrait" r:id="rId1"/>
  <headerFooter alignWithMargins="0">
    <oddFooter xml:space="preserve">&amp;R&lt;RegNum&gt; стр.&amp;P из &amp;N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pageSetUpPr fitToPage="1"/>
  </sheetPr>
  <dimension ref="A1:M52"/>
  <sheetViews>
    <sheetView view="pageBreakPreview" topLeftCell="A19" zoomScaleNormal="100" workbookViewId="0">
      <selection activeCell="D41" sqref="D41"/>
    </sheetView>
  </sheetViews>
  <sheetFormatPr defaultRowHeight="12.75" x14ac:dyDescent="0.2"/>
  <cols>
    <col min="1" max="1" width="10.7109375" customWidth="1"/>
    <col min="2" max="2" width="9.7109375" customWidth="1"/>
    <col min="3" max="3" width="15.7109375" customWidth="1"/>
    <col min="4" max="4" width="35.7109375" customWidth="1"/>
    <col min="5" max="5" width="4.7109375" customWidth="1"/>
    <col min="6" max="6" width="9.7109375" customWidth="1"/>
    <col min="7" max="7" width="10.7109375" customWidth="1"/>
  </cols>
  <sheetData>
    <row r="1" spans="1:7" x14ac:dyDescent="0.2">
      <c r="D1" s="57"/>
      <c r="E1" s="57"/>
      <c r="F1" s="57"/>
      <c r="G1" s="57" t="s">
        <v>599</v>
      </c>
    </row>
    <row r="2" spans="1:7" x14ac:dyDescent="0.2">
      <c r="D2" s="57"/>
      <c r="E2" s="57"/>
      <c r="F2" s="57"/>
      <c r="G2" s="57" t="s">
        <v>582</v>
      </c>
    </row>
    <row r="3" spans="1:7" ht="14.25" x14ac:dyDescent="0.2">
      <c r="D3" s="57"/>
      <c r="E3" s="57"/>
      <c r="F3" s="57"/>
      <c r="G3" s="57" t="s">
        <v>600</v>
      </c>
    </row>
    <row r="4" spans="1:7" ht="15" customHeight="1" x14ac:dyDescent="0.2">
      <c r="D4" s="57"/>
      <c r="E4" s="57"/>
      <c r="F4" s="57"/>
      <c r="G4" s="57"/>
    </row>
    <row r="5" spans="1:7" ht="15" customHeight="1" x14ac:dyDescent="0.2">
      <c r="D5" s="57"/>
      <c r="E5" s="57"/>
      <c r="F5" s="57"/>
      <c r="G5" s="57"/>
    </row>
    <row r="6" spans="1:7" ht="15" customHeight="1" x14ac:dyDescent="0.2">
      <c r="D6" s="57"/>
      <c r="E6" s="57"/>
      <c r="F6" s="57"/>
      <c r="G6" s="57"/>
    </row>
    <row r="7" spans="1:7" ht="15" x14ac:dyDescent="0.25">
      <c r="D7" s="664" t="s">
        <v>585</v>
      </c>
      <c r="E7" s="664" t="s">
        <v>585</v>
      </c>
      <c r="F7" s="664" t="s">
        <v>585</v>
      </c>
      <c r="G7" s="664" t="s">
        <v>585</v>
      </c>
    </row>
    <row r="8" spans="1:7" ht="15" x14ac:dyDescent="0.25">
      <c r="D8" s="202"/>
      <c r="E8" s="202"/>
      <c r="F8" s="202"/>
      <c r="G8" s="202" t="s">
        <v>586</v>
      </c>
    </row>
    <row r="9" spans="1:7" ht="15" x14ac:dyDescent="0.25">
      <c r="D9" s="202"/>
      <c r="E9" s="202"/>
      <c r="F9" s="202"/>
      <c r="G9" s="202" t="s">
        <v>587</v>
      </c>
    </row>
    <row r="10" spans="1:7" ht="15" x14ac:dyDescent="0.25">
      <c r="D10" s="202"/>
      <c r="E10" s="202"/>
      <c r="F10" s="202"/>
      <c r="G10" s="202"/>
    </row>
    <row r="11" spans="1:7" ht="15" x14ac:dyDescent="0.25">
      <c r="D11" s="202"/>
      <c r="E11" s="202"/>
      <c r="F11" s="202"/>
      <c r="G11" s="202"/>
    </row>
    <row r="12" spans="1:7" ht="15" customHeight="1" x14ac:dyDescent="0.2"/>
    <row r="13" spans="1:7" ht="18.75" x14ac:dyDescent="0.2">
      <c r="B13" s="277"/>
      <c r="C13" s="62" t="s">
        <v>588</v>
      </c>
      <c r="D13" s="63" t="s">
        <v>601</v>
      </c>
      <c r="E13" s="277"/>
      <c r="F13" s="277"/>
    </row>
    <row r="14" spans="1:7" ht="18" customHeight="1" x14ac:dyDescent="0.25">
      <c r="A14" s="60"/>
      <c r="B14" s="1077" t="s">
        <v>602</v>
      </c>
      <c r="C14" s="1077"/>
      <c r="D14" s="1077"/>
      <c r="E14" s="1077"/>
      <c r="F14" s="1077"/>
    </row>
    <row r="15" spans="1:7" ht="18.75" customHeight="1" x14ac:dyDescent="0.25">
      <c r="A15" s="60"/>
      <c r="B15" s="1077"/>
      <c r="C15" s="1077"/>
      <c r="D15" s="1077"/>
      <c r="E15" s="1077"/>
      <c r="F15" s="1077"/>
    </row>
    <row r="16" spans="1:7" ht="18.75" customHeight="1" x14ac:dyDescent="0.25">
      <c r="A16" s="60"/>
      <c r="B16" s="270"/>
      <c r="C16" s="270"/>
      <c r="D16" s="270"/>
      <c r="E16" s="270"/>
      <c r="F16" s="270"/>
    </row>
    <row r="17" spans="1:13" ht="15" customHeight="1" x14ac:dyDescent="0.2">
      <c r="A17" s="609" t="s">
        <v>92</v>
      </c>
      <c r="B17" s="1078"/>
      <c r="C17" s="1079"/>
      <c r="D17" s="1080"/>
      <c r="E17" s="1080"/>
      <c r="F17" s="1080"/>
      <c r="G17" s="1081"/>
    </row>
    <row r="18" spans="1:13" ht="15" customHeight="1" x14ac:dyDescent="0.3">
      <c r="A18" s="60"/>
      <c r="B18" s="61"/>
      <c r="C18" s="61"/>
      <c r="D18" s="64"/>
      <c r="E18" s="64"/>
    </row>
    <row r="19" spans="1:13" ht="15" customHeight="1" x14ac:dyDescent="0.2">
      <c r="A19" s="606" t="s">
        <v>0</v>
      </c>
      <c r="B19" s="606"/>
      <c r="C19" s="1018" t="e">
        <f>#REF!</f>
        <v>#REF!</v>
      </c>
      <c r="D19" s="1019"/>
      <c r="E19" s="1019"/>
      <c r="F19" s="1019"/>
      <c r="G19" s="1020"/>
    </row>
    <row r="20" spans="1:13" ht="15" customHeight="1" x14ac:dyDescent="0.2">
      <c r="A20" s="606"/>
      <c r="B20" s="606"/>
      <c r="C20" s="1021"/>
      <c r="D20" s="1022"/>
      <c r="E20" s="1022"/>
      <c r="F20" s="1022"/>
      <c r="G20" s="1023"/>
    </row>
    <row r="21" spans="1:13" ht="15" customHeight="1" x14ac:dyDescent="0.2">
      <c r="A21" s="608" t="s">
        <v>1</v>
      </c>
      <c r="B21" s="608"/>
      <c r="C21" s="1018" t="e">
        <f>#REF!</f>
        <v>#REF!</v>
      </c>
      <c r="D21" s="1019"/>
      <c r="E21" s="1019"/>
      <c r="F21" s="1019"/>
      <c r="G21" s="1020"/>
    </row>
    <row r="22" spans="1:13" ht="30" customHeight="1" x14ac:dyDescent="0.2">
      <c r="A22" s="608"/>
      <c r="B22" s="608"/>
      <c r="C22" s="1021"/>
      <c r="D22" s="1022"/>
      <c r="E22" s="1022"/>
      <c r="F22" s="1022"/>
      <c r="G22" s="1023"/>
    </row>
    <row r="23" spans="1:13" ht="15" customHeight="1" thickBot="1" x14ac:dyDescent="0.25"/>
    <row r="24" spans="1:13" ht="15" customHeight="1" x14ac:dyDescent="0.2">
      <c r="A24" s="1103" t="s">
        <v>18</v>
      </c>
      <c r="B24" s="1105" t="s">
        <v>591</v>
      </c>
      <c r="C24" s="1106"/>
      <c r="D24" s="1106"/>
      <c r="E24" s="1107"/>
      <c r="F24" s="1111" t="s">
        <v>4</v>
      </c>
      <c r="G24" s="1113" t="s">
        <v>5</v>
      </c>
    </row>
    <row r="25" spans="1:13" ht="15" customHeight="1" thickBot="1" x14ac:dyDescent="0.25">
      <c r="A25" s="1104"/>
      <c r="B25" s="1108"/>
      <c r="C25" s="1109"/>
      <c r="D25" s="1109"/>
      <c r="E25" s="1110"/>
      <c r="F25" s="1112"/>
      <c r="G25" s="1114"/>
    </row>
    <row r="26" spans="1:13" ht="30" customHeight="1" x14ac:dyDescent="0.2">
      <c r="A26" s="278">
        <v>1</v>
      </c>
      <c r="B26" s="1117" t="s">
        <v>603</v>
      </c>
      <c r="C26" s="1117"/>
      <c r="D26" s="1117"/>
      <c r="E26" s="272" t="s">
        <v>593</v>
      </c>
      <c r="F26" s="1111" t="s">
        <v>97</v>
      </c>
      <c r="G26" s="1093">
        <v>0</v>
      </c>
      <c r="K26" s="279"/>
      <c r="L26" s="279"/>
      <c r="M26" s="280"/>
    </row>
    <row r="27" spans="1:13" ht="30" customHeight="1" x14ac:dyDescent="0.2">
      <c r="A27" s="281">
        <v>2</v>
      </c>
      <c r="B27" s="1119" t="s">
        <v>604</v>
      </c>
      <c r="C27" s="1120"/>
      <c r="D27" s="1121"/>
      <c r="E27" s="282" t="s">
        <v>25</v>
      </c>
      <c r="F27" s="1118"/>
      <c r="G27" s="1094"/>
      <c r="K27" s="279"/>
      <c r="L27" s="279"/>
      <c r="M27" s="280"/>
    </row>
    <row r="28" spans="1:13" ht="30" customHeight="1" x14ac:dyDescent="0.2">
      <c r="A28" s="281">
        <v>3</v>
      </c>
      <c r="B28" s="1122" t="s">
        <v>605</v>
      </c>
      <c r="C28" s="1122"/>
      <c r="D28" s="1122"/>
      <c r="E28" s="274" t="s">
        <v>593</v>
      </c>
      <c r="F28" s="1118"/>
      <c r="G28" s="1094"/>
      <c r="K28" s="279"/>
      <c r="L28" s="279"/>
      <c r="M28" s="280"/>
    </row>
    <row r="29" spans="1:13" ht="30" customHeight="1" x14ac:dyDescent="0.2">
      <c r="A29" s="281">
        <v>4</v>
      </c>
      <c r="B29" s="1122" t="s">
        <v>606</v>
      </c>
      <c r="C29" s="1122"/>
      <c r="D29" s="1122"/>
      <c r="E29" s="274" t="s">
        <v>593</v>
      </c>
      <c r="F29" s="1118"/>
      <c r="G29" s="1094"/>
      <c r="K29" s="279"/>
      <c r="L29" s="279"/>
      <c r="M29" s="280"/>
    </row>
    <row r="30" spans="1:13" ht="30" customHeight="1" x14ac:dyDescent="0.2">
      <c r="A30" s="283">
        <v>5</v>
      </c>
      <c r="B30" s="1122" t="s">
        <v>607</v>
      </c>
      <c r="C30" s="1122"/>
      <c r="D30" s="1122"/>
      <c r="E30" s="274" t="s">
        <v>593</v>
      </c>
      <c r="F30" s="1118"/>
      <c r="G30" s="1094"/>
      <c r="K30" s="279"/>
      <c r="L30" s="279"/>
      <c r="M30" s="280"/>
    </row>
    <row r="31" spans="1:13" ht="30" customHeight="1" x14ac:dyDescent="0.2">
      <c r="A31" s="284">
        <v>6</v>
      </c>
      <c r="B31" s="1122" t="s">
        <v>608</v>
      </c>
      <c r="C31" s="1122"/>
      <c r="D31" s="1122"/>
      <c r="E31" s="285" t="s">
        <v>25</v>
      </c>
      <c r="F31" s="1118"/>
      <c r="G31" s="1094"/>
    </row>
    <row r="32" spans="1:13" ht="30" customHeight="1" x14ac:dyDescent="0.2">
      <c r="A32" s="284">
        <v>7</v>
      </c>
      <c r="B32" s="1122" t="s">
        <v>609</v>
      </c>
      <c r="C32" s="1122"/>
      <c r="D32" s="1122"/>
      <c r="E32" s="285" t="s">
        <v>25</v>
      </c>
      <c r="F32" s="1118"/>
      <c r="G32" s="1094"/>
    </row>
    <row r="33" spans="1:10" ht="30" customHeight="1" thickBot="1" x14ac:dyDescent="0.25">
      <c r="A33" s="286">
        <v>8</v>
      </c>
      <c r="B33" s="1123" t="s">
        <v>610</v>
      </c>
      <c r="C33" s="1123"/>
      <c r="D33" s="1123"/>
      <c r="E33" s="276" t="s">
        <v>25</v>
      </c>
      <c r="F33" s="1112"/>
      <c r="G33" s="1095"/>
    </row>
    <row r="34" spans="1:10" ht="20.100000000000001" customHeight="1" x14ac:dyDescent="0.2">
      <c r="A34" s="287" t="s">
        <v>611</v>
      </c>
      <c r="B34" s="96"/>
      <c r="C34" s="96"/>
      <c r="D34" s="96"/>
      <c r="E34" s="288"/>
      <c r="F34" s="82"/>
      <c r="G34" s="96"/>
      <c r="J34" s="289" t="s">
        <v>81</v>
      </c>
    </row>
    <row r="35" spans="1:10" ht="15" customHeight="1" x14ac:dyDescent="0.2">
      <c r="A35" s="1116" t="s">
        <v>612</v>
      </c>
      <c r="B35" s="1116"/>
      <c r="C35" s="1116"/>
      <c r="D35" s="1116"/>
      <c r="E35" s="1116"/>
      <c r="F35" s="1116"/>
      <c r="G35" s="1116"/>
      <c r="J35" s="287" t="s">
        <v>74</v>
      </c>
    </row>
    <row r="36" spans="1:10" ht="15" customHeight="1" x14ac:dyDescent="0.2">
      <c r="A36" s="99"/>
      <c r="B36" s="100"/>
      <c r="J36" s="287" t="s">
        <v>611</v>
      </c>
    </row>
    <row r="37" spans="1:10" ht="15" customHeight="1" x14ac:dyDescent="0.25">
      <c r="A37" s="99"/>
      <c r="B37" s="1098" t="s">
        <v>613</v>
      </c>
      <c r="C37" s="1098"/>
      <c r="D37" s="1098"/>
      <c r="E37" s="1098"/>
      <c r="F37" s="1098"/>
      <c r="J37" s="287" t="s">
        <v>612</v>
      </c>
    </row>
    <row r="38" spans="1:10" ht="15" customHeight="1" x14ac:dyDescent="0.2">
      <c r="A38" s="99"/>
      <c r="B38" s="100"/>
      <c r="C38" s="1115" t="s">
        <v>636</v>
      </c>
      <c r="D38" s="1115"/>
    </row>
    <row r="39" spans="1:10" ht="15" customHeight="1" x14ac:dyDescent="0.2"/>
    <row r="40" spans="1:10" ht="15" customHeight="1" x14ac:dyDescent="0.25">
      <c r="A40" s="101"/>
      <c r="B40" s="101" t="s">
        <v>255</v>
      </c>
      <c r="C40" s="102"/>
      <c r="D40" s="102"/>
      <c r="E40" s="102"/>
      <c r="F40" s="102" t="s">
        <v>256</v>
      </c>
      <c r="G40" s="102"/>
    </row>
    <row r="41" spans="1:10" ht="15.75" x14ac:dyDescent="0.25">
      <c r="A41" s="102"/>
      <c r="B41" s="101"/>
      <c r="C41" s="102"/>
      <c r="D41" s="104"/>
      <c r="E41" s="104"/>
      <c r="F41" s="104" t="s">
        <v>257</v>
      </c>
      <c r="G41" s="104"/>
    </row>
    <row r="42" spans="1:10" x14ac:dyDescent="0.2">
      <c r="A42" s="102"/>
      <c r="B42" s="258" t="s">
        <v>258</v>
      </c>
      <c r="C42" s="102"/>
      <c r="D42" s="102"/>
      <c r="E42" s="102"/>
      <c r="F42" s="102"/>
      <c r="G42" s="104"/>
    </row>
    <row r="43" spans="1:10" x14ac:dyDescent="0.2">
      <c r="A43" s="102"/>
      <c r="B43" s="102"/>
      <c r="C43" s="102"/>
      <c r="D43" s="102"/>
      <c r="E43" s="102"/>
      <c r="F43" s="102"/>
      <c r="G43" s="104"/>
    </row>
    <row r="44" spans="1:10" x14ac:dyDescent="0.2">
      <c r="A44" s="102"/>
      <c r="B44" s="102"/>
      <c r="C44" s="102"/>
      <c r="D44" s="102"/>
      <c r="E44" s="102"/>
      <c r="F44" s="102"/>
      <c r="G44" s="104"/>
    </row>
    <row r="45" spans="1:10" x14ac:dyDescent="0.2">
      <c r="A45" s="102"/>
      <c r="B45" s="102"/>
      <c r="C45" s="102"/>
      <c r="D45" s="102"/>
      <c r="E45" s="102"/>
      <c r="F45" s="102"/>
      <c r="G45" s="104"/>
    </row>
    <row r="46" spans="1:10" x14ac:dyDescent="0.2">
      <c r="A46" s="102"/>
      <c r="B46" s="102"/>
      <c r="C46" s="102"/>
      <c r="D46" s="102"/>
      <c r="E46" s="102"/>
      <c r="F46" s="102"/>
      <c r="G46" s="104"/>
    </row>
    <row r="47" spans="1:10" x14ac:dyDescent="0.2">
      <c r="A47" s="102"/>
      <c r="B47" s="102"/>
      <c r="C47" s="102"/>
      <c r="D47" s="102"/>
      <c r="E47" s="102"/>
      <c r="F47" s="102"/>
      <c r="G47" s="104"/>
    </row>
    <row r="48" spans="1:10" x14ac:dyDescent="0.2">
      <c r="A48" s="102"/>
      <c r="B48" s="102"/>
      <c r="C48" s="102"/>
      <c r="D48" s="102"/>
      <c r="E48" s="102"/>
      <c r="F48" s="102"/>
      <c r="G48" s="102"/>
    </row>
    <row r="49" spans="1:7" x14ac:dyDescent="0.2">
      <c r="A49" s="102"/>
      <c r="B49" s="102"/>
      <c r="C49" s="102"/>
      <c r="D49" s="102"/>
      <c r="E49" s="102"/>
      <c r="F49" s="102"/>
      <c r="G49" s="102"/>
    </row>
    <row r="50" spans="1:7" ht="15.75" x14ac:dyDescent="0.25">
      <c r="A50" s="101"/>
      <c r="B50" s="627"/>
      <c r="C50" s="627"/>
      <c r="D50" s="102"/>
      <c r="E50" s="102"/>
      <c r="F50" s="102"/>
      <c r="G50" s="102"/>
    </row>
    <row r="51" spans="1:7" x14ac:dyDescent="0.2">
      <c r="A51" s="102"/>
      <c r="B51" s="102"/>
      <c r="C51" s="104"/>
      <c r="D51" s="104"/>
      <c r="E51" s="104"/>
      <c r="F51" s="104"/>
      <c r="G51" s="104"/>
    </row>
    <row r="52" spans="1:7" x14ac:dyDescent="0.2">
      <c r="B52" s="99"/>
    </row>
  </sheetData>
  <mergeCells count="26">
    <mergeCell ref="C38:D38"/>
    <mergeCell ref="A35:G35"/>
    <mergeCell ref="B37:F37"/>
    <mergeCell ref="B50:C50"/>
    <mergeCell ref="B26:D26"/>
    <mergeCell ref="F26:F33"/>
    <mergeCell ref="G26:G33"/>
    <mergeCell ref="B27:D27"/>
    <mergeCell ref="B28:D28"/>
    <mergeCell ref="B29:D29"/>
    <mergeCell ref="B30:D30"/>
    <mergeCell ref="B31:D31"/>
    <mergeCell ref="B32:D32"/>
    <mergeCell ref="B33:D33"/>
    <mergeCell ref="A21:B22"/>
    <mergeCell ref="C21:G22"/>
    <mergeCell ref="A24:A25"/>
    <mergeCell ref="B24:E25"/>
    <mergeCell ref="F24:F25"/>
    <mergeCell ref="G24:G25"/>
    <mergeCell ref="D7:G7"/>
    <mergeCell ref="B14:F15"/>
    <mergeCell ref="A17:B17"/>
    <mergeCell ref="C17:G17"/>
    <mergeCell ref="A19:B20"/>
    <mergeCell ref="C19:G20"/>
  </mergeCells>
  <pageMargins left="0.43307086614173229" right="0.31496062992125984" top="0.59055118110236227" bottom="0.98425196850393704" header="0.23622047244094491" footer="0.51181102362204722"/>
  <pageSetup paperSize="9" scale="93" orientation="portrait" r:id="rId1"/>
  <headerFooter alignWithMargins="0">
    <oddFooter>&amp;R&amp;"Times New Roman,обычный"&amp;8&amp;U&amp;A&amp;U стр.&amp;P из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pageSetUpPr fitToPage="1"/>
  </sheetPr>
  <dimension ref="A1:R39"/>
  <sheetViews>
    <sheetView view="pageBreakPreview" zoomScaleNormal="100" workbookViewId="0">
      <selection activeCell="AA33" sqref="AA33"/>
    </sheetView>
  </sheetViews>
  <sheetFormatPr defaultColWidth="9.140625" defaultRowHeight="15" x14ac:dyDescent="0.25"/>
  <cols>
    <col min="1" max="1" width="4.7109375" style="290" customWidth="1"/>
    <col min="2" max="2" width="8.7109375" style="290" customWidth="1"/>
    <col min="3" max="4" width="9.7109375" style="290" customWidth="1"/>
    <col min="5" max="11" width="10.7109375" style="290" customWidth="1"/>
    <col min="12" max="12" width="18.7109375" style="290" customWidth="1"/>
    <col min="13" max="16384" width="9.140625" style="290"/>
  </cols>
  <sheetData>
    <row r="1" spans="1:12" ht="30" customHeight="1" x14ac:dyDescent="0.25">
      <c r="A1" s="1124" t="s">
        <v>614</v>
      </c>
      <c r="B1" s="1124"/>
      <c r="C1" s="1124"/>
      <c r="D1" s="1124"/>
      <c r="E1" s="1124"/>
      <c r="F1" s="1124"/>
      <c r="G1" s="1124"/>
      <c r="H1" s="1124"/>
      <c r="I1" s="1124"/>
      <c r="J1" s="1124"/>
      <c r="K1" s="1124"/>
      <c r="L1" s="1124"/>
    </row>
    <row r="2" spans="1:12" ht="15" customHeight="1" x14ac:dyDescent="0.25">
      <c r="A2" s="291"/>
      <c r="B2" s="291"/>
      <c r="C2" s="291"/>
      <c r="D2" s="291"/>
      <c r="E2" s="291"/>
      <c r="F2" s="292" t="s">
        <v>8</v>
      </c>
      <c r="G2" s="1125" t="s">
        <v>615</v>
      </c>
      <c r="H2" s="1125"/>
      <c r="I2" s="293"/>
      <c r="J2" s="291"/>
      <c r="K2" s="291"/>
      <c r="L2" s="291"/>
    </row>
    <row r="3" spans="1:12" ht="9" customHeight="1" x14ac:dyDescent="0.25">
      <c r="A3" s="294"/>
      <c r="B3" s="294"/>
      <c r="C3" s="294"/>
      <c r="D3" s="294"/>
      <c r="E3" s="294"/>
      <c r="F3" s="294"/>
      <c r="G3" s="294"/>
      <c r="H3" s="294"/>
      <c r="I3" s="294"/>
      <c r="J3" s="294"/>
      <c r="K3" s="294"/>
      <c r="L3" s="294"/>
    </row>
    <row r="4" spans="1:12" ht="15" customHeight="1" x14ac:dyDescent="0.25">
      <c r="A4" s="1126" t="s">
        <v>6</v>
      </c>
      <c r="B4" s="1126"/>
      <c r="C4" s="1126"/>
      <c r="D4" s="1127"/>
      <c r="E4" s="1127"/>
      <c r="F4" s="1127"/>
      <c r="G4" s="1127"/>
      <c r="H4" s="1127"/>
      <c r="I4" s="1127"/>
      <c r="J4" s="1127"/>
      <c r="K4" s="1127"/>
      <c r="L4" s="1127"/>
    </row>
    <row r="5" spans="1:12" ht="15" customHeight="1" x14ac:dyDescent="0.25">
      <c r="A5" s="1126" t="s">
        <v>0</v>
      </c>
      <c r="B5" s="1126"/>
      <c r="C5" s="1126"/>
      <c r="D5" s="1128" t="e">
        <f>#REF!</f>
        <v>#REF!</v>
      </c>
      <c r="E5" s="1128"/>
      <c r="F5" s="1128"/>
      <c r="G5" s="1128"/>
      <c r="H5" s="1128"/>
      <c r="I5" s="1128"/>
      <c r="J5" s="1128"/>
      <c r="K5" s="1128"/>
      <c r="L5" s="1128"/>
    </row>
    <row r="6" spans="1:12" ht="30" customHeight="1" x14ac:dyDescent="0.25">
      <c r="A6" s="1126" t="s">
        <v>1</v>
      </c>
      <c r="B6" s="1126"/>
      <c r="C6" s="1126"/>
      <c r="D6" s="1128" t="e">
        <f>#REF!</f>
        <v>#REF!</v>
      </c>
      <c r="E6" s="1128"/>
      <c r="F6" s="1128"/>
      <c r="G6" s="1128"/>
      <c r="H6" s="1128"/>
      <c r="I6" s="1128"/>
      <c r="J6" s="1128"/>
      <c r="K6" s="1128"/>
      <c r="L6" s="1128"/>
    </row>
    <row r="7" spans="1:12" ht="15" customHeight="1" x14ac:dyDescent="0.25">
      <c r="A7" s="1126" t="s">
        <v>2</v>
      </c>
      <c r="B7" s="1126"/>
      <c r="C7" s="1126"/>
      <c r="D7" s="1128" t="e">
        <f>#REF!</f>
        <v>#REF!</v>
      </c>
      <c r="E7" s="1128"/>
      <c r="F7" s="1128"/>
      <c r="G7" s="1128"/>
      <c r="H7" s="1128"/>
      <c r="I7" s="1128"/>
      <c r="J7" s="1128"/>
      <c r="K7" s="1128"/>
      <c r="L7" s="1128"/>
    </row>
    <row r="8" spans="1:12" ht="15" customHeight="1" x14ac:dyDescent="0.25">
      <c r="A8" s="1126" t="s">
        <v>3</v>
      </c>
      <c r="B8" s="1126"/>
      <c r="C8" s="1126"/>
      <c r="D8" s="1128" t="e">
        <f>#REF!</f>
        <v>#REF!</v>
      </c>
      <c r="E8" s="1128"/>
      <c r="F8" s="1128"/>
      <c r="G8" s="1128"/>
      <c r="H8" s="1128"/>
      <c r="I8" s="1128"/>
      <c r="J8" s="1128"/>
      <c r="K8" s="1128"/>
      <c r="L8" s="1128"/>
    </row>
    <row r="9" spans="1:12" ht="9" customHeight="1" x14ac:dyDescent="0.25">
      <c r="A9" s="295"/>
      <c r="B9" s="295"/>
      <c r="C9" s="295"/>
      <c r="D9" s="295"/>
      <c r="E9" s="295"/>
      <c r="F9" s="295"/>
      <c r="G9" s="295"/>
      <c r="H9" s="295"/>
      <c r="I9" s="295"/>
      <c r="J9" s="295"/>
      <c r="K9" s="295"/>
      <c r="L9" s="295"/>
    </row>
    <row r="10" spans="1:12" ht="45" customHeight="1" x14ac:dyDescent="0.25">
      <c r="A10" s="1129" t="s">
        <v>7</v>
      </c>
      <c r="B10" s="1129" t="s">
        <v>616</v>
      </c>
      <c r="C10" s="1129" t="s">
        <v>617</v>
      </c>
      <c r="D10" s="1129" t="s">
        <v>332</v>
      </c>
      <c r="E10" s="739" t="s">
        <v>618</v>
      </c>
      <c r="F10" s="739"/>
      <c r="G10" s="1129" t="s">
        <v>619</v>
      </c>
      <c r="H10" s="1129" t="s">
        <v>620</v>
      </c>
      <c r="I10" s="1129" t="s">
        <v>621</v>
      </c>
      <c r="J10" s="1129" t="s">
        <v>622</v>
      </c>
      <c r="K10" s="1129" t="s">
        <v>623</v>
      </c>
      <c r="L10" s="1131" t="s">
        <v>94</v>
      </c>
    </row>
    <row r="11" spans="1:12" x14ac:dyDescent="0.25">
      <c r="A11" s="1130"/>
      <c r="B11" s="1130"/>
      <c r="C11" s="1130"/>
      <c r="D11" s="1130"/>
      <c r="E11" s="20" t="s">
        <v>38</v>
      </c>
      <c r="F11" s="20" t="s">
        <v>39</v>
      </c>
      <c r="G11" s="1130"/>
      <c r="H11" s="1130"/>
      <c r="I11" s="1130"/>
      <c r="J11" s="1130"/>
      <c r="K11" s="1130"/>
      <c r="L11" s="1132"/>
    </row>
    <row r="12" spans="1:12" ht="30" customHeight="1" x14ac:dyDescent="0.25">
      <c r="A12" s="297">
        <v>1</v>
      </c>
      <c r="B12" s="297">
        <v>1</v>
      </c>
      <c r="C12" s="298" t="s">
        <v>105</v>
      </c>
      <c r="D12" s="299" t="s">
        <v>624</v>
      </c>
      <c r="E12" s="299"/>
      <c r="F12" s="299"/>
      <c r="G12" s="300"/>
      <c r="H12" s="300"/>
      <c r="I12" s="300"/>
      <c r="J12" s="300"/>
      <c r="K12" s="300"/>
      <c r="L12" s="300"/>
    </row>
    <row r="13" spans="1:12" ht="30" customHeight="1" x14ac:dyDescent="0.25">
      <c r="A13" s="297">
        <v>2</v>
      </c>
      <c r="B13" s="297">
        <v>2</v>
      </c>
      <c r="C13" s="298" t="s">
        <v>625</v>
      </c>
      <c r="D13" s="297" t="s">
        <v>624</v>
      </c>
      <c r="E13" s="297"/>
      <c r="F13" s="297"/>
      <c r="G13" s="300"/>
      <c r="H13" s="300"/>
      <c r="I13" s="300"/>
      <c r="J13" s="300"/>
      <c r="K13" s="300"/>
      <c r="L13" s="300"/>
    </row>
    <row r="14" spans="1:12" ht="30" customHeight="1" x14ac:dyDescent="0.25">
      <c r="A14" s="297">
        <v>3</v>
      </c>
      <c r="B14" s="297">
        <v>3</v>
      </c>
      <c r="C14" s="298" t="s">
        <v>626</v>
      </c>
      <c r="D14" s="299" t="s">
        <v>627</v>
      </c>
      <c r="E14" s="299"/>
      <c r="F14" s="299"/>
      <c r="G14" s="300"/>
      <c r="H14" s="300"/>
      <c r="I14" s="300"/>
      <c r="J14" s="300"/>
      <c r="K14" s="300"/>
      <c r="L14" s="300"/>
    </row>
    <row r="15" spans="1:12" ht="30" customHeight="1" x14ac:dyDescent="0.25">
      <c r="A15" s="297">
        <v>4</v>
      </c>
      <c r="B15" s="297">
        <v>4</v>
      </c>
      <c r="C15" s="298" t="s">
        <v>628</v>
      </c>
      <c r="D15" s="297" t="s">
        <v>629</v>
      </c>
      <c r="E15" s="297"/>
      <c r="F15" s="297"/>
      <c r="G15" s="300"/>
      <c r="H15" s="300"/>
      <c r="I15" s="300"/>
      <c r="J15" s="300"/>
      <c r="K15" s="300"/>
      <c r="L15" s="300"/>
    </row>
    <row r="16" spans="1:12" ht="30" customHeight="1" x14ac:dyDescent="0.25">
      <c r="A16" s="301">
        <v>5</v>
      </c>
      <c r="B16" s="301">
        <v>5</v>
      </c>
      <c r="C16" s="302" t="s">
        <v>630</v>
      </c>
      <c r="D16" s="301" t="s">
        <v>624</v>
      </c>
      <c r="E16" s="301"/>
      <c r="F16" s="301"/>
      <c r="G16" s="300"/>
      <c r="H16" s="300"/>
      <c r="I16" s="300"/>
      <c r="J16" s="300"/>
      <c r="K16" s="300"/>
      <c r="L16" s="300"/>
    </row>
    <row r="17" spans="1:12" ht="30" customHeight="1" x14ac:dyDescent="0.25">
      <c r="A17" s="301">
        <v>6</v>
      </c>
      <c r="B17" s="301">
        <v>6</v>
      </c>
      <c r="C17" s="302" t="s">
        <v>631</v>
      </c>
      <c r="D17" s="301" t="s">
        <v>627</v>
      </c>
      <c r="E17" s="301"/>
      <c r="F17" s="301"/>
      <c r="G17" s="300"/>
      <c r="H17" s="300"/>
      <c r="I17" s="300"/>
      <c r="J17" s="300"/>
      <c r="K17" s="300"/>
      <c r="L17" s="300"/>
    </row>
    <row r="18" spans="1:12" ht="30" customHeight="1" x14ac:dyDescent="0.25">
      <c r="A18" s="301">
        <v>7</v>
      </c>
      <c r="B18" s="301">
        <v>7</v>
      </c>
      <c r="C18" s="302" t="s">
        <v>632</v>
      </c>
      <c r="D18" s="301" t="s">
        <v>629</v>
      </c>
      <c r="E18" s="301"/>
      <c r="F18" s="301"/>
      <c r="G18" s="300"/>
      <c r="H18" s="300"/>
      <c r="I18" s="300"/>
      <c r="J18" s="300"/>
      <c r="K18" s="300"/>
      <c r="L18" s="300"/>
    </row>
    <row r="19" spans="1:12" ht="30" customHeight="1" x14ac:dyDescent="0.25">
      <c r="A19" s="297">
        <v>8</v>
      </c>
      <c r="B19" s="297">
        <v>8</v>
      </c>
      <c r="C19" s="298" t="s">
        <v>633</v>
      </c>
      <c r="D19" s="297" t="s">
        <v>624</v>
      </c>
      <c r="E19" s="297"/>
      <c r="F19" s="297"/>
      <c r="G19" s="300"/>
      <c r="H19" s="300"/>
      <c r="I19" s="300"/>
      <c r="J19" s="300"/>
      <c r="K19" s="300"/>
      <c r="L19" s="300"/>
    </row>
    <row r="20" spans="1:12" ht="30" customHeight="1" x14ac:dyDescent="0.25">
      <c r="A20" s="297">
        <v>9</v>
      </c>
      <c r="B20" s="297">
        <v>9</v>
      </c>
      <c r="C20" s="298" t="s">
        <v>206</v>
      </c>
      <c r="D20" s="297" t="s">
        <v>627</v>
      </c>
      <c r="E20" s="297"/>
      <c r="F20" s="297"/>
      <c r="G20" s="300"/>
      <c r="H20" s="300"/>
      <c r="I20" s="300"/>
      <c r="J20" s="300"/>
      <c r="K20" s="300"/>
      <c r="L20" s="300"/>
    </row>
    <row r="21" spans="1:12" ht="30" customHeight="1" x14ac:dyDescent="0.25">
      <c r="A21" s="297">
        <v>10</v>
      </c>
      <c r="B21" s="297">
        <v>10</v>
      </c>
      <c r="C21" s="298" t="s">
        <v>98</v>
      </c>
      <c r="D21" s="297" t="s">
        <v>629</v>
      </c>
      <c r="E21" s="297"/>
      <c r="F21" s="297"/>
      <c r="G21" s="300"/>
      <c r="H21" s="300"/>
      <c r="I21" s="300"/>
      <c r="J21" s="300"/>
      <c r="K21" s="300"/>
      <c r="L21" s="300"/>
    </row>
    <row r="22" spans="1:12" ht="30" customHeight="1" x14ac:dyDescent="0.25">
      <c r="A22" s="297">
        <v>11</v>
      </c>
      <c r="B22" s="297"/>
      <c r="C22" s="298"/>
      <c r="D22" s="297"/>
      <c r="E22" s="297"/>
      <c r="F22" s="297"/>
      <c r="G22" s="300"/>
      <c r="H22" s="300"/>
      <c r="I22" s="300"/>
      <c r="J22" s="300"/>
      <c r="K22" s="300"/>
      <c r="L22" s="300"/>
    </row>
    <row r="23" spans="1:12" ht="30" customHeight="1" x14ac:dyDescent="0.25">
      <c r="A23" s="297">
        <v>12</v>
      </c>
      <c r="B23" s="297"/>
      <c r="C23" s="298"/>
      <c r="D23" s="297"/>
      <c r="E23" s="297"/>
      <c r="F23" s="297"/>
      <c r="G23" s="300"/>
      <c r="H23" s="300"/>
      <c r="I23" s="300"/>
      <c r="J23" s="300"/>
      <c r="K23" s="300"/>
      <c r="L23" s="300"/>
    </row>
    <row r="24" spans="1:12" ht="30" customHeight="1" x14ac:dyDescent="0.25">
      <c r="A24" s="297">
        <v>13</v>
      </c>
      <c r="B24" s="297"/>
      <c r="C24" s="298"/>
      <c r="D24" s="297"/>
      <c r="E24" s="297"/>
      <c r="F24" s="297"/>
      <c r="G24" s="300"/>
      <c r="H24" s="300"/>
      <c r="I24" s="300"/>
      <c r="J24" s="300"/>
      <c r="K24" s="300"/>
      <c r="L24" s="300"/>
    </row>
    <row r="25" spans="1:12" ht="30" customHeight="1" x14ac:dyDescent="0.25">
      <c r="A25" s="297">
        <v>14</v>
      </c>
      <c r="B25" s="297"/>
      <c r="C25" s="298"/>
      <c r="D25" s="297"/>
      <c r="E25" s="297"/>
      <c r="F25" s="297"/>
      <c r="G25" s="300"/>
      <c r="H25" s="300"/>
      <c r="I25" s="300"/>
      <c r="J25" s="300"/>
      <c r="K25" s="300"/>
      <c r="L25" s="300"/>
    </row>
    <row r="26" spans="1:12" ht="30" customHeight="1" x14ac:dyDescent="0.25">
      <c r="A26" s="297">
        <v>15</v>
      </c>
      <c r="B26" s="297"/>
      <c r="C26" s="298"/>
      <c r="D26" s="297"/>
      <c r="E26" s="297"/>
      <c r="F26" s="297"/>
      <c r="G26" s="300"/>
      <c r="H26" s="300"/>
      <c r="I26" s="300"/>
      <c r="J26" s="300"/>
      <c r="K26" s="300"/>
      <c r="L26" s="300"/>
    </row>
    <row r="27" spans="1:12" ht="30" customHeight="1" x14ac:dyDescent="0.25">
      <c r="A27" s="297">
        <v>16</v>
      </c>
      <c r="B27" s="297"/>
      <c r="C27" s="298"/>
      <c r="D27" s="297"/>
      <c r="E27" s="297"/>
      <c r="F27" s="297"/>
      <c r="G27" s="300"/>
      <c r="H27" s="300"/>
      <c r="I27" s="300"/>
      <c r="J27" s="300"/>
      <c r="K27" s="300"/>
      <c r="L27" s="300"/>
    </row>
    <row r="28" spans="1:12" ht="30" customHeight="1" x14ac:dyDescent="0.25">
      <c r="A28" s="297">
        <v>23</v>
      </c>
      <c r="B28" s="297"/>
      <c r="C28" s="298"/>
      <c r="D28" s="297"/>
      <c r="E28" s="297"/>
      <c r="F28" s="297"/>
      <c r="G28" s="300"/>
      <c r="H28" s="300"/>
      <c r="I28" s="300"/>
      <c r="J28" s="300"/>
      <c r="K28" s="300"/>
      <c r="L28" s="300"/>
    </row>
    <row r="29" spans="1:12" ht="30" customHeight="1" x14ac:dyDescent="0.25">
      <c r="A29" s="297">
        <v>24</v>
      </c>
      <c r="B29" s="297"/>
      <c r="C29" s="298"/>
      <c r="D29" s="297"/>
      <c r="E29" s="297"/>
      <c r="F29" s="297"/>
      <c r="G29" s="300"/>
      <c r="H29" s="300"/>
      <c r="I29" s="300"/>
      <c r="J29" s="300"/>
      <c r="K29" s="300"/>
      <c r="L29" s="300"/>
    </row>
    <row r="30" spans="1:12" ht="30" customHeight="1" x14ac:dyDescent="0.25">
      <c r="A30" s="297">
        <v>25</v>
      </c>
      <c r="B30" s="297"/>
      <c r="C30" s="298"/>
      <c r="D30" s="297"/>
      <c r="E30" s="297"/>
      <c r="F30" s="297"/>
      <c r="G30" s="300"/>
      <c r="H30" s="300"/>
      <c r="I30" s="300"/>
      <c r="J30" s="300"/>
      <c r="K30" s="300"/>
      <c r="L30" s="300"/>
    </row>
    <row r="31" spans="1:12" ht="30" customHeight="1" x14ac:dyDescent="0.25">
      <c r="A31" s="301">
        <v>26</v>
      </c>
      <c r="B31" s="301"/>
      <c r="C31" s="302"/>
      <c r="D31" s="301"/>
      <c r="E31" s="301"/>
      <c r="F31" s="301"/>
      <c r="G31" s="300"/>
      <c r="H31" s="300"/>
      <c r="I31" s="300"/>
      <c r="J31" s="300"/>
      <c r="K31" s="300"/>
      <c r="L31" s="300"/>
    </row>
    <row r="32" spans="1:12" ht="30" customHeight="1" x14ac:dyDescent="0.25">
      <c r="A32" s="301">
        <v>27</v>
      </c>
      <c r="B32" s="301"/>
      <c r="C32" s="302"/>
      <c r="D32" s="301"/>
      <c r="E32" s="301"/>
      <c r="F32" s="301"/>
      <c r="G32" s="300"/>
      <c r="H32" s="300"/>
      <c r="I32" s="300"/>
      <c r="J32" s="300"/>
      <c r="K32" s="300"/>
      <c r="L32" s="300"/>
    </row>
    <row r="33" spans="1:18" ht="30" customHeight="1" x14ac:dyDescent="0.25">
      <c r="A33" s="301">
        <v>28</v>
      </c>
      <c r="B33" s="301"/>
      <c r="C33" s="302"/>
      <c r="D33" s="301"/>
      <c r="E33" s="301"/>
      <c r="F33" s="301"/>
      <c r="G33" s="300"/>
      <c r="H33" s="300"/>
      <c r="I33" s="300"/>
      <c r="J33" s="300"/>
      <c r="K33" s="300"/>
      <c r="L33" s="300"/>
      <c r="M33" s="303"/>
      <c r="N33" s="303"/>
      <c r="O33" s="303"/>
      <c r="P33" s="303"/>
      <c r="Q33" s="303"/>
      <c r="R33" s="303"/>
    </row>
    <row r="34" spans="1:18" ht="30" customHeight="1" x14ac:dyDescent="0.25">
      <c r="A34" s="297">
        <v>29</v>
      </c>
      <c r="B34" s="297">
        <v>10</v>
      </c>
      <c r="C34" s="298" t="s">
        <v>98</v>
      </c>
      <c r="D34" s="297" t="s">
        <v>624</v>
      </c>
      <c r="E34" s="297"/>
      <c r="F34" s="297"/>
      <c r="G34" s="300"/>
      <c r="H34" s="300"/>
      <c r="I34" s="300"/>
      <c r="J34" s="300"/>
      <c r="K34" s="300"/>
      <c r="L34" s="300"/>
      <c r="M34" s="303"/>
      <c r="N34" s="303"/>
      <c r="O34" s="303"/>
      <c r="P34" s="303"/>
      <c r="Q34" s="303"/>
      <c r="R34" s="303"/>
    </row>
    <row r="35" spans="1:18" ht="30" customHeight="1" x14ac:dyDescent="0.25">
      <c r="A35" s="297">
        <v>30</v>
      </c>
      <c r="B35" s="297">
        <v>11</v>
      </c>
      <c r="C35" s="304" t="s">
        <v>306</v>
      </c>
      <c r="D35" s="296" t="s">
        <v>624</v>
      </c>
      <c r="E35" s="296"/>
      <c r="F35" s="296"/>
      <c r="G35" s="305"/>
      <c r="H35" s="305"/>
      <c r="I35" s="305"/>
      <c r="J35" s="305"/>
      <c r="K35" s="305"/>
      <c r="L35" s="305"/>
      <c r="M35" s="303"/>
      <c r="N35" s="303"/>
      <c r="O35" s="303"/>
      <c r="P35" s="303"/>
      <c r="Q35" s="303"/>
      <c r="R35" s="303"/>
    </row>
    <row r="36" spans="1:18" s="5" customFormat="1" x14ac:dyDescent="0.2">
      <c r="A36" s="825" t="s">
        <v>67</v>
      </c>
      <c r="B36" s="825"/>
      <c r="C36" s="27">
        <f>COUNTA(C12:C35)</f>
        <v>12</v>
      </c>
      <c r="D36" s="306"/>
      <c r="E36" s="307"/>
      <c r="F36" s="307"/>
      <c r="G36" s="307"/>
      <c r="H36" s="307"/>
      <c r="I36" s="307"/>
      <c r="J36" s="307"/>
      <c r="K36" s="308"/>
      <c r="L36" s="309"/>
      <c r="M36" s="310"/>
      <c r="N36" s="310"/>
      <c r="O36" s="310"/>
      <c r="P36" s="310"/>
      <c r="Q36" s="310"/>
      <c r="R36" s="310"/>
    </row>
    <row r="37" spans="1:18" x14ac:dyDescent="0.25">
      <c r="D37" s="311"/>
      <c r="E37" s="311"/>
      <c r="F37" s="311"/>
      <c r="L37" s="303"/>
      <c r="M37" s="303"/>
      <c r="N37" s="303"/>
      <c r="O37" s="303"/>
      <c r="P37" s="303"/>
      <c r="Q37" s="303"/>
      <c r="R37" s="303"/>
    </row>
    <row r="38" spans="1:18" x14ac:dyDescent="0.25">
      <c r="B38" s="312"/>
      <c r="C38" s="312"/>
      <c r="D38" s="312"/>
      <c r="E38" s="313"/>
      <c r="F38" s="313"/>
      <c r="H38" s="1133"/>
      <c r="I38" s="1133"/>
      <c r="L38" s="303"/>
      <c r="M38" s="303"/>
      <c r="N38" s="303"/>
      <c r="O38" s="303"/>
      <c r="P38" s="303"/>
      <c r="Q38" s="303"/>
      <c r="R38" s="303"/>
    </row>
    <row r="39" spans="1:18" x14ac:dyDescent="0.25">
      <c r="D39" s="312" t="s">
        <v>73</v>
      </c>
      <c r="E39" s="313"/>
      <c r="F39" s="313"/>
      <c r="H39" s="1133" t="e">
        <f>#REF!</f>
        <v>#REF!</v>
      </c>
      <c r="I39" s="1133"/>
    </row>
  </sheetData>
  <mergeCells count="26">
    <mergeCell ref="H38:I38"/>
    <mergeCell ref="H39:I39"/>
    <mergeCell ref="H10:H11"/>
    <mergeCell ref="I10:I11"/>
    <mergeCell ref="J10:J11"/>
    <mergeCell ref="K10:K11"/>
    <mergeCell ref="L10:L11"/>
    <mergeCell ref="A36:B36"/>
    <mergeCell ref="A10:A11"/>
    <mergeCell ref="B10:B11"/>
    <mergeCell ref="C10:C11"/>
    <mergeCell ref="D10:D11"/>
    <mergeCell ref="E10:F10"/>
    <mergeCell ref="G10:G11"/>
    <mergeCell ref="A6:C6"/>
    <mergeCell ref="D6:L6"/>
    <mergeCell ref="A7:C7"/>
    <mergeCell ref="D7:L7"/>
    <mergeCell ref="A8:C8"/>
    <mergeCell ref="D8:L8"/>
    <mergeCell ref="A1:L1"/>
    <mergeCell ref="G2:H2"/>
    <mergeCell ref="A4:C4"/>
    <mergeCell ref="D4:L4"/>
    <mergeCell ref="A5:C5"/>
    <mergeCell ref="D5:L5"/>
  </mergeCells>
  <pageMargins left="1.07" right="0.70866141732283472" top="0.4" bottom="0.3" header="0.28999999999999998" footer="0.17"/>
  <pageSetup paperSize="9" scale="98" fitToHeight="2"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24</vt:i4>
      </vt:variant>
      <vt:variant>
        <vt:lpstr>Именованные диапазоны</vt:lpstr>
      </vt:variant>
      <vt:variant>
        <vt:i4>36</vt:i4>
      </vt:variant>
    </vt:vector>
  </HeadingPairs>
  <TitlesOfParts>
    <vt:vector size="60" baseType="lpstr">
      <vt:lpstr>Заявка в ИЛЦ</vt:lpstr>
      <vt:lpstr>768-00001-52007-18(Заявка ИЛЦ)</vt:lpstr>
      <vt:lpstr>768-00001-00000-18(Заявка ИЛЦ)</vt:lpstr>
      <vt:lpstr>768-00002-00000-18</vt:lpstr>
      <vt:lpstr>Заявка в ФМБА</vt:lpstr>
      <vt:lpstr>Акт отбора проб Почва</vt:lpstr>
      <vt:lpstr>Акт отбора проб МБ</vt:lpstr>
      <vt:lpstr>Акт отбора проб МБ (для ФБУЗ)</vt:lpstr>
      <vt:lpstr>Акт отбора проб ДО</vt:lpstr>
      <vt:lpstr>Акт отбора проб Вода</vt:lpstr>
      <vt:lpstr>БОП</vt:lpstr>
      <vt:lpstr>БОП МБ</vt:lpstr>
      <vt:lpstr>БОП БАК</vt:lpstr>
      <vt:lpstr>БОП ДО</vt:lpstr>
      <vt:lpstr>БОП Вода</vt:lpstr>
      <vt:lpstr>Табличка в поле</vt:lpstr>
      <vt:lpstr>773-00001-52007-18(МЭД точка)</vt:lpstr>
      <vt:lpstr>773-00001-52007-18(МЭД сеть) </vt:lpstr>
      <vt:lpstr>772-00001-52007-18(ППР)</vt:lpstr>
      <vt:lpstr>774-00001-52007-18(ЭРОА)</vt:lpstr>
      <vt:lpstr>775-00001-52007-18(МЭД здание)</vt:lpstr>
      <vt:lpstr>769-00001-52007-18(Заявка МБ)</vt:lpstr>
      <vt:lpstr>770-00001-52007-18 Зака мб вода</vt:lpstr>
      <vt:lpstr>ГГХ</vt:lpstr>
      <vt:lpstr>'Заявка в ФМБА'!_Hlk203474863</vt:lpstr>
      <vt:lpstr>'768-00001-00000-18(Заявка ИЛЦ)'!ZDO_DAT1</vt:lpstr>
      <vt:lpstr>'768-00001-52007-18(Заявка ИЛЦ)'!ZDO_DAT1</vt:lpstr>
      <vt:lpstr>'768-00002-00000-18'!ZDO_DAT1</vt:lpstr>
      <vt:lpstr>'768-00001-00000-18(Заявка ИЛЦ)'!ZDO_NUM</vt:lpstr>
      <vt:lpstr>'768-00001-52007-18(Заявка ИЛЦ)'!ZDO_NUM</vt:lpstr>
      <vt:lpstr>'768-00002-00000-18'!ZDO_NUM</vt:lpstr>
      <vt:lpstr>'775-00001-52007-18(МЭД здание)'!Заголовки_для_печати</vt:lpstr>
      <vt:lpstr>'Акт отбора проб Вода'!Заголовки_для_печати</vt:lpstr>
      <vt:lpstr>'Акт отбора проб ДО'!Заголовки_для_печати</vt:lpstr>
      <vt:lpstr>'Акт отбора проб МБ'!Заголовки_для_печати</vt:lpstr>
      <vt:lpstr>'Акт отбора проб Почва'!Заголовки_для_печати</vt:lpstr>
      <vt:lpstr>ГГХ!Заголовки_для_печати</vt:lpstr>
      <vt:lpstr>'768-00001-00000-18(Заявка ИЛЦ)'!Область_печати</vt:lpstr>
      <vt:lpstr>'768-00001-52007-18(Заявка ИЛЦ)'!Область_печати</vt:lpstr>
      <vt:lpstr>'768-00002-00000-18'!Область_печати</vt:lpstr>
      <vt:lpstr>'769-00001-52007-18(Заявка МБ)'!Область_печати</vt:lpstr>
      <vt:lpstr>'770-00001-52007-18 Зака мб вода'!Область_печати</vt:lpstr>
      <vt:lpstr>'772-00001-52007-18(ППР)'!Область_печати</vt:lpstr>
      <vt:lpstr>'773-00001-52007-18(МЭД сеть) '!Область_печати</vt:lpstr>
      <vt:lpstr>'773-00001-52007-18(МЭД точка)'!Область_печати</vt:lpstr>
      <vt:lpstr>'774-00001-52007-18(ЭРОА)'!Область_печати</vt:lpstr>
      <vt:lpstr>'775-00001-52007-18(МЭД здание)'!Область_печати</vt:lpstr>
      <vt:lpstr>'Акт отбора проб Вода'!Область_печати</vt:lpstr>
      <vt:lpstr>'Акт отбора проб ДО'!Область_печати</vt:lpstr>
      <vt:lpstr>'Акт отбора проб МБ'!Область_печати</vt:lpstr>
      <vt:lpstr>'Акт отбора проб Почва'!Область_печати</vt:lpstr>
      <vt:lpstr>БОП!Область_печати</vt:lpstr>
      <vt:lpstr>'БОП БАК'!Область_печати</vt:lpstr>
      <vt:lpstr>'БОП Вода'!Область_печати</vt:lpstr>
      <vt:lpstr>'БОП ДО'!Область_печати</vt:lpstr>
      <vt:lpstr>'БОП МБ'!Область_печати</vt:lpstr>
      <vt:lpstr>ГГХ!Область_печати</vt:lpstr>
      <vt:lpstr>'Заявка в ИЛЦ'!Область_печати</vt:lpstr>
      <vt:lpstr>'Заявка в ФМБА'!Область_печати</vt:lpstr>
      <vt:lpstr>'Табличка в поле'!Область_печати</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Стажер</dc:creator>
  <cp:lastModifiedBy>Ермолов Томас Александрович</cp:lastModifiedBy>
  <cp:lastPrinted>2025-02-11T12:06:13Z</cp:lastPrinted>
  <dcterms:created xsi:type="dcterms:W3CDTF">2008-02-14T09:01:15Z</dcterms:created>
  <dcterms:modified xsi:type="dcterms:W3CDTF">2026-01-14T10:59:42Z</dcterms:modified>
</cp:coreProperties>
</file>